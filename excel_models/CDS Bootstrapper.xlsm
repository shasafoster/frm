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filterPrivacy="1" codeName="ThisWorkbook" defaultThemeVersion="166925"/>
  <xr:revisionPtr revIDLastSave="0" documentId="13_ncr:1_{8BAC0934-10AC-4983-A8CA-CC91E27FE436}" xr6:coauthVersionLast="47" xr6:coauthVersionMax="47" xr10:uidLastSave="{00000000-0000-0000-0000-000000000000}"/>
  <bookViews>
    <workbookView xWindow="-120" yWindow="-120" windowWidth="29040" windowHeight="15720" activeTab="2" xr2:uid="{B3042476-0B62-42A0-942D-6B01C6D8EF30}"/>
  </bookViews>
  <sheets>
    <sheet name="Methodology" sheetId="10" r:id="rId1"/>
    <sheet name="UserInput" sheetId="4" r:id="rId2"/>
    <sheet name="Calculations" sheetId="11" r:id="rId3"/>
    <sheet name="Results" sheetId="12" r:id="rId4"/>
    <sheet name="DataValidation" sheetId="6" state="hidden" r:id="rId5"/>
    <sheet name="Holidays" sheetId="14" state="hidden" r:id="rId6"/>
  </sheets>
  <functionGroups builtInGroupCount="19"/>
  <definedNames>
    <definedName name="_UUID_" hidden="1">262297</definedName>
    <definedName name="_xlpm.acc" hidden="1" xlm="1">#NAME?</definedName>
    <definedName name="_xlpm.RolledDate" hidden="1" xlm="1">#NAME?</definedName>
    <definedName name="_xlpm.RolledEndDate" hidden="1" xlm="1">#NAME?</definedName>
    <definedName name="_xlpm.x" hidden="1" xlm="1">#NAME?</definedName>
    <definedName name="AccruedInterest">Calculations!$AF$14</definedName>
    <definedName name="BusinessDayConvention">UserInput!$C$13</definedName>
    <definedName name="CCY">UserInput!$C$11</definedName>
    <definedName name="CIQWBGuid" hidden="1">"AP UK Retail Portfolio.xlsx"</definedName>
    <definedName name="CIQWBGuid_1" hidden="1">"AP UK Retail Portfolio.xlsx"</definedName>
    <definedName name="CleanOrDirtyQuotes">UserInput!$C$16</definedName>
    <definedName name="CouponPremium">Calculations!$AF$13</definedName>
    <definedName name="CouponPremiumBPS">UserInput!$C$12</definedName>
    <definedName name="CurrentTenor" localSheetId="2">Calculations!$AF$7</definedName>
    <definedName name="DataFieldToUseForSolve">UserInput!$C$15</definedName>
    <definedName name="DayCountBasisIndexCoupon" localSheetId="2">Calculations!$E$48</definedName>
    <definedName name="DayCountBasisIndexDate2YearFrac">Calculations!$E$47</definedName>
    <definedName name="EndDate">Calculations!$AF$10</definedName>
    <definedName name="FirstCouponEndDate" localSheetId="2">Calculations!$E$42</definedName>
    <definedName name="FlatHazardRateDifference" localSheetId="2">Calculations!$AF$43</definedName>
    <definedName name="Holidays_Applied">_xlfn.ANCHORARRAY(Holidays!$A$2)</definedName>
    <definedName name="Holidays_AUD">Holidays!$C$2:$C$1392</definedName>
    <definedName name="Holidays_EUR">Holidays!$E$2:$E$602</definedName>
    <definedName name="Holidays_GBP">Holidays!$G$2:$G$982</definedName>
    <definedName name="Holidays_JPY">Holidays!$I$2:$I$1937</definedName>
    <definedName name="Holidays_NZD">Holidays!$K$2:$K$1414</definedName>
    <definedName name="Holidays_USD">Holidays!$M$2:$M$1641</definedName>
    <definedName name="Index" localSheetId="2">Calculations!$AF$5</definedName>
    <definedName name="IQ_CH" hidden="1">110000</definedName>
    <definedName name="IQ_CQ" hidden="1">5000</definedName>
    <definedName name="IQ_CY" hidden="1">10000</definedName>
    <definedName name="IQ_DAILY" hidden="1">500000</definedName>
    <definedName name="IQ_DNTM" hidden="1">700000</definedName>
    <definedName name="IQ_EXPENSE_CODE_" hidden="1">"PwC UK Website Access"</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"06/30/2015 12:22:38"</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LastCouponStartDate" localSheetId="2">Calculations!$E$43</definedName>
    <definedName name="LossGivenDefault">UserInput!$C$9</definedName>
    <definedName name="NbTenors">Calculations!$AF$4</definedName>
    <definedName name="Notional" localSheetId="2">Calculations!$AF$6</definedName>
    <definedName name="ParSpread">Calculations!$AF$11</definedName>
    <definedName name="ParSpreadLegPVDifference" localSheetId="2">Calculations!$AF$46</definedName>
    <definedName name="PaymentFrequency">UserInput!$C$14</definedName>
    <definedName name="PaymentOffset" localSheetId="2">Calculations!$E$46</definedName>
    <definedName name="PiecewiseHazardRateDifference" localSheetId="2">Calculations!$AF$44</definedName>
    <definedName name="QuotedSpread">Calculations!$AF$12</definedName>
    <definedName name="QuotedSpreadInput" localSheetId="2">Calculations!$Q$5:$Q$24</definedName>
    <definedName name="QuotedSpreadLegPVDifference" localSheetId="2">Calculations!$AF$45</definedName>
    <definedName name="RecoveryRate">UserInput!$C$8</definedName>
    <definedName name="RiskFreeDiscountFactors">_xlfn.ANCHORARRAY(Calculations!$AP$5)</definedName>
    <definedName name="RollDay">Calculations!$F$34</definedName>
    <definedName name="RollUserSpecifiedDates" localSheetId="2">Calculations!$E$45</definedName>
    <definedName name="StartDate">Calculations!$AF$8</definedName>
    <definedName name="StubType" localSheetId="2">Calculations!$E$44</definedName>
    <definedName name="Upfront_Fee_Applied" localSheetId="2">Calculations!$AF$22</definedName>
    <definedName name="ValueDate">UserInput!$C$7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 i="11" l="1"/>
  <c r="AF18" i="11" a="1"/>
  <c r="AF18" i="11" s="1"/>
  <c r="AF13" i="11" l="1"/>
  <c r="A2" i="14" a="1"/>
  <c r="A2" i="14" s="1"/>
  <c r="I7" i="11" l="1"/>
  <c r="I13" i="11"/>
  <c r="I15" i="11"/>
  <c r="I16" i="11"/>
  <c r="I18" i="11"/>
  <c r="I21" i="11"/>
  <c r="E5" i="11"/>
  <c r="E6" i="11"/>
  <c r="E7" i="11"/>
  <c r="E8" i="11"/>
  <c r="E9" i="11"/>
  <c r="E10" i="11"/>
  <c r="E11" i="11"/>
  <c r="E12" i="11"/>
  <c r="E13" i="11"/>
  <c r="E14" i="11"/>
  <c r="E15" i="11"/>
  <c r="E16" i="11"/>
  <c r="E17" i="11"/>
  <c r="E18" i="11"/>
  <c r="E19" i="11"/>
  <c r="E20" i="11"/>
  <c r="E21" i="11"/>
  <c r="E22" i="11"/>
  <c r="E23" i="11"/>
  <c r="E24" i="11"/>
  <c r="H23" i="4"/>
  <c r="I5" i="11" s="1"/>
  <c r="H24" i="4"/>
  <c r="I6" i="11" s="1"/>
  <c r="H25" i="4"/>
  <c r="I8" i="11" s="1"/>
  <c r="H26" i="4"/>
  <c r="I9" i="11" s="1"/>
  <c r="H27" i="4"/>
  <c r="I10" i="11" s="1"/>
  <c r="H28" i="4"/>
  <c r="I11" i="11" s="1"/>
  <c r="H29" i="4"/>
  <c r="I12" i="11" s="1"/>
  <c r="H30" i="4"/>
  <c r="I14" i="11" s="1"/>
  <c r="H31" i="4"/>
  <c r="I17" i="11" s="1"/>
  <c r="H32" i="4"/>
  <c r="I19" i="11" s="1"/>
  <c r="H33" i="4"/>
  <c r="I20" i="11" s="1"/>
  <c r="H34" i="4"/>
  <c r="I22" i="11" s="1"/>
  <c r="O5" i="11" l="1" a="1"/>
  <c r="O5" i="11" s="1"/>
  <c r="F4" i="12" s="1" a="1"/>
  <c r="F4" i="12" s="1"/>
  <c r="I24" i="11"/>
  <c r="I23" i="11"/>
  <c r="P5" i="11" a="1"/>
  <c r="P5" i="11" s="1"/>
  <c r="G4" i="12" s="1" a="1"/>
  <c r="G4" i="12" s="1"/>
  <c r="Q5" i="11" a="1"/>
  <c r="Q5" i="11" s="1"/>
  <c r="H4" i="12" s="1" a="1"/>
  <c r="H4" i="12" s="1"/>
  <c r="R5" i="11" a="1"/>
  <c r="R5" i="11" s="1"/>
  <c r="I4" i="12" s="1" a="1"/>
  <c r="I4" i="12" s="1"/>
  <c r="E48" i="11"/>
  <c r="F27" i="11"/>
  <c r="F28" i="11" s="1" a="1"/>
  <c r="F28" i="11" s="1"/>
  <c r="F30" i="11" l="1"/>
  <c r="F29" i="11"/>
  <c r="AC3" i="11"/>
  <c r="AB3" i="11"/>
  <c r="X3" i="11"/>
  <c r="Z3" i="11"/>
  <c r="Y3" i="11"/>
  <c r="Q3" i="11"/>
  <c r="P3" i="11"/>
  <c r="B6" i="11"/>
  <c r="B7" i="11" s="1"/>
  <c r="B8" i="11" s="1"/>
  <c r="B9" i="11" s="1"/>
  <c r="B10" i="11" s="1"/>
  <c r="B11" i="11" s="1"/>
  <c r="B12" i="11" s="1"/>
  <c r="B13" i="11" s="1"/>
  <c r="B14" i="11" s="1"/>
  <c r="B15" i="11" s="1"/>
  <c r="B16" i="11" s="1"/>
  <c r="B17" i="11" s="1"/>
  <c r="B18" i="11" s="1"/>
  <c r="B19" i="11" s="1"/>
  <c r="B20" i="11" s="1"/>
  <c r="B21" i="11" s="1"/>
  <c r="B22" i="11" s="1"/>
  <c r="B38" i="4"/>
  <c r="C9" i="4"/>
  <c r="F31" i="11" l="1"/>
  <c r="F32" i="11" s="1"/>
  <c r="F37" i="11" s="1"/>
  <c r="N5" i="11" a="1"/>
  <c r="N5" i="11" s="1"/>
  <c r="E4" i="12" s="1" a="1"/>
  <c r="E4" i="12" s="1"/>
  <c r="F22" i="11" l="1"/>
  <c r="F17" i="11"/>
  <c r="F11" i="11"/>
  <c r="F19" i="11"/>
  <c r="F24" i="11"/>
  <c r="F12" i="11"/>
  <c r="F38" i="11"/>
  <c r="F39" i="11" s="1"/>
  <c r="F8" i="11"/>
  <c r="F16" i="11"/>
  <c r="F5" i="11"/>
  <c r="F13" i="11"/>
  <c r="F15" i="11"/>
  <c r="F21" i="11"/>
  <c r="F23" i="11"/>
  <c r="F10" i="11"/>
  <c r="F20" i="11"/>
  <c r="F7" i="11"/>
  <c r="F6" i="11"/>
  <c r="F9" i="11"/>
  <c r="F14" i="11"/>
  <c r="F18" i="11"/>
  <c r="W5" i="11" a="1"/>
  <c r="W5" i="11" s="1"/>
  <c r="G16" i="11" l="1"/>
  <c r="H16" i="11" s="1"/>
  <c r="G9" i="11"/>
  <c r="B26" i="4" s="1"/>
  <c r="G17" i="11"/>
  <c r="H17" i="11" s="1"/>
  <c r="G19" i="11"/>
  <c r="H19" i="11" s="1"/>
  <c r="G24" i="11"/>
  <c r="H24" i="11" s="1"/>
  <c r="G11" i="11"/>
  <c r="B28" i="4" s="1"/>
  <c r="G8" i="11"/>
  <c r="B25" i="4" s="1"/>
  <c r="G20" i="11"/>
  <c r="H20" i="11" s="1"/>
  <c r="G6" i="11"/>
  <c r="B24" i="4" s="1"/>
  <c r="G12" i="11"/>
  <c r="H12" i="11" s="1"/>
  <c r="G21" i="11"/>
  <c r="H21" i="11" s="1"/>
  <c r="G18" i="11"/>
  <c r="H18" i="11" s="1"/>
  <c r="G13" i="11"/>
  <c r="H13" i="11" s="1"/>
  <c r="G10" i="11"/>
  <c r="H10" i="11" s="1"/>
  <c r="G15" i="11"/>
  <c r="H15" i="11" s="1"/>
  <c r="G5" i="11"/>
  <c r="G7" i="11"/>
  <c r="H7" i="11" s="1"/>
  <c r="G22" i="11"/>
  <c r="H22" i="11" s="1"/>
  <c r="G23" i="11"/>
  <c r="H23" i="11" s="1"/>
  <c r="G14" i="11"/>
  <c r="H14" i="11" s="1"/>
  <c r="B32" i="4" l="1"/>
  <c r="B30" i="4"/>
  <c r="B34" i="4"/>
  <c r="H11" i="11"/>
  <c r="B29" i="4"/>
  <c r="H9" i="11"/>
  <c r="B27" i="4"/>
  <c r="H6" i="11"/>
  <c r="B31" i="4"/>
  <c r="H8" i="11"/>
  <c r="B33" i="4"/>
  <c r="H5" i="11"/>
  <c r="B23" i="4"/>
  <c r="L5" i="11" l="1" a="1"/>
  <c r="L5" i="11" s="1"/>
  <c r="C4" i="12" l="1" a="1"/>
  <c r="C4" i="12" s="1"/>
  <c r="M5" i="11" a="1"/>
  <c r="M5" i="11" s="1"/>
  <c r="K5" i="11" a="1"/>
  <c r="K5" i="11" s="1"/>
  <c r="U5" i="11" a="1"/>
  <c r="U5" i="11" s="1"/>
  <c r="B4" i="12" l="1" a="1"/>
  <c r="B4" i="12" s="1"/>
  <c r="D4" i="12" a="1"/>
  <c r="D4" i="12" s="1"/>
  <c r="V5" i="11" a="1"/>
  <c r="V5" i="11" s="1"/>
  <c r="L4" i="12" s="1" a="1"/>
  <c r="L4" i="12" s="1"/>
  <c r="P4" i="12" s="1" a="1"/>
  <c r="P4" i="12" s="1"/>
  <c r="AF4" i="11"/>
  <c r="AF7" i="11" a="1"/>
  <c r="AF7" i="11" s="1"/>
  <c r="T5" i="11" a="1"/>
  <c r="T5" i="11" s="1"/>
  <c r="AF19" i="11" l="1" a="1"/>
  <c r="AF19" i="11" s="1"/>
  <c r="AF11" i="11" a="1"/>
  <c r="AF11" i="11" s="1"/>
  <c r="K4" i="12" a="1"/>
  <c r="K4" i="12" s="1"/>
  <c r="O4" i="12" s="1" a="1"/>
  <c r="O4" i="12" s="1"/>
  <c r="J4" i="12" a="1"/>
  <c r="J4" i="12" s="1"/>
  <c r="N4" i="12" s="1" a="1"/>
  <c r="N4" i="12" s="1"/>
  <c r="AF12" i="11" a="1"/>
  <c r="AF12" i="11" s="1"/>
  <c r="AF10" i="11"/>
  <c r="AF8" i="11"/>
  <c r="AF14" i="11" s="1"/>
  <c r="AF9" i="11" l="1"/>
  <c r="AJ5" i="11" a="1"/>
  <c r="AJ5" i="11" l="1"/>
  <c r="AK5" i="11" a="1"/>
  <c r="AK5" i="11" l="1"/>
  <c r="AM5" i="11" a="1"/>
  <c r="AM5" i="11" l="1"/>
  <c r="AI5" i="11" a="1"/>
  <c r="AI5" i="11" s="1"/>
  <c r="AL5" i="11" a="1"/>
  <c r="AL5" i="11" s="1"/>
  <c r="AP5" i="11" a="1"/>
  <c r="AP5" i="11" l="1"/>
  <c r="AH5" i="11" a="1"/>
  <c r="AH5" i="11" s="1"/>
  <c r="AN5" i="11" s="1" a="1"/>
  <c r="AN5" i="11" s="1"/>
  <c r="AT5" i="11" a="1"/>
  <c r="AT5" i="11" s="1"/>
  <c r="AR5" i="11" a="1"/>
  <c r="AR5" i="11" s="1"/>
  <c r="BE5" i="11" a="1"/>
  <c r="BE5" i="11" s="1"/>
  <c r="AO5" i="11" l="1" a="1"/>
  <c r="AO5" i="11" s="1"/>
  <c r="AU5" i="11" s="1" a="1"/>
  <c r="AU5" i="11" s="1"/>
  <c r="AV5" i="11" s="1" a="1"/>
  <c r="AV5" i="11" s="1"/>
  <c r="BC5" i="11" s="1" a="1"/>
  <c r="BC5" i="11" s="1"/>
  <c r="AF20" i="11" s="1"/>
  <c r="BF5" i="11" a="1"/>
  <c r="BF5" i="11" s="1"/>
  <c r="BM5" i="11" s="1" a="1"/>
  <c r="BM5" i="11" s="1"/>
  <c r="AF21" i="11" s="1"/>
  <c r="BB5" i="11" l="1" a="1"/>
  <c r="BB5" i="11" s="1"/>
  <c r="AF29" i="11" s="1"/>
  <c r="AZ5" i="11" a="1"/>
  <c r="AZ5" i="11" s="1"/>
  <c r="AF31" i="11" s="1"/>
  <c r="AW5" i="11" a="1"/>
  <c r="AW5" i="11" s="1"/>
  <c r="AX5" i="11" s="1" a="1"/>
  <c r="AX5" i="11" s="1"/>
  <c r="BG5" i="11" a="1"/>
  <c r="BG5" i="11" s="1"/>
  <c r="BL5" i="11" a="1"/>
  <c r="BL5" i="11" s="1"/>
  <c r="AF36" i="11" s="1"/>
  <c r="BJ5" i="11" a="1"/>
  <c r="BJ5" i="11" s="1"/>
  <c r="AF38" i="11" s="1"/>
  <c r="AF22" i="11" l="1" a="1"/>
  <c r="AF22" i="11" s="1"/>
  <c r="AA5" i="11" a="1"/>
  <c r="AA5" i="11" s="1"/>
  <c r="M4" i="12" s="1" a="1"/>
  <c r="M4" i="12" s="1"/>
  <c r="Q4" i="12" s="1" a="1"/>
  <c r="Q4" i="12" s="1"/>
  <c r="AX6" i="11" a="1"/>
  <c r="AX6" i="11" s="1"/>
  <c r="AY5" i="11" s="1" a="1"/>
  <c r="AY5" i="11" s="1"/>
  <c r="BA5" i="11" s="1" a="1"/>
  <c r="BA5" i="11" s="1"/>
  <c r="AF33" i="11" s="1"/>
  <c r="BH5" i="11" a="1"/>
  <c r="BH5" i="11" s="1"/>
  <c r="BH6" i="11" a="1"/>
  <c r="BH6" i="11" s="1"/>
  <c r="AF30" i="11" l="1"/>
  <c r="AF32" i="11" s="1"/>
  <c r="AF37" i="11"/>
  <c r="AF39" i="11" s="1"/>
  <c r="BI5" i="11" a="1"/>
  <c r="BI5" i="11" s="1"/>
  <c r="BK5" i="11" s="1" a="1"/>
  <c r="BK5" i="11" s="1"/>
  <c r="AF40" i="11" s="1"/>
  <c r="AF45" i="11" l="1"/>
  <c r="AF43" i="11"/>
  <c r="AF46" i="11"/>
  <c r="AF44"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22" authorId="0" shapeId="0" xr:uid="{BB05C1C3-08AB-4B22-987D-A475CBFEADF9}">
      <text>
        <r>
          <rPr>
            <sz val="9"/>
            <color indexed="81"/>
            <rFont val="Tahoma"/>
            <family val="2"/>
          </rPr>
          <t>Specify the tenor: 3M, 6M, …. 
Common t</t>
        </r>
        <r>
          <rPr>
            <sz val="9"/>
            <color indexed="81"/>
            <rFont val="Tahoma"/>
            <family val="2"/>
          </rPr>
          <t xml:space="preserve">enors from 3M to 50Y are supported. </t>
        </r>
      </text>
    </comment>
    <comment ref="D22" authorId="0" shapeId="0" xr:uid="{AD07E6EF-B404-4EC0-A1E9-E7CE1B178116}">
      <text>
        <r>
          <rPr>
            <sz val="9"/>
            <color indexed="81"/>
            <rFont val="Tahoma"/>
            <family val="2"/>
          </rPr>
          <t>Coupon for which the CDS has NPV=0, assuming a piece-wise constant hazard curve (considered in conjunction with all other par spreads); 
Also called Running Spread</t>
        </r>
      </text>
    </comment>
    <comment ref="E22" authorId="0" shapeId="0" xr:uid="{2A62706E-9D88-4795-B38B-97852B409C4C}">
      <text>
        <r>
          <rPr>
            <sz val="9"/>
            <color indexed="81"/>
            <rFont val="Tahoma"/>
            <family val="2"/>
          </rPr>
          <t>Value that matches the NPV of a CDS with a fixed coupon (1% or 5%), assuming a flat hazard curve (considered in isolation to all other spreads)</t>
        </r>
      </text>
    </comment>
    <comment ref="F22" authorId="0" shapeId="0" xr:uid="{E3BD195D-03B2-4DAA-A4D8-EC93CF4CBC5C}">
      <text>
        <r>
          <rPr>
            <sz val="9"/>
            <color indexed="81"/>
            <rFont val="Tahoma"/>
            <family val="2"/>
          </rPr>
          <t>Coupon for which the CDS has NPV=0, assuming a flat hazard curve (considered in isolation to all other quoted spreads); 
Also called the 'Flat Spread' or 'Conventional Spread'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<sst xmlns="http://schemas.openxmlformats.org/spreadsheetml/2006/main" count="8241" uniqueCount="284">
  <si>
    <t>EUR</t>
  </si>
  <si>
    <t>JPY</t>
  </si>
  <si>
    <t>USD</t>
  </si>
  <si>
    <t>Tenor</t>
  </si>
  <si>
    <t>3M</t>
  </si>
  <si>
    <t>6M</t>
  </si>
  <si>
    <t>1Y</t>
  </si>
  <si>
    <t>2Y</t>
  </si>
  <si>
    <t>3Y</t>
  </si>
  <si>
    <t>4Y</t>
  </si>
  <si>
    <t>5Y</t>
  </si>
  <si>
    <t>7Y</t>
  </si>
  <si>
    <t>10Y</t>
  </si>
  <si>
    <t>15Y</t>
  </si>
  <si>
    <t>20Y</t>
  </si>
  <si>
    <t>30Y</t>
  </si>
  <si>
    <t>Par Spread (bps)</t>
  </si>
  <si>
    <t>Maturity Date</t>
  </si>
  <si>
    <t>Year offset</t>
  </si>
  <si>
    <t>Month offset</t>
  </si>
  <si>
    <t>Roll day</t>
  </si>
  <si>
    <t>30/360</t>
  </si>
  <si>
    <t>ACT/ACT</t>
  </si>
  <si>
    <t>ACT/360</t>
  </si>
  <si>
    <t>ACT/365</t>
  </si>
  <si>
    <t>30E/360</t>
  </si>
  <si>
    <t>Valid Day Count Basis</t>
  </si>
  <si>
    <t>Day Count Basis Index</t>
  </si>
  <si>
    <t>Index</t>
  </si>
  <si>
    <t>Recovery Rate (%)</t>
  </si>
  <si>
    <t>Coupon</t>
  </si>
  <si>
    <t>Coupon Rates</t>
  </si>
  <si>
    <t>User input field</t>
  </si>
  <si>
    <t>FirstCouponEndDate</t>
  </si>
  <si>
    <t>LastCouponStartDate</t>
  </si>
  <si>
    <t>Valid Currencies</t>
  </si>
  <si>
    <t>Business Day Convention</t>
  </si>
  <si>
    <t>Modified Following</t>
  </si>
  <si>
    <t>Roll Convention</t>
  </si>
  <si>
    <t>Following</t>
  </si>
  <si>
    <t>Preceding</t>
  </si>
  <si>
    <t>Modified Preceding</t>
  </si>
  <si>
    <t>First Short</t>
  </si>
  <si>
    <t>Last Short</t>
  </si>
  <si>
    <t>M</t>
  </si>
  <si>
    <t>Q</t>
  </si>
  <si>
    <t>S</t>
  </si>
  <si>
    <t>A</t>
  </si>
  <si>
    <t>Payment Frequency</t>
  </si>
  <si>
    <t>Stub</t>
  </si>
  <si>
    <t>Holidays Applied</t>
  </si>
  <si>
    <t>RollUserSpecifiedDates</t>
  </si>
  <si>
    <t>Boolean</t>
  </si>
  <si>
    <t>PayDate</t>
  </si>
  <si>
    <t>Stub Type</t>
  </si>
  <si>
    <t>Payment Delay</t>
  </si>
  <si>
    <t>Effective Date</t>
  </si>
  <si>
    <t>Misc Inputs</t>
  </si>
  <si>
    <t>Hazard Rate</t>
  </si>
  <si>
    <t>Risk Free Discount Factor</t>
  </si>
  <si>
    <t>Par Spread</t>
  </si>
  <si>
    <t>Notional</t>
  </si>
  <si>
    <t>Risk Free DF</t>
  </si>
  <si>
    <t>Cpn Premium PV</t>
  </si>
  <si>
    <t>Incremental P.D</t>
  </si>
  <si>
    <t>Row</t>
  </si>
  <si>
    <t>Incremental P.D Helper</t>
  </si>
  <si>
    <t>Par Spread Leg PV</t>
  </si>
  <si>
    <t>Solve other fields based on:</t>
  </si>
  <si>
    <t>Upfront Fee</t>
  </si>
  <si>
    <t>Cumulative Default Probability (%)</t>
  </si>
  <si>
    <t>Quoted Spread</t>
  </si>
  <si>
    <t>Quoted Spread (bps)</t>
  </si>
  <si>
    <t>Quoted Spread Leg PV</t>
  </si>
  <si>
    <t>Loss Given Default (%)</t>
  </si>
  <si>
    <t>Accrued interest $</t>
  </si>
  <si>
    <t>References</t>
  </si>
  <si>
    <t>1. Microsoft Word - ISDA Standard CDS Contract Converter Specification - Sept 3 2009.doc</t>
  </si>
  <si>
    <t>3. Day count basis is ACT/360</t>
  </si>
  <si>
    <t>Quote conventions</t>
  </si>
  <si>
    <t>Years to maturity</t>
  </si>
  <si>
    <t>Piecewise Hazard Rate</t>
  </si>
  <si>
    <t>Flat Hazard Rate</t>
  </si>
  <si>
    <t>Is field solved:</t>
  </si>
  <si>
    <t>Background</t>
  </si>
  <si>
    <t>CDS are highly standardised derivatives with the following market conventions:</t>
  </si>
  <si>
    <t>Key Assumptions</t>
  </si>
  <si>
    <t>Credit Default Swaps (CDS) are derivatives for transferring credit risk.</t>
  </si>
  <si>
    <t>CDS are defined so $1 of CDS notional, protects against $1 of credit risk.</t>
  </si>
  <si>
    <t>Standardisation</t>
  </si>
  <si>
    <t>(i). In developed markets 40% assumed for senior unsecured, 20% for subordinate [1]</t>
  </si>
  <si>
    <t>(ii). 25% assumed for senior unsecured and subordinate in emerging markets [1]</t>
  </si>
  <si>
    <t>1. CDS premium's/coupon's are 100 bps (investment grade) or 500 bps (non-investment grade)</t>
  </si>
  <si>
    <t>2. Quarterly premium/coupon payment dates (on the 20th of March, June, September and December)</t>
  </si>
  <si>
    <t>Quoted Spread:</t>
  </si>
  <si>
    <t xml:space="preserve">The quoted spread refers to the flat coupon that is equivalent to the net of the upfront fee and the contractual coupon payments. </t>
  </si>
  <si>
    <t>9M</t>
  </si>
  <si>
    <t>6Y</t>
  </si>
  <si>
    <t>8Y</t>
  </si>
  <si>
    <t>9Y</t>
  </si>
  <si>
    <t>12Y</t>
  </si>
  <si>
    <t>25Y</t>
  </si>
  <si>
    <t>40Y</t>
  </si>
  <si>
    <t>50Y</t>
  </si>
  <si>
    <t>Valid User Input</t>
  </si>
  <si>
    <t>Is input field used for solve:</t>
  </si>
  <si>
    <t>n/a</t>
  </si>
  <si>
    <t>Years</t>
  </si>
  <si>
    <t>Current Index</t>
  </si>
  <si>
    <t># of tenors</t>
  </si>
  <si>
    <t xml:space="preserve">Solved amounts </t>
  </si>
  <si>
    <t>Cumulative Default Prob.</t>
  </si>
  <si>
    <t>Cpn Premium CF (clean)</t>
  </si>
  <si>
    <t>Helpers for start date construction</t>
  </si>
  <si>
    <t>Curve Date Month</t>
  </si>
  <si>
    <t>Current Quarter</t>
  </si>
  <si>
    <t>Prior Quarter</t>
  </si>
  <si>
    <t>Start Month</t>
  </si>
  <si>
    <t>Start Date</t>
  </si>
  <si>
    <t>Start Year</t>
  </si>
  <si>
    <t>The model is designed to work with these tenor inputs only. Other tenor inputs require model changes.</t>
  </si>
  <si>
    <t>Quoted Upfront (%)</t>
  </si>
  <si>
    <t>[Start Date] + [1Y]</t>
  </si>
  <si>
    <t>Adjust</t>
  </si>
  <si>
    <t>Helpers for 1Y maturity date construction</t>
  </si>
  <si>
    <t>User Provided in "UserInput" tab</t>
  </si>
  <si>
    <t>Value Date</t>
  </si>
  <si>
    <t>CDS Data Input</t>
  </si>
  <si>
    <t>Core settings:</t>
  </si>
  <si>
    <t>Risk Free Interest Rate Input</t>
  </si>
  <si>
    <t>End Date for 1Y CDS</t>
  </si>
  <si>
    <t>Arrays created from user provided CDS Curve in "i.UserInput" tab</t>
  </si>
  <si>
    <r>
      <rPr>
        <u/>
        <sz val="9"/>
        <color theme="1"/>
        <rFont val="Arial"/>
        <family val="2"/>
      </rPr>
      <t>Upfront Fee:</t>
    </r>
    <r>
      <rPr>
        <sz val="9"/>
        <color theme="1"/>
        <rFont val="Arial"/>
        <family val="2"/>
      </rPr>
      <t xml:space="preserve">
Standardised CDS have a premium/coupon rate of 100bps or 500bps while the underlying entities of CDS have a continuum of credit riskiness.
An upfront fee for a credit default swap (CDS) is a lump sum payment made between the buyer/seller at inception or a transaction of a CDS contract to account for this difference. 
If the underlying has credit riskiness that is lower then the premium rate, the upfront would be paid by the protection seller to the protection buyer. 
If the underlying has credit riskiness that is higher then the premium rate, the upfront would be paid by the protection buyer to the protection seller. </t>
    </r>
  </si>
  <si>
    <t>5. CDS typically  have a  notional amount defined in a major currency (USD, EUR, JPY).</t>
  </si>
  <si>
    <t>A CDS, like all swaps has two legs:
1. a 'premium' leg, which is a similar to a fixed leg of an interest rate swap with a set of contractual coupon payments
2. a 'protection' leg, which only pays out if the underlying incurs a 'credit event'.
The party buying credit protection, pays the premium payments and receives (only in the instance of a credit event) the protection payments.
The party selling credit protection, receives the premium payments and pays (only in the instance of a credit event) the protection payments.</t>
  </si>
  <si>
    <t>4. For tenors 6M and greater, the maturity dates are 20 June and 20 December only. Only the 3M CDS has maturities on 20 March and 20 September.</t>
  </si>
  <si>
    <t xml:space="preserve">2. As recovery rate are not observable, they are typically set based on historical averages. </t>
  </si>
  <si>
    <t>End Date</t>
  </si>
  <si>
    <t>Protection Leg PV</t>
  </si>
  <si>
    <t xml:space="preserve">At minimum, specify the Tenor and the field you want the probability-of-defaults to be calculated from. 
The probability-of-defaults can be solved from (i) the upfront fee (ii) the quoted spread or the (iii) par spread.
The bootstrapped curve (the macro must be run first) is compared to this input data in tab 'Results'. </t>
  </si>
  <si>
    <t>Field set per market convention.</t>
  </si>
  <si>
    <t>Field set per formula / model logic - do not adjust without tracing dependents and understanding the impact.</t>
  </si>
  <si>
    <t>Ccy (defines the holidays)</t>
  </si>
  <si>
    <t>Yellow fields are solved/replaced in the CDS bootstrap macro.</t>
  </si>
  <si>
    <t>Difference between solved amounts and user input</t>
  </si>
  <si>
    <t xml:space="preserve">1. Standard CDS valuation methodology is to assume CDS spreads and interest rates are independent. </t>
  </si>
  <si>
    <t>A 'credit event' refers to certain pre-defined events that trigger the payment of compensation to the buyer of protection from the seller. 
The exact events are usually CDS contract or the associated ISDA but they would usually include:
 (i) Bankruptcy - If the reference entity files for bankruptcy protection.
 (ii) Failure to Pay - If the reference entity fails to make scheduled debt payments beyond a specified grace period.
 (iii) Debt Restructuring - If the reference entity restructures its debt obligations in a way that causes a material reduction in the value of the outstanding debt.
 (iv) Repudiation/Moratorium - If the reference entity repudiates or imposes a moratorium on its debt obligations.
 (v) Obligation Acceleration - If one or more of the reference entity's debt obligations become immediately due and payable due to default.
 (vi) Obligation Default - If there is a default event on one or more of the reference entity's debt obligations.</t>
  </si>
  <si>
    <t>CDS Curve Bootstrap Methodology</t>
  </si>
  <si>
    <t xml:space="preserve">The CDS Curve is bootstrapped by solving hazard rates that fit the CDS quotes (the upfront fee, par spread or quoted spread) 
We solve two hazard rates, (1) the piecewise hazard rate and the (2) flat hazard rate. 
1. The piecewise hazard rates are iteratively solved along the term structure (i.e from the shortest tenor quote to the longest tenor quote) so the piecewise hazard rates fits the entire CDS quote term structure. This produces a piecewise hazard rate and CDS probability of default term structure that is arbitrage-free over the term structure. 
2. The flat hazard rates are solved specific to the tenor of the CDS quote. They cannot define an arbitrage-free term structure consistent to the CDS quote term structure. 
The hazard rates are calculated by solving (via the excel goal-seek) the hazard rate that results in the 'premium' leg present value that matches the 'protection' leg present value. </t>
  </si>
  <si>
    <t>Period Hazard Rate</t>
  </si>
  <si>
    <t xml:space="preserve">  </t>
  </si>
  <si>
    <t>Premium Leg PV</t>
  </si>
  <si>
    <t>Premium's PV</t>
  </si>
  <si>
    <t>Upfront PV</t>
  </si>
  <si>
    <t>Coupon Day Count Basis</t>
  </si>
  <si>
    <t>Coupon Day Count Basis Index</t>
  </si>
  <si>
    <t>Date to Years Day Count Basis Index</t>
  </si>
  <si>
    <t>Cpn YearFrac</t>
  </si>
  <si>
    <t>Quoted Upfront PV</t>
  </si>
  <si>
    <t>Good Friday</t>
  </si>
  <si>
    <t>New Year's Day</t>
  </si>
  <si>
    <t>元日</t>
  </si>
  <si>
    <t>Easter Monday</t>
  </si>
  <si>
    <t>May Day</t>
  </si>
  <si>
    <t>成人の日</t>
  </si>
  <si>
    <t>Day after New Year's Day</t>
  </si>
  <si>
    <t>Memorial Day</t>
  </si>
  <si>
    <t>Spring Bank Holiday</t>
  </si>
  <si>
    <t>建国記念の日</t>
  </si>
  <si>
    <t>Waitangi Day</t>
  </si>
  <si>
    <t>Juneteenth National Independence Day</t>
  </si>
  <si>
    <t>Australia Day</t>
  </si>
  <si>
    <t>1 May (Labour Day)</t>
  </si>
  <si>
    <t>天皇誕生日</t>
  </si>
  <si>
    <t>Anzac Day</t>
  </si>
  <si>
    <t>Independence Day</t>
  </si>
  <si>
    <t>Easter Saturday</t>
  </si>
  <si>
    <t>Christmas Day</t>
  </si>
  <si>
    <t>春分の日</t>
  </si>
  <si>
    <t>Anzac Day (observed)</t>
  </si>
  <si>
    <t>Independence Day (observed)</t>
  </si>
  <si>
    <t>Easter Sunday</t>
  </si>
  <si>
    <t>Boxing Day</t>
  </si>
  <si>
    <t>昭和の日</t>
  </si>
  <si>
    <t>Labor Day</t>
  </si>
  <si>
    <t>ANZAC Day</t>
  </si>
  <si>
    <t>Boxing Day (observed)</t>
  </si>
  <si>
    <t>憲法記念日</t>
  </si>
  <si>
    <t>Veterans Day</t>
  </si>
  <si>
    <t>Labour Day</t>
  </si>
  <si>
    <t>みどりの日</t>
  </si>
  <si>
    <t>King's Birthday</t>
  </si>
  <si>
    <t>Thanksgiving</t>
  </si>
  <si>
    <t>Late Summer Bank Holiday</t>
  </si>
  <si>
    <t>こどもの日</t>
  </si>
  <si>
    <t>Matariki</t>
  </si>
  <si>
    <t>海の日</t>
  </si>
  <si>
    <t>Martin Luther King Jr. Day</t>
  </si>
  <si>
    <t>山の日</t>
  </si>
  <si>
    <t>Washington's Birthday</t>
  </si>
  <si>
    <t>敬老の日</t>
  </si>
  <si>
    <t>Columbus Day</t>
  </si>
  <si>
    <t>Bank Holiday</t>
  </si>
  <si>
    <t>秋分の日</t>
  </si>
  <si>
    <t>Lincoln's Birthday</t>
  </si>
  <si>
    <t>スポーツの日</t>
  </si>
  <si>
    <t>Auckland Anniversary Day</t>
  </si>
  <si>
    <t>Susan B. Anthony Day</t>
  </si>
  <si>
    <t>Christmas Day (observed)</t>
  </si>
  <si>
    <t>文化の日</t>
  </si>
  <si>
    <t>Election Day</t>
  </si>
  <si>
    <t>勤労感謝の日</t>
  </si>
  <si>
    <t>振替休日</t>
  </si>
  <si>
    <t>Day after New Year's Day (observed)</t>
  </si>
  <si>
    <t>New Year's Day (observed)</t>
  </si>
  <si>
    <t>Waitangi Day (observed)</t>
  </si>
  <si>
    <t>Juneteenth National Independence Day (observed)</t>
  </si>
  <si>
    <t>Susan B. Anthony Day; Washington's Birthday</t>
  </si>
  <si>
    <t>国民の休日</t>
  </si>
  <si>
    <t>Lincoln's Birthday (observed)</t>
  </si>
  <si>
    <t>Veterans Day (observed)</t>
  </si>
  <si>
    <t>Additional closing day</t>
  </si>
  <si>
    <t>Millennium Celebrations</t>
  </si>
  <si>
    <t>Golden Jubilee of Elizabeth II</t>
  </si>
  <si>
    <t>ANZAC Day; Easter Monday</t>
  </si>
  <si>
    <t>Anzac Day; Easter Monday</t>
  </si>
  <si>
    <t>Wedding of William and Catherine</t>
  </si>
  <si>
    <t>Diamond Jubilee of Elizabeth II</t>
  </si>
  <si>
    <t>Queen's Birthday</t>
  </si>
  <si>
    <t>Australia Day (observed)</t>
  </si>
  <si>
    <t>ANZAC Day (observed)</t>
  </si>
  <si>
    <t>Platinum Jubilee of Elizabeth II</t>
  </si>
  <si>
    <t>State Funeral of Queen Elizabeth II</t>
  </si>
  <si>
    <t>Coronation of Charles III</t>
  </si>
  <si>
    <t>体育の日</t>
  </si>
  <si>
    <t>即位礼正殿の儀</t>
  </si>
  <si>
    <t>結婚の儀</t>
  </si>
  <si>
    <t>National Day of Mourning for Queen Elizabeth II</t>
  </si>
  <si>
    <t>Queen Elizabeth II Memorial Day</t>
  </si>
  <si>
    <t>ANZAC Day; Easter Sunday</t>
  </si>
  <si>
    <t>Anzac Day (observed); Easter Monday</t>
  </si>
  <si>
    <t>天皇の即位の日</t>
  </si>
  <si>
    <t>即位礼正殿の儀が行われる日</t>
  </si>
  <si>
    <t>26 December</t>
  </si>
  <si>
    <t>USD_holiday_name</t>
  </si>
  <si>
    <t>USD_date</t>
  </si>
  <si>
    <t>NZD_holiday_name</t>
  </si>
  <si>
    <t>NZD_date</t>
  </si>
  <si>
    <t>JPY_holiday_name</t>
  </si>
  <si>
    <t>JPY_date</t>
  </si>
  <si>
    <t>GBP_holiday_name</t>
  </si>
  <si>
    <t>GBP_date</t>
  </si>
  <si>
    <t>EUR_holiday_name</t>
  </si>
  <si>
    <t>EUR_date</t>
  </si>
  <si>
    <t>AUD_holiday_name</t>
  </si>
  <si>
    <t>AUD_date</t>
  </si>
  <si>
    <t>Period Hazard</t>
  </si>
  <si>
    <t>Probability of Default Calculations</t>
  </si>
  <si>
    <t>Piecewise Hazard Curve</t>
  </si>
  <si>
    <t>Flat Hazard Curve</t>
  </si>
  <si>
    <t>Valuations</t>
  </si>
  <si>
    <t>Coupon Premium</t>
  </si>
  <si>
    <t>Hazard YearFrac</t>
  </si>
  <si>
    <t>Period End</t>
  </si>
  <si>
    <t>Period Start</t>
  </si>
  <si>
    <t>Schedule Start Date</t>
  </si>
  <si>
    <t>Per user input</t>
  </si>
  <si>
    <t>Applied in DCF</t>
  </si>
  <si>
    <t>Hazard Yrs2Date</t>
  </si>
  <si>
    <t>Cum. Survival Prob.</t>
  </si>
  <si>
    <t>Cum. P.D</t>
  </si>
  <si>
    <t>Clean</t>
  </si>
  <si>
    <t>Clean/Dirty</t>
  </si>
  <si>
    <t>Dirty</t>
  </si>
  <si>
    <t>Includes Accrued Interest</t>
  </si>
  <si>
    <t>Flat HR</t>
  </si>
  <si>
    <t>Piecewise HR</t>
  </si>
  <si>
    <t>Cum. Default Prob.</t>
  </si>
  <si>
    <t>%</t>
  </si>
  <si>
    <t xml:space="preserve">CDS are quoted as:
(i) upfront fee, which is specified as a % of the notional amount
(ii) quoted spread, which is specified in basis or percentage points </t>
  </si>
  <si>
    <t>Field is clean / dirty</t>
  </si>
  <si>
    <t>Using par spread &amp; piecewise HR</t>
  </si>
  <si>
    <t>Using quoted spread &amp; flat HR</t>
  </si>
  <si>
    <t>Differences solved to nil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</si>
</sst>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3" formatCode="_-* #,##0.00_-;\-* #,##0.00_-;_-* &quot;-&quot;??_-;_-@_-"/>
    <numFmt numFmtId="164" formatCode="_(* #,##0.00_);_(* \(#,##0.00\);_(* &quot;-&quot;??_);_(@_)"/>
    <numFmt numFmtId="165" formatCode="#,##0_-;\(#,##0\)_-;\-_-"/>
    <numFmt numFmtId="166" formatCode="0.000%"/>
    <numFmt numFmtId="167" formatCode="d\-mmm\-yyyy_-;;"/>
    <numFmt numFmtId="168" formatCode="_-* #,##0.000_-;\-* #,##0.000_-;_-* &quot;-&quot;??_-;_-@_-"/>
    <numFmt numFmtId="169" formatCode="_-* #,##0.0000_-;\-* #,##0.0000_-;_-* &quot;-&quot;??_-;_-@_-"/>
    <numFmt numFmtId="170" formatCode="0.0%"/>
    <numFmt numFmtId="171" formatCode="_-* #,##0.00000_-;\-* #,##0.00000_-;_-* &quot;-&quot;??_-;_-@_-"/>
    <numFmt numFmtId="172" formatCode="ddd\ d\-mmm\-yy"/>
    <numFmt numFmtId="173" formatCode="d\-mmm\-yy_-;;"/>
    <numFmt numFmtId="174" formatCode="_-* #,##0_-;\-* #,##0_-;_-* &quot;-&quot;??_-;_-@_-"/>
    <numFmt numFmtId="175" formatCode="0.000000%"/>
    <numFmt numFmtId="176" formatCode="d\-mmm\-yyyy_-;;\-\ "/>
    <numFmt numFmtId="177" formatCode="0.00%;\-0.00%;\-;"/>
    <numFmt numFmtId="178" formatCode="d\-mmm\-yy_-;;\-\ "/>
    <numFmt numFmtId="179" formatCode="_-* #,##0.0_-;\-* #,##0.0_-;_-* &quot;-&quot;??_-;_-@_-"/>
    <numFmt numFmtId="180" formatCode="ddd\ d\-mmm\-yyyy_-;;"/>
    <numFmt numFmtId="181" formatCode="0.0000%"/>
    <numFmt numFmtId="182" formatCode="0.00000%"/>
    <numFmt numFmtId="183" formatCode="0.00000000%"/>
    <numFmt numFmtId="184" formatCode="yyyy\-mm\-dd"/>
  </numFmts>
  <fonts count="20" x14ac:knownFonts="1">
    <font>
      <sz val="10"/>
      <color theme="1"/>
      <name val="Arial"/>
      <family val="2"/>
    </font>
    <font>
      <sz val="9"/>
      <color theme="1"/>
      <name val="Arial"/>
      <family val="2"/>
    </font>
    <font>
      <sz val="9"/>
      <color theme="1"/>
      <name val="Arial"/>
      <family val="2"/>
    </font>
    <font>
      <sz val="9"/>
      <color theme="1"/>
      <name val="Arial"/>
      <family val="2"/>
    </font>
    <font>
      <sz val="9"/>
      <color theme="1"/>
      <name val="Arial"/>
      <family val="2"/>
    </font>
    <font>
      <sz val="9"/>
      <color theme="1"/>
      <name val="Arial"/>
      <family val="2"/>
    </font>
    <font>
      <sz val="9"/>
      <color theme="1"/>
      <name val="Arial"/>
      <family val="2"/>
    </font>
    <font>
      <sz val="9"/>
      <color theme="1"/>
      <name val="Arial"/>
      <family val="2"/>
    </font>
    <font>
      <sz val="9"/>
      <color theme="1"/>
      <name val="Arial"/>
      <family val="2"/>
    </font>
    <font>
      <sz val="10"/>
      <color theme="1"/>
      <name val="Arial"/>
      <family val="2"/>
    </font>
    <font>
      <sz val="11"/>
      <color theme="1"/>
      <name val="Calibri"/>
      <family val="2"/>
      <scheme val="minor"/>
    </font>
    <font>
      <sz val="9"/>
      <color indexed="81"/>
      <name val="Tahoma"/>
      <family val="2"/>
    </font>
    <font>
      <sz val="10"/>
      <color rgb="FF000000"/>
      <name val="Arial"/>
      <family val="2"/>
    </font>
    <font>
      <sz val="10"/>
      <name val="Arial"/>
      <family val="2"/>
    </font>
    <font>
      <sz val="9"/>
      <color theme="0"/>
      <name val="Arial"/>
      <family val="2"/>
    </font>
    <font>
      <sz val="9"/>
      <color rgb="FF0070C0"/>
      <name val="Arial"/>
      <family val="2"/>
    </font>
    <font>
      <b/>
      <sz val="9"/>
      <color theme="0"/>
      <name val="Arial"/>
      <family val="2"/>
    </font>
    <font>
      <b/>
      <sz val="9"/>
      <color theme="1"/>
      <name val="Arial"/>
      <family val="2"/>
    </font>
    <font>
      <u/>
      <sz val="9"/>
      <color theme="1"/>
      <name val="Arial"/>
      <family val="2"/>
    </font>
    <font>
      <sz val="9"/>
      <name val="Arial"/>
      <family val="2"/>
    </font>
  </fonts>
  <fills count="8">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1" tint="4.9989318521683403E-2"/>
        <bgColor indexed="64"/>
      </patternFill>
    </fill>
  </fills>
  <borders count="1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43" fontId="9" fillId="0" borderId="0" applyFont="0" applyFill="0" applyBorder="0" applyAlignment="0" applyProtection="0"/>
    <xf numFmtId="9" fontId="9" fillId="0" borderId="0" applyFont="0" applyFill="0" applyBorder="0" applyAlignment="0" applyProtection="0"/>
    <xf numFmtId="0" fontId="10" fillId="0" borderId="0"/>
    <xf numFmtId="164" fontId="13" fillId="0" borderId="0" applyFont="0" applyFill="0" applyBorder="0" applyAlignment="0" applyProtection="0"/>
    <xf numFmtId="9" fontId="13" fillId="0" borderId="0" applyFont="0" applyFill="0" applyBorder="0" applyAlignment="0" applyProtection="0"/>
  </cellStyleXfs>
  <cellXfs count="170">
    <xf numFmtId="0" fontId="0" fillId="0" borderId="0" xfId="0"/>
    <xf numFmtId="0" fontId="14" fillId="2" borderId="3" xfId="0" applyFont="1" applyFill="1" applyBorder="1"/>
    <xf numFmtId="0" fontId="14" fillId="2" borderId="4" xfId="0" applyFont="1" applyFill="1" applyBorder="1"/>
    <xf numFmtId="0" fontId="14" fillId="2" borderId="5" xfId="0" applyFont="1" applyFill="1" applyBorder="1"/>
    <xf numFmtId="169" fontId="14" fillId="2" borderId="0" xfId="1" applyNumberFormat="1" applyFont="1" applyFill="1"/>
    <xf numFmtId="173" fontId="14" fillId="2" borderId="0" xfId="0" applyNumberFormat="1" applyFont="1" applyFill="1"/>
    <xf numFmtId="172" fontId="14" fillId="2" borderId="0" xfId="0" applyNumberFormat="1" applyFont="1" applyFill="1"/>
    <xf numFmtId="165" fontId="14" fillId="2" borderId="0" xfId="0" applyNumberFormat="1" applyFont="1" applyFill="1"/>
    <xf numFmtId="0" fontId="15" fillId="5" borderId="0" xfId="0" applyFont="1" applyFill="1"/>
    <xf numFmtId="0" fontId="14" fillId="2" borderId="6" xfId="0" applyFont="1" applyFill="1" applyBorder="1"/>
    <xf numFmtId="0" fontId="14" fillId="2" borderId="7" xfId="0" applyFont="1" applyFill="1" applyBorder="1"/>
    <xf numFmtId="0" fontId="16" fillId="2" borderId="0" xfId="0" applyFont="1" applyFill="1"/>
    <xf numFmtId="0" fontId="8" fillId="3" borderId="0" xfId="0" applyFont="1" applyFill="1"/>
    <xf numFmtId="0" fontId="8" fillId="3" borderId="0" xfId="0" applyFont="1" applyFill="1" applyAlignment="1">
      <alignment wrapText="1"/>
    </xf>
    <xf numFmtId="0" fontId="18" fillId="3" borderId="0" xfId="0" applyFont="1" applyFill="1" applyAlignment="1">
      <alignment wrapText="1"/>
    </xf>
    <xf numFmtId="0" fontId="8" fillId="3" borderId="0" xfId="0" applyFont="1" applyFill="1" applyAlignment="1">
      <alignment horizontal="left"/>
    </xf>
    <xf numFmtId="167" fontId="19" fillId="3" borderId="2" xfId="0" applyNumberFormat="1" applyFont="1" applyFill="1" applyBorder="1"/>
    <xf numFmtId="167" fontId="15" fillId="5" borderId="2" xfId="0" applyNumberFormat="1" applyFont="1" applyFill="1" applyBorder="1"/>
    <xf numFmtId="170" fontId="15" fillId="5" borderId="2" xfId="0" applyNumberFormat="1" applyFont="1" applyFill="1" applyBorder="1"/>
    <xf numFmtId="167" fontId="8" fillId="4" borderId="2" xfId="0" applyNumberFormat="1" applyFont="1" applyFill="1" applyBorder="1"/>
    <xf numFmtId="165" fontId="15" fillId="5" borderId="2" xfId="0" applyNumberFormat="1" applyFont="1" applyFill="1" applyBorder="1"/>
    <xf numFmtId="0" fontId="8" fillId="4" borderId="2" xfId="0" applyFont="1" applyFill="1" applyBorder="1"/>
    <xf numFmtId="0" fontId="15" fillId="5" borderId="2" xfId="0" applyFont="1" applyFill="1" applyBorder="1"/>
    <xf numFmtId="169" fontId="15" fillId="5" borderId="0" xfId="1" applyNumberFormat="1" applyFont="1" applyFill="1" applyBorder="1"/>
    <xf numFmtId="174" fontId="8" fillId="0" borderId="7" xfId="1" applyNumberFormat="1" applyFont="1" applyFill="1" applyBorder="1" applyAlignment="1">
      <alignment horizontal="center" vertical="center"/>
    </xf>
    <xf numFmtId="175" fontId="8" fillId="3" borderId="0" xfId="0" applyNumberFormat="1" applyFont="1" applyFill="1"/>
    <xf numFmtId="0" fontId="17" fillId="3" borderId="0" xfId="0" applyFont="1" applyFill="1" applyAlignment="1">
      <alignment horizontal="left"/>
    </xf>
    <xf numFmtId="0" fontId="17" fillId="3" borderId="0" xfId="0" applyFont="1" applyFill="1"/>
    <xf numFmtId="167" fontId="15" fillId="5" borderId="0" xfId="0" applyNumberFormat="1" applyFont="1" applyFill="1"/>
    <xf numFmtId="174" fontId="8" fillId="0" borderId="0" xfId="1" applyNumberFormat="1" applyFont="1" applyFill="1" applyBorder="1" applyAlignment="1">
      <alignment horizontal="center" vertical="center"/>
    </xf>
    <xf numFmtId="0" fontId="8" fillId="0" borderId="0" xfId="0" applyFont="1" applyProtection="1">
      <protection locked="0"/>
    </xf>
    <xf numFmtId="43" fontId="15" fillId="5" borderId="0" xfId="1" applyFont="1" applyFill="1" applyBorder="1"/>
    <xf numFmtId="0" fontId="14" fillId="0" borderId="1" xfId="0" applyFont="1" applyBorder="1"/>
    <xf numFmtId="0" fontId="14" fillId="0" borderId="9" xfId="0" applyFont="1" applyBorder="1"/>
    <xf numFmtId="0" fontId="8" fillId="0" borderId="8" xfId="0" applyFont="1" applyBorder="1"/>
    <xf numFmtId="0" fontId="8" fillId="0" borderId="0" xfId="0" applyFont="1"/>
    <xf numFmtId="176" fontId="8" fillId="0" borderId="0" xfId="0" applyNumberFormat="1" applyFont="1"/>
    <xf numFmtId="165" fontId="8" fillId="0" borderId="0" xfId="0" applyNumberFormat="1" applyFont="1"/>
    <xf numFmtId="173" fontId="8" fillId="0" borderId="0" xfId="0" applyNumberFormat="1" applyFont="1"/>
    <xf numFmtId="172" fontId="8" fillId="0" borderId="0" xfId="0" applyNumberFormat="1" applyFont="1"/>
    <xf numFmtId="169" fontId="8" fillId="0" borderId="0" xfId="1" applyNumberFormat="1" applyFont="1"/>
    <xf numFmtId="168" fontId="8" fillId="0" borderId="0" xfId="1" applyNumberFormat="1" applyFont="1"/>
    <xf numFmtId="167" fontId="8" fillId="0" borderId="0" xfId="0" applyNumberFormat="1" applyFont="1"/>
    <xf numFmtId="174" fontId="8" fillId="0" borderId="11" xfId="1" applyNumberFormat="1" applyFont="1" applyFill="1" applyBorder="1" applyAlignment="1">
      <alignment horizontal="center" vertical="center"/>
    </xf>
    <xf numFmtId="0" fontId="8" fillId="0" borderId="12" xfId="0" applyFont="1" applyBorder="1"/>
    <xf numFmtId="43" fontId="8" fillId="0" borderId="0" xfId="1" applyFont="1" applyBorder="1"/>
    <xf numFmtId="165" fontId="8" fillId="0" borderId="6" xfId="0" applyNumberFormat="1" applyFont="1" applyBorder="1"/>
    <xf numFmtId="10" fontId="8" fillId="0" borderId="0" xfId="2" applyNumberFormat="1" applyFont="1" applyBorder="1"/>
    <xf numFmtId="170" fontId="8" fillId="0" borderId="7" xfId="2" applyNumberFormat="1" applyFont="1" applyBorder="1"/>
    <xf numFmtId="176" fontId="8" fillId="0" borderId="0" xfId="1" applyNumberFormat="1" applyFont="1"/>
    <xf numFmtId="165" fontId="8" fillId="0" borderId="0" xfId="2" applyNumberFormat="1" applyFont="1"/>
    <xf numFmtId="165" fontId="8" fillId="0" borderId="0" xfId="1" applyNumberFormat="1" applyFont="1"/>
    <xf numFmtId="172" fontId="8" fillId="0" borderId="0" xfId="1" applyNumberFormat="1" applyFont="1"/>
    <xf numFmtId="171" fontId="8" fillId="0" borderId="0" xfId="1" applyNumberFormat="1" applyFont="1"/>
    <xf numFmtId="0" fontId="8" fillId="0" borderId="6" xfId="0" applyFont="1" applyBorder="1"/>
    <xf numFmtId="176" fontId="8" fillId="0" borderId="1" xfId="0" applyNumberFormat="1" applyFont="1" applyBorder="1"/>
    <xf numFmtId="43" fontId="8" fillId="0" borderId="1" xfId="1" applyFont="1" applyBorder="1"/>
    <xf numFmtId="0" fontId="8" fillId="0" borderId="1" xfId="0" applyFont="1" applyBorder="1"/>
    <xf numFmtId="10" fontId="8" fillId="0" borderId="1" xfId="2" applyNumberFormat="1" applyFont="1" applyBorder="1"/>
    <xf numFmtId="170" fontId="8" fillId="0" borderId="9" xfId="2" applyNumberFormat="1" applyFont="1" applyBorder="1"/>
    <xf numFmtId="0" fontId="8" fillId="0" borderId="5" xfId="0" applyFont="1" applyBorder="1"/>
    <xf numFmtId="174" fontId="8" fillId="0" borderId="10" xfId="1" applyNumberFormat="1" applyFont="1" applyFill="1" applyBorder="1" applyAlignment="1">
      <alignment horizontal="center" vertical="center"/>
    </xf>
    <xf numFmtId="174" fontId="8" fillId="0" borderId="12" xfId="1" applyNumberFormat="1" applyFont="1" applyFill="1" applyBorder="1" applyAlignment="1">
      <alignment horizontal="center" vertical="center"/>
    </xf>
    <xf numFmtId="0" fontId="8" fillId="0" borderId="7" xfId="0" applyFont="1" applyBorder="1"/>
    <xf numFmtId="178" fontId="8" fillId="0" borderId="9" xfId="0" applyNumberFormat="1" applyFont="1" applyBorder="1"/>
    <xf numFmtId="165" fontId="8" fillId="0" borderId="12" xfId="0" applyNumberFormat="1" applyFont="1" applyBorder="1"/>
    <xf numFmtId="178" fontId="8" fillId="0" borderId="5" xfId="0" applyNumberFormat="1" applyFont="1" applyBorder="1"/>
    <xf numFmtId="167" fontId="8" fillId="0" borderId="7" xfId="0" applyNumberFormat="1" applyFont="1" applyBorder="1"/>
    <xf numFmtId="165" fontId="8" fillId="0" borderId="7" xfId="0" applyNumberFormat="1" applyFont="1" applyBorder="1"/>
    <xf numFmtId="0" fontId="8" fillId="0" borderId="9" xfId="0" applyFont="1" applyBorder="1"/>
    <xf numFmtId="10" fontId="8" fillId="3" borderId="0" xfId="2" applyNumberFormat="1" applyFont="1" applyFill="1"/>
    <xf numFmtId="0" fontId="14" fillId="2" borderId="0" xfId="0" applyFont="1" applyFill="1"/>
    <xf numFmtId="0" fontId="7" fillId="3" borderId="0" xfId="0" applyFont="1" applyFill="1" applyAlignment="1">
      <alignment wrapText="1"/>
    </xf>
    <xf numFmtId="0" fontId="7" fillId="0" borderId="0" xfId="0" applyFont="1"/>
    <xf numFmtId="167" fontId="8" fillId="3" borderId="0" xfId="0" applyNumberFormat="1" applyFont="1" applyFill="1"/>
    <xf numFmtId="0" fontId="8" fillId="5" borderId="2" xfId="0" applyFont="1" applyFill="1" applyBorder="1"/>
    <xf numFmtId="167" fontId="8" fillId="3" borderId="2" xfId="0" applyNumberFormat="1" applyFont="1" applyFill="1" applyBorder="1"/>
    <xf numFmtId="170" fontId="8" fillId="3" borderId="2" xfId="2" applyNumberFormat="1" applyFont="1" applyFill="1" applyBorder="1"/>
    <xf numFmtId="173" fontId="8" fillId="3" borderId="0" xfId="0" applyNumberFormat="1" applyFont="1" applyFill="1"/>
    <xf numFmtId="167" fontId="19" fillId="4" borderId="0" xfId="0" applyNumberFormat="1" applyFont="1" applyFill="1"/>
    <xf numFmtId="169" fontId="19" fillId="4" borderId="0" xfId="1" applyNumberFormat="1" applyFont="1" applyFill="1"/>
    <xf numFmtId="180" fontId="15" fillId="5" borderId="2" xfId="0" applyNumberFormat="1" applyFont="1" applyFill="1" applyBorder="1"/>
    <xf numFmtId="0" fontId="6" fillId="3" borderId="0" xfId="0" applyFont="1" applyFill="1"/>
    <xf numFmtId="181" fontId="8" fillId="0" borderId="0" xfId="2" applyNumberFormat="1" applyFont="1"/>
    <xf numFmtId="182" fontId="8" fillId="0" borderId="0" xfId="2" applyNumberFormat="1" applyFont="1"/>
    <xf numFmtId="173" fontId="8" fillId="0" borderId="0" xfId="2" applyNumberFormat="1" applyFont="1"/>
    <xf numFmtId="0" fontId="5" fillId="0" borderId="0" xfId="0" applyFont="1"/>
    <xf numFmtId="167" fontId="5" fillId="0" borderId="0" xfId="0" applyNumberFormat="1" applyFont="1"/>
    <xf numFmtId="175" fontId="15" fillId="5" borderId="6" xfId="2" applyNumberFormat="1" applyFont="1" applyFill="1" applyBorder="1"/>
    <xf numFmtId="175" fontId="15" fillId="5" borderId="7" xfId="2" applyNumberFormat="1" applyFont="1" applyFill="1" applyBorder="1"/>
    <xf numFmtId="175" fontId="15" fillId="5" borderId="8" xfId="2" applyNumberFormat="1" applyFont="1" applyFill="1" applyBorder="1"/>
    <xf numFmtId="175" fontId="15" fillId="5" borderId="9" xfId="2" applyNumberFormat="1" applyFont="1" applyFill="1" applyBorder="1"/>
    <xf numFmtId="181" fontId="15" fillId="5" borderId="0" xfId="2" applyNumberFormat="1" applyFont="1" applyFill="1" applyBorder="1"/>
    <xf numFmtId="181" fontId="15" fillId="5" borderId="1" xfId="2" applyNumberFormat="1" applyFont="1" applyFill="1" applyBorder="1"/>
    <xf numFmtId="168" fontId="14" fillId="2" borderId="0" xfId="1" applyNumberFormat="1" applyFont="1" applyFill="1"/>
    <xf numFmtId="171" fontId="14" fillId="2" borderId="0" xfId="1" applyNumberFormat="1" applyFont="1" applyFill="1"/>
    <xf numFmtId="181" fontId="8" fillId="0" borderId="0" xfId="2" applyNumberFormat="1" applyFont="1" applyBorder="1"/>
    <xf numFmtId="181" fontId="8" fillId="0" borderId="1" xfId="2" applyNumberFormat="1" applyFont="1" applyBorder="1"/>
    <xf numFmtId="0" fontId="9" fillId="0" borderId="0" xfId="3" applyFont="1"/>
    <xf numFmtId="184" fontId="9" fillId="0" borderId="0" xfId="3" applyNumberFormat="1" applyFont="1"/>
    <xf numFmtId="173" fontId="9" fillId="0" borderId="0" xfId="3" applyNumberFormat="1" applyFont="1"/>
    <xf numFmtId="183" fontId="8" fillId="0" borderId="0" xfId="2" applyNumberFormat="1" applyFont="1"/>
    <xf numFmtId="169" fontId="8" fillId="0" borderId="0" xfId="1" applyNumberFormat="1" applyFont="1" applyFill="1"/>
    <xf numFmtId="168" fontId="8" fillId="0" borderId="0" xfId="1" applyNumberFormat="1" applyFont="1" applyFill="1"/>
    <xf numFmtId="171" fontId="8" fillId="0" borderId="0" xfId="1" applyNumberFormat="1" applyFont="1" applyFill="1"/>
    <xf numFmtId="183" fontId="8" fillId="0" borderId="0" xfId="2" applyNumberFormat="1" applyFont="1" applyFill="1"/>
    <xf numFmtId="181" fontId="8" fillId="0" borderId="0" xfId="2" applyNumberFormat="1" applyFont="1" applyFill="1"/>
    <xf numFmtId="181" fontId="8" fillId="0" borderId="0" xfId="2" applyNumberFormat="1" applyFont="1" applyFill="1" applyBorder="1"/>
    <xf numFmtId="0" fontId="4" fillId="0" borderId="0" xfId="0" applyFont="1"/>
    <xf numFmtId="166" fontId="19" fillId="0" borderId="10" xfId="2" applyNumberFormat="1" applyFont="1" applyFill="1" applyBorder="1" applyAlignment="1">
      <alignment horizontal="centerContinuous"/>
    </xf>
    <xf numFmtId="166" fontId="19" fillId="0" borderId="11" xfId="2" applyNumberFormat="1" applyFont="1" applyFill="1" applyBorder="1" applyAlignment="1">
      <alignment horizontal="centerContinuous"/>
    </xf>
    <xf numFmtId="166" fontId="19" fillId="0" borderId="12" xfId="2" applyNumberFormat="1" applyFont="1" applyFill="1" applyBorder="1" applyAlignment="1">
      <alignment horizontal="centerContinuous"/>
    </xf>
    <xf numFmtId="166" fontId="19" fillId="0" borderId="2" xfId="2" applyNumberFormat="1" applyFont="1" applyFill="1" applyBorder="1" applyAlignment="1">
      <alignment horizontal="centerContinuous"/>
    </xf>
    <xf numFmtId="183" fontId="14" fillId="2" borderId="8" xfId="2" applyNumberFormat="1" applyFont="1" applyFill="1" applyBorder="1"/>
    <xf numFmtId="181" fontId="14" fillId="2" borderId="1" xfId="2" applyNumberFormat="1" applyFont="1" applyFill="1" applyBorder="1"/>
    <xf numFmtId="181" fontId="14" fillId="2" borderId="2" xfId="2" applyNumberFormat="1" applyFont="1" applyFill="1" applyBorder="1"/>
    <xf numFmtId="165" fontId="14" fillId="2" borderId="1" xfId="0" applyNumberFormat="1" applyFont="1" applyFill="1" applyBorder="1"/>
    <xf numFmtId="165" fontId="14" fillId="2" borderId="1" xfId="1" applyNumberFormat="1" applyFont="1" applyFill="1" applyBorder="1"/>
    <xf numFmtId="165" fontId="14" fillId="2" borderId="9" xfId="0" applyNumberFormat="1" applyFont="1" applyFill="1" applyBorder="1"/>
    <xf numFmtId="181" fontId="14" fillId="2" borderId="8" xfId="2" applyNumberFormat="1" applyFont="1" applyFill="1" applyBorder="1"/>
    <xf numFmtId="165" fontId="19" fillId="0" borderId="2" xfId="2" applyNumberFormat="1" applyFont="1" applyFill="1" applyBorder="1" applyAlignment="1">
      <alignment horizontal="centerContinuous"/>
    </xf>
    <xf numFmtId="165" fontId="19" fillId="0" borderId="12" xfId="2" applyNumberFormat="1" applyFont="1" applyFill="1" applyBorder="1" applyAlignment="1">
      <alignment horizontal="centerContinuous"/>
    </xf>
    <xf numFmtId="165" fontId="19" fillId="0" borderId="10" xfId="2" applyNumberFormat="1" applyFont="1" applyFill="1" applyBorder="1" applyAlignment="1">
      <alignment horizontal="centerContinuous"/>
    </xf>
    <xf numFmtId="0" fontId="17" fillId="0" borderId="0" xfId="0" applyFont="1"/>
    <xf numFmtId="0" fontId="4" fillId="0" borderId="6" xfId="0" applyFont="1" applyBorder="1"/>
    <xf numFmtId="167" fontId="4" fillId="0" borderId="8" xfId="0" applyNumberFormat="1" applyFont="1" applyBorder="1"/>
    <xf numFmtId="0" fontId="17" fillId="0" borderId="10" xfId="0" applyFont="1" applyBorder="1"/>
    <xf numFmtId="167" fontId="4" fillId="0" borderId="6" xfId="0" applyNumberFormat="1" applyFont="1" applyBorder="1"/>
    <xf numFmtId="175" fontId="8" fillId="0" borderId="7" xfId="2" applyNumberFormat="1" applyFont="1" applyBorder="1"/>
    <xf numFmtId="175" fontId="8" fillId="0" borderId="9" xfId="2" applyNumberFormat="1" applyFont="1" applyBorder="1"/>
    <xf numFmtId="0" fontId="8" fillId="6" borderId="0" xfId="0" applyFont="1" applyFill="1"/>
    <xf numFmtId="165" fontId="8" fillId="6" borderId="0" xfId="0" applyNumberFormat="1" applyFont="1" applyFill="1"/>
    <xf numFmtId="176" fontId="8" fillId="6" borderId="0" xfId="0" applyNumberFormat="1" applyFont="1" applyFill="1"/>
    <xf numFmtId="43" fontId="8" fillId="6" borderId="0" xfId="1" applyFont="1" applyFill="1" applyBorder="1"/>
    <xf numFmtId="177" fontId="8" fillId="6" borderId="0" xfId="2" applyNumberFormat="1" applyFont="1" applyFill="1" applyBorder="1"/>
    <xf numFmtId="179" fontId="8" fillId="6" borderId="0" xfId="1" applyNumberFormat="1" applyFont="1" applyFill="1" applyBorder="1"/>
    <xf numFmtId="0" fontId="14" fillId="7" borderId="3" xfId="0" applyFont="1" applyFill="1" applyBorder="1"/>
    <xf numFmtId="176" fontId="14" fillId="7" borderId="3" xfId="0" applyNumberFormat="1" applyFont="1" applyFill="1" applyBorder="1"/>
    <xf numFmtId="0" fontId="14" fillId="7" borderId="4" xfId="0" applyFont="1" applyFill="1" applyBorder="1"/>
    <xf numFmtId="0" fontId="14" fillId="7" borderId="5" xfId="0" applyFont="1" applyFill="1" applyBorder="1"/>
    <xf numFmtId="0" fontId="3" fillId="0" borderId="6" xfId="0" applyFont="1" applyBorder="1"/>
    <xf numFmtId="167" fontId="3" fillId="0" borderId="8" xfId="0" applyNumberFormat="1" applyFont="1" applyBorder="1"/>
    <xf numFmtId="0" fontId="3" fillId="0" borderId="12" xfId="0" applyFont="1" applyBorder="1"/>
    <xf numFmtId="0" fontId="3" fillId="3" borderId="0" xfId="0" applyFont="1" applyFill="1" applyAlignment="1">
      <alignment wrapText="1"/>
    </xf>
    <xf numFmtId="0" fontId="3" fillId="0" borderId="0" xfId="0" applyFont="1"/>
    <xf numFmtId="165" fontId="8" fillId="0" borderId="0" xfId="1" applyNumberFormat="1" applyFont="1" applyBorder="1"/>
    <xf numFmtId="0" fontId="2" fillId="0" borderId="0" xfId="0" applyFont="1"/>
    <xf numFmtId="0" fontId="7" fillId="3" borderId="2" xfId="0" applyFont="1" applyFill="1" applyBorder="1" applyAlignment="1">
      <alignment horizontal="left"/>
    </xf>
    <xf numFmtId="0" fontId="8" fillId="3" borderId="2" xfId="0" applyFont="1" applyFill="1" applyBorder="1" applyAlignment="1">
      <alignment horizontal="left"/>
    </xf>
    <xf numFmtId="0" fontId="7" fillId="3" borderId="0" xfId="0" applyFont="1" applyFill="1" applyAlignment="1">
      <alignment horizontal="left" vertical="top" wrapText="1"/>
    </xf>
    <xf numFmtId="0" fontId="8" fillId="0" borderId="6" xfId="0" applyFont="1" applyBorder="1" applyAlignment="1">
      <alignment horizontal="left"/>
    </xf>
    <xf numFmtId="0" fontId="8" fillId="0" borderId="0" xfId="0" applyFont="1" applyAlignment="1">
      <alignment horizontal="left"/>
    </xf>
    <xf numFmtId="0" fontId="8" fillId="0" borderId="8" xfId="0" applyFont="1" applyBorder="1" applyAlignment="1">
      <alignment horizontal="left"/>
    </xf>
    <xf numFmtId="0" fontId="8" fillId="0" borderId="1" xfId="0" applyFont="1" applyBorder="1" applyAlignment="1">
      <alignment horizontal="left"/>
    </xf>
    <xf numFmtId="0" fontId="8" fillId="0" borderId="10"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8" fillId="0" borderId="3" xfId="0" applyFont="1" applyBorder="1" applyAlignment="1">
      <alignment horizontal="left"/>
    </xf>
    <xf numFmtId="0" fontId="8" fillId="0" borderId="4" xfId="0" applyFont="1" applyBorder="1" applyAlignment="1">
      <alignment horizontal="left"/>
    </xf>
    <xf numFmtId="0" fontId="5" fillId="0" borderId="8" xfId="0" applyFont="1" applyBorder="1" applyAlignment="1">
      <alignment horizontal="left"/>
    </xf>
    <xf numFmtId="0" fontId="8" fillId="0" borderId="10" xfId="0" applyFont="1" applyBorder="1" applyAlignment="1">
      <alignment horizontal="left"/>
    </xf>
    <xf numFmtId="0" fontId="8" fillId="0" borderId="11" xfId="0" applyFont="1" applyBorder="1" applyAlignment="1">
      <alignment horizontal="left"/>
    </xf>
    <xf numFmtId="0" fontId="5" fillId="0" borderId="6" xfId="0" applyFont="1" applyBorder="1" applyAlignment="1">
      <alignment horizontal="left"/>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8" fillId="6" borderId="10" xfId="0" applyFont="1" applyFill="1" applyBorder="1" applyAlignment="1">
      <alignment horizontal="center"/>
    </xf>
    <xf numFmtId="0" fontId="8" fillId="6" borderId="11" xfId="0" applyFont="1" applyFill="1" applyBorder="1" applyAlignment="1">
      <alignment horizontal="center"/>
    </xf>
    <xf numFmtId="0" fontId="8" fillId="6" borderId="12" xfId="0" applyFont="1" applyFill="1" applyBorder="1" applyAlignment="1">
      <alignment horizontal="center"/>
    </xf>
    <xf numFmtId="0" fontId="7" fillId="6" borderId="10" xfId="0" applyFont="1" applyFill="1" applyBorder="1" applyAlignment="1">
      <alignment horizontal="center"/>
    </xf>
  </cellXfs>
  <cellStyles count="6">
    <cellStyle name="Comma" xfId="1" builtinId="3"/>
    <cellStyle name="Comma 2 2" xfId="4" xr:uid="{26F01583-D211-4334-9197-28D3AA279BAE}"/>
    <cellStyle name="Normal" xfId="0" builtinId="0"/>
    <cellStyle name="Normal 2" xfId="3" xr:uid="{43E217F6-20B1-4BA8-83C6-903C9E66CE2C}"/>
    <cellStyle name="Percent" xfId="2" builtinId="5"/>
    <cellStyle name="Percent 2" xfId="5" xr:uid="{5FED82BF-BFAA-4FE7-BAE3-1B8B15117BBB}"/>
  </cellStyles>
  <dxfs count="69">
    <dxf>
      <font>
        <b val="0"/>
        <i val="0"/>
        <strike val="0"/>
        <condense val="0"/>
        <extend val="0"/>
        <outline val="0"/>
        <shadow val="0"/>
        <u val="none"/>
        <vertAlign val="baseline"/>
        <sz val="9"/>
        <color theme="1"/>
        <name val="Arial"/>
        <family val="2"/>
        <scheme val="none"/>
      </font>
      <numFmt numFmtId="174" formatCode="_-* #,##0_-;\-* #,##0_-;_-*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67" formatCode="d\-mmm\-yyyy_-;;"/>
    </dxf>
    <dxf>
      <font>
        <b val="0"/>
        <i val="0"/>
        <strike val="0"/>
        <condense val="0"/>
        <extend val="0"/>
        <outline val="0"/>
        <shadow val="0"/>
        <u val="none"/>
        <vertAlign val="baseline"/>
        <sz val="9"/>
        <color theme="1"/>
        <name val="Arial"/>
        <family val="2"/>
        <scheme val="none"/>
      </font>
      <numFmt numFmtId="167" formatCode="d\-mmm\-yyyy_-;;"/>
    </dxf>
    <dxf>
      <font>
        <b val="0"/>
        <i val="0"/>
        <strike val="0"/>
        <condense val="0"/>
        <extend val="0"/>
        <outline val="0"/>
        <shadow val="0"/>
        <u val="none"/>
        <vertAlign val="baseline"/>
        <sz val="9"/>
        <color theme="1"/>
        <name val="Arial"/>
        <family val="2"/>
        <scheme val="none"/>
      </font>
      <numFmt numFmtId="0" formatCode="General"/>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9"/>
        <name val="Arial"/>
        <family val="2"/>
        <scheme val="none"/>
      </font>
    </dxf>
    <dxf>
      <border outline="0">
        <bottom style="thin">
          <color indexed="64"/>
        </bottom>
      </border>
    </dxf>
    <dxf>
      <font>
        <b val="0"/>
        <i val="0"/>
        <strike val="0"/>
        <condense val="0"/>
        <extend val="0"/>
        <outline val="0"/>
        <shadow val="0"/>
        <u val="none"/>
        <vertAlign val="baseline"/>
        <sz val="9"/>
        <color theme="0"/>
        <name val="Arial"/>
        <family val="2"/>
        <scheme val="none"/>
      </font>
      <fill>
        <patternFill patternType="none">
          <fgColor indexed="64"/>
          <bgColor auto="1"/>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9"/>
        <color theme="1"/>
        <name val="Arial"/>
        <family val="2"/>
        <scheme val="none"/>
      </font>
      <numFmt numFmtId="174" formatCode="_-* #,##0_-;\-* #,##0_-;_-*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numFmt numFmtId="167" formatCode="d\-mmm\-yyyy_-;;"/>
      <fill>
        <patternFill patternType="solid">
          <fgColor indexed="64"/>
          <bgColor theme="0"/>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protection locked="0" hidden="0"/>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67" formatCode="d\-mmm\-yyyy_-;;"/>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protection locked="0" hidden="0"/>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327660</xdr:colOff>
          <xdr:row>11</xdr:row>
          <xdr:rowOff>0</xdr:rowOff>
        </xdr:from>
        <xdr:to>
          <xdr:col>5</xdr:col>
          <xdr:colOff>914400</xdr:colOff>
          <xdr:row>13</xdr:row>
          <xdr:rowOff>152400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NZ" sz="1000" b="0" i="0" u="none" strike="noStrike" baseline="0">
                  <a:solidFill>
                    <a:srgbClr val="000000"/>
                  </a:solidFill>
                  <a:latin typeface="Arial"/>
                  <a:cs typeface="Arial"/>
                </a:rPr>
                <a:t>Run Macro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571500</xdr:colOff>
          <xdr:row>23</xdr:row>
          <xdr:rowOff>99060</xdr:rowOff>
        </xdr:from>
        <xdr:to>
          <xdr:col>31</xdr:col>
          <xdr:colOff>708660</xdr:colOff>
          <xdr:row>25</xdr:row>
          <xdr:rowOff>121920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NZ" sz="1000" b="0" i="0" u="none" strike="noStrike" baseline="0">
                  <a:solidFill>
                    <a:srgbClr val="000000"/>
                  </a:solidFill>
                  <a:latin typeface="Arial"/>
                  <a:cs typeface="Arial"/>
                </a:rPr>
                <a:t>Run Hazard Curve Bootstrap</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89D8DD-049E-40CB-A8A3-1CCBBC63625C}" name="RF_DF_Input" displayName="RF_DF_Input" ref="B37:C73" totalsRowShown="0" headerRowDxfId="62">
  <autoFilter ref="B37:C73" xr:uid="{CD89D8DD-049E-40CB-A8A3-1CCBBC63625C}"/>
  <tableColumns count="2">
    <tableColumn id="1" xr3:uid="{7FB4ADDE-D7B1-461C-9A52-DE3711E3C499}" name="Maturity Date" dataDxfId="61"/>
    <tableColumn id="2" xr3:uid="{DA5DA829-9182-4202-BE09-C5EE42A03C14}" name="Risk Free Discount Factor" dataDxfId="6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2F3DC-CD1A-40D2-AA41-D27135D388B3}" name="CDS_Curve_Input" displayName="CDS_Curve_Input" ref="B22:H34" totalsRowShown="0" headerRowDxfId="59" dataDxfId="58">
  <autoFilter ref="B22:H34" xr:uid="{8CA2F3DC-CD1A-40D2-AA41-D27135D388B3}"/>
  <tableColumns count="7">
    <tableColumn id="1" xr3:uid="{87046571-09F4-4194-A196-DFAF10F7EB03}" name="Maturity Date" dataDxfId="57">
      <calculatedColumnFormula>IF(CDS_Curve_Input[[#This Row],[Tenor]]="","",_xlfn.XLOOKUP(CDS_Curve_Input[[#This Row],[Tenor]],Calculations!$C$5:$C$24,Calculations!$G$5:$G$24))</calculatedColumnFormula>
    </tableColumn>
    <tableColumn id="2" xr3:uid="{C8FCB5EE-5476-4CDE-8802-896738E4D243}" name="Tenor" dataDxfId="56"/>
    <tableColumn id="3" xr3:uid="{E93E3BDB-F1BA-4FFF-B397-53CEAAA7DA06}" name="Par Spread (bps)" dataDxfId="55"/>
    <tableColumn id="4" xr3:uid="{9A25A1FC-A783-46CA-AD0E-82363A339B6C}" name="Quoted Upfront (%)" dataDxfId="54"/>
    <tableColumn id="5" xr3:uid="{31037656-5111-42D6-A077-C4601BA1BD01}" name="Quoted Spread (bps)" dataDxfId="53"/>
    <tableColumn id="6" xr3:uid="{5C4E90FF-FCF3-4406-BB44-2C2B45B0E666}" name="Cumulative Default Probability (%)" dataDxfId="52"/>
    <tableColumn id="7" xr3:uid="{51B838DC-0A31-4E9E-A29F-D795B8F471F1}" name="Valid User Input" dataDxfId="51" dataCellStyle="Comma">
      <calculatedColumnFormula>AND(AND(CDS_Curve_Input[[#This Row],[Tenor]]&lt;&gt;"",CDS_Curve_Input[[#This Row],[Tenor]]&lt;&gt;0),OR(AND(CDS_Curve_Input[[#This Row],[Quoted Upfront (%)]]&lt;&gt;"",CDS_Curve_Input[[#This Row],[Quoted Upfront (%)]]&lt;&gt;0),AND(CDS_Curve_Input[[#This Row],[Quoted Spread (bps)]]&lt;&gt;"",CDS_Curve_Input[[#This Row],[Quoted Spread (bps)]]&lt;&gt;0)))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E578EBC-B587-466E-BA71-F0404C476093}" name="CDS_Tenor_Definitions" displayName="CDS_Tenor_Definitions" ref="B4:I24" totalsRowShown="0" headerRowDxfId="11" dataDxfId="9" headerRowBorderDxfId="10" tableBorderDxfId="8">
  <autoFilter ref="B4:I24" xr:uid="{FE578EBC-B587-466E-BA71-F0404C476093}"/>
  <tableColumns count="8">
    <tableColumn id="1" xr3:uid="{17C286E3-6DCD-490D-B32F-EC5266EA5DE4}" name="Index" dataDxfId="7"/>
    <tableColumn id="2" xr3:uid="{088EDAF0-9BBC-4886-A77F-A26625EE8A15}" name="Tenor" dataDxfId="6"/>
    <tableColumn id="3" xr3:uid="{BDF93FB2-3A28-47F1-86DD-F81DD5D6EB64}" name="Year offset" dataDxfId="5"/>
    <tableColumn id="4" xr3:uid="{D2F039B2-E33E-41B8-978E-D1B42EFC78E8}" name="Month offset" dataDxfId="4">
      <calculatedColumnFormula>CDS_Tenor_Definitions[[#This Row],[Year offset]]*12</calculatedColumnFormula>
    </tableColumn>
    <tableColumn id="5" xr3:uid="{DDB241E0-BF36-462E-83AB-D718AEE8A9E1}" name="Effective Date" dataDxfId="3">
      <calculatedColumnFormula>$F$32</calculatedColumnFormula>
    </tableColumn>
    <tableColumn id="6" xr3:uid="{57B2F2A0-D592-4894-BC91-E0C24A18AA54}" name="Maturity Date" dataDxfId="2">
      <calculatedColumnFormula>EDATE($F$39,CDS_Tenor_Definitions[[#This Row],[Month offset]]-12)</calculatedColumnFormula>
    </tableColumn>
    <tableColumn id="7" xr3:uid="{D7601514-2C1C-42AA-975F-DCF7746A2D89}" name="Years to maturity" dataDxfId="1" dataCellStyle="Comma">
      <calculatedColumnFormula>YEARFRAC(ValueDate,G5,1)</calculatedColumnFormula>
    </tableColumn>
    <tableColumn id="8" xr3:uid="{3A1D4B5B-92E8-46EA-88A4-FB5072A8F9AB}" name="Valid User Input" dataDxfId="0" dataCellStyle="Comma">
      <calculatedColumnFormula>_xlfn.XLOOKUP(CDS_Tenor_Definitions[[#This Row],[Tenor]],UserInput!$C$23:$C$34,UserInput!$H$23:$H$34,FALSE)</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2FB6B-4AFD-4144-931A-3CF946BC8531}">
  <sheetPr codeName="Sheet8"/>
  <dimension ref="A1:B33"/>
  <sheetViews>
    <sheetView workbookViewId="0"/>
  </sheetViews>
  <sheetFormatPr defaultColWidth="9.109375" defaultRowHeight="11.4" x14ac:dyDescent="0.2"/>
  <cols>
    <col min="1" max="1" width="9.109375" style="12"/>
    <col min="2" max="2" width="142.6640625" style="12" bestFit="1" customWidth="1"/>
    <col min="3" max="16384" width="9.109375" style="12"/>
  </cols>
  <sheetData>
    <row r="1" spans="1:2" x14ac:dyDescent="0.2">
      <c r="A1" s="82" t="s">
        <v>150</v>
      </c>
    </row>
    <row r="2" spans="1:2" ht="12" x14ac:dyDescent="0.25">
      <c r="B2" s="11" t="s">
        <v>84</v>
      </c>
    </row>
    <row r="3" spans="1:2" x14ac:dyDescent="0.2">
      <c r="B3" s="12" t="s">
        <v>87</v>
      </c>
    </row>
    <row r="4" spans="1:2" x14ac:dyDescent="0.2">
      <c r="B4" s="12" t="s">
        <v>88</v>
      </c>
    </row>
    <row r="5" spans="1:2" ht="68.400000000000006" x14ac:dyDescent="0.2">
      <c r="B5" s="72" t="s">
        <v>134</v>
      </c>
    </row>
    <row r="6" spans="1:2" ht="91.2" x14ac:dyDescent="0.2">
      <c r="B6" s="72" t="s">
        <v>146</v>
      </c>
    </row>
    <row r="8" spans="1:2" ht="12" x14ac:dyDescent="0.25">
      <c r="B8" s="11" t="s">
        <v>89</v>
      </c>
    </row>
    <row r="9" spans="1:2" x14ac:dyDescent="0.2">
      <c r="B9" s="12" t="s">
        <v>85</v>
      </c>
    </row>
    <row r="10" spans="1:2" x14ac:dyDescent="0.2">
      <c r="B10" s="12" t="s">
        <v>92</v>
      </c>
    </row>
    <row r="11" spans="1:2" x14ac:dyDescent="0.2">
      <c r="B11" s="12" t="s">
        <v>93</v>
      </c>
    </row>
    <row r="12" spans="1:2" x14ac:dyDescent="0.2">
      <c r="B12" s="12" t="s">
        <v>78</v>
      </c>
    </row>
    <row r="13" spans="1:2" x14ac:dyDescent="0.2">
      <c r="B13" s="72" t="s">
        <v>135</v>
      </c>
    </row>
    <row r="14" spans="1:2" x14ac:dyDescent="0.2">
      <c r="B14" s="13" t="s">
        <v>133</v>
      </c>
    </row>
    <row r="16" spans="1:2" ht="12" x14ac:dyDescent="0.25">
      <c r="B16" s="11" t="s">
        <v>86</v>
      </c>
    </row>
    <row r="17" spans="2:2" x14ac:dyDescent="0.2">
      <c r="B17" s="72" t="s">
        <v>145</v>
      </c>
    </row>
    <row r="18" spans="2:2" x14ac:dyDescent="0.2">
      <c r="B18" s="72" t="s">
        <v>136</v>
      </c>
    </row>
    <row r="19" spans="2:2" x14ac:dyDescent="0.2">
      <c r="B19" s="12" t="s">
        <v>90</v>
      </c>
    </row>
    <row r="20" spans="2:2" x14ac:dyDescent="0.2">
      <c r="B20" s="12" t="s">
        <v>91</v>
      </c>
    </row>
    <row r="22" spans="2:2" ht="12" x14ac:dyDescent="0.25">
      <c r="B22" s="11" t="s">
        <v>79</v>
      </c>
    </row>
    <row r="23" spans="2:2" ht="34.200000000000003" x14ac:dyDescent="0.2">
      <c r="B23" s="143" t="s">
        <v>279</v>
      </c>
    </row>
    <row r="24" spans="2:2" x14ac:dyDescent="0.2">
      <c r="B24" s="143"/>
    </row>
    <row r="25" spans="2:2" ht="57" x14ac:dyDescent="0.2">
      <c r="B25" s="13" t="s">
        <v>132</v>
      </c>
    </row>
    <row r="26" spans="2:2" x14ac:dyDescent="0.2">
      <c r="B26" s="14" t="s">
        <v>94</v>
      </c>
    </row>
    <row r="27" spans="2:2" x14ac:dyDescent="0.2">
      <c r="B27" s="13" t="s">
        <v>95</v>
      </c>
    </row>
    <row r="28" spans="2:2" x14ac:dyDescent="0.2">
      <c r="B28" s="13"/>
    </row>
    <row r="29" spans="2:2" ht="12" x14ac:dyDescent="0.25">
      <c r="B29" s="11" t="s">
        <v>147</v>
      </c>
    </row>
    <row r="30" spans="2:2" ht="91.2" x14ac:dyDescent="0.2">
      <c r="B30" s="72" t="s">
        <v>148</v>
      </c>
    </row>
    <row r="31" spans="2:2" x14ac:dyDescent="0.2">
      <c r="B31" s="14"/>
    </row>
    <row r="32" spans="2:2" ht="12" x14ac:dyDescent="0.25">
      <c r="B32" s="11" t="s">
        <v>76</v>
      </c>
    </row>
    <row r="33" spans="2:2" x14ac:dyDescent="0.2">
      <c r="B33" s="12" t="s">
        <v>77</v>
      </c>
    </row>
  </sheetData>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05B06-5956-4C55-8EB4-3238CE4BF22D}">
  <sheetPr codeName="Sheet3"/>
  <dimension ref="B2:I97"/>
  <sheetViews>
    <sheetView workbookViewId="0"/>
  </sheetViews>
  <sheetFormatPr defaultColWidth="9.109375" defaultRowHeight="11.4" x14ac:dyDescent="0.2"/>
  <cols>
    <col min="1" max="1" width="9.109375" style="12"/>
    <col min="2" max="3" width="24.33203125" style="12" bestFit="1" customWidth="1"/>
    <col min="4" max="4" width="17" style="12" bestFit="1" customWidth="1"/>
    <col min="5" max="5" width="18.44140625" style="12" bestFit="1" customWidth="1"/>
    <col min="6" max="6" width="20.109375" style="12" bestFit="1" customWidth="1"/>
    <col min="7" max="7" width="30.6640625" style="12" bestFit="1" customWidth="1"/>
    <col min="8" max="8" width="16" style="12" bestFit="1" customWidth="1"/>
    <col min="9" max="9" width="19.6640625" style="12" bestFit="1" customWidth="1"/>
    <col min="10" max="10" width="20.109375" style="12" bestFit="1" customWidth="1"/>
    <col min="11" max="11" width="5.5546875" style="12" bestFit="1" customWidth="1"/>
    <col min="12" max="12" width="10" style="12" bestFit="1" customWidth="1"/>
    <col min="13" max="14" width="14.109375" style="12" bestFit="1" customWidth="1"/>
    <col min="15" max="15" width="14.44140625" style="12" bestFit="1" customWidth="1"/>
    <col min="16" max="16" width="19.6640625" style="12" bestFit="1" customWidth="1"/>
    <col min="17" max="17" width="9.109375" style="12"/>
    <col min="18" max="18" width="6.5546875" style="12" bestFit="1" customWidth="1"/>
    <col min="19" max="19" width="8.44140625" style="12" bestFit="1" customWidth="1"/>
    <col min="20" max="20" width="15" style="12" bestFit="1" customWidth="1"/>
    <col min="21" max="21" width="15.5546875" style="12" bestFit="1" customWidth="1"/>
    <col min="22" max="22" width="15.44140625" style="12" bestFit="1" customWidth="1"/>
    <col min="23" max="23" width="22.44140625" style="12" bestFit="1" customWidth="1"/>
    <col min="24" max="16384" width="9.109375" style="12"/>
  </cols>
  <sheetData>
    <row r="2" spans="2:7" x14ac:dyDescent="0.2">
      <c r="B2" s="75"/>
      <c r="C2" s="148" t="s">
        <v>32</v>
      </c>
      <c r="D2" s="148"/>
      <c r="E2" s="148"/>
      <c r="F2" s="148"/>
      <c r="G2" s="148"/>
    </row>
    <row r="3" spans="2:7" x14ac:dyDescent="0.2">
      <c r="B3" s="19"/>
      <c r="C3" s="147" t="s">
        <v>140</v>
      </c>
      <c r="D3" s="148"/>
      <c r="E3" s="148"/>
      <c r="F3" s="148"/>
      <c r="G3" s="148"/>
    </row>
    <row r="4" spans="2:7" x14ac:dyDescent="0.2">
      <c r="B4" s="76"/>
      <c r="C4" s="147" t="s">
        <v>141</v>
      </c>
      <c r="D4" s="148"/>
      <c r="E4" s="148"/>
      <c r="F4" s="148"/>
      <c r="G4" s="148"/>
    </row>
    <row r="6" spans="2:7" ht="12" x14ac:dyDescent="0.25">
      <c r="B6" s="27" t="s">
        <v>128</v>
      </c>
    </row>
    <row r="7" spans="2:7" x14ac:dyDescent="0.2">
      <c r="B7" s="16" t="s">
        <v>126</v>
      </c>
      <c r="C7" s="81">
        <v>45382</v>
      </c>
      <c r="E7" s="78"/>
    </row>
    <row r="8" spans="2:7" x14ac:dyDescent="0.2">
      <c r="B8" s="16" t="s">
        <v>29</v>
      </c>
      <c r="C8" s="18">
        <v>0.4</v>
      </c>
      <c r="E8" s="70"/>
    </row>
    <row r="9" spans="2:7" x14ac:dyDescent="0.2">
      <c r="B9" s="16" t="s">
        <v>74</v>
      </c>
      <c r="C9" s="77">
        <f>1-RecoveryRate</f>
        <v>0.6</v>
      </c>
    </row>
    <row r="10" spans="2:7" x14ac:dyDescent="0.2">
      <c r="B10" s="16" t="s">
        <v>154</v>
      </c>
      <c r="C10" s="19" t="s">
        <v>23</v>
      </c>
    </row>
    <row r="11" spans="2:7" x14ac:dyDescent="0.2">
      <c r="B11" s="16" t="s">
        <v>142</v>
      </c>
      <c r="C11" s="17" t="s">
        <v>2</v>
      </c>
    </row>
    <row r="12" spans="2:7" x14ac:dyDescent="0.2">
      <c r="B12" s="16" t="s">
        <v>30</v>
      </c>
      <c r="C12" s="20">
        <v>100</v>
      </c>
    </row>
    <row r="13" spans="2:7" x14ac:dyDescent="0.2">
      <c r="B13" s="16" t="s">
        <v>36</v>
      </c>
      <c r="C13" s="21" t="s">
        <v>37</v>
      </c>
    </row>
    <row r="14" spans="2:7" x14ac:dyDescent="0.2">
      <c r="B14" s="16" t="s">
        <v>48</v>
      </c>
      <c r="C14" s="21" t="s">
        <v>45</v>
      </c>
    </row>
    <row r="15" spans="2:7" x14ac:dyDescent="0.2">
      <c r="B15" s="16" t="s">
        <v>68</v>
      </c>
      <c r="C15" s="22" t="s">
        <v>71</v>
      </c>
    </row>
    <row r="16" spans="2:7" x14ac:dyDescent="0.2">
      <c r="B16" s="16" t="s">
        <v>280</v>
      </c>
      <c r="C16" s="19" t="s">
        <v>271</v>
      </c>
    </row>
    <row r="18" spans="2:9" ht="12" x14ac:dyDescent="0.25">
      <c r="B18" s="26" t="s">
        <v>127</v>
      </c>
      <c r="C18" s="15"/>
      <c r="D18" s="15"/>
      <c r="E18" s="15"/>
      <c r="F18" s="15"/>
    </row>
    <row r="19" spans="2:9" x14ac:dyDescent="0.2">
      <c r="B19" s="149" t="s">
        <v>139</v>
      </c>
      <c r="C19" s="149"/>
      <c r="D19" s="149"/>
      <c r="E19" s="149"/>
      <c r="F19" s="149"/>
    </row>
    <row r="20" spans="2:9" x14ac:dyDescent="0.2">
      <c r="B20" s="149"/>
      <c r="C20" s="149"/>
      <c r="D20" s="149"/>
      <c r="E20" s="149"/>
      <c r="F20" s="149"/>
    </row>
    <row r="21" spans="2:9" x14ac:dyDescent="0.2">
      <c r="B21" s="149"/>
      <c r="C21" s="149"/>
      <c r="D21" s="149"/>
      <c r="E21" s="149"/>
      <c r="F21" s="149"/>
    </row>
    <row r="22" spans="2:9" x14ac:dyDescent="0.2">
      <c r="B22" s="30" t="s">
        <v>17</v>
      </c>
      <c r="C22" s="30" t="s">
        <v>3</v>
      </c>
      <c r="D22" s="30" t="s">
        <v>16</v>
      </c>
      <c r="E22" s="30" t="s">
        <v>121</v>
      </c>
      <c r="F22" s="30" t="s">
        <v>72</v>
      </c>
      <c r="G22" s="30" t="s">
        <v>70</v>
      </c>
      <c r="H22" s="30" t="s">
        <v>104</v>
      </c>
    </row>
    <row r="23" spans="2:9" x14ac:dyDescent="0.2">
      <c r="B23" s="74">
        <f>IF(CDS_Curve_Input[[#This Row],[Tenor]]="","",_xlfn.XLOOKUP(CDS_Curve_Input[[#This Row],[Tenor]],Calculations!$C$5:$C$24,Calculations!$G$5:$G$24))</f>
        <v>45555</v>
      </c>
      <c r="C23" s="8" t="s">
        <v>4</v>
      </c>
      <c r="D23" s="8"/>
      <c r="E23" s="23"/>
      <c r="F23" s="8">
        <v>100</v>
      </c>
      <c r="G23" s="8"/>
      <c r="H23" s="29" t="b">
        <f>AND(AND(CDS_Curve_Input[[#This Row],[Tenor]]&lt;&gt;"",CDS_Curve_Input[[#This Row],[Tenor]]&lt;&gt;0),OR(AND(CDS_Curve_Input[[#This Row],[Quoted Upfront (%)]]&lt;&gt;"",CDS_Curve_Input[[#This Row],[Quoted Upfront (%)]]&lt;&gt;0),AND(CDS_Curve_Input[[#This Row],[Quoted Spread (bps)]]&lt;&gt;"",CDS_Curve_Input[[#This Row],[Quoted Spread (bps)]]&lt;&gt;0)))</f>
        <v>1</v>
      </c>
      <c r="I23" s="25"/>
    </row>
    <row r="24" spans="2:9" x14ac:dyDescent="0.2">
      <c r="B24" s="74">
        <f>IF(CDS_Curve_Input[[#This Row],[Tenor]]="","",_xlfn.XLOOKUP(CDS_Curve_Input[[#This Row],[Tenor]],Calculations!$C$5:$C$24,Calculations!$G$5:$G$24))</f>
        <v>45646</v>
      </c>
      <c r="C24" s="8" t="s">
        <v>5</v>
      </c>
      <c r="D24" s="8"/>
      <c r="E24" s="23"/>
      <c r="F24" s="8">
        <v>100</v>
      </c>
      <c r="G24" s="8"/>
      <c r="H24" s="29" t="b">
        <f>AND(AND(CDS_Curve_Input[[#This Row],[Tenor]]&lt;&gt;"",CDS_Curve_Input[[#This Row],[Tenor]]&lt;&gt;0),OR(AND(CDS_Curve_Input[[#This Row],[Quoted Upfront (%)]]&lt;&gt;"",CDS_Curve_Input[[#This Row],[Quoted Upfront (%)]]&lt;&gt;0),AND(CDS_Curve_Input[[#This Row],[Quoted Spread (bps)]]&lt;&gt;"",CDS_Curve_Input[[#This Row],[Quoted Spread (bps)]]&lt;&gt;0)))</f>
        <v>1</v>
      </c>
    </row>
    <row r="25" spans="2:9" x14ac:dyDescent="0.2">
      <c r="B25" s="74">
        <f>IF(CDS_Curve_Input[[#This Row],[Tenor]]="","",_xlfn.XLOOKUP(CDS_Curve_Input[[#This Row],[Tenor]],Calculations!$C$5:$C$24,Calculations!$G$5:$G$24))</f>
        <v>45828</v>
      </c>
      <c r="C25" s="8" t="s">
        <v>6</v>
      </c>
      <c r="D25" s="8"/>
      <c r="E25" s="23"/>
      <c r="F25" s="8">
        <v>100</v>
      </c>
      <c r="G25" s="31"/>
      <c r="H25" s="29" t="b">
        <f>AND(AND(CDS_Curve_Input[[#This Row],[Tenor]]&lt;&gt;"",CDS_Curve_Input[[#This Row],[Tenor]]&lt;&gt;0),OR(AND(CDS_Curve_Input[[#This Row],[Quoted Upfront (%)]]&lt;&gt;"",CDS_Curve_Input[[#This Row],[Quoted Upfront (%)]]&lt;&gt;0),AND(CDS_Curve_Input[[#This Row],[Quoted Spread (bps)]]&lt;&gt;"",CDS_Curve_Input[[#This Row],[Quoted Spread (bps)]]&lt;&gt;0)))</f>
        <v>1</v>
      </c>
    </row>
    <row r="26" spans="2:9" x14ac:dyDescent="0.2">
      <c r="B26" s="74">
        <f>IF(CDS_Curve_Input[[#This Row],[Tenor]]="","",_xlfn.XLOOKUP(CDS_Curve_Input[[#This Row],[Tenor]],Calculations!$C$5:$C$24,Calculations!$G$5:$G$24))</f>
        <v>46193</v>
      </c>
      <c r="C26" s="8" t="s">
        <v>7</v>
      </c>
      <c r="D26" s="8"/>
      <c r="E26" s="23"/>
      <c r="F26" s="8">
        <v>100</v>
      </c>
      <c r="G26" s="31"/>
      <c r="H26" s="29" t="b">
        <f>AND(AND(CDS_Curve_Input[[#This Row],[Tenor]]&lt;&gt;"",CDS_Curve_Input[[#This Row],[Tenor]]&lt;&gt;0),OR(AND(CDS_Curve_Input[[#This Row],[Quoted Upfront (%)]]&lt;&gt;"",CDS_Curve_Input[[#This Row],[Quoted Upfront (%)]]&lt;&gt;0),AND(CDS_Curve_Input[[#This Row],[Quoted Spread (bps)]]&lt;&gt;"",CDS_Curve_Input[[#This Row],[Quoted Spread (bps)]]&lt;&gt;0)))</f>
        <v>1</v>
      </c>
    </row>
    <row r="27" spans="2:9" x14ac:dyDescent="0.2">
      <c r="B27" s="74">
        <f>IF(CDS_Curve_Input[[#This Row],[Tenor]]="","",_xlfn.XLOOKUP(CDS_Curve_Input[[#This Row],[Tenor]],Calculations!$C$5:$C$24,Calculations!$G$5:$G$24))</f>
        <v>46558</v>
      </c>
      <c r="C27" s="8" t="s">
        <v>8</v>
      </c>
      <c r="D27" s="8"/>
      <c r="E27" s="23"/>
      <c r="F27" s="8">
        <v>100</v>
      </c>
      <c r="G27" s="31"/>
      <c r="H27" s="29" t="b">
        <f>AND(AND(CDS_Curve_Input[[#This Row],[Tenor]]&lt;&gt;"",CDS_Curve_Input[[#This Row],[Tenor]]&lt;&gt;0),OR(AND(CDS_Curve_Input[[#This Row],[Quoted Upfront (%)]]&lt;&gt;"",CDS_Curve_Input[[#This Row],[Quoted Upfront (%)]]&lt;&gt;0),AND(CDS_Curve_Input[[#This Row],[Quoted Spread (bps)]]&lt;&gt;"",CDS_Curve_Input[[#This Row],[Quoted Spread (bps)]]&lt;&gt;0)))</f>
        <v>1</v>
      </c>
    </row>
    <row r="28" spans="2:9" x14ac:dyDescent="0.2">
      <c r="B28" s="74">
        <f>IF(CDS_Curve_Input[[#This Row],[Tenor]]="","",_xlfn.XLOOKUP(CDS_Curve_Input[[#This Row],[Tenor]],Calculations!$C$5:$C$24,Calculations!$G$5:$G$24))</f>
        <v>46924</v>
      </c>
      <c r="C28" s="8" t="s">
        <v>9</v>
      </c>
      <c r="D28" s="8"/>
      <c r="E28" s="23"/>
      <c r="F28" s="8">
        <v>100</v>
      </c>
      <c r="G28" s="31"/>
      <c r="H28" s="29" t="b">
        <f>AND(AND(CDS_Curve_Input[[#This Row],[Tenor]]&lt;&gt;"",CDS_Curve_Input[[#This Row],[Tenor]]&lt;&gt;0),OR(AND(CDS_Curve_Input[[#This Row],[Quoted Upfront (%)]]&lt;&gt;"",CDS_Curve_Input[[#This Row],[Quoted Upfront (%)]]&lt;&gt;0),AND(CDS_Curve_Input[[#This Row],[Quoted Spread (bps)]]&lt;&gt;"",CDS_Curve_Input[[#This Row],[Quoted Spread (bps)]]&lt;&gt;0)))</f>
        <v>1</v>
      </c>
    </row>
    <row r="29" spans="2:9" x14ac:dyDescent="0.2">
      <c r="B29" s="74">
        <f>IF(CDS_Curve_Input[[#This Row],[Tenor]]="","",_xlfn.XLOOKUP(CDS_Curve_Input[[#This Row],[Tenor]],Calculations!$C$5:$C$24,Calculations!$G$5:$G$24))</f>
        <v>47289</v>
      </c>
      <c r="C29" s="8" t="s">
        <v>10</v>
      </c>
      <c r="D29" s="8"/>
      <c r="E29" s="23"/>
      <c r="F29" s="8">
        <v>100</v>
      </c>
      <c r="G29" s="31"/>
      <c r="H29" s="29" t="b">
        <f>AND(AND(CDS_Curve_Input[[#This Row],[Tenor]]&lt;&gt;"",CDS_Curve_Input[[#This Row],[Tenor]]&lt;&gt;0),OR(AND(CDS_Curve_Input[[#This Row],[Quoted Upfront (%)]]&lt;&gt;"",CDS_Curve_Input[[#This Row],[Quoted Upfront (%)]]&lt;&gt;0),AND(CDS_Curve_Input[[#This Row],[Quoted Spread (bps)]]&lt;&gt;"",CDS_Curve_Input[[#This Row],[Quoted Spread (bps)]]&lt;&gt;0)))</f>
        <v>1</v>
      </c>
    </row>
    <row r="30" spans="2:9" x14ac:dyDescent="0.2">
      <c r="B30" s="74">
        <f>IF(CDS_Curve_Input[[#This Row],[Tenor]]="","",_xlfn.XLOOKUP(CDS_Curve_Input[[#This Row],[Tenor]],Calculations!$C$5:$C$24,Calculations!$G$5:$G$24))</f>
        <v>48019</v>
      </c>
      <c r="C30" s="8" t="s">
        <v>11</v>
      </c>
      <c r="D30" s="8"/>
      <c r="E30" s="23"/>
      <c r="F30" s="8">
        <v>100</v>
      </c>
      <c r="G30" s="31"/>
      <c r="H30" s="29" t="b">
        <f>AND(AND(CDS_Curve_Input[[#This Row],[Tenor]]&lt;&gt;"",CDS_Curve_Input[[#This Row],[Tenor]]&lt;&gt;0),OR(AND(CDS_Curve_Input[[#This Row],[Quoted Upfront (%)]]&lt;&gt;"",CDS_Curve_Input[[#This Row],[Quoted Upfront (%)]]&lt;&gt;0),AND(CDS_Curve_Input[[#This Row],[Quoted Spread (bps)]]&lt;&gt;"",CDS_Curve_Input[[#This Row],[Quoted Spread (bps)]]&lt;&gt;0)))</f>
        <v>1</v>
      </c>
    </row>
    <row r="31" spans="2:9" x14ac:dyDescent="0.2">
      <c r="B31" s="74">
        <f>IF(CDS_Curve_Input[[#This Row],[Tenor]]="","",_xlfn.XLOOKUP(CDS_Curve_Input[[#This Row],[Tenor]],Calculations!$C$5:$C$24,Calculations!$G$5:$G$24))</f>
        <v>49115</v>
      </c>
      <c r="C31" s="8" t="s">
        <v>12</v>
      </c>
      <c r="D31" s="8"/>
      <c r="E31" s="23"/>
      <c r="F31" s="8">
        <v>100</v>
      </c>
      <c r="G31" s="31"/>
      <c r="H31" s="29" t="b">
        <f>AND(AND(CDS_Curve_Input[[#This Row],[Tenor]]&lt;&gt;"",CDS_Curve_Input[[#This Row],[Tenor]]&lt;&gt;0),OR(AND(CDS_Curve_Input[[#This Row],[Quoted Upfront (%)]]&lt;&gt;"",CDS_Curve_Input[[#This Row],[Quoted Upfront (%)]]&lt;&gt;0),AND(CDS_Curve_Input[[#This Row],[Quoted Spread (bps)]]&lt;&gt;"",CDS_Curve_Input[[#This Row],[Quoted Spread (bps)]]&lt;&gt;0)))</f>
        <v>1</v>
      </c>
    </row>
    <row r="32" spans="2:9" x14ac:dyDescent="0.2">
      <c r="B32" s="74">
        <f>IF(CDS_Curve_Input[[#This Row],[Tenor]]="","",_xlfn.XLOOKUP(CDS_Curve_Input[[#This Row],[Tenor]],Calculations!$C$5:$C$24,Calculations!$G$5:$G$24))</f>
        <v>50941</v>
      </c>
      <c r="C32" s="8" t="s">
        <v>13</v>
      </c>
      <c r="D32" s="8"/>
      <c r="E32" s="23"/>
      <c r="F32" s="8">
        <v>100</v>
      </c>
      <c r="G32" s="31"/>
      <c r="H32" s="29" t="b">
        <f>AND(AND(CDS_Curve_Input[[#This Row],[Tenor]]&lt;&gt;"",CDS_Curve_Input[[#This Row],[Tenor]]&lt;&gt;0),OR(AND(CDS_Curve_Input[[#This Row],[Quoted Upfront (%)]]&lt;&gt;"",CDS_Curve_Input[[#This Row],[Quoted Upfront (%)]]&lt;&gt;0),AND(CDS_Curve_Input[[#This Row],[Quoted Spread (bps)]]&lt;&gt;"",CDS_Curve_Input[[#This Row],[Quoted Spread (bps)]]&lt;&gt;0)))</f>
        <v>1</v>
      </c>
    </row>
    <row r="33" spans="2:8" x14ac:dyDescent="0.2">
      <c r="B33" s="74">
        <f>IF(CDS_Curve_Input[[#This Row],[Tenor]]="","",_xlfn.XLOOKUP(CDS_Curve_Input[[#This Row],[Tenor]],Calculations!$C$5:$C$24,Calculations!$G$5:$G$24))</f>
        <v>52768</v>
      </c>
      <c r="C33" s="8" t="s">
        <v>14</v>
      </c>
      <c r="D33" s="8"/>
      <c r="E33" s="23"/>
      <c r="F33" s="8">
        <v>100</v>
      </c>
      <c r="G33" s="8"/>
      <c r="H33" s="29" t="b">
        <f>AND(AND(CDS_Curve_Input[[#This Row],[Tenor]]&lt;&gt;"",CDS_Curve_Input[[#This Row],[Tenor]]&lt;&gt;0),OR(AND(CDS_Curve_Input[[#This Row],[Quoted Upfront (%)]]&lt;&gt;"",CDS_Curve_Input[[#This Row],[Quoted Upfront (%)]]&lt;&gt;0),AND(CDS_Curve_Input[[#This Row],[Quoted Spread (bps)]]&lt;&gt;"",CDS_Curve_Input[[#This Row],[Quoted Spread (bps)]]&lt;&gt;0)))</f>
        <v>1</v>
      </c>
    </row>
    <row r="34" spans="2:8" x14ac:dyDescent="0.2">
      <c r="B34" s="74">
        <f>IF(CDS_Curve_Input[[#This Row],[Tenor]]="","",_xlfn.XLOOKUP(CDS_Curve_Input[[#This Row],[Tenor]],Calculations!$C$5:$C$24,Calculations!$G$5:$G$24))</f>
        <v>56420</v>
      </c>
      <c r="C34" s="8" t="s">
        <v>15</v>
      </c>
      <c r="D34" s="8"/>
      <c r="E34" s="23"/>
      <c r="F34" s="8">
        <v>100</v>
      </c>
      <c r="G34" s="8"/>
      <c r="H34" s="29" t="b">
        <f>AND(AND(CDS_Curve_Input[[#This Row],[Tenor]]&lt;&gt;"",CDS_Curve_Input[[#This Row],[Tenor]]&lt;&gt;0),OR(AND(CDS_Curve_Input[[#This Row],[Quoted Upfront (%)]]&lt;&gt;"",CDS_Curve_Input[[#This Row],[Quoted Upfront (%)]]&lt;&gt;0),AND(CDS_Curve_Input[[#This Row],[Quoted Spread (bps)]]&lt;&gt;"",CDS_Curve_Input[[#This Row],[Quoted Spread (bps)]]&lt;&gt;0)))</f>
        <v>1</v>
      </c>
    </row>
    <row r="36" spans="2:8" ht="12" x14ac:dyDescent="0.25">
      <c r="B36" s="27" t="s">
        <v>129</v>
      </c>
    </row>
    <row r="37" spans="2:8" x14ac:dyDescent="0.2">
      <c r="B37" s="30" t="s">
        <v>17</v>
      </c>
      <c r="C37" s="30" t="s">
        <v>59</v>
      </c>
    </row>
    <row r="38" spans="2:8" x14ac:dyDescent="0.2">
      <c r="B38" s="79">
        <f>ValueDate</f>
        <v>45382</v>
      </c>
      <c r="C38" s="80">
        <v>1</v>
      </c>
    </row>
    <row r="39" spans="2:8" x14ac:dyDescent="0.2">
      <c r="B39" s="28">
        <v>45391</v>
      </c>
      <c r="C39" s="8">
        <v>0.99838000000000005</v>
      </c>
    </row>
    <row r="40" spans="2:8" x14ac:dyDescent="0.2">
      <c r="B40" s="28">
        <v>45398</v>
      </c>
      <c r="C40" s="8">
        <v>0.99734999999999996</v>
      </c>
    </row>
    <row r="41" spans="2:8" x14ac:dyDescent="0.2">
      <c r="B41" s="28">
        <v>45405</v>
      </c>
      <c r="C41" s="8">
        <v>0.99631999999999998</v>
      </c>
    </row>
    <row r="42" spans="2:8" x14ac:dyDescent="0.2">
      <c r="B42" s="28">
        <v>45414</v>
      </c>
      <c r="C42" s="8">
        <v>0.995</v>
      </c>
    </row>
    <row r="43" spans="2:8" x14ac:dyDescent="0.2">
      <c r="B43" s="28">
        <v>45446</v>
      </c>
      <c r="C43" s="8">
        <v>0.99033000000000004</v>
      </c>
    </row>
    <row r="44" spans="2:8" x14ac:dyDescent="0.2">
      <c r="B44" s="28">
        <v>45475</v>
      </c>
      <c r="C44" s="8">
        <v>0.98619000000000001</v>
      </c>
    </row>
    <row r="45" spans="2:8" x14ac:dyDescent="0.2">
      <c r="B45" s="28">
        <v>45506</v>
      </c>
      <c r="C45" s="8">
        <v>0.98182000000000003</v>
      </c>
    </row>
    <row r="46" spans="2:8" x14ac:dyDescent="0.2">
      <c r="B46" s="28">
        <v>45538</v>
      </c>
      <c r="C46" s="8">
        <v>0.97741</v>
      </c>
    </row>
    <row r="47" spans="2:8" x14ac:dyDescent="0.2">
      <c r="B47" s="28">
        <v>45567</v>
      </c>
      <c r="C47" s="8">
        <v>0.97348999999999997</v>
      </c>
    </row>
    <row r="48" spans="2:8" x14ac:dyDescent="0.2">
      <c r="B48" s="28">
        <v>45600</v>
      </c>
      <c r="C48" s="8">
        <v>0.96914</v>
      </c>
    </row>
    <row r="49" spans="2:3" x14ac:dyDescent="0.2">
      <c r="B49" s="28">
        <v>45628</v>
      </c>
      <c r="C49" s="8">
        <v>0.96553999999999995</v>
      </c>
    </row>
    <row r="50" spans="2:3" x14ac:dyDescent="0.2">
      <c r="B50" s="28">
        <v>45659</v>
      </c>
      <c r="C50" s="8">
        <v>0.96164000000000005</v>
      </c>
    </row>
    <row r="51" spans="2:3" x14ac:dyDescent="0.2">
      <c r="B51" s="28">
        <v>45691</v>
      </c>
      <c r="C51" s="8">
        <v>0.95770999999999995</v>
      </c>
    </row>
    <row r="52" spans="2:3" x14ac:dyDescent="0.2">
      <c r="B52" s="28">
        <v>45719</v>
      </c>
      <c r="C52" s="8">
        <v>0.95437000000000005</v>
      </c>
    </row>
    <row r="53" spans="2:3" x14ac:dyDescent="0.2">
      <c r="B53" s="28">
        <v>45749</v>
      </c>
      <c r="C53" s="8">
        <v>0.95086999999999999</v>
      </c>
    </row>
    <row r="54" spans="2:3" x14ac:dyDescent="0.2">
      <c r="B54" s="28">
        <v>45840</v>
      </c>
      <c r="C54" s="8">
        <v>0.94074999999999998</v>
      </c>
    </row>
    <row r="55" spans="2:3" x14ac:dyDescent="0.2">
      <c r="B55" s="28">
        <v>45932</v>
      </c>
      <c r="C55" s="8">
        <v>0.93113000000000001</v>
      </c>
    </row>
    <row r="56" spans="2:3" x14ac:dyDescent="0.2">
      <c r="B56" s="28">
        <v>46024</v>
      </c>
      <c r="C56" s="8">
        <v>0.92213000000000001</v>
      </c>
    </row>
    <row r="57" spans="2:3" x14ac:dyDescent="0.2">
      <c r="B57" s="28">
        <v>46114</v>
      </c>
      <c r="C57" s="8">
        <v>0.91356999999999999</v>
      </c>
    </row>
    <row r="58" spans="2:3" x14ac:dyDescent="0.2">
      <c r="B58" s="28">
        <v>46479</v>
      </c>
      <c r="C58" s="8">
        <v>0.88119000000000003</v>
      </c>
    </row>
    <row r="59" spans="2:3" x14ac:dyDescent="0.2">
      <c r="B59" s="28">
        <v>46846</v>
      </c>
      <c r="C59" s="8">
        <v>0.85038000000000002</v>
      </c>
    </row>
    <row r="60" spans="2:3" x14ac:dyDescent="0.2">
      <c r="B60" s="28">
        <v>47210</v>
      </c>
      <c r="C60" s="8">
        <v>0.82101999999999997</v>
      </c>
    </row>
    <row r="61" spans="2:3" x14ac:dyDescent="0.2">
      <c r="B61" s="28">
        <v>47575</v>
      </c>
      <c r="C61" s="8">
        <v>0.79215999999999998</v>
      </c>
    </row>
    <row r="62" spans="2:3" x14ac:dyDescent="0.2">
      <c r="B62" s="28">
        <v>47940</v>
      </c>
      <c r="C62" s="8">
        <v>0.76404000000000005</v>
      </c>
    </row>
    <row r="63" spans="2:3" x14ac:dyDescent="0.2">
      <c r="B63" s="28">
        <v>48306</v>
      </c>
      <c r="C63" s="8">
        <v>0.73667000000000005</v>
      </c>
    </row>
    <row r="64" spans="2:3" x14ac:dyDescent="0.2">
      <c r="B64" s="28">
        <v>48673</v>
      </c>
      <c r="C64" s="8">
        <v>0.70975999999999995</v>
      </c>
    </row>
    <row r="65" spans="2:3" x14ac:dyDescent="0.2">
      <c r="B65" s="28">
        <v>49037</v>
      </c>
      <c r="C65" s="8">
        <v>0.68408999999999998</v>
      </c>
    </row>
    <row r="66" spans="2:3" x14ac:dyDescent="0.2">
      <c r="B66" s="28">
        <v>49401</v>
      </c>
      <c r="C66" s="8">
        <v>0.65876999999999997</v>
      </c>
    </row>
    <row r="67" spans="2:3" x14ac:dyDescent="0.2">
      <c r="B67" s="28">
        <v>49767</v>
      </c>
      <c r="C67" s="8">
        <v>0.63404000000000005</v>
      </c>
    </row>
    <row r="68" spans="2:3" x14ac:dyDescent="0.2">
      <c r="B68" s="28">
        <v>50864</v>
      </c>
      <c r="C68" s="8">
        <v>0.56506000000000001</v>
      </c>
    </row>
    <row r="69" spans="2:3" x14ac:dyDescent="0.2">
      <c r="B69" s="28">
        <v>52691</v>
      </c>
      <c r="C69" s="8">
        <v>0.47121000000000002</v>
      </c>
    </row>
    <row r="70" spans="2:3" x14ac:dyDescent="0.2">
      <c r="B70" s="28">
        <v>54515</v>
      </c>
      <c r="C70" s="8">
        <v>0.40283000000000002</v>
      </c>
    </row>
    <row r="71" spans="2:3" x14ac:dyDescent="0.2">
      <c r="B71" s="28">
        <v>56341</v>
      </c>
      <c r="C71" s="8">
        <v>0.35025000000000001</v>
      </c>
    </row>
    <row r="72" spans="2:3" x14ac:dyDescent="0.2">
      <c r="B72" s="28">
        <v>59994</v>
      </c>
      <c r="C72" s="8">
        <v>0.27972999999999998</v>
      </c>
    </row>
    <row r="73" spans="2:3" x14ac:dyDescent="0.2">
      <c r="B73" s="28">
        <v>63646</v>
      </c>
      <c r="C73" s="8">
        <v>0.24163999999999999</v>
      </c>
    </row>
    <row r="74" spans="2:3" x14ac:dyDescent="0.2">
      <c r="B74" s="78"/>
    </row>
    <row r="75" spans="2:3" x14ac:dyDescent="0.2">
      <c r="B75" s="78"/>
    </row>
    <row r="76" spans="2:3" x14ac:dyDescent="0.2">
      <c r="B76" s="78"/>
    </row>
    <row r="77" spans="2:3" x14ac:dyDescent="0.2">
      <c r="B77" s="78"/>
    </row>
    <row r="78" spans="2:3" x14ac:dyDescent="0.2">
      <c r="B78" s="78"/>
    </row>
    <row r="79" spans="2:3" x14ac:dyDescent="0.2">
      <c r="B79" s="78"/>
    </row>
    <row r="80" spans="2:3" x14ac:dyDescent="0.2">
      <c r="B80" s="78"/>
    </row>
    <row r="81" spans="2:2" x14ac:dyDescent="0.2">
      <c r="B81" s="78"/>
    </row>
    <row r="82" spans="2:2" x14ac:dyDescent="0.2">
      <c r="B82" s="78"/>
    </row>
    <row r="83" spans="2:2" x14ac:dyDescent="0.2">
      <c r="B83" s="78"/>
    </row>
    <row r="84" spans="2:2" x14ac:dyDescent="0.2">
      <c r="B84" s="78"/>
    </row>
    <row r="85" spans="2:2" x14ac:dyDescent="0.2">
      <c r="B85" s="78"/>
    </row>
    <row r="86" spans="2:2" x14ac:dyDescent="0.2">
      <c r="B86" s="78"/>
    </row>
    <row r="87" spans="2:2" x14ac:dyDescent="0.2">
      <c r="B87" s="78"/>
    </row>
    <row r="88" spans="2:2" x14ac:dyDescent="0.2">
      <c r="B88" s="78"/>
    </row>
    <row r="89" spans="2:2" x14ac:dyDescent="0.2">
      <c r="B89" s="78"/>
    </row>
    <row r="90" spans="2:2" x14ac:dyDescent="0.2">
      <c r="B90" s="78"/>
    </row>
    <row r="91" spans="2:2" x14ac:dyDescent="0.2">
      <c r="B91" s="78"/>
    </row>
    <row r="92" spans="2:2" x14ac:dyDescent="0.2">
      <c r="B92" s="78"/>
    </row>
    <row r="93" spans="2:2" x14ac:dyDescent="0.2">
      <c r="B93" s="78"/>
    </row>
    <row r="94" spans="2:2" x14ac:dyDescent="0.2">
      <c r="B94" s="78"/>
    </row>
    <row r="95" spans="2:2" x14ac:dyDescent="0.2">
      <c r="B95" s="78"/>
    </row>
    <row r="96" spans="2:2" x14ac:dyDescent="0.2">
      <c r="B96" s="78"/>
    </row>
    <row r="97" spans="2:2" x14ac:dyDescent="0.2">
      <c r="B97" s="78"/>
    </row>
  </sheetData>
  <mergeCells count="4">
    <mergeCell ref="C3:G3"/>
    <mergeCell ref="C2:G2"/>
    <mergeCell ref="B19:F21"/>
    <mergeCell ref="C4:G4"/>
  </mergeCells>
  <conditionalFormatting sqref="H23:H34">
    <cfRule type="cellIs" priority="11" operator="equal">
      <formula>""</formula>
    </cfRule>
    <cfRule type="containsBlanks" priority="12">
      <formula>LEN(TRIM(H23))=0</formula>
    </cfRule>
    <cfRule type="cellIs" dxfId="68" priority="18" operator="equal">
      <formula>"PASS"</formula>
    </cfRule>
  </conditionalFormatting>
  <conditionalFormatting sqref="H23:H34">
    <cfRule type="cellIs" dxfId="67" priority="14" operator="equal">
      <formula>"FAIL"</formula>
    </cfRule>
  </conditionalFormatting>
  <conditionalFormatting sqref="H23:H34">
    <cfRule type="containsText" dxfId="66" priority="15" operator="containsText" text="No">
      <formula>NOT(ISERROR(SEARCH("No",H23)))</formula>
    </cfRule>
  </conditionalFormatting>
  <conditionalFormatting sqref="H23:H34">
    <cfRule type="cellIs" dxfId="65" priority="13" operator="equal">
      <formula>FALSE</formula>
    </cfRule>
    <cfRule type="cellIs" dxfId="64" priority="16" operator="equal">
      <formula>TRUE</formula>
    </cfRule>
    <cfRule type="containsText" dxfId="63" priority="17" operator="containsText" text="Yes">
      <formula>NOT(ISERROR(SEARCH("Yes",H23)))</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RunCDSBootstrapper">
                <anchor moveWithCells="1" sizeWithCells="1">
                  <from>
                    <xdr:col>4</xdr:col>
                    <xdr:colOff>327660</xdr:colOff>
                    <xdr:row>11</xdr:row>
                    <xdr:rowOff>0</xdr:rowOff>
                  </from>
                  <to>
                    <xdr:col>5</xdr:col>
                    <xdr:colOff>914400</xdr:colOff>
                    <xdr:row>13</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8">
        <x14:dataValidation type="list" allowBlank="1" showInputMessage="1" showErrorMessage="1" xr:uid="{D24AE23E-CA08-4D20-802E-3A687089187D}">
          <x14:formula1>
            <xm:f>DataValidation!$A$2:$A$6</xm:f>
          </x14:formula1>
          <xm:sqref>C10</xm:sqref>
        </x14:dataValidation>
        <x14:dataValidation type="list" allowBlank="1" showInputMessage="1" showErrorMessage="1" xr:uid="{7A374BCD-D3A6-4EAC-AB2E-99BE9999882A}">
          <x14:formula1>
            <xm:f>DataValidation!$C$2:$C$3</xm:f>
          </x14:formula1>
          <xm:sqref>C12</xm:sqref>
        </x14:dataValidation>
        <x14:dataValidation type="list" allowBlank="1" showInputMessage="1" showErrorMessage="1" xr:uid="{93F39768-EC0D-4B3B-8106-07DE2C6F4A8B}">
          <x14:formula1>
            <xm:f>DataValidation!$D$2:$D$4</xm:f>
          </x14:formula1>
          <xm:sqref>C11</xm:sqref>
        </x14:dataValidation>
        <x14:dataValidation type="list" allowBlank="1" showInputMessage="1" showErrorMessage="1" xr:uid="{74D95586-5AF4-474F-AE26-2A7531349DED}">
          <x14:formula1>
            <xm:f>DataValidation!$E$2:$E$5</xm:f>
          </x14:formula1>
          <xm:sqref>C13</xm:sqref>
        </x14:dataValidation>
        <x14:dataValidation type="list" allowBlank="1" showInputMessage="1" showErrorMessage="1" xr:uid="{503CC18D-43A9-4B75-955E-9F8111B293A8}">
          <x14:formula1>
            <xm:f>DataValidation!$F$2:$F$5</xm:f>
          </x14:formula1>
          <xm:sqref>C14</xm:sqref>
        </x14:dataValidation>
        <x14:dataValidation type="list" allowBlank="1" showInputMessage="1" showErrorMessage="1" xr:uid="{0A14D015-EB6B-4EAE-BA7F-5D6905844942}">
          <x14:formula1>
            <xm:f>DataValidation!$I$2:$I$4</xm:f>
          </x14:formula1>
          <xm:sqref>C15</xm:sqref>
        </x14:dataValidation>
        <x14:dataValidation type="list" allowBlank="1" showInputMessage="1" showErrorMessage="1" xr:uid="{CD1EDB1D-90B5-49AC-80B2-801169C9699E}">
          <x14:formula1>
            <xm:f>Calculations!$C$5:$C$24</xm:f>
          </x14:formula1>
          <xm:sqref>C23:C34</xm:sqref>
        </x14:dataValidation>
        <x14:dataValidation type="list" allowBlank="1" showInputMessage="1" showErrorMessage="1" xr:uid="{8125676D-0A53-4277-94D7-F1C3997659DF}">
          <x14:formula1>
            <xm:f>DataValidation!$J$2:$J$3</xm:f>
          </x14:formula1>
          <xm:sqref>C16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256AC-ECA4-4F3D-B5EA-55A3F5E76DC9}">
  <sheetPr codeName="Sheet6"/>
  <dimension ref="B2:BM204"/>
  <sheetViews>
    <sheetView tabSelected="1" workbookViewId="0"/>
  </sheetViews>
  <sheetFormatPr defaultColWidth="9.109375" defaultRowHeight="11.4" x14ac:dyDescent="0.2"/>
  <cols>
    <col min="1" max="1" width="4.5546875" style="35" customWidth="1"/>
    <col min="2" max="2" width="17.5546875" style="35" bestFit="1" customWidth="1"/>
    <col min="3" max="3" width="7.88671875" style="35" bestFit="1" customWidth="1"/>
    <col min="4" max="4" width="12" style="35" bestFit="1" customWidth="1"/>
    <col min="5" max="5" width="13.33203125" style="35" bestFit="1" customWidth="1"/>
    <col min="6" max="6" width="14.33203125" style="35" bestFit="1" customWidth="1"/>
    <col min="7" max="7" width="13.88671875" style="35" bestFit="1" customWidth="1"/>
    <col min="8" max="8" width="17.109375" style="35" bestFit="1" customWidth="1"/>
    <col min="9" max="9" width="16" style="35" bestFit="1" customWidth="1"/>
    <col min="10" max="10" width="5.109375" style="35" customWidth="1"/>
    <col min="11" max="11" width="5.109375" style="35" bestFit="1" customWidth="1"/>
    <col min="12" max="12" width="11.88671875" style="35" bestFit="1" customWidth="1"/>
    <col min="13" max="13" width="6.5546875" style="35" bestFit="1" customWidth="1"/>
    <col min="14" max="14" width="5.5546875" style="35" bestFit="1" customWidth="1"/>
    <col min="15" max="15" width="9.88671875" style="35" bestFit="1" customWidth="1"/>
    <col min="16" max="16" width="10.109375" style="35" bestFit="1" customWidth="1"/>
    <col min="17" max="17" width="12.88671875" style="35" bestFit="1" customWidth="1"/>
    <col min="18" max="18" width="16" style="35" bestFit="1" customWidth="1"/>
    <col min="19" max="19" width="4.6640625" style="35" customWidth="1"/>
    <col min="20" max="20" width="5.109375" style="35" bestFit="1" customWidth="1"/>
    <col min="21" max="21" width="11.88671875" style="35" bestFit="1" customWidth="1"/>
    <col min="22" max="22" width="6.5546875" style="35" bestFit="1" customWidth="1"/>
    <col min="23" max="23" width="5.5546875" style="35" bestFit="1" customWidth="1"/>
    <col min="24" max="24" width="9.88671875" style="35" bestFit="1" customWidth="1"/>
    <col min="25" max="25" width="10.109375" style="35" bestFit="1" customWidth="1"/>
    <col min="26" max="26" width="12.88671875" style="35" bestFit="1" customWidth="1"/>
    <col min="27" max="27" width="16" style="35" bestFit="1" customWidth="1"/>
    <col min="28" max="28" width="12.109375" style="35" bestFit="1" customWidth="1"/>
    <col min="29" max="29" width="10" style="35" bestFit="1" customWidth="1"/>
    <col min="30" max="30" width="5.109375" style="35" customWidth="1"/>
    <col min="31" max="31" width="28.33203125" style="35" bestFit="1" customWidth="1"/>
    <col min="32" max="32" width="13.88671875" style="35" bestFit="1" customWidth="1"/>
    <col min="33" max="33" width="7.109375" style="35" bestFit="1" customWidth="1"/>
    <col min="34" max="34" width="5.6640625" style="37" bestFit="1" customWidth="1"/>
    <col min="35" max="35" width="9.88671875" style="38" bestFit="1" customWidth="1"/>
    <col min="36" max="37" width="13.44140625" style="39" bestFit="1" customWidth="1"/>
    <col min="38" max="38" width="12.88671875" style="40" bestFit="1" customWidth="1"/>
    <col min="39" max="39" width="13.44140625" style="39" bestFit="1" customWidth="1"/>
    <col min="40" max="40" width="15.5546875" style="41" bestFit="1" customWidth="1"/>
    <col min="41" max="41" width="15.33203125" style="41" bestFit="1" customWidth="1"/>
    <col min="42" max="42" width="12.44140625" style="53" bestFit="1" customWidth="1"/>
    <col min="43" max="43" width="3.33203125" style="42" customWidth="1"/>
    <col min="44" max="44" width="20.88671875" style="37" bestFit="1" customWidth="1"/>
    <col min="45" max="45" width="4.109375" style="42" customWidth="1"/>
    <col min="46" max="46" width="16.44140625" style="101" bestFit="1" customWidth="1"/>
    <col min="47" max="47" width="12.109375" style="83" bestFit="1" customWidth="1"/>
    <col min="48" max="48" width="16.44140625" style="83" bestFit="1" customWidth="1"/>
    <col min="49" max="49" width="9" style="83" bestFit="1" customWidth="1"/>
    <col min="50" max="50" width="19.5546875" style="83" bestFit="1" customWidth="1"/>
    <col min="51" max="51" width="13.6640625" style="83" bestFit="1" customWidth="1"/>
    <col min="52" max="52" width="14.6640625" style="37" bestFit="1" customWidth="1"/>
    <col min="53" max="53" width="15" style="37" bestFit="1" customWidth="1"/>
    <col min="54" max="54" width="16" style="42" bestFit="1" customWidth="1"/>
    <col min="55" max="55" width="15.5546875" style="37" bestFit="1" customWidth="1"/>
    <col min="56" max="56" width="3.33203125" style="42" customWidth="1"/>
    <col min="57" max="57" width="10.6640625" style="83" bestFit="1" customWidth="1"/>
    <col min="58" max="58" width="16.44140625" style="83" bestFit="1" customWidth="1"/>
    <col min="59" max="59" width="9" style="83" bestFit="1" customWidth="1"/>
    <col min="60" max="60" width="19.5546875" style="83" bestFit="1" customWidth="1"/>
    <col min="61" max="61" width="13.6640625" style="83" bestFit="1" customWidth="1"/>
    <col min="62" max="62" width="14.6640625" style="37" bestFit="1" customWidth="1"/>
    <col min="63" max="63" width="15" style="37" bestFit="1" customWidth="1"/>
    <col min="64" max="64" width="19.109375" style="37" bestFit="1" customWidth="1"/>
    <col min="65" max="65" width="15.5546875" style="37" bestFit="1" customWidth="1"/>
    <col min="66" max="16384" width="9.109375" style="35"/>
  </cols>
  <sheetData>
    <row r="2" spans="2:65" x14ac:dyDescent="0.2">
      <c r="F2" s="36"/>
      <c r="K2" s="154" t="s">
        <v>131</v>
      </c>
      <c r="L2" s="155"/>
      <c r="M2" s="155"/>
      <c r="N2" s="155"/>
      <c r="O2" s="155"/>
      <c r="P2" s="155"/>
      <c r="Q2" s="155"/>
      <c r="R2" s="156"/>
      <c r="T2" s="163" t="s">
        <v>143</v>
      </c>
      <c r="U2" s="164"/>
      <c r="V2" s="164"/>
      <c r="W2" s="164"/>
      <c r="X2" s="164"/>
      <c r="Y2" s="164"/>
      <c r="Z2" s="164"/>
      <c r="AA2" s="164"/>
      <c r="AB2" s="164"/>
      <c r="AC2" s="165"/>
      <c r="AT2" s="109" t="s">
        <v>258</v>
      </c>
      <c r="AU2" s="109"/>
      <c r="AV2" s="109"/>
      <c r="AW2" s="109"/>
      <c r="AX2" s="109"/>
      <c r="AY2" s="109"/>
      <c r="AZ2" s="109"/>
      <c r="BA2" s="109"/>
      <c r="BB2" s="112"/>
      <c r="BC2" s="120"/>
      <c r="BE2" s="109" t="s">
        <v>259</v>
      </c>
      <c r="BF2" s="109"/>
      <c r="BG2" s="109"/>
      <c r="BH2" s="109"/>
      <c r="BI2" s="109"/>
      <c r="BJ2" s="109"/>
      <c r="BK2" s="109"/>
      <c r="BL2" s="122"/>
      <c r="BM2" s="120"/>
    </row>
    <row r="3" spans="2:65" x14ac:dyDescent="0.2">
      <c r="B3" s="154" t="s">
        <v>120</v>
      </c>
      <c r="C3" s="155"/>
      <c r="D3" s="155"/>
      <c r="E3" s="155"/>
      <c r="F3" s="155"/>
      <c r="G3" s="155"/>
      <c r="H3" s="155"/>
      <c r="I3" s="156"/>
      <c r="K3" s="154" t="s">
        <v>105</v>
      </c>
      <c r="L3" s="155"/>
      <c r="M3" s="155"/>
      <c r="N3" s="155"/>
      <c r="O3" s="43" t="b">
        <f>DataFieldToUseForSolve=O4</f>
        <v>0</v>
      </c>
      <c r="P3" s="43" t="b">
        <f>DataFieldToUseForSolve=P4</f>
        <v>0</v>
      </c>
      <c r="Q3" s="43" t="b">
        <f>DataFieldToUseForSolve=Q4</f>
        <v>1</v>
      </c>
      <c r="R3" s="44" t="s">
        <v>106</v>
      </c>
      <c r="T3" s="154" t="s">
        <v>83</v>
      </c>
      <c r="U3" s="155"/>
      <c r="V3" s="155"/>
      <c r="W3" s="155"/>
      <c r="X3" s="43" t="b">
        <f>NOT(DataFieldToUseForSolve=X4)</f>
        <v>1</v>
      </c>
      <c r="Y3" s="43" t="b">
        <f>NOT(DataFieldToUseForSolve=Y4)</f>
        <v>1</v>
      </c>
      <c r="Z3" s="43" t="b">
        <f>NOT(DataFieldToUseForSolve=Z4)</f>
        <v>0</v>
      </c>
      <c r="AA3" s="44" t="s">
        <v>106</v>
      </c>
      <c r="AB3" s="61" t="b">
        <f>NOT(DataFieldToUseForSolve=AB4)</f>
        <v>1</v>
      </c>
      <c r="AC3" s="62" t="b">
        <f>NOT(DataFieldToUseForSolve=AC4)</f>
        <v>1</v>
      </c>
      <c r="AL3" s="51"/>
      <c r="AT3" s="109" t="s">
        <v>257</v>
      </c>
      <c r="AU3" s="110"/>
      <c r="AV3" s="110"/>
      <c r="AW3" s="110"/>
      <c r="AX3" s="110"/>
      <c r="AY3" s="111"/>
      <c r="AZ3" s="110" t="s">
        <v>260</v>
      </c>
      <c r="BA3" s="110"/>
      <c r="BB3" s="111"/>
      <c r="BC3" s="121"/>
      <c r="BE3" s="109" t="s">
        <v>257</v>
      </c>
      <c r="BF3" s="110"/>
      <c r="BG3" s="110"/>
      <c r="BH3" s="110"/>
      <c r="BI3" s="110"/>
      <c r="BJ3" s="109" t="s">
        <v>260</v>
      </c>
      <c r="BK3" s="109"/>
      <c r="BL3" s="122"/>
      <c r="BM3" s="120"/>
    </row>
    <row r="4" spans="2:65" x14ac:dyDescent="0.2">
      <c r="B4" s="32" t="s">
        <v>28</v>
      </c>
      <c r="C4" s="32" t="s">
        <v>3</v>
      </c>
      <c r="D4" s="32" t="s">
        <v>18</v>
      </c>
      <c r="E4" s="32" t="s">
        <v>19</v>
      </c>
      <c r="F4" s="32" t="s">
        <v>56</v>
      </c>
      <c r="G4" s="33" t="s">
        <v>17</v>
      </c>
      <c r="H4" s="33" t="s">
        <v>80</v>
      </c>
      <c r="I4" s="32" t="s">
        <v>104</v>
      </c>
      <c r="K4" s="1" t="s">
        <v>28</v>
      </c>
      <c r="L4" s="1" t="s">
        <v>17</v>
      </c>
      <c r="M4" s="1" t="s">
        <v>107</v>
      </c>
      <c r="N4" s="1" t="s">
        <v>3</v>
      </c>
      <c r="O4" s="2" t="s">
        <v>60</v>
      </c>
      <c r="P4" s="2" t="s">
        <v>69</v>
      </c>
      <c r="Q4" s="2" t="s">
        <v>71</v>
      </c>
      <c r="R4" s="3" t="s">
        <v>277</v>
      </c>
      <c r="T4" s="1" t="s">
        <v>28</v>
      </c>
      <c r="U4" s="1" t="s">
        <v>17</v>
      </c>
      <c r="V4" s="1" t="s">
        <v>107</v>
      </c>
      <c r="W4" s="1" t="s">
        <v>3</v>
      </c>
      <c r="X4" s="2" t="s">
        <v>60</v>
      </c>
      <c r="Y4" s="2" t="s">
        <v>69</v>
      </c>
      <c r="Z4" s="2" t="s">
        <v>71</v>
      </c>
      <c r="AA4" s="3" t="s">
        <v>277</v>
      </c>
      <c r="AB4" s="9" t="s">
        <v>276</v>
      </c>
      <c r="AC4" s="10" t="s">
        <v>275</v>
      </c>
      <c r="AE4" s="35" t="s">
        <v>109</v>
      </c>
      <c r="AF4" s="35">
        <f>COUNT(_xlfn.ANCHORARRAY(K5))</f>
        <v>12</v>
      </c>
      <c r="AH4" s="4" t="s">
        <v>65</v>
      </c>
      <c r="AI4" s="5" t="s">
        <v>28</v>
      </c>
      <c r="AJ4" s="6" t="s">
        <v>264</v>
      </c>
      <c r="AK4" s="6" t="s">
        <v>263</v>
      </c>
      <c r="AL4" s="4" t="s">
        <v>157</v>
      </c>
      <c r="AM4" s="6" t="s">
        <v>53</v>
      </c>
      <c r="AN4" s="94" t="s">
        <v>268</v>
      </c>
      <c r="AO4" s="94" t="s">
        <v>262</v>
      </c>
      <c r="AP4" s="95" t="s">
        <v>62</v>
      </c>
      <c r="AR4" s="7" t="s">
        <v>112</v>
      </c>
      <c r="AT4" s="113" t="s">
        <v>149</v>
      </c>
      <c r="AU4" s="114" t="s">
        <v>256</v>
      </c>
      <c r="AV4" s="115" t="s">
        <v>269</v>
      </c>
      <c r="AW4" s="114" t="s">
        <v>270</v>
      </c>
      <c r="AX4" s="114" t="s">
        <v>66</v>
      </c>
      <c r="AY4" s="114" t="s">
        <v>64</v>
      </c>
      <c r="AZ4" s="116" t="s">
        <v>63</v>
      </c>
      <c r="BA4" s="117" t="s">
        <v>138</v>
      </c>
      <c r="BB4" s="118" t="s">
        <v>67</v>
      </c>
      <c r="BC4" s="7" t="s">
        <v>158</v>
      </c>
      <c r="BE4" s="119" t="s">
        <v>58</v>
      </c>
      <c r="BF4" s="114" t="s">
        <v>269</v>
      </c>
      <c r="BG4" s="114" t="s">
        <v>270</v>
      </c>
      <c r="BH4" s="114" t="s">
        <v>66</v>
      </c>
      <c r="BI4" s="114" t="s">
        <v>64</v>
      </c>
      <c r="BJ4" s="116" t="s">
        <v>63</v>
      </c>
      <c r="BK4" s="117" t="s">
        <v>138</v>
      </c>
      <c r="BL4" s="116" t="s">
        <v>73</v>
      </c>
      <c r="BM4" s="118" t="s">
        <v>158</v>
      </c>
    </row>
    <row r="5" spans="2:65" x14ac:dyDescent="0.2">
      <c r="B5" s="35">
        <v>1</v>
      </c>
      <c r="C5" s="35" t="s">
        <v>4</v>
      </c>
      <c r="D5" s="35">
        <v>0.25</v>
      </c>
      <c r="E5" s="35">
        <f>CDS_Tenor_Definitions[[#This Row],[Year offset]]*12</f>
        <v>3</v>
      </c>
      <c r="F5" s="42">
        <f t="shared" ref="F5:F24" si="0">$F$32</f>
        <v>45371</v>
      </c>
      <c r="G5" s="42">
        <f>EDATE($F$39,CDS_Tenor_Definitions[[#This Row],[Month offset]]-12)</f>
        <v>45555</v>
      </c>
      <c r="H5" s="45">
        <f t="shared" ref="H5:H24" si="1">YEARFRAC(ValueDate,G5,1)</f>
        <v>0.47267759562841533</v>
      </c>
      <c r="I5" s="29" t="b">
        <f>_xlfn.XLOOKUP(CDS_Tenor_Definitions[[#This Row],[Tenor]],UserInput!$C$23:$C$34,UserInput!$H$23:$H$34,FALSE)</f>
        <v>1</v>
      </c>
      <c r="J5" s="42"/>
      <c r="K5" s="46" cm="1">
        <f t="array" ref="K5:K16">ROW(_xlfn.ANCHORARRAY(L5))-4</f>
        <v>1</v>
      </c>
      <c r="L5" s="36" cm="1">
        <f t="array" ref="L5:L16">_xlfn._xlws.FILTER(CDS_Curve_Input[Maturity Date],CDS_Curve_Input[Valid User Input]=TRUE)</f>
        <v>45555</v>
      </c>
      <c r="M5" s="45" cm="1">
        <f t="array" ref="M5:M16">_xlfn.XLOOKUP(_xlfn.ANCHORARRAY(L5),CDS_Tenor_Definitions[Maturity Date],CDS_Tenor_Definitions[Years to maturity])</f>
        <v>0.47267759562841533</v>
      </c>
      <c r="N5" s="42" t="str" cm="1">
        <f t="array" ref="N5:N16">_xlfn._xlws.FILTER(UserInput!C$23:C$34,UserInput!$H$23:$H$34=TRUE)</f>
        <v>3M</v>
      </c>
      <c r="O5" s="47" cm="1">
        <f t="array" ref="O5:O16">_xlfn._xlws.FILTER(CDS_Curve_Input[Par Spread (bps)],CDS_Curve_Input[Valid User Input]=TRUE)%%</f>
        <v>0</v>
      </c>
      <c r="P5" s="47" cm="1">
        <f t="array" ref="P5:P16">_xlfn._xlws.FILTER(CDS_Curve_Input[Quoted Upfront (%)],CDS_Curve_Input[Valid User Input]=TRUE)%</f>
        <v>0</v>
      </c>
      <c r="Q5" s="47" cm="1">
        <f t="array" ref="Q5:Q16">_xlfn._xlws.FILTER(CDS_Curve_Input[Quoted Spread (bps)],CDS_Curve_Input[Valid User Input]=TRUE)%%</f>
        <v>0.01</v>
      </c>
      <c r="R5" s="48" cm="1">
        <f t="array" ref="R5:R16">_xlfn._xlws.FILTER(CDS_Curve_Input[Cumulative Default Probability (%)],CDS_Curve_Input[Valid User Input]=TRUE)%</f>
        <v>0</v>
      </c>
      <c r="S5" s="42"/>
      <c r="T5" s="46" cm="1">
        <f t="array" ref="T5:T16">_xlfn.ANCHORARRAY($K$5)</f>
        <v>1</v>
      </c>
      <c r="U5" s="36" cm="1">
        <f t="array" ref="U5:U16">_xlfn.ANCHORARRAY($L$5)</f>
        <v>45555</v>
      </c>
      <c r="V5" s="45" cm="1">
        <f t="array" ref="V5:V16">_xlfn.ANCHORARRAY($M$5)</f>
        <v>0.47267759562841533</v>
      </c>
      <c r="W5" s="42" t="str" cm="1">
        <f t="array" ref="W5:W16">_xlfn.ANCHORARRAY($N$5)</f>
        <v>3M</v>
      </c>
      <c r="X5" s="92">
        <v>0.01</v>
      </c>
      <c r="Y5" s="92">
        <v>0</v>
      </c>
      <c r="Z5" s="92">
        <v>0.01</v>
      </c>
      <c r="AA5" s="48" cm="1">
        <f t="array" ref="AA5:AA16">_xlfn.XLOOKUP(_xlfn.ANCHORARRAY(U5),_xlfn.ANCHORARRAY(AI5),_xlfn.ANCHORARRAY(AW5))</f>
        <v>8.0536733420167872E-3</v>
      </c>
      <c r="AB5" s="88">
        <v>1.7060647189024669E-2</v>
      </c>
      <c r="AC5" s="89">
        <v>1.7060647189024669E-2</v>
      </c>
      <c r="AD5" s="42"/>
      <c r="AE5" s="35" t="s">
        <v>108</v>
      </c>
      <c r="AF5" s="8">
        <v>12</v>
      </c>
      <c r="AH5" s="37" cm="1">
        <f t="array" ref="AH5:AH125">ROW(_xlfn.ANCHORARRAY(AI5))-ROW()+1</f>
        <v>1</v>
      </c>
      <c r="AI5" s="38" cm="1">
        <f t="array" ref="AI5:AI125">DATE(YEAR(_xlfn.ANCHORARRAY(AK5)),MONTH(_xlfn.ANCHORARRAY(AK5)),RollDay)</f>
        <v>45463</v>
      </c>
      <c r="AJ5" s="49" cm="1">
        <f t="array" ref="AJ5:AJ125">_xlfn.UNIQUE(_xlfn._xlws.SORT(StartDateSchedule($AF$9,EndDate,PaymentFrequency,Holidays_Applied,BusinessDayConvention,RollUserSpecifiedDates,FirstCouponEndDate,LastCouponStartDate,StubType)))</f>
        <v>45380</v>
      </c>
      <c r="AK5" s="39" cm="1">
        <f t="array" ref="AK5:AK125">_xlfn.LET(
    _xlpm.RolledEndDate, IF(RollUserSpecifiedDates, RollDate(EndDate, Holidays_Applied, BusinessDayConvention), EndDate),
    IF(COUNT(_xlfn.ANCHORARRAY(AJ5))=1, _xlpm.RolledEndDate, _xlfn.VSTACK(_xlfn.DROP(_xlfn.ANCHORARRAY(AJ5),1), _xlpm.RolledEndDate))
)</f>
        <v>45463</v>
      </c>
      <c r="AL5" s="40" cm="1">
        <f t="array" ref="AL5:AL125">YEARFRAC(_xlfn.CHOOSECOLS(_xlfn.ANCHORARRAY(AJ5),1),_xlfn.CHOOSECOLS(_xlfn.ANCHORARRAY(AK5),1),DayCountBasisIndexCoupon)</f>
        <v>0.23055555555555557</v>
      </c>
      <c r="AM5" s="39" cm="1">
        <f t="array" ref="AM5:AM125">OffsetDateRangeByBusinessDays(_xlfn.ANCHORARRAY(AK5),PaymentOffset,Holidays_Applied)</f>
        <v>45463</v>
      </c>
      <c r="AN5" s="41" cm="1">
        <f t="array" ref="AN5:AN125">YEARFRAC(_xlfn.CHOOSECOLS(_xlfn.ANCHORARRAY(AH5)*0+ValueDate,1),_xlfn.CHOOSECOLS(_xlfn.ANCHORARRAY(AM5),1),DayCountBasisIndexDate2YearFrac)</f>
        <v>0.22191780821917809</v>
      </c>
      <c r="AO5" s="41" cm="1">
        <f t="array" ref="AO5:AO125">_xlfn.ANCHORARRAY(AN5)-IF(COUNT(_xlfn.ANCHORARRAY(AN5))=1,0,_xlfn.VSTACK(0,_xlfn.DROP(_xlfn.ANCHORARRAY(AN5),-1)))</f>
        <v>0.22191780821917809</v>
      </c>
      <c r="AP5" s="53" cm="1">
        <f t="array" ref="AP5:AP125">Linterp(RF_DF_Input[Maturity Date],RF_DF_Input[Risk Free Discount Factor],_xlfn.ANCHORARRAY($AM$5),-1,TRUE)</f>
        <v>0.98790100024214711</v>
      </c>
      <c r="AR5" s="50" cm="1">
        <f t="array" ref="AR5:AR125">CouponPremium*Notional*_xlfn.ANCHORARRAY(AL5)</f>
        <v>230555.55555555556</v>
      </c>
      <c r="AT5" s="101" cm="1">
        <f t="array" ref="AT5:AT125">_xlfn.XLOOKUP(_xlfn.ANCHORARRAY(AI5),$U$5:$U$24,$AB$5:$AB$24,,1)</f>
        <v>1.7060647189024669E-2</v>
      </c>
      <c r="AU5" s="83" cm="1">
        <f t="array" ref="AU5:AU125">EXP(-_xlfn.ANCHORARRAY(AT5)*_xlfn.ANCHORARRAY(AO5))</f>
        <v>0.99622109666307979</v>
      </c>
      <c r="AV5" s="96" cm="1">
        <f t="array" ref="AV5:AV125">EXP(_xlfn.SCAN(0,_xlfn.ANCHORARRAY( AU5), _xlfn.LAMBDA(_xlpm.acc,_xlpm.x, _xlpm.acc + LN(_xlpm.x))))</f>
        <v>0.99622109666307979</v>
      </c>
      <c r="AW5" s="83" cm="1">
        <f t="array" ref="AW5:AW125">100%-_xlfn.ANCHORARRAY(AV5)</f>
        <v>3.7789033369202141E-3</v>
      </c>
      <c r="AX5" s="97" cm="1">
        <f t="array" ref="AX5">_xlfn._xlws.FILTER(_xlfn.ANCHORARRAY(AW5),_xlfn.ANCHORARRAY(AH5)=1)</f>
        <v>3.7789033369202141E-3</v>
      </c>
      <c r="AY5" s="83" cm="1">
        <f t="array" ref="AY5:AY125">IF(COUNT(_xlfn.ANCHORARRAY(AH5))=1,AX5,_xlfn.VSTACK(AX5,_xlfn.ANCHORARRAY(AX6)))</f>
        <v>3.7789033369202141E-3</v>
      </c>
      <c r="AZ5" s="51" cm="1">
        <f t="array" ref="AZ5:AZ125">_xlfn.ANCHORARRAY(AR5)*RiskFreeDiscountFactors*_xlfn.ANCHORARRAY(AV5)</f>
        <v>226905.35800563937</v>
      </c>
      <c r="BA5" s="50" cm="1">
        <f t="array" ref="BA5:BA125">Notional*_xlfn.ANCHORARRAY(AY5)*RiskFreeDiscountFactors*LossGivenDefault</f>
        <v>223990.94318171201</v>
      </c>
      <c r="BB5" s="50" cm="1">
        <f t="array" ref="BB5:BB125">Notional*ParSpread*_xlfn.ANCHORARRAY(AL5)*RiskFreeDiscountFactors*_xlfn.ANCHORARRAY(AV5)</f>
        <v>226905.35800563937</v>
      </c>
      <c r="BC5" s="50" cm="1">
        <f t="array" ref="BC5:BC125">(ParSpread-CouponPremium)*Notional*_xlfn.ANCHORARRAY(AL5)*_xlfn.ANCHORARRAY(AP5)*_xlfn.ANCHORARRAY(AV5)</f>
        <v>0</v>
      </c>
      <c r="BE5" s="83" cm="1">
        <f t="array" ref="BE5:BE125">_xlfn.ANCHORARRAY(AL5)*0+_xlfn.XLOOKUP(CurrentTenor,$W$5:$W$24,$AC$5:$AC$24)</f>
        <v>1.6868742010052409E-2</v>
      </c>
      <c r="BF5" s="83" cm="1">
        <f t="array" ref="BF5:BF125">EXP(-_xlfn.ANCHORARRAY(BE5)*_xlfn.ANCHORARRAY(AN5))</f>
        <v>0.99626352381037886</v>
      </c>
      <c r="BG5" s="83" cm="1">
        <f t="array" ref="BG5:BG125">100%-_xlfn.ANCHORARRAY(BF5)</f>
        <v>3.7364761896211407E-3</v>
      </c>
      <c r="BH5" s="97" cm="1">
        <f t="array" ref="BH5">_xlfn._xlws.FILTER(_xlfn.ANCHORARRAY(BG5),_xlfn.ANCHORARRAY(AH5)=1)</f>
        <v>3.7364761896211407E-3</v>
      </c>
      <c r="BI5" s="83" cm="1">
        <f t="array" ref="BI5:BI125">IF(COUNT(_xlfn.ANCHORARRAY(AH5))=1,BH5,_xlfn.VSTACK(BH5,_xlfn.ANCHORARRAY(BH6)))</f>
        <v>3.7364761896211407E-3</v>
      </c>
      <c r="BJ5" s="51" cm="1">
        <f t="array" ref="BJ5:BJ125">_xlfn.ANCHORARRAY(AR5)*_xlfn.ANCHORARRAY(AP5)*_xlfn.ANCHORARRAY(BF5)</f>
        <v>226915.02146998409</v>
      </c>
      <c r="BK5" s="37" cm="1">
        <f t="array" ref="BK5:BK125">Notional*_xlfn.ANCHORARRAY(BI5)*RiskFreeDiscountFactors*LossGivenDefault</f>
        <v>221476.11390646148</v>
      </c>
      <c r="BL5" s="50" cm="1">
        <f t="array" ref="BL5:BL125">QuotedSpread*_xlfn.ANCHORARRAY(AL5)*RiskFreeDiscountFactors*Notional*_xlfn.ANCHORARRAY(BF5)</f>
        <v>226915.02146998409</v>
      </c>
      <c r="BM5" s="37" cm="1">
        <f t="array" ref="BM5:BM125">(QuotedSpread-CouponPremium)*Notional*_xlfn.ANCHORARRAY(AL5)*_xlfn.ANCHORARRAY(AP5)*_xlfn.ANCHORARRAY(BF5)</f>
        <v>0</v>
      </c>
    </row>
    <row r="6" spans="2:65" x14ac:dyDescent="0.2">
      <c r="B6" s="35">
        <f>B5+1</f>
        <v>2</v>
      </c>
      <c r="C6" s="35" t="s">
        <v>5</v>
      </c>
      <c r="D6" s="35">
        <v>0.5</v>
      </c>
      <c r="E6" s="35">
        <f>CDS_Tenor_Definitions[[#This Row],[Year offset]]*12</f>
        <v>6</v>
      </c>
      <c r="F6" s="42">
        <f t="shared" si="0"/>
        <v>45371</v>
      </c>
      <c r="G6" s="42">
        <f>EDATE($F$39,CDS_Tenor_Definitions[[#This Row],[Month offset]]-12)</f>
        <v>45646</v>
      </c>
      <c r="H6" s="45">
        <f t="shared" si="1"/>
        <v>0.72131147540983609</v>
      </c>
      <c r="I6" s="29" t="b">
        <f>_xlfn.XLOOKUP(CDS_Tenor_Definitions[[#This Row],[Tenor]],UserInput!$C$23:$C$34,UserInput!$H$23:$H$34,FALSE)</f>
        <v>1</v>
      </c>
      <c r="J6" s="42"/>
      <c r="K6" s="46">
        <v>2</v>
      </c>
      <c r="L6" s="36">
        <v>45646</v>
      </c>
      <c r="M6" s="45">
        <v>0.72131147540983609</v>
      </c>
      <c r="N6" s="42" t="str">
        <v>6M</v>
      </c>
      <c r="O6" s="47">
        <v>0</v>
      </c>
      <c r="P6" s="47">
        <v>0</v>
      </c>
      <c r="Q6" s="47">
        <v>0.01</v>
      </c>
      <c r="R6" s="48">
        <v>0</v>
      </c>
      <c r="S6" s="42"/>
      <c r="T6" s="46">
        <v>2</v>
      </c>
      <c r="U6" s="36">
        <v>45646</v>
      </c>
      <c r="V6" s="45">
        <v>0.72131147540983609</v>
      </c>
      <c r="W6" s="42" t="str">
        <v>6M</v>
      </c>
      <c r="X6" s="92">
        <v>0.01</v>
      </c>
      <c r="Y6" s="92">
        <v>0</v>
      </c>
      <c r="Z6" s="92">
        <v>0.01</v>
      </c>
      <c r="AA6" s="48">
        <v>1.2215174228515702E-2</v>
      </c>
      <c r="AB6" s="88">
        <v>1.6862652173160724E-2</v>
      </c>
      <c r="AC6" s="89">
        <v>1.6993485837158925E-2</v>
      </c>
      <c r="AD6" s="42"/>
      <c r="AE6" s="35" t="s">
        <v>61</v>
      </c>
      <c r="AF6" s="37">
        <v>100000000</v>
      </c>
      <c r="AH6" s="37">
        <v>2</v>
      </c>
      <c r="AI6" s="38">
        <v>45555</v>
      </c>
      <c r="AJ6" s="39">
        <v>45463</v>
      </c>
      <c r="AK6" s="39">
        <v>45555</v>
      </c>
      <c r="AL6" s="40">
        <v>0.25555555555555554</v>
      </c>
      <c r="AM6" s="39">
        <v>45555</v>
      </c>
      <c r="AN6" s="41">
        <v>0.47397260273972602</v>
      </c>
      <c r="AO6" s="41">
        <v>0.25205479452054791</v>
      </c>
      <c r="AP6" s="53">
        <v>0.97511015857750194</v>
      </c>
      <c r="AR6" s="50">
        <v>255555.55555555553</v>
      </c>
      <c r="AT6" s="101">
        <v>1.7060647189024669E-2</v>
      </c>
      <c r="AU6" s="83">
        <v>0.99570901477652374</v>
      </c>
      <c r="AV6" s="96">
        <v>0.99194632665798321</v>
      </c>
      <c r="AW6" s="83">
        <v>8.0536733420167872E-3</v>
      </c>
      <c r="AX6" s="83" cm="1">
        <f t="array" ref="AX6:AX125">IF(COUNT(_xlfn.ANCHORARRAY(AH5))&gt;1,_xlfn.DROP(_xlfn.ANCHORARRAY(AW5),1)-_xlfn.DROP(_xlfn.ANCHORARRAY(AW5),-1))</f>
        <v>4.2747700050965731E-3</v>
      </c>
      <c r="AY6" s="83">
        <v>4.2747700050965731E-3</v>
      </c>
      <c r="AZ6" s="51">
        <v>247187.88463800264</v>
      </c>
      <c r="BA6" s="50">
        <v>250102.29945312408</v>
      </c>
      <c r="BB6" s="50">
        <v>247187.88463800264</v>
      </c>
      <c r="BC6" s="50">
        <v>0</v>
      </c>
      <c r="BE6" s="83">
        <v>1.6868742010052409E-2</v>
      </c>
      <c r="BF6" s="83">
        <v>0.99203655601422325</v>
      </c>
      <c r="BG6" s="83">
        <v>7.9634439857767525E-3</v>
      </c>
      <c r="BH6" s="83" cm="1">
        <f t="array" ref="BH6:BH125">IF(COUNT(_xlfn.ANCHORARRAY(AH5))&gt;1,_xlfn.DROP(_xlfn.ANCHORARRAY(BG5),1)-_xlfn.DROP(_xlfn.ANCHORARRAY(BG5),-1))</f>
        <v>4.2269677961556118E-3</v>
      </c>
      <c r="BI6" s="83">
        <v>4.2269677961556118E-3</v>
      </c>
      <c r="BJ6" s="37">
        <v>247210.36932603648</v>
      </c>
      <c r="BK6" s="37">
        <v>247305.55428067755</v>
      </c>
      <c r="BL6" s="50">
        <v>247210.36932603651</v>
      </c>
      <c r="BM6" s="37">
        <v>0</v>
      </c>
    </row>
    <row r="7" spans="2:65" x14ac:dyDescent="0.2">
      <c r="B7" s="35">
        <f t="shared" ref="B7:B22" si="2">B6+1</f>
        <v>3</v>
      </c>
      <c r="C7" s="35" t="s">
        <v>96</v>
      </c>
      <c r="D7" s="35">
        <v>0.75</v>
      </c>
      <c r="E7" s="35">
        <f>CDS_Tenor_Definitions[[#This Row],[Year offset]]*12</f>
        <v>9</v>
      </c>
      <c r="F7" s="42">
        <f t="shared" si="0"/>
        <v>45371</v>
      </c>
      <c r="G7" s="42">
        <f>EDATE($F$39,CDS_Tenor_Definitions[[#This Row],[Month offset]]-12)</f>
        <v>45736</v>
      </c>
      <c r="H7" s="45">
        <f t="shared" si="1"/>
        <v>0.96986301369863015</v>
      </c>
      <c r="I7" s="29" t="b">
        <f>_xlfn.XLOOKUP(CDS_Tenor_Definitions[[#This Row],[Tenor]],UserInput!$C$23:$C$34,UserInput!$H$23:$H$34,FALSE)</f>
        <v>0</v>
      </c>
      <c r="J7" s="42"/>
      <c r="K7" s="46">
        <v>3</v>
      </c>
      <c r="L7" s="36">
        <v>45828</v>
      </c>
      <c r="M7" s="45">
        <v>1.2202462380300958</v>
      </c>
      <c r="N7" s="42" t="str">
        <v>1Y</v>
      </c>
      <c r="O7" s="47">
        <v>0</v>
      </c>
      <c r="P7" s="47">
        <v>0</v>
      </c>
      <c r="Q7" s="47">
        <v>0.01</v>
      </c>
      <c r="R7" s="48">
        <v>0</v>
      </c>
      <c r="S7" s="42"/>
      <c r="T7" s="46">
        <v>3</v>
      </c>
      <c r="U7" s="36">
        <v>45828</v>
      </c>
      <c r="V7" s="45">
        <v>1.2202462380300958</v>
      </c>
      <c r="W7" s="42" t="str">
        <v>1Y</v>
      </c>
      <c r="X7" s="92">
        <v>0.01</v>
      </c>
      <c r="Y7" s="92">
        <v>0</v>
      </c>
      <c r="Z7" s="92">
        <v>0.01</v>
      </c>
      <c r="AA7" s="48">
        <v>2.0485872503154146E-2</v>
      </c>
      <c r="AB7" s="88">
        <v>1.6862650834484721E-2</v>
      </c>
      <c r="AC7" s="89">
        <v>1.6941330026486921E-2</v>
      </c>
      <c r="AD7" s="42"/>
      <c r="AE7" s="35" t="s">
        <v>3</v>
      </c>
      <c r="AF7" s="35" t="str" cm="1">
        <f t="array" ref="AF7">_xlfn.XLOOKUP(Index,_xlfn.ANCHORARRAY(K5),_xlfn.ANCHORARRAY(N5))</f>
        <v>30Y</v>
      </c>
      <c r="AH7" s="51">
        <v>3</v>
      </c>
      <c r="AI7" s="38">
        <v>45646</v>
      </c>
      <c r="AJ7" s="52">
        <v>45555</v>
      </c>
      <c r="AK7" s="38">
        <v>45646</v>
      </c>
      <c r="AL7" s="40">
        <v>0.25277777777777777</v>
      </c>
      <c r="AM7" s="39">
        <v>45646</v>
      </c>
      <c r="AN7" s="41">
        <v>0.72328767123287674</v>
      </c>
      <c r="AO7" s="41">
        <v>0.24931506849315072</v>
      </c>
      <c r="AP7" s="53">
        <v>0.96327356231694661</v>
      </c>
      <c r="AQ7" s="51"/>
      <c r="AR7" s="50">
        <v>252777.77777777778</v>
      </c>
      <c r="AS7" s="51"/>
      <c r="AT7" s="101">
        <v>1.6862652173160724E-2</v>
      </c>
      <c r="AU7" s="83">
        <v>0.99580471163140483</v>
      </c>
      <c r="AV7" s="96">
        <v>0.9877848257714843</v>
      </c>
      <c r="AW7" s="83">
        <v>1.2215174228515702E-2</v>
      </c>
      <c r="AX7" s="83">
        <v>4.1615008864989145E-3</v>
      </c>
      <c r="AY7" s="83">
        <v>4.1615008864989145E-3</v>
      </c>
      <c r="AZ7" s="51">
        <v>240519.82700289032</v>
      </c>
      <c r="BA7" s="50">
        <v>240519.82701137642</v>
      </c>
      <c r="BB7" s="50">
        <v>240519.82700289032</v>
      </c>
      <c r="BC7" s="50">
        <v>0</v>
      </c>
      <c r="BD7" s="51"/>
      <c r="BE7" s="83">
        <v>1.6868742010052409E-2</v>
      </c>
      <c r="BF7" s="83">
        <v>0.98787317671232677</v>
      </c>
      <c r="BG7" s="83">
        <v>1.2126823287673227E-2</v>
      </c>
      <c r="BH7" s="83">
        <v>4.1633793018964749E-3</v>
      </c>
      <c r="BI7" s="83">
        <v>4.1633793018964749E-3</v>
      </c>
      <c r="BJ7" s="51">
        <v>240541.33994017437</v>
      </c>
      <c r="BK7" s="51">
        <v>240628.39268486755</v>
      </c>
      <c r="BL7" s="50">
        <v>240541.33994017437</v>
      </c>
      <c r="BM7" s="51">
        <v>0</v>
      </c>
    </row>
    <row r="8" spans="2:65" x14ac:dyDescent="0.2">
      <c r="B8" s="35">
        <f t="shared" si="2"/>
        <v>4</v>
      </c>
      <c r="C8" s="35" t="s">
        <v>6</v>
      </c>
      <c r="D8" s="35">
        <v>1</v>
      </c>
      <c r="E8" s="35">
        <f>CDS_Tenor_Definitions[[#This Row],[Year offset]]*12</f>
        <v>12</v>
      </c>
      <c r="F8" s="42">
        <f t="shared" si="0"/>
        <v>45371</v>
      </c>
      <c r="G8" s="42">
        <f>EDATE($F$39,CDS_Tenor_Definitions[[#This Row],[Month offset]]-12)</f>
        <v>45828</v>
      </c>
      <c r="H8" s="45">
        <f t="shared" si="1"/>
        <v>1.2202462380300958</v>
      </c>
      <c r="I8" s="29" t="b">
        <f>_xlfn.XLOOKUP(CDS_Tenor_Definitions[[#This Row],[Tenor]],UserInput!$C$23:$C$34,UserInput!$H$23:$H$34,FALSE)</f>
        <v>1</v>
      </c>
      <c r="J8" s="42"/>
      <c r="K8" s="46">
        <v>4</v>
      </c>
      <c r="L8" s="36">
        <v>46193</v>
      </c>
      <c r="M8" s="45">
        <v>2.2198905109489053</v>
      </c>
      <c r="N8" s="42" t="str">
        <v>2Y</v>
      </c>
      <c r="O8" s="47">
        <v>0</v>
      </c>
      <c r="P8" s="47">
        <v>0</v>
      </c>
      <c r="Q8" s="47">
        <v>0.01</v>
      </c>
      <c r="R8" s="48">
        <v>0</v>
      </c>
      <c r="S8" s="42"/>
      <c r="T8" s="46">
        <v>4</v>
      </c>
      <c r="U8" s="36">
        <v>46193</v>
      </c>
      <c r="V8" s="45">
        <v>2.2198905109489053</v>
      </c>
      <c r="W8" s="42" t="str">
        <v>2Y</v>
      </c>
      <c r="X8" s="92">
        <v>0.01</v>
      </c>
      <c r="Y8" s="92">
        <v>0</v>
      </c>
      <c r="Z8" s="92">
        <v>0.01</v>
      </c>
      <c r="AA8" s="48">
        <v>3.6953274023842742E-2</v>
      </c>
      <c r="AB8" s="88">
        <v>1.6862332227587491E-2</v>
      </c>
      <c r="AC8" s="89">
        <v>1.6906956600035244E-2</v>
      </c>
      <c r="AD8" s="42"/>
      <c r="AE8" s="73" t="s">
        <v>118</v>
      </c>
      <c r="AF8" s="42">
        <f>_xlfn.XLOOKUP(AF7,CDS_Tenor_Definitions[Tenor],CDS_Tenor_Definitions[Effective Date])</f>
        <v>45371</v>
      </c>
      <c r="AH8" s="51">
        <v>4</v>
      </c>
      <c r="AI8" s="38">
        <v>45736</v>
      </c>
      <c r="AJ8" s="52">
        <v>45646</v>
      </c>
      <c r="AK8" s="39">
        <v>45736</v>
      </c>
      <c r="AL8" s="40">
        <v>0.25</v>
      </c>
      <c r="AM8" s="39">
        <v>45736</v>
      </c>
      <c r="AN8" s="41">
        <v>0.96986301369863015</v>
      </c>
      <c r="AO8" s="41">
        <v>0.24657534246575341</v>
      </c>
      <c r="AP8" s="53">
        <v>0.95238508796135302</v>
      </c>
      <c r="AQ8" s="53"/>
      <c r="AR8" s="50">
        <v>250000</v>
      </c>
      <c r="AS8" s="53"/>
      <c r="AT8" s="101">
        <v>1.6862650834484721E-2</v>
      </c>
      <c r="AU8" s="83">
        <v>0.99585071825156002</v>
      </c>
      <c r="AV8" s="96">
        <v>0.98368622822252472</v>
      </c>
      <c r="AW8" s="83">
        <v>1.6313771777475283E-2</v>
      </c>
      <c r="AX8" s="83">
        <v>4.0985975489595816E-3</v>
      </c>
      <c r="AY8" s="83">
        <v>4.0985975489595816E-3</v>
      </c>
      <c r="AZ8" s="51">
        <v>234212.0237480202</v>
      </c>
      <c r="BA8" s="50">
        <v>234206.59123104342</v>
      </c>
      <c r="BB8" s="50">
        <v>234212.0237480202</v>
      </c>
      <c r="BC8" s="50">
        <v>0</v>
      </c>
      <c r="BD8" s="53"/>
      <c r="BE8" s="83">
        <v>1.6868742010052409E-2</v>
      </c>
      <c r="BF8" s="83">
        <v>0.98377273500788576</v>
      </c>
      <c r="BG8" s="83">
        <v>1.6227264992114243E-2</v>
      </c>
      <c r="BH8" s="83">
        <v>4.1004417044410157E-3</v>
      </c>
      <c r="BI8" s="83">
        <v>4.1004417044410157E-3</v>
      </c>
      <c r="BJ8" s="51">
        <v>234232.62069111652</v>
      </c>
      <c r="BK8" s="51">
        <v>234311.9720018674</v>
      </c>
      <c r="BL8" s="50">
        <v>234232.62069111652</v>
      </c>
      <c r="BM8" s="51">
        <v>0</v>
      </c>
    </row>
    <row r="9" spans="2:65" x14ac:dyDescent="0.2">
      <c r="B9" s="35">
        <f t="shared" si="2"/>
        <v>5</v>
      </c>
      <c r="C9" s="35" t="s">
        <v>7</v>
      </c>
      <c r="D9" s="35">
        <v>2</v>
      </c>
      <c r="E9" s="35">
        <f>CDS_Tenor_Definitions[[#This Row],[Year offset]]*12</f>
        <v>24</v>
      </c>
      <c r="F9" s="42">
        <f t="shared" si="0"/>
        <v>45371</v>
      </c>
      <c r="G9" s="42">
        <f>EDATE($F$39,CDS_Tenor_Definitions[[#This Row],[Month offset]]-12)</f>
        <v>46193</v>
      </c>
      <c r="H9" s="45">
        <f t="shared" si="1"/>
        <v>2.2198905109489053</v>
      </c>
      <c r="I9" s="29" t="b">
        <f>_xlfn.XLOOKUP(CDS_Tenor_Definitions[[#This Row],[Tenor]],UserInput!$C$23:$C$34,UserInput!$H$23:$H$34,FALSE)</f>
        <v>1</v>
      </c>
      <c r="J9" s="42"/>
      <c r="K9" s="46">
        <v>5</v>
      </c>
      <c r="L9" s="36">
        <v>46558</v>
      </c>
      <c r="M9" s="45">
        <v>3.2197125256673513</v>
      </c>
      <c r="N9" s="42" t="str">
        <v>3Y</v>
      </c>
      <c r="O9" s="47">
        <v>0</v>
      </c>
      <c r="P9" s="47">
        <v>0</v>
      </c>
      <c r="Q9" s="47">
        <v>0.01</v>
      </c>
      <c r="R9" s="48">
        <v>0</v>
      </c>
      <c r="S9" s="42"/>
      <c r="T9" s="46">
        <v>5</v>
      </c>
      <c r="U9" s="36">
        <v>46558</v>
      </c>
      <c r="V9" s="45">
        <v>3.2197125256673513</v>
      </c>
      <c r="W9" s="42" t="str">
        <v>3Y</v>
      </c>
      <c r="X9" s="92">
        <v>0.01</v>
      </c>
      <c r="Y9" s="92">
        <v>0</v>
      </c>
      <c r="Z9" s="92">
        <v>0.01</v>
      </c>
      <c r="AA9" s="48">
        <v>5.3012892775774034E-2</v>
      </c>
      <c r="AB9" s="88">
        <v>1.686265217309681E-2</v>
      </c>
      <c r="AC9" s="89">
        <v>1.6894093469923321E-2</v>
      </c>
      <c r="AD9" s="42"/>
      <c r="AE9" s="108" t="s">
        <v>265</v>
      </c>
      <c r="AF9" s="42">
        <f>MAX(StartDate,ValueDate)</f>
        <v>45382</v>
      </c>
      <c r="AH9" s="51">
        <v>5</v>
      </c>
      <c r="AI9" s="38">
        <v>45828</v>
      </c>
      <c r="AJ9" s="39">
        <v>45736</v>
      </c>
      <c r="AK9" s="39">
        <v>45828</v>
      </c>
      <c r="AL9" s="40">
        <v>0.25555555555555554</v>
      </c>
      <c r="AM9" s="39">
        <v>45828</v>
      </c>
      <c r="AN9" s="41">
        <v>1.2219178082191782</v>
      </c>
      <c r="AO9" s="41">
        <v>0.25205479452054802</v>
      </c>
      <c r="AP9" s="53">
        <v>0.94207831556433719</v>
      </c>
      <c r="AQ9" s="53"/>
      <c r="AR9" s="50">
        <v>255555.55555555553</v>
      </c>
      <c r="AS9" s="53"/>
      <c r="AT9" s="101">
        <v>1.6862650834484721E-2</v>
      </c>
      <c r="AU9" s="83">
        <v>0.9957587078013509</v>
      </c>
      <c r="AV9" s="96">
        <v>0.97951412749684585</v>
      </c>
      <c r="AW9" s="83">
        <v>2.0485872503154146E-2</v>
      </c>
      <c r="AX9" s="83">
        <v>4.1721007256788623E-3</v>
      </c>
      <c r="AY9" s="83">
        <v>4.1721007256788623E-3</v>
      </c>
      <c r="AZ9" s="51">
        <v>235821.30493316773</v>
      </c>
      <c r="BA9" s="50">
        <v>235826.73744073746</v>
      </c>
      <c r="BB9" s="50">
        <v>235821.30493316773</v>
      </c>
      <c r="BC9" s="50">
        <v>0</v>
      </c>
      <c r="BD9" s="53"/>
      <c r="BE9" s="83">
        <v>1.6868742010052409E-2</v>
      </c>
      <c r="BF9" s="83">
        <v>0.97959876339271523</v>
      </c>
      <c r="BG9" s="83">
        <v>2.0401236607284767E-2</v>
      </c>
      <c r="BH9" s="83">
        <v>4.1739716151705242E-3</v>
      </c>
      <c r="BI9" s="83">
        <v>4.1739716151705242E-3</v>
      </c>
      <c r="BJ9" s="51">
        <v>235841.68130840093</v>
      </c>
      <c r="BK9" s="51">
        <v>235932.48890599218</v>
      </c>
      <c r="BL9" s="50">
        <v>235841.68130840093</v>
      </c>
      <c r="BM9" s="51">
        <v>0</v>
      </c>
    </row>
    <row r="10" spans="2:65" x14ac:dyDescent="0.2">
      <c r="B10" s="35">
        <f t="shared" si="2"/>
        <v>6</v>
      </c>
      <c r="C10" s="35" t="s">
        <v>8</v>
      </c>
      <c r="D10" s="35">
        <v>3</v>
      </c>
      <c r="E10" s="35">
        <f>CDS_Tenor_Definitions[[#This Row],[Year offset]]*12</f>
        <v>36</v>
      </c>
      <c r="F10" s="42">
        <f t="shared" si="0"/>
        <v>45371</v>
      </c>
      <c r="G10" s="42">
        <f>EDATE($F$39,CDS_Tenor_Definitions[[#This Row],[Month offset]]-12)</f>
        <v>46558</v>
      </c>
      <c r="H10" s="45">
        <f t="shared" si="1"/>
        <v>3.2197125256673513</v>
      </c>
      <c r="I10" s="29" t="b">
        <f>_xlfn.XLOOKUP(CDS_Tenor_Definitions[[#This Row],[Tenor]],UserInput!$C$23:$C$34,UserInput!$H$23:$H$34,FALSE)</f>
        <v>1</v>
      </c>
      <c r="J10" s="42"/>
      <c r="K10" s="46">
        <v>6</v>
      </c>
      <c r="L10" s="36">
        <v>46924</v>
      </c>
      <c r="M10" s="45">
        <v>4.2200328407224958</v>
      </c>
      <c r="N10" s="42" t="str">
        <v>4Y</v>
      </c>
      <c r="O10" s="47">
        <v>0</v>
      </c>
      <c r="P10" s="47">
        <v>0</v>
      </c>
      <c r="Q10" s="47">
        <v>0.01</v>
      </c>
      <c r="R10" s="48">
        <v>0</v>
      </c>
      <c r="S10" s="42"/>
      <c r="T10" s="46">
        <v>6</v>
      </c>
      <c r="U10" s="36">
        <v>46924</v>
      </c>
      <c r="V10" s="45">
        <v>4.2200328407224958</v>
      </c>
      <c r="W10" s="42" t="str">
        <v>4Y</v>
      </c>
      <c r="X10" s="92">
        <v>0.01</v>
      </c>
      <c r="Y10" s="92">
        <v>0</v>
      </c>
      <c r="Z10" s="92">
        <v>0.01</v>
      </c>
      <c r="AA10" s="48">
        <v>6.8847633627974858E-2</v>
      </c>
      <c r="AB10" s="88">
        <v>1.686255604003125E-2</v>
      </c>
      <c r="AC10" s="89">
        <v>1.6887266302684521E-2</v>
      </c>
      <c r="AD10" s="42"/>
      <c r="AE10" s="73" t="s">
        <v>137</v>
      </c>
      <c r="AF10" s="42">
        <f>_xlfn.XLOOKUP(AF7,CDS_Tenor_Definitions[Tenor],CDS_Tenor_Definitions[Maturity Date])</f>
        <v>56420</v>
      </c>
      <c r="AH10" s="51">
        <v>6</v>
      </c>
      <c r="AI10" s="38">
        <v>45920</v>
      </c>
      <c r="AJ10" s="39">
        <v>45828</v>
      </c>
      <c r="AK10" s="39">
        <v>45922</v>
      </c>
      <c r="AL10" s="40">
        <v>0.26111111111111113</v>
      </c>
      <c r="AM10" s="39">
        <v>45922</v>
      </c>
      <c r="AN10" s="41">
        <v>1.4794520547945205</v>
      </c>
      <c r="AO10" s="41">
        <v>0.2575342465753423</v>
      </c>
      <c r="AP10" s="53">
        <v>0.93217086883500955</v>
      </c>
      <c r="AQ10" s="53"/>
      <c r="AR10" s="50">
        <v>261111.11111111112</v>
      </c>
      <c r="AS10" s="53"/>
      <c r="AT10" s="101">
        <v>1.6862332227587491E-2</v>
      </c>
      <c r="AU10" s="83">
        <v>0.99566678754897298</v>
      </c>
      <c r="AV10" s="96">
        <v>0.97526968468361974</v>
      </c>
      <c r="AW10" s="83">
        <v>2.4730315316380258E-2</v>
      </c>
      <c r="AX10" s="83">
        <v>4.2444428132261125E-3</v>
      </c>
      <c r="AY10" s="83">
        <v>4.2444428132261125E-3</v>
      </c>
      <c r="AZ10" s="51">
        <v>237380.80832243807</v>
      </c>
      <c r="BA10" s="50">
        <v>237392.75669552985</v>
      </c>
      <c r="BB10" s="50">
        <v>237380.80832243807</v>
      </c>
      <c r="BC10" s="50">
        <v>0</v>
      </c>
      <c r="BD10" s="53"/>
      <c r="BE10" s="83">
        <v>1.6868742010052409E-2</v>
      </c>
      <c r="BF10" s="83">
        <v>0.97535234378117963</v>
      </c>
      <c r="BG10" s="83">
        <v>2.4647656218820369E-2</v>
      </c>
      <c r="BH10" s="83">
        <v>4.2464196115356012E-3</v>
      </c>
      <c r="BI10" s="83">
        <v>4.2464196115356012E-3</v>
      </c>
      <c r="BJ10" s="51">
        <v>237400.92756094423</v>
      </c>
      <c r="BK10" s="51">
        <v>237503.31952338992</v>
      </c>
      <c r="BL10" s="50">
        <v>237400.92756094423</v>
      </c>
      <c r="BM10" s="51">
        <v>0</v>
      </c>
    </row>
    <row r="11" spans="2:65" x14ac:dyDescent="0.2">
      <c r="B11" s="35">
        <f t="shared" si="2"/>
        <v>7</v>
      </c>
      <c r="C11" s="35" t="s">
        <v>9</v>
      </c>
      <c r="D11" s="35">
        <v>4</v>
      </c>
      <c r="E11" s="35">
        <f>CDS_Tenor_Definitions[[#This Row],[Year offset]]*12</f>
        <v>48</v>
      </c>
      <c r="F11" s="42">
        <f t="shared" si="0"/>
        <v>45371</v>
      </c>
      <c r="G11" s="42">
        <f>EDATE($F$39,CDS_Tenor_Definitions[[#This Row],[Month offset]]-12)</f>
        <v>46924</v>
      </c>
      <c r="H11" s="45">
        <f t="shared" si="1"/>
        <v>4.2200328407224958</v>
      </c>
      <c r="I11" s="29" t="b">
        <f>_xlfn.XLOOKUP(CDS_Tenor_Definitions[[#This Row],[Tenor]],UserInput!$C$23:$C$34,UserInput!$H$23:$H$34,FALSE)</f>
        <v>1</v>
      </c>
      <c r="J11" s="42"/>
      <c r="K11" s="46">
        <v>7</v>
      </c>
      <c r="L11" s="36">
        <v>47289</v>
      </c>
      <c r="M11" s="45">
        <v>5.2198905109489058</v>
      </c>
      <c r="N11" s="42" t="str">
        <v>5Y</v>
      </c>
      <c r="O11" s="47">
        <v>0</v>
      </c>
      <c r="P11" s="47">
        <v>0</v>
      </c>
      <c r="Q11" s="47">
        <v>0.01</v>
      </c>
      <c r="R11" s="48">
        <v>0</v>
      </c>
      <c r="S11" s="42"/>
      <c r="T11" s="46">
        <v>7</v>
      </c>
      <c r="U11" s="36">
        <v>47289</v>
      </c>
      <c r="V11" s="45">
        <v>5.2198905109489058</v>
      </c>
      <c r="W11" s="42" t="str">
        <v>5Y</v>
      </c>
      <c r="X11" s="92">
        <v>0.01</v>
      </c>
      <c r="Y11" s="92">
        <v>0</v>
      </c>
      <c r="Z11" s="92">
        <v>0.01</v>
      </c>
      <c r="AA11" s="48">
        <v>8.4417594674555563E-2</v>
      </c>
      <c r="AB11" s="88">
        <v>1.6862551375543627E-2</v>
      </c>
      <c r="AC11" s="89">
        <v>1.6883053594738618E-2</v>
      </c>
      <c r="AD11" s="42"/>
      <c r="AE11" s="108" t="s">
        <v>60</v>
      </c>
      <c r="AF11" s="84" cm="1">
        <f t="array" ref="AF11">_xlfn.IFS(
$O$3,_xlfn.XLOOKUP(CurrentTenor,_xlfn.ANCHORARRAY(N5),_xlfn.ANCHORARRAY(O5)),
$X$3,_xlfn.XLOOKUP(CurrentTenor,$W$5:$W$24,$X$5:$X$24))</f>
        <v>0.01</v>
      </c>
      <c r="AH11" s="51">
        <v>7</v>
      </c>
      <c r="AI11" s="38">
        <v>46011</v>
      </c>
      <c r="AJ11" s="39">
        <v>45922</v>
      </c>
      <c r="AK11" s="39">
        <v>46013</v>
      </c>
      <c r="AL11" s="40">
        <v>0.25277777777777777</v>
      </c>
      <c r="AM11" s="39">
        <v>46013</v>
      </c>
      <c r="AN11" s="41">
        <v>1.7287671232876711</v>
      </c>
      <c r="AO11" s="41">
        <v>0.24931506849315066</v>
      </c>
      <c r="AP11" s="53">
        <v>0.92320149160721443</v>
      </c>
      <c r="AQ11" s="53"/>
      <c r="AR11" s="50">
        <v>252777.77777777778</v>
      </c>
      <c r="AS11" s="53"/>
      <c r="AT11" s="101">
        <v>1.6862332227587491E-2</v>
      </c>
      <c r="AU11" s="83">
        <v>0.99580479106401387</v>
      </c>
      <c r="AV11" s="96">
        <v>0.97117822458743863</v>
      </c>
      <c r="AW11" s="83">
        <v>2.8821775412561368E-2</v>
      </c>
      <c r="AX11" s="83">
        <v>4.0914600961811098E-3</v>
      </c>
      <c r="AY11" s="83">
        <v>4.0914600961811098E-3</v>
      </c>
      <c r="AZ11" s="51">
        <v>226638.83301543567</v>
      </c>
      <c r="BA11" s="50">
        <v>226634.52381874787</v>
      </c>
      <c r="BB11" s="50">
        <v>226638.83301543567</v>
      </c>
      <c r="BC11" s="50">
        <v>0</v>
      </c>
      <c r="BD11" s="53"/>
      <c r="BE11" s="83">
        <v>1.6868742010052409E-2</v>
      </c>
      <c r="BF11" s="83">
        <v>0.97125898478595263</v>
      </c>
      <c r="BG11" s="83">
        <v>2.8741015214047372E-2</v>
      </c>
      <c r="BH11" s="83">
        <v>4.0933589952270033E-3</v>
      </c>
      <c r="BI11" s="83">
        <v>4.0933589952270033E-3</v>
      </c>
      <c r="BJ11" s="51">
        <v>226657.67960474535</v>
      </c>
      <c r="BK11" s="51">
        <v>226739.70780464268</v>
      </c>
      <c r="BL11" s="50">
        <v>226657.67960474532</v>
      </c>
      <c r="BM11" s="51">
        <v>0</v>
      </c>
    </row>
    <row r="12" spans="2:65" x14ac:dyDescent="0.2">
      <c r="B12" s="35">
        <f t="shared" si="2"/>
        <v>8</v>
      </c>
      <c r="C12" s="35" t="s">
        <v>10</v>
      </c>
      <c r="D12" s="35">
        <v>5</v>
      </c>
      <c r="E12" s="35">
        <f>CDS_Tenor_Definitions[[#This Row],[Year offset]]*12</f>
        <v>60</v>
      </c>
      <c r="F12" s="42">
        <f t="shared" si="0"/>
        <v>45371</v>
      </c>
      <c r="G12" s="42">
        <f>EDATE($F$39,CDS_Tenor_Definitions[[#This Row],[Month offset]]-12)</f>
        <v>47289</v>
      </c>
      <c r="H12" s="45">
        <f t="shared" si="1"/>
        <v>5.2198905109489058</v>
      </c>
      <c r="I12" s="29" t="b">
        <f>_xlfn.XLOOKUP(CDS_Tenor_Definitions[[#This Row],[Tenor]],UserInput!$C$23:$C$34,UserInput!$H$23:$H$34,FALSE)</f>
        <v>1</v>
      </c>
      <c r="J12" s="42"/>
      <c r="K12" s="46">
        <v>8</v>
      </c>
      <c r="L12" s="36">
        <v>48019</v>
      </c>
      <c r="M12" s="45">
        <v>7.2197125256673509</v>
      </c>
      <c r="N12" s="42" t="str">
        <v>7Y</v>
      </c>
      <c r="O12" s="47">
        <v>0</v>
      </c>
      <c r="P12" s="47">
        <v>0</v>
      </c>
      <c r="Q12" s="47">
        <v>0.01</v>
      </c>
      <c r="R12" s="48">
        <v>0</v>
      </c>
      <c r="S12" s="42"/>
      <c r="T12" s="46">
        <v>8</v>
      </c>
      <c r="U12" s="36">
        <v>48019</v>
      </c>
      <c r="V12" s="45">
        <v>7.2197125256673509</v>
      </c>
      <c r="W12" s="42" t="str">
        <v>7Y</v>
      </c>
      <c r="X12" s="92">
        <v>0.01</v>
      </c>
      <c r="Y12" s="92">
        <v>0</v>
      </c>
      <c r="Z12" s="92">
        <v>0.01</v>
      </c>
      <c r="AA12" s="48">
        <v>0.11478082597536077</v>
      </c>
      <c r="AB12" s="88">
        <v>1.6862551365232934E-2</v>
      </c>
      <c r="AC12" s="89">
        <v>1.6878141074123443E-2</v>
      </c>
      <c r="AD12" s="42"/>
      <c r="AE12" s="108" t="s">
        <v>71</v>
      </c>
      <c r="AF12" s="84" cm="1">
        <f t="array" ref="AF12">_xlfn.IFS(
$Q$3,_xlfn.XLOOKUP(CurrentTenor,_xlfn.ANCHORARRAY(N5),_xlfn.ANCHORARRAY(Q5)),
$Z$3,_xlfn.XLOOKUP(CurrentTenor,$W$5:$W$24,$Z$5:$Z$24))</f>
        <v>0.01</v>
      </c>
      <c r="AH12" s="51">
        <v>8</v>
      </c>
      <c r="AI12" s="38">
        <v>46101</v>
      </c>
      <c r="AJ12" s="39">
        <v>46013</v>
      </c>
      <c r="AK12" s="39">
        <v>46101</v>
      </c>
      <c r="AL12" s="40">
        <v>0.24444444444444444</v>
      </c>
      <c r="AM12" s="39">
        <v>46101</v>
      </c>
      <c r="AN12" s="41">
        <v>1.9698630136986301</v>
      </c>
      <c r="AO12" s="41">
        <v>0.24109589041095902</v>
      </c>
      <c r="AP12" s="53">
        <v>0.91480151704992907</v>
      </c>
      <c r="AQ12" s="53"/>
      <c r="AR12" s="50">
        <v>244444.44444444444</v>
      </c>
      <c r="AS12" s="53"/>
      <c r="AT12" s="101">
        <v>1.6862332227587491E-2</v>
      </c>
      <c r="AU12" s="83">
        <v>0.99594281370691007</v>
      </c>
      <c r="AV12" s="96">
        <v>0.96723797360649499</v>
      </c>
      <c r="AW12" s="83">
        <v>3.2762026393505006E-2</v>
      </c>
      <c r="AX12" s="83">
        <v>3.9402509809436381E-3</v>
      </c>
      <c r="AY12" s="83">
        <v>3.9402509809436381E-3</v>
      </c>
      <c r="AZ12" s="51">
        <v>216291.9649253051</v>
      </c>
      <c r="BA12" s="50">
        <v>216272.85449548266</v>
      </c>
      <c r="BB12" s="50">
        <v>216291.9649253051</v>
      </c>
      <c r="BC12" s="50">
        <v>0</v>
      </c>
      <c r="BD12" s="53"/>
      <c r="BE12" s="83">
        <v>1.6868742010052409E-2</v>
      </c>
      <c r="BF12" s="83">
        <v>0.96731691128000985</v>
      </c>
      <c r="BG12" s="83">
        <v>3.268308871999015E-2</v>
      </c>
      <c r="BH12" s="83">
        <v>3.9420735059427781E-3</v>
      </c>
      <c r="BI12" s="83">
        <v>3.9420735059427781E-3</v>
      </c>
      <c r="BJ12" s="51">
        <v>216309.61682171223</v>
      </c>
      <c r="BK12" s="51">
        <v>216372.88941352713</v>
      </c>
      <c r="BL12" s="50">
        <v>216309.61682171223</v>
      </c>
      <c r="BM12" s="51">
        <v>0</v>
      </c>
    </row>
    <row r="13" spans="2:65" x14ac:dyDescent="0.2">
      <c r="B13" s="35">
        <f t="shared" si="2"/>
        <v>9</v>
      </c>
      <c r="C13" s="35" t="s">
        <v>97</v>
      </c>
      <c r="D13" s="35">
        <v>6</v>
      </c>
      <c r="E13" s="35">
        <f>CDS_Tenor_Definitions[[#This Row],[Year offset]]*12</f>
        <v>72</v>
      </c>
      <c r="F13" s="42">
        <f t="shared" si="0"/>
        <v>45371</v>
      </c>
      <c r="G13" s="42">
        <f>EDATE($F$39,CDS_Tenor_Definitions[[#This Row],[Month offset]]-12)</f>
        <v>47654</v>
      </c>
      <c r="H13" s="45">
        <f t="shared" si="1"/>
        <v>6.2197888150175986</v>
      </c>
      <c r="I13" s="29" t="b">
        <f>_xlfn.XLOOKUP(CDS_Tenor_Definitions[[#This Row],[Tenor]],UserInput!$C$23:$C$34,UserInput!$H$23:$H$34,FALSE)</f>
        <v>0</v>
      </c>
      <c r="J13" s="42"/>
      <c r="K13" s="46">
        <v>9</v>
      </c>
      <c r="L13" s="36">
        <v>49115</v>
      </c>
      <c r="M13" s="45">
        <v>10.219761075161772</v>
      </c>
      <c r="N13" s="42" t="str">
        <v>10Y</v>
      </c>
      <c r="O13" s="47">
        <v>0</v>
      </c>
      <c r="P13" s="47">
        <v>0</v>
      </c>
      <c r="Q13" s="47">
        <v>0.01</v>
      </c>
      <c r="R13" s="48">
        <v>0</v>
      </c>
      <c r="S13" s="42"/>
      <c r="T13" s="46">
        <v>9</v>
      </c>
      <c r="U13" s="36">
        <v>49115</v>
      </c>
      <c r="V13" s="45">
        <v>10.219761075161772</v>
      </c>
      <c r="W13" s="42" t="str">
        <v>10Y</v>
      </c>
      <c r="X13" s="92">
        <v>0.01</v>
      </c>
      <c r="Y13" s="92">
        <v>0</v>
      </c>
      <c r="Z13" s="92">
        <v>0.01</v>
      </c>
      <c r="AA13" s="48">
        <v>0.15848694047769663</v>
      </c>
      <c r="AB13" s="88">
        <v>1.6862512366696242E-2</v>
      </c>
      <c r="AC13" s="89">
        <v>1.6874397662504665E-2</v>
      </c>
      <c r="AD13" s="42"/>
      <c r="AE13" s="108" t="s">
        <v>261</v>
      </c>
      <c r="AF13" s="83">
        <f>CouponPremiumBPS*1%%</f>
        <v>0.01</v>
      </c>
      <c r="AH13" s="51">
        <v>9</v>
      </c>
      <c r="AI13" s="38">
        <v>46193</v>
      </c>
      <c r="AJ13" s="39">
        <v>46101</v>
      </c>
      <c r="AK13" s="39">
        <v>46195</v>
      </c>
      <c r="AL13" s="40">
        <v>0.26111111111111113</v>
      </c>
      <c r="AM13" s="39">
        <v>46195</v>
      </c>
      <c r="AN13" s="41">
        <v>2.2273972602739724</v>
      </c>
      <c r="AO13" s="41">
        <v>0.2575342465753423</v>
      </c>
      <c r="AP13" s="53">
        <v>0.90628308419593928</v>
      </c>
      <c r="AQ13" s="53"/>
      <c r="AR13" s="37">
        <v>261111.11111111112</v>
      </c>
      <c r="AS13" s="53"/>
      <c r="AT13" s="101">
        <v>1.6862332227587491E-2</v>
      </c>
      <c r="AU13" s="83">
        <v>0.99566678754897298</v>
      </c>
      <c r="AV13" s="96">
        <v>0.96304672597615726</v>
      </c>
      <c r="AW13" s="83">
        <v>3.6953274023842742E-2</v>
      </c>
      <c r="AX13" s="83">
        <v>4.1912476303377355E-3</v>
      </c>
      <c r="AY13" s="83">
        <v>4.1912476303377355E-3</v>
      </c>
      <c r="AZ13" s="37">
        <v>227895.93878331251</v>
      </c>
      <c r="BA13" s="50">
        <v>227907.40974308431</v>
      </c>
      <c r="BB13" s="37">
        <v>227895.93878331251</v>
      </c>
      <c r="BC13" s="37">
        <v>0</v>
      </c>
      <c r="BD13" s="53"/>
      <c r="BE13" s="83">
        <v>1.6868742010052409E-2</v>
      </c>
      <c r="BF13" s="83">
        <v>0.96312373172922794</v>
      </c>
      <c r="BG13" s="83">
        <v>3.6876268270772061E-2</v>
      </c>
      <c r="BH13" s="83">
        <v>4.1931795507819114E-3</v>
      </c>
      <c r="BI13" s="83">
        <v>4.1931795507819114E-3</v>
      </c>
      <c r="BJ13" s="51">
        <v>227914.16146962089</v>
      </c>
      <c r="BK13" s="51">
        <v>228012.46175219843</v>
      </c>
      <c r="BL13" s="37">
        <v>227914.16146962089</v>
      </c>
      <c r="BM13" s="51">
        <v>0</v>
      </c>
    </row>
    <row r="14" spans="2:65" x14ac:dyDescent="0.2">
      <c r="B14" s="35">
        <f t="shared" si="2"/>
        <v>10</v>
      </c>
      <c r="C14" s="35" t="s">
        <v>11</v>
      </c>
      <c r="D14" s="35">
        <v>7</v>
      </c>
      <c r="E14" s="35">
        <f>CDS_Tenor_Definitions[[#This Row],[Year offset]]*12</f>
        <v>84</v>
      </c>
      <c r="F14" s="42">
        <f t="shared" si="0"/>
        <v>45371</v>
      </c>
      <c r="G14" s="42">
        <f>EDATE($F$39,CDS_Tenor_Definitions[[#This Row],[Month offset]]-12)</f>
        <v>48019</v>
      </c>
      <c r="H14" s="45">
        <f t="shared" si="1"/>
        <v>7.2197125256673509</v>
      </c>
      <c r="I14" s="29" t="b">
        <f>_xlfn.XLOOKUP(CDS_Tenor_Definitions[[#This Row],[Tenor]],UserInput!$C$23:$C$34,UserInput!$H$23:$H$34,FALSE)</f>
        <v>1</v>
      </c>
      <c r="J14" s="42"/>
      <c r="K14" s="46">
        <v>10</v>
      </c>
      <c r="L14" s="36">
        <v>50941</v>
      </c>
      <c r="M14" s="45">
        <v>15.219712525667351</v>
      </c>
      <c r="N14" s="42" t="str">
        <v>15Y</v>
      </c>
      <c r="O14" s="47">
        <v>0</v>
      </c>
      <c r="P14" s="47">
        <v>0</v>
      </c>
      <c r="Q14" s="47">
        <v>0.01</v>
      </c>
      <c r="R14" s="48">
        <v>0</v>
      </c>
      <c r="S14" s="42"/>
      <c r="T14" s="46">
        <v>10</v>
      </c>
      <c r="U14" s="36">
        <v>50941</v>
      </c>
      <c r="V14" s="45">
        <v>15.219712525667351</v>
      </c>
      <c r="W14" s="42" t="str">
        <v>15Y</v>
      </c>
      <c r="X14" s="92">
        <v>0.01</v>
      </c>
      <c r="Y14" s="92">
        <v>0</v>
      </c>
      <c r="Z14" s="92">
        <v>0.01</v>
      </c>
      <c r="AA14" s="48">
        <v>0.22659982994191441</v>
      </c>
      <c r="AB14" s="88">
        <v>1.6862507298103676E-2</v>
      </c>
      <c r="AC14" s="89">
        <v>1.6871504874081129E-2</v>
      </c>
      <c r="AD14" s="42"/>
      <c r="AE14" s="35" t="s">
        <v>75</v>
      </c>
      <c r="AF14" s="50">
        <f>IF(StartDate&gt;=ValueDate,0, (YEARFRAC(StartDate,ValueDate,DayCountBasisIndexCoupon)))*Notional*CouponPremium</f>
        <v>30555.555555555555</v>
      </c>
      <c r="AH14" s="51">
        <v>10</v>
      </c>
      <c r="AI14" s="38">
        <v>46285</v>
      </c>
      <c r="AJ14" s="39">
        <v>46195</v>
      </c>
      <c r="AK14" s="39">
        <v>46286</v>
      </c>
      <c r="AL14" s="40">
        <v>0.25277777777777777</v>
      </c>
      <c r="AM14" s="39">
        <v>46286</v>
      </c>
      <c r="AN14" s="41">
        <v>2.4767123287671233</v>
      </c>
      <c r="AO14" s="41">
        <v>0.24931506849315088</v>
      </c>
      <c r="AP14" s="53">
        <v>0.89816585544683381</v>
      </c>
      <c r="AQ14" s="53"/>
      <c r="AR14" s="37">
        <v>252777.77777777778</v>
      </c>
      <c r="AS14" s="53"/>
      <c r="AT14" s="101">
        <v>1.686265217309681E-2</v>
      </c>
      <c r="AU14" s="83">
        <v>0.9958047116314207</v>
      </c>
      <c r="AV14" s="96">
        <v>0.9590064672482711</v>
      </c>
      <c r="AW14" s="83">
        <v>4.0993532751728901E-2</v>
      </c>
      <c r="AX14" s="83">
        <v>4.040258727886159E-3</v>
      </c>
      <c r="AY14" s="83">
        <v>4.040258727886159E-3</v>
      </c>
      <c r="AZ14" s="37">
        <v>217729.3461866476</v>
      </c>
      <c r="BA14" s="50">
        <v>217729.34619350449</v>
      </c>
      <c r="BB14" s="37">
        <v>217729.3461866476</v>
      </c>
      <c r="BC14" s="37">
        <v>0</v>
      </c>
      <c r="BD14" s="53"/>
      <c r="BE14" s="83">
        <v>1.6868742010052409E-2</v>
      </c>
      <c r="BF14" s="83">
        <v>0.95908169377655672</v>
      </c>
      <c r="BG14" s="83">
        <v>4.0918306223443279E-2</v>
      </c>
      <c r="BH14" s="83">
        <v>4.042037952671218E-3</v>
      </c>
      <c r="BI14" s="83">
        <v>4.042037952671218E-3</v>
      </c>
      <c r="BJ14" s="51">
        <v>217746.42534448323</v>
      </c>
      <c r="BK14" s="51">
        <v>217825.22853057078</v>
      </c>
      <c r="BL14" s="37">
        <v>217746.42534448323</v>
      </c>
      <c r="BM14" s="51">
        <v>0</v>
      </c>
    </row>
    <row r="15" spans="2:65" x14ac:dyDescent="0.2">
      <c r="B15" s="35">
        <f t="shared" si="2"/>
        <v>11</v>
      </c>
      <c r="C15" s="35" t="s">
        <v>98</v>
      </c>
      <c r="D15" s="35">
        <v>8</v>
      </c>
      <c r="E15" s="35">
        <f>CDS_Tenor_Definitions[[#This Row],[Year offset]]*12</f>
        <v>96</v>
      </c>
      <c r="F15" s="42">
        <f t="shared" si="0"/>
        <v>45371</v>
      </c>
      <c r="G15" s="42">
        <f>EDATE($F$39,CDS_Tenor_Definitions[[#This Row],[Month offset]]-12)</f>
        <v>48385</v>
      </c>
      <c r="H15" s="45">
        <f t="shared" si="1"/>
        <v>8.2198905109489058</v>
      </c>
      <c r="I15" s="29" t="b">
        <f>_xlfn.XLOOKUP(CDS_Tenor_Definitions[[#This Row],[Tenor]],UserInput!$C$23:$C$34,UserInput!$H$23:$H$34,FALSE)</f>
        <v>0</v>
      </c>
      <c r="J15" s="42"/>
      <c r="K15" s="46">
        <v>11</v>
      </c>
      <c r="L15" s="36">
        <v>52768</v>
      </c>
      <c r="M15" s="45">
        <v>20.219788815017598</v>
      </c>
      <c r="N15" s="42" t="str">
        <v>20Y</v>
      </c>
      <c r="O15" s="47">
        <v>0</v>
      </c>
      <c r="P15" s="47">
        <v>0</v>
      </c>
      <c r="Q15" s="47">
        <v>0.01</v>
      </c>
      <c r="R15" s="48">
        <v>0</v>
      </c>
      <c r="S15" s="42"/>
      <c r="T15" s="46">
        <v>11</v>
      </c>
      <c r="U15" s="36">
        <v>52768</v>
      </c>
      <c r="V15" s="45">
        <v>20.219788815017598</v>
      </c>
      <c r="W15" s="42" t="str">
        <v>20Y</v>
      </c>
      <c r="X15" s="92">
        <v>0.01</v>
      </c>
      <c r="Y15" s="92">
        <v>0</v>
      </c>
      <c r="Z15" s="92">
        <v>0.01</v>
      </c>
      <c r="AA15" s="48">
        <v>0.28919961105104364</v>
      </c>
      <c r="AB15" s="88">
        <v>1.6862511650716842E-2</v>
      </c>
      <c r="AC15" s="89">
        <v>1.6870096951250815E-2</v>
      </c>
      <c r="AD15" s="42"/>
      <c r="AE15" s="108"/>
      <c r="AH15" s="37">
        <v>11</v>
      </c>
      <c r="AI15" s="38">
        <v>46376</v>
      </c>
      <c r="AJ15" s="39">
        <v>46286</v>
      </c>
      <c r="AK15" s="39">
        <v>46377</v>
      </c>
      <c r="AL15" s="40">
        <v>0.25277777777777777</v>
      </c>
      <c r="AM15" s="39">
        <v>46377</v>
      </c>
      <c r="AN15" s="41">
        <v>2.7260273972602738</v>
      </c>
      <c r="AO15" s="41">
        <v>0.24931506849315044</v>
      </c>
      <c r="AP15" s="53">
        <v>0.89012132959124379</v>
      </c>
      <c r="AR15" s="37">
        <v>252777.77777777778</v>
      </c>
      <c r="AT15" s="101">
        <v>1.686265217309681E-2</v>
      </c>
      <c r="AU15" s="83">
        <v>0.9958047116314207</v>
      </c>
      <c r="AV15" s="96">
        <v>0.95498315857083205</v>
      </c>
      <c r="AW15" s="83">
        <v>4.5016841429167953E-2</v>
      </c>
      <c r="AX15" s="83">
        <v>4.0233086774390525E-3</v>
      </c>
      <c r="AY15" s="83">
        <v>4.0233086774390525E-3</v>
      </c>
      <c r="AZ15" s="37">
        <v>214873.97215231287</v>
      </c>
      <c r="BA15" s="37">
        <v>214873.97215908227</v>
      </c>
      <c r="BB15" s="37">
        <v>214873.97215231287</v>
      </c>
      <c r="BC15" s="37">
        <v>0</v>
      </c>
      <c r="BE15" s="83">
        <v>1.6868742010052409E-2</v>
      </c>
      <c r="BF15" s="83">
        <v>0.95505661944992071</v>
      </c>
      <c r="BG15" s="83">
        <v>4.4943380550079293E-2</v>
      </c>
      <c r="BH15" s="83">
        <v>4.0250743266360134E-3</v>
      </c>
      <c r="BI15" s="83">
        <v>4.0250743266360134E-3</v>
      </c>
      <c r="BJ15" s="37">
        <v>214890.5010625307</v>
      </c>
      <c r="BK15" s="37">
        <v>214968.2706797297</v>
      </c>
      <c r="BL15" s="37">
        <v>214890.50106253073</v>
      </c>
      <c r="BM15" s="37">
        <v>0</v>
      </c>
    </row>
    <row r="16" spans="2:65" x14ac:dyDescent="0.2">
      <c r="B16" s="35">
        <f t="shared" si="2"/>
        <v>12</v>
      </c>
      <c r="C16" s="35" t="s">
        <v>99</v>
      </c>
      <c r="D16" s="35">
        <v>9</v>
      </c>
      <c r="E16" s="35">
        <f>CDS_Tenor_Definitions[[#This Row],[Year offset]]*12</f>
        <v>108</v>
      </c>
      <c r="F16" s="42">
        <f t="shared" si="0"/>
        <v>45371</v>
      </c>
      <c r="G16" s="42">
        <f>EDATE($F$39,CDS_Tenor_Definitions[[#This Row],[Month offset]]-12)</f>
        <v>48750</v>
      </c>
      <c r="H16" s="45">
        <f t="shared" si="1"/>
        <v>9.2198193265808914</v>
      </c>
      <c r="I16" s="29" t="b">
        <f>_xlfn.XLOOKUP(CDS_Tenor_Definitions[[#This Row],[Tenor]],UserInput!$C$23:$C$34,UserInput!$H$23:$H$34,FALSE)</f>
        <v>0</v>
      </c>
      <c r="J16" s="42"/>
      <c r="K16" s="46">
        <v>12</v>
      </c>
      <c r="L16" s="36">
        <v>56420</v>
      </c>
      <c r="M16" s="45">
        <v>30.21972975359887</v>
      </c>
      <c r="N16" s="42" t="str">
        <v>30Y</v>
      </c>
      <c r="O16" s="47">
        <v>0</v>
      </c>
      <c r="P16" s="47">
        <v>0</v>
      </c>
      <c r="Q16" s="47">
        <v>0.01</v>
      </c>
      <c r="R16" s="48">
        <v>0</v>
      </c>
      <c r="S16" s="42"/>
      <c r="T16" s="46">
        <v>12</v>
      </c>
      <c r="U16" s="36">
        <v>56420</v>
      </c>
      <c r="V16" s="45">
        <v>30.21972975359887</v>
      </c>
      <c r="W16" s="42" t="str">
        <v>30Y</v>
      </c>
      <c r="X16" s="92">
        <v>0.01</v>
      </c>
      <c r="Y16" s="92">
        <v>0</v>
      </c>
      <c r="Z16" s="92">
        <v>0.01</v>
      </c>
      <c r="AA16" s="48">
        <v>0.39958097520613023</v>
      </c>
      <c r="AB16" s="88">
        <v>1.6862526125158248E-2</v>
      </c>
      <c r="AC16" s="89">
        <v>1.6868742010052409E-2</v>
      </c>
      <c r="AD16" s="42"/>
      <c r="AH16" s="37">
        <v>12</v>
      </c>
      <c r="AI16" s="38">
        <v>46466</v>
      </c>
      <c r="AJ16" s="39">
        <v>46377</v>
      </c>
      <c r="AK16" s="39">
        <v>46468</v>
      </c>
      <c r="AL16" s="40">
        <v>0.25277777777777777</v>
      </c>
      <c r="AM16" s="39">
        <v>46468</v>
      </c>
      <c r="AN16" s="41">
        <v>2.9753424657534246</v>
      </c>
      <c r="AO16" s="41">
        <v>0.24931506849315088</v>
      </c>
      <c r="AP16" s="53">
        <v>0.88214885545733634</v>
      </c>
      <c r="AR16" s="37">
        <v>252777.77777777778</v>
      </c>
      <c r="AT16" s="101">
        <v>1.686265217309681E-2</v>
      </c>
      <c r="AU16" s="83">
        <v>0.9958047116314207</v>
      </c>
      <c r="AV16" s="96">
        <v>0.95097672883349071</v>
      </c>
      <c r="AW16" s="83">
        <v>4.9023271166509286E-2</v>
      </c>
      <c r="AX16" s="83">
        <v>4.0064297373413327E-3</v>
      </c>
      <c r="AY16" s="83">
        <v>4.0064297373413327E-3</v>
      </c>
      <c r="AZ16" s="37">
        <v>212056.04442927591</v>
      </c>
      <c r="BA16" s="37">
        <v>212056.0444359536</v>
      </c>
      <c r="BB16" s="37">
        <v>212056.04442927591</v>
      </c>
      <c r="BC16" s="37">
        <v>0</v>
      </c>
      <c r="BE16" s="83">
        <v>1.6868742010052409E-2</v>
      </c>
      <c r="BF16" s="83">
        <v>0.95104843755636959</v>
      </c>
      <c r="BG16" s="83">
        <v>4.8951562443630414E-2</v>
      </c>
      <c r="BH16" s="83">
        <v>4.0081818935511215E-3</v>
      </c>
      <c r="BI16" s="83">
        <v>4.0081818935511215E-3</v>
      </c>
      <c r="BJ16" s="37">
        <v>212072.03458725108</v>
      </c>
      <c r="BK16" s="37">
        <v>212148.78419165645</v>
      </c>
      <c r="BL16" s="37">
        <v>212072.03458725105</v>
      </c>
      <c r="BM16" s="37">
        <v>0</v>
      </c>
    </row>
    <row r="17" spans="2:65" ht="12" x14ac:dyDescent="0.25">
      <c r="B17" s="35">
        <f t="shared" si="2"/>
        <v>13</v>
      </c>
      <c r="C17" s="35" t="s">
        <v>12</v>
      </c>
      <c r="D17" s="35">
        <v>10</v>
      </c>
      <c r="E17" s="35">
        <f>CDS_Tenor_Definitions[[#This Row],[Year offset]]*12</f>
        <v>120</v>
      </c>
      <c r="F17" s="42">
        <f t="shared" si="0"/>
        <v>45371</v>
      </c>
      <c r="G17" s="42">
        <f>EDATE($F$39,CDS_Tenor_Definitions[[#This Row],[Month offset]]-12)</f>
        <v>49115</v>
      </c>
      <c r="H17" s="45">
        <f t="shared" si="1"/>
        <v>10.219761075161772</v>
      </c>
      <c r="I17" s="29" t="b">
        <f>_xlfn.XLOOKUP(CDS_Tenor_Definitions[[#This Row],[Tenor]],UserInput!$C$23:$C$34,UserInput!$H$23:$H$34,FALSE)</f>
        <v>1</v>
      </c>
      <c r="K17" s="54"/>
      <c r="L17" s="36"/>
      <c r="M17" s="45"/>
      <c r="O17" s="47"/>
      <c r="P17" s="47"/>
      <c r="Q17" s="47"/>
      <c r="R17" s="48"/>
      <c r="T17" s="54"/>
      <c r="U17" s="36"/>
      <c r="V17" s="45"/>
      <c r="X17" s="92"/>
      <c r="Y17" s="92"/>
      <c r="Z17" s="92"/>
      <c r="AA17" s="48"/>
      <c r="AB17" s="88"/>
      <c r="AC17" s="89"/>
      <c r="AE17" s="126" t="s">
        <v>69</v>
      </c>
      <c r="AF17" s="142" t="s">
        <v>278</v>
      </c>
      <c r="AH17" s="37">
        <v>13</v>
      </c>
      <c r="AI17" s="38">
        <v>46558</v>
      </c>
      <c r="AJ17" s="39">
        <v>46468</v>
      </c>
      <c r="AK17" s="39">
        <v>46559</v>
      </c>
      <c r="AL17" s="40">
        <v>0.25277777777777777</v>
      </c>
      <c r="AM17" s="39">
        <v>46559</v>
      </c>
      <c r="AN17" s="41">
        <v>3.2246575342465755</v>
      </c>
      <c r="AO17" s="41">
        <v>0.24931506849315088</v>
      </c>
      <c r="AP17" s="53">
        <v>0.87438015203050667</v>
      </c>
      <c r="AR17" s="37">
        <v>252777.77777777778</v>
      </c>
      <c r="AT17" s="101">
        <v>1.686265217309681E-2</v>
      </c>
      <c r="AU17" s="83">
        <v>0.9958047116314207</v>
      </c>
      <c r="AV17" s="96">
        <v>0.94698710722422597</v>
      </c>
      <c r="AW17" s="83">
        <v>5.3012892775774034E-2</v>
      </c>
      <c r="AX17" s="83">
        <v>3.9896216092647485E-3</v>
      </c>
      <c r="AY17" s="83">
        <v>3.9896216092647485E-3</v>
      </c>
      <c r="AZ17" s="37">
        <v>209306.75694859447</v>
      </c>
      <c r="BA17" s="37">
        <v>209306.75695518631</v>
      </c>
      <c r="BB17" s="37">
        <v>209306.75694859447</v>
      </c>
      <c r="BC17" s="37">
        <v>0</v>
      </c>
      <c r="BE17" s="83">
        <v>1.6868742010052409E-2</v>
      </c>
      <c r="BF17" s="83">
        <v>0.94705707720173515</v>
      </c>
      <c r="BG17" s="83">
        <v>5.2942922798264846E-2</v>
      </c>
      <c r="BH17" s="83">
        <v>3.9913603546344323E-3</v>
      </c>
      <c r="BI17" s="83">
        <v>3.9913603546344323E-3</v>
      </c>
      <c r="BJ17" s="37">
        <v>209322.22198393074</v>
      </c>
      <c r="BK17" s="37">
        <v>209397.97642162748</v>
      </c>
      <c r="BL17" s="37">
        <v>209322.22198393074</v>
      </c>
      <c r="BM17" s="37">
        <v>0</v>
      </c>
    </row>
    <row r="18" spans="2:65" x14ac:dyDescent="0.2">
      <c r="B18" s="35">
        <f t="shared" si="2"/>
        <v>14</v>
      </c>
      <c r="C18" s="35" t="s">
        <v>100</v>
      </c>
      <c r="D18" s="35">
        <v>12</v>
      </c>
      <c r="E18" s="35">
        <f>CDS_Tenor_Definitions[[#This Row],[Year offset]]*12</f>
        <v>144</v>
      </c>
      <c r="F18" s="42">
        <f t="shared" si="0"/>
        <v>45371</v>
      </c>
      <c r="G18" s="42">
        <f>EDATE($F$39,CDS_Tenor_Definitions[[#This Row],[Month offset]]-12)</f>
        <v>49846</v>
      </c>
      <c r="H18" s="45">
        <f t="shared" si="1"/>
        <v>12.219835754895767</v>
      </c>
      <c r="I18" s="29" t="b">
        <f>_xlfn.XLOOKUP(CDS_Tenor_Definitions[[#This Row],[Tenor]],UserInput!$C$23:$C$34,UserInput!$H$23:$H$34,FALSE)</f>
        <v>0</v>
      </c>
      <c r="K18" s="54"/>
      <c r="L18" s="36"/>
      <c r="M18" s="45"/>
      <c r="O18" s="47"/>
      <c r="P18" s="47"/>
      <c r="Q18" s="47"/>
      <c r="R18" s="48"/>
      <c r="T18" s="54"/>
      <c r="U18" s="36"/>
      <c r="V18" s="45"/>
      <c r="X18" s="92"/>
      <c r="Y18" s="92"/>
      <c r="Z18" s="92"/>
      <c r="AA18" s="48"/>
      <c r="AB18" s="88"/>
      <c r="AC18" s="89"/>
      <c r="AE18" s="124" t="s">
        <v>274</v>
      </c>
      <c r="AF18" s="24" t="b" cm="1">
        <f t="array" ref="AF18">_xlfn.IFS(CleanOrDirtyQuotes="Clean",FALSE,CleanOrDirtyQuotes="Dirty",TRUE)</f>
        <v>0</v>
      </c>
      <c r="AH18" s="37">
        <v>14</v>
      </c>
      <c r="AI18" s="38">
        <v>46650</v>
      </c>
      <c r="AJ18" s="39">
        <v>46559</v>
      </c>
      <c r="AK18" s="39">
        <v>46650</v>
      </c>
      <c r="AL18" s="40">
        <v>0.25277777777777777</v>
      </c>
      <c r="AM18" s="39">
        <v>46650</v>
      </c>
      <c r="AN18" s="41">
        <v>3.473972602739726</v>
      </c>
      <c r="AO18" s="41">
        <v>0.24931506849315044</v>
      </c>
      <c r="AP18" s="53">
        <v>0.8666979055823435</v>
      </c>
      <c r="AR18" s="37">
        <v>252777.77777777778</v>
      </c>
      <c r="AT18" s="101">
        <v>1.686255604003125E-2</v>
      </c>
      <c r="AU18" s="83">
        <v>0.99580473549829263</v>
      </c>
      <c r="AV18" s="96">
        <v>0.9430142458297136</v>
      </c>
      <c r="AW18" s="83">
        <v>5.6985754170286396E-2</v>
      </c>
      <c r="AX18" s="83">
        <v>3.9728613945123614E-3</v>
      </c>
      <c r="AY18" s="83">
        <v>3.9728613945123614E-3</v>
      </c>
      <c r="AZ18" s="37">
        <v>206597.41925927295</v>
      </c>
      <c r="BA18" s="37">
        <v>206596.23898756874</v>
      </c>
      <c r="BB18" s="37">
        <v>206597.41925927295</v>
      </c>
      <c r="BC18" s="37">
        <v>0</v>
      </c>
      <c r="BE18" s="83">
        <v>1.6868742010052409E-2</v>
      </c>
      <c r="BF18" s="83">
        <v>0.94308246778937821</v>
      </c>
      <c r="BG18" s="83">
        <v>5.6917532210621791E-2</v>
      </c>
      <c r="BH18" s="83">
        <v>3.9746094123569442E-3</v>
      </c>
      <c r="BI18" s="83">
        <v>3.9746094123569442E-3</v>
      </c>
      <c r="BJ18" s="37">
        <v>206612.36546063295</v>
      </c>
      <c r="BK18" s="37">
        <v>206687.13919185795</v>
      </c>
      <c r="BL18" s="37">
        <v>206612.36546063295</v>
      </c>
      <c r="BM18" s="37">
        <v>0</v>
      </c>
    </row>
    <row r="19" spans="2:65" x14ac:dyDescent="0.2">
      <c r="B19" s="35">
        <f t="shared" si="2"/>
        <v>15</v>
      </c>
      <c r="C19" s="35" t="s">
        <v>13</v>
      </c>
      <c r="D19" s="35">
        <v>15</v>
      </c>
      <c r="E19" s="35">
        <f>CDS_Tenor_Definitions[[#This Row],[Year offset]]*12</f>
        <v>180</v>
      </c>
      <c r="F19" s="42">
        <f t="shared" si="0"/>
        <v>45371</v>
      </c>
      <c r="G19" s="42">
        <f>EDATE($F$39,CDS_Tenor_Definitions[[#This Row],[Month offset]]-12)</f>
        <v>50941</v>
      </c>
      <c r="H19" s="45">
        <f t="shared" si="1"/>
        <v>15.219712525667351</v>
      </c>
      <c r="I19" s="29" t="b">
        <f>_xlfn.XLOOKUP(CDS_Tenor_Definitions[[#This Row],[Tenor]],UserInput!$C$23:$C$34,UserInput!$H$23:$H$34,FALSE)</f>
        <v>1</v>
      </c>
      <c r="K19" s="54"/>
      <c r="L19" s="36"/>
      <c r="M19" s="45"/>
      <c r="O19" s="47"/>
      <c r="P19" s="47"/>
      <c r="Q19" s="47"/>
      <c r="R19" s="48"/>
      <c r="T19" s="54"/>
      <c r="U19" s="36"/>
      <c r="V19" s="45"/>
      <c r="X19" s="92"/>
      <c r="Y19" s="92"/>
      <c r="Z19" s="92"/>
      <c r="AA19" s="48"/>
      <c r="AB19" s="88"/>
      <c r="AC19" s="89"/>
      <c r="AE19" s="127" t="s">
        <v>266</v>
      </c>
      <c r="AF19" s="128" cm="1">
        <f t="array" ref="AF19">_xlfn.XLOOKUP(CurrentTenor,_xlfn.ANCHORARRAY(N5),_xlfn.ANCHORARRAY(P5))</f>
        <v>0</v>
      </c>
      <c r="AH19" s="37">
        <v>15</v>
      </c>
      <c r="AI19" s="38">
        <v>46741</v>
      </c>
      <c r="AJ19" s="39">
        <v>46650</v>
      </c>
      <c r="AK19" s="39">
        <v>46741</v>
      </c>
      <c r="AL19" s="40">
        <v>0.25277777777777777</v>
      </c>
      <c r="AM19" s="39">
        <v>46741</v>
      </c>
      <c r="AN19" s="41">
        <v>3.7232876712328768</v>
      </c>
      <c r="AO19" s="41">
        <v>0.24931506849315088</v>
      </c>
      <c r="AP19" s="53">
        <v>0.85908315484568909</v>
      </c>
      <c r="AR19" s="37">
        <v>252777.77777777778</v>
      </c>
      <c r="AT19" s="101">
        <v>1.686255604003125E-2</v>
      </c>
      <c r="AU19" s="83">
        <v>0.99580473549829263</v>
      </c>
      <c r="AV19" s="96">
        <v>0.93905805163957989</v>
      </c>
      <c r="AW19" s="83">
        <v>6.0941948360420106E-2</v>
      </c>
      <c r="AX19" s="83">
        <v>3.9561941901337105E-3</v>
      </c>
      <c r="AY19" s="83">
        <v>3.9561941901337105E-3</v>
      </c>
      <c r="AZ19" s="37">
        <v>203923.15215640457</v>
      </c>
      <c r="BA19" s="37">
        <v>203921.98716253522</v>
      </c>
      <c r="BB19" s="37">
        <v>203923.15215640457</v>
      </c>
      <c r="BC19" s="37">
        <v>0</v>
      </c>
      <c r="BE19" s="83">
        <v>1.6868742010052409E-2</v>
      </c>
      <c r="BF19" s="83">
        <v>0.93912453901893933</v>
      </c>
      <c r="BG19" s="83">
        <v>6.0875460981060669E-2</v>
      </c>
      <c r="BH19" s="83">
        <v>3.9579287704388788E-3</v>
      </c>
      <c r="BI19" s="83">
        <v>3.9579287704388788E-3</v>
      </c>
      <c r="BJ19" s="37">
        <v>203937.59036494122</v>
      </c>
      <c r="BK19" s="37">
        <v>204011.39608578905</v>
      </c>
      <c r="BL19" s="37">
        <v>203937.59036494122</v>
      </c>
      <c r="BM19" s="37">
        <v>0</v>
      </c>
    </row>
    <row r="20" spans="2:65" x14ac:dyDescent="0.2">
      <c r="B20" s="35">
        <f t="shared" si="2"/>
        <v>16</v>
      </c>
      <c r="C20" s="35" t="s">
        <v>14</v>
      </c>
      <c r="D20" s="35">
        <v>20</v>
      </c>
      <c r="E20" s="35">
        <f>CDS_Tenor_Definitions[[#This Row],[Year offset]]*12</f>
        <v>240</v>
      </c>
      <c r="F20" s="42">
        <f t="shared" si="0"/>
        <v>45371</v>
      </c>
      <c r="G20" s="42">
        <f>EDATE($F$39,CDS_Tenor_Definitions[[#This Row],[Month offset]]-12)</f>
        <v>52768</v>
      </c>
      <c r="H20" s="45">
        <f t="shared" si="1"/>
        <v>20.219788815017598</v>
      </c>
      <c r="I20" s="29" t="b">
        <f>_xlfn.XLOOKUP(CDS_Tenor_Definitions[[#This Row],[Tenor]],UserInput!$C$23:$C$34,UserInput!$H$23:$H$34,FALSE)</f>
        <v>1</v>
      </c>
      <c r="K20" s="54"/>
      <c r="L20" s="36"/>
      <c r="M20" s="45"/>
      <c r="O20" s="47"/>
      <c r="P20" s="47"/>
      <c r="Q20" s="47"/>
      <c r="R20" s="48"/>
      <c r="T20" s="54"/>
      <c r="U20" s="36"/>
      <c r="V20" s="45"/>
      <c r="X20" s="92"/>
      <c r="Y20" s="92"/>
      <c r="Z20" s="92"/>
      <c r="AA20" s="48"/>
      <c r="AB20" s="88"/>
      <c r="AC20" s="89"/>
      <c r="AE20" s="140" t="s">
        <v>281</v>
      </c>
      <c r="AF20" s="128">
        <f>SUM(_xlfn.ANCHORARRAY(BC5))/Notional+IF($AF$18,AccruedInterest/Notional,0)</f>
        <v>0</v>
      </c>
      <c r="AH20" s="37">
        <v>16</v>
      </c>
      <c r="AI20" s="38">
        <v>46832</v>
      </c>
      <c r="AJ20" s="39">
        <v>46741</v>
      </c>
      <c r="AK20" s="39">
        <v>46832</v>
      </c>
      <c r="AL20" s="40">
        <v>0.25277777777777777</v>
      </c>
      <c r="AM20" s="39">
        <v>46832</v>
      </c>
      <c r="AN20" s="41">
        <v>3.9726027397260273</v>
      </c>
      <c r="AO20" s="41">
        <v>0.24931506849315044</v>
      </c>
      <c r="AP20" s="53">
        <v>0.85153530680766565</v>
      </c>
      <c r="AR20" s="37">
        <v>252777.77777777778</v>
      </c>
      <c r="AT20" s="101">
        <v>1.686255604003125E-2</v>
      </c>
      <c r="AU20" s="83">
        <v>0.99580473549829263</v>
      </c>
      <c r="AV20" s="96">
        <v>0.93511845473049393</v>
      </c>
      <c r="AW20" s="83">
        <v>6.4881545269506069E-2</v>
      </c>
      <c r="AX20" s="83">
        <v>3.9395969090859628E-3</v>
      </c>
      <c r="AY20" s="83">
        <v>3.9395969090859628E-3</v>
      </c>
      <c r="AZ20" s="37">
        <v>201283.50167441714</v>
      </c>
      <c r="BA20" s="37">
        <v>201282.35176062278</v>
      </c>
      <c r="BB20" s="37">
        <v>201283.50167441714</v>
      </c>
      <c r="BC20" s="37">
        <v>0</v>
      </c>
      <c r="BE20" s="83">
        <v>1.6868742010052409E-2</v>
      </c>
      <c r="BF20" s="83">
        <v>0.93518322088509576</v>
      </c>
      <c r="BG20" s="83">
        <v>6.4816779114904244E-2</v>
      </c>
      <c r="BH20" s="83">
        <v>3.9413181338435743E-3</v>
      </c>
      <c r="BI20" s="83">
        <v>3.9413181338435743E-3</v>
      </c>
      <c r="BJ20" s="37">
        <v>201297.44253754767</v>
      </c>
      <c r="BK20" s="37">
        <v>201370.29277974626</v>
      </c>
      <c r="BL20" s="37">
        <v>201297.44253754761</v>
      </c>
      <c r="BM20" s="37">
        <v>0</v>
      </c>
    </row>
    <row r="21" spans="2:65" x14ac:dyDescent="0.2">
      <c r="B21" s="35">
        <f t="shared" si="2"/>
        <v>17</v>
      </c>
      <c r="C21" s="35" t="s">
        <v>101</v>
      </c>
      <c r="D21" s="35">
        <v>25</v>
      </c>
      <c r="E21" s="35">
        <f>CDS_Tenor_Definitions[[#This Row],[Year offset]]*12</f>
        <v>300</v>
      </c>
      <c r="F21" s="42">
        <f t="shared" si="0"/>
        <v>45371</v>
      </c>
      <c r="G21" s="42">
        <f>EDATE($F$39,CDS_Tenor_Definitions[[#This Row],[Month offset]]-12)</f>
        <v>54594</v>
      </c>
      <c r="H21" s="45">
        <f t="shared" si="1"/>
        <v>25.219753606402023</v>
      </c>
      <c r="I21" s="29" t="b">
        <f>_xlfn.XLOOKUP(CDS_Tenor_Definitions[[#This Row],[Tenor]],UserInput!$C$23:$C$34,UserInput!$H$23:$H$34,FALSE)</f>
        <v>0</v>
      </c>
      <c r="K21" s="54"/>
      <c r="L21" s="36"/>
      <c r="M21" s="45"/>
      <c r="O21" s="47"/>
      <c r="P21" s="47"/>
      <c r="Q21" s="47"/>
      <c r="R21" s="48"/>
      <c r="T21" s="54"/>
      <c r="U21" s="36"/>
      <c r="V21" s="45"/>
      <c r="X21" s="92"/>
      <c r="Y21" s="92"/>
      <c r="Z21" s="92"/>
      <c r="AA21" s="48"/>
      <c r="AB21" s="88"/>
      <c r="AC21" s="89"/>
      <c r="AE21" s="141" t="s">
        <v>282</v>
      </c>
      <c r="AF21" s="129">
        <f>SUM(_xlfn.ANCHORARRAY(BM5))/Notional+IF($AF$18,AccruedInterest/Notional,0)</f>
        <v>0</v>
      </c>
      <c r="AH21" s="37">
        <v>17</v>
      </c>
      <c r="AI21" s="38">
        <v>46924</v>
      </c>
      <c r="AJ21" s="39">
        <v>46832</v>
      </c>
      <c r="AK21" s="39">
        <v>46924</v>
      </c>
      <c r="AL21" s="40">
        <v>0.25555555555555554</v>
      </c>
      <c r="AM21" s="39">
        <v>46924</v>
      </c>
      <c r="AN21" s="41">
        <v>4.2246575342465755</v>
      </c>
      <c r="AO21" s="41">
        <v>0.25205479452054824</v>
      </c>
      <c r="AP21" s="53">
        <v>0.84400143945571271</v>
      </c>
      <c r="AR21" s="37">
        <v>255555.55555555553</v>
      </c>
      <c r="AT21" s="101">
        <v>1.686255604003125E-2</v>
      </c>
      <c r="AU21" s="83">
        <v>0.99575873159340889</v>
      </c>
      <c r="AV21" s="96">
        <v>0.93115236637202514</v>
      </c>
      <c r="AW21" s="83">
        <v>6.8847633627974858E-2</v>
      </c>
      <c r="AX21" s="83">
        <v>3.9660883584687889E-3</v>
      </c>
      <c r="AY21" s="83">
        <v>3.9660883584687889E-3</v>
      </c>
      <c r="AZ21" s="37">
        <v>200839.56182359325</v>
      </c>
      <c r="BA21" s="37">
        <v>200843.05701337213</v>
      </c>
      <c r="BB21" s="37">
        <v>200839.56182359325</v>
      </c>
      <c r="BC21" s="37">
        <v>0</v>
      </c>
      <c r="BE21" s="83">
        <v>1.6868742010052409E-2</v>
      </c>
      <c r="BF21" s="83">
        <v>0.93121540588062035</v>
      </c>
      <c r="BG21" s="83">
        <v>6.878459411937965E-2</v>
      </c>
      <c r="BH21" s="83">
        <v>3.9678150044754057E-3</v>
      </c>
      <c r="BI21" s="83">
        <v>3.9678150044754057E-3</v>
      </c>
      <c r="BJ21" s="37">
        <v>200853.15876834802</v>
      </c>
      <c r="BK21" s="37">
        <v>200930.49451627303</v>
      </c>
      <c r="BL21" s="37">
        <v>200853.15876834805</v>
      </c>
      <c r="BM21" s="37">
        <v>0</v>
      </c>
    </row>
    <row r="22" spans="2:65" x14ac:dyDescent="0.2">
      <c r="B22" s="35">
        <f t="shared" si="2"/>
        <v>18</v>
      </c>
      <c r="C22" s="35" t="s">
        <v>15</v>
      </c>
      <c r="D22" s="35">
        <v>30</v>
      </c>
      <c r="E22" s="35">
        <f>CDS_Tenor_Definitions[[#This Row],[Year offset]]*12</f>
        <v>360</v>
      </c>
      <c r="F22" s="42">
        <f t="shared" si="0"/>
        <v>45371</v>
      </c>
      <c r="G22" s="42">
        <f>EDATE($F$39,CDS_Tenor_Definitions[[#This Row],[Month offset]]-12)</f>
        <v>56420</v>
      </c>
      <c r="H22" s="45">
        <f t="shared" si="1"/>
        <v>30.21972975359887</v>
      </c>
      <c r="I22" s="29" t="b">
        <f>_xlfn.XLOOKUP(CDS_Tenor_Definitions[[#This Row],[Tenor]],UserInput!$C$23:$C$34,UserInput!$H$23:$H$34,FALSE)</f>
        <v>1</v>
      </c>
      <c r="K22" s="54"/>
      <c r="L22" s="36"/>
      <c r="M22" s="45"/>
      <c r="O22" s="47"/>
      <c r="P22" s="47"/>
      <c r="Q22" s="47"/>
      <c r="R22" s="48"/>
      <c r="T22" s="54"/>
      <c r="U22" s="36"/>
      <c r="V22" s="45"/>
      <c r="X22" s="92"/>
      <c r="Y22" s="92"/>
      <c r="Z22" s="92"/>
      <c r="AA22" s="48"/>
      <c r="AB22" s="88"/>
      <c r="AC22" s="89"/>
      <c r="AE22" s="125" t="s">
        <v>267</v>
      </c>
      <c r="AF22" s="129" cm="1">
        <f t="array" ref="AF22">_xlfn.IFS(
DataFieldToUseForSolve="Upfront Fee",AF19,
DataFieldToUseForSolve="Par Spread",AF20,
DataFieldToUseForSolve="Quoted Spread",AF21)</f>
        <v>0</v>
      </c>
      <c r="AG22" s="37"/>
      <c r="AH22" s="37">
        <v>18</v>
      </c>
      <c r="AI22" s="38">
        <v>47016</v>
      </c>
      <c r="AJ22" s="39">
        <v>46924</v>
      </c>
      <c r="AK22" s="39">
        <v>47016</v>
      </c>
      <c r="AL22" s="40">
        <v>0.25555555555555554</v>
      </c>
      <c r="AM22" s="39">
        <v>47016</v>
      </c>
      <c r="AN22" s="41">
        <v>4.4767123287671229</v>
      </c>
      <c r="AO22" s="41">
        <v>0.25205479452054735</v>
      </c>
      <c r="AP22" s="53">
        <v>0.83653947785564453</v>
      </c>
      <c r="AR22" s="37">
        <v>255555.55555555553</v>
      </c>
      <c r="AT22" s="101">
        <v>1.6862551375543627E-2</v>
      </c>
      <c r="AU22" s="83">
        <v>0.99575873276412885</v>
      </c>
      <c r="AV22" s="96">
        <v>0.92720310034892761</v>
      </c>
      <c r="AW22" s="83">
        <v>7.2796899651072389E-2</v>
      </c>
      <c r="AX22" s="83">
        <v>3.9492660230975307E-3</v>
      </c>
      <c r="AY22" s="83">
        <v>3.9492660230975307E-3</v>
      </c>
      <c r="AZ22" s="37">
        <v>198219.62156596236</v>
      </c>
      <c r="BA22" s="37">
        <v>198223.01621250276</v>
      </c>
      <c r="BB22" s="37">
        <v>198219.62156596236</v>
      </c>
      <c r="BC22" s="37">
        <v>0</v>
      </c>
      <c r="BE22" s="83">
        <v>1.6868742010052409E-2</v>
      </c>
      <c r="BF22" s="83">
        <v>0.92726442560495326</v>
      </c>
      <c r="BG22" s="83">
        <v>7.2735574395046743E-2</v>
      </c>
      <c r="BH22" s="83">
        <v>3.9509802756670931E-3</v>
      </c>
      <c r="BI22" s="83">
        <v>3.9509802756670931E-3</v>
      </c>
      <c r="BJ22" s="37">
        <v>198232.73182091865</v>
      </c>
      <c r="BK22" s="37">
        <v>198309.05860947006</v>
      </c>
      <c r="BL22" s="37">
        <v>198232.73182091865</v>
      </c>
      <c r="BM22" s="37">
        <v>0</v>
      </c>
    </row>
    <row r="23" spans="2:65" x14ac:dyDescent="0.2">
      <c r="B23" s="35">
        <v>19</v>
      </c>
      <c r="C23" s="35" t="s">
        <v>102</v>
      </c>
      <c r="D23" s="35">
        <v>40</v>
      </c>
      <c r="E23" s="35">
        <f>CDS_Tenor_Definitions[[#This Row],[Year offset]]*12</f>
        <v>480</v>
      </c>
      <c r="F23" s="42">
        <f t="shared" si="0"/>
        <v>45371</v>
      </c>
      <c r="G23" s="42">
        <f>EDATE($F$39,CDS_Tenor_Definitions[[#This Row],[Month offset]]-12)</f>
        <v>60073</v>
      </c>
      <c r="H23" s="45">
        <f t="shared" si="1"/>
        <v>40.219751602564102</v>
      </c>
      <c r="I23" s="29" t="b">
        <f>_xlfn.XLOOKUP(CDS_Tenor_Definitions[[#This Row],[Tenor]],UserInput!$C$23:$C$34,UserInput!$H$23:$H$34,FALSE)</f>
        <v>0</v>
      </c>
      <c r="K23" s="54"/>
      <c r="L23" s="36"/>
      <c r="M23" s="45"/>
      <c r="O23" s="47"/>
      <c r="P23" s="47"/>
      <c r="Q23" s="47"/>
      <c r="R23" s="48"/>
      <c r="T23" s="54"/>
      <c r="U23" s="36"/>
      <c r="V23" s="45"/>
      <c r="X23" s="92"/>
      <c r="Y23" s="92"/>
      <c r="Z23" s="92"/>
      <c r="AA23" s="48"/>
      <c r="AB23" s="88"/>
      <c r="AC23" s="89"/>
      <c r="AG23" s="37"/>
      <c r="AH23" s="37">
        <v>19</v>
      </c>
      <c r="AI23" s="38">
        <v>47107</v>
      </c>
      <c r="AJ23" s="39">
        <v>47016</v>
      </c>
      <c r="AK23" s="39">
        <v>47107</v>
      </c>
      <c r="AL23" s="40">
        <v>0.25277777777777777</v>
      </c>
      <c r="AM23" s="39">
        <v>47107</v>
      </c>
      <c r="AN23" s="41">
        <v>4.7260273972602738</v>
      </c>
      <c r="AO23" s="41">
        <v>0.24931506849315088</v>
      </c>
      <c r="AP23" s="53">
        <v>0.82922352735976546</v>
      </c>
      <c r="AR23" s="37">
        <v>252777.77777777778</v>
      </c>
      <c r="AT23" s="101">
        <v>1.6862551375543627E-2</v>
      </c>
      <c r="AU23" s="83">
        <v>0.99580473665634084</v>
      </c>
      <c r="AV23" s="96">
        <v>0.9233132391699066</v>
      </c>
      <c r="AW23" s="83">
        <v>7.6686760830093403E-2</v>
      </c>
      <c r="AX23" s="83">
        <v>3.8898611790210147E-3</v>
      </c>
      <c r="AY23" s="83">
        <v>3.8898611790210147E-3</v>
      </c>
      <c r="AZ23" s="37">
        <v>193535.02376350586</v>
      </c>
      <c r="BA23" s="37">
        <v>193533.86446845729</v>
      </c>
      <c r="BB23" s="37">
        <v>193535.02376350586</v>
      </c>
      <c r="BC23" s="37">
        <v>0</v>
      </c>
      <c r="BE23" s="83">
        <v>1.6868742010052409E-2</v>
      </c>
      <c r="BF23" s="83">
        <v>0.92337288199847622</v>
      </c>
      <c r="BG23" s="83">
        <v>7.6627118001523775E-2</v>
      </c>
      <c r="BH23" s="83">
        <v>3.8915436064770326E-3</v>
      </c>
      <c r="BI23" s="83">
        <v>3.8915436064770326E-3</v>
      </c>
      <c r="BJ23" s="37">
        <v>193547.52545389094</v>
      </c>
      <c r="BK23" s="37">
        <v>193617.57097423368</v>
      </c>
      <c r="BL23" s="37">
        <v>193547.52545389094</v>
      </c>
      <c r="BM23" s="37">
        <v>0</v>
      </c>
    </row>
    <row r="24" spans="2:65" x14ac:dyDescent="0.2">
      <c r="B24" s="35">
        <v>20</v>
      </c>
      <c r="C24" s="35" t="s">
        <v>103</v>
      </c>
      <c r="D24" s="35">
        <v>50</v>
      </c>
      <c r="E24" s="35">
        <f>CDS_Tenor_Definitions[[#This Row],[Year offset]]*12</f>
        <v>600</v>
      </c>
      <c r="F24" s="36">
        <f t="shared" si="0"/>
        <v>45371</v>
      </c>
      <c r="G24" s="42">
        <f>EDATE($F$39,CDS_Tenor_Definitions[[#This Row],[Month offset]]-12)</f>
        <v>63725</v>
      </c>
      <c r="H24" s="45">
        <f t="shared" si="1"/>
        <v>50.219722997637966</v>
      </c>
      <c r="I24" s="29" t="b">
        <f>_xlfn.XLOOKUP(CDS_Tenor_Definitions[[#This Row],[Tenor]],UserInput!$C$23:$C$34,UserInput!$H$23:$H$34,FALSE)</f>
        <v>0</v>
      </c>
      <c r="K24" s="34"/>
      <c r="L24" s="55"/>
      <c r="M24" s="56"/>
      <c r="N24" s="57"/>
      <c r="O24" s="58"/>
      <c r="P24" s="58"/>
      <c r="Q24" s="58"/>
      <c r="R24" s="59"/>
      <c r="T24" s="34"/>
      <c r="U24" s="55"/>
      <c r="V24" s="56"/>
      <c r="W24" s="57"/>
      <c r="X24" s="93"/>
      <c r="Y24" s="93"/>
      <c r="Z24" s="93"/>
      <c r="AA24" s="59"/>
      <c r="AB24" s="90"/>
      <c r="AC24" s="91"/>
      <c r="AG24" s="37"/>
      <c r="AH24" s="37">
        <v>20</v>
      </c>
      <c r="AI24" s="85">
        <v>47197</v>
      </c>
      <c r="AJ24" s="39">
        <v>47107</v>
      </c>
      <c r="AK24" s="39">
        <v>47197</v>
      </c>
      <c r="AL24" s="40">
        <v>0.25</v>
      </c>
      <c r="AM24" s="39">
        <v>47197</v>
      </c>
      <c r="AN24" s="41">
        <v>4.9726027397260273</v>
      </c>
      <c r="AO24" s="41">
        <v>0.24657534246575352</v>
      </c>
      <c r="AP24" s="53">
        <v>0.82205090476307052</v>
      </c>
      <c r="AR24" s="37">
        <v>250000</v>
      </c>
      <c r="AT24" s="101">
        <v>1.6862551375543627E-2</v>
      </c>
      <c r="AU24" s="83">
        <v>0.99585074267392526</v>
      </c>
      <c r="AV24" s="96">
        <v>0.91948217494801909</v>
      </c>
      <c r="AW24" s="83">
        <v>8.0517825051980907E-2</v>
      </c>
      <c r="AX24" s="83">
        <v>3.8310642218875035E-3</v>
      </c>
      <c r="AY24" s="83">
        <v>3.8310642218875035E-3</v>
      </c>
      <c r="AZ24" s="37">
        <v>188965.28845738375</v>
      </c>
      <c r="BA24" s="37">
        <v>188959.78858848306</v>
      </c>
      <c r="BB24" s="37">
        <v>188965.28845738375</v>
      </c>
      <c r="BC24" s="37">
        <v>0</v>
      </c>
      <c r="BE24" s="83">
        <v>1.6868742010052409E-2</v>
      </c>
      <c r="BF24" s="83">
        <v>0.91954016666279204</v>
      </c>
      <c r="BG24" s="83">
        <v>8.0459833337207964E-2</v>
      </c>
      <c r="BH24" s="83">
        <v>3.8327153356841892E-3</v>
      </c>
      <c r="BI24" s="83">
        <v>3.8327153356841892E-3</v>
      </c>
      <c r="BJ24" s="37">
        <v>188977.20649278321</v>
      </c>
      <c r="BK24" s="37">
        <v>189041.226563909</v>
      </c>
      <c r="BL24" s="37">
        <v>188977.20649278324</v>
      </c>
      <c r="BM24" s="37">
        <v>0</v>
      </c>
    </row>
    <row r="25" spans="2:65" x14ac:dyDescent="0.2">
      <c r="AG25" s="37"/>
      <c r="AH25" s="37">
        <v>21</v>
      </c>
      <c r="AI25" s="38">
        <v>47289</v>
      </c>
      <c r="AJ25" s="39">
        <v>47197</v>
      </c>
      <c r="AK25" s="39">
        <v>47289</v>
      </c>
      <c r="AL25" s="40">
        <v>0.25555555555555554</v>
      </c>
      <c r="AM25" s="39">
        <v>47289</v>
      </c>
      <c r="AN25" s="41">
        <v>5.2246575342465755</v>
      </c>
      <c r="AO25" s="41">
        <v>0.25205479452054824</v>
      </c>
      <c r="AP25" s="53">
        <v>0.81468572278368345</v>
      </c>
      <c r="AR25" s="37">
        <v>255555.55555555553</v>
      </c>
      <c r="AT25" s="101">
        <v>1.6862551375543627E-2</v>
      </c>
      <c r="AU25" s="83">
        <v>0.99575873276412885</v>
      </c>
      <c r="AV25" s="96">
        <v>0.91558240532544444</v>
      </c>
      <c r="AW25" s="83">
        <v>8.4417594674555563E-2</v>
      </c>
      <c r="AX25" s="83">
        <v>3.8997696225746559E-3</v>
      </c>
      <c r="AY25" s="83">
        <v>3.8997696225746559E-3</v>
      </c>
      <c r="AZ25" s="37">
        <v>190621.93348848235</v>
      </c>
      <c r="BA25" s="37">
        <v>190625.19801942515</v>
      </c>
      <c r="BB25" s="37">
        <v>190621.93348848235</v>
      </c>
      <c r="BC25" s="37">
        <v>0</v>
      </c>
      <c r="BE25" s="83">
        <v>1.6868742010052409E-2</v>
      </c>
      <c r="BF25" s="83">
        <v>0.91563872233720911</v>
      </c>
      <c r="BG25" s="83">
        <v>8.436127766279089E-2</v>
      </c>
      <c r="BH25" s="83">
        <v>3.9014443255829256E-3</v>
      </c>
      <c r="BI25" s="83">
        <v>3.9014443255829256E-3</v>
      </c>
      <c r="BJ25" s="37">
        <v>190633.65854742672</v>
      </c>
      <c r="BK25" s="37">
        <v>190707.05941726957</v>
      </c>
      <c r="BL25" s="37">
        <v>190633.65854742672</v>
      </c>
      <c r="BM25" s="37">
        <v>0</v>
      </c>
    </row>
    <row r="26" spans="2:65" x14ac:dyDescent="0.2">
      <c r="B26" s="154" t="s">
        <v>113</v>
      </c>
      <c r="C26" s="155"/>
      <c r="D26" s="155"/>
      <c r="E26" s="155"/>
      <c r="F26" s="156"/>
      <c r="AH26" s="37">
        <v>22</v>
      </c>
      <c r="AI26" s="38">
        <v>47381</v>
      </c>
      <c r="AJ26" s="39">
        <v>47289</v>
      </c>
      <c r="AK26" s="39">
        <v>47381</v>
      </c>
      <c r="AL26" s="40">
        <v>0.25555555555555554</v>
      </c>
      <c r="AM26" s="39">
        <v>47381</v>
      </c>
      <c r="AN26" s="41">
        <v>5.4767123287671229</v>
      </c>
      <c r="AO26" s="41">
        <v>0.25205479452054735</v>
      </c>
      <c r="AP26" s="53">
        <v>0.80737066429134074</v>
      </c>
      <c r="AR26" s="37">
        <v>255555.55555555553</v>
      </c>
      <c r="AT26" s="101">
        <v>1.6862551365232934E-2</v>
      </c>
      <c r="AU26" s="83">
        <v>0.99575873276671667</v>
      </c>
      <c r="AV26" s="96">
        <v>0.91169917567036696</v>
      </c>
      <c r="AW26" s="83">
        <v>8.8300824329633043E-2</v>
      </c>
      <c r="AX26" s="83">
        <v>3.8832296550774803E-3</v>
      </c>
      <c r="AY26" s="83">
        <v>3.8832296550774803E-3</v>
      </c>
      <c r="AZ26" s="37">
        <v>188109.12099090658</v>
      </c>
      <c r="BA26" s="37">
        <v>188112.34237294432</v>
      </c>
      <c r="BB26" s="37">
        <v>188109.12099090658</v>
      </c>
      <c r="BC26" s="37">
        <v>0</v>
      </c>
      <c r="BE26" s="83">
        <v>1.6868742010052409E-2</v>
      </c>
      <c r="BF26" s="83">
        <v>0.91175383114152475</v>
      </c>
      <c r="BG26" s="83">
        <v>8.8246168858475249E-2</v>
      </c>
      <c r="BH26" s="83">
        <v>3.884891195684359E-3</v>
      </c>
      <c r="BI26" s="83">
        <v>3.884891195684359E-3</v>
      </c>
      <c r="BJ26" s="37">
        <v>188120.39794816528</v>
      </c>
      <c r="BK26" s="37">
        <v>188192.8311215557</v>
      </c>
      <c r="BL26" s="37">
        <v>188120.39794816528</v>
      </c>
      <c r="BM26" s="37">
        <v>0</v>
      </c>
    </row>
    <row r="27" spans="2:65" x14ac:dyDescent="0.2">
      <c r="B27" s="157" t="s">
        <v>114</v>
      </c>
      <c r="C27" s="158"/>
      <c r="D27" s="158"/>
      <c r="E27" s="158"/>
      <c r="F27" s="60">
        <f>MONTH(ValueDate)</f>
        <v>3</v>
      </c>
      <c r="AH27" s="37">
        <v>23</v>
      </c>
      <c r="AI27" s="38">
        <v>47472</v>
      </c>
      <c r="AJ27" s="39">
        <v>47381</v>
      </c>
      <c r="AK27" s="39">
        <v>47472</v>
      </c>
      <c r="AL27" s="40">
        <v>0.25277777777777777</v>
      </c>
      <c r="AM27" s="39">
        <v>47472</v>
      </c>
      <c r="AN27" s="41">
        <v>5.7260273972602738</v>
      </c>
      <c r="AO27" s="41">
        <v>0.24931506849315088</v>
      </c>
      <c r="AP27" s="53">
        <v>0.80019973426004998</v>
      </c>
      <c r="AR27" s="37">
        <v>252777.77777777778</v>
      </c>
      <c r="AT27" s="101">
        <v>1.6862551365232934E-2</v>
      </c>
      <c r="AU27" s="83">
        <v>0.99580473665890068</v>
      </c>
      <c r="AV27" s="96">
        <v>0.90787435754056656</v>
      </c>
      <c r="AW27" s="83">
        <v>9.2125642459433443E-2</v>
      </c>
      <c r="AX27" s="83">
        <v>3.8248181298004003E-3</v>
      </c>
      <c r="AY27" s="83">
        <v>3.8248181298004003E-3</v>
      </c>
      <c r="AZ27" s="37">
        <v>183638.20718816173</v>
      </c>
      <c r="BA27" s="37">
        <v>183637.1070635581</v>
      </c>
      <c r="BB27" s="37">
        <v>183638.20718816173</v>
      </c>
      <c r="BC27" s="37">
        <v>0</v>
      </c>
      <c r="BE27" s="83">
        <v>1.6868742010052409E-2</v>
      </c>
      <c r="BF27" s="83">
        <v>0.90792738240232618</v>
      </c>
      <c r="BG27" s="83">
        <v>9.2072617597673823E-2</v>
      </c>
      <c r="BH27" s="83">
        <v>3.8264487391985735E-3</v>
      </c>
      <c r="BI27" s="83">
        <v>3.8264487391985735E-3</v>
      </c>
      <c r="BJ27" s="37">
        <v>183648.93267067929</v>
      </c>
      <c r="BK27" s="37">
        <v>183715.39585598413</v>
      </c>
      <c r="BL27" s="37">
        <v>183648.93267067929</v>
      </c>
      <c r="BM27" s="37">
        <v>0</v>
      </c>
    </row>
    <row r="28" spans="2:65" ht="12" x14ac:dyDescent="0.25">
      <c r="B28" s="150" t="s">
        <v>115</v>
      </c>
      <c r="C28" s="151"/>
      <c r="D28" s="151"/>
      <c r="E28" s="151"/>
      <c r="F28" s="63" cm="1">
        <f t="array" ref="F28">_xlfn.IFS(
OR(F27=12,F27=1,F27=2),12,
OR(F27=3,F27=4,F27=5),3,
OR(F27=6,F27=7,F27=8),6,
OR(F27=9,F27=10,F27=11),9)</f>
        <v>3</v>
      </c>
      <c r="AE28" s="123" t="s">
        <v>81</v>
      </c>
      <c r="AH28" s="37">
        <v>24</v>
      </c>
      <c r="AI28" s="38">
        <v>47562</v>
      </c>
      <c r="AJ28" s="39">
        <v>47472</v>
      </c>
      <c r="AK28" s="39">
        <v>47562</v>
      </c>
      <c r="AL28" s="40">
        <v>0.25</v>
      </c>
      <c r="AM28" s="39">
        <v>47562</v>
      </c>
      <c r="AN28" s="41">
        <v>5.9726027397260273</v>
      </c>
      <c r="AO28" s="41">
        <v>0.24657534246575352</v>
      </c>
      <c r="AP28" s="53">
        <v>0.79317025268523644</v>
      </c>
      <c r="AR28" s="37">
        <v>250000</v>
      </c>
      <c r="AT28" s="101">
        <v>1.6862551365232934E-2</v>
      </c>
      <c r="AU28" s="83">
        <v>0.99585074267645712</v>
      </c>
      <c r="AV28" s="96">
        <v>0.90410735321368463</v>
      </c>
      <c r="AW28" s="83">
        <v>9.5892646786315372E-2</v>
      </c>
      <c r="AX28" s="83">
        <v>3.7670043268819287E-3</v>
      </c>
      <c r="AY28" s="83">
        <v>3.7670043268819287E-3</v>
      </c>
      <c r="AZ28" s="37">
        <v>179277.76445076964</v>
      </c>
      <c r="BA28" s="37">
        <v>179272.54642915909</v>
      </c>
      <c r="BB28" s="37">
        <v>179277.76445076964</v>
      </c>
      <c r="BC28" s="37">
        <v>0</v>
      </c>
      <c r="BE28" s="83">
        <v>1.6868742010052409E-2</v>
      </c>
      <c r="BF28" s="83">
        <v>0.90415877789805532</v>
      </c>
      <c r="BG28" s="83">
        <v>9.5841222101944679E-2</v>
      </c>
      <c r="BH28" s="83">
        <v>3.768604504270856E-3</v>
      </c>
      <c r="BI28" s="83">
        <v>3.768604504270856E-3</v>
      </c>
      <c r="BJ28" s="37">
        <v>179287.96158324377</v>
      </c>
      <c r="BK28" s="37">
        <v>179348.6992153941</v>
      </c>
      <c r="BL28" s="37">
        <v>179287.96158324377</v>
      </c>
      <c r="BM28" s="37">
        <v>0</v>
      </c>
    </row>
    <row r="29" spans="2:65" x14ac:dyDescent="0.2">
      <c r="B29" s="150" t="s">
        <v>116</v>
      </c>
      <c r="C29" s="151"/>
      <c r="D29" s="151"/>
      <c r="E29" s="151"/>
      <c r="F29" s="63">
        <f>IF(F28=3,12,F28-3)</f>
        <v>12</v>
      </c>
      <c r="AE29" s="35" t="s">
        <v>67</v>
      </c>
      <c r="AF29" s="37">
        <f>SUM(_xlfn.ANCHORARRAY(BB5))</f>
        <v>14939646.787689455</v>
      </c>
      <c r="AH29" s="37">
        <v>25</v>
      </c>
      <c r="AI29" s="38">
        <v>47654</v>
      </c>
      <c r="AJ29" s="39">
        <v>47562</v>
      </c>
      <c r="AK29" s="39">
        <v>47654</v>
      </c>
      <c r="AL29" s="40">
        <v>0.25555555555555554</v>
      </c>
      <c r="AM29" s="39">
        <v>47654</v>
      </c>
      <c r="AN29" s="41">
        <v>6.2246575342465755</v>
      </c>
      <c r="AO29" s="41">
        <v>0.25205479452054824</v>
      </c>
      <c r="AP29" s="53">
        <v>0.78598727794190482</v>
      </c>
      <c r="AR29" s="37">
        <v>255555.55555555553</v>
      </c>
      <c r="AT29" s="101">
        <v>1.6862551365232934E-2</v>
      </c>
      <c r="AU29" s="83">
        <v>0.99575873276671667</v>
      </c>
      <c r="AV29" s="96">
        <v>0.90027279232112889</v>
      </c>
      <c r="AW29" s="83">
        <v>9.972720767887111E-2</v>
      </c>
      <c r="AX29" s="83">
        <v>3.8345608925557384E-3</v>
      </c>
      <c r="AY29" s="83">
        <v>3.8345608925557384E-3</v>
      </c>
      <c r="AZ29" s="37">
        <v>180831.86792397514</v>
      </c>
      <c r="BA29" s="37">
        <v>180834.96468254193</v>
      </c>
      <c r="BB29" s="37">
        <v>180831.86792397514</v>
      </c>
      <c r="BC29" s="37">
        <v>0</v>
      </c>
      <c r="BE29" s="83">
        <v>1.6868742010052409E-2</v>
      </c>
      <c r="BF29" s="83">
        <v>0.90032259405166781</v>
      </c>
      <c r="BG29" s="83">
        <v>9.9677405948332187E-2</v>
      </c>
      <c r="BH29" s="83">
        <v>3.8361838463875086E-3</v>
      </c>
      <c r="BI29" s="83">
        <v>3.8361838463875086E-3</v>
      </c>
      <c r="BJ29" s="37">
        <v>180841.8712696677</v>
      </c>
      <c r="BK29" s="37">
        <v>180911.50194640944</v>
      </c>
      <c r="BL29" s="37">
        <v>180841.8712696677</v>
      </c>
      <c r="BM29" s="37">
        <v>0</v>
      </c>
    </row>
    <row r="30" spans="2:65" x14ac:dyDescent="0.2">
      <c r="B30" s="150" t="s">
        <v>117</v>
      </c>
      <c r="C30" s="151"/>
      <c r="D30" s="151"/>
      <c r="E30" s="151"/>
      <c r="F30" s="63">
        <f>IF(DAY(ValueDate)&gt;=RollDay,F28,F29)</f>
        <v>3</v>
      </c>
      <c r="AE30" s="35" t="s">
        <v>153</v>
      </c>
      <c r="AF30" s="37">
        <f>Upfront_Fee_Applied*Notional</f>
        <v>0</v>
      </c>
      <c r="AH30" s="37">
        <v>26</v>
      </c>
      <c r="AI30" s="38">
        <v>47746</v>
      </c>
      <c r="AJ30" s="39">
        <v>47654</v>
      </c>
      <c r="AK30" s="39">
        <v>47746</v>
      </c>
      <c r="AL30" s="40">
        <v>0.25555555555555554</v>
      </c>
      <c r="AM30" s="39">
        <v>47746</v>
      </c>
      <c r="AN30" s="41">
        <v>6.4767123287671229</v>
      </c>
      <c r="AO30" s="41">
        <v>0.25205479452054735</v>
      </c>
      <c r="AP30" s="53">
        <v>0.7788593889410601</v>
      </c>
      <c r="AR30" s="37">
        <v>255555.55555555553</v>
      </c>
      <c r="AT30" s="101">
        <v>1.6862551365232934E-2</v>
      </c>
      <c r="AU30" s="83">
        <v>0.99575873276671667</v>
      </c>
      <c r="AV30" s="96">
        <v>0.89645449482604078</v>
      </c>
      <c r="AW30" s="83">
        <v>0.10354550517395922</v>
      </c>
      <c r="AX30" s="83">
        <v>3.8182974950881077E-3</v>
      </c>
      <c r="AY30" s="83">
        <v>3.8182974950881077E-3</v>
      </c>
      <c r="AZ30" s="37">
        <v>178431.95556927295</v>
      </c>
      <c r="BA30" s="37">
        <v>178435.01122917022</v>
      </c>
      <c r="BB30" s="37">
        <v>178431.95556927295</v>
      </c>
      <c r="BC30" s="37">
        <v>0</v>
      </c>
      <c r="BE30" s="83">
        <v>1.6868742010052409E-2</v>
      </c>
      <c r="BF30" s="83">
        <v>0.89650268644664732</v>
      </c>
      <c r="BG30" s="83">
        <v>0.10349731355335268</v>
      </c>
      <c r="BH30" s="83">
        <v>3.8199076050204894E-3</v>
      </c>
      <c r="BI30" s="83">
        <v>3.8199076050204894E-3</v>
      </c>
      <c r="BJ30" s="37">
        <v>178441.54771829615</v>
      </c>
      <c r="BK30" s="37">
        <v>178510.254183454</v>
      </c>
      <c r="BL30" s="37">
        <v>178441.54771829615</v>
      </c>
      <c r="BM30" s="37">
        <v>0</v>
      </c>
    </row>
    <row r="31" spans="2:65" x14ac:dyDescent="0.2">
      <c r="B31" s="150" t="s">
        <v>119</v>
      </c>
      <c r="C31" s="151"/>
      <c r="D31" s="151"/>
      <c r="E31" s="151"/>
      <c r="F31" s="63">
        <f>IF(F30&gt;F27,YEAR(ValueDate)-1,YEAR(ValueDate))</f>
        <v>2024</v>
      </c>
      <c r="AE31" s="35" t="s">
        <v>152</v>
      </c>
      <c r="AF31" s="37">
        <f>SUM(_xlfn.ANCHORARRAY(AZ5))</f>
        <v>14939646.787689455</v>
      </c>
      <c r="AG31" s="37"/>
      <c r="AH31" s="37">
        <v>27</v>
      </c>
      <c r="AI31" s="38">
        <v>47837</v>
      </c>
      <c r="AJ31" s="39">
        <v>47746</v>
      </c>
      <c r="AK31" s="39">
        <v>47837</v>
      </c>
      <c r="AL31" s="40">
        <v>0.25277777777777777</v>
      </c>
      <c r="AM31" s="39">
        <v>47837</v>
      </c>
      <c r="AN31" s="41">
        <v>6.7260273972602738</v>
      </c>
      <c r="AO31" s="41">
        <v>0.24931506849315088</v>
      </c>
      <c r="AP31" s="53">
        <v>0.77187256972519558</v>
      </c>
      <c r="AR31" s="37">
        <v>252777.77777777778</v>
      </c>
      <c r="AT31" s="101">
        <v>1.6862551365232934E-2</v>
      </c>
      <c r="AU31" s="83">
        <v>0.99580473665890068</v>
      </c>
      <c r="AV31" s="96">
        <v>0.89269363214693342</v>
      </c>
      <c r="AW31" s="83">
        <v>0.10730636785306658</v>
      </c>
      <c r="AX31" s="83">
        <v>3.7608626791073574E-3</v>
      </c>
      <c r="AY31" s="83">
        <v>3.7608626791073574E-3</v>
      </c>
      <c r="AZ31" s="37">
        <v>174175.44786626124</v>
      </c>
      <c r="BA31" s="37">
        <v>174174.40443037078</v>
      </c>
      <c r="BB31" s="37">
        <v>174175.44786626124</v>
      </c>
      <c r="BC31" s="37">
        <v>0</v>
      </c>
      <c r="BE31" s="83">
        <v>1.6868742010052409E-2</v>
      </c>
      <c r="BF31" s="83">
        <v>0.89274024371586447</v>
      </c>
      <c r="BG31" s="83">
        <v>0.10725975628413553</v>
      </c>
      <c r="BH31" s="83">
        <v>3.7624427307828556E-3</v>
      </c>
      <c r="BI31" s="83">
        <v>3.7624427307828556E-3</v>
      </c>
      <c r="BJ31" s="37">
        <v>174184.54235355448</v>
      </c>
      <c r="BK31" s="37">
        <v>174247.58034319468</v>
      </c>
      <c r="BL31" s="37">
        <v>174184.54235355448</v>
      </c>
      <c r="BM31" s="37">
        <v>0</v>
      </c>
    </row>
    <row r="32" spans="2:65" x14ac:dyDescent="0.2">
      <c r="B32" s="152" t="s">
        <v>118</v>
      </c>
      <c r="C32" s="153"/>
      <c r="D32" s="153"/>
      <c r="E32" s="153"/>
      <c r="F32" s="64">
        <f>DATE(F31,F30,RollDay)</f>
        <v>45371</v>
      </c>
      <c r="H32" s="37"/>
      <c r="AE32" s="42" t="s">
        <v>151</v>
      </c>
      <c r="AF32" s="37">
        <f>AF31+AF30</f>
        <v>14939646.787689455</v>
      </c>
      <c r="AG32" s="37"/>
      <c r="AH32" s="37">
        <v>28</v>
      </c>
      <c r="AI32" s="38">
        <v>47927</v>
      </c>
      <c r="AJ32" s="39">
        <v>47837</v>
      </c>
      <c r="AK32" s="39">
        <v>47927</v>
      </c>
      <c r="AL32" s="40">
        <v>0.25</v>
      </c>
      <c r="AM32" s="39">
        <v>47927</v>
      </c>
      <c r="AN32" s="41">
        <v>6.9726027397260273</v>
      </c>
      <c r="AO32" s="41">
        <v>0.24657534246575352</v>
      </c>
      <c r="AP32" s="53">
        <v>0.76502417724889871</v>
      </c>
      <c r="AR32" s="37">
        <v>250000</v>
      </c>
      <c r="AT32" s="101">
        <v>1.6862551365232934E-2</v>
      </c>
      <c r="AU32" s="83">
        <v>0.99585074267645712</v>
      </c>
      <c r="AV32" s="96">
        <v>0.88898961655606767</v>
      </c>
      <c r="AW32" s="83">
        <v>0.11101038344393233</v>
      </c>
      <c r="AX32" s="83">
        <v>3.7040155908657502E-3</v>
      </c>
      <c r="AY32" s="83">
        <v>3.7040155908657502E-3</v>
      </c>
      <c r="AZ32" s="37">
        <v>170024.63749715488</v>
      </c>
      <c r="BA32" s="37">
        <v>170019.68879514982</v>
      </c>
      <c r="BB32" s="37">
        <v>170024.63749715488</v>
      </c>
      <c r="BC32" s="37">
        <v>0</v>
      </c>
      <c r="BE32" s="83">
        <v>1.6868742010052409E-2</v>
      </c>
      <c r="BF32" s="83">
        <v>0.88903467764436928</v>
      </c>
      <c r="BG32" s="83">
        <v>0.11096532235563072</v>
      </c>
      <c r="BH32" s="83">
        <v>3.7055660714951921E-3</v>
      </c>
      <c r="BI32" s="83">
        <v>3.7055660714951921E-3</v>
      </c>
      <c r="BJ32" s="37">
        <v>170033.25570265585</v>
      </c>
      <c r="BK32" s="37">
        <v>170090.85810522258</v>
      </c>
      <c r="BL32" s="37">
        <v>170033.25570265585</v>
      </c>
      <c r="BM32" s="37">
        <v>0</v>
      </c>
    </row>
    <row r="33" spans="2:65" x14ac:dyDescent="0.2">
      <c r="AE33" s="42" t="s">
        <v>138</v>
      </c>
      <c r="AF33" s="37">
        <f>SUM(_xlfn.ANCHORARRAY(BA5))</f>
        <v>14939646.787229937</v>
      </c>
      <c r="AG33" s="37"/>
      <c r="AH33" s="37">
        <v>29</v>
      </c>
      <c r="AI33" s="38">
        <v>48019</v>
      </c>
      <c r="AJ33" s="39">
        <v>47927</v>
      </c>
      <c r="AK33" s="39">
        <v>48019</v>
      </c>
      <c r="AL33" s="40">
        <v>0.25555555555555554</v>
      </c>
      <c r="AM33" s="39">
        <v>48019</v>
      </c>
      <c r="AN33" s="41">
        <v>7.2246575342465755</v>
      </c>
      <c r="AO33" s="41">
        <v>0.25205479452054824</v>
      </c>
      <c r="AP33" s="53">
        <v>0.75804747912189874</v>
      </c>
      <c r="AR33" s="37">
        <v>255555.55555555553</v>
      </c>
      <c r="AT33" s="101">
        <v>1.6862551365232934E-2</v>
      </c>
      <c r="AU33" s="83">
        <v>0.99575873276671667</v>
      </c>
      <c r="AV33" s="96">
        <v>0.88521917402463923</v>
      </c>
      <c r="AW33" s="83">
        <v>0.11478082597536077</v>
      </c>
      <c r="AX33" s="83">
        <v>3.7704425314284418E-3</v>
      </c>
      <c r="AY33" s="83">
        <v>3.7704425314284418E-3</v>
      </c>
      <c r="AZ33" s="37">
        <v>171487.53063126872</v>
      </c>
      <c r="BA33" s="37">
        <v>171490.46736739925</v>
      </c>
      <c r="BB33" s="37">
        <v>171487.53063126872</v>
      </c>
      <c r="BC33" s="37">
        <v>0</v>
      </c>
      <c r="BE33" s="83">
        <v>1.6868742010052409E-2</v>
      </c>
      <c r="BF33" s="83">
        <v>0.8852626626480804</v>
      </c>
      <c r="BG33" s="83">
        <v>0.1147373373519196</v>
      </c>
      <c r="BH33" s="83">
        <v>3.7720149962888749E-3</v>
      </c>
      <c r="BI33" s="83">
        <v>3.7720149962888749E-3</v>
      </c>
      <c r="BJ33" s="37">
        <v>171495.95538850772</v>
      </c>
      <c r="BK33" s="37">
        <v>171561.98754880679</v>
      </c>
      <c r="BL33" s="37">
        <v>171495.95538850772</v>
      </c>
      <c r="BM33" s="37">
        <v>0</v>
      </c>
    </row>
    <row r="34" spans="2:65" x14ac:dyDescent="0.2">
      <c r="B34" s="160" t="s">
        <v>20</v>
      </c>
      <c r="C34" s="161"/>
      <c r="D34" s="161"/>
      <c r="E34" s="161"/>
      <c r="F34" s="65">
        <v>20</v>
      </c>
      <c r="AG34" s="37"/>
      <c r="AH34" s="37">
        <v>30</v>
      </c>
      <c r="AI34" s="38">
        <v>48111</v>
      </c>
      <c r="AJ34" s="39">
        <v>48019</v>
      </c>
      <c r="AK34" s="39">
        <v>48113</v>
      </c>
      <c r="AL34" s="40">
        <v>0.26111111111111113</v>
      </c>
      <c r="AM34" s="39">
        <v>48113</v>
      </c>
      <c r="AN34" s="41">
        <v>7.4821917808219176</v>
      </c>
      <c r="AO34" s="41">
        <v>0.25753424657534207</v>
      </c>
      <c r="AP34" s="53">
        <v>0.75097834140175834</v>
      </c>
      <c r="AR34" s="37">
        <v>261111.11111111112</v>
      </c>
      <c r="AT34" s="101">
        <v>1.6862512366696242E-2</v>
      </c>
      <c r="AU34" s="83">
        <v>0.99566674135801081</v>
      </c>
      <c r="AV34" s="96">
        <v>0.88138329038874252</v>
      </c>
      <c r="AW34" s="83">
        <v>0.11861670961125748</v>
      </c>
      <c r="AX34" s="83">
        <v>3.8358836358967086E-3</v>
      </c>
      <c r="AY34" s="83">
        <v>3.8358836358967086E-3</v>
      </c>
      <c r="AZ34" s="37">
        <v>172829.38218390013</v>
      </c>
      <c r="BA34" s="37">
        <v>172839.93184175139</v>
      </c>
      <c r="BB34" s="37">
        <v>172829.38218390013</v>
      </c>
      <c r="BC34" s="37">
        <v>0</v>
      </c>
      <c r="BE34" s="83">
        <v>1.6868742010052409E-2</v>
      </c>
      <c r="BF34" s="83">
        <v>0.88142517645219187</v>
      </c>
      <c r="BG34" s="83">
        <v>0.11857482354780813</v>
      </c>
      <c r="BH34" s="83">
        <v>3.8374861958885287E-3</v>
      </c>
      <c r="BI34" s="83">
        <v>3.8374861958885287E-3</v>
      </c>
      <c r="BJ34" s="37">
        <v>172837.59557136393</v>
      </c>
      <c r="BK34" s="37">
        <v>172912.14111243063</v>
      </c>
      <c r="BL34" s="37">
        <v>172837.59557136396</v>
      </c>
      <c r="BM34" s="37">
        <v>0</v>
      </c>
    </row>
    <row r="35" spans="2:65" ht="12" x14ac:dyDescent="0.25">
      <c r="AE35" s="123" t="s">
        <v>82</v>
      </c>
      <c r="AF35" s="123"/>
      <c r="AH35" s="37">
        <v>31</v>
      </c>
      <c r="AI35" s="38">
        <v>48202</v>
      </c>
      <c r="AJ35" s="39">
        <v>48113</v>
      </c>
      <c r="AK35" s="39">
        <v>48204</v>
      </c>
      <c r="AL35" s="40">
        <v>0.25277777777777777</v>
      </c>
      <c r="AM35" s="39">
        <v>48204</v>
      </c>
      <c r="AN35" s="41">
        <v>7.7315068493150685</v>
      </c>
      <c r="AO35" s="41">
        <v>0.24931506849315088</v>
      </c>
      <c r="AP35" s="53">
        <v>0.74419762132000755</v>
      </c>
      <c r="AR35" s="37">
        <v>252777.77777777778</v>
      </c>
      <c r="AT35" s="101">
        <v>1.6862512366696242E-2</v>
      </c>
      <c r="AU35" s="83">
        <v>0.99580474634103333</v>
      </c>
      <c r="AV35" s="96">
        <v>0.87768566391478708</v>
      </c>
      <c r="AW35" s="83">
        <v>0.12231433608521292</v>
      </c>
      <c r="AX35" s="83">
        <v>3.6976264739554399E-3</v>
      </c>
      <c r="AY35" s="83">
        <v>3.6976264739554399E-3</v>
      </c>
      <c r="AZ35" s="37">
        <v>165107.26134732532</v>
      </c>
      <c r="BA35" s="37">
        <v>165105.88958685152</v>
      </c>
      <c r="BB35" s="37">
        <v>165107.26134732532</v>
      </c>
      <c r="BC35" s="37">
        <v>0</v>
      </c>
      <c r="BE35" s="83">
        <v>1.6868742010052409E-2</v>
      </c>
      <c r="BF35" s="83">
        <v>0.87772601101966419</v>
      </c>
      <c r="BG35" s="83">
        <v>0.12227398898033581</v>
      </c>
      <c r="BH35" s="83">
        <v>3.6991654325276846E-3</v>
      </c>
      <c r="BI35" s="83">
        <v>3.6991654325276846E-3</v>
      </c>
      <c r="BJ35" s="37">
        <v>165114.85130835968</v>
      </c>
      <c r="BK35" s="37">
        <v>165174.60694537798</v>
      </c>
      <c r="BL35" s="37">
        <v>165114.85130835968</v>
      </c>
      <c r="BM35" s="37">
        <v>0</v>
      </c>
    </row>
    <row r="36" spans="2:65" x14ac:dyDescent="0.2">
      <c r="B36" s="154" t="s">
        <v>124</v>
      </c>
      <c r="C36" s="155"/>
      <c r="D36" s="155"/>
      <c r="E36" s="155"/>
      <c r="F36" s="156"/>
      <c r="AE36" s="42" t="s">
        <v>73</v>
      </c>
      <c r="AF36" s="37">
        <f>SUM(_xlfn.ANCHORARRAY(BL5))</f>
        <v>14939980.232745161</v>
      </c>
      <c r="AH36" s="37">
        <v>32</v>
      </c>
      <c r="AI36" s="38">
        <v>48293</v>
      </c>
      <c r="AJ36" s="39">
        <v>48204</v>
      </c>
      <c r="AK36" s="39">
        <v>48295</v>
      </c>
      <c r="AL36" s="40">
        <v>0.25277777777777777</v>
      </c>
      <c r="AM36" s="39">
        <v>48295</v>
      </c>
      <c r="AN36" s="41">
        <v>7.9808219178082194</v>
      </c>
      <c r="AO36" s="41">
        <v>0.24931506849315088</v>
      </c>
      <c r="AP36" s="53">
        <v>0.73747812559359738</v>
      </c>
      <c r="AR36" s="37">
        <v>252777.77777777778</v>
      </c>
      <c r="AT36" s="101">
        <v>1.6862512366696242E-2</v>
      </c>
      <c r="AU36" s="83">
        <v>0.99580474634103333</v>
      </c>
      <c r="AV36" s="96">
        <v>0.87400354992182594</v>
      </c>
      <c r="AW36" s="83">
        <v>0.12599645007817406</v>
      </c>
      <c r="AX36" s="83">
        <v>3.6821139929611446E-3</v>
      </c>
      <c r="AY36" s="83">
        <v>3.6821139929611446E-3</v>
      </c>
      <c r="AZ36" s="37">
        <v>162930.06521673151</v>
      </c>
      <c r="BA36" s="37">
        <v>162928.71154505649</v>
      </c>
      <c r="BB36" s="37">
        <v>162930.06521673151</v>
      </c>
      <c r="BC36" s="37">
        <v>0</v>
      </c>
      <c r="BE36" s="83">
        <v>1.6868742010052409E-2</v>
      </c>
      <c r="BF36" s="83">
        <v>0.87404237024568143</v>
      </c>
      <c r="BG36" s="83">
        <v>0.12595762975431857</v>
      </c>
      <c r="BH36" s="83">
        <v>3.6836407739827548E-3</v>
      </c>
      <c r="BI36" s="83">
        <v>3.6836407739827548E-3</v>
      </c>
      <c r="BJ36" s="37">
        <v>162937.30202703745</v>
      </c>
      <c r="BK36" s="37">
        <v>162996.26960141701</v>
      </c>
      <c r="BL36" s="37">
        <v>162937.30202703745</v>
      </c>
      <c r="BM36" s="37">
        <v>0</v>
      </c>
    </row>
    <row r="37" spans="2:65" x14ac:dyDescent="0.2">
      <c r="B37" s="157" t="s">
        <v>122</v>
      </c>
      <c r="C37" s="158"/>
      <c r="D37" s="158"/>
      <c r="E37" s="158"/>
      <c r="F37" s="66">
        <f>EDATE(F32,12)</f>
        <v>45736</v>
      </c>
      <c r="AE37" s="86" t="s">
        <v>153</v>
      </c>
      <c r="AF37" s="37">
        <f>Upfront_Fee_Applied*Notional</f>
        <v>0</v>
      </c>
      <c r="AH37" s="37">
        <v>33</v>
      </c>
      <c r="AI37" s="38">
        <v>48385</v>
      </c>
      <c r="AJ37" s="39">
        <v>48295</v>
      </c>
      <c r="AK37" s="39">
        <v>48386</v>
      </c>
      <c r="AL37" s="40">
        <v>0.25277777777777777</v>
      </c>
      <c r="AM37" s="39">
        <v>48386</v>
      </c>
      <c r="AN37" s="41">
        <v>8.2301369863013694</v>
      </c>
      <c r="AO37" s="41">
        <v>0.24931506849314999</v>
      </c>
      <c r="AP37" s="53">
        <v>0.73071840984196867</v>
      </c>
      <c r="AR37" s="37">
        <v>252777.77777777778</v>
      </c>
      <c r="AT37" s="101">
        <v>1.6862512366696242E-2</v>
      </c>
      <c r="AU37" s="83">
        <v>0.99580474634103333</v>
      </c>
      <c r="AV37" s="96">
        <v>0.87033688333106651</v>
      </c>
      <c r="AW37" s="83">
        <v>0.12966311666893349</v>
      </c>
      <c r="AX37" s="83">
        <v>3.6666665907594265E-3</v>
      </c>
      <c r="AY37" s="83">
        <v>3.6666665907594265E-3</v>
      </c>
      <c r="AZ37" s="37">
        <v>160759.38247421882</v>
      </c>
      <c r="BA37" s="37">
        <v>160758.04683722404</v>
      </c>
      <c r="BB37" s="37">
        <v>160759.38247421882</v>
      </c>
      <c r="BC37" s="37">
        <v>0</v>
      </c>
      <c r="BE37" s="83">
        <v>1.6868742010052409E-2</v>
      </c>
      <c r="BF37" s="83">
        <v>0.87037418897635199</v>
      </c>
      <c r="BG37" s="83">
        <v>0.12962581102364801</v>
      </c>
      <c r="BH37" s="83">
        <v>3.6681812693294402E-3</v>
      </c>
      <c r="BI37" s="83">
        <v>3.6681812693294402E-3</v>
      </c>
      <c r="BJ37" s="37">
        <v>160766.27317667409</v>
      </c>
      <c r="BK37" s="37">
        <v>160824.45504819017</v>
      </c>
      <c r="BL37" s="37">
        <v>160766.27317667406</v>
      </c>
      <c r="BM37" s="37">
        <v>0</v>
      </c>
    </row>
    <row r="38" spans="2:65" x14ac:dyDescent="0.2">
      <c r="B38" s="54" t="s">
        <v>123</v>
      </c>
      <c r="F38" s="24" t="b">
        <f>OR(MONTH(F37)=3,MONTH(F37)=9)</f>
        <v>1</v>
      </c>
      <c r="AE38" s="86" t="s">
        <v>152</v>
      </c>
      <c r="AF38" s="37">
        <f>SUM(_xlfn.ANCHORARRAY(BJ5))</f>
        <v>14939980.232745161</v>
      </c>
      <c r="AH38" s="37">
        <v>34</v>
      </c>
      <c r="AI38" s="38">
        <v>48477</v>
      </c>
      <c r="AJ38" s="39">
        <v>48386</v>
      </c>
      <c r="AK38" s="39">
        <v>48477</v>
      </c>
      <c r="AL38" s="40">
        <v>0.25277777777777777</v>
      </c>
      <c r="AM38" s="39">
        <v>48477</v>
      </c>
      <c r="AN38" s="41">
        <v>8.4794520547945211</v>
      </c>
      <c r="AO38" s="41">
        <v>0.24931506849315177</v>
      </c>
      <c r="AP38" s="53">
        <v>0.72400690920852517</v>
      </c>
      <c r="AR38" s="37">
        <v>252777.77777777778</v>
      </c>
      <c r="AT38" s="101">
        <v>1.6862512366696242E-2</v>
      </c>
      <c r="AU38" s="83">
        <v>0.99580474634103333</v>
      </c>
      <c r="AV38" s="96">
        <v>0.86668559933673828</v>
      </c>
      <c r="AW38" s="83">
        <v>0.13331440066326172</v>
      </c>
      <c r="AX38" s="83">
        <v>3.651283994328236E-3</v>
      </c>
      <c r="AY38" s="83">
        <v>3.651283994328236E-3</v>
      </c>
      <c r="AZ38" s="37">
        <v>158614.60818014177</v>
      </c>
      <c r="BA38" s="37">
        <v>158613.29036256866</v>
      </c>
      <c r="BB38" s="37">
        <v>158614.60818014177</v>
      </c>
      <c r="BC38" s="37">
        <v>0</v>
      </c>
      <c r="BE38" s="83">
        <v>1.6868742010052409E-2</v>
      </c>
      <c r="BF38" s="83">
        <v>0.86672140233122241</v>
      </c>
      <c r="BG38" s="83">
        <v>0.13327859766877759</v>
      </c>
      <c r="BH38" s="83">
        <v>3.6527866451295798E-3</v>
      </c>
      <c r="BI38" s="83">
        <v>3.6527866451295798E-3</v>
      </c>
      <c r="BJ38" s="37">
        <v>158621.16058847314</v>
      </c>
      <c r="BK38" s="37">
        <v>158678.56613630668</v>
      </c>
      <c r="BL38" s="37">
        <v>158621.16058847314</v>
      </c>
      <c r="BM38" s="37">
        <v>0</v>
      </c>
    </row>
    <row r="39" spans="2:65" x14ac:dyDescent="0.2">
      <c r="B39" s="34" t="s">
        <v>130</v>
      </c>
      <c r="C39" s="57"/>
      <c r="D39" s="57"/>
      <c r="E39" s="57"/>
      <c r="F39" s="64">
        <f>IF(F38,EDATE(F37,3),F37)</f>
        <v>45828</v>
      </c>
      <c r="AE39" s="87" t="s">
        <v>151</v>
      </c>
      <c r="AF39" s="51">
        <f>AF38+AF37</f>
        <v>14939980.232745161</v>
      </c>
      <c r="AH39" s="37">
        <v>35</v>
      </c>
      <c r="AI39" s="38">
        <v>48568</v>
      </c>
      <c r="AJ39" s="39">
        <v>48477</v>
      </c>
      <c r="AK39" s="39">
        <v>48568</v>
      </c>
      <c r="AL39" s="40">
        <v>0.25277777777777777</v>
      </c>
      <c r="AM39" s="39">
        <v>48568</v>
      </c>
      <c r="AN39" s="41">
        <v>8.7287671232876711</v>
      </c>
      <c r="AO39" s="41">
        <v>0.24931506849314999</v>
      </c>
      <c r="AP39" s="53">
        <v>0.71735705234940839</v>
      </c>
      <c r="AR39" s="37">
        <v>252777.77777777778</v>
      </c>
      <c r="AT39" s="101">
        <v>1.6862512366696242E-2</v>
      </c>
      <c r="AU39" s="83">
        <v>0.99580474634103333</v>
      </c>
      <c r="AV39" s="96">
        <v>0.86304963340494711</v>
      </c>
      <c r="AW39" s="83">
        <v>0.13695036659505289</v>
      </c>
      <c r="AX39" s="83">
        <v>3.635965931791163E-3</v>
      </c>
      <c r="AY39" s="83">
        <v>3.635965931791163E-3</v>
      </c>
      <c r="AZ39" s="37">
        <v>156498.44843223761</v>
      </c>
      <c r="BA39" s="37">
        <v>156497.14819635474</v>
      </c>
      <c r="BB39" s="37">
        <v>156498.44843223761</v>
      </c>
      <c r="BC39" s="37">
        <v>0</v>
      </c>
      <c r="BE39" s="83">
        <v>1.6868742010052409E-2</v>
      </c>
      <c r="BF39" s="83">
        <v>0.86308394570212943</v>
      </c>
      <c r="BG39" s="83">
        <v>0.13691605429787057</v>
      </c>
      <c r="BH39" s="83">
        <v>3.6374566290929833E-3</v>
      </c>
      <c r="BI39" s="83">
        <v>3.6374566290929833E-3</v>
      </c>
      <c r="BJ39" s="37">
        <v>156504.67034701904</v>
      </c>
      <c r="BK39" s="37">
        <v>156561.30992969745</v>
      </c>
      <c r="BL39" s="37">
        <v>156504.67034701904</v>
      </c>
      <c r="BM39" s="37">
        <v>0</v>
      </c>
    </row>
    <row r="40" spans="2:65" x14ac:dyDescent="0.2">
      <c r="AE40" s="86" t="s">
        <v>138</v>
      </c>
      <c r="AF40" s="51">
        <f>SUM(_xlfn.ANCHORARRAY(BK5))</f>
        <v>14939980.232728047</v>
      </c>
      <c r="AH40" s="37">
        <v>36</v>
      </c>
      <c r="AI40" s="38">
        <v>48658</v>
      </c>
      <c r="AJ40" s="39">
        <v>48568</v>
      </c>
      <c r="AK40" s="39">
        <v>48659</v>
      </c>
      <c r="AL40" s="102">
        <v>0.25277777777777777</v>
      </c>
      <c r="AM40" s="39">
        <v>48659</v>
      </c>
      <c r="AN40" s="103">
        <v>8.9780821917808211</v>
      </c>
      <c r="AO40" s="103">
        <v>0.24931506849314999</v>
      </c>
      <c r="AP40" s="104">
        <v>0.71076827307903323</v>
      </c>
      <c r="AR40" s="37">
        <v>252777.77777777778</v>
      </c>
      <c r="AT40" s="105">
        <v>1.6862512366696242E-2</v>
      </c>
      <c r="AU40" s="106">
        <v>0.99580474634103333</v>
      </c>
      <c r="AV40" s="107">
        <v>0.85942892127253512</v>
      </c>
      <c r="AW40" s="106">
        <v>0.14057107872746488</v>
      </c>
      <c r="AX40" s="106">
        <v>3.6207121324119962E-3</v>
      </c>
      <c r="AY40" s="106">
        <v>3.6207121324119962E-3</v>
      </c>
      <c r="AZ40" s="37">
        <v>154410.52146900588</v>
      </c>
      <c r="BA40" s="37">
        <v>154409.23858024669</v>
      </c>
      <c r="BB40" s="37">
        <v>154410.52146900588</v>
      </c>
      <c r="BC40" s="37">
        <v>0</v>
      </c>
      <c r="BE40" s="106">
        <v>1.6868742010052409E-2</v>
      </c>
      <c r="BF40" s="106">
        <v>0.85946175475205722</v>
      </c>
      <c r="BG40" s="106">
        <v>0.14053824524794278</v>
      </c>
      <c r="BH40" s="106">
        <v>3.6221909500722127E-3</v>
      </c>
      <c r="BI40" s="106">
        <v>3.6221909500722127E-3</v>
      </c>
      <c r="BJ40" s="37">
        <v>154416.42054287824</v>
      </c>
      <c r="BK40" s="37">
        <v>154472.30438071975</v>
      </c>
      <c r="BL40" s="37">
        <v>154416.42054287824</v>
      </c>
      <c r="BM40" s="37">
        <v>0</v>
      </c>
    </row>
    <row r="41" spans="2:65" x14ac:dyDescent="0.2">
      <c r="B41" s="154" t="s">
        <v>57</v>
      </c>
      <c r="C41" s="155"/>
      <c r="D41" s="155"/>
      <c r="E41" s="156"/>
      <c r="AH41" s="37">
        <v>37</v>
      </c>
      <c r="AI41" s="38">
        <v>48750</v>
      </c>
      <c r="AJ41" s="39">
        <v>48659</v>
      </c>
      <c r="AK41" s="39">
        <v>48751</v>
      </c>
      <c r="AL41" s="102">
        <v>0.25555555555555554</v>
      </c>
      <c r="AM41" s="39">
        <v>48751</v>
      </c>
      <c r="AN41" s="103">
        <v>9.2301369863013694</v>
      </c>
      <c r="AO41" s="103">
        <v>0.25205479452054824</v>
      </c>
      <c r="AP41" s="104">
        <v>0.70417940253124534</v>
      </c>
      <c r="AR41" s="37">
        <v>255555.55555555553</v>
      </c>
      <c r="AT41" s="105">
        <v>1.6862512366696242E-2</v>
      </c>
      <c r="AU41" s="106">
        <v>0.99575874255479413</v>
      </c>
      <c r="AV41" s="107">
        <v>0.85578386196156275</v>
      </c>
      <c r="AW41" s="106">
        <v>0.14421613803843725</v>
      </c>
      <c r="AX41" s="106">
        <v>3.645059310972365E-3</v>
      </c>
      <c r="AY41" s="106">
        <v>3.645059310972365E-3</v>
      </c>
      <c r="AZ41" s="37">
        <v>154004.26086750469</v>
      </c>
      <c r="BA41" s="37">
        <v>154006.54126748836</v>
      </c>
      <c r="BB41" s="37">
        <v>154004.26086750469</v>
      </c>
      <c r="BC41" s="37">
        <v>0</v>
      </c>
      <c r="BE41" s="106">
        <v>1.6868742010052409E-2</v>
      </c>
      <c r="BF41" s="106">
        <v>0.85581521237392255</v>
      </c>
      <c r="BG41" s="106">
        <v>0.14418478762607745</v>
      </c>
      <c r="BH41" s="106">
        <v>3.6465423781346651E-3</v>
      </c>
      <c r="BI41" s="106">
        <v>3.6465423781346651E-3</v>
      </c>
      <c r="BJ41" s="37">
        <v>154009.90259235832</v>
      </c>
      <c r="BK41" s="37">
        <v>154069.2019883841</v>
      </c>
      <c r="BL41" s="37">
        <v>154009.90259235835</v>
      </c>
      <c r="BM41" s="37">
        <v>0</v>
      </c>
    </row>
    <row r="42" spans="2:65" ht="12" x14ac:dyDescent="0.25">
      <c r="B42" s="157" t="s">
        <v>33</v>
      </c>
      <c r="C42" s="158"/>
      <c r="D42" s="158"/>
      <c r="E42" s="67"/>
      <c r="AE42" s="123" t="s">
        <v>283</v>
      </c>
      <c r="AH42" s="37">
        <v>38</v>
      </c>
      <c r="AI42" s="38">
        <v>48842</v>
      </c>
      <c r="AJ42" s="39">
        <v>48751</v>
      </c>
      <c r="AK42" s="39">
        <v>48842</v>
      </c>
      <c r="AL42" s="102">
        <v>0.25277777777777777</v>
      </c>
      <c r="AM42" s="39">
        <v>48842</v>
      </c>
      <c r="AN42" s="103">
        <v>9.4794520547945211</v>
      </c>
      <c r="AO42" s="103">
        <v>0.24931506849315177</v>
      </c>
      <c r="AP42" s="104">
        <v>0.69772413852637449</v>
      </c>
      <c r="AR42" s="37">
        <v>252777.77777777778</v>
      </c>
      <c r="AT42" s="105">
        <v>1.6862512366696242E-2</v>
      </c>
      <c r="AU42" s="106">
        <v>0.99580474634103333</v>
      </c>
      <c r="AV42" s="107">
        <v>0.8521936315833839</v>
      </c>
      <c r="AW42" s="106">
        <v>0.1478063684166161</v>
      </c>
      <c r="AX42" s="106">
        <v>3.5902303781788492E-3</v>
      </c>
      <c r="AY42" s="106">
        <v>3.5902303781788492E-3</v>
      </c>
      <c r="AZ42" s="37">
        <v>150300.67260647306</v>
      </c>
      <c r="BA42" s="37">
        <v>150299.42386356342</v>
      </c>
      <c r="BB42" s="37">
        <v>150300.67260647306</v>
      </c>
      <c r="BC42" s="37">
        <v>0</v>
      </c>
      <c r="BE42" s="106">
        <v>1.6868742010052409E-2</v>
      </c>
      <c r="BF42" s="106">
        <v>0.85222352684596026</v>
      </c>
      <c r="BG42" s="106">
        <v>0.14777647315403974</v>
      </c>
      <c r="BH42" s="106">
        <v>3.5916855279622961E-3</v>
      </c>
      <c r="BI42" s="106">
        <v>3.5916855279622961E-3</v>
      </c>
      <c r="BJ42" s="37">
        <v>150305.94520873908</v>
      </c>
      <c r="BK42" s="37">
        <v>150360.34145130837</v>
      </c>
      <c r="BL42" s="37">
        <v>150305.94520873908</v>
      </c>
      <c r="BM42" s="37">
        <v>0</v>
      </c>
    </row>
    <row r="43" spans="2:65" x14ac:dyDescent="0.2">
      <c r="B43" s="150" t="s">
        <v>34</v>
      </c>
      <c r="C43" s="151"/>
      <c r="D43" s="151"/>
      <c r="E43" s="67"/>
      <c r="AE43" s="146" t="s">
        <v>82</v>
      </c>
      <c r="AF43" s="145">
        <f>AF39-AF40</f>
        <v>1.7113983631134033E-5</v>
      </c>
      <c r="AH43" s="37">
        <v>39</v>
      </c>
      <c r="AI43" s="38">
        <v>48933</v>
      </c>
      <c r="AJ43" s="39">
        <v>48842</v>
      </c>
      <c r="AK43" s="39">
        <v>48933</v>
      </c>
      <c r="AL43" s="40">
        <v>0.25277777777777777</v>
      </c>
      <c r="AM43" s="39">
        <v>48933</v>
      </c>
      <c r="AN43" s="41">
        <v>9.7287671232876711</v>
      </c>
      <c r="AO43" s="41">
        <v>0.24931506849314999</v>
      </c>
      <c r="AP43" s="53">
        <v>0.69132805039802425</v>
      </c>
      <c r="AR43" s="37">
        <v>252777.77777777778</v>
      </c>
      <c r="AT43" s="101">
        <v>1.6862512366696242E-2</v>
      </c>
      <c r="AU43" s="83">
        <v>0.99580474634103333</v>
      </c>
      <c r="AV43" s="96">
        <v>0.84861846313233558</v>
      </c>
      <c r="AW43" s="83">
        <v>0.15138153686766442</v>
      </c>
      <c r="AX43" s="83">
        <v>3.5751684510483273E-3</v>
      </c>
      <c r="AY43" s="83">
        <v>3.5751684510483273E-3</v>
      </c>
      <c r="AZ43" s="37">
        <v>148298.08621128643</v>
      </c>
      <c r="BA43" s="37">
        <v>148296.85410646585</v>
      </c>
      <c r="BB43" s="37">
        <v>148298.08621128643</v>
      </c>
      <c r="BC43" s="37">
        <v>0</v>
      </c>
      <c r="BE43" s="83">
        <v>1.6868742010052409E-2</v>
      </c>
      <c r="BF43" s="83">
        <v>0.84864691490484867</v>
      </c>
      <c r="BG43" s="83">
        <v>0.15135308509515133</v>
      </c>
      <c r="BH43" s="83">
        <v>3.5766119411115849E-3</v>
      </c>
      <c r="BI43" s="83">
        <v>3.5766119411115849E-3</v>
      </c>
      <c r="BJ43" s="37">
        <v>148303.05822591527</v>
      </c>
      <c r="BK43" s="37">
        <v>148356.7296167379</v>
      </c>
      <c r="BL43" s="37">
        <v>148303.05822591527</v>
      </c>
      <c r="BM43" s="37">
        <v>0</v>
      </c>
    </row>
    <row r="44" spans="2:65" x14ac:dyDescent="0.2">
      <c r="B44" s="150" t="s">
        <v>54</v>
      </c>
      <c r="C44" s="151"/>
      <c r="D44" s="151"/>
      <c r="E44" s="63"/>
      <c r="AE44" s="146" t="s">
        <v>81</v>
      </c>
      <c r="AF44" s="37">
        <f>AF33-AF32</f>
        <v>-4.5951828360557556E-4</v>
      </c>
      <c r="AH44" s="37">
        <v>40</v>
      </c>
      <c r="AI44" s="38">
        <v>49023</v>
      </c>
      <c r="AJ44" s="39">
        <v>48933</v>
      </c>
      <c r="AK44" s="39">
        <v>49023</v>
      </c>
      <c r="AL44" s="40">
        <v>0.25</v>
      </c>
      <c r="AM44" s="39">
        <v>49023</v>
      </c>
      <c r="AN44" s="41">
        <v>9.9753424657534246</v>
      </c>
      <c r="AO44" s="41">
        <v>0.24657534246575352</v>
      </c>
      <c r="AP44" s="53">
        <v>0.68505992135587102</v>
      </c>
      <c r="AR44" s="37">
        <v>250000</v>
      </c>
      <c r="AT44" s="101">
        <v>1.6862512366696242E-2</v>
      </c>
      <c r="AU44" s="83">
        <v>0.99585075225263509</v>
      </c>
      <c r="AV44" s="96">
        <v>0.8450973348858114</v>
      </c>
      <c r="AW44" s="83">
        <v>0.1549026651141886</v>
      </c>
      <c r="AX44" s="83">
        <v>3.5211282465241744E-3</v>
      </c>
      <c r="AY44" s="83">
        <v>3.5211282465241744E-3</v>
      </c>
      <c r="AZ44" s="37">
        <v>144735.57844373255</v>
      </c>
      <c r="BA44" s="37">
        <v>144731.03037886723</v>
      </c>
      <c r="BB44" s="37">
        <v>144735.57844373255</v>
      </c>
      <c r="BC44" s="37">
        <v>0</v>
      </c>
      <c r="BE44" s="83">
        <v>1.6868742010052409E-2</v>
      </c>
      <c r="BF44" s="83">
        <v>0.84512437042823685</v>
      </c>
      <c r="BG44" s="83">
        <v>0.15487562957176315</v>
      </c>
      <c r="BH44" s="83">
        <v>3.5225444766118219E-3</v>
      </c>
      <c r="BI44" s="83">
        <v>3.5225444766118219E-3</v>
      </c>
      <c r="BJ44" s="37">
        <v>144740.2086853745</v>
      </c>
      <c r="BK44" s="37">
        <v>144789.24252721516</v>
      </c>
      <c r="BL44" s="37">
        <v>144740.2086853745</v>
      </c>
      <c r="BM44" s="37">
        <v>0</v>
      </c>
    </row>
    <row r="45" spans="2:65" x14ac:dyDescent="0.2">
      <c r="B45" s="150" t="s">
        <v>51</v>
      </c>
      <c r="C45" s="151"/>
      <c r="D45" s="151"/>
      <c r="E45" s="24" t="b">
        <v>1</v>
      </c>
      <c r="AE45" s="35" t="s">
        <v>71</v>
      </c>
      <c r="AF45" s="37">
        <f>$AF$39-AF36</f>
        <v>0</v>
      </c>
      <c r="AH45" s="37">
        <v>41</v>
      </c>
      <c r="AI45" s="38">
        <v>49115</v>
      </c>
      <c r="AJ45" s="39">
        <v>49023</v>
      </c>
      <c r="AK45" s="39">
        <v>49115</v>
      </c>
      <c r="AL45" s="40">
        <v>0.25555555555555554</v>
      </c>
      <c r="AM45" s="39">
        <v>49115</v>
      </c>
      <c r="AN45" s="41">
        <v>10.227397260273973</v>
      </c>
      <c r="AO45" s="41">
        <v>0.25205479452054824</v>
      </c>
      <c r="AP45" s="53">
        <v>0.67858360783615079</v>
      </c>
      <c r="AR45" s="37">
        <v>255555.55555555553</v>
      </c>
      <c r="AT45" s="101">
        <v>1.6862512366696242E-2</v>
      </c>
      <c r="AU45" s="83">
        <v>0.99575874255479413</v>
      </c>
      <c r="AV45" s="96">
        <v>0.84151305952230337</v>
      </c>
      <c r="AW45" s="83">
        <v>0.15848694047769663</v>
      </c>
      <c r="AX45" s="83">
        <v>3.5842753635080271E-3</v>
      </c>
      <c r="AY45" s="83">
        <v>3.5842753635080271E-3</v>
      </c>
      <c r="AZ45" s="37">
        <v>145931.66959281432</v>
      </c>
      <c r="BA45" s="37">
        <v>145933.83045885045</v>
      </c>
      <c r="BB45" s="37">
        <v>145931.66959281432</v>
      </c>
      <c r="BC45" s="37">
        <v>0</v>
      </c>
      <c r="BE45" s="83">
        <v>1.6868742010052409E-2</v>
      </c>
      <c r="BF45" s="83">
        <v>0.84153865900533587</v>
      </c>
      <c r="BG45" s="83">
        <v>0.15846134099466413</v>
      </c>
      <c r="BH45" s="83">
        <v>3.5857114229009834E-3</v>
      </c>
      <c r="BI45" s="83">
        <v>3.5857114229009834E-3</v>
      </c>
      <c r="BJ45" s="37">
        <v>145936.1089479228</v>
      </c>
      <c r="BK45" s="37">
        <v>145992.29964068683</v>
      </c>
      <c r="BL45" s="37">
        <v>145936.1089479228</v>
      </c>
      <c r="BM45" s="37">
        <v>0</v>
      </c>
    </row>
    <row r="46" spans="2:65" x14ac:dyDescent="0.2">
      <c r="B46" s="150" t="s">
        <v>55</v>
      </c>
      <c r="C46" s="151"/>
      <c r="D46" s="151"/>
      <c r="E46" s="68">
        <v>0</v>
      </c>
      <c r="AE46" s="35" t="s">
        <v>60</v>
      </c>
      <c r="AF46" s="37">
        <f>$AF$32-AF29</f>
        <v>0</v>
      </c>
      <c r="AH46" s="37">
        <v>42</v>
      </c>
      <c r="AI46" s="38">
        <v>49207</v>
      </c>
      <c r="AJ46" s="39">
        <v>49115</v>
      </c>
      <c r="AK46" s="39">
        <v>49207</v>
      </c>
      <c r="AL46" s="40">
        <v>0.25555555555555554</v>
      </c>
      <c r="AM46" s="39">
        <v>49207</v>
      </c>
      <c r="AN46" s="41">
        <v>10.479452054794521</v>
      </c>
      <c r="AO46" s="41">
        <v>0.25205479452054824</v>
      </c>
      <c r="AP46" s="53">
        <v>0.67214583039148323</v>
      </c>
      <c r="AR46" s="37">
        <v>255555.55555555553</v>
      </c>
      <c r="AT46" s="101">
        <v>1.6862507298103676E-2</v>
      </c>
      <c r="AU46" s="83">
        <v>0.99575874382693874</v>
      </c>
      <c r="AV46" s="96">
        <v>0.83794398706389273</v>
      </c>
      <c r="AW46" s="83">
        <v>0.16205601293610727</v>
      </c>
      <c r="AX46" s="83">
        <v>3.5690724584106492E-3</v>
      </c>
      <c r="AY46" s="83">
        <v>3.5690724584106492E-3</v>
      </c>
      <c r="AZ46" s="37">
        <v>143934.14234613377</v>
      </c>
      <c r="BA46" s="37">
        <v>143936.2302771479</v>
      </c>
      <c r="BB46" s="37">
        <v>143934.14234613377</v>
      </c>
      <c r="BC46" s="37">
        <v>0</v>
      </c>
      <c r="BE46" s="83">
        <v>1.6868742010052409E-2</v>
      </c>
      <c r="BF46" s="83">
        <v>0.83796816111414474</v>
      </c>
      <c r="BG46" s="83">
        <v>0.16203183888585526</v>
      </c>
      <c r="BH46" s="83">
        <v>3.5704978911911267E-3</v>
      </c>
      <c r="BI46" s="83">
        <v>3.5704978911911267E-3</v>
      </c>
      <c r="BJ46" s="37">
        <v>143938.29473727656</v>
      </c>
      <c r="BK46" s="37">
        <v>143993.71619914196</v>
      </c>
      <c r="BL46" s="37">
        <v>143938.29473727656</v>
      </c>
      <c r="BM46" s="37">
        <v>0</v>
      </c>
    </row>
    <row r="47" spans="2:65" x14ac:dyDescent="0.2">
      <c r="B47" s="162" t="s">
        <v>156</v>
      </c>
      <c r="C47" s="151"/>
      <c r="D47" s="151"/>
      <c r="E47" s="63">
        <v>3</v>
      </c>
      <c r="AH47" s="37">
        <v>43</v>
      </c>
      <c r="AI47" s="38">
        <v>49298</v>
      </c>
      <c r="AJ47" s="39">
        <v>49207</v>
      </c>
      <c r="AK47" s="39">
        <v>49298</v>
      </c>
      <c r="AL47" s="40">
        <v>0.25277777777777777</v>
      </c>
      <c r="AM47" s="39">
        <v>49298</v>
      </c>
      <c r="AN47" s="41">
        <v>10.728767123287671</v>
      </c>
      <c r="AO47" s="41">
        <v>0.24931506849314999</v>
      </c>
      <c r="AP47" s="53">
        <v>0.66583811438124207</v>
      </c>
      <c r="AR47" s="37">
        <v>252777.77777777778</v>
      </c>
      <c r="AT47" s="101">
        <v>1.6862507298103676E-2</v>
      </c>
      <c r="AU47" s="83">
        <v>0.9958047475994084</v>
      </c>
      <c r="AV47" s="96">
        <v>0.83442860054060164</v>
      </c>
      <c r="AW47" s="83">
        <v>0.16557139945939836</v>
      </c>
      <c r="AX47" s="83">
        <v>3.5153865232910864E-3</v>
      </c>
      <c r="AY47" s="83">
        <v>3.5153865232910864E-3</v>
      </c>
      <c r="AZ47" s="37">
        <v>140441.90917568246</v>
      </c>
      <c r="BA47" s="37">
        <v>140440.70003936204</v>
      </c>
      <c r="BB47" s="37">
        <v>140441.90917568246</v>
      </c>
      <c r="BC47" s="37">
        <v>0</v>
      </c>
      <c r="BE47" s="83">
        <v>1.6868742010052409E-2</v>
      </c>
      <c r="BF47" s="83">
        <v>0.83445137609601194</v>
      </c>
      <c r="BG47" s="83">
        <v>0.16554862390398806</v>
      </c>
      <c r="BH47" s="83">
        <v>3.5167850181327953E-3</v>
      </c>
      <c r="BI47" s="83">
        <v>3.5167850181327953E-3</v>
      </c>
      <c r="BJ47" s="37">
        <v>140445.7425084353</v>
      </c>
      <c r="BK47" s="37">
        <v>140496.57030946456</v>
      </c>
      <c r="BL47" s="37">
        <v>140445.7425084353</v>
      </c>
      <c r="BM47" s="37">
        <v>0</v>
      </c>
    </row>
    <row r="48" spans="2:65" x14ac:dyDescent="0.2">
      <c r="B48" s="159" t="s">
        <v>155</v>
      </c>
      <c r="C48" s="153"/>
      <c r="D48" s="153"/>
      <c r="E48" s="69">
        <f>_xlfn.XLOOKUP(UserInput!C10,DataValidation!$A$2:$A$6,DataValidation!$B$2:$B$6)</f>
        <v>2</v>
      </c>
      <c r="AH48" s="37">
        <v>44</v>
      </c>
      <c r="AI48" s="38">
        <v>49388</v>
      </c>
      <c r="AJ48" s="39">
        <v>49298</v>
      </c>
      <c r="AK48" s="39">
        <v>49388</v>
      </c>
      <c r="AL48" s="40">
        <v>0.25</v>
      </c>
      <c r="AM48" s="39">
        <v>49388</v>
      </c>
      <c r="AN48" s="41">
        <v>10.975342465753425</v>
      </c>
      <c r="AO48" s="41">
        <v>0.24657534246575352</v>
      </c>
      <c r="AP48" s="53">
        <v>0.65965793819770524</v>
      </c>
      <c r="AR48" s="37">
        <v>250000</v>
      </c>
      <c r="AT48" s="101">
        <v>1.6862507298103676E-2</v>
      </c>
      <c r="AU48" s="83">
        <v>0.99585075349723939</v>
      </c>
      <c r="AV48" s="96">
        <v>0.83096635058800516</v>
      </c>
      <c r="AW48" s="83">
        <v>0.16903364941199484</v>
      </c>
      <c r="AX48" s="83">
        <v>3.4622499525964745E-3</v>
      </c>
      <c r="AY48" s="83">
        <v>3.4622499525964745E-3</v>
      </c>
      <c r="AZ48" s="37">
        <v>137038.38738513875</v>
      </c>
      <c r="BA48" s="37">
        <v>137034.03991529357</v>
      </c>
      <c r="BB48" s="37">
        <v>137038.38738513875</v>
      </c>
      <c r="BC48" s="37">
        <v>0</v>
      </c>
      <c r="BE48" s="83">
        <v>1.6868742010052409E-2</v>
      </c>
      <c r="BF48" s="83">
        <v>0.83098775414176518</v>
      </c>
      <c r="BG48" s="83">
        <v>0.16901224585823482</v>
      </c>
      <c r="BH48" s="83">
        <v>3.463621954246765E-3</v>
      </c>
      <c r="BI48" s="83">
        <v>3.463621954246765E-3</v>
      </c>
      <c r="BJ48" s="37">
        <v>137041.91714117461</v>
      </c>
      <c r="BK48" s="37">
        <v>137088.34302208366</v>
      </c>
      <c r="BL48" s="37">
        <v>137041.91714117461</v>
      </c>
      <c r="BM48" s="37">
        <v>0</v>
      </c>
    </row>
    <row r="49" spans="31:65" x14ac:dyDescent="0.2">
      <c r="AH49" s="37">
        <v>45</v>
      </c>
      <c r="AI49" s="38">
        <v>49480</v>
      </c>
      <c r="AJ49" s="39">
        <v>49388</v>
      </c>
      <c r="AK49" s="39">
        <v>49480</v>
      </c>
      <c r="AL49" s="40">
        <v>0.25555555555555554</v>
      </c>
      <c r="AM49" s="39">
        <v>49480</v>
      </c>
      <c r="AN49" s="41">
        <v>11.227397260273973</v>
      </c>
      <c r="AO49" s="41">
        <v>0.25205479452054824</v>
      </c>
      <c r="AP49" s="53">
        <v>0.65335173725628892</v>
      </c>
      <c r="AR49" s="37">
        <v>255555.55555555553</v>
      </c>
      <c r="AT49" s="101">
        <v>1.6862507298103676E-2</v>
      </c>
      <c r="AU49" s="83">
        <v>0.99575874382693874</v>
      </c>
      <c r="AV49" s="96">
        <v>0.82744200942396762</v>
      </c>
      <c r="AW49" s="83">
        <v>0.17255799057603238</v>
      </c>
      <c r="AX49" s="83">
        <v>3.5243411640375477E-3</v>
      </c>
      <c r="AY49" s="83">
        <v>3.5243411640375477E-3</v>
      </c>
      <c r="AZ49" s="37">
        <v>138156.06121919586</v>
      </c>
      <c r="BA49" s="37">
        <v>138158.065332467</v>
      </c>
      <c r="BB49" s="37">
        <v>138156.06121919586</v>
      </c>
      <c r="BC49" s="37">
        <v>0</v>
      </c>
      <c r="BE49" s="83">
        <v>1.6868742010052409E-2</v>
      </c>
      <c r="BF49" s="83">
        <v>0.82746202185125384</v>
      </c>
      <c r="BG49" s="83">
        <v>0.17253797814874616</v>
      </c>
      <c r="BH49" s="83">
        <v>3.5257322905113408E-3</v>
      </c>
      <c r="BI49" s="83">
        <v>3.5257322905113408E-3</v>
      </c>
      <c r="BJ49" s="37">
        <v>138159.40264747461</v>
      </c>
      <c r="BK49" s="37">
        <v>138212.59902637076</v>
      </c>
      <c r="BL49" s="37">
        <v>138159.40264747458</v>
      </c>
      <c r="BM49" s="37">
        <v>0</v>
      </c>
    </row>
    <row r="50" spans="31:65" x14ac:dyDescent="0.2">
      <c r="AH50" s="37">
        <v>46</v>
      </c>
      <c r="AI50" s="38">
        <v>49572</v>
      </c>
      <c r="AJ50" s="39">
        <v>49480</v>
      </c>
      <c r="AK50" s="39">
        <v>49572</v>
      </c>
      <c r="AL50" s="40">
        <v>0.25555555555555554</v>
      </c>
      <c r="AM50" s="39">
        <v>49572</v>
      </c>
      <c r="AN50" s="41">
        <v>11.479452054794521</v>
      </c>
      <c r="AO50" s="41">
        <v>0.25205479452054824</v>
      </c>
      <c r="AP50" s="53">
        <v>0.64709800389832428</v>
      </c>
      <c r="AR50" s="37">
        <v>255555.55555555553</v>
      </c>
      <c r="AT50" s="101">
        <v>1.6862507298103676E-2</v>
      </c>
      <c r="AU50" s="83">
        <v>0.99575874382693874</v>
      </c>
      <c r="AV50" s="96">
        <v>0.82393261589364797</v>
      </c>
      <c r="AW50" s="83">
        <v>0.17606738410635203</v>
      </c>
      <c r="AX50" s="83">
        <v>3.5093935303196488E-3</v>
      </c>
      <c r="AY50" s="83">
        <v>3.5093935303196488E-3</v>
      </c>
      <c r="AZ50" s="37">
        <v>136253.3163900511</v>
      </c>
      <c r="BA50" s="37">
        <v>136255.29290181227</v>
      </c>
      <c r="BB50" s="37">
        <v>136253.3163900511</v>
      </c>
      <c r="BC50" s="37">
        <v>0</v>
      </c>
      <c r="BE50" s="83">
        <v>1.6868742010052409E-2</v>
      </c>
      <c r="BF50" s="83">
        <v>0.82395124861173008</v>
      </c>
      <c r="BG50" s="83">
        <v>0.17604875138826992</v>
      </c>
      <c r="BH50" s="83">
        <v>3.5107732395237568E-3</v>
      </c>
      <c r="BI50" s="83">
        <v>3.5107732395237568E-3</v>
      </c>
      <c r="BJ50" s="37">
        <v>136256.39767313551</v>
      </c>
      <c r="BK50" s="37">
        <v>136308.86132612859</v>
      </c>
      <c r="BL50" s="37">
        <v>136256.39767313551</v>
      </c>
      <c r="BM50" s="37">
        <v>0</v>
      </c>
    </row>
    <row r="51" spans="31:65" x14ac:dyDescent="0.2">
      <c r="AH51" s="37">
        <v>47</v>
      </c>
      <c r="AI51" s="38">
        <v>49663</v>
      </c>
      <c r="AJ51" s="39">
        <v>49572</v>
      </c>
      <c r="AK51" s="39">
        <v>49663</v>
      </c>
      <c r="AL51" s="40">
        <v>0.25277777777777777</v>
      </c>
      <c r="AM51" s="39">
        <v>49663</v>
      </c>
      <c r="AN51" s="41">
        <v>11.728767123287671</v>
      </c>
      <c r="AO51" s="41">
        <v>0.24931506849314999</v>
      </c>
      <c r="AP51" s="53">
        <v>0.64097113482430401</v>
      </c>
      <c r="AR51" s="37">
        <v>252777.77777777778</v>
      </c>
      <c r="AT51" s="101">
        <v>1.6862507298103676E-2</v>
      </c>
      <c r="AU51" s="83">
        <v>0.9958047475994084</v>
      </c>
      <c r="AV51" s="96">
        <v>0.82047601060889441</v>
      </c>
      <c r="AW51" s="83">
        <v>0.17952398939110559</v>
      </c>
      <c r="AX51" s="83">
        <v>3.4566052847535556E-3</v>
      </c>
      <c r="AY51" s="83">
        <v>3.4566052847535556E-3</v>
      </c>
      <c r="AZ51" s="37">
        <v>132936.19723629215</v>
      </c>
      <c r="BA51" s="37">
        <v>132935.05272049035</v>
      </c>
      <c r="BB51" s="37">
        <v>132936.19723629215</v>
      </c>
      <c r="BC51" s="37">
        <v>0</v>
      </c>
      <c r="BE51" s="83">
        <v>1.6868742010052409E-2</v>
      </c>
      <c r="BF51" s="83">
        <v>0.82049328977599467</v>
      </c>
      <c r="BG51" s="83">
        <v>0.17950671022400533</v>
      </c>
      <c r="BH51" s="83">
        <v>3.4579588357354085E-3</v>
      </c>
      <c r="BI51" s="83">
        <v>3.4579588357354085E-3</v>
      </c>
      <c r="BJ51" s="37">
        <v>132938.99686325993</v>
      </c>
      <c r="BK51" s="37">
        <v>132987.10794702321</v>
      </c>
      <c r="BL51" s="37">
        <v>132938.9968632599</v>
      </c>
      <c r="BM51" s="37">
        <v>0</v>
      </c>
    </row>
    <row r="52" spans="31:65" x14ac:dyDescent="0.2">
      <c r="AH52" s="37">
        <v>48</v>
      </c>
      <c r="AI52" s="38">
        <v>49754</v>
      </c>
      <c r="AJ52" s="39">
        <v>49663</v>
      </c>
      <c r="AK52" s="39">
        <v>49754</v>
      </c>
      <c r="AL52" s="40">
        <v>0.25277777777777777</v>
      </c>
      <c r="AM52" s="39">
        <v>49754</v>
      </c>
      <c r="AN52" s="41">
        <v>11.978082191780821</v>
      </c>
      <c r="AO52" s="41">
        <v>0.24931506849314999</v>
      </c>
      <c r="AP52" s="53">
        <v>0.6349022763212081</v>
      </c>
      <c r="AR52" s="37">
        <v>252777.77777777778</v>
      </c>
      <c r="AT52" s="101">
        <v>1.6862507298103676E-2</v>
      </c>
      <c r="AU52" s="83">
        <v>0.9958047475994084</v>
      </c>
      <c r="AV52" s="96">
        <v>0.8170339066557597</v>
      </c>
      <c r="AW52" s="83">
        <v>0.1829660933442403</v>
      </c>
      <c r="AX52" s="83">
        <v>3.442103953134712E-3</v>
      </c>
      <c r="AY52" s="83">
        <v>3.442103953134712E-3</v>
      </c>
      <c r="AZ52" s="37">
        <v>131125.10703396934</v>
      </c>
      <c r="BA52" s="37">
        <v>131123.97811076746</v>
      </c>
      <c r="BB52" s="37">
        <v>131125.10703396934</v>
      </c>
      <c r="BC52" s="37">
        <v>0</v>
      </c>
      <c r="BE52" s="83">
        <v>1.6868742010052409E-2</v>
      </c>
      <c r="BF52" s="83">
        <v>0.81704984330288977</v>
      </c>
      <c r="BG52" s="83">
        <v>0.18295015669711023</v>
      </c>
      <c r="BH52" s="83">
        <v>3.4434464731049053E-3</v>
      </c>
      <c r="BI52" s="83">
        <v>3.4434464731049053E-3</v>
      </c>
      <c r="BJ52" s="37">
        <v>131127.66469350303</v>
      </c>
      <c r="BK52" s="37">
        <v>131175.12024987242</v>
      </c>
      <c r="BL52" s="37">
        <v>131127.66469350303</v>
      </c>
      <c r="BM52" s="37">
        <v>0</v>
      </c>
    </row>
    <row r="53" spans="31:65" x14ac:dyDescent="0.2">
      <c r="AH53" s="37">
        <v>49</v>
      </c>
      <c r="AI53" s="38">
        <v>49846</v>
      </c>
      <c r="AJ53" s="39">
        <v>49754</v>
      </c>
      <c r="AK53" s="39">
        <v>49846</v>
      </c>
      <c r="AL53" s="40">
        <v>0.25555555555555554</v>
      </c>
      <c r="AM53" s="39">
        <v>49846</v>
      </c>
      <c r="AN53" s="41">
        <v>12.230136986301369</v>
      </c>
      <c r="AO53" s="41">
        <v>0.25205479452054824</v>
      </c>
      <c r="AP53" s="53">
        <v>0.62880261202626786</v>
      </c>
      <c r="AR53" s="37">
        <v>255555.55555555553</v>
      </c>
      <c r="AT53" s="101">
        <v>1.6862507298103676E-2</v>
      </c>
      <c r="AU53" s="83">
        <v>0.99575874382693874</v>
      </c>
      <c r="AV53" s="96">
        <v>0.81356865655555555</v>
      </c>
      <c r="AW53" s="83">
        <v>0.18643134344444445</v>
      </c>
      <c r="AX53" s="83">
        <v>3.4652501002041536E-3</v>
      </c>
      <c r="AY53" s="83">
        <v>3.4652501002041536E-3</v>
      </c>
      <c r="AZ53" s="37">
        <v>130735.60238901337</v>
      </c>
      <c r="BA53" s="37">
        <v>130737.49885995948</v>
      </c>
      <c r="BB53" s="37">
        <v>130735.60238901337</v>
      </c>
      <c r="BC53" s="37">
        <v>0</v>
      </c>
      <c r="BE53" s="83">
        <v>1.6868742010052409E-2</v>
      </c>
      <c r="BF53" s="83">
        <v>0.8135832470731228</v>
      </c>
      <c r="BG53" s="83">
        <v>0.1864167529268772</v>
      </c>
      <c r="BH53" s="83">
        <v>3.4665962297669717E-3</v>
      </c>
      <c r="BI53" s="83">
        <v>3.4665962297669717E-3</v>
      </c>
      <c r="BJ53" s="37">
        <v>130737.94699765573</v>
      </c>
      <c r="BK53" s="37">
        <v>130788.28584707304</v>
      </c>
      <c r="BL53" s="37">
        <v>130737.94699765573</v>
      </c>
      <c r="BM53" s="37">
        <v>0</v>
      </c>
    </row>
    <row r="54" spans="31:65" x14ac:dyDescent="0.2">
      <c r="AE54" s="144"/>
      <c r="AH54" s="37">
        <v>50</v>
      </c>
      <c r="AI54" s="38">
        <v>49938</v>
      </c>
      <c r="AJ54" s="39">
        <v>49846</v>
      </c>
      <c r="AK54" s="39">
        <v>49940</v>
      </c>
      <c r="AL54" s="40">
        <v>0.26111111111111113</v>
      </c>
      <c r="AM54" s="39">
        <v>49940</v>
      </c>
      <c r="AN54" s="41">
        <v>12.487671232876712</v>
      </c>
      <c r="AO54" s="41">
        <v>0.25753424657534296</v>
      </c>
      <c r="AP54" s="53">
        <v>0.62262711788595482</v>
      </c>
      <c r="AR54" s="37">
        <v>261111.11111111112</v>
      </c>
      <c r="AT54" s="101">
        <v>1.6862507298103676E-2</v>
      </c>
      <c r="AU54" s="83">
        <v>0.99566674265769062</v>
      </c>
      <c r="AV54" s="96">
        <v>0.81004325420106349</v>
      </c>
      <c r="AW54" s="83">
        <v>0.18995674579893651</v>
      </c>
      <c r="AX54" s="83">
        <v>3.5254023544920576E-3</v>
      </c>
      <c r="AY54" s="83">
        <v>3.5254023544920576E-3</v>
      </c>
      <c r="AZ54" s="37">
        <v>131692.66747849944</v>
      </c>
      <c r="BA54" s="37">
        <v>131700.66644194492</v>
      </c>
      <c r="BB54" s="37">
        <v>131692.66747849944</v>
      </c>
      <c r="BC54" s="37">
        <v>0</v>
      </c>
      <c r="BE54" s="83">
        <v>1.6868742010052409E-2</v>
      </c>
      <c r="BF54" s="83">
        <v>0.8100564808244366</v>
      </c>
      <c r="BG54" s="83">
        <v>0.1899435191755634</v>
      </c>
      <c r="BH54" s="83">
        <v>3.5267662486861973E-3</v>
      </c>
      <c r="BI54" s="83">
        <v>3.5267662486861973E-3</v>
      </c>
      <c r="BJ54" s="37">
        <v>131694.81779492353</v>
      </c>
      <c r="BK54" s="37">
        <v>131751.61829261685</v>
      </c>
      <c r="BL54" s="37">
        <v>131694.81779492353</v>
      </c>
      <c r="BM54" s="37">
        <v>0</v>
      </c>
    </row>
    <row r="55" spans="31:65" x14ac:dyDescent="0.2">
      <c r="AE55" s="144"/>
      <c r="AH55" s="37">
        <v>51</v>
      </c>
      <c r="AI55" s="38">
        <v>50029</v>
      </c>
      <c r="AJ55" s="39">
        <v>49940</v>
      </c>
      <c r="AK55" s="39">
        <v>50031</v>
      </c>
      <c r="AL55" s="40">
        <v>0.25277777777777777</v>
      </c>
      <c r="AM55" s="39">
        <v>50031</v>
      </c>
      <c r="AN55" s="41">
        <v>12.736986301369862</v>
      </c>
      <c r="AO55" s="41">
        <v>0.24931506849314999</v>
      </c>
      <c r="AP55" s="53">
        <v>0.61670649723835591</v>
      </c>
      <c r="AR55" s="37">
        <v>252777.77777777778</v>
      </c>
      <c r="AT55" s="101">
        <v>1.6862507298103676E-2</v>
      </c>
      <c r="AU55" s="83">
        <v>0.9958047475994084</v>
      </c>
      <c r="AV55" s="96">
        <v>0.80664491829429341</v>
      </c>
      <c r="AW55" s="83">
        <v>0.19335508170570659</v>
      </c>
      <c r="AX55" s="83">
        <v>3.398335906770078E-3</v>
      </c>
      <c r="AY55" s="83">
        <v>3.398335906770078E-3</v>
      </c>
      <c r="AZ55" s="37">
        <v>125747.63263597724</v>
      </c>
      <c r="BA55" s="37">
        <v>125746.5500102104</v>
      </c>
      <c r="BB55" s="37">
        <v>125747.63263597724</v>
      </c>
      <c r="BC55" s="37">
        <v>0</v>
      </c>
      <c r="BE55" s="83">
        <v>1.6868742010052409E-2</v>
      </c>
      <c r="BF55" s="83">
        <v>0.80665683555412337</v>
      </c>
      <c r="BG55" s="83">
        <v>0.19334316444587663</v>
      </c>
      <c r="BH55" s="83">
        <v>3.3996452703132229E-3</v>
      </c>
      <c r="BI55" s="83">
        <v>3.3996452703132229E-3</v>
      </c>
      <c r="BJ55" s="37">
        <v>125749.49041401208</v>
      </c>
      <c r="BK55" s="37">
        <v>125794.99959046868</v>
      </c>
      <c r="BL55" s="37">
        <v>125749.49041401208</v>
      </c>
      <c r="BM55" s="37">
        <v>0</v>
      </c>
    </row>
    <row r="56" spans="31:65" x14ac:dyDescent="0.2">
      <c r="AH56" s="37">
        <v>52</v>
      </c>
      <c r="AI56" s="38">
        <v>50119</v>
      </c>
      <c r="AJ56" s="39">
        <v>50031</v>
      </c>
      <c r="AK56" s="39">
        <v>50119</v>
      </c>
      <c r="AL56" s="40">
        <v>0.24444444444444444</v>
      </c>
      <c r="AM56" s="39">
        <v>50119</v>
      </c>
      <c r="AN56" s="41">
        <v>12.978082191780821</v>
      </c>
      <c r="AO56" s="41">
        <v>0.2410958904109588</v>
      </c>
      <c r="AP56" s="53">
        <v>0.61103461378299551</v>
      </c>
      <c r="AR56" s="37">
        <v>244444.44444444444</v>
      </c>
      <c r="AT56" s="101">
        <v>1.6862507298103676E-2</v>
      </c>
      <c r="AU56" s="83">
        <v>0.99594277166937784</v>
      </c>
      <c r="AV56" s="96">
        <v>0.8033721756790374</v>
      </c>
      <c r="AW56" s="83">
        <v>0.1966278243209626</v>
      </c>
      <c r="AX56" s="83">
        <v>3.272742615256008E-3</v>
      </c>
      <c r="AY56" s="83">
        <v>3.272742615256008E-3</v>
      </c>
      <c r="AZ56" s="37">
        <v>119994.89506645555</v>
      </c>
      <c r="BA56" s="37">
        <v>119985.54119544632</v>
      </c>
      <c r="BB56" s="37">
        <v>119994.89506645555</v>
      </c>
      <c r="BC56" s="37">
        <v>0</v>
      </c>
      <c r="BE56" s="83">
        <v>1.6868742010052409E-2</v>
      </c>
      <c r="BF56" s="83">
        <v>0.80338283697121571</v>
      </c>
      <c r="BG56" s="83">
        <v>0.19661716302878429</v>
      </c>
      <c r="BH56" s="83">
        <v>3.2739985829076668E-3</v>
      </c>
      <c r="BI56" s="83">
        <v>3.2739985829076668E-3</v>
      </c>
      <c r="BJ56" s="37">
        <v>119996.48747987855</v>
      </c>
      <c r="BK56" s="37">
        <v>120031.58757798364</v>
      </c>
      <c r="BL56" s="37">
        <v>119996.48747987855</v>
      </c>
      <c r="BM56" s="37">
        <v>0</v>
      </c>
    </row>
    <row r="57" spans="31:65" x14ac:dyDescent="0.2">
      <c r="AH57" s="37">
        <v>53</v>
      </c>
      <c r="AI57" s="38">
        <v>50211</v>
      </c>
      <c r="AJ57" s="39">
        <v>50119</v>
      </c>
      <c r="AK57" s="39">
        <v>50213</v>
      </c>
      <c r="AL57" s="40">
        <v>0.26111111111111113</v>
      </c>
      <c r="AM57" s="39">
        <v>50213</v>
      </c>
      <c r="AN57" s="41">
        <v>13.235616438356164</v>
      </c>
      <c r="AO57" s="41">
        <v>0.25753424657534296</v>
      </c>
      <c r="AP57" s="53">
        <v>0.60503361982276727</v>
      </c>
      <c r="AR57" s="37">
        <v>261111.11111111112</v>
      </c>
      <c r="AT57" s="101">
        <v>1.6862507298103676E-2</v>
      </c>
      <c r="AU57" s="83">
        <v>0.99566674265769062</v>
      </c>
      <c r="AV57" s="96">
        <v>0.79989095730016913</v>
      </c>
      <c r="AW57" s="83">
        <v>0.20010904269983087</v>
      </c>
      <c r="AX57" s="83">
        <v>3.4812183788682782E-3</v>
      </c>
      <c r="AY57" s="83">
        <v>3.4812183788682782E-3</v>
      </c>
      <c r="AZ57" s="37">
        <v>126367.57391035854</v>
      </c>
      <c r="BA57" s="37">
        <v>126375.24942961319</v>
      </c>
      <c r="BB57" s="37">
        <v>126367.57391035854</v>
      </c>
      <c r="BC57" s="37">
        <v>0</v>
      </c>
      <c r="BE57" s="83">
        <v>1.6868742010052409E-2</v>
      </c>
      <c r="BF57" s="83">
        <v>0.79990028803182101</v>
      </c>
      <c r="BG57" s="83">
        <v>0.20009971196817899</v>
      </c>
      <c r="BH57" s="83">
        <v>3.4825489393947029E-3</v>
      </c>
      <c r="BI57" s="83">
        <v>3.4825489393947029E-3</v>
      </c>
      <c r="BJ57" s="37">
        <v>126369.04798868246</v>
      </c>
      <c r="BK57" s="37">
        <v>126423.55146071495</v>
      </c>
      <c r="BL57" s="37">
        <v>126369.04798868246</v>
      </c>
      <c r="BM57" s="37">
        <v>0</v>
      </c>
    </row>
    <row r="58" spans="31:65" x14ac:dyDescent="0.2">
      <c r="AH58" s="37">
        <v>54</v>
      </c>
      <c r="AI58" s="38">
        <v>50303</v>
      </c>
      <c r="AJ58" s="39">
        <v>50213</v>
      </c>
      <c r="AK58" s="39">
        <v>50304</v>
      </c>
      <c r="AL58" s="40">
        <v>0.25277777777777777</v>
      </c>
      <c r="AM58" s="39">
        <v>50304</v>
      </c>
      <c r="AN58" s="41">
        <v>13.484931506849316</v>
      </c>
      <c r="AO58" s="41">
        <v>0.24931506849315177</v>
      </c>
      <c r="AP58" s="53">
        <v>0.59928029742624689</v>
      </c>
      <c r="AR58" s="37">
        <v>252777.77777777778</v>
      </c>
      <c r="AT58" s="101">
        <v>1.6862507298103676E-2</v>
      </c>
      <c r="AU58" s="83">
        <v>0.9958047475994084</v>
      </c>
      <c r="AV58" s="96">
        <v>0.7965352128413441</v>
      </c>
      <c r="AW58" s="83">
        <v>0.2034647871586559</v>
      </c>
      <c r="AX58" s="83">
        <v>3.3557444588250274E-3</v>
      </c>
      <c r="AY58" s="83">
        <v>3.3557444588250274E-3</v>
      </c>
      <c r="AZ58" s="37">
        <v>120662.93109123778</v>
      </c>
      <c r="BA58" s="37">
        <v>120661.89224226853</v>
      </c>
      <c r="BB58" s="37">
        <v>120662.93109123778</v>
      </c>
      <c r="BC58" s="37">
        <v>0</v>
      </c>
      <c r="BE58" s="83">
        <v>1.6868742010052409E-2</v>
      </c>
      <c r="BF58" s="83">
        <v>0.79654326627432337</v>
      </c>
      <c r="BG58" s="83">
        <v>0.20345673372567663</v>
      </c>
      <c r="BH58" s="83">
        <v>3.3570217574976358E-3</v>
      </c>
      <c r="BI58" s="83">
        <v>3.3570217574976358E-3</v>
      </c>
      <c r="BJ58" s="37">
        <v>120664.15106345365</v>
      </c>
      <c r="BK58" s="37">
        <v>120707.8198379739</v>
      </c>
      <c r="BL58" s="37">
        <v>120664.15106345365</v>
      </c>
      <c r="BM58" s="37">
        <v>0</v>
      </c>
    </row>
    <row r="59" spans="31:65" x14ac:dyDescent="0.2">
      <c r="AH59" s="37">
        <v>55</v>
      </c>
      <c r="AI59" s="38">
        <v>50394</v>
      </c>
      <c r="AJ59" s="39">
        <v>50304</v>
      </c>
      <c r="AK59" s="39">
        <v>50395</v>
      </c>
      <c r="AL59" s="40">
        <v>0.25277777777777777</v>
      </c>
      <c r="AM59" s="39">
        <v>50395</v>
      </c>
      <c r="AN59" s="41">
        <v>13.734246575342466</v>
      </c>
      <c r="AO59" s="41">
        <v>0.24931506849314999</v>
      </c>
      <c r="AP59" s="53">
        <v>0.59358168392112332</v>
      </c>
      <c r="AR59" s="37">
        <v>252777.77777777778</v>
      </c>
      <c r="AT59" s="101">
        <v>1.6862507298103676E-2</v>
      </c>
      <c r="AU59" s="83">
        <v>0.9958047475994084</v>
      </c>
      <c r="AV59" s="96">
        <v>0.79319354657751573</v>
      </c>
      <c r="AW59" s="83">
        <v>0.20680645342248427</v>
      </c>
      <c r="AX59" s="83">
        <v>3.341666263828369E-3</v>
      </c>
      <c r="AY59" s="83">
        <v>3.341666263828369E-3</v>
      </c>
      <c r="AZ59" s="37">
        <v>119014.13793280367</v>
      </c>
      <c r="BA59" s="37">
        <v>119013.1132791391</v>
      </c>
      <c r="BB59" s="37">
        <v>119014.13793280367</v>
      </c>
      <c r="BC59" s="37">
        <v>0</v>
      </c>
      <c r="BE59" s="83">
        <v>1.6868742010052409E-2</v>
      </c>
      <c r="BF59" s="83">
        <v>0.79320033326669737</v>
      </c>
      <c r="BG59" s="83">
        <v>0.20679966673330263</v>
      </c>
      <c r="BH59" s="83">
        <v>3.3429330076260033E-3</v>
      </c>
      <c r="BI59" s="83">
        <v>3.3429330076260033E-3</v>
      </c>
      <c r="BJ59" s="37">
        <v>119015.15623655294</v>
      </c>
      <c r="BK59" s="37">
        <v>119058.22823412891</v>
      </c>
      <c r="BL59" s="37">
        <v>119015.15623655294</v>
      </c>
      <c r="BM59" s="37">
        <v>0</v>
      </c>
    </row>
    <row r="60" spans="31:65" x14ac:dyDescent="0.2">
      <c r="AH60" s="37">
        <v>56</v>
      </c>
      <c r="AI60" s="38">
        <v>50484</v>
      </c>
      <c r="AJ60" s="39">
        <v>50395</v>
      </c>
      <c r="AK60" s="39">
        <v>50486</v>
      </c>
      <c r="AL60" s="40">
        <v>0.25277777777777777</v>
      </c>
      <c r="AM60" s="39">
        <v>50486</v>
      </c>
      <c r="AN60" s="41">
        <v>13.983561643835616</v>
      </c>
      <c r="AO60" s="41">
        <v>0.24931506849314999</v>
      </c>
      <c r="AP60" s="53">
        <v>0.58793725907533045</v>
      </c>
      <c r="AR60" s="37">
        <v>252777.77777777778</v>
      </c>
      <c r="AT60" s="101">
        <v>1.6862507298103676E-2</v>
      </c>
      <c r="AU60" s="83">
        <v>0.9958047475994084</v>
      </c>
      <c r="AV60" s="96">
        <v>0.78986589944710273</v>
      </c>
      <c r="AW60" s="83">
        <v>0.21013410055289727</v>
      </c>
      <c r="AX60" s="83">
        <v>3.3276471304130029E-3</v>
      </c>
      <c r="AY60" s="83">
        <v>3.3276471304130029E-3</v>
      </c>
      <c r="AZ60" s="37">
        <v>117387.87463382781</v>
      </c>
      <c r="BA60" s="37">
        <v>117386.86398149458</v>
      </c>
      <c r="BB60" s="37">
        <v>117387.87463382781</v>
      </c>
      <c r="BC60" s="37">
        <v>0</v>
      </c>
      <c r="BE60" s="83">
        <v>1.6868742010052409E-2</v>
      </c>
      <c r="BF60" s="83">
        <v>0.78987142988127346</v>
      </c>
      <c r="BG60" s="83">
        <v>0.21012857011872654</v>
      </c>
      <c r="BH60" s="83">
        <v>3.3289033854239092E-3</v>
      </c>
      <c r="BI60" s="83">
        <v>3.3289033854239092E-3</v>
      </c>
      <c r="BJ60" s="37">
        <v>117388.69655298341</v>
      </c>
      <c r="BK60" s="37">
        <v>117431.17992916329</v>
      </c>
      <c r="BL60" s="37">
        <v>117388.69655298338</v>
      </c>
      <c r="BM60" s="37">
        <v>0</v>
      </c>
    </row>
    <row r="61" spans="31:65" x14ac:dyDescent="0.2">
      <c r="AH61" s="37">
        <v>57</v>
      </c>
      <c r="AI61" s="38">
        <v>50576</v>
      </c>
      <c r="AJ61" s="39">
        <v>50486</v>
      </c>
      <c r="AK61" s="39">
        <v>50577</v>
      </c>
      <c r="AL61" s="40">
        <v>0.25277777777777777</v>
      </c>
      <c r="AM61" s="39">
        <v>50577</v>
      </c>
      <c r="AN61" s="41">
        <v>14.232876712328768</v>
      </c>
      <c r="AO61" s="41">
        <v>0.24931506849315177</v>
      </c>
      <c r="AP61" s="53">
        <v>0.58234650760373818</v>
      </c>
      <c r="AR61" s="37">
        <v>252777.77777777778</v>
      </c>
      <c r="AT61" s="101">
        <v>1.6862507298103676E-2</v>
      </c>
      <c r="AU61" s="83">
        <v>0.9958047475994084</v>
      </c>
      <c r="AV61" s="96">
        <v>0.78655221263630182</v>
      </c>
      <c r="AW61" s="83">
        <v>0.21344778736369818</v>
      </c>
      <c r="AX61" s="83">
        <v>3.3136868108009088E-3</v>
      </c>
      <c r="AY61" s="83">
        <v>3.3136868108009088E-3</v>
      </c>
      <c r="AZ61" s="37">
        <v>115783.83333606564</v>
      </c>
      <c r="BA61" s="37">
        <v>115782.83649374871</v>
      </c>
      <c r="BB61" s="37">
        <v>115783.83333606564</v>
      </c>
      <c r="BC61" s="37">
        <v>0</v>
      </c>
      <c r="BE61" s="83">
        <v>1.6868742010052409E-2</v>
      </c>
      <c r="BF61" s="83">
        <v>0.78655649723852927</v>
      </c>
      <c r="BG61" s="83">
        <v>0.21344350276147073</v>
      </c>
      <c r="BH61" s="83">
        <v>3.3149326427441839E-3</v>
      </c>
      <c r="BI61" s="83">
        <v>3.3149326427441839E-3</v>
      </c>
      <c r="BJ61" s="37">
        <v>115784.46404774918</v>
      </c>
      <c r="BK61" s="37">
        <v>115826.36684662235</v>
      </c>
      <c r="BL61" s="37">
        <v>115784.46404774918</v>
      </c>
      <c r="BM61" s="37">
        <v>0</v>
      </c>
    </row>
    <row r="62" spans="31:65" x14ac:dyDescent="0.2">
      <c r="AH62" s="37">
        <v>58</v>
      </c>
      <c r="AI62" s="38">
        <v>50668</v>
      </c>
      <c r="AJ62" s="39">
        <v>50577</v>
      </c>
      <c r="AK62" s="39">
        <v>50668</v>
      </c>
      <c r="AL62" s="40">
        <v>0.25277777777777777</v>
      </c>
      <c r="AM62" s="39">
        <v>50668</v>
      </c>
      <c r="AN62" s="41">
        <v>14.482191780821918</v>
      </c>
      <c r="AO62" s="41">
        <v>0.24931506849314999</v>
      </c>
      <c r="AP62" s="53">
        <v>0.57680891912111232</v>
      </c>
      <c r="AR62" s="37">
        <v>252777.77777777778</v>
      </c>
      <c r="AT62" s="101">
        <v>1.6862507298103676E-2</v>
      </c>
      <c r="AU62" s="83">
        <v>0.9958047475994084</v>
      </c>
      <c r="AV62" s="96">
        <v>0.78325242757804869</v>
      </c>
      <c r="AW62" s="83">
        <v>0.21674757242195131</v>
      </c>
      <c r="AX62" s="83">
        <v>3.2997850582531241E-3</v>
      </c>
      <c r="AY62" s="83">
        <v>3.2997850582531241E-3</v>
      </c>
      <c r="AZ62" s="37">
        <v>114201.71038798786</v>
      </c>
      <c r="BA62" s="37">
        <v>114200.72716697886</v>
      </c>
      <c r="BB62" s="37">
        <v>114201.71038798786</v>
      </c>
      <c r="BC62" s="37">
        <v>0</v>
      </c>
      <c r="BE62" s="83">
        <v>1.6868742010052409E-2</v>
      </c>
      <c r="BF62" s="83">
        <v>0.78325547670604778</v>
      </c>
      <c r="BG62" s="83">
        <v>0.21674452329395222</v>
      </c>
      <c r="BH62" s="83">
        <v>3.3010205324814912E-3</v>
      </c>
      <c r="BI62" s="83">
        <v>3.3010205324814912E-3</v>
      </c>
      <c r="BJ62" s="37">
        <v>114202.15496450038</v>
      </c>
      <c r="BK62" s="37">
        <v>114243.48512023485</v>
      </c>
      <c r="BL62" s="37">
        <v>114202.15496450038</v>
      </c>
      <c r="BM62" s="37">
        <v>0</v>
      </c>
    </row>
    <row r="63" spans="31:65" x14ac:dyDescent="0.2">
      <c r="AH63" s="37">
        <v>59</v>
      </c>
      <c r="AI63" s="38">
        <v>50759</v>
      </c>
      <c r="AJ63" s="39">
        <v>50668</v>
      </c>
      <c r="AK63" s="39">
        <v>50759</v>
      </c>
      <c r="AL63" s="40">
        <v>0.25277777777777777</v>
      </c>
      <c r="AM63" s="39">
        <v>50759</v>
      </c>
      <c r="AN63" s="41">
        <v>14.731506849315069</v>
      </c>
      <c r="AO63" s="41">
        <v>0.24931506849315177</v>
      </c>
      <c r="AP63" s="53">
        <v>0.57132398809552021</v>
      </c>
      <c r="AR63" s="37">
        <v>252777.77777777778</v>
      </c>
      <c r="AT63" s="101">
        <v>1.6862507298103676E-2</v>
      </c>
      <c r="AU63" s="83">
        <v>0.9958047475994084</v>
      </c>
      <c r="AV63" s="96">
        <v>0.77996648595098272</v>
      </c>
      <c r="AW63" s="83">
        <v>0.22003351404901728</v>
      </c>
      <c r="AX63" s="83">
        <v>3.2859416270659692E-3</v>
      </c>
      <c r="AY63" s="83">
        <v>3.2859416270659692E-3</v>
      </c>
      <c r="AZ63" s="37">
        <v>112641.20628729755</v>
      </c>
      <c r="BA63" s="37">
        <v>112640.23650146471</v>
      </c>
      <c r="BB63" s="37">
        <v>112641.20628729755</v>
      </c>
      <c r="BC63" s="37">
        <v>0</v>
      </c>
      <c r="BE63" s="83">
        <v>1.6868742010052409E-2</v>
      </c>
      <c r="BF63" s="83">
        <v>0.77996830989748078</v>
      </c>
      <c r="BG63" s="83">
        <v>0.22003169010251922</v>
      </c>
      <c r="BH63" s="83">
        <v>3.2871668085669992E-3</v>
      </c>
      <c r="BI63" s="83">
        <v>3.2871668085669992E-3</v>
      </c>
      <c r="BJ63" s="37">
        <v>112641.4696980177</v>
      </c>
      <c r="BK63" s="37">
        <v>112682.23503634329</v>
      </c>
      <c r="BL63" s="37">
        <v>112641.4696980177</v>
      </c>
      <c r="BM63" s="37">
        <v>0</v>
      </c>
    </row>
    <row r="64" spans="31:65" x14ac:dyDescent="0.2">
      <c r="AH64" s="37">
        <v>60</v>
      </c>
      <c r="AI64" s="38">
        <v>50849</v>
      </c>
      <c r="AJ64" s="39">
        <v>50759</v>
      </c>
      <c r="AK64" s="39">
        <v>50850</v>
      </c>
      <c r="AL64" s="40">
        <v>0.25277777777777777</v>
      </c>
      <c r="AM64" s="39">
        <v>50850</v>
      </c>
      <c r="AN64" s="41">
        <v>14.980821917808219</v>
      </c>
      <c r="AO64" s="41">
        <v>0.24931506849314999</v>
      </c>
      <c r="AP64" s="53">
        <v>0.56589121380218066</v>
      </c>
      <c r="AR64" s="37">
        <v>252777.77777777778</v>
      </c>
      <c r="AT64" s="101">
        <v>1.6862507298103676E-2</v>
      </c>
      <c r="AU64" s="83">
        <v>0.9958047475994084</v>
      </c>
      <c r="AV64" s="96">
        <v>0.7766943296784159</v>
      </c>
      <c r="AW64" s="83">
        <v>0.2233056703215841</v>
      </c>
      <c r="AX64" s="83">
        <v>3.2721562725668285E-3</v>
      </c>
      <c r="AY64" s="83">
        <v>3.2721562725668285E-3</v>
      </c>
      <c r="AZ64" s="37">
        <v>111102.02562423356</v>
      </c>
      <c r="BA64" s="37">
        <v>111101.06908999568</v>
      </c>
      <c r="BB64" s="37">
        <v>111102.02562423356</v>
      </c>
      <c r="BC64" s="37">
        <v>0</v>
      </c>
      <c r="BE64" s="83">
        <v>1.6868742010052409E-2</v>
      </c>
      <c r="BF64" s="83">
        <v>0.77669493867151573</v>
      </c>
      <c r="BG64" s="83">
        <v>0.22330506132848427</v>
      </c>
      <c r="BH64" s="83">
        <v>3.2733712259650494E-3</v>
      </c>
      <c r="BI64" s="83">
        <v>3.2733712259650494E-3</v>
      </c>
      <c r="BJ64" s="37">
        <v>111102.11273748313</v>
      </c>
      <c r="BK64" s="37">
        <v>111142.32097718964</v>
      </c>
      <c r="BL64" s="37">
        <v>111102.11273748311</v>
      </c>
      <c r="BM64" s="37">
        <v>0</v>
      </c>
    </row>
    <row r="65" spans="34:65" x14ac:dyDescent="0.2">
      <c r="AH65" s="37">
        <v>61</v>
      </c>
      <c r="AI65" s="38">
        <v>50941</v>
      </c>
      <c r="AJ65" s="39">
        <v>50850</v>
      </c>
      <c r="AK65" s="39">
        <v>50942</v>
      </c>
      <c r="AL65" s="40">
        <v>0.25555555555555554</v>
      </c>
      <c r="AM65" s="39">
        <v>50942</v>
      </c>
      <c r="AN65" s="41">
        <v>15.232876712328768</v>
      </c>
      <c r="AO65" s="41">
        <v>0.25205479452054824</v>
      </c>
      <c r="AP65" s="53">
        <v>0.56069533560982598</v>
      </c>
      <c r="AR65" s="37">
        <v>255555.55555555553</v>
      </c>
      <c r="AT65" s="101">
        <v>1.6862507298103676E-2</v>
      </c>
      <c r="AU65" s="83">
        <v>0.99575874382693874</v>
      </c>
      <c r="AV65" s="96">
        <v>0.77340017005808559</v>
      </c>
      <c r="AW65" s="83">
        <v>0.22659982994191441</v>
      </c>
      <c r="AX65" s="83">
        <v>3.2941596203303058E-3</v>
      </c>
      <c r="AY65" s="83">
        <v>3.2941596203303058E-3</v>
      </c>
      <c r="AZ65" s="37">
        <v>110819.58846625042</v>
      </c>
      <c r="BA65" s="37">
        <v>110821.19603240625</v>
      </c>
      <c r="BB65" s="42">
        <v>110819.58846625042</v>
      </c>
      <c r="BC65" s="37">
        <v>0</v>
      </c>
      <c r="BE65" s="83">
        <v>1.6868742010052409E-2</v>
      </c>
      <c r="BF65" s="83">
        <v>0.77339956107840169</v>
      </c>
      <c r="BG65" s="83">
        <v>0.22660043892159831</v>
      </c>
      <c r="BH65" s="83">
        <v>3.2953775931140461E-3</v>
      </c>
      <c r="BI65" s="83">
        <v>3.2953775931140461E-3</v>
      </c>
      <c r="BJ65" s="37">
        <v>110819.50120627743</v>
      </c>
      <c r="BK65" s="37">
        <v>110862.17073193083</v>
      </c>
      <c r="BL65" s="37">
        <v>110819.50120627743</v>
      </c>
      <c r="BM65" s="37">
        <v>0</v>
      </c>
    </row>
    <row r="66" spans="34:65" x14ac:dyDescent="0.2">
      <c r="AH66" s="37">
        <v>62</v>
      </c>
      <c r="AI66" s="38">
        <v>51033</v>
      </c>
      <c r="AJ66" s="39">
        <v>50942</v>
      </c>
      <c r="AK66" s="39">
        <v>51033</v>
      </c>
      <c r="AL66" s="40">
        <v>0.25277777777777777</v>
      </c>
      <c r="AM66" s="39">
        <v>51033</v>
      </c>
      <c r="AN66" s="41">
        <v>15.482191780821918</v>
      </c>
      <c r="AO66" s="41">
        <v>0.24931506849314999</v>
      </c>
      <c r="AP66" s="53">
        <v>0.55564581928213252</v>
      </c>
      <c r="AR66" s="37">
        <v>252777.77777777778</v>
      </c>
      <c r="AT66" s="101">
        <v>1.6862511650716842E-2</v>
      </c>
      <c r="AU66" s="83">
        <v>0.99580474651878892</v>
      </c>
      <c r="AV66" s="96">
        <v>0.77015556030228016</v>
      </c>
      <c r="AW66" s="83">
        <v>0.22984443969771984</v>
      </c>
      <c r="AX66" s="83">
        <v>3.2446097558054277E-3</v>
      </c>
      <c r="AY66" s="83">
        <v>3.2446097558054277E-3</v>
      </c>
      <c r="AZ66" s="37">
        <v>108172.1340899316</v>
      </c>
      <c r="BA66" s="37">
        <v>108171.23076091841</v>
      </c>
      <c r="BB66" s="42">
        <v>108172.1340899316</v>
      </c>
      <c r="BC66" s="37">
        <v>0</v>
      </c>
      <c r="BE66" s="83">
        <v>1.6868742010052409E-2</v>
      </c>
      <c r="BF66" s="83">
        <v>0.77015375757935856</v>
      </c>
      <c r="BG66" s="83">
        <v>0.22984624242064144</v>
      </c>
      <c r="BH66" s="83">
        <v>3.2458034990431317E-3</v>
      </c>
      <c r="BI66" s="83">
        <v>3.2458034990431317E-3</v>
      </c>
      <c r="BJ66" s="37">
        <v>108171.88088863611</v>
      </c>
      <c r="BK66" s="37">
        <v>108211.02866727799</v>
      </c>
      <c r="BL66" s="37">
        <v>108171.88088863611</v>
      </c>
      <c r="BM66" s="37">
        <v>0</v>
      </c>
    </row>
    <row r="67" spans="34:65" x14ac:dyDescent="0.2">
      <c r="AH67" s="37">
        <v>63</v>
      </c>
      <c r="AI67" s="38">
        <v>51124</v>
      </c>
      <c r="AJ67" s="39">
        <v>51033</v>
      </c>
      <c r="AK67" s="39">
        <v>51124</v>
      </c>
      <c r="AL67" s="40">
        <v>0.25277777777777777</v>
      </c>
      <c r="AM67" s="39">
        <v>51124</v>
      </c>
      <c r="AN67" s="41">
        <v>15.731506849315069</v>
      </c>
      <c r="AO67" s="41">
        <v>0.24931506849315177</v>
      </c>
      <c r="AP67" s="53">
        <v>0.55064177794508784</v>
      </c>
      <c r="AR67" s="37">
        <v>252777.77777777778</v>
      </c>
      <c r="AT67" s="101">
        <v>1.6862511650716842E-2</v>
      </c>
      <c r="AU67" s="83">
        <v>0.99580474651878892</v>
      </c>
      <c r="AV67" s="96">
        <v>0.76692456250684793</v>
      </c>
      <c r="AW67" s="83">
        <v>0.23307543749315207</v>
      </c>
      <c r="AX67" s="83">
        <v>3.2309977954322333E-3</v>
      </c>
      <c r="AY67" s="83">
        <v>3.2309977954322333E-3</v>
      </c>
      <c r="AZ67" s="37">
        <v>106748.23367504495</v>
      </c>
      <c r="BA67" s="37">
        <v>106747.34223680785</v>
      </c>
      <c r="BB67" s="42">
        <v>106748.23367504495</v>
      </c>
      <c r="BC67" s="37">
        <v>0</v>
      </c>
      <c r="BE67" s="83">
        <v>1.6868742010052409E-2</v>
      </c>
      <c r="BF67" s="83">
        <v>0.76692157606936817</v>
      </c>
      <c r="BG67" s="83">
        <v>0.23307842393063183</v>
      </c>
      <c r="BH67" s="83">
        <v>3.2321815099903839E-3</v>
      </c>
      <c r="BI67" s="83">
        <v>3.2321815099903839E-3</v>
      </c>
      <c r="BJ67" s="37">
        <v>106747.81799279727</v>
      </c>
      <c r="BK67" s="37">
        <v>106786.4503981406</v>
      </c>
      <c r="BL67" s="37">
        <v>106747.81799279727</v>
      </c>
      <c r="BM67" s="37">
        <v>0</v>
      </c>
    </row>
    <row r="68" spans="34:65" x14ac:dyDescent="0.2">
      <c r="AH68" s="37">
        <v>64</v>
      </c>
      <c r="AI68" s="38">
        <v>51215</v>
      </c>
      <c r="AJ68" s="39">
        <v>51124</v>
      </c>
      <c r="AK68" s="39">
        <v>51215</v>
      </c>
      <c r="AL68" s="40">
        <v>0.25277777777777777</v>
      </c>
      <c r="AM68" s="39">
        <v>51215</v>
      </c>
      <c r="AN68" s="41">
        <v>15.980821917808219</v>
      </c>
      <c r="AO68" s="41">
        <v>0.24931506849314999</v>
      </c>
      <c r="AP68" s="53">
        <v>0.54568280205951225</v>
      </c>
      <c r="AR68" s="37">
        <v>252777.77777777778</v>
      </c>
      <c r="AT68" s="101">
        <v>1.6862511650716842E-2</v>
      </c>
      <c r="AU68" s="83">
        <v>0.99580474651878892</v>
      </c>
      <c r="AV68" s="96">
        <v>0.76370711956616477</v>
      </c>
      <c r="AW68" s="83">
        <v>0.23629288043383523</v>
      </c>
      <c r="AX68" s="83">
        <v>3.2174429406831573E-3</v>
      </c>
      <c r="AY68" s="83">
        <v>3.2174429406831573E-3</v>
      </c>
      <c r="AZ68" s="37">
        <v>105343.07646429834</v>
      </c>
      <c r="BA68" s="37">
        <v>105342.19676031492</v>
      </c>
      <c r="BB68" s="42">
        <v>105343.07646429834</v>
      </c>
      <c r="BC68" s="37">
        <v>0</v>
      </c>
      <c r="BE68" s="83">
        <v>1.6868742010052409E-2</v>
      </c>
      <c r="BF68" s="83">
        <v>0.76370295937966293</v>
      </c>
      <c r="BG68" s="83">
        <v>0.23629704062033707</v>
      </c>
      <c r="BH68" s="83">
        <v>3.2186166897052448E-3</v>
      </c>
      <c r="BI68" s="83">
        <v>3.2186166897052448E-3</v>
      </c>
      <c r="BJ68" s="37">
        <v>105342.50262279085</v>
      </c>
      <c r="BK68" s="37">
        <v>105380.62643963219</v>
      </c>
      <c r="BL68" s="37">
        <v>105342.50262279085</v>
      </c>
      <c r="BM68" s="37">
        <v>0</v>
      </c>
    </row>
    <row r="69" spans="34:65" x14ac:dyDescent="0.2">
      <c r="AH69" s="37">
        <v>65</v>
      </c>
      <c r="AI69" s="38">
        <v>51307</v>
      </c>
      <c r="AJ69" s="39">
        <v>51215</v>
      </c>
      <c r="AK69" s="39">
        <v>51307</v>
      </c>
      <c r="AL69" s="40">
        <v>0.25555555555555554</v>
      </c>
      <c r="AM69" s="39">
        <v>51307</v>
      </c>
      <c r="AN69" s="41">
        <v>16.232876712328768</v>
      </c>
      <c r="AO69" s="41">
        <v>0.25205479452054824</v>
      </c>
      <c r="AP69" s="53">
        <v>0.54071472887676408</v>
      </c>
      <c r="AR69" s="37">
        <v>255555.55555555553</v>
      </c>
      <c r="AT69" s="101">
        <v>1.6862511650716842E-2</v>
      </c>
      <c r="AU69" s="83">
        <v>0.99575874273449483</v>
      </c>
      <c r="AV69" s="96">
        <v>0.76046804119658684</v>
      </c>
      <c r="AW69" s="83">
        <v>0.23953195880341316</v>
      </c>
      <c r="AX69" s="83">
        <v>3.2390783695779302E-3</v>
      </c>
      <c r="AY69" s="83">
        <v>3.2390783695779302E-3</v>
      </c>
      <c r="AZ69" s="37">
        <v>105083.49140495884</v>
      </c>
      <c r="BA69" s="37">
        <v>105085.04294501529</v>
      </c>
      <c r="BB69" s="42">
        <v>105083.49140495884</v>
      </c>
      <c r="BC69" s="37">
        <v>0</v>
      </c>
      <c r="BE69" s="83">
        <v>1.6868742010052409E-2</v>
      </c>
      <c r="BF69" s="83">
        <v>0.76046270442906516</v>
      </c>
      <c r="BG69" s="83">
        <v>0.23953729557093484</v>
      </c>
      <c r="BH69" s="83">
        <v>3.2402549505977651E-3</v>
      </c>
      <c r="BI69" s="83">
        <v>3.2402549505977651E-3</v>
      </c>
      <c r="BJ69" s="37">
        <v>105082.7539562646</v>
      </c>
      <c r="BK69" s="37">
        <v>105123.21462624379</v>
      </c>
      <c r="BL69" s="37">
        <v>105082.75395626457</v>
      </c>
      <c r="BM69" s="37">
        <v>0</v>
      </c>
    </row>
    <row r="70" spans="34:65" x14ac:dyDescent="0.2">
      <c r="AH70" s="37">
        <v>66</v>
      </c>
      <c r="AI70" s="38">
        <v>51399</v>
      </c>
      <c r="AJ70" s="39">
        <v>51307</v>
      </c>
      <c r="AK70" s="39">
        <v>51399</v>
      </c>
      <c r="AL70" s="40">
        <v>0.25555555555555554</v>
      </c>
      <c r="AM70" s="39">
        <v>51399</v>
      </c>
      <c r="AN70" s="41">
        <v>16.484931506849314</v>
      </c>
      <c r="AO70" s="41">
        <v>0.25205479452054647</v>
      </c>
      <c r="AP70" s="53">
        <v>0.53579188664330724</v>
      </c>
      <c r="AR70" s="37">
        <v>255555.55555555553</v>
      </c>
      <c r="AT70" s="101">
        <v>1.6862511650716842E-2</v>
      </c>
      <c r="AU70" s="83">
        <v>0.99575874273449483</v>
      </c>
      <c r="AV70" s="96">
        <v>0.75724270059167731</v>
      </c>
      <c r="AW70" s="83">
        <v>0.24275729940832269</v>
      </c>
      <c r="AX70" s="83">
        <v>3.2253406049095323E-3</v>
      </c>
      <c r="AY70" s="83">
        <v>3.2253406049095323E-3</v>
      </c>
      <c r="AZ70" s="37">
        <v>103685.14877253798</v>
      </c>
      <c r="BA70" s="37">
        <v>103686.67966630464</v>
      </c>
      <c r="BB70" s="42">
        <v>103685.14877253798</v>
      </c>
      <c r="BC70" s="37">
        <v>0</v>
      </c>
      <c r="BE70" s="83">
        <v>1.6868742010052409E-2</v>
      </c>
      <c r="BF70" s="83">
        <v>0.75723619730020342</v>
      </c>
      <c r="BG70" s="83">
        <v>0.24276380269979658</v>
      </c>
      <c r="BH70" s="83">
        <v>3.2265071288617442E-3</v>
      </c>
      <c r="BI70" s="83">
        <v>3.2265071288617442E-3</v>
      </c>
      <c r="BJ70" s="37">
        <v>103684.25831199811</v>
      </c>
      <c r="BK70" s="37">
        <v>103724.18051045485</v>
      </c>
      <c r="BL70" s="37">
        <v>103684.25831199811</v>
      </c>
      <c r="BM70" s="37">
        <v>0</v>
      </c>
    </row>
    <row r="71" spans="34:65" x14ac:dyDescent="0.2">
      <c r="AH71" s="37">
        <v>67</v>
      </c>
      <c r="AI71" s="38">
        <v>51490</v>
      </c>
      <c r="AJ71" s="39">
        <v>51399</v>
      </c>
      <c r="AK71" s="39">
        <v>51490</v>
      </c>
      <c r="AL71" s="40">
        <v>0.25277777777777777</v>
      </c>
      <c r="AM71" s="39">
        <v>51490</v>
      </c>
      <c r="AN71" s="41">
        <v>16.734246575342464</v>
      </c>
      <c r="AO71" s="41">
        <v>0.24931506849314999</v>
      </c>
      <c r="AP71" s="53">
        <v>0.53096664607498956</v>
      </c>
      <c r="AR71" s="37">
        <v>252777.77777777778</v>
      </c>
      <c r="AT71" s="101">
        <v>1.6862511650716842E-2</v>
      </c>
      <c r="AU71" s="83">
        <v>0.99580474651878892</v>
      </c>
      <c r="AV71" s="96">
        <v>0.75406587551589832</v>
      </c>
      <c r="AW71" s="83">
        <v>0.24593412448410168</v>
      </c>
      <c r="AX71" s="83">
        <v>3.1768250757789884E-3</v>
      </c>
      <c r="AY71" s="83">
        <v>3.1768250757789884E-3</v>
      </c>
      <c r="AZ71" s="37">
        <v>101208.13451290893</v>
      </c>
      <c r="BA71" s="37">
        <v>101207.28933919764</v>
      </c>
      <c r="BB71" s="42">
        <v>101208.13451290893</v>
      </c>
      <c r="BC71" s="37">
        <v>0</v>
      </c>
      <c r="BE71" s="83">
        <v>1.6868742010052409E-2</v>
      </c>
      <c r="BF71" s="83">
        <v>0.75405822821088564</v>
      </c>
      <c r="BG71" s="83">
        <v>0.24594177178911436</v>
      </c>
      <c r="BH71" s="83">
        <v>3.1779690893177781E-3</v>
      </c>
      <c r="BI71" s="83">
        <v>3.1779690893177781E-3</v>
      </c>
      <c r="BJ71" s="37">
        <v>101207.10811786904</v>
      </c>
      <c r="BK71" s="37">
        <v>101243.73532110297</v>
      </c>
      <c r="BL71" s="37">
        <v>101207.10811786904</v>
      </c>
      <c r="BM71" s="37">
        <v>0</v>
      </c>
    </row>
    <row r="72" spans="34:65" x14ac:dyDescent="0.2">
      <c r="AH72" s="37">
        <v>68</v>
      </c>
      <c r="AI72" s="38">
        <v>51580</v>
      </c>
      <c r="AJ72" s="39">
        <v>51490</v>
      </c>
      <c r="AK72" s="39">
        <v>51580</v>
      </c>
      <c r="AL72" s="40">
        <v>0.25</v>
      </c>
      <c r="AM72" s="39">
        <v>51580</v>
      </c>
      <c r="AN72" s="41">
        <v>16.980821917808218</v>
      </c>
      <c r="AO72" s="41">
        <v>0.24657534246575352</v>
      </c>
      <c r="AP72" s="53">
        <v>0.526237173076193</v>
      </c>
      <c r="AR72" s="37">
        <v>250000</v>
      </c>
      <c r="AT72" s="101">
        <v>1.6862511650716842E-2</v>
      </c>
      <c r="AU72" s="83">
        <v>0.99585075242844545</v>
      </c>
      <c r="AV72" s="96">
        <v>0.75093706951312189</v>
      </c>
      <c r="AW72" s="83">
        <v>0.24906293048687811</v>
      </c>
      <c r="AX72" s="83">
        <v>3.1288060027764297E-3</v>
      </c>
      <c r="AY72" s="83">
        <v>3.1288060027764297E-3</v>
      </c>
      <c r="AZ72" s="37">
        <v>98792.750154676469</v>
      </c>
      <c r="BA72" s="37">
        <v>98789.641560293487</v>
      </c>
      <c r="BB72" s="42">
        <v>98792.750154676469</v>
      </c>
      <c r="BC72" s="37">
        <v>0</v>
      </c>
      <c r="BE72" s="83">
        <v>1.6868742010052409E-2</v>
      </c>
      <c r="BF72" s="83">
        <v>0.75092830032194047</v>
      </c>
      <c r="BG72" s="83">
        <v>0.24907169967805953</v>
      </c>
      <c r="BH72" s="83">
        <v>3.129927888945172E-3</v>
      </c>
      <c r="BI72" s="83">
        <v>3.129927888945172E-3</v>
      </c>
      <c r="BJ72" s="37">
        <v>98791.596486082097</v>
      </c>
      <c r="BK72" s="37">
        <v>98825.064252650642</v>
      </c>
      <c r="BL72" s="37">
        <v>98791.596486082097</v>
      </c>
      <c r="BM72" s="37">
        <v>0</v>
      </c>
    </row>
    <row r="73" spans="34:65" x14ac:dyDescent="0.2">
      <c r="AH73" s="37">
        <v>69</v>
      </c>
      <c r="AI73" s="38">
        <v>51672</v>
      </c>
      <c r="AJ73" s="39">
        <v>51580</v>
      </c>
      <c r="AK73" s="39">
        <v>51672</v>
      </c>
      <c r="AL73" s="40">
        <v>0.25555555555555554</v>
      </c>
      <c r="AM73" s="39">
        <v>51672</v>
      </c>
      <c r="AN73" s="41">
        <v>17.232876712328768</v>
      </c>
      <c r="AO73" s="41">
        <v>0.25205479452055002</v>
      </c>
      <c r="AP73" s="53">
        <v>0.52144613920549399</v>
      </c>
      <c r="AR73" s="37">
        <v>255555.55555555553</v>
      </c>
      <c r="AT73" s="101">
        <v>1.6862511650716842E-2</v>
      </c>
      <c r="AU73" s="83">
        <v>0.99575874273449483</v>
      </c>
      <c r="AV73" s="96">
        <v>0.74775215221111224</v>
      </c>
      <c r="AW73" s="83">
        <v>0.25224784778888776</v>
      </c>
      <c r="AX73" s="83">
        <v>3.1849173020096488E-3</v>
      </c>
      <c r="AY73" s="83">
        <v>3.1849173020096488E-3</v>
      </c>
      <c r="AZ73" s="37">
        <v>99644.298618010173</v>
      </c>
      <c r="BA73" s="37">
        <v>99645.769849302582</v>
      </c>
      <c r="BB73" s="42">
        <v>99644.298618010173</v>
      </c>
      <c r="BC73" s="37">
        <v>0</v>
      </c>
      <c r="BE73" s="83">
        <v>1.6868742010052409E-2</v>
      </c>
      <c r="BF73" s="83">
        <v>0.74774224596300676</v>
      </c>
      <c r="BG73" s="83">
        <v>0.25225775403699324</v>
      </c>
      <c r="BH73" s="83">
        <v>3.1860543589337098E-3</v>
      </c>
      <c r="BI73" s="83">
        <v>3.1860543589337098E-3</v>
      </c>
      <c r="BJ73" s="37">
        <v>99642.978526665087</v>
      </c>
      <c r="BK73" s="37">
        <v>99681.344685889097</v>
      </c>
      <c r="BL73" s="37">
        <v>99642.978526665087</v>
      </c>
      <c r="BM73" s="37">
        <v>0</v>
      </c>
    </row>
    <row r="74" spans="34:65" x14ac:dyDescent="0.2">
      <c r="AH74" s="37">
        <v>70</v>
      </c>
      <c r="AI74" s="38">
        <v>51764</v>
      </c>
      <c r="AJ74" s="39">
        <v>51672</v>
      </c>
      <c r="AK74" s="39">
        <v>51764</v>
      </c>
      <c r="AL74" s="40">
        <v>0.25555555555555554</v>
      </c>
      <c r="AM74" s="39">
        <v>51764</v>
      </c>
      <c r="AN74" s="41">
        <v>17.484931506849314</v>
      </c>
      <c r="AO74" s="41">
        <v>0.25205479452054647</v>
      </c>
      <c r="AP74" s="53">
        <v>0.51669872446077958</v>
      </c>
      <c r="AR74" s="37">
        <v>255555.55555555553</v>
      </c>
      <c r="AT74" s="101">
        <v>1.6862511650716842E-2</v>
      </c>
      <c r="AU74" s="83">
        <v>0.99575874273449483</v>
      </c>
      <c r="AV74" s="96">
        <v>0.74458074296274968</v>
      </c>
      <c r="AW74" s="83">
        <v>0.25541925703725032</v>
      </c>
      <c r="AX74" s="83">
        <v>3.1714092483625667E-3</v>
      </c>
      <c r="AY74" s="83">
        <v>3.1714092483625667E-3</v>
      </c>
      <c r="AZ74" s="37">
        <v>98318.335148655373</v>
      </c>
      <c r="BA74" s="37">
        <v>98319.786802323462</v>
      </c>
      <c r="BB74" s="42">
        <v>98318.335148655373</v>
      </c>
      <c r="BC74" s="37">
        <v>0</v>
      </c>
      <c r="BE74" s="83">
        <v>1.6868742010052409E-2</v>
      </c>
      <c r="BF74" s="83">
        <v>0.74456970946240075</v>
      </c>
      <c r="BG74" s="83">
        <v>0.25543029053759925</v>
      </c>
      <c r="BH74" s="83">
        <v>3.1725365006060047E-3</v>
      </c>
      <c r="BI74" s="83">
        <v>3.1725365006060047E-3</v>
      </c>
      <c r="BJ74" s="37">
        <v>98316.878227568668</v>
      </c>
      <c r="BK74" s="37">
        <v>98354.733790103273</v>
      </c>
      <c r="BL74" s="37">
        <v>98316.878227568668</v>
      </c>
      <c r="BM74" s="37">
        <v>0</v>
      </c>
    </row>
    <row r="75" spans="34:65" x14ac:dyDescent="0.2">
      <c r="AH75" s="37">
        <v>71</v>
      </c>
      <c r="AI75" s="38">
        <v>51855</v>
      </c>
      <c r="AJ75" s="39">
        <v>51764</v>
      </c>
      <c r="AK75" s="39">
        <v>51855</v>
      </c>
      <c r="AL75" s="40">
        <v>0.25277777777777777</v>
      </c>
      <c r="AM75" s="39">
        <v>51855</v>
      </c>
      <c r="AN75" s="41">
        <v>17.734246575342464</v>
      </c>
      <c r="AO75" s="41">
        <v>0.24931506849314999</v>
      </c>
      <c r="AP75" s="53">
        <v>0.51204543330610042</v>
      </c>
      <c r="AR75" s="37">
        <v>252777.77777777778</v>
      </c>
      <c r="AT75" s="101">
        <v>1.6862511650716842E-2</v>
      </c>
      <c r="AU75" s="83">
        <v>0.99580474651878892</v>
      </c>
      <c r="AV75" s="96">
        <v>0.74145703800879248</v>
      </c>
      <c r="AW75" s="83">
        <v>0.25854296199120752</v>
      </c>
      <c r="AX75" s="83">
        <v>3.1237049539571959E-3</v>
      </c>
      <c r="AY75" s="83">
        <v>3.1237049539571959E-3</v>
      </c>
      <c r="AZ75" s="37">
        <v>95969.53282711489</v>
      </c>
      <c r="BA75" s="37">
        <v>95968.731400165489</v>
      </c>
      <c r="BB75" s="42">
        <v>95969.53282711489</v>
      </c>
      <c r="BC75" s="37">
        <v>0</v>
      </c>
      <c r="BE75" s="83">
        <v>1.6868742010052409E-2</v>
      </c>
      <c r="BF75" s="83">
        <v>0.74144489909286193</v>
      </c>
      <c r="BG75" s="83">
        <v>0.25855510090713807</v>
      </c>
      <c r="BH75" s="83">
        <v>3.1248103695388219E-3</v>
      </c>
      <c r="BI75" s="83">
        <v>3.1248103695388219E-3</v>
      </c>
      <c r="BJ75" s="37">
        <v>95967.961642230046</v>
      </c>
      <c r="BK75" s="37">
        <v>96002.692780194106</v>
      </c>
      <c r="BL75" s="37">
        <v>95967.961642230046</v>
      </c>
      <c r="BM75" s="37">
        <v>0</v>
      </c>
    </row>
    <row r="76" spans="34:65" x14ac:dyDescent="0.2">
      <c r="AH76" s="37">
        <v>72</v>
      </c>
      <c r="AI76" s="38">
        <v>51945</v>
      </c>
      <c r="AJ76" s="39">
        <v>51855</v>
      </c>
      <c r="AK76" s="39">
        <v>51945</v>
      </c>
      <c r="AL76" s="40">
        <v>0.25</v>
      </c>
      <c r="AM76" s="39">
        <v>51945</v>
      </c>
      <c r="AN76" s="41">
        <v>17.980821917808218</v>
      </c>
      <c r="AO76" s="41">
        <v>0.24657534246575352</v>
      </c>
      <c r="AP76" s="53">
        <v>0.50748449700458309</v>
      </c>
      <c r="AR76" s="37">
        <v>250000</v>
      </c>
      <c r="AT76" s="101">
        <v>1.6862511650716842E-2</v>
      </c>
      <c r="AU76" s="83">
        <v>0.99585075242844545</v>
      </c>
      <c r="AV76" s="96">
        <v>0.73838054919442253</v>
      </c>
      <c r="AW76" s="83">
        <v>0.26161945080557747</v>
      </c>
      <c r="AX76" s="83">
        <v>3.0764888143699487E-3</v>
      </c>
      <c r="AY76" s="83">
        <v>3.0764888143699487E-3</v>
      </c>
      <c r="AZ76" s="37">
        <v>93679.170401474825</v>
      </c>
      <c r="BA76" s="37">
        <v>93676.222710045564</v>
      </c>
      <c r="BB76" s="42">
        <v>93679.170401474825</v>
      </c>
      <c r="BC76" s="37">
        <v>0</v>
      </c>
      <c r="BE76" s="83">
        <v>1.6868742010052409E-2</v>
      </c>
      <c r="BF76" s="83">
        <v>0.73836732632597757</v>
      </c>
      <c r="BG76" s="83">
        <v>0.26163267367402243</v>
      </c>
      <c r="BH76" s="83">
        <v>3.0775727668843622E-3</v>
      </c>
      <c r="BI76" s="83">
        <v>3.0775727668843622E-3</v>
      </c>
      <c r="BJ76" s="37">
        <v>93677.492801289394</v>
      </c>
      <c r="BK76" s="37">
        <v>93709.228055838816</v>
      </c>
      <c r="BL76" s="37">
        <v>93677.492801289409</v>
      </c>
      <c r="BM76" s="37">
        <v>0</v>
      </c>
    </row>
    <row r="77" spans="34:65" x14ac:dyDescent="0.2">
      <c r="AH77" s="37">
        <v>73</v>
      </c>
      <c r="AI77" s="38">
        <v>52037</v>
      </c>
      <c r="AJ77" s="39">
        <v>51945</v>
      </c>
      <c r="AK77" s="39">
        <v>52037</v>
      </c>
      <c r="AL77" s="40">
        <v>0.25555555555555554</v>
      </c>
      <c r="AM77" s="39">
        <v>52037</v>
      </c>
      <c r="AN77" s="41">
        <v>18.232876712328768</v>
      </c>
      <c r="AO77" s="41">
        <v>0.25205479452055002</v>
      </c>
      <c r="AP77" s="53">
        <v>0.50286419357791601</v>
      </c>
      <c r="AR77" s="37">
        <v>255555.55555555553</v>
      </c>
      <c r="AT77" s="101">
        <v>1.6862511650716842E-2</v>
      </c>
      <c r="AU77" s="83">
        <v>0.99575874273449483</v>
      </c>
      <c r="AV77" s="96">
        <v>0.73524888732544402</v>
      </c>
      <c r="AW77" s="83">
        <v>0.26475111267455598</v>
      </c>
      <c r="AX77" s="83">
        <v>3.1316618689785081E-3</v>
      </c>
      <c r="AY77" s="83">
        <v>3.1316618689785081E-3</v>
      </c>
      <c r="AZ77" s="37">
        <v>94486.642138792187</v>
      </c>
      <c r="BA77" s="37">
        <v>94488.037218155208</v>
      </c>
      <c r="BB77" s="42">
        <v>94486.642138792187</v>
      </c>
      <c r="BC77" s="37">
        <v>0</v>
      </c>
      <c r="BE77" s="83">
        <v>1.6868742010052409E-2</v>
      </c>
      <c r="BF77" s="83">
        <v>0.73523456593124137</v>
      </c>
      <c r="BG77" s="83">
        <v>0.26476543406875863</v>
      </c>
      <c r="BH77" s="83">
        <v>3.1327603947362004E-3</v>
      </c>
      <c r="BI77" s="83">
        <v>3.1327603947362004E-3</v>
      </c>
      <c r="BJ77" s="37">
        <v>94484.801700170268</v>
      </c>
      <c r="BK77" s="37">
        <v>94521.18177431119</v>
      </c>
      <c r="BL77" s="37">
        <v>94484.801700170268</v>
      </c>
      <c r="BM77" s="37">
        <v>0</v>
      </c>
    </row>
    <row r="78" spans="34:65" x14ac:dyDescent="0.2">
      <c r="AH78" s="37">
        <v>74</v>
      </c>
      <c r="AI78" s="38">
        <v>52129</v>
      </c>
      <c r="AJ78" s="39">
        <v>52037</v>
      </c>
      <c r="AK78" s="39">
        <v>52131</v>
      </c>
      <c r="AL78" s="40">
        <v>0.26111111111111113</v>
      </c>
      <c r="AM78" s="39">
        <v>52131</v>
      </c>
      <c r="AN78" s="41">
        <v>18.490410958904111</v>
      </c>
      <c r="AO78" s="41">
        <v>0.25753424657534296</v>
      </c>
      <c r="AP78" s="53">
        <v>0.49818689225636797</v>
      </c>
      <c r="AR78" s="37">
        <v>261111.11111111112</v>
      </c>
      <c r="AT78" s="101">
        <v>1.6862511650716842E-2</v>
      </c>
      <c r="AU78" s="83">
        <v>0.99566674154160095</v>
      </c>
      <c r="AV78" s="96">
        <v>0.73206286386541253</v>
      </c>
      <c r="AW78" s="83">
        <v>0.26793713613458747</v>
      </c>
      <c r="AX78" s="83">
        <v>3.1860234600314952E-3</v>
      </c>
      <c r="AY78" s="83">
        <v>3.1860234600314952E-3</v>
      </c>
      <c r="AZ78" s="37">
        <v>95228.298805633909</v>
      </c>
      <c r="BA78" s="37">
        <v>95234.107572538269</v>
      </c>
      <c r="BB78" s="42">
        <v>95228.298805633909</v>
      </c>
      <c r="BC78" s="37">
        <v>0</v>
      </c>
      <c r="BE78" s="83">
        <v>1.6868742010052409E-2</v>
      </c>
      <c r="BF78" s="83">
        <v>0.73204742993585048</v>
      </c>
      <c r="BG78" s="83">
        <v>0.26795257006414952</v>
      </c>
      <c r="BH78" s="83">
        <v>3.1871359953908884E-3</v>
      </c>
      <c r="BI78" s="83">
        <v>3.1871359953908884E-3</v>
      </c>
      <c r="BJ78" s="37">
        <v>95226.291127156248</v>
      </c>
      <c r="BK78" s="37">
        <v>95267.362604531547</v>
      </c>
      <c r="BL78" s="37">
        <v>95226.291127156248</v>
      </c>
      <c r="BM78" s="37">
        <v>0</v>
      </c>
    </row>
    <row r="79" spans="34:65" x14ac:dyDescent="0.2">
      <c r="AH79" s="37">
        <v>75</v>
      </c>
      <c r="AI79" s="38">
        <v>52220</v>
      </c>
      <c r="AJ79" s="39">
        <v>52131</v>
      </c>
      <c r="AK79" s="39">
        <v>52222</v>
      </c>
      <c r="AL79" s="40">
        <v>0.25277777777777777</v>
      </c>
      <c r="AM79" s="39">
        <v>52222</v>
      </c>
      <c r="AN79" s="41">
        <v>18.739726027397261</v>
      </c>
      <c r="AO79" s="41">
        <v>0.24931506849314999</v>
      </c>
      <c r="AP79" s="53">
        <v>0.49370031516730528</v>
      </c>
      <c r="AR79" s="37">
        <v>252777.77777777778</v>
      </c>
      <c r="AT79" s="101">
        <v>1.6862511650716842E-2</v>
      </c>
      <c r="AU79" s="83">
        <v>0.99580474651878892</v>
      </c>
      <c r="AV79" s="96">
        <v>0.72899167458731573</v>
      </c>
      <c r="AW79" s="83">
        <v>0.27100832541268427</v>
      </c>
      <c r="AX79" s="83">
        <v>3.0711892780967975E-3</v>
      </c>
      <c r="AY79" s="83">
        <v>3.0711892780967975E-3</v>
      </c>
      <c r="AZ79" s="37">
        <v>90975.586595352914</v>
      </c>
      <c r="BA79" s="37">
        <v>90974.826872090271</v>
      </c>
      <c r="BB79" s="42">
        <v>90975.586595352914</v>
      </c>
      <c r="BC79" s="37">
        <v>0</v>
      </c>
      <c r="BE79" s="83">
        <v>1.6868742010052409E-2</v>
      </c>
      <c r="BF79" s="83">
        <v>0.72897517307260862</v>
      </c>
      <c r="BG79" s="83">
        <v>0.27102482692739138</v>
      </c>
      <c r="BH79" s="83">
        <v>3.0722568632418623E-3</v>
      </c>
      <c r="BI79" s="83">
        <v>3.0722568632418623E-3</v>
      </c>
      <c r="BJ79" s="37">
        <v>90973.527264591627</v>
      </c>
      <c r="BK79" s="37">
        <v>91006.450899445452</v>
      </c>
      <c r="BL79" s="37">
        <v>90973.527264591627</v>
      </c>
      <c r="BM79" s="37">
        <v>0</v>
      </c>
    </row>
    <row r="80" spans="34:65" x14ac:dyDescent="0.2">
      <c r="AH80" s="37">
        <v>76</v>
      </c>
      <c r="AI80" s="38">
        <v>52310</v>
      </c>
      <c r="AJ80" s="39">
        <v>52222</v>
      </c>
      <c r="AK80" s="39">
        <v>52310</v>
      </c>
      <c r="AL80" s="40">
        <v>0.24444444444444444</v>
      </c>
      <c r="AM80" s="39">
        <v>52310</v>
      </c>
      <c r="AN80" s="41">
        <v>18.980821917808218</v>
      </c>
      <c r="AO80" s="41">
        <v>0.24109589041095703</v>
      </c>
      <c r="AP80" s="53">
        <v>0.48940008018533854</v>
      </c>
      <c r="AR80" s="37">
        <v>244444.44444444444</v>
      </c>
      <c r="AT80" s="101">
        <v>1.6862511650716842E-2</v>
      </c>
      <c r="AU80" s="83">
        <v>0.9959427706242383</v>
      </c>
      <c r="AV80" s="96">
        <v>0.72603398815049436</v>
      </c>
      <c r="AW80" s="83">
        <v>0.27396601184950564</v>
      </c>
      <c r="AX80" s="83">
        <v>2.9576864368213718E-3</v>
      </c>
      <c r="AY80" s="83">
        <v>2.9576864368213718E-3</v>
      </c>
      <c r="AZ80" s="37">
        <v>86856.26693776586</v>
      </c>
      <c r="BA80" s="37">
        <v>86849.518760608058</v>
      </c>
      <c r="BB80" s="42">
        <v>86856.26693776586</v>
      </c>
      <c r="BC80" s="37">
        <v>0</v>
      </c>
      <c r="BE80" s="83">
        <v>1.6868742010052409E-2</v>
      </c>
      <c r="BF80" s="83">
        <v>0.72601646302588219</v>
      </c>
      <c r="BG80" s="83">
        <v>0.27398353697411781</v>
      </c>
      <c r="BH80" s="83">
        <v>2.9587100467264316E-3</v>
      </c>
      <c r="BI80" s="83">
        <v>2.9587100467264316E-3</v>
      </c>
      <c r="BJ80" s="37">
        <v>86854.17038729263</v>
      </c>
      <c r="BK80" s="37">
        <v>86879.576046784932</v>
      </c>
      <c r="BL80" s="37">
        <v>86854.17038729263</v>
      </c>
      <c r="BM80" s="37">
        <v>0</v>
      </c>
    </row>
    <row r="81" spans="34:65" x14ac:dyDescent="0.2">
      <c r="AH81" s="37">
        <v>77</v>
      </c>
      <c r="AI81" s="38">
        <v>52402</v>
      </c>
      <c r="AJ81" s="39">
        <v>52310</v>
      </c>
      <c r="AK81" s="39">
        <v>52404</v>
      </c>
      <c r="AL81" s="40">
        <v>0.26111111111111113</v>
      </c>
      <c r="AM81" s="39">
        <v>52404</v>
      </c>
      <c r="AN81" s="41">
        <v>19.238356164383561</v>
      </c>
      <c r="AO81" s="41">
        <v>0.25753424657534296</v>
      </c>
      <c r="AP81" s="53">
        <v>0.4848480129054441</v>
      </c>
      <c r="AR81" s="37">
        <v>261111.11111111112</v>
      </c>
      <c r="AT81" s="101">
        <v>1.6862511650716842E-2</v>
      </c>
      <c r="AU81" s="83">
        <v>0.99566674154160095</v>
      </c>
      <c r="AV81" s="96">
        <v>0.72288789523025609</v>
      </c>
      <c r="AW81" s="83">
        <v>0.27711210476974391</v>
      </c>
      <c r="AX81" s="83">
        <v>3.1460929202382637E-3</v>
      </c>
      <c r="AY81" s="83">
        <v>3.1460929202382637E-3</v>
      </c>
      <c r="AZ81" s="37">
        <v>91517.031661789239</v>
      </c>
      <c r="BA81" s="37">
        <v>91522.614047604482</v>
      </c>
      <c r="BB81" s="42">
        <v>91517.031661789239</v>
      </c>
      <c r="BC81" s="37">
        <v>0</v>
      </c>
      <c r="BE81" s="83">
        <v>1.6868742010052409E-2</v>
      </c>
      <c r="BF81" s="83">
        <v>0.72286928617950341</v>
      </c>
      <c r="BG81" s="83">
        <v>0.27713071382049659</v>
      </c>
      <c r="BH81" s="83">
        <v>3.1471768463787742E-3</v>
      </c>
      <c r="BI81" s="83">
        <v>3.1471768463787742E-3</v>
      </c>
      <c r="BJ81" s="37">
        <v>91514.675770788483</v>
      </c>
      <c r="BK81" s="37">
        <v>91554.146413726237</v>
      </c>
      <c r="BL81" s="37">
        <v>91514.675770788468</v>
      </c>
      <c r="BM81" s="37">
        <v>0</v>
      </c>
    </row>
    <row r="82" spans="34:65" x14ac:dyDescent="0.2">
      <c r="AH82" s="37">
        <v>78</v>
      </c>
      <c r="AI82" s="38">
        <v>52494</v>
      </c>
      <c r="AJ82" s="39">
        <v>52404</v>
      </c>
      <c r="AK82" s="39">
        <v>52495</v>
      </c>
      <c r="AL82" s="40">
        <v>0.25277777777777777</v>
      </c>
      <c r="AM82" s="39">
        <v>52495</v>
      </c>
      <c r="AN82" s="41">
        <v>19.487671232876714</v>
      </c>
      <c r="AO82" s="41">
        <v>0.24931506849315355</v>
      </c>
      <c r="AP82" s="53">
        <v>0.48048156324530383</v>
      </c>
      <c r="AR82" s="37">
        <v>252777.77777777778</v>
      </c>
      <c r="AT82" s="101">
        <v>1.6862511650716842E-2</v>
      </c>
      <c r="AU82" s="83">
        <v>0.99580474651878892</v>
      </c>
      <c r="AV82" s="96">
        <v>0.71985519727126601</v>
      </c>
      <c r="AW82" s="83">
        <v>0.28014480272873399</v>
      </c>
      <c r="AX82" s="83">
        <v>3.0326979589900827E-3</v>
      </c>
      <c r="AY82" s="83">
        <v>3.0326979589900827E-3</v>
      </c>
      <c r="AZ82" s="37">
        <v>87430.057486275153</v>
      </c>
      <c r="BA82" s="37">
        <v>87429.327371183841</v>
      </c>
      <c r="BB82" s="42">
        <v>87430.057486275153</v>
      </c>
      <c r="BC82" s="37">
        <v>0</v>
      </c>
      <c r="BE82" s="83">
        <v>1.6868742010052409E-2</v>
      </c>
      <c r="BF82" s="83">
        <v>0.71983554815260209</v>
      </c>
      <c r="BG82" s="83">
        <v>0.28016445184739791</v>
      </c>
      <c r="BH82" s="83">
        <v>3.0337380269013225E-3</v>
      </c>
      <c r="BI82" s="83">
        <v>3.0337380269013225E-3</v>
      </c>
      <c r="BJ82" s="37">
        <v>87427.671001353112</v>
      </c>
      <c r="BK82" s="37">
        <v>87459.311378536251</v>
      </c>
      <c r="BL82" s="37">
        <v>87427.671001353112</v>
      </c>
      <c r="BM82" s="37">
        <v>0</v>
      </c>
    </row>
    <row r="83" spans="34:65" x14ac:dyDescent="0.2">
      <c r="AH83" s="37">
        <v>79</v>
      </c>
      <c r="AI83" s="38">
        <v>52585</v>
      </c>
      <c r="AJ83" s="39">
        <v>52495</v>
      </c>
      <c r="AK83" s="39">
        <v>52586</v>
      </c>
      <c r="AL83" s="40">
        <v>0.25277777777777777</v>
      </c>
      <c r="AM83" s="39">
        <v>52586</v>
      </c>
      <c r="AN83" s="41">
        <v>19.736986301369864</v>
      </c>
      <c r="AO83" s="41">
        <v>0.24931506849314999</v>
      </c>
      <c r="AP83" s="53">
        <v>0.47615443700637411</v>
      </c>
      <c r="AR83" s="37">
        <v>252777.77777777778</v>
      </c>
      <c r="AT83" s="101">
        <v>1.6862511650716842E-2</v>
      </c>
      <c r="AU83" s="83">
        <v>0.99580474651878892</v>
      </c>
      <c r="AV83" s="96">
        <v>0.7168352222489458</v>
      </c>
      <c r="AW83" s="83">
        <v>0.2831647777510542</v>
      </c>
      <c r="AX83" s="83">
        <v>3.0199750223202093E-3</v>
      </c>
      <c r="AY83" s="83">
        <v>3.0199750223202093E-3</v>
      </c>
      <c r="AZ83" s="37">
        <v>86279.190895950029</v>
      </c>
      <c r="BA83" s="37">
        <v>86278.470391571493</v>
      </c>
      <c r="BB83" s="42">
        <v>86279.190895950029</v>
      </c>
      <c r="BC83" s="37">
        <v>0</v>
      </c>
      <c r="BE83" s="83">
        <v>1.6868742010052409E-2</v>
      </c>
      <c r="BF83" s="83">
        <v>0.71681454211831952</v>
      </c>
      <c r="BG83" s="83">
        <v>0.28318545788168048</v>
      </c>
      <c r="BH83" s="83">
        <v>3.0210060342825695E-3</v>
      </c>
      <c r="BI83" s="83">
        <v>3.0210060342825695E-3</v>
      </c>
      <c r="BJ83" s="37">
        <v>86276.701809361257</v>
      </c>
      <c r="BK83" s="37">
        <v>86307.925646800533</v>
      </c>
      <c r="BL83" s="37">
        <v>86276.701809361257</v>
      </c>
      <c r="BM83" s="37">
        <v>0</v>
      </c>
    </row>
    <row r="84" spans="34:65" x14ac:dyDescent="0.2">
      <c r="AH84" s="37">
        <v>80</v>
      </c>
      <c r="AI84" s="38">
        <v>52676</v>
      </c>
      <c r="AJ84" s="39">
        <v>52586</v>
      </c>
      <c r="AK84" s="39">
        <v>52677</v>
      </c>
      <c r="AL84" s="40">
        <v>0.25277777777777777</v>
      </c>
      <c r="AM84" s="39">
        <v>52677</v>
      </c>
      <c r="AN84" s="41">
        <v>19.986301369863014</v>
      </c>
      <c r="AO84" s="41">
        <v>0.24931506849314999</v>
      </c>
      <c r="AP84" s="53">
        <v>0.471866280049348</v>
      </c>
      <c r="AR84" s="37">
        <v>252777.77777777778</v>
      </c>
      <c r="AT84" s="101">
        <v>1.6862511650716842E-2</v>
      </c>
      <c r="AU84" s="83">
        <v>0.99580474651878892</v>
      </c>
      <c r="AV84" s="96">
        <v>0.71382791678735114</v>
      </c>
      <c r="AW84" s="83">
        <v>0.28617208321264886</v>
      </c>
      <c r="AX84" s="83">
        <v>3.0073054615946671E-3</v>
      </c>
      <c r="AY84" s="83">
        <v>3.0073054615946671E-3</v>
      </c>
      <c r="AZ84" s="37">
        <v>85143.473488260788</v>
      </c>
      <c r="BA84" s="37">
        <v>85142.76246808577</v>
      </c>
      <c r="BB84" s="42">
        <v>85143.473488260788</v>
      </c>
      <c r="BC84" s="37">
        <v>0</v>
      </c>
      <c r="BE84" s="83">
        <v>1.6868742010052409E-2</v>
      </c>
      <c r="BF84" s="83">
        <v>0.71380621464302541</v>
      </c>
      <c r="BG84" s="83">
        <v>0.28619378535697459</v>
      </c>
      <c r="BH84" s="83">
        <v>3.0083274752941147E-3</v>
      </c>
      <c r="BI84" s="83">
        <v>3.0083274752941147E-3</v>
      </c>
      <c r="BJ84" s="37">
        <v>85140.884914871349</v>
      </c>
      <c r="BK84" s="37">
        <v>85171.697696236835</v>
      </c>
      <c r="BL84" s="37">
        <v>85140.884914871349</v>
      </c>
      <c r="BM84" s="37">
        <v>0</v>
      </c>
    </row>
    <row r="85" spans="34:65" x14ac:dyDescent="0.2">
      <c r="AH85" s="37">
        <v>81</v>
      </c>
      <c r="AI85" s="38">
        <v>52768</v>
      </c>
      <c r="AJ85" s="39">
        <v>52677</v>
      </c>
      <c r="AK85" s="39">
        <v>52769</v>
      </c>
      <c r="AL85" s="40">
        <v>0.25555555555555554</v>
      </c>
      <c r="AM85" s="39">
        <v>52769</v>
      </c>
      <c r="AN85" s="41">
        <v>20.238356164383561</v>
      </c>
      <c r="AO85" s="41">
        <v>0.25205479452054647</v>
      </c>
      <c r="AP85" s="53">
        <v>0.46806119805618907</v>
      </c>
      <c r="AR85" s="37">
        <v>255555.55555555553</v>
      </c>
      <c r="AT85" s="101">
        <v>1.6862511650716842E-2</v>
      </c>
      <c r="AU85" s="83">
        <v>0.99575874273449483</v>
      </c>
      <c r="AV85" s="96">
        <v>0.71080038894895636</v>
      </c>
      <c r="AW85" s="83">
        <v>0.28919961105104364</v>
      </c>
      <c r="AX85" s="83">
        <v>3.0275278383947724E-3</v>
      </c>
      <c r="AY85" s="83">
        <v>3.0275278383947724E-3</v>
      </c>
      <c r="AZ85" s="37">
        <v>85022.843083287051</v>
      </c>
      <c r="BA85" s="37">
        <v>85024.098431251288</v>
      </c>
      <c r="BB85" s="42">
        <v>85022.843083287051</v>
      </c>
      <c r="BC85" s="37">
        <v>0</v>
      </c>
      <c r="BE85" s="83">
        <v>1.6868742010052409E-2</v>
      </c>
      <c r="BF85" s="83">
        <v>0.71077766264861741</v>
      </c>
      <c r="BG85" s="83">
        <v>0.28922233735138259</v>
      </c>
      <c r="BH85" s="83">
        <v>3.0285519944079908E-3</v>
      </c>
      <c r="BI85" s="83">
        <v>3.0285519944079908E-3</v>
      </c>
      <c r="BJ85" s="37">
        <v>85020.124662338465</v>
      </c>
      <c r="BK85" s="37">
        <v>85052.860492683903</v>
      </c>
      <c r="BL85" s="37">
        <v>85020.12466233845</v>
      </c>
      <c r="BM85" s="37">
        <v>0</v>
      </c>
    </row>
    <row r="86" spans="34:65" x14ac:dyDescent="0.2">
      <c r="AH86" s="37">
        <v>82</v>
      </c>
      <c r="AI86" s="38">
        <v>52860</v>
      </c>
      <c r="AJ86" s="39">
        <v>52769</v>
      </c>
      <c r="AK86" s="39">
        <v>52860</v>
      </c>
      <c r="AL86" s="40">
        <v>0.25277777777777777</v>
      </c>
      <c r="AM86" s="39">
        <v>52860</v>
      </c>
      <c r="AN86" s="41">
        <v>20.487671232876714</v>
      </c>
      <c r="AO86" s="41">
        <v>0.24931506849315355</v>
      </c>
      <c r="AP86" s="53">
        <v>0.46441417998888079</v>
      </c>
      <c r="AR86" s="37">
        <v>252777.77777777778</v>
      </c>
      <c r="AT86" s="101">
        <v>1.6862526125158248E-2</v>
      </c>
      <c r="AU86" s="83">
        <v>0.99580474292523191</v>
      </c>
      <c r="AV86" s="96">
        <v>0.7078183985884704</v>
      </c>
      <c r="AW86" s="83">
        <v>0.2921816014115296</v>
      </c>
      <c r="AX86" s="83">
        <v>2.9819903604859643E-3</v>
      </c>
      <c r="AY86" s="83">
        <v>2.9819903604859643E-3</v>
      </c>
      <c r="AZ86" s="37">
        <v>83093.338904714343</v>
      </c>
      <c r="BA86" s="37">
        <v>83092.716479990166</v>
      </c>
      <c r="BB86" s="42">
        <v>83093.338904714343</v>
      </c>
      <c r="BC86" s="37">
        <v>0</v>
      </c>
      <c r="BE86" s="83">
        <v>1.6868742010052409E-2</v>
      </c>
      <c r="BF86" s="83">
        <v>0.70779467075080749</v>
      </c>
      <c r="BG86" s="83">
        <v>0.29220532924919251</v>
      </c>
      <c r="BH86" s="83">
        <v>2.9829918978099279E-3</v>
      </c>
      <c r="BI86" s="83">
        <v>2.9829918978099279E-3</v>
      </c>
      <c r="BJ86" s="37">
        <v>83090.553408801352</v>
      </c>
      <c r="BK86" s="37">
        <v>83120.62416809237</v>
      </c>
      <c r="BL86" s="37">
        <v>83090.553408801352</v>
      </c>
      <c r="BM86" s="37">
        <v>0</v>
      </c>
    </row>
    <row r="87" spans="34:65" x14ac:dyDescent="0.2">
      <c r="AH87" s="37">
        <v>83</v>
      </c>
      <c r="AI87" s="38">
        <v>52951</v>
      </c>
      <c r="AJ87" s="39">
        <v>52860</v>
      </c>
      <c r="AK87" s="39">
        <v>52951</v>
      </c>
      <c r="AL87" s="40">
        <v>0.25277777777777777</v>
      </c>
      <c r="AM87" s="39">
        <v>52951</v>
      </c>
      <c r="AN87" s="41">
        <v>20.736986301369864</v>
      </c>
      <c r="AO87" s="41">
        <v>0.24931506849314999</v>
      </c>
      <c r="AP87" s="53">
        <v>0.46079557859195347</v>
      </c>
      <c r="AR87" s="37">
        <v>252777.77777777778</v>
      </c>
      <c r="AT87" s="101">
        <v>1.6862526125158248E-2</v>
      </c>
      <c r="AU87" s="83">
        <v>0.99580474292523202</v>
      </c>
      <c r="AV87" s="96">
        <v>0.7048489184441411</v>
      </c>
      <c r="AW87" s="83">
        <v>0.2951510815558589</v>
      </c>
      <c r="AX87" s="83">
        <v>2.9694801443292951E-3</v>
      </c>
      <c r="AY87" s="83">
        <v>2.9694801443292951E-3</v>
      </c>
      <c r="AZ87" s="37">
        <v>82100.014257468443</v>
      </c>
      <c r="BA87" s="37">
        <v>82099.399273412113</v>
      </c>
      <c r="BB87" s="42">
        <v>82100.014257468443</v>
      </c>
      <c r="BC87" s="37">
        <v>0</v>
      </c>
      <c r="BE87" s="83">
        <v>1.6868742010052409E-2</v>
      </c>
      <c r="BF87" s="83">
        <v>0.7048241978742471</v>
      </c>
      <c r="BG87" s="83">
        <v>0.2951758021257529</v>
      </c>
      <c r="BH87" s="83">
        <v>2.9704728765603816E-3</v>
      </c>
      <c r="BI87" s="83">
        <v>2.9704728765603816E-3</v>
      </c>
      <c r="BJ87" s="37">
        <v>82097.134833115721</v>
      </c>
      <c r="BK87" s="37">
        <v>82126.846070780724</v>
      </c>
      <c r="BL87" s="37">
        <v>82097.134833115721</v>
      </c>
      <c r="BM87" s="37">
        <v>0</v>
      </c>
    </row>
    <row r="88" spans="34:65" x14ac:dyDescent="0.2">
      <c r="AH88" s="37">
        <v>84</v>
      </c>
      <c r="AI88" s="38">
        <v>53041</v>
      </c>
      <c r="AJ88" s="39">
        <v>52951</v>
      </c>
      <c r="AK88" s="39">
        <v>53041</v>
      </c>
      <c r="AL88" s="40">
        <v>0.25</v>
      </c>
      <c r="AM88" s="39">
        <v>53041</v>
      </c>
      <c r="AN88" s="41">
        <v>20.983561643835618</v>
      </c>
      <c r="AO88" s="41">
        <v>0.24657534246575352</v>
      </c>
      <c r="AP88" s="53">
        <v>0.45724447503873222</v>
      </c>
      <c r="AR88" s="37">
        <v>250000</v>
      </c>
      <c r="AT88" s="101">
        <v>1.6862526125158248E-2</v>
      </c>
      <c r="AU88" s="83">
        <v>0.99585074887421388</v>
      </c>
      <c r="AV88" s="96">
        <v>0.7019243232757777</v>
      </c>
      <c r="AW88" s="83">
        <v>0.2980756767242223</v>
      </c>
      <c r="AX88" s="83">
        <v>2.9245951683634086E-3</v>
      </c>
      <c r="AY88" s="83">
        <v>2.9245951683634086E-3</v>
      </c>
      <c r="AZ88" s="37">
        <v>80237.754678287587</v>
      </c>
      <c r="BA88" s="37">
        <v>80235.298947548377</v>
      </c>
      <c r="BB88" s="42">
        <v>80237.754678287587</v>
      </c>
      <c r="BC88" s="37">
        <v>0</v>
      </c>
      <c r="BE88" s="83">
        <v>1.6868742010052409E-2</v>
      </c>
      <c r="BF88" s="83">
        <v>0.70189862948815029</v>
      </c>
      <c r="BG88" s="83">
        <v>0.29810137051184971</v>
      </c>
      <c r="BH88" s="83">
        <v>2.9255683860968107E-3</v>
      </c>
      <c r="BI88" s="83">
        <v>2.9255683860968107E-3</v>
      </c>
      <c r="BJ88" s="37">
        <v>80234.817592678723</v>
      </c>
      <c r="BK88" s="37">
        <v>80261.99885344482</v>
      </c>
      <c r="BL88" s="37">
        <v>80234.817592678737</v>
      </c>
      <c r="BM88" s="37">
        <v>0</v>
      </c>
    </row>
    <row r="89" spans="34:65" x14ac:dyDescent="0.2">
      <c r="AH89" s="37">
        <v>85</v>
      </c>
      <c r="AI89" s="38">
        <v>53133</v>
      </c>
      <c r="AJ89" s="39">
        <v>53041</v>
      </c>
      <c r="AK89" s="39">
        <v>53133</v>
      </c>
      <c r="AL89" s="40">
        <v>0.25555555555555554</v>
      </c>
      <c r="AM89" s="39">
        <v>53133</v>
      </c>
      <c r="AN89" s="41">
        <v>21.235616438356164</v>
      </c>
      <c r="AO89" s="41">
        <v>0.25205479452054647</v>
      </c>
      <c r="AP89" s="53">
        <v>0.45364274187155196</v>
      </c>
      <c r="AR89" s="37">
        <v>255555.55555555553</v>
      </c>
      <c r="AT89" s="101">
        <v>1.6862526125158248E-2</v>
      </c>
      <c r="AU89" s="83">
        <v>0.99575873910161605</v>
      </c>
      <c r="AV89" s="96">
        <v>0.69894727908984355</v>
      </c>
      <c r="AW89" s="83">
        <v>0.30105272091015645</v>
      </c>
      <c r="AX89" s="83">
        <v>2.9770441859341412E-3</v>
      </c>
      <c r="AY89" s="83">
        <v>2.9770441859341412E-3</v>
      </c>
      <c r="AZ89" s="37">
        <v>81029.603139216459</v>
      </c>
      <c r="BA89" s="37">
        <v>81030.869230795564</v>
      </c>
      <c r="BB89" s="42">
        <v>81029.603139216459</v>
      </c>
      <c r="BC89" s="37">
        <v>0</v>
      </c>
      <c r="BE89" s="83">
        <v>1.6868742010052409E-2</v>
      </c>
      <c r="BF89" s="83">
        <v>0.69892059924604644</v>
      </c>
      <c r="BG89" s="83">
        <v>0.30107940075395356</v>
      </c>
      <c r="BH89" s="83">
        <v>2.9780302421038574E-3</v>
      </c>
      <c r="BI89" s="83">
        <v>2.9780302421038574E-3</v>
      </c>
      <c r="BJ89" s="37">
        <v>81026.510120301624</v>
      </c>
      <c r="BK89" s="37">
        <v>81057.708264263725</v>
      </c>
      <c r="BL89" s="37">
        <v>81026.510120301624</v>
      </c>
      <c r="BM89" s="37">
        <v>0</v>
      </c>
    </row>
    <row r="90" spans="34:65" x14ac:dyDescent="0.2">
      <c r="AH90" s="37">
        <v>86</v>
      </c>
      <c r="AI90" s="38">
        <v>53225</v>
      </c>
      <c r="AJ90" s="39">
        <v>53133</v>
      </c>
      <c r="AK90" s="39">
        <v>53225</v>
      </c>
      <c r="AL90" s="40">
        <v>0.25555555555555554</v>
      </c>
      <c r="AM90" s="39">
        <v>53225</v>
      </c>
      <c r="AN90" s="41">
        <v>21.487671232876714</v>
      </c>
      <c r="AO90" s="41">
        <v>0.25205479452055002</v>
      </c>
      <c r="AP90" s="53">
        <v>0.45006937970176092</v>
      </c>
      <c r="AR90" s="37">
        <v>255555.55555555553</v>
      </c>
      <c r="AT90" s="101">
        <v>1.6862526125158248E-2</v>
      </c>
      <c r="AU90" s="83">
        <v>0.99575873910161605</v>
      </c>
      <c r="AV90" s="96">
        <v>0.69598286132500786</v>
      </c>
      <c r="AW90" s="83">
        <v>0.30401713867499214</v>
      </c>
      <c r="AX90" s="83">
        <v>2.9644177648356917E-3</v>
      </c>
      <c r="AY90" s="83">
        <v>2.9644177648356917E-3</v>
      </c>
      <c r="AZ90" s="37">
        <v>80050.369084787424</v>
      </c>
      <c r="BA90" s="37">
        <v>80051.61987578882</v>
      </c>
      <c r="BB90" s="42">
        <v>80050.369084787424</v>
      </c>
      <c r="BC90" s="37">
        <v>0</v>
      </c>
      <c r="BE90" s="83">
        <v>1.6868742010052409E-2</v>
      </c>
      <c r="BF90" s="83">
        <v>0.69595520425317992</v>
      </c>
      <c r="BG90" s="83">
        <v>0.30404479574682008</v>
      </c>
      <c r="BH90" s="83">
        <v>2.9653949928665213E-3</v>
      </c>
      <c r="BI90" s="83">
        <v>2.9653949928665213E-3</v>
      </c>
      <c r="BJ90" s="37">
        <v>80047.188031157144</v>
      </c>
      <c r="BK90" s="37">
        <v>80078.009100608571</v>
      </c>
      <c r="BL90" s="37">
        <v>80047.188031157129</v>
      </c>
      <c r="BM90" s="37">
        <v>0</v>
      </c>
    </row>
    <row r="91" spans="34:65" x14ac:dyDescent="0.2">
      <c r="AH91" s="37">
        <v>87</v>
      </c>
      <c r="AI91" s="38">
        <v>53316</v>
      </c>
      <c r="AJ91" s="39">
        <v>53225</v>
      </c>
      <c r="AK91" s="39">
        <v>53316</v>
      </c>
      <c r="AL91" s="40">
        <v>0.25277777777777777</v>
      </c>
      <c r="AM91" s="39">
        <v>53316</v>
      </c>
      <c r="AN91" s="41">
        <v>21.736986301369864</v>
      </c>
      <c r="AO91" s="41">
        <v>0.24931506849314999</v>
      </c>
      <c r="AP91" s="53">
        <v>0.44656254947073304</v>
      </c>
      <c r="AR91" s="37">
        <v>252777.77777777778</v>
      </c>
      <c r="AT91" s="101">
        <v>1.6862526125158248E-2</v>
      </c>
      <c r="AU91" s="83">
        <v>0.99580474292523202</v>
      </c>
      <c r="AV91" s="96">
        <v>0.69306303430211691</v>
      </c>
      <c r="AW91" s="83">
        <v>0.30693696569788309</v>
      </c>
      <c r="AX91" s="83">
        <v>2.9198270228909529E-3</v>
      </c>
      <c r="AY91" s="83">
        <v>2.9198270228909529E-3</v>
      </c>
      <c r="AZ91" s="37">
        <v>78233.709984196292</v>
      </c>
      <c r="BA91" s="37">
        <v>78233.123961343445</v>
      </c>
      <c r="BB91" s="42">
        <v>78233.709984196292</v>
      </c>
      <c r="BC91" s="37">
        <v>0</v>
      </c>
      <c r="BE91" s="83">
        <v>1.6868742010052409E-2</v>
      </c>
      <c r="BF91" s="83">
        <v>0.69303441925300169</v>
      </c>
      <c r="BG91" s="83">
        <v>0.30696558074699831</v>
      </c>
      <c r="BH91" s="83">
        <v>2.9207850001782276E-3</v>
      </c>
      <c r="BI91" s="83">
        <v>2.9207850001782276E-3</v>
      </c>
      <c r="BJ91" s="37">
        <v>78230.479886293411</v>
      </c>
      <c r="BK91" s="37">
        <v>78258.791768127892</v>
      </c>
      <c r="BL91" s="37">
        <v>78230.479886293411</v>
      </c>
      <c r="BM91" s="37">
        <v>0</v>
      </c>
    </row>
    <row r="92" spans="34:65" x14ac:dyDescent="0.2">
      <c r="AH92" s="37">
        <v>88</v>
      </c>
      <c r="AI92" s="38">
        <v>53406</v>
      </c>
      <c r="AJ92" s="39">
        <v>53316</v>
      </c>
      <c r="AK92" s="39">
        <v>53406</v>
      </c>
      <c r="AL92" s="40">
        <v>0.25</v>
      </c>
      <c r="AM92" s="39">
        <v>53406</v>
      </c>
      <c r="AN92" s="41">
        <v>21.983561643835618</v>
      </c>
      <c r="AO92" s="41">
        <v>0.24657534246575352</v>
      </c>
      <c r="AP92" s="53">
        <v>0.44312113221363453</v>
      </c>
      <c r="AR92" s="37">
        <v>250000</v>
      </c>
      <c r="AT92" s="101">
        <v>1.6862526125158248E-2</v>
      </c>
      <c r="AU92" s="83">
        <v>0.99585074887421388</v>
      </c>
      <c r="AV92" s="96">
        <v>0.69018734172679808</v>
      </c>
      <c r="AW92" s="83">
        <v>0.30981265827320192</v>
      </c>
      <c r="AX92" s="83">
        <v>2.8756925753188334E-3</v>
      </c>
      <c r="AY92" s="83">
        <v>2.8756925753188334E-3</v>
      </c>
      <c r="AZ92" s="37">
        <v>76459.149076374364</v>
      </c>
      <c r="BA92" s="37">
        <v>76456.808992417427</v>
      </c>
      <c r="BB92" s="42">
        <v>76459.149076374364</v>
      </c>
      <c r="BC92" s="37">
        <v>0</v>
      </c>
      <c r="BE92" s="83">
        <v>1.6868742010052409E-2</v>
      </c>
      <c r="BF92" s="83">
        <v>0.69015778761413538</v>
      </c>
      <c r="BG92" s="83">
        <v>0.30984221238586462</v>
      </c>
      <c r="BH92" s="83">
        <v>2.8766316388663116E-3</v>
      </c>
      <c r="BI92" s="83">
        <v>2.8766316388663116E-3</v>
      </c>
      <c r="BJ92" s="37">
        <v>76455.875063408195</v>
      </c>
      <c r="BK92" s="37">
        <v>76481.776126560173</v>
      </c>
      <c r="BL92" s="37">
        <v>76455.875063408195</v>
      </c>
      <c r="BM92" s="37">
        <v>0</v>
      </c>
    </row>
    <row r="93" spans="34:65" x14ac:dyDescent="0.2">
      <c r="AH93" s="37">
        <v>89</v>
      </c>
      <c r="AI93" s="38">
        <v>53498</v>
      </c>
      <c r="AJ93" s="39">
        <v>53406</v>
      </c>
      <c r="AK93" s="39">
        <v>53498</v>
      </c>
      <c r="AL93" s="40">
        <v>0.25555555555555554</v>
      </c>
      <c r="AM93" s="39">
        <v>53498</v>
      </c>
      <c r="AN93" s="41">
        <v>22.235616438356164</v>
      </c>
      <c r="AO93" s="41">
        <v>0.25205479452054647</v>
      </c>
      <c r="AP93" s="53">
        <v>0.43963064918737788</v>
      </c>
      <c r="AR93" s="37">
        <v>255555.55555555553</v>
      </c>
      <c r="AT93" s="101">
        <v>1.6862526125158248E-2</v>
      </c>
      <c r="AU93" s="83">
        <v>0.99575873910161605</v>
      </c>
      <c r="AV93" s="96">
        <v>0.68726007714177262</v>
      </c>
      <c r="AW93" s="83">
        <v>0.31273992285822738</v>
      </c>
      <c r="AX93" s="83">
        <v>2.9272645850254575E-3</v>
      </c>
      <c r="AY93" s="83">
        <v>2.9272645850254575E-3</v>
      </c>
      <c r="AZ93" s="37">
        <v>77213.707323459021</v>
      </c>
      <c r="BA93" s="37">
        <v>77214.913791477738</v>
      </c>
      <c r="BB93" s="42">
        <v>77213.707323459021</v>
      </c>
      <c r="BC93" s="37">
        <v>0</v>
      </c>
      <c r="BE93" s="83">
        <v>1.6868742010052409E-2</v>
      </c>
      <c r="BF93" s="83">
        <v>0.68722957166244281</v>
      </c>
      <c r="BG93" s="83">
        <v>0.31277042833755719</v>
      </c>
      <c r="BH93" s="83">
        <v>2.9282159516925699E-3</v>
      </c>
      <c r="BI93" s="83">
        <v>2.9282159516925699E-3</v>
      </c>
      <c r="BJ93" s="37">
        <v>77210.280031184855</v>
      </c>
      <c r="BK93" s="37">
        <v>77240.008788206396</v>
      </c>
      <c r="BL93" s="37">
        <v>77210.280031184855</v>
      </c>
      <c r="BM93" s="37">
        <v>0</v>
      </c>
    </row>
    <row r="94" spans="34:65" x14ac:dyDescent="0.2">
      <c r="AH94" s="37">
        <v>90</v>
      </c>
      <c r="AI94" s="38">
        <v>53590</v>
      </c>
      <c r="AJ94" s="39">
        <v>53498</v>
      </c>
      <c r="AK94" s="39">
        <v>53590</v>
      </c>
      <c r="AL94" s="40">
        <v>0.25555555555555554</v>
      </c>
      <c r="AM94" s="39">
        <v>53590</v>
      </c>
      <c r="AN94" s="41">
        <v>22.487671232876714</v>
      </c>
      <c r="AO94" s="41">
        <v>0.25205479452055002</v>
      </c>
      <c r="AP94" s="53">
        <v>0.43616766083666453</v>
      </c>
      <c r="AR94" s="37">
        <v>255555.55555555553</v>
      </c>
      <c r="AT94" s="101">
        <v>1.6862526125158248E-2</v>
      </c>
      <c r="AU94" s="83">
        <v>0.99575873910161605</v>
      </c>
      <c r="AV94" s="96">
        <v>0.68434522784957097</v>
      </c>
      <c r="AW94" s="83">
        <v>0.31565477215042903</v>
      </c>
      <c r="AX94" s="83">
        <v>2.9148492922016489E-3</v>
      </c>
      <c r="AY94" s="83">
        <v>2.9148492922016489E-3</v>
      </c>
      <c r="AZ94" s="37">
        <v>76280.587960280842</v>
      </c>
      <c r="BA94" s="37">
        <v>76281.779848260019</v>
      </c>
      <c r="BB94" s="42">
        <v>76280.587960280842</v>
      </c>
      <c r="BC94" s="37">
        <v>0</v>
      </c>
      <c r="BE94" s="83">
        <v>1.6868742010052409E-2</v>
      </c>
      <c r="BF94" s="83">
        <v>0.68431377960687034</v>
      </c>
      <c r="BG94" s="83">
        <v>0.31568622039312966</v>
      </c>
      <c r="BH94" s="83">
        <v>2.9157920555724637E-3</v>
      </c>
      <c r="BI94" s="83">
        <v>2.9157920555724637E-3</v>
      </c>
      <c r="BJ94" s="37">
        <v>76277.08257974204</v>
      </c>
      <c r="BK94" s="37">
        <v>76306.452021910271</v>
      </c>
      <c r="BL94" s="37">
        <v>76277.08257974204</v>
      </c>
      <c r="BM94" s="37">
        <v>0</v>
      </c>
    </row>
    <row r="95" spans="34:65" x14ac:dyDescent="0.2">
      <c r="AH95" s="37">
        <v>91</v>
      </c>
      <c r="AI95" s="38">
        <v>53681</v>
      </c>
      <c r="AJ95" s="39">
        <v>53590</v>
      </c>
      <c r="AK95" s="39">
        <v>53681</v>
      </c>
      <c r="AL95" s="40">
        <v>0.25277777777777777</v>
      </c>
      <c r="AM95" s="39">
        <v>53681</v>
      </c>
      <c r="AN95" s="41">
        <v>22.736986301369864</v>
      </c>
      <c r="AO95" s="41">
        <v>0.24931506849314999</v>
      </c>
      <c r="AP95" s="53">
        <v>0.43276914938975763</v>
      </c>
      <c r="AR95" s="37">
        <v>252777.77777777778</v>
      </c>
      <c r="AT95" s="101">
        <v>1.6862526125158248E-2</v>
      </c>
      <c r="AU95" s="83">
        <v>0.99580474292523202</v>
      </c>
      <c r="AV95" s="96">
        <v>0.68147422369085131</v>
      </c>
      <c r="AW95" s="83">
        <v>0.31852577630914869</v>
      </c>
      <c r="AX95" s="83">
        <v>2.8710041587196589E-3</v>
      </c>
      <c r="AY95" s="83">
        <v>2.8710041587196589E-3</v>
      </c>
      <c r="AZ95" s="37">
        <v>74549.480085316391</v>
      </c>
      <c r="BA95" s="37">
        <v>74548.921659813801</v>
      </c>
      <c r="BB95" s="42">
        <v>74549.480085316391</v>
      </c>
      <c r="BC95" s="37">
        <v>0</v>
      </c>
      <c r="BE95" s="83">
        <v>1.6868742010052409E-2</v>
      </c>
      <c r="BF95" s="83">
        <v>0.6814418513409759</v>
      </c>
      <c r="BG95" s="83">
        <v>0.3185581486590241</v>
      </c>
      <c r="BH95" s="83">
        <v>2.8719282658944412E-3</v>
      </c>
      <c r="BI95" s="83">
        <v>2.8719282658944412E-3</v>
      </c>
      <c r="BJ95" s="37">
        <v>74545.938730752328</v>
      </c>
      <c r="BK95" s="37">
        <v>74572.917164372338</v>
      </c>
      <c r="BL95" s="37">
        <v>74545.938730752328</v>
      </c>
      <c r="BM95" s="37">
        <v>0</v>
      </c>
    </row>
    <row r="96" spans="34:65" x14ac:dyDescent="0.2">
      <c r="AH96" s="37">
        <v>92</v>
      </c>
      <c r="AI96" s="38">
        <v>53771</v>
      </c>
      <c r="AJ96" s="39">
        <v>53681</v>
      </c>
      <c r="AK96" s="39">
        <v>53771</v>
      </c>
      <c r="AL96" s="40">
        <v>0.25</v>
      </c>
      <c r="AM96" s="39">
        <v>53771</v>
      </c>
      <c r="AN96" s="41">
        <v>22.983561643835618</v>
      </c>
      <c r="AO96" s="41">
        <v>0.24657534246575352</v>
      </c>
      <c r="AP96" s="53">
        <v>0.42943403044434914</v>
      </c>
      <c r="AR96" s="37">
        <v>250000</v>
      </c>
      <c r="AT96" s="101">
        <v>1.6862526125158248E-2</v>
      </c>
      <c r="AU96" s="83">
        <v>0.99585074887421388</v>
      </c>
      <c r="AV96" s="96">
        <v>0.67864661600100784</v>
      </c>
      <c r="AW96" s="83">
        <v>0.32135338399899216</v>
      </c>
      <c r="AX96" s="83">
        <v>2.8276076898434699E-3</v>
      </c>
      <c r="AY96" s="83">
        <v>2.8276076898434699E-3</v>
      </c>
      <c r="AZ96" s="37">
        <v>72858.487889182841</v>
      </c>
      <c r="BA96" s="37">
        <v>72856.258005894982</v>
      </c>
      <c r="BB96" s="42">
        <v>72858.487889182841</v>
      </c>
      <c r="BC96" s="37">
        <v>0</v>
      </c>
      <c r="BE96" s="83">
        <v>1.6868742010052409E-2</v>
      </c>
      <c r="BF96" s="83">
        <v>0.67861333787157563</v>
      </c>
      <c r="BG96" s="83">
        <v>0.32138666212842437</v>
      </c>
      <c r="BH96" s="83">
        <v>2.8285134694002734E-3</v>
      </c>
      <c r="BI96" s="83">
        <v>2.8285134694002734E-3</v>
      </c>
      <c r="BJ96" s="37">
        <v>72854.915198870905</v>
      </c>
      <c r="BK96" s="37">
        <v>72879.596359841307</v>
      </c>
      <c r="BL96" s="37">
        <v>72854.915198870891</v>
      </c>
      <c r="BM96" s="37">
        <v>0</v>
      </c>
    </row>
    <row r="97" spans="34:65" x14ac:dyDescent="0.2">
      <c r="AH97" s="37">
        <v>93</v>
      </c>
      <c r="AI97" s="38">
        <v>53863</v>
      </c>
      <c r="AJ97" s="39">
        <v>53771</v>
      </c>
      <c r="AK97" s="39">
        <v>53863</v>
      </c>
      <c r="AL97" s="40">
        <v>0.25555555555555554</v>
      </c>
      <c r="AM97" s="39">
        <v>53863</v>
      </c>
      <c r="AN97" s="41">
        <v>23.235616438356164</v>
      </c>
      <c r="AO97" s="41">
        <v>0.25205479452054647</v>
      </c>
      <c r="AP97" s="53">
        <v>0.42605136127062909</v>
      </c>
      <c r="AR97" s="37">
        <v>255555.55555555553</v>
      </c>
      <c r="AT97" s="101">
        <v>1.6862526125158248E-2</v>
      </c>
      <c r="AU97" s="83">
        <v>0.99575873910161605</v>
      </c>
      <c r="AV97" s="96">
        <v>0.67576829864474219</v>
      </c>
      <c r="AW97" s="83">
        <v>0.32423170135525781</v>
      </c>
      <c r="AX97" s="83">
        <v>2.8783173562656472E-3</v>
      </c>
      <c r="AY97" s="83">
        <v>2.8783173562656472E-3</v>
      </c>
      <c r="AZ97" s="37">
        <v>73577.512016066408</v>
      </c>
      <c r="BA97" s="37">
        <v>73578.661668351429</v>
      </c>
      <c r="BB97" s="42">
        <v>73577.512016066408</v>
      </c>
      <c r="BC97" s="37">
        <v>0</v>
      </c>
      <c r="BE97" s="83">
        <v>1.6868742010052409E-2</v>
      </c>
      <c r="BF97" s="83">
        <v>0.67573410295363567</v>
      </c>
      <c r="BG97" s="83">
        <v>0.32426589704636433</v>
      </c>
      <c r="BH97" s="83">
        <v>2.8792349179399546E-3</v>
      </c>
      <c r="BI97" s="83">
        <v>2.8792349179399546E-3</v>
      </c>
      <c r="BJ97" s="37">
        <v>73573.788796320325</v>
      </c>
      <c r="BK97" s="37">
        <v>73602.117372374734</v>
      </c>
      <c r="BL97" s="37">
        <v>73573.78879632031</v>
      </c>
      <c r="BM97" s="37">
        <v>0</v>
      </c>
    </row>
    <row r="98" spans="34:65" x14ac:dyDescent="0.2">
      <c r="AH98" s="37">
        <v>94</v>
      </c>
      <c r="AI98" s="38">
        <v>53955</v>
      </c>
      <c r="AJ98" s="39">
        <v>53863</v>
      </c>
      <c r="AK98" s="39">
        <v>53955</v>
      </c>
      <c r="AL98" s="40">
        <v>0.25555555555555554</v>
      </c>
      <c r="AM98" s="39">
        <v>53955</v>
      </c>
      <c r="AN98" s="41">
        <v>23.487671232876714</v>
      </c>
      <c r="AO98" s="41">
        <v>0.25205479452055002</v>
      </c>
      <c r="AP98" s="53">
        <v>0.42269533751838861</v>
      </c>
      <c r="AR98" s="37">
        <v>255555.55555555553</v>
      </c>
      <c r="AT98" s="101">
        <v>1.6862526125158248E-2</v>
      </c>
      <c r="AU98" s="83">
        <v>0.99575873910161605</v>
      </c>
      <c r="AV98" s="96">
        <v>0.67290218898333276</v>
      </c>
      <c r="AW98" s="83">
        <v>0.32709781101666724</v>
      </c>
      <c r="AX98" s="83">
        <v>2.8661096614094328E-3</v>
      </c>
      <c r="AY98" s="83">
        <v>2.8661096614094328E-3</v>
      </c>
      <c r="AZ98" s="37">
        <v>72688.335682788485</v>
      </c>
      <c r="BA98" s="37">
        <v>72689.471441650487</v>
      </c>
      <c r="BB98" s="42">
        <v>72688.335682788485</v>
      </c>
      <c r="BC98" s="37">
        <v>0</v>
      </c>
      <c r="BE98" s="83">
        <v>1.6868742010052409E-2</v>
      </c>
      <c r="BF98" s="83">
        <v>0.67286708411405716</v>
      </c>
      <c r="BG98" s="83">
        <v>0.32713291588594284</v>
      </c>
      <c r="BH98" s="83">
        <v>2.8670188395785168E-3</v>
      </c>
      <c r="BI98" s="83">
        <v>2.8670188395785168E-3</v>
      </c>
      <c r="BJ98" s="37">
        <v>72684.543579621371</v>
      </c>
      <c r="BK98" s="37">
        <v>72712.529764033199</v>
      </c>
      <c r="BL98" s="37">
        <v>72684.543579621371</v>
      </c>
      <c r="BM98" s="37">
        <v>0</v>
      </c>
    </row>
    <row r="99" spans="34:65" x14ac:dyDescent="0.2">
      <c r="AH99" s="37">
        <v>95</v>
      </c>
      <c r="AI99" s="38">
        <v>54046</v>
      </c>
      <c r="AJ99" s="39">
        <v>53955</v>
      </c>
      <c r="AK99" s="39">
        <v>54046</v>
      </c>
      <c r="AL99" s="40">
        <v>0.25277777777777777</v>
      </c>
      <c r="AM99" s="39">
        <v>54046</v>
      </c>
      <c r="AN99" s="41">
        <v>23.736986301369864</v>
      </c>
      <c r="AO99" s="41">
        <v>0.24931506849314999</v>
      </c>
      <c r="AP99" s="53">
        <v>0.41940179911080738</v>
      </c>
      <c r="AR99" s="37">
        <v>252777.77777777778</v>
      </c>
      <c r="AT99" s="101">
        <v>1.6862526125158248E-2</v>
      </c>
      <c r="AU99" s="83">
        <v>0.99580474292523202</v>
      </c>
      <c r="AV99" s="96">
        <v>0.67007919131437355</v>
      </c>
      <c r="AW99" s="83">
        <v>0.32992080868562645</v>
      </c>
      <c r="AX99" s="83">
        <v>2.8229976689592151E-3</v>
      </c>
      <c r="AY99" s="83">
        <v>2.8229976689592151E-3</v>
      </c>
      <c r="AZ99" s="37">
        <v>71038.750202612908</v>
      </c>
      <c r="BA99" s="37">
        <v>71038.218074826611</v>
      </c>
      <c r="BB99" s="42">
        <v>71038.750202612908</v>
      </c>
      <c r="BC99" s="37">
        <v>0</v>
      </c>
      <c r="BE99" s="83">
        <v>1.6868742010052409E-2</v>
      </c>
      <c r="BF99" s="83">
        <v>0.67004319534307943</v>
      </c>
      <c r="BG99" s="83">
        <v>0.32995680465692057</v>
      </c>
      <c r="BH99" s="83">
        <v>2.8238887709777227E-3</v>
      </c>
      <c r="BI99" s="83">
        <v>2.8238887709777227E-3</v>
      </c>
      <c r="BJ99" s="37">
        <v>71034.934073346085</v>
      </c>
      <c r="BK99" s="37">
        <v>71060.641862211807</v>
      </c>
      <c r="BL99" s="37">
        <v>71034.934073346085</v>
      </c>
      <c r="BM99" s="37">
        <v>0</v>
      </c>
    </row>
    <row r="100" spans="34:65" x14ac:dyDescent="0.2">
      <c r="AH100" s="37">
        <v>96</v>
      </c>
      <c r="AI100" s="38">
        <v>54137</v>
      </c>
      <c r="AJ100" s="39">
        <v>54046</v>
      </c>
      <c r="AK100" s="39">
        <v>54137</v>
      </c>
      <c r="AL100" s="40">
        <v>0.25277777777777777</v>
      </c>
      <c r="AM100" s="39">
        <v>54137</v>
      </c>
      <c r="AN100" s="41">
        <v>23.986301369863014</v>
      </c>
      <c r="AO100" s="41">
        <v>0.24931506849314999</v>
      </c>
      <c r="AP100" s="53">
        <v>0.41613392314678632</v>
      </c>
      <c r="AR100" s="37">
        <v>252777.77777777778</v>
      </c>
      <c r="AT100" s="101">
        <v>1.6862526125158248E-2</v>
      </c>
      <c r="AU100" s="83">
        <v>0.99580474292523202</v>
      </c>
      <c r="AV100" s="96">
        <v>0.66726803684635716</v>
      </c>
      <c r="AW100" s="83">
        <v>0.33273196315364284</v>
      </c>
      <c r="AX100" s="83">
        <v>2.8111544680163858E-3</v>
      </c>
      <c r="AY100" s="83">
        <v>2.8111544680163858E-3</v>
      </c>
      <c r="AZ100" s="37">
        <v>70189.530007397043</v>
      </c>
      <c r="BA100" s="37">
        <v>70189.004240836541</v>
      </c>
      <c r="BB100" s="42">
        <v>70189.530007397043</v>
      </c>
      <c r="BC100" s="37">
        <v>0</v>
      </c>
      <c r="BE100" s="83">
        <v>1.6868742010052409E-2</v>
      </c>
      <c r="BF100" s="83">
        <v>0.6672311578693032</v>
      </c>
      <c r="BG100" s="83">
        <v>0.3327688421306968</v>
      </c>
      <c r="BH100" s="83">
        <v>2.8120374737762299E-3</v>
      </c>
      <c r="BI100" s="83">
        <v>2.8120374737762299E-3</v>
      </c>
      <c r="BJ100" s="37">
        <v>70185.650729620145</v>
      </c>
      <c r="BK100" s="37">
        <v>70211.051159896844</v>
      </c>
      <c r="BL100" s="37">
        <v>70185.650729620145</v>
      </c>
      <c r="BM100" s="37">
        <v>0</v>
      </c>
    </row>
    <row r="101" spans="34:65" x14ac:dyDescent="0.2">
      <c r="AH101" s="37">
        <v>97</v>
      </c>
      <c r="AI101" s="38">
        <v>54229</v>
      </c>
      <c r="AJ101" s="39">
        <v>54137</v>
      </c>
      <c r="AK101" s="39">
        <v>54231</v>
      </c>
      <c r="AL101" s="40">
        <v>0.26111111111111113</v>
      </c>
      <c r="AM101" s="39">
        <v>54231</v>
      </c>
      <c r="AN101" s="41">
        <v>24.243835616438357</v>
      </c>
      <c r="AO101" s="41">
        <v>0.25753424657534296</v>
      </c>
      <c r="AP101" s="53">
        <v>0.41278504817337108</v>
      </c>
      <c r="AR101" s="37">
        <v>261111.11111111112</v>
      </c>
      <c r="AT101" s="101">
        <v>1.6862526125158248E-2</v>
      </c>
      <c r="AU101" s="83">
        <v>0.99566673783008952</v>
      </c>
      <c r="AV101" s="96">
        <v>0.66437658950510037</v>
      </c>
      <c r="AW101" s="83">
        <v>0.33562341049489963</v>
      </c>
      <c r="AX101" s="83">
        <v>2.891447341256792E-3</v>
      </c>
      <c r="AY101" s="83">
        <v>2.891447341256792E-3</v>
      </c>
      <c r="AZ101" s="37">
        <v>71608.344209409857</v>
      </c>
      <c r="BA101" s="37">
        <v>71612.773803087024</v>
      </c>
      <c r="BB101" s="42">
        <v>71608.344209409857</v>
      </c>
      <c r="BC101" s="37">
        <v>0</v>
      </c>
      <c r="BE101" s="83">
        <v>1.6868742010052409E-2</v>
      </c>
      <c r="BF101" s="83">
        <v>0.66433880685776159</v>
      </c>
      <c r="BG101" s="83">
        <v>0.33566119314223841</v>
      </c>
      <c r="BH101" s="83">
        <v>2.8923510115416162E-3</v>
      </c>
      <c r="BI101" s="83">
        <v>2.8923510115416162E-3</v>
      </c>
      <c r="BJ101" s="37">
        <v>71604.271891302153</v>
      </c>
      <c r="BK101" s="37">
        <v>71635.155098010277</v>
      </c>
      <c r="BL101" s="37">
        <v>71604.271891302153</v>
      </c>
      <c r="BM101" s="37">
        <v>0</v>
      </c>
    </row>
    <row r="102" spans="34:65" x14ac:dyDescent="0.2">
      <c r="AH102" s="37">
        <v>98</v>
      </c>
      <c r="AI102" s="38">
        <v>54321</v>
      </c>
      <c r="AJ102" s="39">
        <v>54231</v>
      </c>
      <c r="AK102" s="39">
        <v>54322</v>
      </c>
      <c r="AL102" s="40">
        <v>0.25277777777777777</v>
      </c>
      <c r="AM102" s="39">
        <v>54322</v>
      </c>
      <c r="AN102" s="41">
        <v>24.493150684931507</v>
      </c>
      <c r="AO102" s="41">
        <v>0.24931506849314999</v>
      </c>
      <c r="AP102" s="53">
        <v>0.40956872830995383</v>
      </c>
      <c r="AR102" s="37">
        <v>252777.77777777778</v>
      </c>
      <c r="AT102" s="101">
        <v>1.6862526125158248E-2</v>
      </c>
      <c r="AU102" s="83">
        <v>0.99580474292523202</v>
      </c>
      <c r="AV102" s="96">
        <v>0.6615893589176689</v>
      </c>
      <c r="AW102" s="83">
        <v>0.3384106410823311</v>
      </c>
      <c r="AX102" s="83">
        <v>2.7872305874314662E-3</v>
      </c>
      <c r="AY102" s="83">
        <v>2.7872305874314662E-3</v>
      </c>
      <c r="AZ102" s="37">
        <v>68494.262299924885</v>
      </c>
      <c r="BA102" s="37">
        <v>68493.749232054659</v>
      </c>
      <c r="BB102" s="42">
        <v>68494.262299924885</v>
      </c>
      <c r="BC102" s="37">
        <v>0</v>
      </c>
      <c r="BE102" s="83">
        <v>1.6868742010052409E-2</v>
      </c>
      <c r="BF102" s="83">
        <v>0.66155070956321127</v>
      </c>
      <c r="BG102" s="83">
        <v>0.33844929043678873</v>
      </c>
      <c r="BH102" s="83">
        <v>2.788097294550318E-3</v>
      </c>
      <c r="BI102" s="83">
        <v>2.788097294550318E-3</v>
      </c>
      <c r="BJ102" s="37">
        <v>68490.260937166764</v>
      </c>
      <c r="BK102" s="37">
        <v>68515.047800003798</v>
      </c>
      <c r="BL102" s="37">
        <v>68490.260937166764</v>
      </c>
      <c r="BM102" s="37">
        <v>0</v>
      </c>
    </row>
    <row r="103" spans="34:65" x14ac:dyDescent="0.2">
      <c r="AH103" s="37">
        <v>99</v>
      </c>
      <c r="AI103" s="38">
        <v>54412</v>
      </c>
      <c r="AJ103" s="39">
        <v>54322</v>
      </c>
      <c r="AK103" s="39">
        <v>54413</v>
      </c>
      <c r="AL103" s="40">
        <v>0.25277777777777777</v>
      </c>
      <c r="AM103" s="39">
        <v>54413</v>
      </c>
      <c r="AN103" s="41">
        <v>24.742465753424657</v>
      </c>
      <c r="AO103" s="41">
        <v>0.24931506849314999</v>
      </c>
      <c r="AP103" s="53">
        <v>0.40637746922213774</v>
      </c>
      <c r="AR103" s="37">
        <v>252777.77777777778</v>
      </c>
      <c r="AT103" s="101">
        <v>1.6862526125158248E-2</v>
      </c>
      <c r="AU103" s="83">
        <v>0.99580474292523202</v>
      </c>
      <c r="AV103" s="96">
        <v>0.6588138214790783</v>
      </c>
      <c r="AW103" s="83">
        <v>0.3411861785209217</v>
      </c>
      <c r="AX103" s="83">
        <v>2.7755374385906029E-3</v>
      </c>
      <c r="AY103" s="83">
        <v>2.7755374385906029E-3</v>
      </c>
      <c r="AZ103" s="37">
        <v>67675.45973603391</v>
      </c>
      <c r="BA103" s="37">
        <v>67674.952801544612</v>
      </c>
      <c r="BB103" s="42">
        <v>67675.45973603391</v>
      </c>
      <c r="BC103" s="37">
        <v>0</v>
      </c>
      <c r="BE103" s="83">
        <v>1.6868742010052409E-2</v>
      </c>
      <c r="BF103" s="83">
        <v>0.65877431335618386</v>
      </c>
      <c r="BG103" s="83">
        <v>0.34122568664381614</v>
      </c>
      <c r="BH103" s="83">
        <v>2.7763962070274095E-3</v>
      </c>
      <c r="BI103" s="83">
        <v>2.7763962070274095E-3</v>
      </c>
      <c r="BJ103" s="37">
        <v>67671.401335476708</v>
      </c>
      <c r="BK103" s="37">
        <v>67695.891850184475</v>
      </c>
      <c r="BL103" s="37">
        <v>67671.401335476708</v>
      </c>
      <c r="BM103" s="37">
        <v>0</v>
      </c>
    </row>
    <row r="104" spans="34:65" x14ac:dyDescent="0.2">
      <c r="AH104" s="37">
        <v>100</v>
      </c>
      <c r="AI104" s="38">
        <v>54502</v>
      </c>
      <c r="AJ104" s="39">
        <v>54413</v>
      </c>
      <c r="AK104" s="39">
        <v>54504</v>
      </c>
      <c r="AL104" s="40">
        <v>0.25277777777777777</v>
      </c>
      <c r="AM104" s="39">
        <v>54504</v>
      </c>
      <c r="AN104" s="41">
        <v>24.991780821917807</v>
      </c>
      <c r="AO104" s="41">
        <v>0.24931506849314999</v>
      </c>
      <c r="AP104" s="53">
        <v>0.40321107564250541</v>
      </c>
      <c r="AR104" s="37">
        <v>252777.77777777778</v>
      </c>
      <c r="AT104" s="101">
        <v>1.6862526125158248E-2</v>
      </c>
      <c r="AU104" s="83">
        <v>0.99580474292523202</v>
      </c>
      <c r="AV104" s="96">
        <v>0.65604992813356333</v>
      </c>
      <c r="AW104" s="83">
        <v>0.34395007186643667</v>
      </c>
      <c r="AX104" s="83">
        <v>2.7638933455149672E-3</v>
      </c>
      <c r="AY104" s="83">
        <v>2.7638933455149672E-3</v>
      </c>
      <c r="AZ104" s="37">
        <v>66866.445402808182</v>
      </c>
      <c r="BA104" s="37">
        <v>66865.94452837517</v>
      </c>
      <c r="BB104" s="42">
        <v>66866.445402808182</v>
      </c>
      <c r="BC104" s="37">
        <v>0</v>
      </c>
      <c r="BE104" s="83">
        <v>1.6868742010052409E-2</v>
      </c>
      <c r="BF104" s="83">
        <v>0.65600956912955188</v>
      </c>
      <c r="BG104" s="83">
        <v>0.34399043087044812</v>
      </c>
      <c r="BH104" s="83">
        <v>2.7647442266319766E-3</v>
      </c>
      <c r="BI104" s="83">
        <v>2.7647442266319766E-3</v>
      </c>
      <c r="BJ104" s="37">
        <v>66862.331900127188</v>
      </c>
      <c r="BK104" s="37">
        <v>66886.52960980116</v>
      </c>
      <c r="BL104" s="37">
        <v>66862.331900127188</v>
      </c>
      <c r="BM104" s="37">
        <v>0</v>
      </c>
    </row>
    <row r="105" spans="34:65" x14ac:dyDescent="0.2">
      <c r="AH105" s="37">
        <v>101</v>
      </c>
      <c r="AI105" s="38">
        <v>54594</v>
      </c>
      <c r="AJ105" s="39">
        <v>54504</v>
      </c>
      <c r="AK105" s="39">
        <v>54595</v>
      </c>
      <c r="AL105" s="40">
        <v>0.25277777777777777</v>
      </c>
      <c r="AM105" s="39">
        <v>54595</v>
      </c>
      <c r="AN105" s="41">
        <v>25.241095890410961</v>
      </c>
      <c r="AO105" s="41">
        <v>0.24931506849315355</v>
      </c>
      <c r="AP105" s="53">
        <v>0.40036907871512406</v>
      </c>
      <c r="AR105" s="37">
        <v>252777.77777777778</v>
      </c>
      <c r="AT105" s="101">
        <v>1.6862526125158248E-2</v>
      </c>
      <c r="AU105" s="83">
        <v>0.99580474292523191</v>
      </c>
      <c r="AV105" s="96">
        <v>0.65329763003115982</v>
      </c>
      <c r="AW105" s="83">
        <v>0.34670236996884018</v>
      </c>
      <c r="AX105" s="83">
        <v>2.7522981024035165E-3</v>
      </c>
      <c r="AY105" s="83">
        <v>2.7522981024035165E-3</v>
      </c>
      <c r="AZ105" s="37">
        <v>66116.598594093884</v>
      </c>
      <c r="BA105" s="37">
        <v>66116.103336520799</v>
      </c>
      <c r="BB105" s="42">
        <v>66116.598594093884</v>
      </c>
      <c r="BC105" s="37">
        <v>0</v>
      </c>
      <c r="BE105" s="83">
        <v>1.6868742010052409E-2</v>
      </c>
      <c r="BF105" s="83">
        <v>0.65325642798228056</v>
      </c>
      <c r="BG105" s="83">
        <v>0.34674357201771944</v>
      </c>
      <c r="BH105" s="83">
        <v>2.7531411472713208E-3</v>
      </c>
      <c r="BI105" s="83">
        <v>2.7531411472713208E-3</v>
      </c>
      <c r="BJ105" s="37">
        <v>66112.428765210716</v>
      </c>
      <c r="BK105" s="37">
        <v>66136.3550823431</v>
      </c>
      <c r="BL105" s="37">
        <v>66112.428765210716</v>
      </c>
      <c r="BM105" s="37">
        <v>0</v>
      </c>
    </row>
    <row r="106" spans="34:65" x14ac:dyDescent="0.2">
      <c r="AH106" s="37">
        <v>102</v>
      </c>
      <c r="AI106" s="38">
        <v>54686</v>
      </c>
      <c r="AJ106" s="39">
        <v>54595</v>
      </c>
      <c r="AK106" s="39">
        <v>54686</v>
      </c>
      <c r="AL106" s="40">
        <v>0.25277777777777777</v>
      </c>
      <c r="AM106" s="39">
        <v>54686</v>
      </c>
      <c r="AN106" s="41">
        <v>25.490410958904111</v>
      </c>
      <c r="AO106" s="41">
        <v>0.24931506849314999</v>
      </c>
      <c r="AP106" s="53">
        <v>0.39758805247191897</v>
      </c>
      <c r="AR106" s="37">
        <v>252777.77777777778</v>
      </c>
      <c r="AT106" s="101">
        <v>1.6862526125158248E-2</v>
      </c>
      <c r="AU106" s="83">
        <v>0.99580474292523202</v>
      </c>
      <c r="AV106" s="96">
        <v>0.65055687852684252</v>
      </c>
      <c r="AW106" s="83">
        <v>0.34944312147315748</v>
      </c>
      <c r="AX106" s="83">
        <v>2.7407515043172959E-3</v>
      </c>
      <c r="AY106" s="83">
        <v>2.7407515043172959E-3</v>
      </c>
      <c r="AZ106" s="37">
        <v>65381.892928801462</v>
      </c>
      <c r="BA106" s="37">
        <v>65381.403174659739</v>
      </c>
      <c r="BB106" s="42">
        <v>65381.892928801462</v>
      </c>
      <c r="BC106" s="37">
        <v>0</v>
      </c>
      <c r="BE106" s="83">
        <v>1.6868742010052409E-2</v>
      </c>
      <c r="BF106" s="83">
        <v>0.65051484121856329</v>
      </c>
      <c r="BG106" s="83">
        <v>0.34948515878143671</v>
      </c>
      <c r="BH106" s="83">
        <v>2.7415867637172742E-3</v>
      </c>
      <c r="BI106" s="83">
        <v>2.7415867637172742E-3</v>
      </c>
      <c r="BJ106" s="37">
        <v>65377.668119442518</v>
      </c>
      <c r="BK106" s="37">
        <v>65401.328524148528</v>
      </c>
      <c r="BL106" s="37">
        <v>65377.668119442504</v>
      </c>
      <c r="BM106" s="37">
        <v>0</v>
      </c>
    </row>
    <row r="107" spans="34:65" x14ac:dyDescent="0.2">
      <c r="AH107" s="37">
        <v>103</v>
      </c>
      <c r="AI107" s="38">
        <v>54777</v>
      </c>
      <c r="AJ107" s="39">
        <v>54686</v>
      </c>
      <c r="AK107" s="39">
        <v>54777</v>
      </c>
      <c r="AL107" s="40">
        <v>0.25277777777777777</v>
      </c>
      <c r="AM107" s="39">
        <v>54777</v>
      </c>
      <c r="AN107" s="41">
        <v>25.739726027397261</v>
      </c>
      <c r="AO107" s="41">
        <v>0.24931506849314999</v>
      </c>
      <c r="AP107" s="53">
        <v>0.39482634367198449</v>
      </c>
      <c r="AR107" s="37">
        <v>252777.77777777778</v>
      </c>
      <c r="AT107" s="101">
        <v>1.6862526125158248E-2</v>
      </c>
      <c r="AU107" s="83">
        <v>0.99580474292523202</v>
      </c>
      <c r="AV107" s="96">
        <v>0.64782762517966375</v>
      </c>
      <c r="AW107" s="83">
        <v>0.35217237482033625</v>
      </c>
      <c r="AX107" s="83">
        <v>2.7292533471787728E-3</v>
      </c>
      <c r="AY107" s="83">
        <v>2.7292533471787728E-3</v>
      </c>
      <c r="AZ107" s="37">
        <v>64655.351513123955</v>
      </c>
      <c r="BA107" s="37">
        <v>64654.867201267203</v>
      </c>
      <c r="BB107" s="42">
        <v>64655.351513123955</v>
      </c>
      <c r="BC107" s="37">
        <v>0</v>
      </c>
      <c r="BE107" s="83">
        <v>1.6868742010052409E-2</v>
      </c>
      <c r="BF107" s="83">
        <v>0.64778476034695975</v>
      </c>
      <c r="BG107" s="83">
        <v>0.35221523965304025</v>
      </c>
      <c r="BH107" s="83">
        <v>2.7300808716035352E-3</v>
      </c>
      <c r="BI107" s="83">
        <v>2.7300808716035352E-3</v>
      </c>
      <c r="BJ107" s="37">
        <v>64651.073460261883</v>
      </c>
      <c r="BK107" s="37">
        <v>64674.470907842893</v>
      </c>
      <c r="BL107" s="37">
        <v>64651.073460261883</v>
      </c>
      <c r="BM107" s="37">
        <v>0</v>
      </c>
    </row>
    <row r="108" spans="34:65" x14ac:dyDescent="0.2">
      <c r="AH108" s="37">
        <v>104</v>
      </c>
      <c r="AI108" s="38">
        <v>54867</v>
      </c>
      <c r="AJ108" s="39">
        <v>54777</v>
      </c>
      <c r="AK108" s="39">
        <v>54868</v>
      </c>
      <c r="AL108" s="40">
        <v>0.25277777777777777</v>
      </c>
      <c r="AM108" s="39">
        <v>54868</v>
      </c>
      <c r="AN108" s="41">
        <v>25.989041095890411</v>
      </c>
      <c r="AO108" s="41">
        <v>0.24931506849314999</v>
      </c>
      <c r="AP108" s="53">
        <v>0.3920838181333382</v>
      </c>
      <c r="AR108" s="37">
        <v>252777.77777777778</v>
      </c>
      <c r="AT108" s="101">
        <v>1.6862526125158248E-2</v>
      </c>
      <c r="AU108" s="83">
        <v>0.99580474292523202</v>
      </c>
      <c r="AV108" s="96">
        <v>0.64510982175189857</v>
      </c>
      <c r="AW108" s="83">
        <v>0.35489017824810143</v>
      </c>
      <c r="AX108" s="83">
        <v>2.7178034277651753E-3</v>
      </c>
      <c r="AY108" s="83">
        <v>2.7178034277651753E-3</v>
      </c>
      <c r="AZ108" s="37">
        <v>63936.883623694295</v>
      </c>
      <c r="BA108" s="37">
        <v>63936.404693642646</v>
      </c>
      <c r="BB108" s="42">
        <v>63936.883623694295</v>
      </c>
      <c r="BC108" s="37">
        <v>0</v>
      </c>
      <c r="BE108" s="83">
        <v>1.6868742010052409E-2</v>
      </c>
      <c r="BF108" s="83">
        <v>0.64506613707953875</v>
      </c>
      <c r="BG108" s="83">
        <v>0.35493386292046125</v>
      </c>
      <c r="BH108" s="83">
        <v>2.7186232674210054E-3</v>
      </c>
      <c r="BI108" s="83">
        <v>2.7186232674210054E-3</v>
      </c>
      <c r="BJ108" s="37">
        <v>63932.554032485743</v>
      </c>
      <c r="BK108" s="37">
        <v>63955.691445393539</v>
      </c>
      <c r="BL108" s="37">
        <v>63932.554032485743</v>
      </c>
      <c r="BM108" s="37">
        <v>0</v>
      </c>
    </row>
    <row r="109" spans="34:65" x14ac:dyDescent="0.2">
      <c r="AH109" s="37">
        <v>105</v>
      </c>
      <c r="AI109" s="38">
        <v>54959</v>
      </c>
      <c r="AJ109" s="39">
        <v>54868</v>
      </c>
      <c r="AK109" s="39">
        <v>54960</v>
      </c>
      <c r="AL109" s="40">
        <v>0.25555555555555554</v>
      </c>
      <c r="AM109" s="39">
        <v>54960</v>
      </c>
      <c r="AN109" s="41">
        <v>26.241095890410961</v>
      </c>
      <c r="AO109" s="41">
        <v>0.25205479452055002</v>
      </c>
      <c r="AP109" s="53">
        <v>0.38933051963059306</v>
      </c>
      <c r="AR109" s="37">
        <v>255555.55555555553</v>
      </c>
      <c r="AT109" s="101">
        <v>1.6862526125158248E-2</v>
      </c>
      <c r="AU109" s="83">
        <v>0.99575873910161605</v>
      </c>
      <c r="AV109" s="96">
        <v>0.6423737426897389</v>
      </c>
      <c r="AW109" s="83">
        <v>0.3576262573102611</v>
      </c>
      <c r="AX109" s="83">
        <v>2.7360790621596687E-3</v>
      </c>
      <c r="AY109" s="83">
        <v>2.7360790621596687E-3</v>
      </c>
      <c r="AZ109" s="37">
        <v>63913.346332047033</v>
      </c>
      <c r="BA109" s="37">
        <v>63914.344981260561</v>
      </c>
      <c r="BB109" s="42">
        <v>63913.346332047033</v>
      </c>
      <c r="BC109" s="37">
        <v>0</v>
      </c>
      <c r="BE109" s="83">
        <v>1.6868742010052409E-2</v>
      </c>
      <c r="BF109" s="83">
        <v>0.64232923692946886</v>
      </c>
      <c r="BG109" s="83">
        <v>0.35767076307053114</v>
      </c>
      <c r="BH109" s="83">
        <v>2.7369001500698875E-3</v>
      </c>
      <c r="BI109" s="83">
        <v>2.7369001500698875E-3</v>
      </c>
      <c r="BJ109" s="37">
        <v>63908.918205738504</v>
      </c>
      <c r="BK109" s="37">
        <v>63933.525456225449</v>
      </c>
      <c r="BL109" s="37">
        <v>63908.918205738504</v>
      </c>
      <c r="BM109" s="37">
        <v>0</v>
      </c>
    </row>
    <row r="110" spans="34:65" x14ac:dyDescent="0.2">
      <c r="AH110" s="37">
        <v>106</v>
      </c>
      <c r="AI110" s="38">
        <v>55051</v>
      </c>
      <c r="AJ110" s="39">
        <v>54960</v>
      </c>
      <c r="AK110" s="39">
        <v>55051</v>
      </c>
      <c r="AL110" s="40">
        <v>0.25277777777777777</v>
      </c>
      <c r="AM110" s="39">
        <v>55051</v>
      </c>
      <c r="AN110" s="41">
        <v>26.490410958904111</v>
      </c>
      <c r="AO110" s="41">
        <v>0.24931506849314999</v>
      </c>
      <c r="AP110" s="53">
        <v>0.38662616894535007</v>
      </c>
      <c r="AR110" s="37">
        <v>252777.77777777778</v>
      </c>
      <c r="AT110" s="101">
        <v>1.6862526125158248E-2</v>
      </c>
      <c r="AU110" s="83">
        <v>0.99580474292523202</v>
      </c>
      <c r="AV110" s="96">
        <v>0.63967881970107454</v>
      </c>
      <c r="AW110" s="83">
        <v>0.36032118029892546</v>
      </c>
      <c r="AX110" s="83">
        <v>2.6949229886643611E-3</v>
      </c>
      <c r="AY110" s="83">
        <v>2.6949229886643611E-3</v>
      </c>
      <c r="AZ110" s="37">
        <v>62516.133330284414</v>
      </c>
      <c r="BA110" s="37">
        <v>62515.665042603294</v>
      </c>
      <c r="BB110" s="42">
        <v>62516.133330284414</v>
      </c>
      <c r="BC110" s="37">
        <v>0</v>
      </c>
      <c r="BE110" s="83">
        <v>1.6868742010052409E-2</v>
      </c>
      <c r="BF110" s="83">
        <v>0.63963350940428598</v>
      </c>
      <c r="BG110" s="83">
        <v>0.36036649059571402</v>
      </c>
      <c r="BH110" s="83">
        <v>2.6957275251828783E-3</v>
      </c>
      <c r="BI110" s="83">
        <v>2.6957275251828783E-3</v>
      </c>
      <c r="BJ110" s="37">
        <v>62511.705132151183</v>
      </c>
      <c r="BK110" s="37">
        <v>62534.328334919148</v>
      </c>
      <c r="BL110" s="37">
        <v>62511.705132151183</v>
      </c>
      <c r="BM110" s="37">
        <v>0</v>
      </c>
    </row>
    <row r="111" spans="34:65" x14ac:dyDescent="0.2">
      <c r="AH111" s="37">
        <v>107</v>
      </c>
      <c r="AI111" s="38">
        <v>55142</v>
      </c>
      <c r="AJ111" s="39">
        <v>55051</v>
      </c>
      <c r="AK111" s="39">
        <v>55142</v>
      </c>
      <c r="AL111" s="40">
        <v>0.25277777777777777</v>
      </c>
      <c r="AM111" s="39">
        <v>55142</v>
      </c>
      <c r="AN111" s="41">
        <v>26.739726027397261</v>
      </c>
      <c r="AO111" s="41">
        <v>0.24931506849314999</v>
      </c>
      <c r="AP111" s="53">
        <v>0.38394060310295913</v>
      </c>
      <c r="AR111" s="37">
        <v>252777.77777777778</v>
      </c>
      <c r="AT111" s="101">
        <v>1.6862526125158248E-2</v>
      </c>
      <c r="AU111" s="83">
        <v>0.99580474292523202</v>
      </c>
      <c r="AV111" s="96">
        <v>0.63699520260714437</v>
      </c>
      <c r="AW111" s="83">
        <v>0.36300479739285563</v>
      </c>
      <c r="AX111" s="83">
        <v>2.6836170939301685E-3</v>
      </c>
      <c r="AY111" s="83">
        <v>2.6836170939301685E-3</v>
      </c>
      <c r="AZ111" s="37">
        <v>61821.43701639933</v>
      </c>
      <c r="BA111" s="37">
        <v>61820.973932457557</v>
      </c>
      <c r="BB111" s="42">
        <v>61821.43701639933</v>
      </c>
      <c r="BC111" s="37">
        <v>0</v>
      </c>
      <c r="BE111" s="83">
        <v>1.6868742010052409E-2</v>
      </c>
      <c r="BF111" s="83">
        <v>0.63694909530915156</v>
      </c>
      <c r="BG111" s="83">
        <v>0.36305090469084844</v>
      </c>
      <c r="BH111" s="83">
        <v>2.6844140951344242E-3</v>
      </c>
      <c r="BI111" s="83">
        <v>2.6844140951344242E-3</v>
      </c>
      <c r="BJ111" s="37">
        <v>61816.962226939075</v>
      </c>
      <c r="BK111" s="37">
        <v>61839.333999839706</v>
      </c>
      <c r="BL111" s="37">
        <v>61816.962226939067</v>
      </c>
      <c r="BM111" s="37">
        <v>0</v>
      </c>
    </row>
    <row r="112" spans="34:65" x14ac:dyDescent="0.2">
      <c r="AH112" s="37">
        <v>108</v>
      </c>
      <c r="AI112" s="38">
        <v>55232</v>
      </c>
      <c r="AJ112" s="39">
        <v>55142</v>
      </c>
      <c r="AK112" s="39">
        <v>55232</v>
      </c>
      <c r="AL112" s="40">
        <v>0.25</v>
      </c>
      <c r="AM112" s="39">
        <v>55232</v>
      </c>
      <c r="AN112" s="41">
        <v>26.986301369863014</v>
      </c>
      <c r="AO112" s="41">
        <v>0.24657534246575352</v>
      </c>
      <c r="AP112" s="53">
        <v>0.3813028974380599</v>
      </c>
      <c r="AR112" s="37">
        <v>250000</v>
      </c>
      <c r="AT112" s="101">
        <v>1.6862526125158248E-2</v>
      </c>
      <c r="AU112" s="83">
        <v>0.99585074887421388</v>
      </c>
      <c r="AV112" s="96">
        <v>0.63435214954560637</v>
      </c>
      <c r="AW112" s="83">
        <v>0.36564785045439363</v>
      </c>
      <c r="AX112" s="83">
        <v>2.6430530615380032E-3</v>
      </c>
      <c r="AY112" s="83">
        <v>2.6430530615380032E-3</v>
      </c>
      <c r="AZ112" s="37">
        <v>60470.078154450297</v>
      </c>
      <c r="BA112" s="37">
        <v>60468.227426818528</v>
      </c>
      <c r="BB112" s="42">
        <v>60470.078154450297</v>
      </c>
      <c r="BC112" s="37">
        <v>0</v>
      </c>
      <c r="BE112" s="83">
        <v>1.6868742010052409E-2</v>
      </c>
      <c r="BF112" s="83">
        <v>0.63430526136813525</v>
      </c>
      <c r="BG112" s="83">
        <v>0.36569473863186475</v>
      </c>
      <c r="BH112" s="83">
        <v>2.6438339410163048E-3</v>
      </c>
      <c r="BI112" s="83">
        <v>2.6438339410163048E-3</v>
      </c>
      <c r="BJ112" s="37">
        <v>60465.608504968965</v>
      </c>
      <c r="BK112" s="37">
        <v>60486.0925232761</v>
      </c>
      <c r="BL112" s="37">
        <v>60465.608504968965</v>
      </c>
      <c r="BM112" s="37">
        <v>0</v>
      </c>
    </row>
    <row r="113" spans="34:65" x14ac:dyDescent="0.2">
      <c r="AH113" s="37">
        <v>109</v>
      </c>
      <c r="AI113" s="38">
        <v>55324</v>
      </c>
      <c r="AJ113" s="39">
        <v>55232</v>
      </c>
      <c r="AK113" s="39">
        <v>55324</v>
      </c>
      <c r="AL113" s="40">
        <v>0.25555555555555554</v>
      </c>
      <c r="AM113" s="39">
        <v>55324</v>
      </c>
      <c r="AN113" s="41">
        <v>27.238356164383561</v>
      </c>
      <c r="AO113" s="41">
        <v>0.25205479452054647</v>
      </c>
      <c r="AP113" s="53">
        <v>0.37862530492325847</v>
      </c>
      <c r="AR113" s="37">
        <v>255555.55555555553</v>
      </c>
      <c r="AT113" s="101">
        <v>1.6862526125158248E-2</v>
      </c>
      <c r="AU113" s="83">
        <v>0.99575873910161605</v>
      </c>
      <c r="AV113" s="96">
        <v>0.6316616965779327</v>
      </c>
      <c r="AW113" s="83">
        <v>0.3683383034220673</v>
      </c>
      <c r="AX113" s="83">
        <v>2.6904529676736733E-3</v>
      </c>
      <c r="AY113" s="83">
        <v>2.6904529676736733E-3</v>
      </c>
      <c r="AZ113" s="37">
        <v>61119.459521430421</v>
      </c>
      <c r="BA113" s="37">
        <v>61120.414516027813</v>
      </c>
      <c r="BB113" s="42">
        <v>61119.459521430421</v>
      </c>
      <c r="BC113" s="37">
        <v>0</v>
      </c>
      <c r="BE113" s="83">
        <v>1.6868742010052409E-2</v>
      </c>
      <c r="BF113" s="83">
        <v>0.63161401768746683</v>
      </c>
      <c r="BG113" s="83">
        <v>0.36838598231253317</v>
      </c>
      <c r="BH113" s="83">
        <v>2.6912436806684203E-3</v>
      </c>
      <c r="BI113" s="83">
        <v>2.6912436806684203E-3</v>
      </c>
      <c r="BJ113" s="37">
        <v>61114.846121517709</v>
      </c>
      <c r="BK113" s="37">
        <v>61138.377552952385</v>
      </c>
      <c r="BL113" s="37">
        <v>61114.846121517709</v>
      </c>
      <c r="BM113" s="37">
        <v>0</v>
      </c>
    </row>
    <row r="114" spans="34:65" x14ac:dyDescent="0.2">
      <c r="AH114" s="37">
        <v>110</v>
      </c>
      <c r="AI114" s="38">
        <v>55416</v>
      </c>
      <c r="AJ114" s="39">
        <v>55324</v>
      </c>
      <c r="AK114" s="39">
        <v>55416</v>
      </c>
      <c r="AL114" s="40">
        <v>0.25555555555555554</v>
      </c>
      <c r="AM114" s="39">
        <v>55416</v>
      </c>
      <c r="AN114" s="41">
        <v>27.490410958904111</v>
      </c>
      <c r="AO114" s="41">
        <v>0.25205479452055002</v>
      </c>
      <c r="AP114" s="53">
        <v>0.37596651504993578</v>
      </c>
      <c r="AR114" s="37">
        <v>255555.55555555553</v>
      </c>
      <c r="AT114" s="101">
        <v>1.6862526125158248E-2</v>
      </c>
      <c r="AU114" s="83">
        <v>0.99575873910161605</v>
      </c>
      <c r="AV114" s="96">
        <v>0.62898265452322988</v>
      </c>
      <c r="AW114" s="83">
        <v>0.37101734547677012</v>
      </c>
      <c r="AX114" s="83">
        <v>2.6790420547028182E-3</v>
      </c>
      <c r="AY114" s="83">
        <v>2.6790420547028182E-3</v>
      </c>
      <c r="AZ114" s="37">
        <v>60432.862032255536</v>
      </c>
      <c r="BA114" s="37">
        <v>60433.806298730284</v>
      </c>
      <c r="BB114" s="42">
        <v>60432.862032255536</v>
      </c>
      <c r="BC114" s="37">
        <v>0</v>
      </c>
      <c r="BE114" s="83">
        <v>1.6868742010052409E-2</v>
      </c>
      <c r="BF114" s="83">
        <v>0.62893419247199145</v>
      </c>
      <c r="BG114" s="83">
        <v>0.37106580752800855</v>
      </c>
      <c r="BH114" s="83">
        <v>2.6798252154753843E-3</v>
      </c>
      <c r="BI114" s="83">
        <v>2.6798252154753843E-3</v>
      </c>
      <c r="BJ114" s="37">
        <v>60428.205782301375</v>
      </c>
      <c r="BK114" s="37">
        <v>60451.472832313419</v>
      </c>
      <c r="BL114" s="37">
        <v>60428.205782301375</v>
      </c>
      <c r="BM114" s="37">
        <v>0</v>
      </c>
    </row>
    <row r="115" spans="34:65" x14ac:dyDescent="0.2">
      <c r="AH115" s="37">
        <v>111</v>
      </c>
      <c r="AI115" s="38">
        <v>55507</v>
      </c>
      <c r="AJ115" s="39">
        <v>55416</v>
      </c>
      <c r="AK115" s="39">
        <v>55507</v>
      </c>
      <c r="AL115" s="40">
        <v>0.25277777777777777</v>
      </c>
      <c r="AM115" s="39">
        <v>55507</v>
      </c>
      <c r="AN115" s="41">
        <v>27.739726027397261</v>
      </c>
      <c r="AO115" s="41">
        <v>0.24931506849314999</v>
      </c>
      <c r="AP115" s="53">
        <v>0.37335499283079804</v>
      </c>
      <c r="AR115" s="37">
        <v>252777.77777777778</v>
      </c>
      <c r="AT115" s="101">
        <v>1.6862526125158248E-2</v>
      </c>
      <c r="AU115" s="83">
        <v>0.99580474292523202</v>
      </c>
      <c r="AV115" s="96">
        <v>0.62634391059193495</v>
      </c>
      <c r="AW115" s="83">
        <v>0.37365608940806505</v>
      </c>
      <c r="AX115" s="83">
        <v>2.638743931294929E-3</v>
      </c>
      <c r="AY115" s="83">
        <v>2.638743931294929E-3</v>
      </c>
      <c r="AZ115" s="37">
        <v>59111.736079523878</v>
      </c>
      <c r="BA115" s="37">
        <v>59111.293293055802</v>
      </c>
      <c r="BB115" s="42">
        <v>59111.736079523878</v>
      </c>
      <c r="BC115" s="37">
        <v>0</v>
      </c>
      <c r="BE115" s="83">
        <v>1.6868742010052409E-2</v>
      </c>
      <c r="BF115" s="83">
        <v>0.6262946812732173</v>
      </c>
      <c r="BG115" s="83">
        <v>0.3737053187267827</v>
      </c>
      <c r="BH115" s="83">
        <v>2.6395111987741471E-3</v>
      </c>
      <c r="BI115" s="83">
        <v>2.6395111987741471E-3</v>
      </c>
      <c r="BJ115" s="37">
        <v>59107.090020950942</v>
      </c>
      <c r="BK115" s="37">
        <v>59128.481081707971</v>
      </c>
      <c r="BL115" s="37">
        <v>59107.090020950942</v>
      </c>
      <c r="BM115" s="37">
        <v>0</v>
      </c>
    </row>
    <row r="116" spans="34:65" x14ac:dyDescent="0.2">
      <c r="AH116" s="37">
        <v>112</v>
      </c>
      <c r="AI116" s="38">
        <v>55598</v>
      </c>
      <c r="AJ116" s="39">
        <v>55507</v>
      </c>
      <c r="AK116" s="39">
        <v>55598</v>
      </c>
      <c r="AL116" s="40">
        <v>0.25277777777777777</v>
      </c>
      <c r="AM116" s="39">
        <v>55598</v>
      </c>
      <c r="AN116" s="41">
        <v>27.989041095890411</v>
      </c>
      <c r="AO116" s="41">
        <v>0.24931506849314999</v>
      </c>
      <c r="AP116" s="53">
        <v>0.37076161065346741</v>
      </c>
      <c r="AR116" s="37">
        <v>252777.77777777778</v>
      </c>
      <c r="AT116" s="101">
        <v>1.6862526125158248E-2</v>
      </c>
      <c r="AU116" s="83">
        <v>0.99580474292523202</v>
      </c>
      <c r="AV116" s="96">
        <v>0.62371623686978628</v>
      </c>
      <c r="AW116" s="83">
        <v>0.37628376313021372</v>
      </c>
      <c r="AX116" s="83">
        <v>2.6276737221486712E-3</v>
      </c>
      <c r="AY116" s="83">
        <v>2.6276737221486712E-3</v>
      </c>
      <c r="AZ116" s="37">
        <v>58454.870355841951</v>
      </c>
      <c r="BA116" s="37">
        <v>58454.432489737992</v>
      </c>
      <c r="BB116" s="42">
        <v>58454.870355841951</v>
      </c>
      <c r="BC116" s="37">
        <v>0</v>
      </c>
      <c r="BE116" s="83">
        <v>1.6868742010052409E-2</v>
      </c>
      <c r="BF116" s="83">
        <v>0.6236662475757967</v>
      </c>
      <c r="BG116" s="83">
        <v>0.3763337524242033</v>
      </c>
      <c r="BH116" s="83">
        <v>2.6284336974206068E-3</v>
      </c>
      <c r="BI116" s="83">
        <v>2.6284336974206068E-3</v>
      </c>
      <c r="BJ116" s="37">
        <v>58450.185344411104</v>
      </c>
      <c r="BK116" s="37">
        <v>58471.338669090757</v>
      </c>
      <c r="BL116" s="37">
        <v>58450.185344411097</v>
      </c>
      <c r="BM116" s="37">
        <v>0</v>
      </c>
    </row>
    <row r="117" spans="34:65" x14ac:dyDescent="0.2">
      <c r="AH117" s="37">
        <v>113</v>
      </c>
      <c r="AI117" s="38">
        <v>55690</v>
      </c>
      <c r="AJ117" s="39">
        <v>55598</v>
      </c>
      <c r="AK117" s="39">
        <v>55690</v>
      </c>
      <c r="AL117" s="40">
        <v>0.25555555555555554</v>
      </c>
      <c r="AM117" s="39">
        <v>55690</v>
      </c>
      <c r="AN117" s="41">
        <v>28.241095890410961</v>
      </c>
      <c r="AO117" s="41">
        <v>0.25205479452055002</v>
      </c>
      <c r="AP117" s="53">
        <v>0.36815804136476898</v>
      </c>
      <c r="AR117" s="37">
        <v>255555.55555555553</v>
      </c>
      <c r="AT117" s="101">
        <v>1.6862526125158248E-2</v>
      </c>
      <c r="AU117" s="83">
        <v>0.99575873910161605</v>
      </c>
      <c r="AV117" s="96">
        <v>0.62107089358266332</v>
      </c>
      <c r="AW117" s="83">
        <v>0.37892910641733668</v>
      </c>
      <c r="AX117" s="83">
        <v>2.6453432871229587E-3</v>
      </c>
      <c r="AY117" s="83">
        <v>2.6453432871229587E-3</v>
      </c>
      <c r="AZ117" s="37">
        <v>58433.351175459829</v>
      </c>
      <c r="BA117" s="37">
        <v>58434.264199477686</v>
      </c>
      <c r="BB117" s="42">
        <v>58433.351175459829</v>
      </c>
      <c r="BC117" s="37">
        <v>0</v>
      </c>
      <c r="BE117" s="83">
        <v>1.6868742010052409E-2</v>
      </c>
      <c r="BF117" s="83">
        <v>0.6210201433262208</v>
      </c>
      <c r="BG117" s="83">
        <v>0.3789798566737792</v>
      </c>
      <c r="BH117" s="83">
        <v>2.646104249575898E-3</v>
      </c>
      <c r="BI117" s="83">
        <v>2.646104249575898E-3</v>
      </c>
      <c r="BJ117" s="37">
        <v>58428.576346068221</v>
      </c>
      <c r="BK117" s="37">
        <v>58451.073466251255</v>
      </c>
      <c r="BL117" s="37">
        <v>58428.576346068214</v>
      </c>
      <c r="BM117" s="37">
        <v>0</v>
      </c>
    </row>
    <row r="118" spans="34:65" x14ac:dyDescent="0.2">
      <c r="AH118" s="37">
        <v>114</v>
      </c>
      <c r="AI118" s="38">
        <v>55782</v>
      </c>
      <c r="AJ118" s="39">
        <v>55690</v>
      </c>
      <c r="AK118" s="39">
        <v>55782</v>
      </c>
      <c r="AL118" s="40">
        <v>0.25555555555555554</v>
      </c>
      <c r="AM118" s="39">
        <v>55782</v>
      </c>
      <c r="AN118" s="41">
        <v>28.493150684931507</v>
      </c>
      <c r="AO118" s="41">
        <v>0.25205479452054647</v>
      </c>
      <c r="AP118" s="53">
        <v>0.36557275491023217</v>
      </c>
      <c r="AR118" s="37">
        <v>255555.55555555553</v>
      </c>
      <c r="AT118" s="101">
        <v>1.6862526125158248E-2</v>
      </c>
      <c r="AU118" s="83">
        <v>0.99575873910161605</v>
      </c>
      <c r="AV118" s="96">
        <v>0.6184367698865868</v>
      </c>
      <c r="AW118" s="83">
        <v>0.3815632301134132</v>
      </c>
      <c r="AX118" s="83">
        <v>2.634123696076518E-3</v>
      </c>
      <c r="AY118" s="83">
        <v>2.634123696076518E-3</v>
      </c>
      <c r="AZ118" s="37">
        <v>57776.928613557458</v>
      </c>
      <c r="BA118" s="37">
        <v>57777.831380940937</v>
      </c>
      <c r="BB118" s="42">
        <v>57776.928613557458</v>
      </c>
      <c r="BC118" s="37">
        <v>0</v>
      </c>
      <c r="BE118" s="83">
        <v>1.6868742010052409E-2</v>
      </c>
      <c r="BF118" s="83">
        <v>0.61838526602331201</v>
      </c>
      <c r="BG118" s="83">
        <v>0.38161473397668799</v>
      </c>
      <c r="BH118" s="83">
        <v>2.6348773029087891E-3</v>
      </c>
      <c r="BI118" s="83">
        <v>2.6348773029087891E-3</v>
      </c>
      <c r="BJ118" s="37">
        <v>57772.116908987729</v>
      </c>
      <c r="BK118" s="37">
        <v>57794.361268488501</v>
      </c>
      <c r="BL118" s="37">
        <v>57772.116908987729</v>
      </c>
      <c r="BM118" s="37">
        <v>0</v>
      </c>
    </row>
    <row r="119" spans="34:65" x14ac:dyDescent="0.2">
      <c r="AH119" s="37">
        <v>115</v>
      </c>
      <c r="AI119" s="38">
        <v>55873</v>
      </c>
      <c r="AJ119" s="39">
        <v>55782</v>
      </c>
      <c r="AK119" s="39">
        <v>55873</v>
      </c>
      <c r="AL119" s="40">
        <v>0.25277777777777777</v>
      </c>
      <c r="AM119" s="39">
        <v>55873</v>
      </c>
      <c r="AN119" s="41">
        <v>28.742465753424657</v>
      </c>
      <c r="AO119" s="41">
        <v>0.24931506849314999</v>
      </c>
      <c r="AP119" s="53">
        <v>0.3630334293747316</v>
      </c>
      <c r="AR119" s="37">
        <v>252777.77777777778</v>
      </c>
      <c r="AT119" s="101">
        <v>1.6862526125158248E-2</v>
      </c>
      <c r="AU119" s="83">
        <v>0.99580474292523202</v>
      </c>
      <c r="AV119" s="96">
        <v>0.61584226865242342</v>
      </c>
      <c r="AW119" s="83">
        <v>0.38415773134757658</v>
      </c>
      <c r="AX119" s="83">
        <v>2.5945012341633822E-3</v>
      </c>
      <c r="AY119" s="83">
        <v>2.5945012341633822E-3</v>
      </c>
      <c r="AZ119" s="37">
        <v>56513.86415998658</v>
      </c>
      <c r="BA119" s="37">
        <v>56513.440833318367</v>
      </c>
      <c r="BB119" s="42">
        <v>56513.86415998658</v>
      </c>
      <c r="BC119" s="37">
        <v>0</v>
      </c>
      <c r="BE119" s="83">
        <v>1.6868742010052409E-2</v>
      </c>
      <c r="BF119" s="83">
        <v>0.61579002656207349</v>
      </c>
      <c r="BG119" s="83">
        <v>0.38420997343792651</v>
      </c>
      <c r="BH119" s="83">
        <v>2.5952394612385188E-3</v>
      </c>
      <c r="BI119" s="83">
        <v>2.5952394612385188E-3</v>
      </c>
      <c r="BJ119" s="37">
        <v>56509.07007138995</v>
      </c>
      <c r="BK119" s="37">
        <v>56529.520899723015</v>
      </c>
      <c r="BL119" s="37">
        <v>56509.07007138995</v>
      </c>
      <c r="BM119" s="37">
        <v>0</v>
      </c>
    </row>
    <row r="120" spans="34:65" x14ac:dyDescent="0.2">
      <c r="AH120" s="37">
        <v>116</v>
      </c>
      <c r="AI120" s="38">
        <v>55963</v>
      </c>
      <c r="AJ120" s="39">
        <v>55873</v>
      </c>
      <c r="AK120" s="39">
        <v>55963</v>
      </c>
      <c r="AL120" s="40">
        <v>0.25</v>
      </c>
      <c r="AM120" s="39">
        <v>55963</v>
      </c>
      <c r="AN120" s="41">
        <v>28.989041095890411</v>
      </c>
      <c r="AO120" s="41">
        <v>0.24657534246575352</v>
      </c>
      <c r="AP120" s="53">
        <v>0.36053935782962665</v>
      </c>
      <c r="AR120" s="37">
        <v>250000</v>
      </c>
      <c r="AT120" s="101">
        <v>1.6862526125158248E-2</v>
      </c>
      <c r="AU120" s="83">
        <v>0.99585074887421388</v>
      </c>
      <c r="AV120" s="96">
        <v>0.61328698442591068</v>
      </c>
      <c r="AW120" s="83">
        <v>0.38671301557408932</v>
      </c>
      <c r="AX120" s="83">
        <v>2.555284226512744E-3</v>
      </c>
      <c r="AY120" s="83">
        <v>2.555284226512744E-3</v>
      </c>
      <c r="AZ120" s="37">
        <v>55278.52388254652</v>
      </c>
      <c r="BA120" s="37">
        <v>55276.832045944735</v>
      </c>
      <c r="BB120" s="42">
        <v>55278.52388254652</v>
      </c>
      <c r="BC120" s="37">
        <v>0</v>
      </c>
      <c r="BE120" s="83">
        <v>1.6868742010052409E-2</v>
      </c>
      <c r="BF120" s="83">
        <v>0.61323401920645604</v>
      </c>
      <c r="BG120" s="83">
        <v>0.38676598079354396</v>
      </c>
      <c r="BH120" s="83">
        <v>2.5560073556174512E-3</v>
      </c>
      <c r="BI120" s="83">
        <v>2.5560073556174512E-3</v>
      </c>
      <c r="BJ120" s="37">
        <v>55273.74987099415</v>
      </c>
      <c r="BK120" s="37">
        <v>55292.475036127085</v>
      </c>
      <c r="BL120" s="37">
        <v>55273.74987099415</v>
      </c>
      <c r="BM120" s="37">
        <v>0</v>
      </c>
    </row>
    <row r="121" spans="34:65" x14ac:dyDescent="0.2">
      <c r="AH121" s="37">
        <v>117</v>
      </c>
      <c r="AI121" s="38">
        <v>56055</v>
      </c>
      <c r="AJ121" s="39">
        <v>55963</v>
      </c>
      <c r="AK121" s="39">
        <v>56055</v>
      </c>
      <c r="AL121" s="40">
        <v>0.25555555555555554</v>
      </c>
      <c r="AM121" s="39">
        <v>56055</v>
      </c>
      <c r="AN121" s="41">
        <v>29.241095890410961</v>
      </c>
      <c r="AO121" s="41">
        <v>0.25205479452055002</v>
      </c>
      <c r="AP121" s="53">
        <v>0.35800757144063722</v>
      </c>
      <c r="AR121" s="37">
        <v>255555.55555555553</v>
      </c>
      <c r="AT121" s="101">
        <v>1.6862526125158248E-2</v>
      </c>
      <c r="AU121" s="83">
        <v>0.99575873910161605</v>
      </c>
      <c r="AV121" s="96">
        <v>0.61068587431937726</v>
      </c>
      <c r="AW121" s="83">
        <v>0.38931412568062274</v>
      </c>
      <c r="AX121" s="83">
        <v>2.6011101065334108E-3</v>
      </c>
      <c r="AY121" s="83">
        <v>2.6011101065334108E-3</v>
      </c>
      <c r="AZ121" s="37">
        <v>55872.153732202183</v>
      </c>
      <c r="BA121" s="37">
        <v>55873.026737383414</v>
      </c>
      <c r="BB121" s="42">
        <v>55872.153732202183</v>
      </c>
      <c r="BC121" s="37">
        <v>0</v>
      </c>
      <c r="BE121" s="83">
        <v>1.6868742010052409E-2</v>
      </c>
      <c r="BF121" s="83">
        <v>0.61063217703443828</v>
      </c>
      <c r="BG121" s="83">
        <v>0.38936782296556172</v>
      </c>
      <c r="BH121" s="83">
        <v>2.6018421720177543E-3</v>
      </c>
      <c r="BI121" s="83">
        <v>2.6018421720177543E-3</v>
      </c>
      <c r="BJ121" s="37">
        <v>55867.240923366611</v>
      </c>
      <c r="BK121" s="37">
        <v>55888.751836554533</v>
      </c>
      <c r="BL121" s="37">
        <v>55867.240923366611</v>
      </c>
      <c r="BM121" s="37">
        <v>0</v>
      </c>
    </row>
    <row r="122" spans="34:65" x14ac:dyDescent="0.2">
      <c r="AH122" s="37">
        <v>118</v>
      </c>
      <c r="AI122" s="38">
        <v>56147</v>
      </c>
      <c r="AJ122" s="39">
        <v>56055</v>
      </c>
      <c r="AK122" s="39">
        <v>56149</v>
      </c>
      <c r="AL122" s="40">
        <v>0.26111111111111113</v>
      </c>
      <c r="AM122" s="39">
        <v>56149</v>
      </c>
      <c r="AN122" s="41">
        <v>29.4986301369863</v>
      </c>
      <c r="AO122" s="41">
        <v>0.25753424657533941</v>
      </c>
      <c r="AP122" s="53">
        <v>0.35543910798317302</v>
      </c>
      <c r="AR122" s="37">
        <v>261111.11111111112</v>
      </c>
      <c r="AT122" s="101">
        <v>1.6862526125158248E-2</v>
      </c>
      <c r="AU122" s="83">
        <v>0.99566673783008963</v>
      </c>
      <c r="AV122" s="96">
        <v>0.60803961232249049</v>
      </c>
      <c r="AW122" s="83">
        <v>0.39196038767750951</v>
      </c>
      <c r="AX122" s="83">
        <v>2.6462619968867784E-3</v>
      </c>
      <c r="AY122" s="83">
        <v>2.6462619968867784E-3</v>
      </c>
      <c r="AZ122" s="37">
        <v>56431.609438055544</v>
      </c>
      <c r="BA122" s="37">
        <v>56435.100219792403</v>
      </c>
      <c r="BB122" s="42">
        <v>56431.609438055544</v>
      </c>
      <c r="BC122" s="37">
        <v>0</v>
      </c>
      <c r="BE122" s="83">
        <v>1.6868742010052409E-2</v>
      </c>
      <c r="BF122" s="83">
        <v>0.60798517445655309</v>
      </c>
      <c r="BG122" s="83">
        <v>0.39201482554344691</v>
      </c>
      <c r="BH122" s="83">
        <v>2.6470025778851936E-3</v>
      </c>
      <c r="BI122" s="83">
        <v>2.6470025778851936E-3</v>
      </c>
      <c r="BJ122" s="37">
        <v>56426.557108689231</v>
      </c>
      <c r="BK122" s="37">
        <v>56450.894106760359</v>
      </c>
      <c r="BL122" s="37">
        <v>56426.557108689231</v>
      </c>
      <c r="BM122" s="37">
        <v>0</v>
      </c>
    </row>
    <row r="123" spans="34:65" x14ac:dyDescent="0.2">
      <c r="AH123" s="37">
        <v>119</v>
      </c>
      <c r="AI123" s="38">
        <v>56238</v>
      </c>
      <c r="AJ123" s="39">
        <v>56149</v>
      </c>
      <c r="AK123" s="39">
        <v>56240</v>
      </c>
      <c r="AL123" s="40">
        <v>0.25277777777777777</v>
      </c>
      <c r="AM123" s="39">
        <v>56240</v>
      </c>
      <c r="AN123" s="41">
        <v>29.747945205479454</v>
      </c>
      <c r="AO123" s="41">
        <v>0.24931506849315355</v>
      </c>
      <c r="AP123" s="53">
        <v>0.35297017234424988</v>
      </c>
      <c r="AR123" s="37">
        <v>252777.77777777778</v>
      </c>
      <c r="AT123" s="101">
        <v>1.6862526125158248E-2</v>
      </c>
      <c r="AU123" s="83">
        <v>0.99580474292523191</v>
      </c>
      <c r="AV123" s="96">
        <v>0.60548872983715529</v>
      </c>
      <c r="AW123" s="83">
        <v>0.39451127016284471</v>
      </c>
      <c r="AX123" s="83">
        <v>2.550882485335193E-3</v>
      </c>
      <c r="AY123" s="83">
        <v>2.550882485335193E-3</v>
      </c>
      <c r="AZ123" s="37">
        <v>54023.530501122419</v>
      </c>
      <c r="BA123" s="37">
        <v>54023.125828721495</v>
      </c>
      <c r="BB123" s="42">
        <v>54023.530501122419</v>
      </c>
      <c r="BC123" s="37">
        <v>0</v>
      </c>
      <c r="BE123" s="83">
        <v>1.6868742010052409E-2</v>
      </c>
      <c r="BF123" s="83">
        <v>0.60543358210257525</v>
      </c>
      <c r="BG123" s="83">
        <v>0.39456641789742475</v>
      </c>
      <c r="BH123" s="83">
        <v>2.5515923539778385E-3</v>
      </c>
      <c r="BI123" s="83">
        <v>2.5515923539778385E-3</v>
      </c>
      <c r="BJ123" s="37">
        <v>54018.610053929369</v>
      </c>
      <c r="BK123" s="37">
        <v>54038.159576149665</v>
      </c>
      <c r="BL123" s="37">
        <v>54018.610053929362</v>
      </c>
      <c r="BM123" s="37">
        <v>0</v>
      </c>
    </row>
    <row r="124" spans="34:65" x14ac:dyDescent="0.2">
      <c r="AH124" s="37">
        <v>120</v>
      </c>
      <c r="AI124" s="38">
        <v>56328</v>
      </c>
      <c r="AJ124" s="39">
        <v>56240</v>
      </c>
      <c r="AK124" s="39">
        <v>56328</v>
      </c>
      <c r="AL124" s="40">
        <v>0.24444444444444444</v>
      </c>
      <c r="AM124" s="39">
        <v>56328</v>
      </c>
      <c r="AN124" s="41">
        <v>29.989041095890411</v>
      </c>
      <c r="AO124" s="41">
        <v>0.24109589041095703</v>
      </c>
      <c r="AP124" s="53">
        <v>0.35059894230984329</v>
      </c>
      <c r="AR124" s="37">
        <v>244444.44444444444</v>
      </c>
      <c r="AT124" s="101">
        <v>1.6862526125158248E-2</v>
      </c>
      <c r="AU124" s="83">
        <v>0.9959427671486687</v>
      </c>
      <c r="AV124" s="96">
        <v>0.60303212107134918</v>
      </c>
      <c r="AW124" s="83">
        <v>0.39696787892865082</v>
      </c>
      <c r="AX124" s="83">
        <v>2.456608765806112E-3</v>
      </c>
      <c r="AY124" s="83">
        <v>2.456608765806112E-3</v>
      </c>
      <c r="AZ124" s="37">
        <v>51681.036935360891</v>
      </c>
      <c r="BA124" s="37">
        <v>51677.066097642739</v>
      </c>
      <c r="BB124" s="42">
        <v>51681.036935360891</v>
      </c>
      <c r="BC124" s="37">
        <v>0</v>
      </c>
      <c r="BE124" s="83">
        <v>1.6868742010052409E-2</v>
      </c>
      <c r="BF124" s="83">
        <v>0.60297629344836468</v>
      </c>
      <c r="BG124" s="83">
        <v>0.39702370655163532</v>
      </c>
      <c r="BH124" s="83">
        <v>2.4572886542105765E-3</v>
      </c>
      <c r="BI124" s="83">
        <v>2.4572886542105765E-3</v>
      </c>
      <c r="BJ124" s="37">
        <v>51676.252398443765</v>
      </c>
      <c r="BK124" s="37">
        <v>51691.36818697238</v>
      </c>
      <c r="BL124" s="37">
        <v>51676.252398443779</v>
      </c>
      <c r="BM124" s="37">
        <v>0</v>
      </c>
    </row>
    <row r="125" spans="34:65" x14ac:dyDescent="0.2">
      <c r="AH125" s="37">
        <v>121</v>
      </c>
      <c r="AI125" s="38">
        <v>56420</v>
      </c>
      <c r="AJ125" s="39">
        <v>56328</v>
      </c>
      <c r="AK125" s="39">
        <v>56422</v>
      </c>
      <c r="AL125" s="40">
        <v>0.26111111111111113</v>
      </c>
      <c r="AM125" s="39">
        <v>56422</v>
      </c>
      <c r="AN125" s="41">
        <v>30.246575342465754</v>
      </c>
      <c r="AO125" s="41">
        <v>0.25753424657534296</v>
      </c>
      <c r="AP125" s="53">
        <v>0.3485083098830089</v>
      </c>
      <c r="AR125" s="37">
        <v>261111.11111111112</v>
      </c>
      <c r="AT125" s="101">
        <v>1.6862526125158248E-2</v>
      </c>
      <c r="AU125" s="83">
        <v>0.99566673783008952</v>
      </c>
      <c r="AV125" s="96">
        <v>0.60041902479386977</v>
      </c>
      <c r="AW125" s="83">
        <v>0.39958097520613023</v>
      </c>
      <c r="AX125" s="83">
        <v>2.6130962774794098E-3</v>
      </c>
      <c r="AY125" s="83">
        <v>2.6130962774794098E-3</v>
      </c>
      <c r="AZ125" s="37">
        <v>54637.766216490279</v>
      </c>
      <c r="BA125" s="37">
        <v>54641.146033555873</v>
      </c>
      <c r="BB125" s="42">
        <v>54637.766216490279</v>
      </c>
      <c r="BC125" s="37">
        <v>0</v>
      </c>
      <c r="BE125" s="83">
        <v>1.6868742010052409E-2</v>
      </c>
      <c r="BF125" s="83">
        <v>0.60036247802364706</v>
      </c>
      <c r="BG125" s="83">
        <v>0.39963752197635294</v>
      </c>
      <c r="BH125" s="83">
        <v>2.6138154247176137E-3</v>
      </c>
      <c r="BI125" s="83">
        <v>2.6138154247176137E-3</v>
      </c>
      <c r="BJ125" s="37">
        <v>54632.620494779039</v>
      </c>
      <c r="BK125" s="37">
        <v>54656.18376086848</v>
      </c>
      <c r="BL125" s="37">
        <v>54632.620494779047</v>
      </c>
      <c r="BM125" s="37">
        <v>0</v>
      </c>
    </row>
    <row r="126" spans="34:65" x14ac:dyDescent="0.2">
      <c r="AV126" s="96"/>
    </row>
    <row r="127" spans="34:65" x14ac:dyDescent="0.2">
      <c r="AV127" s="96"/>
    </row>
    <row r="128" spans="34:65" x14ac:dyDescent="0.2">
      <c r="AV128" s="96"/>
    </row>
    <row r="129" spans="48:48" x14ac:dyDescent="0.2">
      <c r="AV129" s="96"/>
    </row>
    <row r="130" spans="48:48" x14ac:dyDescent="0.2">
      <c r="AV130" s="96"/>
    </row>
    <row r="131" spans="48:48" x14ac:dyDescent="0.2">
      <c r="AV131" s="96"/>
    </row>
    <row r="132" spans="48:48" x14ac:dyDescent="0.2">
      <c r="AV132" s="96"/>
    </row>
    <row r="133" spans="48:48" x14ac:dyDescent="0.2">
      <c r="AV133" s="96"/>
    </row>
    <row r="134" spans="48:48" x14ac:dyDescent="0.2">
      <c r="AV134" s="96"/>
    </row>
    <row r="135" spans="48:48" x14ac:dyDescent="0.2">
      <c r="AV135" s="96"/>
    </row>
    <row r="136" spans="48:48" x14ac:dyDescent="0.2">
      <c r="AV136" s="96"/>
    </row>
    <row r="137" spans="48:48" x14ac:dyDescent="0.2">
      <c r="AV137" s="96"/>
    </row>
    <row r="138" spans="48:48" x14ac:dyDescent="0.2">
      <c r="AV138" s="96"/>
    </row>
    <row r="139" spans="48:48" x14ac:dyDescent="0.2">
      <c r="AV139" s="96"/>
    </row>
    <row r="140" spans="48:48" x14ac:dyDescent="0.2">
      <c r="AV140" s="96"/>
    </row>
    <row r="141" spans="48:48" x14ac:dyDescent="0.2">
      <c r="AV141" s="96"/>
    </row>
    <row r="142" spans="48:48" x14ac:dyDescent="0.2">
      <c r="AV142" s="96"/>
    </row>
    <row r="143" spans="48:48" x14ac:dyDescent="0.2">
      <c r="AV143" s="96"/>
    </row>
    <row r="144" spans="48:48" x14ac:dyDescent="0.2">
      <c r="AV144" s="96"/>
    </row>
    <row r="145" spans="48:48" x14ac:dyDescent="0.2">
      <c r="AV145" s="96"/>
    </row>
    <row r="146" spans="48:48" x14ac:dyDescent="0.2">
      <c r="AV146" s="96"/>
    </row>
    <row r="147" spans="48:48" x14ac:dyDescent="0.2">
      <c r="AV147" s="96"/>
    </row>
    <row r="148" spans="48:48" x14ac:dyDescent="0.2">
      <c r="AV148" s="96"/>
    </row>
    <row r="149" spans="48:48" x14ac:dyDescent="0.2">
      <c r="AV149" s="96"/>
    </row>
    <row r="150" spans="48:48" x14ac:dyDescent="0.2">
      <c r="AV150" s="96"/>
    </row>
    <row r="151" spans="48:48" x14ac:dyDescent="0.2">
      <c r="AV151" s="96"/>
    </row>
    <row r="152" spans="48:48" x14ac:dyDescent="0.2">
      <c r="AV152" s="96"/>
    </row>
    <row r="153" spans="48:48" x14ac:dyDescent="0.2">
      <c r="AV153" s="96"/>
    </row>
    <row r="154" spans="48:48" x14ac:dyDescent="0.2">
      <c r="AV154" s="96"/>
    </row>
    <row r="155" spans="48:48" x14ac:dyDescent="0.2">
      <c r="AV155" s="96"/>
    </row>
    <row r="156" spans="48:48" x14ac:dyDescent="0.2">
      <c r="AV156" s="96"/>
    </row>
    <row r="157" spans="48:48" x14ac:dyDescent="0.2">
      <c r="AV157" s="96"/>
    </row>
    <row r="158" spans="48:48" x14ac:dyDescent="0.2">
      <c r="AV158" s="96"/>
    </row>
    <row r="159" spans="48:48" x14ac:dyDescent="0.2">
      <c r="AV159" s="96"/>
    </row>
    <row r="160" spans="48:48" x14ac:dyDescent="0.2">
      <c r="AV160" s="96"/>
    </row>
    <row r="161" spans="48:48" x14ac:dyDescent="0.2">
      <c r="AV161" s="96"/>
    </row>
    <row r="162" spans="48:48" x14ac:dyDescent="0.2">
      <c r="AV162" s="96"/>
    </row>
    <row r="163" spans="48:48" x14ac:dyDescent="0.2">
      <c r="AV163" s="96"/>
    </row>
    <row r="164" spans="48:48" x14ac:dyDescent="0.2">
      <c r="AV164" s="96"/>
    </row>
    <row r="165" spans="48:48" x14ac:dyDescent="0.2">
      <c r="AV165" s="96"/>
    </row>
    <row r="166" spans="48:48" x14ac:dyDescent="0.2">
      <c r="AV166" s="96"/>
    </row>
    <row r="167" spans="48:48" x14ac:dyDescent="0.2">
      <c r="AV167" s="96"/>
    </row>
    <row r="168" spans="48:48" x14ac:dyDescent="0.2">
      <c r="AV168" s="96"/>
    </row>
    <row r="169" spans="48:48" x14ac:dyDescent="0.2">
      <c r="AV169" s="96"/>
    </row>
    <row r="170" spans="48:48" x14ac:dyDescent="0.2">
      <c r="AV170" s="96"/>
    </row>
    <row r="171" spans="48:48" x14ac:dyDescent="0.2">
      <c r="AV171" s="96"/>
    </row>
    <row r="172" spans="48:48" x14ac:dyDescent="0.2">
      <c r="AV172" s="96"/>
    </row>
    <row r="173" spans="48:48" x14ac:dyDescent="0.2">
      <c r="AV173" s="96"/>
    </row>
    <row r="174" spans="48:48" x14ac:dyDescent="0.2">
      <c r="AV174" s="96"/>
    </row>
    <row r="175" spans="48:48" x14ac:dyDescent="0.2">
      <c r="AV175" s="96"/>
    </row>
    <row r="176" spans="48:48" x14ac:dyDescent="0.2">
      <c r="AV176" s="96"/>
    </row>
    <row r="177" spans="48:48" x14ac:dyDescent="0.2">
      <c r="AV177" s="96"/>
    </row>
    <row r="178" spans="48:48" x14ac:dyDescent="0.2">
      <c r="AV178" s="96"/>
    </row>
    <row r="179" spans="48:48" x14ac:dyDescent="0.2">
      <c r="AV179" s="96"/>
    </row>
    <row r="180" spans="48:48" x14ac:dyDescent="0.2">
      <c r="AV180" s="96"/>
    </row>
    <row r="181" spans="48:48" x14ac:dyDescent="0.2">
      <c r="AV181" s="96"/>
    </row>
    <row r="182" spans="48:48" x14ac:dyDescent="0.2">
      <c r="AV182" s="96"/>
    </row>
    <row r="183" spans="48:48" x14ac:dyDescent="0.2">
      <c r="AV183" s="96"/>
    </row>
    <row r="184" spans="48:48" x14ac:dyDescent="0.2">
      <c r="AV184" s="96"/>
    </row>
    <row r="185" spans="48:48" x14ac:dyDescent="0.2">
      <c r="AV185" s="96"/>
    </row>
    <row r="186" spans="48:48" x14ac:dyDescent="0.2">
      <c r="AV186" s="96"/>
    </row>
    <row r="187" spans="48:48" x14ac:dyDescent="0.2">
      <c r="AV187" s="96"/>
    </row>
    <row r="188" spans="48:48" x14ac:dyDescent="0.2">
      <c r="AV188" s="96"/>
    </row>
    <row r="189" spans="48:48" x14ac:dyDescent="0.2">
      <c r="AV189" s="96"/>
    </row>
    <row r="190" spans="48:48" x14ac:dyDescent="0.2">
      <c r="AV190" s="96"/>
    </row>
    <row r="191" spans="48:48" x14ac:dyDescent="0.2">
      <c r="AV191" s="96"/>
    </row>
    <row r="192" spans="48:48" x14ac:dyDescent="0.2">
      <c r="AV192" s="96"/>
    </row>
    <row r="193" spans="48:48" x14ac:dyDescent="0.2">
      <c r="AV193" s="96"/>
    </row>
    <row r="194" spans="48:48" x14ac:dyDescent="0.2">
      <c r="AV194" s="96"/>
    </row>
    <row r="195" spans="48:48" x14ac:dyDescent="0.2">
      <c r="AV195" s="96"/>
    </row>
    <row r="196" spans="48:48" x14ac:dyDescent="0.2">
      <c r="AV196" s="96"/>
    </row>
    <row r="197" spans="48:48" x14ac:dyDescent="0.2">
      <c r="AV197" s="96"/>
    </row>
    <row r="198" spans="48:48" x14ac:dyDescent="0.2">
      <c r="AV198" s="96"/>
    </row>
    <row r="199" spans="48:48" x14ac:dyDescent="0.2">
      <c r="AV199" s="96"/>
    </row>
    <row r="200" spans="48:48" x14ac:dyDescent="0.2">
      <c r="AV200" s="96"/>
    </row>
    <row r="201" spans="48:48" x14ac:dyDescent="0.2">
      <c r="AV201" s="96"/>
    </row>
    <row r="202" spans="48:48" x14ac:dyDescent="0.2">
      <c r="AV202" s="96"/>
    </row>
    <row r="203" spans="48:48" x14ac:dyDescent="0.2">
      <c r="AV203" s="96"/>
    </row>
    <row r="204" spans="48:48" x14ac:dyDescent="0.2">
      <c r="AV204" s="96"/>
    </row>
  </sheetData>
  <mergeCells count="23">
    <mergeCell ref="K3:N3"/>
    <mergeCell ref="K2:R2"/>
    <mergeCell ref="T3:W3"/>
    <mergeCell ref="T2:AC2"/>
    <mergeCell ref="B3:I3"/>
    <mergeCell ref="B37:E37"/>
    <mergeCell ref="B48:D48"/>
    <mergeCell ref="B34:E34"/>
    <mergeCell ref="B41:E41"/>
    <mergeCell ref="B42:D42"/>
    <mergeCell ref="B43:D43"/>
    <mergeCell ref="B44:D44"/>
    <mergeCell ref="B45:D45"/>
    <mergeCell ref="B36:F36"/>
    <mergeCell ref="B47:D47"/>
    <mergeCell ref="B46:D46"/>
    <mergeCell ref="B31:E31"/>
    <mergeCell ref="B32:E32"/>
    <mergeCell ref="B26:F26"/>
    <mergeCell ref="B27:E27"/>
    <mergeCell ref="B28:E28"/>
    <mergeCell ref="B29:E29"/>
    <mergeCell ref="B30:E30"/>
  </mergeCells>
  <conditionalFormatting sqref="O3:Q3">
    <cfRule type="cellIs" priority="67" operator="equal">
      <formula>""</formula>
    </cfRule>
    <cfRule type="containsBlanks" priority="68">
      <formula>LEN(TRIM(O3))=0</formula>
    </cfRule>
    <cfRule type="cellIs" dxfId="50" priority="74" operator="equal">
      <formula>"PASS"</formula>
    </cfRule>
  </conditionalFormatting>
  <conditionalFormatting sqref="O3:Q3">
    <cfRule type="cellIs" dxfId="49" priority="70" operator="equal">
      <formula>"FAIL"</formula>
    </cfRule>
  </conditionalFormatting>
  <conditionalFormatting sqref="O3:Q3">
    <cfRule type="containsText" dxfId="48" priority="71" operator="containsText" text="No">
      <formula>NOT(ISERROR(SEARCH("No",O3)))</formula>
    </cfRule>
  </conditionalFormatting>
  <conditionalFormatting sqref="O3:Q3">
    <cfRule type="cellIs" dxfId="47" priority="69" operator="equal">
      <formula>FALSE</formula>
    </cfRule>
    <cfRule type="cellIs" dxfId="46" priority="72" operator="equal">
      <formula>TRUE</formula>
    </cfRule>
    <cfRule type="containsText" dxfId="45" priority="73" operator="containsText" text="Yes">
      <formula>NOT(ISERROR(SEARCH("Yes",O3)))</formula>
    </cfRule>
  </conditionalFormatting>
  <conditionalFormatting sqref="X3:Z3">
    <cfRule type="cellIs" priority="59" operator="equal">
      <formula>""</formula>
    </cfRule>
    <cfRule type="containsBlanks" priority="60">
      <formula>LEN(TRIM(X3))=0</formula>
    </cfRule>
    <cfRule type="cellIs" dxfId="44" priority="66" operator="equal">
      <formula>"PASS"</formula>
    </cfRule>
  </conditionalFormatting>
  <conditionalFormatting sqref="X3:Z3">
    <cfRule type="cellIs" dxfId="43" priority="62" operator="equal">
      <formula>"FAIL"</formula>
    </cfRule>
  </conditionalFormatting>
  <conditionalFormatting sqref="X3:Z3">
    <cfRule type="containsText" dxfId="42" priority="63" operator="containsText" text="No">
      <formula>NOT(ISERROR(SEARCH("No",X3)))</formula>
    </cfRule>
  </conditionalFormatting>
  <conditionalFormatting sqref="X3:Z3">
    <cfRule type="cellIs" dxfId="41" priority="61" operator="equal">
      <formula>FALSE</formula>
    </cfRule>
    <cfRule type="cellIs" dxfId="40" priority="64" operator="equal">
      <formula>TRUE</formula>
    </cfRule>
    <cfRule type="containsText" dxfId="39" priority="65" operator="containsText" text="Yes">
      <formula>NOT(ISERROR(SEARCH("Yes",X3)))</formula>
    </cfRule>
  </conditionalFormatting>
  <conditionalFormatting sqref="AB3">
    <cfRule type="cellIs" priority="51" operator="equal">
      <formula>""</formula>
    </cfRule>
    <cfRule type="containsBlanks" priority="52">
      <formula>LEN(TRIM(AB3))=0</formula>
    </cfRule>
    <cfRule type="cellIs" dxfId="38" priority="58" operator="equal">
      <formula>"PASS"</formula>
    </cfRule>
  </conditionalFormatting>
  <conditionalFormatting sqref="AB3">
    <cfRule type="cellIs" dxfId="37" priority="54" operator="equal">
      <formula>"FAIL"</formula>
    </cfRule>
  </conditionalFormatting>
  <conditionalFormatting sqref="AB3">
    <cfRule type="containsText" dxfId="36" priority="55" operator="containsText" text="No">
      <formula>NOT(ISERROR(SEARCH("No",AB3)))</formula>
    </cfRule>
  </conditionalFormatting>
  <conditionalFormatting sqref="AB3">
    <cfRule type="cellIs" dxfId="35" priority="53" operator="equal">
      <formula>FALSE</formula>
    </cfRule>
    <cfRule type="cellIs" dxfId="34" priority="56" operator="equal">
      <formula>TRUE</formula>
    </cfRule>
    <cfRule type="containsText" dxfId="33" priority="57" operator="containsText" text="Yes">
      <formula>NOT(ISERROR(SEARCH("Yes",AB3)))</formula>
    </cfRule>
  </conditionalFormatting>
  <conditionalFormatting sqref="AC3">
    <cfRule type="cellIs" priority="43" operator="equal">
      <formula>""</formula>
    </cfRule>
    <cfRule type="containsBlanks" priority="44">
      <formula>LEN(TRIM(AC3))=0</formula>
    </cfRule>
    <cfRule type="cellIs" dxfId="32" priority="50" operator="equal">
      <formula>"PASS"</formula>
    </cfRule>
  </conditionalFormatting>
  <conditionalFormatting sqref="AC3">
    <cfRule type="cellIs" dxfId="31" priority="46" operator="equal">
      <formula>"FAIL"</formula>
    </cfRule>
  </conditionalFormatting>
  <conditionalFormatting sqref="AC3">
    <cfRule type="containsText" dxfId="30" priority="47" operator="containsText" text="No">
      <formula>NOT(ISERROR(SEARCH("No",AC3)))</formula>
    </cfRule>
  </conditionalFormatting>
  <conditionalFormatting sqref="AC3">
    <cfRule type="cellIs" dxfId="29" priority="45" operator="equal">
      <formula>FALSE</formula>
    </cfRule>
    <cfRule type="cellIs" dxfId="28" priority="48" operator="equal">
      <formula>TRUE</formula>
    </cfRule>
    <cfRule type="containsText" dxfId="27" priority="49" operator="containsText" text="Yes">
      <formula>NOT(ISERROR(SEARCH("Yes",AC3)))</formula>
    </cfRule>
  </conditionalFormatting>
  <conditionalFormatting sqref="I5:I24">
    <cfRule type="cellIs" dxfId="26" priority="29" operator="equal">
      <formula>0</formula>
    </cfRule>
    <cfRule type="cellIs" priority="30" operator="equal">
      <formula>""</formula>
    </cfRule>
    <cfRule type="containsBlanks" priority="31">
      <formula>LEN(TRIM(I5))=0</formula>
    </cfRule>
  </conditionalFormatting>
  <conditionalFormatting sqref="I5:I24">
    <cfRule type="cellIs" dxfId="25" priority="32" operator="equal">
      <formula>TRUE</formula>
    </cfRule>
    <cfRule type="cellIs" dxfId="24" priority="33" operator="equal">
      <formula>FALSE</formula>
    </cfRule>
  </conditionalFormatting>
  <conditionalFormatting sqref="E45">
    <cfRule type="cellIs" dxfId="23" priority="19" operator="equal">
      <formula>0</formula>
    </cfRule>
    <cfRule type="cellIs" priority="20" operator="equal">
      <formula>""</formula>
    </cfRule>
    <cfRule type="containsBlanks" priority="21">
      <formula>LEN(TRIM(E45))=0</formula>
    </cfRule>
  </conditionalFormatting>
  <conditionalFormatting sqref="E45">
    <cfRule type="cellIs" dxfId="22" priority="22" operator="equal">
      <formula>TRUE</formula>
    </cfRule>
    <cfRule type="cellIs" dxfId="21" priority="23" operator="equal">
      <formula>FALSE</formula>
    </cfRule>
  </conditionalFormatting>
  <conditionalFormatting sqref="F38">
    <cfRule type="cellIs" dxfId="20" priority="9" operator="equal">
      <formula>0</formula>
    </cfRule>
    <cfRule type="cellIs" priority="10" operator="equal">
      <formula>""</formula>
    </cfRule>
    <cfRule type="containsBlanks" priority="11">
      <formula>LEN(TRIM(F38))=0</formula>
    </cfRule>
  </conditionalFormatting>
  <conditionalFormatting sqref="F38">
    <cfRule type="cellIs" dxfId="19" priority="12" operator="equal">
      <formula>TRUE</formula>
    </cfRule>
    <cfRule type="cellIs" dxfId="18" priority="13" operator="equal">
      <formula>FALSE</formula>
    </cfRule>
  </conditionalFormatting>
  <conditionalFormatting sqref="AF18">
    <cfRule type="cellIs" priority="1" operator="equal">
      <formula>""</formula>
    </cfRule>
    <cfRule type="containsBlanks" priority="2">
      <formula>LEN(TRIM(AF18))=0</formula>
    </cfRule>
    <cfRule type="cellIs" dxfId="17" priority="8" operator="equal">
      <formula>"PASS"</formula>
    </cfRule>
  </conditionalFormatting>
  <conditionalFormatting sqref="AF18">
    <cfRule type="cellIs" dxfId="16" priority="4" operator="equal">
      <formula>"FAIL"</formula>
    </cfRule>
  </conditionalFormatting>
  <conditionalFormatting sqref="AF18">
    <cfRule type="containsText" dxfId="15" priority="5" operator="containsText" text="No">
      <formula>NOT(ISERROR(SEARCH("No",AF18)))</formula>
    </cfRule>
  </conditionalFormatting>
  <conditionalFormatting sqref="AF18">
    <cfRule type="cellIs" dxfId="14" priority="3" operator="equal">
      <formula>FALSE</formula>
    </cfRule>
    <cfRule type="cellIs" dxfId="13" priority="6" operator="equal">
      <formula>TRUE</formula>
    </cfRule>
    <cfRule type="containsText" dxfId="12" priority="7" operator="containsText" text="Yes">
      <formula>NOT(ISERROR(SEARCH("Yes",AF18)))</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unCDSBootstrapper">
                <anchor moveWithCells="1" sizeWithCells="1">
                  <from>
                    <xdr:col>30</xdr:col>
                    <xdr:colOff>571500</xdr:colOff>
                    <xdr:row>23</xdr:row>
                    <xdr:rowOff>99060</xdr:rowOff>
                  </from>
                  <to>
                    <xdr:col>31</xdr:col>
                    <xdr:colOff>708660</xdr:colOff>
                    <xdr:row>25</xdr:row>
                    <xdr:rowOff>121920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D2D2D677-7280-4F88-B3BF-25BB6F31E539}">
          <x14:formula1>
            <xm:f>DataValidation!$H$2:$H$3</xm:f>
          </x14:formula1>
          <xm:sqref>E45</xm:sqref>
        </x14:dataValidation>
        <x14:dataValidation type="list" allowBlank="1" showInputMessage="1" showErrorMessage="1" xr:uid="{51AC9776-4239-4B8A-B8A0-F3C763A8F848}">
          <x14:formula1>
            <xm:f>DataValidation!$G$2:$G$4</xm:f>
          </x14:formula1>
          <xm:sqref>E44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9CDA1-B67F-4897-B997-C2B06E4B1A2D}">
  <sheetPr codeName="Sheet1"/>
  <dimension ref="B2:Q15"/>
  <sheetViews>
    <sheetView workbookViewId="0">
      <selection activeCell="B3" sqref="B3"/>
    </sheetView>
  </sheetViews>
  <sheetFormatPr defaultColWidth="9.109375" defaultRowHeight="11.4" x14ac:dyDescent="0.2"/>
  <cols>
    <col min="1" max="1" width="9.109375" style="130"/>
    <col min="2" max="2" width="5.109375" style="130" bestFit="1" customWidth="1"/>
    <col min="3" max="3" width="11.88671875" style="130" bestFit="1" customWidth="1"/>
    <col min="4" max="4" width="6.5546875" style="130" bestFit="1" customWidth="1"/>
    <col min="5" max="5" width="5.5546875" style="132" bestFit="1" customWidth="1"/>
    <col min="6" max="6" width="9.88671875" style="130" bestFit="1" customWidth="1"/>
    <col min="7" max="7" width="10.109375" style="130" bestFit="1" customWidth="1"/>
    <col min="8" max="8" width="12.88671875" style="130" bestFit="1" customWidth="1"/>
    <col min="9" max="9" width="16" style="130" bestFit="1" customWidth="1"/>
    <col min="10" max="10" width="9.88671875" style="130" bestFit="1" customWidth="1"/>
    <col min="11" max="11" width="10.109375" style="130" bestFit="1" customWidth="1"/>
    <col min="12" max="12" width="12.88671875" style="130" bestFit="1" customWidth="1"/>
    <col min="13" max="13" width="20.6640625" style="130" bestFit="1" customWidth="1"/>
    <col min="14" max="14" width="9.88671875" style="130" bestFit="1" customWidth="1"/>
    <col min="15" max="15" width="10.109375" style="130" bestFit="1" customWidth="1"/>
    <col min="16" max="16" width="12.88671875" style="130" bestFit="1" customWidth="1"/>
    <col min="17" max="17" width="20.6640625" style="130" bestFit="1" customWidth="1"/>
    <col min="18" max="16384" width="9.109375" style="130"/>
  </cols>
  <sheetData>
    <row r="2" spans="2:17" x14ac:dyDescent="0.2">
      <c r="B2" s="166" t="s">
        <v>125</v>
      </c>
      <c r="C2" s="167"/>
      <c r="D2" s="167"/>
      <c r="E2" s="167"/>
      <c r="F2" s="167"/>
      <c r="G2" s="167"/>
      <c r="H2" s="167"/>
      <c r="I2" s="167"/>
      <c r="J2" s="166" t="s">
        <v>110</v>
      </c>
      <c r="K2" s="167"/>
      <c r="L2" s="167"/>
      <c r="M2" s="168"/>
      <c r="N2" s="169" t="s">
        <v>144</v>
      </c>
      <c r="O2" s="167"/>
      <c r="P2" s="167"/>
      <c r="Q2" s="168"/>
    </row>
    <row r="3" spans="2:17" x14ac:dyDescent="0.2">
      <c r="B3" s="136" t="s">
        <v>28</v>
      </c>
      <c r="C3" s="136" t="s">
        <v>17</v>
      </c>
      <c r="D3" s="136" t="s">
        <v>107</v>
      </c>
      <c r="E3" s="137" t="s">
        <v>3</v>
      </c>
      <c r="F3" s="138" t="s">
        <v>60</v>
      </c>
      <c r="G3" s="138" t="s">
        <v>69</v>
      </c>
      <c r="H3" s="138" t="s">
        <v>71</v>
      </c>
      <c r="I3" s="138" t="s">
        <v>277</v>
      </c>
      <c r="J3" s="136" t="s">
        <v>60</v>
      </c>
      <c r="K3" s="138" t="s">
        <v>69</v>
      </c>
      <c r="L3" s="138" t="s">
        <v>71</v>
      </c>
      <c r="M3" s="139" t="s">
        <v>111</v>
      </c>
      <c r="N3" s="136" t="s">
        <v>60</v>
      </c>
      <c r="O3" s="138" t="s">
        <v>69</v>
      </c>
      <c r="P3" s="138" t="s">
        <v>71</v>
      </c>
      <c r="Q3" s="139" t="s">
        <v>111</v>
      </c>
    </row>
    <row r="4" spans="2:17" x14ac:dyDescent="0.2">
      <c r="B4" s="131" cm="1">
        <f t="array" ref="B4:B15">_xlfn.ANCHORARRAY(Calculations!K5)</f>
        <v>1</v>
      </c>
      <c r="C4" s="132" cm="1">
        <f t="array" ref="C4:C15">_xlfn.ANCHORARRAY(Calculations!L5)</f>
        <v>45555</v>
      </c>
      <c r="D4" s="133" cm="1">
        <f t="array" ref="D4:D15">_xlfn.ANCHORARRAY(Calculations!M5)</f>
        <v>0.47267759562841533</v>
      </c>
      <c r="E4" s="132" t="str" cm="1">
        <f t="array" ref="E4:E15">_xlfn.ANCHORARRAY(Calculations!N5)</f>
        <v>3M</v>
      </c>
      <c r="F4" s="134" cm="1">
        <f t="array" ref="F4:F15">_xlfn.ANCHORARRAY(Calculations!O5)</f>
        <v>0</v>
      </c>
      <c r="G4" s="134" cm="1">
        <f t="array" ref="G4:G15">_xlfn.ANCHORARRAY(Calculations!P5)</f>
        <v>0</v>
      </c>
      <c r="H4" s="134" cm="1">
        <f t="array" ref="H4:H15">_xlfn.ANCHORARRAY(Calculations!Q5)</f>
        <v>0.01</v>
      </c>
      <c r="I4" s="134" cm="1">
        <f t="array" ref="I4:I15">_xlfn.ANCHORARRAY(Calculations!R5)</f>
        <v>0</v>
      </c>
      <c r="J4" s="134" cm="1">
        <f t="array" ref="J4:J15">IF(DataFieldToUseForSolve=J$3,"",_xlfn._xlws.FILTER(Calculations!X5:X24,Calculations!$V$5:$V$24&gt;0))</f>
        <v>0.01</v>
      </c>
      <c r="K4" s="134" cm="1">
        <f t="array" ref="K4:K15">IF(DataFieldToUseForSolve=K$3,"",_xlfn._xlws.FILTER(Calculations!Y5:Y24,Calculations!$V$5:$V$24&gt;0))</f>
        <v>0</v>
      </c>
      <c r="L4" s="134" t="str" cm="1">
        <f t="array" ref="L4">IF(DataFieldToUseForSolve=L$3,"",_xlfn._xlws.FILTER(Calculations!Z5:Z24,Calculations!$V$5:$V$24&gt;0))</f>
        <v/>
      </c>
      <c r="M4" s="134" cm="1">
        <f t="array" ref="M4:M15">_xlfn._xlws.FILTER(Calculations!AA5:AA24,Calculations!$V$5:$V$24&gt;0)</f>
        <v>8.0536733420167872E-3</v>
      </c>
      <c r="N4" s="135" cm="1">
        <f t="array" ref="N4:N15">IF(DataFieldToUseForSolve=N$3,"",(_xlfn.ANCHORARRAY(F4)-_xlfn.ANCHORARRAY(J4))*100*100)</f>
        <v>-100</v>
      </c>
      <c r="O4" s="135" cm="1">
        <f t="array" ref="O4:O15">IF(DataFieldToUseForSolve=O$3,"",(_xlfn.ANCHORARRAY(G4)-_xlfn.ANCHORARRAY(K4))*100*100)</f>
        <v>0</v>
      </c>
      <c r="P4" s="135" t="str" cm="1">
        <f t="array" ref="P4">IF(DataFieldToUseForSolve=P$3,"",(_xlfn.ANCHORARRAY(H4)-_xlfn.ANCHORARRAY(L4))*100*100)</f>
        <v/>
      </c>
      <c r="Q4" s="135" cm="1">
        <f t="array" ref="Q4:Q15">(_xlfn.ANCHORARRAY(I4)-_xlfn.ANCHORARRAY(M4))*100*100</f>
        <v>-80.536733420167877</v>
      </c>
    </row>
    <row r="5" spans="2:17" x14ac:dyDescent="0.2">
      <c r="B5" s="131">
        <v>2</v>
      </c>
      <c r="C5" s="132">
        <v>45646</v>
      </c>
      <c r="D5" s="133">
        <v>0.72131147540983609</v>
      </c>
      <c r="E5" s="132" t="str">
        <v>6M</v>
      </c>
      <c r="F5" s="134">
        <v>0</v>
      </c>
      <c r="G5" s="134">
        <v>0</v>
      </c>
      <c r="H5" s="134">
        <v>0.01</v>
      </c>
      <c r="I5" s="134">
        <v>0</v>
      </c>
      <c r="J5" s="134">
        <v>0.01</v>
      </c>
      <c r="K5" s="134">
        <v>0</v>
      </c>
      <c r="L5" s="134"/>
      <c r="M5" s="134">
        <v>1.2215174228515702E-2</v>
      </c>
      <c r="N5" s="135">
        <v>-100</v>
      </c>
      <c r="O5" s="135">
        <v>0</v>
      </c>
      <c r="P5" s="135"/>
      <c r="Q5" s="135">
        <v>-122.15174228515701</v>
      </c>
    </row>
    <row r="6" spans="2:17" x14ac:dyDescent="0.2">
      <c r="B6" s="131">
        <v>3</v>
      </c>
      <c r="C6" s="132">
        <v>45828</v>
      </c>
      <c r="D6" s="133">
        <v>1.2202462380300958</v>
      </c>
      <c r="E6" s="132" t="str">
        <v>1Y</v>
      </c>
      <c r="F6" s="134">
        <v>0</v>
      </c>
      <c r="G6" s="134">
        <v>0</v>
      </c>
      <c r="H6" s="134">
        <v>0.01</v>
      </c>
      <c r="I6" s="134">
        <v>0</v>
      </c>
      <c r="J6" s="134">
        <v>0.01</v>
      </c>
      <c r="K6" s="134">
        <v>0</v>
      </c>
      <c r="L6" s="134"/>
      <c r="M6" s="134">
        <v>2.0485872503154146E-2</v>
      </c>
      <c r="N6" s="135">
        <v>-100</v>
      </c>
      <c r="O6" s="135">
        <v>0</v>
      </c>
      <c r="P6" s="135"/>
      <c r="Q6" s="135">
        <v>-204.85872503154147</v>
      </c>
    </row>
    <row r="7" spans="2:17" x14ac:dyDescent="0.2">
      <c r="B7" s="131">
        <v>4</v>
      </c>
      <c r="C7" s="132">
        <v>46193</v>
      </c>
      <c r="D7" s="133">
        <v>2.2198905109489053</v>
      </c>
      <c r="E7" s="132" t="str">
        <v>2Y</v>
      </c>
      <c r="F7" s="134">
        <v>0</v>
      </c>
      <c r="G7" s="134">
        <v>0</v>
      </c>
      <c r="H7" s="134">
        <v>0.01</v>
      </c>
      <c r="I7" s="134">
        <v>0</v>
      </c>
      <c r="J7" s="134">
        <v>0.01</v>
      </c>
      <c r="K7" s="134">
        <v>0</v>
      </c>
      <c r="L7" s="134"/>
      <c r="M7" s="134">
        <v>3.6953274023842742E-2</v>
      </c>
      <c r="N7" s="135">
        <v>-100</v>
      </c>
      <c r="O7" s="135">
        <v>0</v>
      </c>
      <c r="P7" s="135"/>
      <c r="Q7" s="135">
        <v>-369.53274023842744</v>
      </c>
    </row>
    <row r="8" spans="2:17" x14ac:dyDescent="0.2">
      <c r="B8" s="131">
        <v>5</v>
      </c>
      <c r="C8" s="132">
        <v>46558</v>
      </c>
      <c r="D8" s="133">
        <v>3.2197125256673513</v>
      </c>
      <c r="E8" s="132" t="str">
        <v>3Y</v>
      </c>
      <c r="F8" s="134">
        <v>0</v>
      </c>
      <c r="G8" s="134">
        <v>0</v>
      </c>
      <c r="H8" s="134">
        <v>0.01</v>
      </c>
      <c r="I8" s="134">
        <v>0</v>
      </c>
      <c r="J8" s="134">
        <v>0.01</v>
      </c>
      <c r="K8" s="134">
        <v>0</v>
      </c>
      <c r="L8" s="134"/>
      <c r="M8" s="134">
        <v>5.3012892775774034E-2</v>
      </c>
      <c r="N8" s="135">
        <v>-100</v>
      </c>
      <c r="O8" s="135">
        <v>0</v>
      </c>
      <c r="P8" s="135"/>
      <c r="Q8" s="135">
        <v>-530.12892775774037</v>
      </c>
    </row>
    <row r="9" spans="2:17" x14ac:dyDescent="0.2">
      <c r="B9" s="131">
        <v>6</v>
      </c>
      <c r="C9" s="132">
        <v>46924</v>
      </c>
      <c r="D9" s="133">
        <v>4.2200328407224958</v>
      </c>
      <c r="E9" s="132" t="str">
        <v>4Y</v>
      </c>
      <c r="F9" s="134">
        <v>0</v>
      </c>
      <c r="G9" s="134">
        <v>0</v>
      </c>
      <c r="H9" s="134">
        <v>0.01</v>
      </c>
      <c r="I9" s="134">
        <v>0</v>
      </c>
      <c r="J9" s="134">
        <v>0.01</v>
      </c>
      <c r="K9" s="134">
        <v>0</v>
      </c>
      <c r="L9" s="134"/>
      <c r="M9" s="134">
        <v>6.8847633627974858E-2</v>
      </c>
      <c r="N9" s="135">
        <v>-100</v>
      </c>
      <c r="O9" s="135">
        <v>0</v>
      </c>
      <c r="P9" s="135"/>
      <c r="Q9" s="135">
        <v>-688.47633627974858</v>
      </c>
    </row>
    <row r="10" spans="2:17" x14ac:dyDescent="0.2">
      <c r="B10" s="131">
        <v>7</v>
      </c>
      <c r="C10" s="132">
        <v>47289</v>
      </c>
      <c r="D10" s="133">
        <v>5.2198905109489058</v>
      </c>
      <c r="E10" s="132" t="str">
        <v>5Y</v>
      </c>
      <c r="F10" s="134">
        <v>0</v>
      </c>
      <c r="G10" s="134">
        <v>0</v>
      </c>
      <c r="H10" s="134">
        <v>0.01</v>
      </c>
      <c r="I10" s="134">
        <v>0</v>
      </c>
      <c r="J10" s="134">
        <v>0.01</v>
      </c>
      <c r="K10" s="134">
        <v>0</v>
      </c>
      <c r="L10" s="134"/>
      <c r="M10" s="134">
        <v>8.4417594674555563E-2</v>
      </c>
      <c r="N10" s="135">
        <v>-100</v>
      </c>
      <c r="O10" s="135">
        <v>0</v>
      </c>
      <c r="P10" s="135"/>
      <c r="Q10" s="135">
        <v>-844.17594674555562</v>
      </c>
    </row>
    <row r="11" spans="2:17" x14ac:dyDescent="0.2">
      <c r="B11" s="131">
        <v>8</v>
      </c>
      <c r="C11" s="132">
        <v>48019</v>
      </c>
      <c r="D11" s="133">
        <v>7.2197125256673509</v>
      </c>
      <c r="E11" s="132" t="str">
        <v>7Y</v>
      </c>
      <c r="F11" s="134">
        <v>0</v>
      </c>
      <c r="G11" s="134">
        <v>0</v>
      </c>
      <c r="H11" s="134">
        <v>0.01</v>
      </c>
      <c r="I11" s="134">
        <v>0</v>
      </c>
      <c r="J11" s="134">
        <v>0.01</v>
      </c>
      <c r="K11" s="134">
        <v>0</v>
      </c>
      <c r="L11" s="134"/>
      <c r="M11" s="134">
        <v>0.11478082597536077</v>
      </c>
      <c r="N11" s="135">
        <v>-100</v>
      </c>
      <c r="O11" s="135">
        <v>0</v>
      </c>
      <c r="P11" s="135"/>
      <c r="Q11" s="135">
        <v>-1147.8082597536077</v>
      </c>
    </row>
    <row r="12" spans="2:17" x14ac:dyDescent="0.2">
      <c r="B12" s="131">
        <v>9</v>
      </c>
      <c r="C12" s="132">
        <v>49115</v>
      </c>
      <c r="D12" s="133">
        <v>10.219761075161772</v>
      </c>
      <c r="E12" s="132" t="str">
        <v>10Y</v>
      </c>
      <c r="F12" s="134">
        <v>0</v>
      </c>
      <c r="G12" s="134">
        <v>0</v>
      </c>
      <c r="H12" s="134">
        <v>0.01</v>
      </c>
      <c r="I12" s="134">
        <v>0</v>
      </c>
      <c r="J12" s="134">
        <v>0.01</v>
      </c>
      <c r="K12" s="134">
        <v>0</v>
      </c>
      <c r="L12" s="134"/>
      <c r="M12" s="134">
        <v>0.15848694047769663</v>
      </c>
      <c r="N12" s="135">
        <v>-100</v>
      </c>
      <c r="O12" s="135">
        <v>0</v>
      </c>
      <c r="P12" s="135"/>
      <c r="Q12" s="135">
        <v>-1584.8694047769661</v>
      </c>
    </row>
    <row r="13" spans="2:17" x14ac:dyDescent="0.2">
      <c r="B13" s="131">
        <v>10</v>
      </c>
      <c r="C13" s="132">
        <v>50941</v>
      </c>
      <c r="D13" s="133">
        <v>15.219712525667351</v>
      </c>
      <c r="E13" s="132" t="str">
        <v>15Y</v>
      </c>
      <c r="F13" s="134">
        <v>0</v>
      </c>
      <c r="G13" s="134">
        <v>0</v>
      </c>
      <c r="H13" s="134">
        <v>0.01</v>
      </c>
      <c r="I13" s="134">
        <v>0</v>
      </c>
      <c r="J13" s="134">
        <v>0.01</v>
      </c>
      <c r="K13" s="134">
        <v>0</v>
      </c>
      <c r="L13" s="134"/>
      <c r="M13" s="134">
        <v>0.22659982994191441</v>
      </c>
      <c r="N13" s="135">
        <v>-100</v>
      </c>
      <c r="O13" s="135">
        <v>0</v>
      </c>
      <c r="P13" s="135"/>
      <c r="Q13" s="135">
        <v>-2265.9982994191441</v>
      </c>
    </row>
    <row r="14" spans="2:17" x14ac:dyDescent="0.2">
      <c r="B14" s="131">
        <v>11</v>
      </c>
      <c r="C14" s="132">
        <v>52768</v>
      </c>
      <c r="D14" s="133">
        <v>20.219788815017598</v>
      </c>
      <c r="E14" s="132" t="str">
        <v>20Y</v>
      </c>
      <c r="F14" s="134">
        <v>0</v>
      </c>
      <c r="G14" s="134">
        <v>0</v>
      </c>
      <c r="H14" s="134">
        <v>0.01</v>
      </c>
      <c r="I14" s="134">
        <v>0</v>
      </c>
      <c r="J14" s="134">
        <v>0.01</v>
      </c>
      <c r="K14" s="134">
        <v>0</v>
      </c>
      <c r="L14" s="134"/>
      <c r="M14" s="134">
        <v>0.28919961105104364</v>
      </c>
      <c r="N14" s="135">
        <v>-100</v>
      </c>
      <c r="O14" s="135">
        <v>0</v>
      </c>
      <c r="P14" s="135"/>
      <c r="Q14" s="135">
        <v>-2891.9961105104362</v>
      </c>
    </row>
    <row r="15" spans="2:17" x14ac:dyDescent="0.2">
      <c r="B15" s="131">
        <v>12</v>
      </c>
      <c r="C15" s="132">
        <v>56420</v>
      </c>
      <c r="D15" s="133">
        <v>30.21972975359887</v>
      </c>
      <c r="E15" s="132" t="str">
        <v>30Y</v>
      </c>
      <c r="F15" s="134">
        <v>0</v>
      </c>
      <c r="G15" s="134">
        <v>0</v>
      </c>
      <c r="H15" s="134">
        <v>0.01</v>
      </c>
      <c r="I15" s="134">
        <v>0</v>
      </c>
      <c r="J15" s="134">
        <v>0.01</v>
      </c>
      <c r="K15" s="134">
        <v>0</v>
      </c>
      <c r="L15" s="134"/>
      <c r="M15" s="134">
        <v>0.39958097520613023</v>
      </c>
      <c r="N15" s="135">
        <v>-100</v>
      </c>
      <c r="O15" s="135">
        <v>0</v>
      </c>
      <c r="P15" s="135"/>
      <c r="Q15" s="135">
        <v>-3995.8097520613023</v>
      </c>
    </row>
  </sheetData>
  <mergeCells count="3">
    <mergeCell ref="B2:I2"/>
    <mergeCell ref="J2:M2"/>
    <mergeCell ref="N2:Q2"/>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74E63-5EC6-4202-B2CD-BA9A244FFB64}">
  <sheetPr codeName="Sheet4"/>
  <dimension ref="A1:J6"/>
  <sheetViews>
    <sheetView workbookViewId="0">
      <selection activeCell="E16" sqref="E16"/>
    </sheetView>
  </sheetViews>
  <sheetFormatPr defaultColWidth="9.109375" defaultRowHeight="11.4" x14ac:dyDescent="0.2"/>
  <cols>
    <col min="1" max="1" width="18.6640625" style="35" bestFit="1" customWidth="1"/>
    <col min="2" max="2" width="19" style="35" bestFit="1" customWidth="1"/>
    <col min="3" max="3" width="12.44140625" style="35" bestFit="1" customWidth="1"/>
    <col min="4" max="4" width="14.109375" style="35" bestFit="1" customWidth="1"/>
    <col min="5" max="5" width="16.109375" style="35" bestFit="1" customWidth="1"/>
    <col min="6" max="6" width="16.5546875" style="35" bestFit="1" customWidth="1"/>
    <col min="7" max="7" width="9" style="35" bestFit="1" customWidth="1"/>
    <col min="8" max="8" width="7.5546875" style="35" bestFit="1" customWidth="1"/>
    <col min="9" max="9" width="23.109375" style="35" bestFit="1" customWidth="1"/>
    <col min="10" max="10" width="9.5546875" style="35" bestFit="1" customWidth="1"/>
    <col min="11" max="16384" width="9.109375" style="35"/>
  </cols>
  <sheetData>
    <row r="1" spans="1:10" x14ac:dyDescent="0.2">
      <c r="A1" s="71" t="s">
        <v>26</v>
      </c>
      <c r="B1" s="71" t="s">
        <v>27</v>
      </c>
      <c r="C1" s="71" t="s">
        <v>31</v>
      </c>
      <c r="D1" s="71" t="s">
        <v>35</v>
      </c>
      <c r="E1" s="71" t="s">
        <v>38</v>
      </c>
      <c r="F1" s="71" t="s">
        <v>48</v>
      </c>
      <c r="G1" s="71" t="s">
        <v>49</v>
      </c>
      <c r="H1" s="71" t="s">
        <v>52</v>
      </c>
      <c r="I1" s="71" t="s">
        <v>68</v>
      </c>
      <c r="J1" s="71" t="s">
        <v>272</v>
      </c>
    </row>
    <row r="2" spans="1:10" x14ac:dyDescent="0.2">
      <c r="A2" s="35" t="s">
        <v>21</v>
      </c>
      <c r="B2" s="35">
        <v>0</v>
      </c>
      <c r="C2" s="35">
        <v>100</v>
      </c>
      <c r="D2" s="35" t="s">
        <v>0</v>
      </c>
      <c r="E2" s="35" t="s">
        <v>39</v>
      </c>
      <c r="F2" s="35" t="s">
        <v>44</v>
      </c>
      <c r="H2" s="35" t="b">
        <v>1</v>
      </c>
      <c r="I2" s="35" t="s">
        <v>69</v>
      </c>
      <c r="J2" s="108" t="s">
        <v>271</v>
      </c>
    </row>
    <row r="3" spans="1:10" x14ac:dyDescent="0.2">
      <c r="A3" s="35" t="s">
        <v>22</v>
      </c>
      <c r="B3" s="35">
        <v>1</v>
      </c>
      <c r="C3" s="35">
        <v>500</v>
      </c>
      <c r="D3" s="35" t="s">
        <v>1</v>
      </c>
      <c r="E3" s="35" t="s">
        <v>37</v>
      </c>
      <c r="F3" s="35" t="s">
        <v>45</v>
      </c>
      <c r="G3" s="35" t="s">
        <v>42</v>
      </c>
      <c r="H3" s="35" t="b">
        <v>0</v>
      </c>
      <c r="I3" s="35" t="s">
        <v>71</v>
      </c>
      <c r="J3" s="108" t="s">
        <v>273</v>
      </c>
    </row>
    <row r="4" spans="1:10" x14ac:dyDescent="0.2">
      <c r="A4" s="35" t="s">
        <v>23</v>
      </c>
      <c r="B4" s="35">
        <v>2</v>
      </c>
      <c r="D4" s="35" t="s">
        <v>2</v>
      </c>
      <c r="E4" s="35" t="s">
        <v>40</v>
      </c>
      <c r="F4" s="35" t="s">
        <v>46</v>
      </c>
      <c r="G4" s="35" t="s">
        <v>43</v>
      </c>
      <c r="I4" s="108" t="s">
        <v>60</v>
      </c>
    </row>
    <row r="5" spans="1:10" x14ac:dyDescent="0.2">
      <c r="A5" s="35" t="s">
        <v>24</v>
      </c>
      <c r="B5" s="35">
        <v>3</v>
      </c>
      <c r="E5" s="35" t="s">
        <v>41</v>
      </c>
      <c r="F5" s="35" t="s">
        <v>47</v>
      </c>
    </row>
    <row r="6" spans="1:10" x14ac:dyDescent="0.2">
      <c r="A6" s="35" t="s">
        <v>25</v>
      </c>
      <c r="B6" s="35">
        <v>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7FF28-ABA9-407B-9F57-3B6129F7A52C}">
  <sheetPr codeName="Sheet2"/>
  <dimension ref="A1:N1937"/>
  <sheetViews>
    <sheetView workbookViewId="0">
      <selection activeCell="D2" sqref="D2"/>
    </sheetView>
  </sheetViews>
  <sheetFormatPr defaultColWidth="9.109375" defaultRowHeight="13.2" x14ac:dyDescent="0.25"/>
  <cols>
    <col min="1" max="1" width="15" style="100" bestFit="1" customWidth="1"/>
    <col min="2" max="2" width="9.109375" style="98"/>
    <col min="3" max="3" width="10.109375" style="98" bestFit="1" customWidth="1"/>
    <col min="4" max="4" width="41" style="98" bestFit="1" customWidth="1"/>
    <col min="5" max="5" width="10.109375" style="98" bestFit="1" customWidth="1"/>
    <col min="6" max="6" width="19.44140625" style="98" bestFit="1" customWidth="1"/>
    <col min="7" max="7" width="10.109375" style="98" bestFit="1" customWidth="1"/>
    <col min="8" max="8" width="30.5546875" style="98" bestFit="1" customWidth="1"/>
    <col min="9" max="9" width="10.109375" style="98" bestFit="1" customWidth="1"/>
    <col min="10" max="10" width="27.5546875" style="98" bestFit="1" customWidth="1"/>
    <col min="11" max="11" width="10.109375" style="98" bestFit="1" customWidth="1"/>
    <col min="12" max="12" width="33.5546875" style="98" bestFit="1" customWidth="1"/>
    <col min="13" max="13" width="10.109375" style="98" bestFit="1" customWidth="1"/>
    <col min="14" max="14" width="43.33203125" style="98" bestFit="1" customWidth="1"/>
    <col min="15" max="16384" width="9.109375" style="98"/>
  </cols>
  <sheetData>
    <row r="1" spans="1:14" x14ac:dyDescent="0.25">
      <c r="A1" s="100" t="s">
        <v>50</v>
      </c>
      <c r="C1" s="98" t="s">
        <v>255</v>
      </c>
      <c r="D1" s="98" t="s">
        <v>254</v>
      </c>
      <c r="E1" s="98" t="s">
        <v>253</v>
      </c>
      <c r="F1" s="98" t="s">
        <v>252</v>
      </c>
      <c r="G1" s="98" t="s">
        <v>251</v>
      </c>
      <c r="H1" s="98" t="s">
        <v>250</v>
      </c>
      <c r="I1" s="98" t="s">
        <v>249</v>
      </c>
      <c r="J1" s="98" t="s">
        <v>248</v>
      </c>
      <c r="K1" s="98" t="s">
        <v>247</v>
      </c>
      <c r="L1" s="98" t="s">
        <v>246</v>
      </c>
      <c r="M1" s="98" t="s">
        <v>245</v>
      </c>
      <c r="N1" s="98" t="s">
        <v>244</v>
      </c>
    </row>
    <row r="2" spans="1:14" x14ac:dyDescent="0.25">
      <c r="A2" s="100" cm="1">
        <f t="array" ref="A2:A1641">_xlfn.IFS(CCY="AUD",Holidays_AUD,CCY="EUR",Holidays_EUR,CCY="GBP",Holidays_GBP,CCY="JPY",Holidays_JPY,CCY="NZD",Holidays_NZD,CCY="USD",Holidays_USD)</f>
        <v>32874</v>
      </c>
      <c r="C2" s="99">
        <v>32874</v>
      </c>
      <c r="D2" s="98" t="s">
        <v>160</v>
      </c>
      <c r="E2" s="99">
        <v>36526</v>
      </c>
      <c r="F2" s="98" t="s">
        <v>160</v>
      </c>
      <c r="G2" s="99">
        <v>32874</v>
      </c>
      <c r="H2" s="98" t="s">
        <v>160</v>
      </c>
      <c r="I2" s="99">
        <v>32874</v>
      </c>
      <c r="J2" s="98" t="s">
        <v>161</v>
      </c>
      <c r="K2" s="99">
        <v>32874</v>
      </c>
      <c r="L2" s="98" t="s">
        <v>160</v>
      </c>
      <c r="M2" s="99">
        <v>32874</v>
      </c>
      <c r="N2" s="98" t="s">
        <v>160</v>
      </c>
    </row>
    <row r="3" spans="1:14" x14ac:dyDescent="0.25">
      <c r="A3" s="100">
        <v>32888</v>
      </c>
      <c r="C3" s="99">
        <v>32899</v>
      </c>
      <c r="D3" s="98" t="s">
        <v>171</v>
      </c>
      <c r="E3" s="99">
        <v>36637</v>
      </c>
      <c r="F3" s="98" t="s">
        <v>159</v>
      </c>
      <c r="G3" s="99">
        <v>32976</v>
      </c>
      <c r="H3" s="98" t="s">
        <v>159</v>
      </c>
      <c r="I3" s="99">
        <v>32888</v>
      </c>
      <c r="J3" s="98" t="s">
        <v>164</v>
      </c>
      <c r="K3" s="99">
        <v>32875</v>
      </c>
      <c r="L3" s="98" t="s">
        <v>165</v>
      </c>
      <c r="M3" s="99">
        <v>32888</v>
      </c>
      <c r="N3" s="98" t="s">
        <v>197</v>
      </c>
    </row>
    <row r="4" spans="1:14" x14ac:dyDescent="0.25">
      <c r="A4" s="100">
        <v>32916</v>
      </c>
      <c r="C4" s="99">
        <v>32976</v>
      </c>
      <c r="D4" s="98" t="s">
        <v>159</v>
      </c>
      <c r="E4" s="99">
        <v>36640</v>
      </c>
      <c r="F4" s="98" t="s">
        <v>162</v>
      </c>
      <c r="G4" s="99">
        <v>32979</v>
      </c>
      <c r="H4" s="98" t="s">
        <v>162</v>
      </c>
      <c r="I4" s="99">
        <v>32915</v>
      </c>
      <c r="J4" s="98" t="s">
        <v>168</v>
      </c>
      <c r="K4" s="99">
        <v>32902</v>
      </c>
      <c r="L4" s="98" t="s">
        <v>206</v>
      </c>
      <c r="M4" s="99">
        <v>32916</v>
      </c>
      <c r="N4" s="98" t="s">
        <v>204</v>
      </c>
    </row>
    <row r="5" spans="1:14" x14ac:dyDescent="0.25">
      <c r="A5" s="100">
        <v>32923</v>
      </c>
      <c r="C5" s="99">
        <v>32977</v>
      </c>
      <c r="D5" s="98" t="s">
        <v>176</v>
      </c>
      <c r="E5" s="99">
        <v>36647</v>
      </c>
      <c r="F5" s="98" t="s">
        <v>172</v>
      </c>
      <c r="G5" s="99">
        <v>33000</v>
      </c>
      <c r="H5" s="98" t="s">
        <v>163</v>
      </c>
      <c r="I5" s="99">
        <v>32916</v>
      </c>
      <c r="J5" s="98" t="s">
        <v>212</v>
      </c>
      <c r="K5" s="99">
        <v>32910</v>
      </c>
      <c r="L5" s="98" t="s">
        <v>169</v>
      </c>
      <c r="M5" s="99">
        <v>32923</v>
      </c>
      <c r="N5" s="98" t="s">
        <v>199</v>
      </c>
    </row>
    <row r="6" spans="1:14" x14ac:dyDescent="0.25">
      <c r="A6" s="100">
        <v>33021</v>
      </c>
      <c r="C6" s="99">
        <v>32979</v>
      </c>
      <c r="D6" s="98" t="s">
        <v>162</v>
      </c>
      <c r="E6" s="99">
        <v>36885</v>
      </c>
      <c r="F6" s="98" t="s">
        <v>177</v>
      </c>
      <c r="G6" s="99">
        <v>33021</v>
      </c>
      <c r="H6" s="98" t="s">
        <v>167</v>
      </c>
      <c r="I6" s="99">
        <v>32953</v>
      </c>
      <c r="J6" s="98" t="s">
        <v>178</v>
      </c>
      <c r="K6" s="99">
        <v>32976</v>
      </c>
      <c r="L6" s="98" t="s">
        <v>159</v>
      </c>
      <c r="M6" s="99">
        <v>33021</v>
      </c>
      <c r="N6" s="98" t="s">
        <v>166</v>
      </c>
    </row>
    <row r="7" spans="1:14" x14ac:dyDescent="0.25">
      <c r="A7" s="100">
        <v>33058</v>
      </c>
      <c r="C7" s="99">
        <v>32988</v>
      </c>
      <c r="D7" s="98" t="s">
        <v>185</v>
      </c>
      <c r="E7" s="99">
        <v>36886</v>
      </c>
      <c r="F7" s="98" t="s">
        <v>243</v>
      </c>
      <c r="G7" s="99">
        <v>33112</v>
      </c>
      <c r="H7" s="98" t="s">
        <v>193</v>
      </c>
      <c r="I7" s="99">
        <v>32992</v>
      </c>
      <c r="J7" s="98" t="s">
        <v>190</v>
      </c>
      <c r="K7" s="99">
        <v>32979</v>
      </c>
      <c r="L7" s="98" t="s">
        <v>162</v>
      </c>
      <c r="M7" s="99">
        <v>33058</v>
      </c>
      <c r="N7" s="98" t="s">
        <v>175</v>
      </c>
    </row>
    <row r="8" spans="1:14" x14ac:dyDescent="0.25">
      <c r="A8" s="100">
        <v>33119</v>
      </c>
      <c r="C8" s="99">
        <v>33035</v>
      </c>
      <c r="D8" s="98" t="s">
        <v>228</v>
      </c>
      <c r="E8" s="99">
        <v>36891</v>
      </c>
      <c r="F8" s="98" t="s">
        <v>221</v>
      </c>
      <c r="G8" s="99">
        <v>33232</v>
      </c>
      <c r="H8" s="98" t="s">
        <v>177</v>
      </c>
      <c r="I8" s="99">
        <v>32993</v>
      </c>
      <c r="J8" s="98" t="s">
        <v>212</v>
      </c>
      <c r="K8" s="99">
        <v>32988</v>
      </c>
      <c r="L8" s="98" t="s">
        <v>174</v>
      </c>
      <c r="M8" s="99">
        <v>33119</v>
      </c>
      <c r="N8" s="98" t="s">
        <v>184</v>
      </c>
    </row>
    <row r="9" spans="1:14" x14ac:dyDescent="0.25">
      <c r="A9" s="100">
        <v>33154</v>
      </c>
      <c r="C9" s="99">
        <v>33091</v>
      </c>
      <c r="D9" s="98" t="s">
        <v>202</v>
      </c>
      <c r="E9" s="99">
        <v>36892</v>
      </c>
      <c r="F9" s="98" t="s">
        <v>160</v>
      </c>
      <c r="G9" s="99">
        <v>33233</v>
      </c>
      <c r="H9" s="98" t="s">
        <v>182</v>
      </c>
      <c r="I9" s="99">
        <v>32996</v>
      </c>
      <c r="J9" s="98" t="s">
        <v>187</v>
      </c>
      <c r="K9" s="99">
        <v>33028</v>
      </c>
      <c r="L9" s="98" t="s">
        <v>228</v>
      </c>
      <c r="M9" s="99">
        <v>33154</v>
      </c>
      <c r="N9" s="98" t="s">
        <v>201</v>
      </c>
    </row>
    <row r="10" spans="1:14" x14ac:dyDescent="0.25">
      <c r="A10" s="100">
        <v>33188</v>
      </c>
      <c r="C10" s="99">
        <v>33147</v>
      </c>
      <c r="D10" s="98" t="s">
        <v>189</v>
      </c>
      <c r="E10" s="99">
        <v>36994</v>
      </c>
      <c r="F10" s="98" t="s">
        <v>159</v>
      </c>
      <c r="G10" s="99">
        <v>33239</v>
      </c>
      <c r="H10" s="98" t="s">
        <v>160</v>
      </c>
      <c r="I10" s="99">
        <v>32997</v>
      </c>
      <c r="J10" s="98" t="s">
        <v>218</v>
      </c>
      <c r="K10" s="99">
        <v>33168</v>
      </c>
      <c r="L10" s="98" t="s">
        <v>189</v>
      </c>
      <c r="M10" s="99">
        <v>33188</v>
      </c>
      <c r="N10" s="98" t="s">
        <v>188</v>
      </c>
    </row>
    <row r="11" spans="1:14" x14ac:dyDescent="0.25">
      <c r="A11" s="100">
        <v>33189</v>
      </c>
      <c r="C11" s="99">
        <v>33232</v>
      </c>
      <c r="D11" s="98" t="s">
        <v>177</v>
      </c>
      <c r="E11" s="99">
        <v>36997</v>
      </c>
      <c r="F11" s="98" t="s">
        <v>162</v>
      </c>
      <c r="G11" s="99">
        <v>33326</v>
      </c>
      <c r="H11" s="98" t="s">
        <v>159</v>
      </c>
      <c r="I11" s="99">
        <v>32998</v>
      </c>
      <c r="J11" s="98" t="s">
        <v>194</v>
      </c>
      <c r="K11" s="99">
        <v>33232</v>
      </c>
      <c r="L11" s="98" t="s">
        <v>177</v>
      </c>
      <c r="M11" s="99">
        <v>33189</v>
      </c>
      <c r="N11" s="98" t="s">
        <v>220</v>
      </c>
    </row>
    <row r="12" spans="1:14" x14ac:dyDescent="0.25">
      <c r="A12" s="100">
        <v>33199</v>
      </c>
      <c r="C12" s="99">
        <v>33233</v>
      </c>
      <c r="D12" s="98" t="s">
        <v>182</v>
      </c>
      <c r="E12" s="99">
        <v>37012</v>
      </c>
      <c r="F12" s="98" t="s">
        <v>172</v>
      </c>
      <c r="G12" s="99">
        <v>33329</v>
      </c>
      <c r="H12" s="98" t="s">
        <v>162</v>
      </c>
      <c r="I12" s="99">
        <v>33131</v>
      </c>
      <c r="J12" s="98" t="s">
        <v>200</v>
      </c>
      <c r="K12" s="99">
        <v>33233</v>
      </c>
      <c r="L12" s="98" t="s">
        <v>182</v>
      </c>
      <c r="M12" s="99">
        <v>33199</v>
      </c>
      <c r="N12" s="98" t="s">
        <v>192</v>
      </c>
    </row>
    <row r="13" spans="1:14" x14ac:dyDescent="0.25">
      <c r="A13" s="100">
        <v>33232</v>
      </c>
      <c r="C13" s="99">
        <v>33239</v>
      </c>
      <c r="D13" s="98" t="s">
        <v>160</v>
      </c>
      <c r="E13" s="99">
        <v>37250</v>
      </c>
      <c r="F13" s="98" t="s">
        <v>177</v>
      </c>
      <c r="G13" s="99">
        <v>33364</v>
      </c>
      <c r="H13" s="98" t="s">
        <v>163</v>
      </c>
      <c r="I13" s="99">
        <v>33139</v>
      </c>
      <c r="J13" s="98" t="s">
        <v>203</v>
      </c>
      <c r="K13" s="99">
        <v>33239</v>
      </c>
      <c r="L13" s="98" t="s">
        <v>160</v>
      </c>
      <c r="M13" s="99">
        <v>33232</v>
      </c>
      <c r="N13" s="98" t="s">
        <v>177</v>
      </c>
    </row>
    <row r="14" spans="1:14" x14ac:dyDescent="0.25">
      <c r="A14" s="100">
        <v>33239</v>
      </c>
      <c r="C14" s="99">
        <v>33264</v>
      </c>
      <c r="D14" s="98" t="s">
        <v>171</v>
      </c>
      <c r="E14" s="99">
        <v>37251</v>
      </c>
      <c r="F14" s="98" t="s">
        <v>243</v>
      </c>
      <c r="G14" s="99">
        <v>33385</v>
      </c>
      <c r="H14" s="98" t="s">
        <v>167</v>
      </c>
      <c r="I14" s="99">
        <v>33140</v>
      </c>
      <c r="J14" s="98" t="s">
        <v>212</v>
      </c>
      <c r="K14" s="99">
        <v>33240</v>
      </c>
      <c r="L14" s="98" t="s">
        <v>165</v>
      </c>
      <c r="M14" s="99">
        <v>33239</v>
      </c>
      <c r="N14" s="98" t="s">
        <v>160</v>
      </c>
    </row>
    <row r="15" spans="1:14" x14ac:dyDescent="0.25">
      <c r="A15" s="100">
        <v>33259</v>
      </c>
      <c r="C15" s="99">
        <v>33326</v>
      </c>
      <c r="D15" s="98" t="s">
        <v>159</v>
      </c>
      <c r="E15" s="99">
        <v>37257</v>
      </c>
      <c r="F15" s="98" t="s">
        <v>160</v>
      </c>
      <c r="G15" s="99">
        <v>33476</v>
      </c>
      <c r="H15" s="98" t="s">
        <v>193</v>
      </c>
      <c r="I15" s="99">
        <v>33156</v>
      </c>
      <c r="J15" s="98" t="s">
        <v>234</v>
      </c>
      <c r="K15" s="99">
        <v>33266</v>
      </c>
      <c r="L15" s="98" t="s">
        <v>206</v>
      </c>
      <c r="M15" s="99">
        <v>33259</v>
      </c>
      <c r="N15" s="98" t="s">
        <v>197</v>
      </c>
    </row>
    <row r="16" spans="1:14" x14ac:dyDescent="0.25">
      <c r="A16" s="100">
        <v>33281</v>
      </c>
      <c r="C16" s="99">
        <v>33327</v>
      </c>
      <c r="D16" s="98" t="s">
        <v>176</v>
      </c>
      <c r="E16" s="99">
        <v>37344</v>
      </c>
      <c r="F16" s="98" t="s">
        <v>159</v>
      </c>
      <c r="G16" s="99">
        <v>33597</v>
      </c>
      <c r="H16" s="98" t="s">
        <v>177</v>
      </c>
      <c r="I16" s="99">
        <v>33180</v>
      </c>
      <c r="J16" s="98" t="s">
        <v>209</v>
      </c>
      <c r="K16" s="99">
        <v>33275</v>
      </c>
      <c r="L16" s="98" t="s">
        <v>169</v>
      </c>
      <c r="M16" s="99">
        <v>33281</v>
      </c>
      <c r="N16" s="98" t="s">
        <v>204</v>
      </c>
    </row>
    <row r="17" spans="1:14" x14ac:dyDescent="0.25">
      <c r="A17" s="100">
        <v>33287</v>
      </c>
      <c r="C17" s="99">
        <v>33329</v>
      </c>
      <c r="D17" s="98" t="s">
        <v>162</v>
      </c>
      <c r="E17" s="99">
        <v>37347</v>
      </c>
      <c r="F17" s="98" t="s">
        <v>162</v>
      </c>
      <c r="G17" s="99">
        <v>33598</v>
      </c>
      <c r="H17" s="98" t="s">
        <v>182</v>
      </c>
      <c r="I17" s="99">
        <v>33189</v>
      </c>
      <c r="J17" s="98" t="s">
        <v>235</v>
      </c>
      <c r="K17" s="99">
        <v>33326</v>
      </c>
      <c r="L17" s="98" t="s">
        <v>159</v>
      </c>
      <c r="M17" s="99">
        <v>33287</v>
      </c>
      <c r="N17" s="98" t="s">
        <v>199</v>
      </c>
    </row>
    <row r="18" spans="1:14" x14ac:dyDescent="0.25">
      <c r="A18" s="100">
        <v>33385</v>
      </c>
      <c r="C18" s="99">
        <v>33353</v>
      </c>
      <c r="D18" s="98" t="s">
        <v>185</v>
      </c>
      <c r="E18" s="99">
        <v>37377</v>
      </c>
      <c r="F18" s="98" t="s">
        <v>172</v>
      </c>
      <c r="G18" s="99">
        <v>33604</v>
      </c>
      <c r="H18" s="98" t="s">
        <v>160</v>
      </c>
      <c r="I18" s="99">
        <v>33200</v>
      </c>
      <c r="J18" s="98" t="s">
        <v>211</v>
      </c>
      <c r="K18" s="99">
        <v>33329</v>
      </c>
      <c r="L18" s="98" t="s">
        <v>162</v>
      </c>
      <c r="M18" s="99">
        <v>33385</v>
      </c>
      <c r="N18" s="98" t="s">
        <v>166</v>
      </c>
    </row>
    <row r="19" spans="1:14" x14ac:dyDescent="0.25">
      <c r="A19" s="100">
        <v>33423</v>
      </c>
      <c r="C19" s="99">
        <v>33399</v>
      </c>
      <c r="D19" s="98" t="s">
        <v>228</v>
      </c>
      <c r="E19" s="99">
        <v>37615</v>
      </c>
      <c r="F19" s="98" t="s">
        <v>177</v>
      </c>
      <c r="G19" s="99">
        <v>33711</v>
      </c>
      <c r="H19" s="98" t="s">
        <v>159</v>
      </c>
      <c r="I19" s="99">
        <v>33230</v>
      </c>
      <c r="J19" s="98" t="s">
        <v>173</v>
      </c>
      <c r="K19" s="99">
        <v>33353</v>
      </c>
      <c r="L19" s="98" t="s">
        <v>174</v>
      </c>
      <c r="M19" s="99">
        <v>33423</v>
      </c>
      <c r="N19" s="98" t="s">
        <v>175</v>
      </c>
    </row>
    <row r="20" spans="1:14" x14ac:dyDescent="0.25">
      <c r="A20" s="100">
        <v>33483</v>
      </c>
      <c r="C20" s="99">
        <v>33455</v>
      </c>
      <c r="D20" s="98" t="s">
        <v>202</v>
      </c>
      <c r="E20" s="99">
        <v>37616</v>
      </c>
      <c r="F20" s="98" t="s">
        <v>243</v>
      </c>
      <c r="G20" s="99">
        <v>33714</v>
      </c>
      <c r="H20" s="98" t="s">
        <v>162</v>
      </c>
      <c r="I20" s="99">
        <v>33231</v>
      </c>
      <c r="J20" s="98" t="s">
        <v>212</v>
      </c>
      <c r="K20" s="99">
        <v>33392</v>
      </c>
      <c r="L20" s="98" t="s">
        <v>228</v>
      </c>
      <c r="M20" s="99">
        <v>33483</v>
      </c>
      <c r="N20" s="98" t="s">
        <v>184</v>
      </c>
    </row>
    <row r="21" spans="1:14" x14ac:dyDescent="0.25">
      <c r="A21" s="100">
        <v>33525</v>
      </c>
      <c r="C21" s="99">
        <v>33518</v>
      </c>
      <c r="D21" s="98" t="s">
        <v>189</v>
      </c>
      <c r="E21" s="99">
        <v>37622</v>
      </c>
      <c r="F21" s="98" t="s">
        <v>160</v>
      </c>
      <c r="G21" s="99">
        <v>33728</v>
      </c>
      <c r="H21" s="98" t="s">
        <v>163</v>
      </c>
      <c r="I21" s="99">
        <v>33239</v>
      </c>
      <c r="J21" s="98" t="s">
        <v>161</v>
      </c>
      <c r="K21" s="99">
        <v>33539</v>
      </c>
      <c r="L21" s="98" t="s">
        <v>189</v>
      </c>
      <c r="M21" s="99">
        <v>33525</v>
      </c>
      <c r="N21" s="98" t="s">
        <v>201</v>
      </c>
    </row>
    <row r="22" spans="1:14" x14ac:dyDescent="0.25">
      <c r="A22" s="100">
        <v>33553</v>
      </c>
      <c r="C22" s="99">
        <v>33597</v>
      </c>
      <c r="D22" s="98" t="s">
        <v>177</v>
      </c>
      <c r="E22" s="99">
        <v>37729</v>
      </c>
      <c r="F22" s="98" t="s">
        <v>159</v>
      </c>
      <c r="G22" s="99">
        <v>33749</v>
      </c>
      <c r="H22" s="98" t="s">
        <v>167</v>
      </c>
      <c r="I22" s="99">
        <v>33253</v>
      </c>
      <c r="J22" s="98" t="s">
        <v>164</v>
      </c>
      <c r="K22" s="99">
        <v>33597</v>
      </c>
      <c r="L22" s="98" t="s">
        <v>177</v>
      </c>
      <c r="M22" s="99">
        <v>33553</v>
      </c>
      <c r="N22" s="98" t="s">
        <v>188</v>
      </c>
    </row>
    <row r="23" spans="1:14" x14ac:dyDescent="0.25">
      <c r="A23" s="100">
        <v>33570</v>
      </c>
      <c r="C23" s="99">
        <v>33598</v>
      </c>
      <c r="D23" s="98" t="s">
        <v>182</v>
      </c>
      <c r="E23" s="99">
        <v>37732</v>
      </c>
      <c r="F23" s="98" t="s">
        <v>162</v>
      </c>
      <c r="G23" s="99">
        <v>33847</v>
      </c>
      <c r="H23" s="98" t="s">
        <v>193</v>
      </c>
      <c r="I23" s="99">
        <v>33280</v>
      </c>
      <c r="J23" s="98" t="s">
        <v>168</v>
      </c>
      <c r="K23" s="99">
        <v>33598</v>
      </c>
      <c r="L23" s="98" t="s">
        <v>182</v>
      </c>
      <c r="M23" s="99">
        <v>33570</v>
      </c>
      <c r="N23" s="98" t="s">
        <v>192</v>
      </c>
    </row>
    <row r="24" spans="1:14" x14ac:dyDescent="0.25">
      <c r="A24" s="100">
        <v>33597</v>
      </c>
      <c r="C24" s="99">
        <v>33604</v>
      </c>
      <c r="D24" s="98" t="s">
        <v>160</v>
      </c>
      <c r="E24" s="99">
        <v>37742</v>
      </c>
      <c r="F24" s="98" t="s">
        <v>172</v>
      </c>
      <c r="G24" s="99">
        <v>33963</v>
      </c>
      <c r="H24" s="98" t="s">
        <v>177</v>
      </c>
      <c r="I24" s="99">
        <v>33318</v>
      </c>
      <c r="J24" s="98" t="s">
        <v>178</v>
      </c>
      <c r="K24" s="99">
        <v>33604</v>
      </c>
      <c r="L24" s="98" t="s">
        <v>160</v>
      </c>
      <c r="M24" s="99">
        <v>33597</v>
      </c>
      <c r="N24" s="98" t="s">
        <v>177</v>
      </c>
    </row>
    <row r="25" spans="1:14" x14ac:dyDescent="0.25">
      <c r="A25" s="100">
        <v>33604</v>
      </c>
      <c r="C25" s="99">
        <v>33629</v>
      </c>
      <c r="D25" s="98" t="s">
        <v>171</v>
      </c>
      <c r="E25" s="99">
        <v>37980</v>
      </c>
      <c r="F25" s="98" t="s">
        <v>177</v>
      </c>
      <c r="G25" s="99">
        <v>33964</v>
      </c>
      <c r="H25" s="98" t="s">
        <v>182</v>
      </c>
      <c r="I25" s="99">
        <v>33357</v>
      </c>
      <c r="J25" s="98" t="s">
        <v>190</v>
      </c>
      <c r="K25" s="99">
        <v>33605</v>
      </c>
      <c r="L25" s="98" t="s">
        <v>165</v>
      </c>
      <c r="M25" s="99">
        <v>33604</v>
      </c>
      <c r="N25" s="98" t="s">
        <v>160</v>
      </c>
    </row>
    <row r="26" spans="1:14" x14ac:dyDescent="0.25">
      <c r="A26" s="100">
        <v>33623</v>
      </c>
      <c r="C26" s="99">
        <v>33630</v>
      </c>
      <c r="D26" s="98" t="s">
        <v>229</v>
      </c>
      <c r="E26" s="99">
        <v>37981</v>
      </c>
      <c r="F26" s="98" t="s">
        <v>243</v>
      </c>
      <c r="G26" s="99">
        <v>33966</v>
      </c>
      <c r="H26" s="98" t="s">
        <v>186</v>
      </c>
      <c r="I26" s="99">
        <v>33361</v>
      </c>
      <c r="J26" s="98" t="s">
        <v>187</v>
      </c>
      <c r="K26" s="99">
        <v>33630</v>
      </c>
      <c r="L26" s="98" t="s">
        <v>206</v>
      </c>
      <c r="M26" s="99">
        <v>33623</v>
      </c>
      <c r="N26" s="98" t="s">
        <v>197</v>
      </c>
    </row>
    <row r="27" spans="1:14" x14ac:dyDescent="0.25">
      <c r="A27" s="100">
        <v>33646</v>
      </c>
      <c r="C27" s="99">
        <v>33711</v>
      </c>
      <c r="D27" s="98" t="s">
        <v>159</v>
      </c>
      <c r="E27" s="99">
        <v>37987</v>
      </c>
      <c r="F27" s="98" t="s">
        <v>160</v>
      </c>
      <c r="G27" s="99">
        <v>33970</v>
      </c>
      <c r="H27" s="98" t="s">
        <v>160</v>
      </c>
      <c r="I27" s="99">
        <v>33362</v>
      </c>
      <c r="J27" s="98" t="s">
        <v>218</v>
      </c>
      <c r="K27" s="99">
        <v>33640</v>
      </c>
      <c r="L27" s="98" t="s">
        <v>169</v>
      </c>
      <c r="M27" s="99">
        <v>33646</v>
      </c>
      <c r="N27" s="98" t="s">
        <v>204</v>
      </c>
    </row>
    <row r="28" spans="1:14" x14ac:dyDescent="0.25">
      <c r="A28" s="100">
        <v>33651</v>
      </c>
      <c r="C28" s="99">
        <v>33712</v>
      </c>
      <c r="D28" s="98" t="s">
        <v>176</v>
      </c>
      <c r="E28" s="99">
        <v>38086</v>
      </c>
      <c r="F28" s="98" t="s">
        <v>159</v>
      </c>
      <c r="G28" s="99">
        <v>34068</v>
      </c>
      <c r="H28" s="98" t="s">
        <v>159</v>
      </c>
      <c r="I28" s="99">
        <v>33363</v>
      </c>
      <c r="J28" s="98" t="s">
        <v>194</v>
      </c>
      <c r="K28" s="99">
        <v>33711</v>
      </c>
      <c r="L28" s="98" t="s">
        <v>159</v>
      </c>
      <c r="M28" s="99">
        <v>33651</v>
      </c>
      <c r="N28" s="98" t="s">
        <v>199</v>
      </c>
    </row>
    <row r="29" spans="1:14" x14ac:dyDescent="0.25">
      <c r="A29" s="100">
        <v>33749</v>
      </c>
      <c r="C29" s="99">
        <v>33714</v>
      </c>
      <c r="D29" s="98" t="s">
        <v>162</v>
      </c>
      <c r="E29" s="99">
        <v>38089</v>
      </c>
      <c r="F29" s="98" t="s">
        <v>162</v>
      </c>
      <c r="G29" s="99">
        <v>34071</v>
      </c>
      <c r="H29" s="98" t="s">
        <v>162</v>
      </c>
      <c r="I29" s="99">
        <v>33364</v>
      </c>
      <c r="J29" s="98" t="s">
        <v>212</v>
      </c>
      <c r="K29" s="99">
        <v>33714</v>
      </c>
      <c r="L29" s="98" t="s">
        <v>162</v>
      </c>
      <c r="M29" s="99">
        <v>33749</v>
      </c>
      <c r="N29" s="98" t="s">
        <v>166</v>
      </c>
    </row>
    <row r="30" spans="1:14" x14ac:dyDescent="0.25">
      <c r="A30" s="100">
        <v>33788</v>
      </c>
      <c r="C30" s="99">
        <v>33719</v>
      </c>
      <c r="D30" s="98" t="s">
        <v>185</v>
      </c>
      <c r="E30" s="99">
        <v>38108</v>
      </c>
      <c r="F30" s="98" t="s">
        <v>172</v>
      </c>
      <c r="G30" s="99">
        <v>34092</v>
      </c>
      <c r="H30" s="98" t="s">
        <v>163</v>
      </c>
      <c r="I30" s="99">
        <v>33496</v>
      </c>
      <c r="J30" s="98" t="s">
        <v>200</v>
      </c>
      <c r="K30" s="99">
        <v>33719</v>
      </c>
      <c r="L30" s="98" t="s">
        <v>174</v>
      </c>
      <c r="M30" s="99">
        <v>33788</v>
      </c>
      <c r="N30" s="98" t="s">
        <v>180</v>
      </c>
    </row>
    <row r="31" spans="1:14" x14ac:dyDescent="0.25">
      <c r="A31" s="100">
        <v>33789</v>
      </c>
      <c r="C31" s="99">
        <v>33721</v>
      </c>
      <c r="D31" s="98" t="s">
        <v>230</v>
      </c>
      <c r="E31" s="99">
        <v>38346</v>
      </c>
      <c r="F31" s="98" t="s">
        <v>177</v>
      </c>
      <c r="G31" s="99">
        <v>34120</v>
      </c>
      <c r="H31" s="98" t="s">
        <v>167</v>
      </c>
      <c r="I31" s="99">
        <v>33497</v>
      </c>
      <c r="J31" s="98" t="s">
        <v>212</v>
      </c>
      <c r="K31" s="99">
        <v>33756</v>
      </c>
      <c r="L31" s="98" t="s">
        <v>228</v>
      </c>
      <c r="M31" s="99">
        <v>33789</v>
      </c>
      <c r="N31" s="98" t="s">
        <v>175</v>
      </c>
    </row>
    <row r="32" spans="1:14" x14ac:dyDescent="0.25">
      <c r="A32" s="100">
        <v>33854</v>
      </c>
      <c r="C32" s="99">
        <v>33763</v>
      </c>
      <c r="D32" s="98" t="s">
        <v>228</v>
      </c>
      <c r="E32" s="99">
        <v>38347</v>
      </c>
      <c r="F32" s="98" t="s">
        <v>243</v>
      </c>
      <c r="G32" s="99">
        <v>34211</v>
      </c>
      <c r="H32" s="98" t="s">
        <v>193</v>
      </c>
      <c r="I32" s="99">
        <v>33504</v>
      </c>
      <c r="J32" s="98" t="s">
        <v>203</v>
      </c>
      <c r="K32" s="99">
        <v>33903</v>
      </c>
      <c r="L32" s="98" t="s">
        <v>189</v>
      </c>
      <c r="M32" s="99">
        <v>33854</v>
      </c>
      <c r="N32" s="98" t="s">
        <v>184</v>
      </c>
    </row>
    <row r="33" spans="1:14" x14ac:dyDescent="0.25">
      <c r="A33" s="100">
        <v>33889</v>
      </c>
      <c r="C33" s="99">
        <v>33819</v>
      </c>
      <c r="D33" s="98" t="s">
        <v>202</v>
      </c>
      <c r="E33" s="99">
        <v>38353</v>
      </c>
      <c r="F33" s="98" t="s">
        <v>160</v>
      </c>
      <c r="G33" s="99">
        <v>34328</v>
      </c>
      <c r="H33" s="98" t="s">
        <v>177</v>
      </c>
      <c r="I33" s="99">
        <v>33521</v>
      </c>
      <c r="J33" s="98" t="s">
        <v>234</v>
      </c>
      <c r="K33" s="99">
        <v>33963</v>
      </c>
      <c r="L33" s="98" t="s">
        <v>177</v>
      </c>
      <c r="M33" s="99">
        <v>33889</v>
      </c>
      <c r="N33" s="98" t="s">
        <v>201</v>
      </c>
    </row>
    <row r="34" spans="1:14" x14ac:dyDescent="0.25">
      <c r="A34" s="100">
        <v>33919</v>
      </c>
      <c r="C34" s="99">
        <v>33882</v>
      </c>
      <c r="D34" s="98" t="s">
        <v>189</v>
      </c>
      <c r="E34" s="99">
        <v>38436</v>
      </c>
      <c r="F34" s="98" t="s">
        <v>159</v>
      </c>
      <c r="G34" s="99">
        <v>34329</v>
      </c>
      <c r="H34" s="98" t="s">
        <v>182</v>
      </c>
      <c r="I34" s="99">
        <v>33545</v>
      </c>
      <c r="J34" s="98" t="s">
        <v>209</v>
      </c>
      <c r="K34" s="99">
        <v>33964</v>
      </c>
      <c r="L34" s="98" t="s">
        <v>182</v>
      </c>
      <c r="M34" s="99">
        <v>33919</v>
      </c>
      <c r="N34" s="98" t="s">
        <v>188</v>
      </c>
    </row>
    <row r="35" spans="1:14" x14ac:dyDescent="0.25">
      <c r="A35" s="100">
        <v>33934</v>
      </c>
      <c r="C35" s="99">
        <v>33963</v>
      </c>
      <c r="D35" s="98" t="s">
        <v>177</v>
      </c>
      <c r="E35" s="99">
        <v>38439</v>
      </c>
      <c r="F35" s="98" t="s">
        <v>162</v>
      </c>
      <c r="G35" s="99">
        <v>34330</v>
      </c>
      <c r="H35" s="98" t="s">
        <v>208</v>
      </c>
      <c r="I35" s="99">
        <v>33546</v>
      </c>
      <c r="J35" s="98" t="s">
        <v>212</v>
      </c>
      <c r="K35" s="99">
        <v>33966</v>
      </c>
      <c r="L35" s="98" t="s">
        <v>186</v>
      </c>
      <c r="M35" s="99">
        <v>33934</v>
      </c>
      <c r="N35" s="98" t="s">
        <v>192</v>
      </c>
    </row>
    <row r="36" spans="1:14" x14ac:dyDescent="0.25">
      <c r="A36" s="100">
        <v>33963</v>
      </c>
      <c r="C36" s="99">
        <v>33964</v>
      </c>
      <c r="D36" s="98" t="s">
        <v>182</v>
      </c>
      <c r="E36" s="99">
        <v>38473</v>
      </c>
      <c r="F36" s="98" t="s">
        <v>172</v>
      </c>
      <c r="G36" s="99">
        <v>34331</v>
      </c>
      <c r="H36" s="98" t="s">
        <v>186</v>
      </c>
      <c r="I36" s="99">
        <v>33565</v>
      </c>
      <c r="J36" s="98" t="s">
        <v>211</v>
      </c>
      <c r="K36" s="99">
        <v>33970</v>
      </c>
      <c r="L36" s="98" t="s">
        <v>160</v>
      </c>
      <c r="M36" s="99">
        <v>33963</v>
      </c>
      <c r="N36" s="98" t="s">
        <v>177</v>
      </c>
    </row>
    <row r="37" spans="1:14" x14ac:dyDescent="0.25">
      <c r="A37" s="100">
        <v>33970</v>
      </c>
      <c r="C37" s="99">
        <v>33970</v>
      </c>
      <c r="D37" s="98" t="s">
        <v>160</v>
      </c>
      <c r="E37" s="99">
        <v>38711</v>
      </c>
      <c r="F37" s="98" t="s">
        <v>177</v>
      </c>
      <c r="G37" s="99">
        <v>34335</v>
      </c>
      <c r="H37" s="98" t="s">
        <v>160</v>
      </c>
      <c r="I37" s="99">
        <v>33595</v>
      </c>
      <c r="J37" s="98" t="s">
        <v>173</v>
      </c>
      <c r="K37" s="99">
        <v>33971</v>
      </c>
      <c r="L37" s="98" t="s">
        <v>165</v>
      </c>
      <c r="M37" s="99">
        <v>33970</v>
      </c>
      <c r="N37" s="98" t="s">
        <v>160</v>
      </c>
    </row>
    <row r="38" spans="1:14" x14ac:dyDescent="0.25">
      <c r="A38" s="100">
        <v>33987</v>
      </c>
      <c r="C38" s="99">
        <v>33995</v>
      </c>
      <c r="D38" s="98" t="s">
        <v>171</v>
      </c>
      <c r="E38" s="99">
        <v>38712</v>
      </c>
      <c r="F38" s="98" t="s">
        <v>243</v>
      </c>
      <c r="G38" s="99">
        <v>34337</v>
      </c>
      <c r="H38" s="98" t="s">
        <v>214</v>
      </c>
      <c r="I38" s="99">
        <v>33604</v>
      </c>
      <c r="J38" s="98" t="s">
        <v>161</v>
      </c>
      <c r="K38" s="99">
        <v>33973</v>
      </c>
      <c r="L38" s="98" t="s">
        <v>213</v>
      </c>
      <c r="M38" s="99">
        <v>33987</v>
      </c>
      <c r="N38" s="98" t="s">
        <v>197</v>
      </c>
    </row>
    <row r="39" spans="1:14" x14ac:dyDescent="0.25">
      <c r="A39" s="100">
        <v>34012</v>
      </c>
      <c r="C39" s="99">
        <v>34068</v>
      </c>
      <c r="D39" s="98" t="s">
        <v>159</v>
      </c>
      <c r="E39" s="99">
        <v>38718</v>
      </c>
      <c r="F39" s="98" t="s">
        <v>160</v>
      </c>
      <c r="G39" s="99">
        <v>34425</v>
      </c>
      <c r="H39" s="98" t="s">
        <v>159</v>
      </c>
      <c r="I39" s="99">
        <v>33618</v>
      </c>
      <c r="J39" s="98" t="s">
        <v>164</v>
      </c>
      <c r="K39" s="99">
        <v>34001</v>
      </c>
      <c r="L39" s="98" t="s">
        <v>206</v>
      </c>
      <c r="M39" s="99">
        <v>34012</v>
      </c>
      <c r="N39" s="98" t="s">
        <v>204</v>
      </c>
    </row>
    <row r="40" spans="1:14" x14ac:dyDescent="0.25">
      <c r="A40" s="100">
        <v>34015</v>
      </c>
      <c r="C40" s="99">
        <v>34069</v>
      </c>
      <c r="D40" s="98" t="s">
        <v>176</v>
      </c>
      <c r="E40" s="99">
        <v>38821</v>
      </c>
      <c r="F40" s="98" t="s">
        <v>159</v>
      </c>
      <c r="G40" s="99">
        <v>34428</v>
      </c>
      <c r="H40" s="98" t="s">
        <v>162</v>
      </c>
      <c r="I40" s="99">
        <v>33645</v>
      </c>
      <c r="J40" s="98" t="s">
        <v>168</v>
      </c>
      <c r="K40" s="99">
        <v>34006</v>
      </c>
      <c r="L40" s="98" t="s">
        <v>169</v>
      </c>
      <c r="M40" s="99">
        <v>34015</v>
      </c>
      <c r="N40" s="98" t="s">
        <v>199</v>
      </c>
    </row>
    <row r="41" spans="1:14" x14ac:dyDescent="0.25">
      <c r="A41" s="100">
        <v>34120</v>
      </c>
      <c r="C41" s="99">
        <v>34071</v>
      </c>
      <c r="D41" s="98" t="s">
        <v>162</v>
      </c>
      <c r="E41" s="99">
        <v>38824</v>
      </c>
      <c r="F41" s="98" t="s">
        <v>162</v>
      </c>
      <c r="G41" s="99">
        <v>34456</v>
      </c>
      <c r="H41" s="98" t="s">
        <v>163</v>
      </c>
      <c r="I41" s="99">
        <v>33683</v>
      </c>
      <c r="J41" s="98" t="s">
        <v>178</v>
      </c>
      <c r="K41" s="99">
        <v>34068</v>
      </c>
      <c r="L41" s="98" t="s">
        <v>159</v>
      </c>
      <c r="M41" s="99">
        <v>34120</v>
      </c>
      <c r="N41" s="98" t="s">
        <v>166</v>
      </c>
    </row>
    <row r="42" spans="1:14" x14ac:dyDescent="0.25">
      <c r="A42" s="100">
        <v>34154</v>
      </c>
      <c r="C42" s="99">
        <v>34084</v>
      </c>
      <c r="D42" s="98" t="s">
        <v>185</v>
      </c>
      <c r="E42" s="99">
        <v>38838</v>
      </c>
      <c r="F42" s="98" t="s">
        <v>172</v>
      </c>
      <c r="G42" s="99">
        <v>34484</v>
      </c>
      <c r="H42" s="98" t="s">
        <v>167</v>
      </c>
      <c r="I42" s="99">
        <v>33723</v>
      </c>
      <c r="J42" s="98" t="s">
        <v>190</v>
      </c>
      <c r="K42" s="99">
        <v>34071</v>
      </c>
      <c r="L42" s="98" t="s">
        <v>162</v>
      </c>
      <c r="M42" s="99">
        <v>34154</v>
      </c>
      <c r="N42" s="98" t="s">
        <v>175</v>
      </c>
    </row>
    <row r="43" spans="1:14" x14ac:dyDescent="0.25">
      <c r="A43" s="100">
        <v>34155</v>
      </c>
      <c r="C43" s="99">
        <v>34085</v>
      </c>
      <c r="D43" s="98" t="s">
        <v>230</v>
      </c>
      <c r="E43" s="99">
        <v>39076</v>
      </c>
      <c r="F43" s="98" t="s">
        <v>177</v>
      </c>
      <c r="G43" s="99">
        <v>34575</v>
      </c>
      <c r="H43" s="98" t="s">
        <v>193</v>
      </c>
      <c r="I43" s="99">
        <v>33727</v>
      </c>
      <c r="J43" s="98" t="s">
        <v>187</v>
      </c>
      <c r="K43" s="99">
        <v>34084</v>
      </c>
      <c r="L43" s="98" t="s">
        <v>174</v>
      </c>
      <c r="M43" s="99">
        <v>34155</v>
      </c>
      <c r="N43" s="98" t="s">
        <v>180</v>
      </c>
    </row>
    <row r="44" spans="1:14" x14ac:dyDescent="0.25">
      <c r="A44" s="100">
        <v>34218</v>
      </c>
      <c r="C44" s="99">
        <v>34134</v>
      </c>
      <c r="D44" s="98" t="s">
        <v>228</v>
      </c>
      <c r="E44" s="99">
        <v>39077</v>
      </c>
      <c r="F44" s="98" t="s">
        <v>243</v>
      </c>
      <c r="G44" s="99">
        <v>34693</v>
      </c>
      <c r="H44" s="98" t="s">
        <v>177</v>
      </c>
      <c r="I44" s="99">
        <v>33728</v>
      </c>
      <c r="J44" s="98" t="s">
        <v>212</v>
      </c>
      <c r="K44" s="99">
        <v>34127</v>
      </c>
      <c r="L44" s="98" t="s">
        <v>228</v>
      </c>
      <c r="M44" s="99">
        <v>34218</v>
      </c>
      <c r="N44" s="98" t="s">
        <v>184</v>
      </c>
    </row>
    <row r="45" spans="1:14" x14ac:dyDescent="0.25">
      <c r="A45" s="100">
        <v>34253</v>
      </c>
      <c r="C45" s="99">
        <v>34183</v>
      </c>
      <c r="D45" s="98" t="s">
        <v>202</v>
      </c>
      <c r="E45" s="99">
        <v>39083</v>
      </c>
      <c r="F45" s="98" t="s">
        <v>160</v>
      </c>
      <c r="G45" s="99">
        <v>34694</v>
      </c>
      <c r="H45" s="98" t="s">
        <v>182</v>
      </c>
      <c r="I45" s="99">
        <v>33729</v>
      </c>
      <c r="J45" s="98" t="s">
        <v>194</v>
      </c>
      <c r="K45" s="99">
        <v>34267</v>
      </c>
      <c r="L45" s="98" t="s">
        <v>189</v>
      </c>
      <c r="M45" s="99">
        <v>34253</v>
      </c>
      <c r="N45" s="98" t="s">
        <v>201</v>
      </c>
    </row>
    <row r="46" spans="1:14" x14ac:dyDescent="0.25">
      <c r="A46" s="100">
        <v>34284</v>
      </c>
      <c r="C46" s="99">
        <v>34246</v>
      </c>
      <c r="D46" s="98" t="s">
        <v>189</v>
      </c>
      <c r="E46" s="99">
        <v>39178</v>
      </c>
      <c r="F46" s="98" t="s">
        <v>159</v>
      </c>
      <c r="G46" s="99">
        <v>34695</v>
      </c>
      <c r="H46" s="98" t="s">
        <v>208</v>
      </c>
      <c r="I46" s="99">
        <v>33862</v>
      </c>
      <c r="J46" s="98" t="s">
        <v>200</v>
      </c>
      <c r="K46" s="99">
        <v>34328</v>
      </c>
      <c r="L46" s="98" t="s">
        <v>177</v>
      </c>
      <c r="M46" s="99">
        <v>34284</v>
      </c>
      <c r="N46" s="98" t="s">
        <v>188</v>
      </c>
    </row>
    <row r="47" spans="1:14" x14ac:dyDescent="0.25">
      <c r="A47" s="100">
        <v>34298</v>
      </c>
      <c r="C47" s="99">
        <v>34328</v>
      </c>
      <c r="D47" s="98" t="s">
        <v>177</v>
      </c>
      <c r="E47" s="99">
        <v>39181</v>
      </c>
      <c r="F47" s="98" t="s">
        <v>162</v>
      </c>
      <c r="G47" s="99">
        <v>34700</v>
      </c>
      <c r="H47" s="98" t="s">
        <v>160</v>
      </c>
      <c r="I47" s="99">
        <v>33870</v>
      </c>
      <c r="J47" s="98" t="s">
        <v>203</v>
      </c>
      <c r="K47" s="99">
        <v>34329</v>
      </c>
      <c r="L47" s="98" t="s">
        <v>182</v>
      </c>
      <c r="M47" s="99">
        <v>34298</v>
      </c>
      <c r="N47" s="98" t="s">
        <v>192</v>
      </c>
    </row>
    <row r="48" spans="1:14" x14ac:dyDescent="0.25">
      <c r="A48" s="100">
        <v>34327</v>
      </c>
      <c r="C48" s="99">
        <v>34329</v>
      </c>
      <c r="D48" s="98" t="s">
        <v>182</v>
      </c>
      <c r="E48" s="99">
        <v>39203</v>
      </c>
      <c r="F48" s="98" t="s">
        <v>172</v>
      </c>
      <c r="G48" s="99">
        <v>34701</v>
      </c>
      <c r="H48" s="98" t="s">
        <v>214</v>
      </c>
      <c r="I48" s="99">
        <v>33887</v>
      </c>
      <c r="J48" s="98" t="s">
        <v>234</v>
      </c>
      <c r="K48" s="99">
        <v>34330</v>
      </c>
      <c r="L48" s="98" t="s">
        <v>208</v>
      </c>
      <c r="M48" s="99">
        <v>34327</v>
      </c>
      <c r="N48" s="98" t="s">
        <v>208</v>
      </c>
    </row>
    <row r="49" spans="1:14" x14ac:dyDescent="0.25">
      <c r="A49" s="100">
        <v>34328</v>
      </c>
      <c r="C49" s="99">
        <v>34330</v>
      </c>
      <c r="D49" s="98" t="s">
        <v>186</v>
      </c>
      <c r="E49" s="99">
        <v>39441</v>
      </c>
      <c r="F49" s="98" t="s">
        <v>177</v>
      </c>
      <c r="G49" s="99">
        <v>34803</v>
      </c>
      <c r="H49" s="98" t="s">
        <v>159</v>
      </c>
      <c r="I49" s="99">
        <v>33911</v>
      </c>
      <c r="J49" s="98" t="s">
        <v>209</v>
      </c>
      <c r="K49" s="99">
        <v>34331</v>
      </c>
      <c r="L49" s="98" t="s">
        <v>186</v>
      </c>
      <c r="M49" s="99">
        <v>34328</v>
      </c>
      <c r="N49" s="98" t="s">
        <v>177</v>
      </c>
    </row>
    <row r="50" spans="1:14" x14ac:dyDescent="0.25">
      <c r="A50" s="100">
        <v>34334</v>
      </c>
      <c r="C50" s="99">
        <v>34335</v>
      </c>
      <c r="D50" s="98" t="s">
        <v>160</v>
      </c>
      <c r="E50" s="99">
        <v>39442</v>
      </c>
      <c r="F50" s="98" t="s">
        <v>243</v>
      </c>
      <c r="G50" s="99">
        <v>34806</v>
      </c>
      <c r="H50" s="98" t="s">
        <v>162</v>
      </c>
      <c r="I50" s="99">
        <v>33931</v>
      </c>
      <c r="J50" s="98" t="s">
        <v>211</v>
      </c>
      <c r="K50" s="99">
        <v>34335</v>
      </c>
      <c r="L50" s="98" t="s">
        <v>160</v>
      </c>
      <c r="M50" s="99">
        <v>34334</v>
      </c>
      <c r="N50" s="98" t="s">
        <v>214</v>
      </c>
    </row>
    <row r="51" spans="1:14" x14ac:dyDescent="0.25">
      <c r="A51" s="100">
        <v>34335</v>
      </c>
      <c r="C51" s="99">
        <v>34360</v>
      </c>
      <c r="D51" s="98" t="s">
        <v>171</v>
      </c>
      <c r="E51" s="99">
        <v>39448</v>
      </c>
      <c r="F51" s="98" t="s">
        <v>160</v>
      </c>
      <c r="G51" s="99">
        <v>34827</v>
      </c>
      <c r="H51" s="98" t="s">
        <v>163</v>
      </c>
      <c r="I51" s="99">
        <v>33961</v>
      </c>
      <c r="J51" s="98" t="s">
        <v>173</v>
      </c>
      <c r="K51" s="99">
        <v>34336</v>
      </c>
      <c r="L51" s="98" t="s">
        <v>165</v>
      </c>
      <c r="M51" s="99">
        <v>34335</v>
      </c>
      <c r="N51" s="98" t="s">
        <v>160</v>
      </c>
    </row>
    <row r="52" spans="1:14" x14ac:dyDescent="0.25">
      <c r="A52" s="100">
        <v>34351</v>
      </c>
      <c r="C52" s="99">
        <v>34425</v>
      </c>
      <c r="D52" s="98" t="s">
        <v>159</v>
      </c>
      <c r="E52" s="99">
        <v>39528</v>
      </c>
      <c r="F52" s="98" t="s">
        <v>159</v>
      </c>
      <c r="G52" s="99">
        <v>34848</v>
      </c>
      <c r="H52" s="98" t="s">
        <v>167</v>
      </c>
      <c r="I52" s="99">
        <v>33970</v>
      </c>
      <c r="J52" s="98" t="s">
        <v>161</v>
      </c>
      <c r="K52" s="99">
        <v>34337</v>
      </c>
      <c r="L52" s="98" t="s">
        <v>214</v>
      </c>
      <c r="M52" s="99">
        <v>34351</v>
      </c>
      <c r="N52" s="98" t="s">
        <v>197</v>
      </c>
    </row>
    <row r="53" spans="1:14" x14ac:dyDescent="0.25">
      <c r="A53" s="100">
        <v>34376</v>
      </c>
      <c r="C53" s="99">
        <v>34426</v>
      </c>
      <c r="D53" s="98" t="s">
        <v>176</v>
      </c>
      <c r="E53" s="99">
        <v>39531</v>
      </c>
      <c r="F53" s="98" t="s">
        <v>162</v>
      </c>
      <c r="G53" s="99">
        <v>34939</v>
      </c>
      <c r="H53" s="98" t="s">
        <v>193</v>
      </c>
      <c r="I53" s="99">
        <v>33984</v>
      </c>
      <c r="J53" s="98" t="s">
        <v>164</v>
      </c>
      <c r="K53" s="99">
        <v>34338</v>
      </c>
      <c r="L53" s="98" t="s">
        <v>213</v>
      </c>
      <c r="M53" s="99">
        <v>34376</v>
      </c>
      <c r="N53" s="98" t="s">
        <v>219</v>
      </c>
    </row>
    <row r="54" spans="1:14" x14ac:dyDescent="0.25">
      <c r="A54" s="100">
        <v>34377</v>
      </c>
      <c r="C54" s="99">
        <v>34428</v>
      </c>
      <c r="D54" s="98" t="s">
        <v>162</v>
      </c>
      <c r="E54" s="99">
        <v>39569</v>
      </c>
      <c r="F54" s="98" t="s">
        <v>172</v>
      </c>
      <c r="G54" s="99">
        <v>35058</v>
      </c>
      <c r="H54" s="98" t="s">
        <v>177</v>
      </c>
      <c r="I54" s="99">
        <v>34011</v>
      </c>
      <c r="J54" s="98" t="s">
        <v>168</v>
      </c>
      <c r="K54" s="99">
        <v>34365</v>
      </c>
      <c r="L54" s="98" t="s">
        <v>206</v>
      </c>
      <c r="M54" s="99">
        <v>34377</v>
      </c>
      <c r="N54" s="98" t="s">
        <v>204</v>
      </c>
    </row>
    <row r="55" spans="1:14" x14ac:dyDescent="0.25">
      <c r="A55" s="100">
        <v>34386</v>
      </c>
      <c r="C55" s="99">
        <v>34449</v>
      </c>
      <c r="D55" s="98" t="s">
        <v>185</v>
      </c>
      <c r="E55" s="99">
        <v>39807</v>
      </c>
      <c r="F55" s="98" t="s">
        <v>177</v>
      </c>
      <c r="G55" s="99">
        <v>35059</v>
      </c>
      <c r="H55" s="98" t="s">
        <v>182</v>
      </c>
      <c r="I55" s="99">
        <v>34048</v>
      </c>
      <c r="J55" s="98" t="s">
        <v>178</v>
      </c>
      <c r="K55" s="99">
        <v>34371</v>
      </c>
      <c r="L55" s="98" t="s">
        <v>169</v>
      </c>
      <c r="M55" s="99">
        <v>34386</v>
      </c>
      <c r="N55" s="98" t="s">
        <v>199</v>
      </c>
    </row>
    <row r="56" spans="1:14" x14ac:dyDescent="0.25">
      <c r="A56" s="100">
        <v>34484</v>
      </c>
      <c r="C56" s="99">
        <v>34498</v>
      </c>
      <c r="D56" s="98" t="s">
        <v>228</v>
      </c>
      <c r="E56" s="99">
        <v>39808</v>
      </c>
      <c r="F56" s="98" t="s">
        <v>243</v>
      </c>
      <c r="G56" s="99">
        <v>35065</v>
      </c>
      <c r="H56" s="98" t="s">
        <v>160</v>
      </c>
      <c r="I56" s="99">
        <v>34088</v>
      </c>
      <c r="J56" s="98" t="s">
        <v>190</v>
      </c>
      <c r="K56" s="99">
        <v>34425</v>
      </c>
      <c r="L56" s="98" t="s">
        <v>159</v>
      </c>
      <c r="M56" s="99">
        <v>34484</v>
      </c>
      <c r="N56" s="98" t="s">
        <v>166</v>
      </c>
    </row>
    <row r="57" spans="1:14" x14ac:dyDescent="0.25">
      <c r="A57" s="100">
        <v>34519</v>
      </c>
      <c r="C57" s="99">
        <v>34547</v>
      </c>
      <c r="D57" s="98" t="s">
        <v>202</v>
      </c>
      <c r="E57" s="99">
        <v>39814</v>
      </c>
      <c r="F57" s="98" t="s">
        <v>160</v>
      </c>
      <c r="G57" s="99">
        <v>35160</v>
      </c>
      <c r="H57" s="98" t="s">
        <v>159</v>
      </c>
      <c r="I57" s="99">
        <v>34092</v>
      </c>
      <c r="J57" s="98" t="s">
        <v>187</v>
      </c>
      <c r="K57" s="99">
        <v>34428</v>
      </c>
      <c r="L57" s="98" t="s">
        <v>162</v>
      </c>
      <c r="M57" s="99">
        <v>34519</v>
      </c>
      <c r="N57" s="98" t="s">
        <v>175</v>
      </c>
    </row>
    <row r="58" spans="1:14" x14ac:dyDescent="0.25">
      <c r="A58" s="100">
        <v>34582</v>
      </c>
      <c r="C58" s="99">
        <v>34610</v>
      </c>
      <c r="D58" s="98" t="s">
        <v>189</v>
      </c>
      <c r="E58" s="99">
        <v>39913</v>
      </c>
      <c r="F58" s="98" t="s">
        <v>159</v>
      </c>
      <c r="G58" s="99">
        <v>35163</v>
      </c>
      <c r="H58" s="98" t="s">
        <v>162</v>
      </c>
      <c r="I58" s="99">
        <v>34093</v>
      </c>
      <c r="J58" s="98" t="s">
        <v>218</v>
      </c>
      <c r="K58" s="99">
        <v>34449</v>
      </c>
      <c r="L58" s="98" t="s">
        <v>174</v>
      </c>
      <c r="M58" s="99">
        <v>34582</v>
      </c>
      <c r="N58" s="98" t="s">
        <v>184</v>
      </c>
    </row>
    <row r="59" spans="1:14" x14ac:dyDescent="0.25">
      <c r="A59" s="100">
        <v>34617</v>
      </c>
      <c r="C59" s="99">
        <v>34693</v>
      </c>
      <c r="D59" s="98" t="s">
        <v>177</v>
      </c>
      <c r="E59" s="99">
        <v>39916</v>
      </c>
      <c r="F59" s="98" t="s">
        <v>162</v>
      </c>
      <c r="G59" s="99">
        <v>35191</v>
      </c>
      <c r="H59" s="98" t="s">
        <v>163</v>
      </c>
      <c r="I59" s="99">
        <v>34094</v>
      </c>
      <c r="J59" s="98" t="s">
        <v>194</v>
      </c>
      <c r="K59" s="99">
        <v>34491</v>
      </c>
      <c r="L59" s="98" t="s">
        <v>228</v>
      </c>
      <c r="M59" s="99">
        <v>34617</v>
      </c>
      <c r="N59" s="98" t="s">
        <v>201</v>
      </c>
    </row>
    <row r="60" spans="1:14" x14ac:dyDescent="0.25">
      <c r="A60" s="100">
        <v>34649</v>
      </c>
      <c r="C60" s="99">
        <v>34694</v>
      </c>
      <c r="D60" s="98" t="s">
        <v>182</v>
      </c>
      <c r="E60" s="99">
        <v>39934</v>
      </c>
      <c r="F60" s="98" t="s">
        <v>172</v>
      </c>
      <c r="G60" s="99">
        <v>35212</v>
      </c>
      <c r="H60" s="98" t="s">
        <v>167</v>
      </c>
      <c r="I60" s="99">
        <v>34129</v>
      </c>
      <c r="J60" s="98" t="s">
        <v>236</v>
      </c>
      <c r="K60" s="99">
        <v>34631</v>
      </c>
      <c r="L60" s="98" t="s">
        <v>189</v>
      </c>
      <c r="M60" s="99">
        <v>34649</v>
      </c>
      <c r="N60" s="98" t="s">
        <v>188</v>
      </c>
    </row>
    <row r="61" spans="1:14" x14ac:dyDescent="0.25">
      <c r="A61" s="100">
        <v>34662</v>
      </c>
      <c r="C61" s="99">
        <v>34695</v>
      </c>
      <c r="D61" s="98" t="s">
        <v>208</v>
      </c>
      <c r="E61" s="99">
        <v>40172</v>
      </c>
      <c r="F61" s="98" t="s">
        <v>177</v>
      </c>
      <c r="G61" s="99">
        <v>35303</v>
      </c>
      <c r="H61" s="98" t="s">
        <v>193</v>
      </c>
      <c r="I61" s="99">
        <v>34227</v>
      </c>
      <c r="J61" s="98" t="s">
        <v>200</v>
      </c>
      <c r="K61" s="99">
        <v>34693</v>
      </c>
      <c r="L61" s="98" t="s">
        <v>177</v>
      </c>
      <c r="M61" s="99">
        <v>34662</v>
      </c>
      <c r="N61" s="98" t="s">
        <v>192</v>
      </c>
    </row>
    <row r="62" spans="1:14" x14ac:dyDescent="0.25">
      <c r="A62" s="100">
        <v>34693</v>
      </c>
      <c r="C62" s="99">
        <v>34700</v>
      </c>
      <c r="D62" s="98" t="s">
        <v>160</v>
      </c>
      <c r="E62" s="99">
        <v>40173</v>
      </c>
      <c r="F62" s="98" t="s">
        <v>243</v>
      </c>
      <c r="G62" s="99">
        <v>35424</v>
      </c>
      <c r="H62" s="98" t="s">
        <v>177</v>
      </c>
      <c r="I62" s="99">
        <v>34235</v>
      </c>
      <c r="J62" s="98" t="s">
        <v>203</v>
      </c>
      <c r="K62" s="99">
        <v>34694</v>
      </c>
      <c r="L62" s="98" t="s">
        <v>182</v>
      </c>
      <c r="M62" s="99">
        <v>34693</v>
      </c>
      <c r="N62" s="98" t="s">
        <v>177</v>
      </c>
    </row>
    <row r="63" spans="1:14" x14ac:dyDescent="0.25">
      <c r="A63" s="100">
        <v>34694</v>
      </c>
      <c r="C63" s="99">
        <v>34701</v>
      </c>
      <c r="D63" s="98" t="s">
        <v>214</v>
      </c>
      <c r="E63" s="99">
        <v>40179</v>
      </c>
      <c r="F63" s="98" t="s">
        <v>160</v>
      </c>
      <c r="G63" s="99">
        <v>35425</v>
      </c>
      <c r="H63" s="98" t="s">
        <v>182</v>
      </c>
      <c r="I63" s="99">
        <v>34252</v>
      </c>
      <c r="J63" s="98" t="s">
        <v>234</v>
      </c>
      <c r="K63" s="99">
        <v>34695</v>
      </c>
      <c r="L63" s="98" t="s">
        <v>208</v>
      </c>
      <c r="M63" s="99">
        <v>34694</v>
      </c>
      <c r="N63" s="98" t="s">
        <v>208</v>
      </c>
    </row>
    <row r="64" spans="1:14" x14ac:dyDescent="0.25">
      <c r="A64" s="100">
        <v>34700</v>
      </c>
      <c r="C64" s="99">
        <v>34725</v>
      </c>
      <c r="D64" s="98" t="s">
        <v>171</v>
      </c>
      <c r="E64" s="99">
        <v>40270</v>
      </c>
      <c r="F64" s="98" t="s">
        <v>159</v>
      </c>
      <c r="G64" s="99">
        <v>35431</v>
      </c>
      <c r="H64" s="98" t="s">
        <v>160</v>
      </c>
      <c r="I64" s="99">
        <v>34253</v>
      </c>
      <c r="J64" s="98" t="s">
        <v>212</v>
      </c>
      <c r="K64" s="99">
        <v>34700</v>
      </c>
      <c r="L64" s="98" t="s">
        <v>160</v>
      </c>
      <c r="M64" s="99">
        <v>34700</v>
      </c>
      <c r="N64" s="98" t="s">
        <v>160</v>
      </c>
    </row>
    <row r="65" spans="1:14" x14ac:dyDescent="0.25">
      <c r="A65" s="100">
        <v>34701</v>
      </c>
      <c r="C65" s="99">
        <v>34803</v>
      </c>
      <c r="D65" s="98" t="s">
        <v>159</v>
      </c>
      <c r="E65" s="99">
        <v>40273</v>
      </c>
      <c r="F65" s="98" t="s">
        <v>162</v>
      </c>
      <c r="G65" s="99">
        <v>35517</v>
      </c>
      <c r="H65" s="98" t="s">
        <v>159</v>
      </c>
      <c r="I65" s="99">
        <v>34276</v>
      </c>
      <c r="J65" s="98" t="s">
        <v>209</v>
      </c>
      <c r="K65" s="99">
        <v>34701</v>
      </c>
      <c r="L65" s="98" t="s">
        <v>165</v>
      </c>
      <c r="M65" s="99">
        <v>34701</v>
      </c>
      <c r="N65" s="98" t="s">
        <v>214</v>
      </c>
    </row>
    <row r="66" spans="1:14" x14ac:dyDescent="0.25">
      <c r="A66" s="100">
        <v>34715</v>
      </c>
      <c r="C66" s="99">
        <v>34804</v>
      </c>
      <c r="D66" s="98" t="s">
        <v>176</v>
      </c>
      <c r="E66" s="99">
        <v>40299</v>
      </c>
      <c r="F66" s="98" t="s">
        <v>172</v>
      </c>
      <c r="G66" s="99">
        <v>35520</v>
      </c>
      <c r="H66" s="98" t="s">
        <v>162</v>
      </c>
      <c r="I66" s="99">
        <v>34296</v>
      </c>
      <c r="J66" s="98" t="s">
        <v>211</v>
      </c>
      <c r="K66" s="99">
        <v>34702</v>
      </c>
      <c r="L66" s="98" t="s">
        <v>214</v>
      </c>
      <c r="M66" s="99">
        <v>34715</v>
      </c>
      <c r="N66" s="98" t="s">
        <v>197</v>
      </c>
    </row>
    <row r="67" spans="1:14" x14ac:dyDescent="0.25">
      <c r="A67" s="100">
        <v>34742</v>
      </c>
      <c r="C67" s="99">
        <v>34806</v>
      </c>
      <c r="D67" s="98" t="s">
        <v>162</v>
      </c>
      <c r="E67" s="99">
        <v>40537</v>
      </c>
      <c r="F67" s="98" t="s">
        <v>177</v>
      </c>
      <c r="G67" s="99">
        <v>35555</v>
      </c>
      <c r="H67" s="98" t="s">
        <v>163</v>
      </c>
      <c r="I67" s="99">
        <v>34326</v>
      </c>
      <c r="J67" s="98" t="s">
        <v>173</v>
      </c>
      <c r="K67" s="99">
        <v>34729</v>
      </c>
      <c r="L67" s="98" t="s">
        <v>206</v>
      </c>
      <c r="M67" s="99">
        <v>34742</v>
      </c>
      <c r="N67" s="98" t="s">
        <v>204</v>
      </c>
    </row>
    <row r="68" spans="1:14" x14ac:dyDescent="0.25">
      <c r="A68" s="100">
        <v>34743</v>
      </c>
      <c r="C68" s="99">
        <v>34814</v>
      </c>
      <c r="D68" s="98" t="s">
        <v>185</v>
      </c>
      <c r="E68" s="99">
        <v>40538</v>
      </c>
      <c r="F68" s="98" t="s">
        <v>243</v>
      </c>
      <c r="G68" s="99">
        <v>35576</v>
      </c>
      <c r="H68" s="98" t="s">
        <v>167</v>
      </c>
      <c r="I68" s="99">
        <v>34335</v>
      </c>
      <c r="J68" s="98" t="s">
        <v>161</v>
      </c>
      <c r="K68" s="99">
        <v>34736</v>
      </c>
      <c r="L68" s="98" t="s">
        <v>169</v>
      </c>
      <c r="M68" s="99">
        <v>34743</v>
      </c>
      <c r="N68" s="98" t="s">
        <v>219</v>
      </c>
    </row>
    <row r="69" spans="1:14" x14ac:dyDescent="0.25">
      <c r="A69" s="100">
        <v>34750</v>
      </c>
      <c r="C69" s="99">
        <v>34862</v>
      </c>
      <c r="D69" s="98" t="s">
        <v>228</v>
      </c>
      <c r="E69" s="99">
        <v>40544</v>
      </c>
      <c r="F69" s="98" t="s">
        <v>160</v>
      </c>
      <c r="G69" s="99">
        <v>35667</v>
      </c>
      <c r="H69" s="98" t="s">
        <v>193</v>
      </c>
      <c r="I69" s="99">
        <v>34349</v>
      </c>
      <c r="J69" s="98" t="s">
        <v>164</v>
      </c>
      <c r="K69" s="99">
        <v>34803</v>
      </c>
      <c r="L69" s="98" t="s">
        <v>159</v>
      </c>
      <c r="M69" s="99">
        <v>34750</v>
      </c>
      <c r="N69" s="98" t="s">
        <v>199</v>
      </c>
    </row>
    <row r="70" spans="1:14" x14ac:dyDescent="0.25">
      <c r="A70" s="100">
        <v>34848</v>
      </c>
      <c r="C70" s="99">
        <v>34918</v>
      </c>
      <c r="D70" s="98" t="s">
        <v>202</v>
      </c>
      <c r="E70" s="99">
        <v>40655</v>
      </c>
      <c r="F70" s="98" t="s">
        <v>159</v>
      </c>
      <c r="G70" s="99">
        <v>35789</v>
      </c>
      <c r="H70" s="98" t="s">
        <v>177</v>
      </c>
      <c r="I70" s="99">
        <v>34376</v>
      </c>
      <c r="J70" s="98" t="s">
        <v>168</v>
      </c>
      <c r="K70" s="99">
        <v>34806</v>
      </c>
      <c r="L70" s="98" t="s">
        <v>162</v>
      </c>
      <c r="M70" s="99">
        <v>34848</v>
      </c>
      <c r="N70" s="98" t="s">
        <v>166</v>
      </c>
    </row>
    <row r="71" spans="1:14" x14ac:dyDescent="0.25">
      <c r="A71" s="100">
        <v>34884</v>
      </c>
      <c r="C71" s="99">
        <v>34974</v>
      </c>
      <c r="D71" s="98" t="s">
        <v>189</v>
      </c>
      <c r="E71" s="99">
        <v>40658</v>
      </c>
      <c r="F71" s="98" t="s">
        <v>162</v>
      </c>
      <c r="G71" s="99">
        <v>35790</v>
      </c>
      <c r="H71" s="98" t="s">
        <v>182</v>
      </c>
      <c r="I71" s="99">
        <v>34414</v>
      </c>
      <c r="J71" s="98" t="s">
        <v>178</v>
      </c>
      <c r="K71" s="99">
        <v>34814</v>
      </c>
      <c r="L71" s="98" t="s">
        <v>174</v>
      </c>
      <c r="M71" s="99">
        <v>34884</v>
      </c>
      <c r="N71" s="98" t="s">
        <v>175</v>
      </c>
    </row>
    <row r="72" spans="1:14" x14ac:dyDescent="0.25">
      <c r="A72" s="100">
        <v>34946</v>
      </c>
      <c r="C72" s="99">
        <v>35058</v>
      </c>
      <c r="D72" s="98" t="s">
        <v>177</v>
      </c>
      <c r="E72" s="99">
        <v>40664</v>
      </c>
      <c r="F72" s="98" t="s">
        <v>172</v>
      </c>
      <c r="G72" s="99">
        <v>35796</v>
      </c>
      <c r="H72" s="98" t="s">
        <v>160</v>
      </c>
      <c r="I72" s="99">
        <v>34453</v>
      </c>
      <c r="J72" s="98" t="s">
        <v>190</v>
      </c>
      <c r="K72" s="99">
        <v>34855</v>
      </c>
      <c r="L72" s="98" t="s">
        <v>228</v>
      </c>
      <c r="M72" s="99">
        <v>34946</v>
      </c>
      <c r="N72" s="98" t="s">
        <v>184</v>
      </c>
    </row>
    <row r="73" spans="1:14" x14ac:dyDescent="0.25">
      <c r="A73" s="100">
        <v>34981</v>
      </c>
      <c r="C73" s="99">
        <v>35059</v>
      </c>
      <c r="D73" s="98" t="s">
        <v>182</v>
      </c>
      <c r="E73" s="99">
        <v>40902</v>
      </c>
      <c r="F73" s="98" t="s">
        <v>177</v>
      </c>
      <c r="G73" s="99">
        <v>35895</v>
      </c>
      <c r="H73" s="98" t="s">
        <v>159</v>
      </c>
      <c r="I73" s="99">
        <v>34457</v>
      </c>
      <c r="J73" s="98" t="s">
        <v>187</v>
      </c>
      <c r="K73" s="99">
        <v>34995</v>
      </c>
      <c r="L73" s="98" t="s">
        <v>189</v>
      </c>
      <c r="M73" s="99">
        <v>34981</v>
      </c>
      <c r="N73" s="98" t="s">
        <v>201</v>
      </c>
    </row>
    <row r="74" spans="1:14" x14ac:dyDescent="0.25">
      <c r="A74" s="100">
        <v>35013</v>
      </c>
      <c r="C74" s="99">
        <v>35065</v>
      </c>
      <c r="D74" s="98" t="s">
        <v>160</v>
      </c>
      <c r="E74" s="99">
        <v>40903</v>
      </c>
      <c r="F74" s="98" t="s">
        <v>243</v>
      </c>
      <c r="G74" s="99">
        <v>35898</v>
      </c>
      <c r="H74" s="98" t="s">
        <v>162</v>
      </c>
      <c r="I74" s="99">
        <v>34458</v>
      </c>
      <c r="J74" s="98" t="s">
        <v>218</v>
      </c>
      <c r="K74" s="99">
        <v>35058</v>
      </c>
      <c r="L74" s="98" t="s">
        <v>177</v>
      </c>
      <c r="M74" s="99">
        <v>35013</v>
      </c>
      <c r="N74" s="98" t="s">
        <v>220</v>
      </c>
    </row>
    <row r="75" spans="1:14" x14ac:dyDescent="0.25">
      <c r="A75" s="100">
        <v>35014</v>
      </c>
      <c r="C75" s="99">
        <v>35090</v>
      </c>
      <c r="D75" s="98" t="s">
        <v>171</v>
      </c>
      <c r="E75" s="99">
        <v>40909</v>
      </c>
      <c r="F75" s="98" t="s">
        <v>160</v>
      </c>
      <c r="G75" s="99">
        <v>35919</v>
      </c>
      <c r="H75" s="98" t="s">
        <v>163</v>
      </c>
      <c r="I75" s="99">
        <v>34459</v>
      </c>
      <c r="J75" s="98" t="s">
        <v>194</v>
      </c>
      <c r="K75" s="99">
        <v>35059</v>
      </c>
      <c r="L75" s="98" t="s">
        <v>182</v>
      </c>
      <c r="M75" s="99">
        <v>35014</v>
      </c>
      <c r="N75" s="98" t="s">
        <v>188</v>
      </c>
    </row>
    <row r="76" spans="1:14" x14ac:dyDescent="0.25">
      <c r="A76" s="100">
        <v>35026</v>
      </c>
      <c r="C76" s="99">
        <v>35160</v>
      </c>
      <c r="D76" s="98" t="s">
        <v>159</v>
      </c>
      <c r="E76" s="99">
        <v>41005</v>
      </c>
      <c r="F76" s="98" t="s">
        <v>159</v>
      </c>
      <c r="G76" s="99">
        <v>35940</v>
      </c>
      <c r="H76" s="98" t="s">
        <v>167</v>
      </c>
      <c r="I76" s="99">
        <v>34592</v>
      </c>
      <c r="J76" s="98" t="s">
        <v>200</v>
      </c>
      <c r="K76" s="99">
        <v>35065</v>
      </c>
      <c r="L76" s="98" t="s">
        <v>160</v>
      </c>
      <c r="M76" s="99">
        <v>35026</v>
      </c>
      <c r="N76" s="98" t="s">
        <v>192</v>
      </c>
    </row>
    <row r="77" spans="1:14" x14ac:dyDescent="0.25">
      <c r="A77" s="100">
        <v>35058</v>
      </c>
      <c r="C77" s="99">
        <v>35161</v>
      </c>
      <c r="D77" s="98" t="s">
        <v>176</v>
      </c>
      <c r="E77" s="99">
        <v>41008</v>
      </c>
      <c r="F77" s="98" t="s">
        <v>162</v>
      </c>
      <c r="G77" s="99">
        <v>36038</v>
      </c>
      <c r="H77" s="98" t="s">
        <v>193</v>
      </c>
      <c r="I77" s="99">
        <v>34600</v>
      </c>
      <c r="J77" s="98" t="s">
        <v>203</v>
      </c>
      <c r="K77" s="99">
        <v>35066</v>
      </c>
      <c r="L77" s="98" t="s">
        <v>165</v>
      </c>
      <c r="M77" s="99">
        <v>35058</v>
      </c>
      <c r="N77" s="98" t="s">
        <v>177</v>
      </c>
    </row>
    <row r="78" spans="1:14" x14ac:dyDescent="0.25">
      <c r="A78" s="100">
        <v>35065</v>
      </c>
      <c r="C78" s="99">
        <v>35163</v>
      </c>
      <c r="D78" s="98" t="s">
        <v>162</v>
      </c>
      <c r="E78" s="99">
        <v>41030</v>
      </c>
      <c r="F78" s="98" t="s">
        <v>172</v>
      </c>
      <c r="G78" s="99">
        <v>36154</v>
      </c>
      <c r="H78" s="98" t="s">
        <v>177</v>
      </c>
      <c r="I78" s="99">
        <v>34617</v>
      </c>
      <c r="J78" s="98" t="s">
        <v>234</v>
      </c>
      <c r="K78" s="99">
        <v>35093</v>
      </c>
      <c r="L78" s="98" t="s">
        <v>206</v>
      </c>
      <c r="M78" s="99">
        <v>35065</v>
      </c>
      <c r="N78" s="98" t="s">
        <v>160</v>
      </c>
    </row>
    <row r="79" spans="1:14" x14ac:dyDescent="0.25">
      <c r="A79" s="100">
        <v>35079</v>
      </c>
      <c r="C79" s="99">
        <v>35180</v>
      </c>
      <c r="D79" s="98" t="s">
        <v>185</v>
      </c>
      <c r="E79" s="99">
        <v>41268</v>
      </c>
      <c r="F79" s="98" t="s">
        <v>177</v>
      </c>
      <c r="G79" s="99">
        <v>36155</v>
      </c>
      <c r="H79" s="98" t="s">
        <v>182</v>
      </c>
      <c r="I79" s="99">
        <v>34641</v>
      </c>
      <c r="J79" s="98" t="s">
        <v>209</v>
      </c>
      <c r="K79" s="99">
        <v>35101</v>
      </c>
      <c r="L79" s="98" t="s">
        <v>169</v>
      </c>
      <c r="M79" s="99">
        <v>35079</v>
      </c>
      <c r="N79" s="98" t="s">
        <v>197</v>
      </c>
    </row>
    <row r="80" spans="1:14" x14ac:dyDescent="0.25">
      <c r="A80" s="100">
        <v>35107</v>
      </c>
      <c r="C80" s="99">
        <v>35226</v>
      </c>
      <c r="D80" s="98" t="s">
        <v>228</v>
      </c>
      <c r="E80" s="99">
        <v>41269</v>
      </c>
      <c r="F80" s="98" t="s">
        <v>243</v>
      </c>
      <c r="G80" s="99">
        <v>36157</v>
      </c>
      <c r="H80" s="98" t="s">
        <v>186</v>
      </c>
      <c r="I80" s="99">
        <v>34661</v>
      </c>
      <c r="J80" s="98" t="s">
        <v>211</v>
      </c>
      <c r="K80" s="99">
        <v>35160</v>
      </c>
      <c r="L80" s="98" t="s">
        <v>159</v>
      </c>
      <c r="M80" s="99">
        <v>35107</v>
      </c>
      <c r="N80" s="98" t="s">
        <v>204</v>
      </c>
    </row>
    <row r="81" spans="1:14" x14ac:dyDescent="0.25">
      <c r="A81" s="100">
        <v>35114</v>
      </c>
      <c r="C81" s="99">
        <v>35282</v>
      </c>
      <c r="D81" s="98" t="s">
        <v>202</v>
      </c>
      <c r="E81" s="99">
        <v>41275</v>
      </c>
      <c r="F81" s="98" t="s">
        <v>160</v>
      </c>
      <c r="G81" s="99">
        <v>36161</v>
      </c>
      <c r="H81" s="98" t="s">
        <v>160</v>
      </c>
      <c r="I81" s="99">
        <v>34691</v>
      </c>
      <c r="J81" s="98" t="s">
        <v>173</v>
      </c>
      <c r="K81" s="99">
        <v>35163</v>
      </c>
      <c r="L81" s="98" t="s">
        <v>162</v>
      </c>
      <c r="M81" s="99">
        <v>35114</v>
      </c>
      <c r="N81" s="98" t="s">
        <v>199</v>
      </c>
    </row>
    <row r="82" spans="1:14" x14ac:dyDescent="0.25">
      <c r="A82" s="100">
        <v>35212</v>
      </c>
      <c r="C82" s="99">
        <v>35345</v>
      </c>
      <c r="D82" s="98" t="s">
        <v>189</v>
      </c>
      <c r="E82" s="99">
        <v>41362</v>
      </c>
      <c r="F82" s="98" t="s">
        <v>159</v>
      </c>
      <c r="G82" s="99">
        <v>36252</v>
      </c>
      <c r="H82" s="98" t="s">
        <v>159</v>
      </c>
      <c r="I82" s="99">
        <v>34700</v>
      </c>
      <c r="J82" s="98" t="s">
        <v>161</v>
      </c>
      <c r="K82" s="99">
        <v>35180</v>
      </c>
      <c r="L82" s="98" t="s">
        <v>174</v>
      </c>
      <c r="M82" s="99">
        <v>35212</v>
      </c>
      <c r="N82" s="98" t="s">
        <v>166</v>
      </c>
    </row>
    <row r="83" spans="1:14" x14ac:dyDescent="0.25">
      <c r="A83" s="100">
        <v>35250</v>
      </c>
      <c r="C83" s="99">
        <v>35424</v>
      </c>
      <c r="D83" s="98" t="s">
        <v>177</v>
      </c>
      <c r="E83" s="99">
        <v>41365</v>
      </c>
      <c r="F83" s="98" t="s">
        <v>162</v>
      </c>
      <c r="G83" s="99">
        <v>36255</v>
      </c>
      <c r="H83" s="98" t="s">
        <v>162</v>
      </c>
      <c r="I83" s="99">
        <v>34701</v>
      </c>
      <c r="J83" s="98" t="s">
        <v>212</v>
      </c>
      <c r="K83" s="99">
        <v>35219</v>
      </c>
      <c r="L83" s="98" t="s">
        <v>228</v>
      </c>
      <c r="M83" s="99">
        <v>35250</v>
      </c>
      <c r="N83" s="98" t="s">
        <v>175</v>
      </c>
    </row>
    <row r="84" spans="1:14" x14ac:dyDescent="0.25">
      <c r="A84" s="100">
        <v>35310</v>
      </c>
      <c r="C84" s="99">
        <v>35425</v>
      </c>
      <c r="D84" s="98" t="s">
        <v>182</v>
      </c>
      <c r="E84" s="99">
        <v>41395</v>
      </c>
      <c r="F84" s="98" t="s">
        <v>172</v>
      </c>
      <c r="G84" s="99">
        <v>36283</v>
      </c>
      <c r="H84" s="98" t="s">
        <v>163</v>
      </c>
      <c r="I84" s="99">
        <v>34714</v>
      </c>
      <c r="J84" s="98" t="s">
        <v>164</v>
      </c>
      <c r="K84" s="99">
        <v>35366</v>
      </c>
      <c r="L84" s="98" t="s">
        <v>189</v>
      </c>
      <c r="M84" s="99">
        <v>35310</v>
      </c>
      <c r="N84" s="98" t="s">
        <v>184</v>
      </c>
    </row>
    <row r="85" spans="1:14" x14ac:dyDescent="0.25">
      <c r="A85" s="100">
        <v>35352</v>
      </c>
      <c r="C85" s="99">
        <v>35431</v>
      </c>
      <c r="D85" s="98" t="s">
        <v>160</v>
      </c>
      <c r="E85" s="99">
        <v>41633</v>
      </c>
      <c r="F85" s="98" t="s">
        <v>177</v>
      </c>
      <c r="G85" s="99">
        <v>36311</v>
      </c>
      <c r="H85" s="98" t="s">
        <v>167</v>
      </c>
      <c r="I85" s="99">
        <v>34715</v>
      </c>
      <c r="J85" s="98" t="s">
        <v>212</v>
      </c>
      <c r="K85" s="99">
        <v>35424</v>
      </c>
      <c r="L85" s="98" t="s">
        <v>177</v>
      </c>
      <c r="M85" s="99">
        <v>35352</v>
      </c>
      <c r="N85" s="98" t="s">
        <v>201</v>
      </c>
    </row>
    <row r="86" spans="1:14" x14ac:dyDescent="0.25">
      <c r="A86" s="100">
        <v>35380</v>
      </c>
      <c r="C86" s="99">
        <v>35456</v>
      </c>
      <c r="D86" s="98" t="s">
        <v>171</v>
      </c>
      <c r="E86" s="99">
        <v>41634</v>
      </c>
      <c r="F86" s="98" t="s">
        <v>243</v>
      </c>
      <c r="G86" s="99">
        <v>36402</v>
      </c>
      <c r="H86" s="98" t="s">
        <v>193</v>
      </c>
      <c r="I86" s="99">
        <v>34741</v>
      </c>
      <c r="J86" s="98" t="s">
        <v>168</v>
      </c>
      <c r="K86" s="99">
        <v>35425</v>
      </c>
      <c r="L86" s="98" t="s">
        <v>182</v>
      </c>
      <c r="M86" s="99">
        <v>35380</v>
      </c>
      <c r="N86" s="98" t="s">
        <v>188</v>
      </c>
    </row>
    <row r="87" spans="1:14" x14ac:dyDescent="0.25">
      <c r="A87" s="100">
        <v>35397</v>
      </c>
      <c r="C87" s="99">
        <v>35457</v>
      </c>
      <c r="D87" s="98" t="s">
        <v>229</v>
      </c>
      <c r="E87" s="99">
        <v>41640</v>
      </c>
      <c r="F87" s="98" t="s">
        <v>160</v>
      </c>
      <c r="G87" s="99">
        <v>36519</v>
      </c>
      <c r="H87" s="98" t="s">
        <v>177</v>
      </c>
      <c r="I87" s="99">
        <v>34779</v>
      </c>
      <c r="J87" s="98" t="s">
        <v>178</v>
      </c>
      <c r="K87" s="99">
        <v>35431</v>
      </c>
      <c r="L87" s="98" t="s">
        <v>160</v>
      </c>
      <c r="M87" s="99">
        <v>35397</v>
      </c>
      <c r="N87" s="98" t="s">
        <v>192</v>
      </c>
    </row>
    <row r="88" spans="1:14" x14ac:dyDescent="0.25">
      <c r="A88" s="100">
        <v>35424</v>
      </c>
      <c r="C88" s="99">
        <v>35517</v>
      </c>
      <c r="D88" s="98" t="s">
        <v>159</v>
      </c>
      <c r="E88" s="99">
        <v>41747</v>
      </c>
      <c r="F88" s="98" t="s">
        <v>159</v>
      </c>
      <c r="G88" s="99">
        <v>36520</v>
      </c>
      <c r="H88" s="98" t="s">
        <v>182</v>
      </c>
      <c r="I88" s="99">
        <v>34818</v>
      </c>
      <c r="J88" s="98" t="s">
        <v>190</v>
      </c>
      <c r="K88" s="99">
        <v>35432</v>
      </c>
      <c r="L88" s="98" t="s">
        <v>165</v>
      </c>
      <c r="M88" s="99">
        <v>35424</v>
      </c>
      <c r="N88" s="98" t="s">
        <v>177</v>
      </c>
    </row>
    <row r="89" spans="1:14" x14ac:dyDescent="0.25">
      <c r="A89" s="100">
        <v>35431</v>
      </c>
      <c r="C89" s="99">
        <v>35518</v>
      </c>
      <c r="D89" s="98" t="s">
        <v>176</v>
      </c>
      <c r="E89" s="99">
        <v>41750</v>
      </c>
      <c r="F89" s="98" t="s">
        <v>162</v>
      </c>
      <c r="G89" s="99">
        <v>36521</v>
      </c>
      <c r="H89" s="98" t="s">
        <v>208</v>
      </c>
      <c r="I89" s="99">
        <v>34822</v>
      </c>
      <c r="J89" s="98" t="s">
        <v>187</v>
      </c>
      <c r="K89" s="99">
        <v>35457</v>
      </c>
      <c r="L89" s="98" t="s">
        <v>206</v>
      </c>
      <c r="M89" s="99">
        <v>35431</v>
      </c>
      <c r="N89" s="98" t="s">
        <v>160</v>
      </c>
    </row>
    <row r="90" spans="1:14" x14ac:dyDescent="0.25">
      <c r="A90" s="100">
        <v>35450</v>
      </c>
      <c r="C90" s="99">
        <v>35520</v>
      </c>
      <c r="D90" s="98" t="s">
        <v>162</v>
      </c>
      <c r="E90" s="99">
        <v>41760</v>
      </c>
      <c r="F90" s="98" t="s">
        <v>172</v>
      </c>
      <c r="G90" s="99">
        <v>36522</v>
      </c>
      <c r="H90" s="98" t="s">
        <v>186</v>
      </c>
      <c r="I90" s="99">
        <v>34823</v>
      </c>
      <c r="J90" s="98" t="s">
        <v>218</v>
      </c>
      <c r="K90" s="99">
        <v>35467</v>
      </c>
      <c r="L90" s="98" t="s">
        <v>169</v>
      </c>
      <c r="M90" s="99">
        <v>35450</v>
      </c>
      <c r="N90" s="98" t="s">
        <v>197</v>
      </c>
    </row>
    <row r="91" spans="1:14" x14ac:dyDescent="0.25">
      <c r="A91" s="100">
        <v>35473</v>
      </c>
      <c r="C91" s="99">
        <v>35545</v>
      </c>
      <c r="D91" s="98" t="s">
        <v>185</v>
      </c>
      <c r="E91" s="99">
        <v>41998</v>
      </c>
      <c r="F91" s="98" t="s">
        <v>177</v>
      </c>
      <c r="G91" s="99">
        <v>36525</v>
      </c>
      <c r="H91" s="98" t="s">
        <v>222</v>
      </c>
      <c r="I91" s="99">
        <v>34824</v>
      </c>
      <c r="J91" s="98" t="s">
        <v>194</v>
      </c>
      <c r="K91" s="99">
        <v>35517</v>
      </c>
      <c r="L91" s="98" t="s">
        <v>159</v>
      </c>
      <c r="M91" s="99">
        <v>35473</v>
      </c>
      <c r="N91" s="98" t="s">
        <v>204</v>
      </c>
    </row>
    <row r="92" spans="1:14" x14ac:dyDescent="0.25">
      <c r="A92" s="100">
        <v>35478</v>
      </c>
      <c r="C92" s="99">
        <v>35590</v>
      </c>
      <c r="D92" s="98" t="s">
        <v>228</v>
      </c>
      <c r="E92" s="99">
        <v>41999</v>
      </c>
      <c r="F92" s="98" t="s">
        <v>243</v>
      </c>
      <c r="G92" s="99">
        <v>36526</v>
      </c>
      <c r="H92" s="98" t="s">
        <v>160</v>
      </c>
      <c r="I92" s="99">
        <v>34957</v>
      </c>
      <c r="J92" s="98" t="s">
        <v>200</v>
      </c>
      <c r="K92" s="99">
        <v>35520</v>
      </c>
      <c r="L92" s="98" t="s">
        <v>162</v>
      </c>
      <c r="M92" s="99">
        <v>35478</v>
      </c>
      <c r="N92" s="98" t="s">
        <v>199</v>
      </c>
    </row>
    <row r="93" spans="1:14" x14ac:dyDescent="0.25">
      <c r="A93" s="100">
        <v>35576</v>
      </c>
      <c r="C93" s="99">
        <v>35646</v>
      </c>
      <c r="D93" s="98" t="s">
        <v>202</v>
      </c>
      <c r="E93" s="99">
        <v>42005</v>
      </c>
      <c r="F93" s="98" t="s">
        <v>160</v>
      </c>
      <c r="G93" s="99">
        <v>36528</v>
      </c>
      <c r="H93" s="98" t="s">
        <v>214</v>
      </c>
      <c r="I93" s="99">
        <v>34965</v>
      </c>
      <c r="J93" s="98" t="s">
        <v>203</v>
      </c>
      <c r="K93" s="99">
        <v>35545</v>
      </c>
      <c r="L93" s="98" t="s">
        <v>174</v>
      </c>
      <c r="M93" s="99">
        <v>35576</v>
      </c>
      <c r="N93" s="98" t="s">
        <v>166</v>
      </c>
    </row>
    <row r="94" spans="1:14" x14ac:dyDescent="0.25">
      <c r="A94" s="100">
        <v>35615</v>
      </c>
      <c r="C94" s="99">
        <v>35709</v>
      </c>
      <c r="D94" s="98" t="s">
        <v>189</v>
      </c>
      <c r="E94" s="99">
        <v>42097</v>
      </c>
      <c r="F94" s="98" t="s">
        <v>159</v>
      </c>
      <c r="G94" s="99">
        <v>36637</v>
      </c>
      <c r="H94" s="98" t="s">
        <v>159</v>
      </c>
      <c r="I94" s="99">
        <v>34982</v>
      </c>
      <c r="J94" s="98" t="s">
        <v>234</v>
      </c>
      <c r="K94" s="99">
        <v>35583</v>
      </c>
      <c r="L94" s="98" t="s">
        <v>228</v>
      </c>
      <c r="M94" s="99">
        <v>35615</v>
      </c>
      <c r="N94" s="98" t="s">
        <v>175</v>
      </c>
    </row>
    <row r="95" spans="1:14" x14ac:dyDescent="0.25">
      <c r="A95" s="100">
        <v>35674</v>
      </c>
      <c r="C95" s="99">
        <v>35789</v>
      </c>
      <c r="D95" s="98" t="s">
        <v>177</v>
      </c>
      <c r="E95" s="99">
        <v>42100</v>
      </c>
      <c r="F95" s="98" t="s">
        <v>162</v>
      </c>
      <c r="G95" s="99">
        <v>36640</v>
      </c>
      <c r="H95" s="98" t="s">
        <v>162</v>
      </c>
      <c r="I95" s="99">
        <v>35006</v>
      </c>
      <c r="J95" s="98" t="s">
        <v>209</v>
      </c>
      <c r="K95" s="99">
        <v>35730</v>
      </c>
      <c r="L95" s="98" t="s">
        <v>189</v>
      </c>
      <c r="M95" s="99">
        <v>35674</v>
      </c>
      <c r="N95" s="98" t="s">
        <v>184</v>
      </c>
    </row>
    <row r="96" spans="1:14" x14ac:dyDescent="0.25">
      <c r="A96" s="100">
        <v>35716</v>
      </c>
      <c r="C96" s="99">
        <v>35790</v>
      </c>
      <c r="D96" s="98" t="s">
        <v>182</v>
      </c>
      <c r="E96" s="99">
        <v>42125</v>
      </c>
      <c r="F96" s="98" t="s">
        <v>172</v>
      </c>
      <c r="G96" s="99">
        <v>36647</v>
      </c>
      <c r="H96" s="98" t="s">
        <v>163</v>
      </c>
      <c r="I96" s="99">
        <v>35026</v>
      </c>
      <c r="J96" s="98" t="s">
        <v>211</v>
      </c>
      <c r="K96" s="99">
        <v>35789</v>
      </c>
      <c r="L96" s="98" t="s">
        <v>177</v>
      </c>
      <c r="M96" s="99">
        <v>35716</v>
      </c>
      <c r="N96" s="98" t="s">
        <v>201</v>
      </c>
    </row>
    <row r="97" spans="1:14" x14ac:dyDescent="0.25">
      <c r="A97" s="100">
        <v>35745</v>
      </c>
      <c r="C97" s="99">
        <v>35796</v>
      </c>
      <c r="D97" s="98" t="s">
        <v>160</v>
      </c>
      <c r="E97" s="99">
        <v>42363</v>
      </c>
      <c r="F97" s="98" t="s">
        <v>177</v>
      </c>
      <c r="G97" s="99">
        <v>36675</v>
      </c>
      <c r="H97" s="98" t="s">
        <v>167</v>
      </c>
      <c r="I97" s="99">
        <v>35056</v>
      </c>
      <c r="J97" s="98" t="s">
        <v>173</v>
      </c>
      <c r="K97" s="99">
        <v>35790</v>
      </c>
      <c r="L97" s="98" t="s">
        <v>182</v>
      </c>
      <c r="M97" s="99">
        <v>35745</v>
      </c>
      <c r="N97" s="98" t="s">
        <v>188</v>
      </c>
    </row>
    <row r="98" spans="1:14" x14ac:dyDescent="0.25">
      <c r="A98" s="100">
        <v>35761</v>
      </c>
      <c r="C98" s="99">
        <v>35821</v>
      </c>
      <c r="D98" s="98" t="s">
        <v>171</v>
      </c>
      <c r="E98" s="99">
        <v>42364</v>
      </c>
      <c r="F98" s="98" t="s">
        <v>243</v>
      </c>
      <c r="G98" s="99">
        <v>36766</v>
      </c>
      <c r="H98" s="98" t="s">
        <v>193</v>
      </c>
      <c r="I98" s="99">
        <v>35065</v>
      </c>
      <c r="J98" s="98" t="s">
        <v>161</v>
      </c>
      <c r="K98" s="99">
        <v>35796</v>
      </c>
      <c r="L98" s="98" t="s">
        <v>160</v>
      </c>
      <c r="M98" s="99">
        <v>35761</v>
      </c>
      <c r="N98" s="98" t="s">
        <v>192</v>
      </c>
    </row>
    <row r="99" spans="1:14" x14ac:dyDescent="0.25">
      <c r="A99" s="100">
        <v>35789</v>
      </c>
      <c r="C99" s="99">
        <v>35895</v>
      </c>
      <c r="D99" s="98" t="s">
        <v>159</v>
      </c>
      <c r="E99" s="99">
        <v>42370</v>
      </c>
      <c r="F99" s="98" t="s">
        <v>160</v>
      </c>
      <c r="G99" s="99">
        <v>36885</v>
      </c>
      <c r="H99" s="98" t="s">
        <v>177</v>
      </c>
      <c r="I99" s="99">
        <v>35079</v>
      </c>
      <c r="J99" s="98" t="s">
        <v>164</v>
      </c>
      <c r="K99" s="99">
        <v>35797</v>
      </c>
      <c r="L99" s="98" t="s">
        <v>165</v>
      </c>
      <c r="M99" s="99">
        <v>35789</v>
      </c>
      <c r="N99" s="98" t="s">
        <v>177</v>
      </c>
    </row>
    <row r="100" spans="1:14" x14ac:dyDescent="0.25">
      <c r="A100" s="100">
        <v>35796</v>
      </c>
      <c r="C100" s="99">
        <v>35896</v>
      </c>
      <c r="D100" s="98" t="s">
        <v>176</v>
      </c>
      <c r="E100" s="99">
        <v>42454</v>
      </c>
      <c r="F100" s="98" t="s">
        <v>159</v>
      </c>
      <c r="G100" s="99">
        <v>36886</v>
      </c>
      <c r="H100" s="98" t="s">
        <v>182</v>
      </c>
      <c r="I100" s="99">
        <v>35106</v>
      </c>
      <c r="J100" s="98" t="s">
        <v>168</v>
      </c>
      <c r="K100" s="99">
        <v>35821</v>
      </c>
      <c r="L100" s="98" t="s">
        <v>206</v>
      </c>
      <c r="M100" s="99">
        <v>35796</v>
      </c>
      <c r="N100" s="98" t="s">
        <v>160</v>
      </c>
    </row>
    <row r="101" spans="1:14" x14ac:dyDescent="0.25">
      <c r="A101" s="100">
        <v>35814</v>
      </c>
      <c r="C101" s="99">
        <v>35898</v>
      </c>
      <c r="D101" s="98" t="s">
        <v>162</v>
      </c>
      <c r="E101" s="99">
        <v>42457</v>
      </c>
      <c r="F101" s="98" t="s">
        <v>162</v>
      </c>
      <c r="G101" s="99">
        <v>36892</v>
      </c>
      <c r="H101" s="98" t="s">
        <v>160</v>
      </c>
      <c r="I101" s="99">
        <v>35107</v>
      </c>
      <c r="J101" s="98" t="s">
        <v>212</v>
      </c>
      <c r="K101" s="99">
        <v>35832</v>
      </c>
      <c r="L101" s="98" t="s">
        <v>169</v>
      </c>
      <c r="M101" s="99">
        <v>35814</v>
      </c>
      <c r="N101" s="98" t="s">
        <v>197</v>
      </c>
    </row>
    <row r="102" spans="1:14" x14ac:dyDescent="0.25">
      <c r="A102" s="100">
        <v>35838</v>
      </c>
      <c r="C102" s="99">
        <v>35910</v>
      </c>
      <c r="D102" s="98" t="s">
        <v>185</v>
      </c>
      <c r="E102" s="99">
        <v>42491</v>
      </c>
      <c r="F102" s="98" t="s">
        <v>172</v>
      </c>
      <c r="G102" s="99">
        <v>36994</v>
      </c>
      <c r="H102" s="98" t="s">
        <v>159</v>
      </c>
      <c r="I102" s="99">
        <v>35144</v>
      </c>
      <c r="J102" s="98" t="s">
        <v>178</v>
      </c>
      <c r="K102" s="99">
        <v>35895</v>
      </c>
      <c r="L102" s="98" t="s">
        <v>159</v>
      </c>
      <c r="M102" s="99">
        <v>35838</v>
      </c>
      <c r="N102" s="98" t="s">
        <v>204</v>
      </c>
    </row>
    <row r="103" spans="1:14" x14ac:dyDescent="0.25">
      <c r="A103" s="100">
        <v>35842</v>
      </c>
      <c r="C103" s="99">
        <v>35912</v>
      </c>
      <c r="D103" s="98" t="s">
        <v>230</v>
      </c>
      <c r="E103" s="99">
        <v>42729</v>
      </c>
      <c r="F103" s="98" t="s">
        <v>177</v>
      </c>
      <c r="G103" s="99">
        <v>36997</v>
      </c>
      <c r="H103" s="98" t="s">
        <v>162</v>
      </c>
      <c r="I103" s="99">
        <v>35184</v>
      </c>
      <c r="J103" s="98" t="s">
        <v>190</v>
      </c>
      <c r="K103" s="99">
        <v>35898</v>
      </c>
      <c r="L103" s="98" t="s">
        <v>162</v>
      </c>
      <c r="M103" s="99">
        <v>35842</v>
      </c>
      <c r="N103" s="98" t="s">
        <v>199</v>
      </c>
    </row>
    <row r="104" spans="1:14" x14ac:dyDescent="0.25">
      <c r="A104" s="100">
        <v>35940</v>
      </c>
      <c r="C104" s="99">
        <v>35954</v>
      </c>
      <c r="D104" s="98" t="s">
        <v>228</v>
      </c>
      <c r="E104" s="99">
        <v>42730</v>
      </c>
      <c r="F104" s="98" t="s">
        <v>243</v>
      </c>
      <c r="G104" s="99">
        <v>37018</v>
      </c>
      <c r="H104" s="98" t="s">
        <v>163</v>
      </c>
      <c r="I104" s="99">
        <v>35188</v>
      </c>
      <c r="J104" s="98" t="s">
        <v>187</v>
      </c>
      <c r="K104" s="99">
        <v>35910</v>
      </c>
      <c r="L104" s="98" t="s">
        <v>174</v>
      </c>
      <c r="M104" s="99">
        <v>35940</v>
      </c>
      <c r="N104" s="98" t="s">
        <v>166</v>
      </c>
    </row>
    <row r="105" spans="1:14" x14ac:dyDescent="0.25">
      <c r="A105" s="100">
        <v>35979</v>
      </c>
      <c r="C105" s="99">
        <v>36010</v>
      </c>
      <c r="D105" s="98" t="s">
        <v>202</v>
      </c>
      <c r="E105" s="99">
        <v>42736</v>
      </c>
      <c r="F105" s="98" t="s">
        <v>160</v>
      </c>
      <c r="G105" s="99">
        <v>37039</v>
      </c>
      <c r="H105" s="98" t="s">
        <v>167</v>
      </c>
      <c r="I105" s="99">
        <v>35189</v>
      </c>
      <c r="J105" s="98" t="s">
        <v>218</v>
      </c>
      <c r="K105" s="99">
        <v>35947</v>
      </c>
      <c r="L105" s="98" t="s">
        <v>228</v>
      </c>
      <c r="M105" s="99">
        <v>35979</v>
      </c>
      <c r="N105" s="98" t="s">
        <v>180</v>
      </c>
    </row>
    <row r="106" spans="1:14" x14ac:dyDescent="0.25">
      <c r="A106" s="100">
        <v>35980</v>
      </c>
      <c r="C106" s="99">
        <v>36073</v>
      </c>
      <c r="D106" s="98" t="s">
        <v>189</v>
      </c>
      <c r="E106" s="99">
        <v>42839</v>
      </c>
      <c r="F106" s="98" t="s">
        <v>159</v>
      </c>
      <c r="G106" s="99">
        <v>37130</v>
      </c>
      <c r="H106" s="98" t="s">
        <v>193</v>
      </c>
      <c r="I106" s="99">
        <v>35190</v>
      </c>
      <c r="J106" s="98" t="s">
        <v>194</v>
      </c>
      <c r="K106" s="99">
        <v>36094</v>
      </c>
      <c r="L106" s="98" t="s">
        <v>189</v>
      </c>
      <c r="M106" s="99">
        <v>35980</v>
      </c>
      <c r="N106" s="98" t="s">
        <v>175</v>
      </c>
    </row>
    <row r="107" spans="1:14" x14ac:dyDescent="0.25">
      <c r="A107" s="100">
        <v>36045</v>
      </c>
      <c r="C107" s="99">
        <v>36154</v>
      </c>
      <c r="D107" s="98" t="s">
        <v>177</v>
      </c>
      <c r="E107" s="99">
        <v>42842</v>
      </c>
      <c r="F107" s="98" t="s">
        <v>162</v>
      </c>
      <c r="G107" s="99">
        <v>37250</v>
      </c>
      <c r="H107" s="98" t="s">
        <v>177</v>
      </c>
      <c r="I107" s="99">
        <v>35191</v>
      </c>
      <c r="J107" s="98" t="s">
        <v>212</v>
      </c>
      <c r="K107" s="99">
        <v>36154</v>
      </c>
      <c r="L107" s="98" t="s">
        <v>177</v>
      </c>
      <c r="M107" s="99">
        <v>36045</v>
      </c>
      <c r="N107" s="98" t="s">
        <v>184</v>
      </c>
    </row>
    <row r="108" spans="1:14" x14ac:dyDescent="0.25">
      <c r="A108" s="100">
        <v>36080</v>
      </c>
      <c r="C108" s="99">
        <v>36155</v>
      </c>
      <c r="D108" s="98" t="s">
        <v>182</v>
      </c>
      <c r="E108" s="99">
        <v>42856</v>
      </c>
      <c r="F108" s="98" t="s">
        <v>172</v>
      </c>
      <c r="G108" s="99">
        <v>37251</v>
      </c>
      <c r="H108" s="98" t="s">
        <v>182</v>
      </c>
      <c r="I108" s="99">
        <v>35266</v>
      </c>
      <c r="J108" s="98" t="s">
        <v>196</v>
      </c>
      <c r="K108" s="99">
        <v>36155</v>
      </c>
      <c r="L108" s="98" t="s">
        <v>182</v>
      </c>
      <c r="M108" s="99">
        <v>36080</v>
      </c>
      <c r="N108" s="98" t="s">
        <v>201</v>
      </c>
    </row>
    <row r="109" spans="1:14" x14ac:dyDescent="0.25">
      <c r="A109" s="100">
        <v>36110</v>
      </c>
      <c r="C109" s="99">
        <v>36161</v>
      </c>
      <c r="D109" s="98" t="s">
        <v>160</v>
      </c>
      <c r="E109" s="99">
        <v>43094</v>
      </c>
      <c r="F109" s="98" t="s">
        <v>177</v>
      </c>
      <c r="G109" s="99">
        <v>37257</v>
      </c>
      <c r="H109" s="98" t="s">
        <v>160</v>
      </c>
      <c r="I109" s="99">
        <v>35323</v>
      </c>
      <c r="J109" s="98" t="s">
        <v>200</v>
      </c>
      <c r="K109" s="99">
        <v>36157</v>
      </c>
      <c r="L109" s="98" t="s">
        <v>186</v>
      </c>
      <c r="M109" s="99">
        <v>36110</v>
      </c>
      <c r="N109" s="98" t="s">
        <v>188</v>
      </c>
    </row>
    <row r="110" spans="1:14" x14ac:dyDescent="0.25">
      <c r="A110" s="100">
        <v>36125</v>
      </c>
      <c r="C110" s="99">
        <v>36186</v>
      </c>
      <c r="D110" s="98" t="s">
        <v>171</v>
      </c>
      <c r="E110" s="99">
        <v>43095</v>
      </c>
      <c r="F110" s="98" t="s">
        <v>243</v>
      </c>
      <c r="G110" s="99">
        <v>37344</v>
      </c>
      <c r="H110" s="98" t="s">
        <v>159</v>
      </c>
      <c r="I110" s="99">
        <v>35324</v>
      </c>
      <c r="J110" s="98" t="s">
        <v>212</v>
      </c>
      <c r="K110" s="99">
        <v>36161</v>
      </c>
      <c r="L110" s="98" t="s">
        <v>160</v>
      </c>
      <c r="M110" s="99">
        <v>36125</v>
      </c>
      <c r="N110" s="98" t="s">
        <v>192</v>
      </c>
    </row>
    <row r="111" spans="1:14" x14ac:dyDescent="0.25">
      <c r="A111" s="100">
        <v>36154</v>
      </c>
      <c r="C111" s="99">
        <v>36252</v>
      </c>
      <c r="D111" s="98" t="s">
        <v>159</v>
      </c>
      <c r="E111" s="99">
        <v>43101</v>
      </c>
      <c r="F111" s="98" t="s">
        <v>160</v>
      </c>
      <c r="G111" s="99">
        <v>37347</v>
      </c>
      <c r="H111" s="98" t="s">
        <v>162</v>
      </c>
      <c r="I111" s="99">
        <v>35331</v>
      </c>
      <c r="J111" s="98" t="s">
        <v>203</v>
      </c>
      <c r="K111" s="99">
        <v>36162</v>
      </c>
      <c r="L111" s="98" t="s">
        <v>165</v>
      </c>
      <c r="M111" s="99">
        <v>36154</v>
      </c>
      <c r="N111" s="98" t="s">
        <v>177</v>
      </c>
    </row>
    <row r="112" spans="1:14" x14ac:dyDescent="0.25">
      <c r="A112" s="100">
        <v>36161</v>
      </c>
      <c r="C112" s="99">
        <v>36253</v>
      </c>
      <c r="D112" s="98" t="s">
        <v>176</v>
      </c>
      <c r="E112" s="99">
        <v>43189</v>
      </c>
      <c r="F112" s="98" t="s">
        <v>159</v>
      </c>
      <c r="G112" s="99">
        <v>37382</v>
      </c>
      <c r="H112" s="98" t="s">
        <v>163</v>
      </c>
      <c r="I112" s="99">
        <v>35348</v>
      </c>
      <c r="J112" s="98" t="s">
        <v>234</v>
      </c>
      <c r="K112" s="99">
        <v>36164</v>
      </c>
      <c r="L112" s="98" t="s">
        <v>213</v>
      </c>
      <c r="M112" s="99">
        <v>36161</v>
      </c>
      <c r="N112" s="98" t="s">
        <v>160</v>
      </c>
    </row>
    <row r="113" spans="1:14" x14ac:dyDescent="0.25">
      <c r="A113" s="100">
        <v>36178</v>
      </c>
      <c r="C113" s="99">
        <v>36255</v>
      </c>
      <c r="D113" s="98" t="s">
        <v>162</v>
      </c>
      <c r="E113" s="99">
        <v>43192</v>
      </c>
      <c r="F113" s="98" t="s">
        <v>162</v>
      </c>
      <c r="G113" s="99">
        <v>37410</v>
      </c>
      <c r="H113" s="98" t="s">
        <v>223</v>
      </c>
      <c r="I113" s="99">
        <v>35372</v>
      </c>
      <c r="J113" s="98" t="s">
        <v>209</v>
      </c>
      <c r="K113" s="99">
        <v>36192</v>
      </c>
      <c r="L113" s="98" t="s">
        <v>206</v>
      </c>
      <c r="M113" s="99">
        <v>36178</v>
      </c>
      <c r="N113" s="98" t="s">
        <v>197</v>
      </c>
    </row>
    <row r="114" spans="1:14" x14ac:dyDescent="0.25">
      <c r="A114" s="100">
        <v>36203</v>
      </c>
      <c r="C114" s="99">
        <v>36275</v>
      </c>
      <c r="D114" s="98" t="s">
        <v>185</v>
      </c>
      <c r="E114" s="99">
        <v>43221</v>
      </c>
      <c r="F114" s="98" t="s">
        <v>172</v>
      </c>
      <c r="G114" s="99">
        <v>37411</v>
      </c>
      <c r="H114" s="98" t="s">
        <v>167</v>
      </c>
      <c r="I114" s="99">
        <v>35373</v>
      </c>
      <c r="J114" s="98" t="s">
        <v>212</v>
      </c>
      <c r="K114" s="99">
        <v>36197</v>
      </c>
      <c r="L114" s="98" t="s">
        <v>169</v>
      </c>
      <c r="M114" s="99">
        <v>36203</v>
      </c>
      <c r="N114" s="98" t="s">
        <v>204</v>
      </c>
    </row>
    <row r="115" spans="1:14" x14ac:dyDescent="0.25">
      <c r="A115" s="100">
        <v>36206</v>
      </c>
      <c r="C115" s="99">
        <v>36276</v>
      </c>
      <c r="D115" s="98" t="s">
        <v>230</v>
      </c>
      <c r="E115" s="99">
        <v>43459</v>
      </c>
      <c r="F115" s="98" t="s">
        <v>177</v>
      </c>
      <c r="G115" s="99">
        <v>37494</v>
      </c>
      <c r="H115" s="98" t="s">
        <v>193</v>
      </c>
      <c r="I115" s="99">
        <v>35392</v>
      </c>
      <c r="J115" s="98" t="s">
        <v>211</v>
      </c>
      <c r="K115" s="99">
        <v>36252</v>
      </c>
      <c r="L115" s="98" t="s">
        <v>159</v>
      </c>
      <c r="M115" s="99">
        <v>36206</v>
      </c>
      <c r="N115" s="98" t="s">
        <v>199</v>
      </c>
    </row>
    <row r="116" spans="1:14" x14ac:dyDescent="0.25">
      <c r="A116" s="100">
        <v>36311</v>
      </c>
      <c r="C116" s="99">
        <v>36325</v>
      </c>
      <c r="D116" s="98" t="s">
        <v>228</v>
      </c>
      <c r="E116" s="99">
        <v>43460</v>
      </c>
      <c r="F116" s="98" t="s">
        <v>243</v>
      </c>
      <c r="G116" s="99">
        <v>37615</v>
      </c>
      <c r="H116" s="98" t="s">
        <v>177</v>
      </c>
      <c r="I116" s="99">
        <v>35422</v>
      </c>
      <c r="J116" s="98" t="s">
        <v>173</v>
      </c>
      <c r="K116" s="99">
        <v>36255</v>
      </c>
      <c r="L116" s="98" t="s">
        <v>162</v>
      </c>
      <c r="M116" s="99">
        <v>36311</v>
      </c>
      <c r="N116" s="98" t="s">
        <v>166</v>
      </c>
    </row>
    <row r="117" spans="1:14" x14ac:dyDescent="0.25">
      <c r="A117" s="100">
        <v>36345</v>
      </c>
      <c r="C117" s="99">
        <v>36374</v>
      </c>
      <c r="D117" s="98" t="s">
        <v>202</v>
      </c>
      <c r="E117" s="99">
        <v>43466</v>
      </c>
      <c r="F117" s="98" t="s">
        <v>160</v>
      </c>
      <c r="G117" s="99">
        <v>37616</v>
      </c>
      <c r="H117" s="98" t="s">
        <v>182</v>
      </c>
      <c r="I117" s="99">
        <v>35431</v>
      </c>
      <c r="J117" s="98" t="s">
        <v>161</v>
      </c>
      <c r="K117" s="99">
        <v>36275</v>
      </c>
      <c r="L117" s="98" t="s">
        <v>174</v>
      </c>
      <c r="M117" s="99">
        <v>36345</v>
      </c>
      <c r="N117" s="98" t="s">
        <v>175</v>
      </c>
    </row>
    <row r="118" spans="1:14" x14ac:dyDescent="0.25">
      <c r="A118" s="100">
        <v>36346</v>
      </c>
      <c r="C118" s="99">
        <v>36437</v>
      </c>
      <c r="D118" s="98" t="s">
        <v>189</v>
      </c>
      <c r="E118" s="99">
        <v>43574</v>
      </c>
      <c r="F118" s="98" t="s">
        <v>159</v>
      </c>
      <c r="G118" s="99">
        <v>37622</v>
      </c>
      <c r="H118" s="98" t="s">
        <v>160</v>
      </c>
      <c r="I118" s="99">
        <v>35445</v>
      </c>
      <c r="J118" s="98" t="s">
        <v>164</v>
      </c>
      <c r="K118" s="99">
        <v>36318</v>
      </c>
      <c r="L118" s="98" t="s">
        <v>228</v>
      </c>
      <c r="M118" s="99">
        <v>36346</v>
      </c>
      <c r="N118" s="98" t="s">
        <v>180</v>
      </c>
    </row>
    <row r="119" spans="1:14" x14ac:dyDescent="0.25">
      <c r="A119" s="100">
        <v>36409</v>
      </c>
      <c r="C119" s="99">
        <v>36519</v>
      </c>
      <c r="D119" s="98" t="s">
        <v>177</v>
      </c>
      <c r="E119" s="99">
        <v>43577</v>
      </c>
      <c r="F119" s="98" t="s">
        <v>162</v>
      </c>
      <c r="G119" s="99">
        <v>37729</v>
      </c>
      <c r="H119" s="98" t="s">
        <v>159</v>
      </c>
      <c r="I119" s="99">
        <v>35472</v>
      </c>
      <c r="J119" s="98" t="s">
        <v>168</v>
      </c>
      <c r="K119" s="99">
        <v>36458</v>
      </c>
      <c r="L119" s="98" t="s">
        <v>189</v>
      </c>
      <c r="M119" s="99">
        <v>36409</v>
      </c>
      <c r="N119" s="98" t="s">
        <v>184</v>
      </c>
    </row>
    <row r="120" spans="1:14" x14ac:dyDescent="0.25">
      <c r="A120" s="100">
        <v>36444</v>
      </c>
      <c r="C120" s="99">
        <v>36520</v>
      </c>
      <c r="D120" s="98" t="s">
        <v>182</v>
      </c>
      <c r="E120" s="99">
        <v>43586</v>
      </c>
      <c r="F120" s="98" t="s">
        <v>172</v>
      </c>
      <c r="G120" s="99">
        <v>37732</v>
      </c>
      <c r="H120" s="98" t="s">
        <v>162</v>
      </c>
      <c r="I120" s="99">
        <v>35509</v>
      </c>
      <c r="J120" s="98" t="s">
        <v>178</v>
      </c>
      <c r="K120" s="99">
        <v>36519</v>
      </c>
      <c r="L120" s="98" t="s">
        <v>177</v>
      </c>
      <c r="M120" s="99">
        <v>36444</v>
      </c>
      <c r="N120" s="98" t="s">
        <v>201</v>
      </c>
    </row>
    <row r="121" spans="1:14" x14ac:dyDescent="0.25">
      <c r="A121" s="100">
        <v>36475</v>
      </c>
      <c r="C121" s="99">
        <v>36521</v>
      </c>
      <c r="D121" s="98" t="s">
        <v>186</v>
      </c>
      <c r="E121" s="99">
        <v>43824</v>
      </c>
      <c r="F121" s="98" t="s">
        <v>177</v>
      </c>
      <c r="G121" s="99">
        <v>37746</v>
      </c>
      <c r="H121" s="98" t="s">
        <v>163</v>
      </c>
      <c r="I121" s="99">
        <v>35549</v>
      </c>
      <c r="J121" s="98" t="s">
        <v>190</v>
      </c>
      <c r="K121" s="99">
        <v>36520</v>
      </c>
      <c r="L121" s="98" t="s">
        <v>182</v>
      </c>
      <c r="M121" s="99">
        <v>36475</v>
      </c>
      <c r="N121" s="98" t="s">
        <v>188</v>
      </c>
    </row>
    <row r="122" spans="1:14" x14ac:dyDescent="0.25">
      <c r="A122" s="100">
        <v>36489</v>
      </c>
      <c r="C122" s="99">
        <v>36526</v>
      </c>
      <c r="D122" s="98" t="s">
        <v>160</v>
      </c>
      <c r="E122" s="99">
        <v>43825</v>
      </c>
      <c r="F122" s="98" t="s">
        <v>243</v>
      </c>
      <c r="G122" s="99">
        <v>37767</v>
      </c>
      <c r="H122" s="98" t="s">
        <v>167</v>
      </c>
      <c r="I122" s="99">
        <v>35553</v>
      </c>
      <c r="J122" s="98" t="s">
        <v>187</v>
      </c>
      <c r="K122" s="99">
        <v>36521</v>
      </c>
      <c r="L122" s="98" t="s">
        <v>208</v>
      </c>
      <c r="M122" s="99">
        <v>36489</v>
      </c>
      <c r="N122" s="98" t="s">
        <v>192</v>
      </c>
    </row>
    <row r="123" spans="1:14" x14ac:dyDescent="0.25">
      <c r="A123" s="100">
        <v>36518</v>
      </c>
      <c r="C123" s="99">
        <v>36551</v>
      </c>
      <c r="D123" s="98" t="s">
        <v>171</v>
      </c>
      <c r="E123" s="99">
        <v>43831</v>
      </c>
      <c r="F123" s="98" t="s">
        <v>160</v>
      </c>
      <c r="G123" s="99">
        <v>37858</v>
      </c>
      <c r="H123" s="98" t="s">
        <v>193</v>
      </c>
      <c r="I123" s="99">
        <v>35555</v>
      </c>
      <c r="J123" s="98" t="s">
        <v>194</v>
      </c>
      <c r="K123" s="99">
        <v>36522</v>
      </c>
      <c r="L123" s="98" t="s">
        <v>186</v>
      </c>
      <c r="M123" s="99">
        <v>36518</v>
      </c>
      <c r="N123" s="98" t="s">
        <v>208</v>
      </c>
    </row>
    <row r="124" spans="1:14" x14ac:dyDescent="0.25">
      <c r="A124" s="100">
        <v>36519</v>
      </c>
      <c r="C124" s="99">
        <v>36637</v>
      </c>
      <c r="D124" s="98" t="s">
        <v>159</v>
      </c>
      <c r="E124" s="99">
        <v>43931</v>
      </c>
      <c r="F124" s="98" t="s">
        <v>159</v>
      </c>
      <c r="G124" s="99">
        <v>37980</v>
      </c>
      <c r="H124" s="98" t="s">
        <v>177</v>
      </c>
      <c r="I124" s="99">
        <v>35631</v>
      </c>
      <c r="J124" s="98" t="s">
        <v>196</v>
      </c>
      <c r="K124" s="99">
        <v>36526</v>
      </c>
      <c r="L124" s="98" t="s">
        <v>160</v>
      </c>
      <c r="M124" s="99">
        <v>36519</v>
      </c>
      <c r="N124" s="98" t="s">
        <v>177</v>
      </c>
    </row>
    <row r="125" spans="1:14" x14ac:dyDescent="0.25">
      <c r="A125" s="100">
        <v>36525</v>
      </c>
      <c r="C125" s="99">
        <v>36638</v>
      </c>
      <c r="D125" s="98" t="s">
        <v>176</v>
      </c>
      <c r="E125" s="99">
        <v>43934</v>
      </c>
      <c r="F125" s="98" t="s">
        <v>162</v>
      </c>
      <c r="G125" s="99">
        <v>37981</v>
      </c>
      <c r="H125" s="98" t="s">
        <v>182</v>
      </c>
      <c r="I125" s="99">
        <v>35632</v>
      </c>
      <c r="J125" s="98" t="s">
        <v>212</v>
      </c>
      <c r="K125" s="99">
        <v>36527</v>
      </c>
      <c r="L125" s="98" t="s">
        <v>165</v>
      </c>
      <c r="M125" s="99">
        <v>36525</v>
      </c>
      <c r="N125" s="98" t="s">
        <v>214</v>
      </c>
    </row>
    <row r="126" spans="1:14" x14ac:dyDescent="0.25">
      <c r="A126" s="100">
        <v>36526</v>
      </c>
      <c r="C126" s="99">
        <v>36640</v>
      </c>
      <c r="D126" s="98" t="s">
        <v>162</v>
      </c>
      <c r="E126" s="99">
        <v>43952</v>
      </c>
      <c r="F126" s="98" t="s">
        <v>172</v>
      </c>
      <c r="G126" s="99">
        <v>37987</v>
      </c>
      <c r="H126" s="98" t="s">
        <v>160</v>
      </c>
      <c r="I126" s="99">
        <v>35688</v>
      </c>
      <c r="J126" s="98" t="s">
        <v>200</v>
      </c>
      <c r="K126" s="99">
        <v>36528</v>
      </c>
      <c r="L126" s="98" t="s">
        <v>214</v>
      </c>
      <c r="M126" s="99">
        <v>36526</v>
      </c>
      <c r="N126" s="98" t="s">
        <v>160</v>
      </c>
    </row>
    <row r="127" spans="1:14" x14ac:dyDescent="0.25">
      <c r="A127" s="100">
        <v>36542</v>
      </c>
      <c r="C127" s="99">
        <v>36641</v>
      </c>
      <c r="D127" s="98" t="s">
        <v>185</v>
      </c>
      <c r="E127" s="99">
        <v>44190</v>
      </c>
      <c r="F127" s="98" t="s">
        <v>177</v>
      </c>
      <c r="G127" s="99">
        <v>38086</v>
      </c>
      <c r="H127" s="98" t="s">
        <v>159</v>
      </c>
      <c r="I127" s="99">
        <v>35696</v>
      </c>
      <c r="J127" s="98" t="s">
        <v>203</v>
      </c>
      <c r="K127" s="99">
        <v>36529</v>
      </c>
      <c r="L127" s="98" t="s">
        <v>213</v>
      </c>
      <c r="M127" s="99">
        <v>36542</v>
      </c>
      <c r="N127" s="98" t="s">
        <v>197</v>
      </c>
    </row>
    <row r="128" spans="1:14" x14ac:dyDescent="0.25">
      <c r="A128" s="100">
        <v>36567</v>
      </c>
      <c r="C128" s="99">
        <v>36689</v>
      </c>
      <c r="D128" s="98" t="s">
        <v>228</v>
      </c>
      <c r="E128" s="99">
        <v>44191</v>
      </c>
      <c r="F128" s="98" t="s">
        <v>243</v>
      </c>
      <c r="G128" s="99">
        <v>38089</v>
      </c>
      <c r="H128" s="98" t="s">
        <v>162</v>
      </c>
      <c r="I128" s="99">
        <v>35713</v>
      </c>
      <c r="J128" s="98" t="s">
        <v>234</v>
      </c>
      <c r="K128" s="99">
        <v>36556</v>
      </c>
      <c r="L128" s="98" t="s">
        <v>206</v>
      </c>
      <c r="M128" s="99">
        <v>36567</v>
      </c>
      <c r="N128" s="98" t="s">
        <v>219</v>
      </c>
    </row>
    <row r="129" spans="1:14" x14ac:dyDescent="0.25">
      <c r="A129" s="100">
        <v>36568</v>
      </c>
      <c r="C129" s="99">
        <v>36745</v>
      </c>
      <c r="D129" s="98" t="s">
        <v>202</v>
      </c>
      <c r="E129" s="99">
        <v>44197</v>
      </c>
      <c r="F129" s="98" t="s">
        <v>160</v>
      </c>
      <c r="G129" s="99">
        <v>38110</v>
      </c>
      <c r="H129" s="98" t="s">
        <v>163</v>
      </c>
      <c r="I129" s="99">
        <v>35737</v>
      </c>
      <c r="J129" s="98" t="s">
        <v>209</v>
      </c>
      <c r="K129" s="99">
        <v>36562</v>
      </c>
      <c r="L129" s="98" t="s">
        <v>169</v>
      </c>
      <c r="M129" s="99">
        <v>36568</v>
      </c>
      <c r="N129" s="98" t="s">
        <v>204</v>
      </c>
    </row>
    <row r="130" spans="1:14" x14ac:dyDescent="0.25">
      <c r="A130" s="100">
        <v>36577</v>
      </c>
      <c r="C130" s="99">
        <v>36801</v>
      </c>
      <c r="D130" s="98" t="s">
        <v>189</v>
      </c>
      <c r="E130" s="99">
        <v>44288</v>
      </c>
      <c r="F130" s="98" t="s">
        <v>159</v>
      </c>
      <c r="G130" s="99">
        <v>38138</v>
      </c>
      <c r="H130" s="98" t="s">
        <v>167</v>
      </c>
      <c r="I130" s="99">
        <v>35757</v>
      </c>
      <c r="J130" s="98" t="s">
        <v>211</v>
      </c>
      <c r="K130" s="99">
        <v>36637</v>
      </c>
      <c r="L130" s="98" t="s">
        <v>159</v>
      </c>
      <c r="M130" s="99">
        <v>36577</v>
      </c>
      <c r="N130" s="98" t="s">
        <v>199</v>
      </c>
    </row>
    <row r="131" spans="1:14" x14ac:dyDescent="0.25">
      <c r="A131" s="100">
        <v>36675</v>
      </c>
      <c r="C131" s="99">
        <v>36885</v>
      </c>
      <c r="D131" s="98" t="s">
        <v>177</v>
      </c>
      <c r="E131" s="99">
        <v>44291</v>
      </c>
      <c r="F131" s="98" t="s">
        <v>162</v>
      </c>
      <c r="G131" s="99">
        <v>38229</v>
      </c>
      <c r="H131" s="98" t="s">
        <v>193</v>
      </c>
      <c r="I131" s="99">
        <v>35758</v>
      </c>
      <c r="J131" s="98" t="s">
        <v>212</v>
      </c>
      <c r="K131" s="99">
        <v>36640</v>
      </c>
      <c r="L131" s="98" t="s">
        <v>162</v>
      </c>
      <c r="M131" s="99">
        <v>36675</v>
      </c>
      <c r="N131" s="98" t="s">
        <v>166</v>
      </c>
    </row>
    <row r="132" spans="1:14" x14ac:dyDescent="0.25">
      <c r="A132" s="100">
        <v>36711</v>
      </c>
      <c r="C132" s="99">
        <v>36886</v>
      </c>
      <c r="D132" s="98" t="s">
        <v>182</v>
      </c>
      <c r="E132" s="99">
        <v>44317</v>
      </c>
      <c r="F132" s="98" t="s">
        <v>172</v>
      </c>
      <c r="G132" s="99">
        <v>38346</v>
      </c>
      <c r="H132" s="98" t="s">
        <v>177</v>
      </c>
      <c r="I132" s="99">
        <v>35787</v>
      </c>
      <c r="J132" s="98" t="s">
        <v>173</v>
      </c>
      <c r="K132" s="99">
        <v>36641</v>
      </c>
      <c r="L132" s="98" t="s">
        <v>174</v>
      </c>
      <c r="M132" s="99">
        <v>36711</v>
      </c>
      <c r="N132" s="98" t="s">
        <v>175</v>
      </c>
    </row>
    <row r="133" spans="1:14" x14ac:dyDescent="0.25">
      <c r="A133" s="100">
        <v>36773</v>
      </c>
      <c r="C133" s="99">
        <v>36892</v>
      </c>
      <c r="D133" s="98" t="s">
        <v>160</v>
      </c>
      <c r="E133" s="99">
        <v>44555</v>
      </c>
      <c r="F133" s="98" t="s">
        <v>177</v>
      </c>
      <c r="G133" s="99">
        <v>38347</v>
      </c>
      <c r="H133" s="98" t="s">
        <v>182</v>
      </c>
      <c r="I133" s="99">
        <v>35796</v>
      </c>
      <c r="J133" s="98" t="s">
        <v>161</v>
      </c>
      <c r="K133" s="99">
        <v>36682</v>
      </c>
      <c r="L133" s="98" t="s">
        <v>228</v>
      </c>
      <c r="M133" s="99">
        <v>36773</v>
      </c>
      <c r="N133" s="98" t="s">
        <v>184</v>
      </c>
    </row>
    <row r="134" spans="1:14" x14ac:dyDescent="0.25">
      <c r="A134" s="100">
        <v>36808</v>
      </c>
      <c r="C134" s="99">
        <v>36917</v>
      </c>
      <c r="D134" s="98" t="s">
        <v>171</v>
      </c>
      <c r="E134" s="99">
        <v>44556</v>
      </c>
      <c r="F134" s="98" t="s">
        <v>243</v>
      </c>
      <c r="G134" s="99">
        <v>38348</v>
      </c>
      <c r="H134" s="98" t="s">
        <v>208</v>
      </c>
      <c r="I134" s="99">
        <v>35810</v>
      </c>
      <c r="J134" s="98" t="s">
        <v>164</v>
      </c>
      <c r="K134" s="99">
        <v>36822</v>
      </c>
      <c r="L134" s="98" t="s">
        <v>189</v>
      </c>
      <c r="M134" s="99">
        <v>36808</v>
      </c>
      <c r="N134" s="98" t="s">
        <v>201</v>
      </c>
    </row>
    <row r="135" spans="1:14" x14ac:dyDescent="0.25">
      <c r="A135" s="100">
        <v>36840</v>
      </c>
      <c r="C135" s="99">
        <v>36994</v>
      </c>
      <c r="D135" s="98" t="s">
        <v>159</v>
      </c>
      <c r="E135" s="99">
        <v>44562</v>
      </c>
      <c r="F135" s="98" t="s">
        <v>160</v>
      </c>
      <c r="G135" s="99">
        <v>38349</v>
      </c>
      <c r="H135" s="98" t="s">
        <v>186</v>
      </c>
      <c r="I135" s="99">
        <v>35837</v>
      </c>
      <c r="J135" s="98" t="s">
        <v>168</v>
      </c>
      <c r="K135" s="99">
        <v>36885</v>
      </c>
      <c r="L135" s="98" t="s">
        <v>177</v>
      </c>
      <c r="M135" s="99">
        <v>36840</v>
      </c>
      <c r="N135" s="98" t="s">
        <v>220</v>
      </c>
    </row>
    <row r="136" spans="1:14" x14ac:dyDescent="0.25">
      <c r="A136" s="100">
        <v>36841</v>
      </c>
      <c r="C136" s="99">
        <v>36995</v>
      </c>
      <c r="D136" s="98" t="s">
        <v>176</v>
      </c>
      <c r="E136" s="99">
        <v>44666</v>
      </c>
      <c r="F136" s="98" t="s">
        <v>159</v>
      </c>
      <c r="G136" s="99">
        <v>38353</v>
      </c>
      <c r="H136" s="98" t="s">
        <v>160</v>
      </c>
      <c r="I136" s="99">
        <v>35875</v>
      </c>
      <c r="J136" s="98" t="s">
        <v>178</v>
      </c>
      <c r="K136" s="99">
        <v>36886</v>
      </c>
      <c r="L136" s="98" t="s">
        <v>182</v>
      </c>
      <c r="M136" s="99">
        <v>36841</v>
      </c>
      <c r="N136" s="98" t="s">
        <v>188</v>
      </c>
    </row>
    <row r="137" spans="1:14" x14ac:dyDescent="0.25">
      <c r="A137" s="100">
        <v>36853</v>
      </c>
      <c r="C137" s="99">
        <v>36997</v>
      </c>
      <c r="D137" s="98" t="s">
        <v>162</v>
      </c>
      <c r="E137" s="99">
        <v>44669</v>
      </c>
      <c r="F137" s="98" t="s">
        <v>162</v>
      </c>
      <c r="G137" s="99">
        <v>38355</v>
      </c>
      <c r="H137" s="98" t="s">
        <v>214</v>
      </c>
      <c r="I137" s="99">
        <v>35914</v>
      </c>
      <c r="J137" s="98" t="s">
        <v>190</v>
      </c>
      <c r="K137" s="99">
        <v>36892</v>
      </c>
      <c r="L137" s="98" t="s">
        <v>160</v>
      </c>
      <c r="M137" s="99">
        <v>36853</v>
      </c>
      <c r="N137" s="98" t="s">
        <v>192</v>
      </c>
    </row>
    <row r="138" spans="1:14" x14ac:dyDescent="0.25">
      <c r="A138" s="100">
        <v>36885</v>
      </c>
      <c r="C138" s="99">
        <v>37006</v>
      </c>
      <c r="D138" s="98" t="s">
        <v>185</v>
      </c>
      <c r="E138" s="99">
        <v>44682</v>
      </c>
      <c r="F138" s="98" t="s">
        <v>172</v>
      </c>
      <c r="G138" s="99">
        <v>38436</v>
      </c>
      <c r="H138" s="98" t="s">
        <v>159</v>
      </c>
      <c r="I138" s="99">
        <v>35918</v>
      </c>
      <c r="J138" s="98" t="s">
        <v>187</v>
      </c>
      <c r="K138" s="99">
        <v>36893</v>
      </c>
      <c r="L138" s="98" t="s">
        <v>165</v>
      </c>
      <c r="M138" s="99">
        <v>36885</v>
      </c>
      <c r="N138" s="98" t="s">
        <v>177</v>
      </c>
    </row>
    <row r="139" spans="1:14" x14ac:dyDescent="0.25">
      <c r="A139" s="100">
        <v>36892</v>
      </c>
      <c r="C139" s="99">
        <v>37053</v>
      </c>
      <c r="D139" s="98" t="s">
        <v>228</v>
      </c>
      <c r="E139" s="99">
        <v>44920</v>
      </c>
      <c r="F139" s="98" t="s">
        <v>177</v>
      </c>
      <c r="G139" s="99">
        <v>38439</v>
      </c>
      <c r="H139" s="98" t="s">
        <v>162</v>
      </c>
      <c r="I139" s="99">
        <v>35919</v>
      </c>
      <c r="J139" s="98" t="s">
        <v>212</v>
      </c>
      <c r="K139" s="99">
        <v>36920</v>
      </c>
      <c r="L139" s="98" t="s">
        <v>206</v>
      </c>
      <c r="M139" s="99">
        <v>36892</v>
      </c>
      <c r="N139" s="98" t="s">
        <v>160</v>
      </c>
    </row>
    <row r="140" spans="1:14" x14ac:dyDescent="0.25">
      <c r="A140" s="100">
        <v>36906</v>
      </c>
      <c r="C140" s="99">
        <v>37109</v>
      </c>
      <c r="D140" s="98" t="s">
        <v>202</v>
      </c>
      <c r="E140" s="99">
        <v>44921</v>
      </c>
      <c r="F140" s="98" t="s">
        <v>243</v>
      </c>
      <c r="G140" s="99">
        <v>38474</v>
      </c>
      <c r="H140" s="98" t="s">
        <v>163</v>
      </c>
      <c r="I140" s="99">
        <v>35920</v>
      </c>
      <c r="J140" s="98" t="s">
        <v>194</v>
      </c>
      <c r="K140" s="99">
        <v>36928</v>
      </c>
      <c r="L140" s="98" t="s">
        <v>169</v>
      </c>
      <c r="M140" s="99">
        <v>36906</v>
      </c>
      <c r="N140" s="98" t="s">
        <v>197</v>
      </c>
    </row>
    <row r="141" spans="1:14" x14ac:dyDescent="0.25">
      <c r="A141" s="100">
        <v>36934</v>
      </c>
      <c r="C141" s="99">
        <v>37165</v>
      </c>
      <c r="D141" s="98" t="s">
        <v>189</v>
      </c>
      <c r="E141" s="99">
        <v>44927</v>
      </c>
      <c r="F141" s="98" t="s">
        <v>160</v>
      </c>
      <c r="G141" s="99">
        <v>38502</v>
      </c>
      <c r="H141" s="98" t="s">
        <v>167</v>
      </c>
      <c r="I141" s="99">
        <v>35996</v>
      </c>
      <c r="J141" s="98" t="s">
        <v>196</v>
      </c>
      <c r="K141" s="99">
        <v>36994</v>
      </c>
      <c r="L141" s="98" t="s">
        <v>159</v>
      </c>
      <c r="M141" s="99">
        <v>36934</v>
      </c>
      <c r="N141" s="98" t="s">
        <v>204</v>
      </c>
    </row>
    <row r="142" spans="1:14" x14ac:dyDescent="0.25">
      <c r="A142" s="100">
        <v>36941</v>
      </c>
      <c r="C142" s="99">
        <v>37250</v>
      </c>
      <c r="D142" s="98" t="s">
        <v>177</v>
      </c>
      <c r="E142" s="99">
        <v>45023</v>
      </c>
      <c r="F142" s="98" t="s">
        <v>159</v>
      </c>
      <c r="G142" s="99">
        <v>38593</v>
      </c>
      <c r="H142" s="98" t="s">
        <v>193</v>
      </c>
      <c r="I142" s="99">
        <v>36053</v>
      </c>
      <c r="J142" s="98" t="s">
        <v>200</v>
      </c>
      <c r="K142" s="99">
        <v>36997</v>
      </c>
      <c r="L142" s="98" t="s">
        <v>162</v>
      </c>
      <c r="M142" s="99">
        <v>36941</v>
      </c>
      <c r="N142" s="98" t="s">
        <v>199</v>
      </c>
    </row>
    <row r="143" spans="1:14" x14ac:dyDescent="0.25">
      <c r="A143" s="100">
        <v>37039</v>
      </c>
      <c r="C143" s="99">
        <v>37251</v>
      </c>
      <c r="D143" s="98" t="s">
        <v>182</v>
      </c>
      <c r="E143" s="99">
        <v>45026</v>
      </c>
      <c r="F143" s="98" t="s">
        <v>162</v>
      </c>
      <c r="G143" s="99">
        <v>38711</v>
      </c>
      <c r="H143" s="98" t="s">
        <v>177</v>
      </c>
      <c r="I143" s="99">
        <v>36061</v>
      </c>
      <c r="J143" s="98" t="s">
        <v>203</v>
      </c>
      <c r="K143" s="99">
        <v>37006</v>
      </c>
      <c r="L143" s="98" t="s">
        <v>174</v>
      </c>
      <c r="M143" s="99">
        <v>37039</v>
      </c>
      <c r="N143" s="98" t="s">
        <v>166</v>
      </c>
    </row>
    <row r="144" spans="1:14" x14ac:dyDescent="0.25">
      <c r="A144" s="100">
        <v>37076</v>
      </c>
      <c r="C144" s="99">
        <v>37257</v>
      </c>
      <c r="D144" s="98" t="s">
        <v>160</v>
      </c>
      <c r="E144" s="99">
        <v>45047</v>
      </c>
      <c r="F144" s="98" t="s">
        <v>172</v>
      </c>
      <c r="G144" s="99">
        <v>38712</v>
      </c>
      <c r="H144" s="98" t="s">
        <v>182</v>
      </c>
      <c r="I144" s="99">
        <v>36078</v>
      </c>
      <c r="J144" s="98" t="s">
        <v>234</v>
      </c>
      <c r="K144" s="99">
        <v>37046</v>
      </c>
      <c r="L144" s="98" t="s">
        <v>228</v>
      </c>
      <c r="M144" s="99">
        <v>37076</v>
      </c>
      <c r="N144" s="98" t="s">
        <v>175</v>
      </c>
    </row>
    <row r="145" spans="1:14" x14ac:dyDescent="0.25">
      <c r="A145" s="100">
        <v>37137</v>
      </c>
      <c r="C145" s="99">
        <v>37282</v>
      </c>
      <c r="D145" s="98" t="s">
        <v>171</v>
      </c>
      <c r="E145" s="99">
        <v>45285</v>
      </c>
      <c r="F145" s="98" t="s">
        <v>177</v>
      </c>
      <c r="G145" s="99">
        <v>38713</v>
      </c>
      <c r="H145" s="98" t="s">
        <v>208</v>
      </c>
      <c r="I145" s="99">
        <v>36102</v>
      </c>
      <c r="J145" s="98" t="s">
        <v>209</v>
      </c>
      <c r="K145" s="99">
        <v>37186</v>
      </c>
      <c r="L145" s="98" t="s">
        <v>189</v>
      </c>
      <c r="M145" s="99">
        <v>37137</v>
      </c>
      <c r="N145" s="98" t="s">
        <v>184</v>
      </c>
    </row>
    <row r="146" spans="1:14" x14ac:dyDescent="0.25">
      <c r="A146" s="100">
        <v>37172</v>
      </c>
      <c r="C146" s="99">
        <v>37344</v>
      </c>
      <c r="D146" s="98" t="s">
        <v>159</v>
      </c>
      <c r="E146" s="99">
        <v>45286</v>
      </c>
      <c r="F146" s="98" t="s">
        <v>243</v>
      </c>
      <c r="G146" s="99">
        <v>38718</v>
      </c>
      <c r="H146" s="98" t="s">
        <v>160</v>
      </c>
      <c r="I146" s="99">
        <v>36122</v>
      </c>
      <c r="J146" s="98" t="s">
        <v>211</v>
      </c>
      <c r="K146" s="99">
        <v>37250</v>
      </c>
      <c r="L146" s="98" t="s">
        <v>177</v>
      </c>
      <c r="M146" s="99">
        <v>37172</v>
      </c>
      <c r="N146" s="98" t="s">
        <v>201</v>
      </c>
    </row>
    <row r="147" spans="1:14" x14ac:dyDescent="0.25">
      <c r="A147" s="100">
        <v>37206</v>
      </c>
      <c r="C147" s="99">
        <v>37345</v>
      </c>
      <c r="D147" s="98" t="s">
        <v>176</v>
      </c>
      <c r="E147" s="99">
        <v>45292</v>
      </c>
      <c r="F147" s="98" t="s">
        <v>160</v>
      </c>
      <c r="G147" s="99">
        <v>38719</v>
      </c>
      <c r="H147" s="98" t="s">
        <v>214</v>
      </c>
      <c r="I147" s="99">
        <v>36152</v>
      </c>
      <c r="J147" s="98" t="s">
        <v>173</v>
      </c>
      <c r="K147" s="99">
        <v>37251</v>
      </c>
      <c r="L147" s="98" t="s">
        <v>182</v>
      </c>
      <c r="M147" s="99">
        <v>37206</v>
      </c>
      <c r="N147" s="98" t="s">
        <v>188</v>
      </c>
    </row>
    <row r="148" spans="1:14" x14ac:dyDescent="0.25">
      <c r="A148" s="100">
        <v>37207</v>
      </c>
      <c r="C148" s="99">
        <v>37347</v>
      </c>
      <c r="D148" s="98" t="s">
        <v>162</v>
      </c>
      <c r="E148" s="99">
        <v>45380</v>
      </c>
      <c r="F148" s="98" t="s">
        <v>159</v>
      </c>
      <c r="G148" s="99">
        <v>38821</v>
      </c>
      <c r="H148" s="98" t="s">
        <v>159</v>
      </c>
      <c r="I148" s="99">
        <v>36161</v>
      </c>
      <c r="J148" s="98" t="s">
        <v>161</v>
      </c>
      <c r="K148" s="99">
        <v>37257</v>
      </c>
      <c r="L148" s="98" t="s">
        <v>160</v>
      </c>
      <c r="M148" s="99">
        <v>37207</v>
      </c>
      <c r="N148" s="98" t="s">
        <v>220</v>
      </c>
    </row>
    <row r="149" spans="1:14" x14ac:dyDescent="0.25">
      <c r="A149" s="100">
        <v>37217</v>
      </c>
      <c r="C149" s="99">
        <v>37371</v>
      </c>
      <c r="D149" s="98" t="s">
        <v>185</v>
      </c>
      <c r="E149" s="99">
        <v>45383</v>
      </c>
      <c r="F149" s="98" t="s">
        <v>162</v>
      </c>
      <c r="G149" s="99">
        <v>38824</v>
      </c>
      <c r="H149" s="98" t="s">
        <v>162</v>
      </c>
      <c r="I149" s="99">
        <v>36175</v>
      </c>
      <c r="J149" s="98" t="s">
        <v>164</v>
      </c>
      <c r="K149" s="99">
        <v>37258</v>
      </c>
      <c r="L149" s="98" t="s">
        <v>165</v>
      </c>
      <c r="M149" s="99">
        <v>37217</v>
      </c>
      <c r="N149" s="98" t="s">
        <v>192</v>
      </c>
    </row>
    <row r="150" spans="1:14" x14ac:dyDescent="0.25">
      <c r="A150" s="100">
        <v>37250</v>
      </c>
      <c r="C150" s="99">
        <v>37417</v>
      </c>
      <c r="D150" s="98" t="s">
        <v>228</v>
      </c>
      <c r="E150" s="99">
        <v>45413</v>
      </c>
      <c r="F150" s="98" t="s">
        <v>172</v>
      </c>
      <c r="G150" s="99">
        <v>38838</v>
      </c>
      <c r="H150" s="98" t="s">
        <v>163</v>
      </c>
      <c r="I150" s="99">
        <v>36202</v>
      </c>
      <c r="J150" s="98" t="s">
        <v>168</v>
      </c>
      <c r="K150" s="99">
        <v>37284</v>
      </c>
      <c r="L150" s="98" t="s">
        <v>206</v>
      </c>
      <c r="M150" s="99">
        <v>37250</v>
      </c>
      <c r="N150" s="98" t="s">
        <v>177</v>
      </c>
    </row>
    <row r="151" spans="1:14" x14ac:dyDescent="0.25">
      <c r="A151" s="100">
        <v>37257</v>
      </c>
      <c r="C151" s="99">
        <v>37473</v>
      </c>
      <c r="D151" s="98" t="s">
        <v>202</v>
      </c>
      <c r="E151" s="99">
        <v>45651</v>
      </c>
      <c r="F151" s="98" t="s">
        <v>177</v>
      </c>
      <c r="G151" s="99">
        <v>38866</v>
      </c>
      <c r="H151" s="98" t="s">
        <v>167</v>
      </c>
      <c r="I151" s="99">
        <v>36240</v>
      </c>
      <c r="J151" s="98" t="s">
        <v>178</v>
      </c>
      <c r="K151" s="99">
        <v>37293</v>
      </c>
      <c r="L151" s="98" t="s">
        <v>169</v>
      </c>
      <c r="M151" s="99">
        <v>37257</v>
      </c>
      <c r="N151" s="98" t="s">
        <v>160</v>
      </c>
    </row>
    <row r="152" spans="1:14" x14ac:dyDescent="0.25">
      <c r="A152" s="100">
        <v>37277</v>
      </c>
      <c r="C152" s="99">
        <v>37536</v>
      </c>
      <c r="D152" s="98" t="s">
        <v>189</v>
      </c>
      <c r="E152" s="99">
        <v>45652</v>
      </c>
      <c r="F152" s="98" t="s">
        <v>243</v>
      </c>
      <c r="G152" s="99">
        <v>38957</v>
      </c>
      <c r="H152" s="98" t="s">
        <v>193</v>
      </c>
      <c r="I152" s="99">
        <v>36241</v>
      </c>
      <c r="J152" s="98" t="s">
        <v>212</v>
      </c>
      <c r="K152" s="99">
        <v>37344</v>
      </c>
      <c r="L152" s="98" t="s">
        <v>159</v>
      </c>
      <c r="M152" s="99">
        <v>37277</v>
      </c>
      <c r="N152" s="98" t="s">
        <v>197</v>
      </c>
    </row>
    <row r="153" spans="1:14" x14ac:dyDescent="0.25">
      <c r="A153" s="100">
        <v>37299</v>
      </c>
      <c r="C153" s="99">
        <v>37615</v>
      </c>
      <c r="D153" s="98" t="s">
        <v>177</v>
      </c>
      <c r="E153" s="99">
        <v>45658</v>
      </c>
      <c r="F153" s="98" t="s">
        <v>160</v>
      </c>
      <c r="G153" s="99">
        <v>39076</v>
      </c>
      <c r="H153" s="98" t="s">
        <v>177</v>
      </c>
      <c r="I153" s="99">
        <v>36279</v>
      </c>
      <c r="J153" s="98" t="s">
        <v>190</v>
      </c>
      <c r="K153" s="99">
        <v>37347</v>
      </c>
      <c r="L153" s="98" t="s">
        <v>162</v>
      </c>
      <c r="M153" s="99">
        <v>37299</v>
      </c>
      <c r="N153" s="98" t="s">
        <v>204</v>
      </c>
    </row>
    <row r="154" spans="1:14" x14ac:dyDescent="0.25">
      <c r="A154" s="100">
        <v>37305</v>
      </c>
      <c r="C154" s="99">
        <v>37616</v>
      </c>
      <c r="D154" s="98" t="s">
        <v>182</v>
      </c>
      <c r="E154" s="99">
        <v>45765</v>
      </c>
      <c r="F154" s="98" t="s">
        <v>159</v>
      </c>
      <c r="G154" s="99">
        <v>39077</v>
      </c>
      <c r="H154" s="98" t="s">
        <v>182</v>
      </c>
      <c r="I154" s="99">
        <v>36283</v>
      </c>
      <c r="J154" s="98" t="s">
        <v>187</v>
      </c>
      <c r="K154" s="99">
        <v>37371</v>
      </c>
      <c r="L154" s="98" t="s">
        <v>174</v>
      </c>
      <c r="M154" s="99">
        <v>37305</v>
      </c>
      <c r="N154" s="98" t="s">
        <v>199</v>
      </c>
    </row>
    <row r="155" spans="1:14" x14ac:dyDescent="0.25">
      <c r="A155" s="100">
        <v>37403</v>
      </c>
      <c r="C155" s="99">
        <v>37622</v>
      </c>
      <c r="D155" s="98" t="s">
        <v>160</v>
      </c>
      <c r="E155" s="99">
        <v>45768</v>
      </c>
      <c r="F155" s="98" t="s">
        <v>162</v>
      </c>
      <c r="G155" s="99">
        <v>39083</v>
      </c>
      <c r="H155" s="98" t="s">
        <v>160</v>
      </c>
      <c r="I155" s="99">
        <v>36284</v>
      </c>
      <c r="J155" s="98" t="s">
        <v>218</v>
      </c>
      <c r="K155" s="99">
        <v>37410</v>
      </c>
      <c r="L155" s="98" t="s">
        <v>228</v>
      </c>
      <c r="M155" s="99">
        <v>37403</v>
      </c>
      <c r="N155" s="98" t="s">
        <v>166</v>
      </c>
    </row>
    <row r="156" spans="1:14" x14ac:dyDescent="0.25">
      <c r="A156" s="100">
        <v>37441</v>
      </c>
      <c r="C156" s="99">
        <v>37647</v>
      </c>
      <c r="D156" s="98" t="s">
        <v>171</v>
      </c>
      <c r="E156" s="99">
        <v>45778</v>
      </c>
      <c r="F156" s="98" t="s">
        <v>172</v>
      </c>
      <c r="G156" s="99">
        <v>39178</v>
      </c>
      <c r="H156" s="98" t="s">
        <v>159</v>
      </c>
      <c r="I156" s="99">
        <v>36285</v>
      </c>
      <c r="J156" s="98" t="s">
        <v>194</v>
      </c>
      <c r="K156" s="99">
        <v>37557</v>
      </c>
      <c r="L156" s="98" t="s">
        <v>189</v>
      </c>
      <c r="M156" s="99">
        <v>37441</v>
      </c>
      <c r="N156" s="98" t="s">
        <v>175</v>
      </c>
    </row>
    <row r="157" spans="1:14" x14ac:dyDescent="0.25">
      <c r="A157" s="100">
        <v>37501</v>
      </c>
      <c r="C157" s="99">
        <v>37648</v>
      </c>
      <c r="D157" s="98" t="s">
        <v>229</v>
      </c>
      <c r="E157" s="99">
        <v>46016</v>
      </c>
      <c r="F157" s="98" t="s">
        <v>177</v>
      </c>
      <c r="G157" s="99">
        <v>39181</v>
      </c>
      <c r="H157" s="98" t="s">
        <v>162</v>
      </c>
      <c r="I157" s="99">
        <v>36361</v>
      </c>
      <c r="J157" s="98" t="s">
        <v>196</v>
      </c>
      <c r="K157" s="99">
        <v>37615</v>
      </c>
      <c r="L157" s="98" t="s">
        <v>177</v>
      </c>
      <c r="M157" s="99">
        <v>37501</v>
      </c>
      <c r="N157" s="98" t="s">
        <v>184</v>
      </c>
    </row>
    <row r="158" spans="1:14" x14ac:dyDescent="0.25">
      <c r="A158" s="100">
        <v>37543</v>
      </c>
      <c r="C158" s="99">
        <v>37729</v>
      </c>
      <c r="D158" s="98" t="s">
        <v>159</v>
      </c>
      <c r="E158" s="99">
        <v>46017</v>
      </c>
      <c r="F158" s="98" t="s">
        <v>243</v>
      </c>
      <c r="G158" s="99">
        <v>39209</v>
      </c>
      <c r="H158" s="98" t="s">
        <v>163</v>
      </c>
      <c r="I158" s="99">
        <v>36418</v>
      </c>
      <c r="J158" s="98" t="s">
        <v>200</v>
      </c>
      <c r="K158" s="99">
        <v>37616</v>
      </c>
      <c r="L158" s="98" t="s">
        <v>182</v>
      </c>
      <c r="M158" s="99">
        <v>37543</v>
      </c>
      <c r="N158" s="98" t="s">
        <v>201</v>
      </c>
    </row>
    <row r="159" spans="1:14" x14ac:dyDescent="0.25">
      <c r="A159" s="100">
        <v>37571</v>
      </c>
      <c r="C159" s="99">
        <v>37730</v>
      </c>
      <c r="D159" s="98" t="s">
        <v>176</v>
      </c>
      <c r="E159" s="99">
        <v>46023</v>
      </c>
      <c r="F159" s="98" t="s">
        <v>160</v>
      </c>
      <c r="G159" s="99">
        <v>39230</v>
      </c>
      <c r="H159" s="98" t="s">
        <v>167</v>
      </c>
      <c r="I159" s="99">
        <v>36426</v>
      </c>
      <c r="J159" s="98" t="s">
        <v>203</v>
      </c>
      <c r="K159" s="99">
        <v>37622</v>
      </c>
      <c r="L159" s="98" t="s">
        <v>160</v>
      </c>
      <c r="M159" s="99">
        <v>37571</v>
      </c>
      <c r="N159" s="98" t="s">
        <v>188</v>
      </c>
    </row>
    <row r="160" spans="1:14" x14ac:dyDescent="0.25">
      <c r="A160" s="100">
        <v>37588</v>
      </c>
      <c r="C160" s="99">
        <v>37732</v>
      </c>
      <c r="D160" s="98" t="s">
        <v>162</v>
      </c>
      <c r="E160" s="99">
        <v>46115</v>
      </c>
      <c r="F160" s="98" t="s">
        <v>159</v>
      </c>
      <c r="G160" s="99">
        <v>39321</v>
      </c>
      <c r="H160" s="98" t="s">
        <v>193</v>
      </c>
      <c r="I160" s="99">
        <v>36443</v>
      </c>
      <c r="J160" s="98" t="s">
        <v>234</v>
      </c>
      <c r="K160" s="99">
        <v>37623</v>
      </c>
      <c r="L160" s="98" t="s">
        <v>165</v>
      </c>
      <c r="M160" s="99">
        <v>37588</v>
      </c>
      <c r="N160" s="98" t="s">
        <v>192</v>
      </c>
    </row>
    <row r="161" spans="1:14" x14ac:dyDescent="0.25">
      <c r="A161" s="100">
        <v>37615</v>
      </c>
      <c r="C161" s="99">
        <v>37736</v>
      </c>
      <c r="D161" s="98" t="s">
        <v>185</v>
      </c>
      <c r="E161" s="99">
        <v>46118</v>
      </c>
      <c r="F161" s="98" t="s">
        <v>162</v>
      </c>
      <c r="G161" s="99">
        <v>39441</v>
      </c>
      <c r="H161" s="98" t="s">
        <v>177</v>
      </c>
      <c r="I161" s="99">
        <v>36444</v>
      </c>
      <c r="J161" s="98" t="s">
        <v>212</v>
      </c>
      <c r="K161" s="99">
        <v>37648</v>
      </c>
      <c r="L161" s="98" t="s">
        <v>206</v>
      </c>
      <c r="M161" s="99">
        <v>37615</v>
      </c>
      <c r="N161" s="98" t="s">
        <v>177</v>
      </c>
    </row>
    <row r="162" spans="1:14" x14ac:dyDescent="0.25">
      <c r="A162" s="100">
        <v>37622</v>
      </c>
      <c r="C162" s="99">
        <v>37781</v>
      </c>
      <c r="D162" s="98" t="s">
        <v>228</v>
      </c>
      <c r="E162" s="99">
        <v>46143</v>
      </c>
      <c r="F162" s="98" t="s">
        <v>172</v>
      </c>
      <c r="G162" s="99">
        <v>39442</v>
      </c>
      <c r="H162" s="98" t="s">
        <v>182</v>
      </c>
      <c r="I162" s="99">
        <v>36467</v>
      </c>
      <c r="J162" s="98" t="s">
        <v>209</v>
      </c>
      <c r="K162" s="99">
        <v>37658</v>
      </c>
      <c r="L162" s="98" t="s">
        <v>169</v>
      </c>
      <c r="M162" s="99">
        <v>37622</v>
      </c>
      <c r="N162" s="98" t="s">
        <v>160</v>
      </c>
    </row>
    <row r="163" spans="1:14" x14ac:dyDescent="0.25">
      <c r="A163" s="100">
        <v>37641</v>
      </c>
      <c r="C163" s="99">
        <v>37837</v>
      </c>
      <c r="D163" s="98" t="s">
        <v>202</v>
      </c>
      <c r="E163" s="99">
        <v>46381</v>
      </c>
      <c r="F163" s="98" t="s">
        <v>177</v>
      </c>
      <c r="G163" s="99">
        <v>39448</v>
      </c>
      <c r="H163" s="98" t="s">
        <v>160</v>
      </c>
      <c r="I163" s="99">
        <v>36487</v>
      </c>
      <c r="J163" s="98" t="s">
        <v>211</v>
      </c>
      <c r="K163" s="99">
        <v>37729</v>
      </c>
      <c r="L163" s="98" t="s">
        <v>159</v>
      </c>
      <c r="M163" s="99">
        <v>37641</v>
      </c>
      <c r="N163" s="98" t="s">
        <v>197</v>
      </c>
    </row>
    <row r="164" spans="1:14" x14ac:dyDescent="0.25">
      <c r="A164" s="100">
        <v>37664</v>
      </c>
      <c r="C164" s="99">
        <v>37900</v>
      </c>
      <c r="D164" s="98" t="s">
        <v>189</v>
      </c>
      <c r="E164" s="99">
        <v>46382</v>
      </c>
      <c r="F164" s="98" t="s">
        <v>243</v>
      </c>
      <c r="G164" s="99">
        <v>39528</v>
      </c>
      <c r="H164" s="98" t="s">
        <v>159</v>
      </c>
      <c r="I164" s="99">
        <v>36517</v>
      </c>
      <c r="J164" s="98" t="s">
        <v>173</v>
      </c>
      <c r="K164" s="99">
        <v>37732</v>
      </c>
      <c r="L164" s="98" t="s">
        <v>162</v>
      </c>
      <c r="M164" s="99">
        <v>37664</v>
      </c>
      <c r="N164" s="98" t="s">
        <v>204</v>
      </c>
    </row>
    <row r="165" spans="1:14" x14ac:dyDescent="0.25">
      <c r="A165" s="100">
        <v>37669</v>
      </c>
      <c r="C165" s="99">
        <v>37980</v>
      </c>
      <c r="D165" s="98" t="s">
        <v>177</v>
      </c>
      <c r="E165" s="99">
        <v>46388</v>
      </c>
      <c r="F165" s="98" t="s">
        <v>160</v>
      </c>
      <c r="G165" s="99">
        <v>39531</v>
      </c>
      <c r="H165" s="98" t="s">
        <v>162</v>
      </c>
      <c r="I165" s="99">
        <v>36526</v>
      </c>
      <c r="J165" s="98" t="s">
        <v>161</v>
      </c>
      <c r="K165" s="99">
        <v>37736</v>
      </c>
      <c r="L165" s="98" t="s">
        <v>174</v>
      </c>
      <c r="M165" s="99">
        <v>37669</v>
      </c>
      <c r="N165" s="98" t="s">
        <v>199</v>
      </c>
    </row>
    <row r="166" spans="1:14" x14ac:dyDescent="0.25">
      <c r="A166" s="100">
        <v>37767</v>
      </c>
      <c r="C166" s="99">
        <v>37981</v>
      </c>
      <c r="D166" s="98" t="s">
        <v>182</v>
      </c>
      <c r="E166" s="99">
        <v>46472</v>
      </c>
      <c r="F166" s="98" t="s">
        <v>159</v>
      </c>
      <c r="G166" s="99">
        <v>39573</v>
      </c>
      <c r="H166" s="98" t="s">
        <v>163</v>
      </c>
      <c r="I166" s="99">
        <v>36535</v>
      </c>
      <c r="J166" s="98" t="s">
        <v>164</v>
      </c>
      <c r="K166" s="99">
        <v>37774</v>
      </c>
      <c r="L166" s="98" t="s">
        <v>228</v>
      </c>
      <c r="M166" s="99">
        <v>37767</v>
      </c>
      <c r="N166" s="98" t="s">
        <v>166</v>
      </c>
    </row>
    <row r="167" spans="1:14" x14ac:dyDescent="0.25">
      <c r="A167" s="100">
        <v>37806</v>
      </c>
      <c r="C167" s="99">
        <v>37987</v>
      </c>
      <c r="D167" s="98" t="s">
        <v>160</v>
      </c>
      <c r="E167" s="99">
        <v>46475</v>
      </c>
      <c r="F167" s="98" t="s">
        <v>162</v>
      </c>
      <c r="G167" s="99">
        <v>39594</v>
      </c>
      <c r="H167" s="98" t="s">
        <v>167</v>
      </c>
      <c r="I167" s="99">
        <v>36567</v>
      </c>
      <c r="J167" s="98" t="s">
        <v>168</v>
      </c>
      <c r="K167" s="99">
        <v>37921</v>
      </c>
      <c r="L167" s="98" t="s">
        <v>189</v>
      </c>
      <c r="M167" s="99">
        <v>37806</v>
      </c>
      <c r="N167" s="98" t="s">
        <v>175</v>
      </c>
    </row>
    <row r="168" spans="1:14" x14ac:dyDescent="0.25">
      <c r="A168" s="100">
        <v>37865</v>
      </c>
      <c r="C168" s="99">
        <v>38012</v>
      </c>
      <c r="D168" s="98" t="s">
        <v>171</v>
      </c>
      <c r="E168" s="99">
        <v>46508</v>
      </c>
      <c r="F168" s="98" t="s">
        <v>172</v>
      </c>
      <c r="G168" s="99">
        <v>39685</v>
      </c>
      <c r="H168" s="98" t="s">
        <v>193</v>
      </c>
      <c r="I168" s="99">
        <v>36605</v>
      </c>
      <c r="J168" s="98" t="s">
        <v>178</v>
      </c>
      <c r="K168" s="99">
        <v>37980</v>
      </c>
      <c r="L168" s="98" t="s">
        <v>177</v>
      </c>
      <c r="M168" s="99">
        <v>37865</v>
      </c>
      <c r="N168" s="98" t="s">
        <v>184</v>
      </c>
    </row>
    <row r="169" spans="1:14" x14ac:dyDescent="0.25">
      <c r="A169" s="100">
        <v>37907</v>
      </c>
      <c r="C169" s="99">
        <v>38086</v>
      </c>
      <c r="D169" s="98" t="s">
        <v>159</v>
      </c>
      <c r="E169" s="99">
        <v>46746</v>
      </c>
      <c r="F169" s="98" t="s">
        <v>177</v>
      </c>
      <c r="G169" s="99">
        <v>39807</v>
      </c>
      <c r="H169" s="98" t="s">
        <v>177</v>
      </c>
      <c r="I169" s="99">
        <v>36645</v>
      </c>
      <c r="J169" s="98" t="s">
        <v>190</v>
      </c>
      <c r="K169" s="99">
        <v>37981</v>
      </c>
      <c r="L169" s="98" t="s">
        <v>182</v>
      </c>
      <c r="M169" s="99">
        <v>37907</v>
      </c>
      <c r="N169" s="98" t="s">
        <v>201</v>
      </c>
    </row>
    <row r="170" spans="1:14" x14ac:dyDescent="0.25">
      <c r="A170" s="100">
        <v>37936</v>
      </c>
      <c r="C170" s="99">
        <v>38087</v>
      </c>
      <c r="D170" s="98" t="s">
        <v>176</v>
      </c>
      <c r="E170" s="99">
        <v>46747</v>
      </c>
      <c r="F170" s="98" t="s">
        <v>243</v>
      </c>
      <c r="G170" s="99">
        <v>39808</v>
      </c>
      <c r="H170" s="98" t="s">
        <v>182</v>
      </c>
      <c r="I170" s="99">
        <v>36649</v>
      </c>
      <c r="J170" s="98" t="s">
        <v>187</v>
      </c>
      <c r="K170" s="99">
        <v>37987</v>
      </c>
      <c r="L170" s="98" t="s">
        <v>160</v>
      </c>
      <c r="M170" s="99">
        <v>37936</v>
      </c>
      <c r="N170" s="98" t="s">
        <v>188</v>
      </c>
    </row>
    <row r="171" spans="1:14" x14ac:dyDescent="0.25">
      <c r="A171" s="100">
        <v>37952</v>
      </c>
      <c r="C171" s="99">
        <v>38089</v>
      </c>
      <c r="D171" s="98" t="s">
        <v>162</v>
      </c>
      <c r="E171" s="99">
        <v>46753</v>
      </c>
      <c r="F171" s="98" t="s">
        <v>160</v>
      </c>
      <c r="G171" s="99">
        <v>39814</v>
      </c>
      <c r="H171" s="98" t="s">
        <v>160</v>
      </c>
      <c r="I171" s="99">
        <v>36650</v>
      </c>
      <c r="J171" s="98" t="s">
        <v>218</v>
      </c>
      <c r="K171" s="99">
        <v>37988</v>
      </c>
      <c r="L171" s="98" t="s">
        <v>165</v>
      </c>
      <c r="M171" s="99">
        <v>37952</v>
      </c>
      <c r="N171" s="98" t="s">
        <v>192</v>
      </c>
    </row>
    <row r="172" spans="1:14" x14ac:dyDescent="0.25">
      <c r="A172" s="100">
        <v>37980</v>
      </c>
      <c r="C172" s="99">
        <v>38102</v>
      </c>
      <c r="D172" s="98" t="s">
        <v>185</v>
      </c>
      <c r="E172" s="99">
        <v>46857</v>
      </c>
      <c r="F172" s="98" t="s">
        <v>159</v>
      </c>
      <c r="G172" s="99">
        <v>39913</v>
      </c>
      <c r="H172" s="98" t="s">
        <v>159</v>
      </c>
      <c r="I172" s="99">
        <v>36651</v>
      </c>
      <c r="J172" s="98" t="s">
        <v>194</v>
      </c>
      <c r="K172" s="99">
        <v>38012</v>
      </c>
      <c r="L172" s="98" t="s">
        <v>206</v>
      </c>
      <c r="M172" s="99">
        <v>37980</v>
      </c>
      <c r="N172" s="98" t="s">
        <v>177</v>
      </c>
    </row>
    <row r="173" spans="1:14" x14ac:dyDescent="0.25">
      <c r="A173" s="100">
        <v>37987</v>
      </c>
      <c r="C173" s="99">
        <v>38103</v>
      </c>
      <c r="D173" s="98" t="s">
        <v>230</v>
      </c>
      <c r="E173" s="99">
        <v>46860</v>
      </c>
      <c r="F173" s="98" t="s">
        <v>162</v>
      </c>
      <c r="G173" s="99">
        <v>39916</v>
      </c>
      <c r="H173" s="98" t="s">
        <v>162</v>
      </c>
      <c r="I173" s="99">
        <v>36727</v>
      </c>
      <c r="J173" s="98" t="s">
        <v>196</v>
      </c>
      <c r="K173" s="99">
        <v>38023</v>
      </c>
      <c r="L173" s="98" t="s">
        <v>169</v>
      </c>
      <c r="M173" s="99">
        <v>37987</v>
      </c>
      <c r="N173" s="98" t="s">
        <v>160</v>
      </c>
    </row>
    <row r="174" spans="1:14" x14ac:dyDescent="0.25">
      <c r="A174" s="100">
        <v>38005</v>
      </c>
      <c r="C174" s="99">
        <v>38152</v>
      </c>
      <c r="D174" s="98" t="s">
        <v>228</v>
      </c>
      <c r="E174" s="99">
        <v>46874</v>
      </c>
      <c r="F174" s="98" t="s">
        <v>172</v>
      </c>
      <c r="G174" s="99">
        <v>39937</v>
      </c>
      <c r="H174" s="98" t="s">
        <v>163</v>
      </c>
      <c r="I174" s="99">
        <v>36784</v>
      </c>
      <c r="J174" s="98" t="s">
        <v>200</v>
      </c>
      <c r="K174" s="99">
        <v>38086</v>
      </c>
      <c r="L174" s="98" t="s">
        <v>159</v>
      </c>
      <c r="M174" s="99">
        <v>38005</v>
      </c>
      <c r="N174" s="98" t="s">
        <v>197</v>
      </c>
    </row>
    <row r="175" spans="1:14" x14ac:dyDescent="0.25">
      <c r="A175" s="100">
        <v>38029</v>
      </c>
      <c r="C175" s="99">
        <v>38201</v>
      </c>
      <c r="D175" s="98" t="s">
        <v>202</v>
      </c>
      <c r="E175" s="99">
        <v>47112</v>
      </c>
      <c r="F175" s="98" t="s">
        <v>177</v>
      </c>
      <c r="G175" s="99">
        <v>39958</v>
      </c>
      <c r="H175" s="98" t="s">
        <v>167</v>
      </c>
      <c r="I175" s="99">
        <v>36792</v>
      </c>
      <c r="J175" s="98" t="s">
        <v>203</v>
      </c>
      <c r="K175" s="99">
        <v>38089</v>
      </c>
      <c r="L175" s="98" t="s">
        <v>162</v>
      </c>
      <c r="M175" s="99">
        <v>38029</v>
      </c>
      <c r="N175" s="98" t="s">
        <v>204</v>
      </c>
    </row>
    <row r="176" spans="1:14" x14ac:dyDescent="0.25">
      <c r="A176" s="100">
        <v>38032</v>
      </c>
      <c r="C176" s="99">
        <v>38264</v>
      </c>
      <c r="D176" s="98" t="s">
        <v>189</v>
      </c>
      <c r="E176" s="99">
        <v>47113</v>
      </c>
      <c r="F176" s="98" t="s">
        <v>243</v>
      </c>
      <c r="G176" s="99">
        <v>40056</v>
      </c>
      <c r="H176" s="98" t="s">
        <v>193</v>
      </c>
      <c r="I176" s="99">
        <v>36808</v>
      </c>
      <c r="J176" s="98" t="s">
        <v>234</v>
      </c>
      <c r="K176" s="99">
        <v>38102</v>
      </c>
      <c r="L176" s="98" t="s">
        <v>174</v>
      </c>
      <c r="M176" s="99">
        <v>38032</v>
      </c>
      <c r="N176" s="98" t="s">
        <v>207</v>
      </c>
    </row>
    <row r="177" spans="1:14" x14ac:dyDescent="0.25">
      <c r="A177" s="100">
        <v>38033</v>
      </c>
      <c r="C177" s="99">
        <v>38346</v>
      </c>
      <c r="D177" s="98" t="s">
        <v>177</v>
      </c>
      <c r="E177" s="99">
        <v>47119</v>
      </c>
      <c r="F177" s="98" t="s">
        <v>160</v>
      </c>
      <c r="G177" s="99">
        <v>40172</v>
      </c>
      <c r="H177" s="98" t="s">
        <v>177</v>
      </c>
      <c r="I177" s="99">
        <v>36833</v>
      </c>
      <c r="J177" s="98" t="s">
        <v>209</v>
      </c>
      <c r="K177" s="99">
        <v>38145</v>
      </c>
      <c r="L177" s="98" t="s">
        <v>228</v>
      </c>
      <c r="M177" s="99">
        <v>38033</v>
      </c>
      <c r="N177" s="98" t="s">
        <v>199</v>
      </c>
    </row>
    <row r="178" spans="1:14" x14ac:dyDescent="0.25">
      <c r="A178" s="100">
        <v>38138</v>
      </c>
      <c r="C178" s="99">
        <v>38347</v>
      </c>
      <c r="D178" s="98" t="s">
        <v>182</v>
      </c>
      <c r="E178" s="99">
        <v>47207</v>
      </c>
      <c r="F178" s="98" t="s">
        <v>159</v>
      </c>
      <c r="G178" s="99">
        <v>40173</v>
      </c>
      <c r="H178" s="98" t="s">
        <v>182</v>
      </c>
      <c r="I178" s="99">
        <v>36853</v>
      </c>
      <c r="J178" s="98" t="s">
        <v>211</v>
      </c>
      <c r="K178" s="99">
        <v>38285</v>
      </c>
      <c r="L178" s="98" t="s">
        <v>189</v>
      </c>
      <c r="M178" s="99">
        <v>38138</v>
      </c>
      <c r="N178" s="98" t="s">
        <v>166</v>
      </c>
    </row>
    <row r="179" spans="1:14" x14ac:dyDescent="0.25">
      <c r="A179" s="100">
        <v>38172</v>
      </c>
      <c r="C179" s="99">
        <v>38348</v>
      </c>
      <c r="D179" s="98" t="s">
        <v>186</v>
      </c>
      <c r="E179" s="99">
        <v>47210</v>
      </c>
      <c r="F179" s="98" t="s">
        <v>162</v>
      </c>
      <c r="G179" s="99">
        <v>40175</v>
      </c>
      <c r="H179" s="98" t="s">
        <v>186</v>
      </c>
      <c r="I179" s="99">
        <v>36883</v>
      </c>
      <c r="J179" s="98" t="s">
        <v>173</v>
      </c>
      <c r="K179" s="99">
        <v>38346</v>
      </c>
      <c r="L179" s="98" t="s">
        <v>177</v>
      </c>
      <c r="M179" s="99">
        <v>38172</v>
      </c>
      <c r="N179" s="98" t="s">
        <v>175</v>
      </c>
    </row>
    <row r="180" spans="1:14" x14ac:dyDescent="0.25">
      <c r="A180" s="100">
        <v>38173</v>
      </c>
      <c r="C180" s="99">
        <v>38353</v>
      </c>
      <c r="D180" s="98" t="s">
        <v>160</v>
      </c>
      <c r="E180" s="99">
        <v>47239</v>
      </c>
      <c r="F180" s="98" t="s">
        <v>172</v>
      </c>
      <c r="G180" s="99">
        <v>40179</v>
      </c>
      <c r="H180" s="98" t="s">
        <v>160</v>
      </c>
      <c r="I180" s="99">
        <v>36892</v>
      </c>
      <c r="J180" s="98" t="s">
        <v>161</v>
      </c>
      <c r="K180" s="99">
        <v>38347</v>
      </c>
      <c r="L180" s="98" t="s">
        <v>182</v>
      </c>
      <c r="M180" s="99">
        <v>38173</v>
      </c>
      <c r="N180" s="98" t="s">
        <v>180</v>
      </c>
    </row>
    <row r="181" spans="1:14" x14ac:dyDescent="0.25">
      <c r="A181" s="100">
        <v>38236</v>
      </c>
      <c r="C181" s="99">
        <v>38378</v>
      </c>
      <c r="D181" s="98" t="s">
        <v>171</v>
      </c>
      <c r="E181" s="99">
        <v>47477</v>
      </c>
      <c r="F181" s="98" t="s">
        <v>177</v>
      </c>
      <c r="G181" s="99">
        <v>40270</v>
      </c>
      <c r="H181" s="98" t="s">
        <v>159</v>
      </c>
      <c r="I181" s="99">
        <v>36899</v>
      </c>
      <c r="J181" s="98" t="s">
        <v>164</v>
      </c>
      <c r="K181" s="99">
        <v>38348</v>
      </c>
      <c r="L181" s="98" t="s">
        <v>208</v>
      </c>
      <c r="M181" s="99">
        <v>38236</v>
      </c>
      <c r="N181" s="98" t="s">
        <v>184</v>
      </c>
    </row>
    <row r="182" spans="1:14" x14ac:dyDescent="0.25">
      <c r="A182" s="100">
        <v>38271</v>
      </c>
      <c r="C182" s="99">
        <v>38436</v>
      </c>
      <c r="D182" s="98" t="s">
        <v>159</v>
      </c>
      <c r="E182" s="99">
        <v>47478</v>
      </c>
      <c r="F182" s="98" t="s">
        <v>243</v>
      </c>
      <c r="G182" s="99">
        <v>40273</v>
      </c>
      <c r="H182" s="98" t="s">
        <v>162</v>
      </c>
      <c r="I182" s="99">
        <v>36933</v>
      </c>
      <c r="J182" s="98" t="s">
        <v>168</v>
      </c>
      <c r="K182" s="99">
        <v>38349</v>
      </c>
      <c r="L182" s="98" t="s">
        <v>186</v>
      </c>
      <c r="M182" s="99">
        <v>38271</v>
      </c>
      <c r="N182" s="98" t="s">
        <v>201</v>
      </c>
    </row>
    <row r="183" spans="1:14" x14ac:dyDescent="0.25">
      <c r="A183" s="100">
        <v>38302</v>
      </c>
      <c r="C183" s="99">
        <v>38437</v>
      </c>
      <c r="D183" s="98" t="s">
        <v>176</v>
      </c>
      <c r="E183" s="99">
        <v>47484</v>
      </c>
      <c r="F183" s="98" t="s">
        <v>160</v>
      </c>
      <c r="G183" s="99">
        <v>40301</v>
      </c>
      <c r="H183" s="98" t="s">
        <v>163</v>
      </c>
      <c r="I183" s="99">
        <v>36934</v>
      </c>
      <c r="J183" s="98" t="s">
        <v>212</v>
      </c>
      <c r="K183" s="99">
        <v>38353</v>
      </c>
      <c r="L183" s="98" t="s">
        <v>160</v>
      </c>
      <c r="M183" s="99">
        <v>38302</v>
      </c>
      <c r="N183" s="98" t="s">
        <v>188</v>
      </c>
    </row>
    <row r="184" spans="1:14" x14ac:dyDescent="0.25">
      <c r="A184" s="100">
        <v>38316</v>
      </c>
      <c r="C184" s="99">
        <v>38439</v>
      </c>
      <c r="D184" s="98" t="s">
        <v>162</v>
      </c>
      <c r="E184" s="99">
        <v>47592</v>
      </c>
      <c r="F184" s="98" t="s">
        <v>159</v>
      </c>
      <c r="G184" s="99">
        <v>40329</v>
      </c>
      <c r="H184" s="98" t="s">
        <v>167</v>
      </c>
      <c r="I184" s="99">
        <v>36970</v>
      </c>
      <c r="J184" s="98" t="s">
        <v>178</v>
      </c>
      <c r="K184" s="99">
        <v>38354</v>
      </c>
      <c r="L184" s="98" t="s">
        <v>165</v>
      </c>
      <c r="M184" s="99">
        <v>38316</v>
      </c>
      <c r="N184" s="98" t="s">
        <v>192</v>
      </c>
    </row>
    <row r="185" spans="1:14" x14ac:dyDescent="0.25">
      <c r="A185" s="100">
        <v>38345</v>
      </c>
      <c r="C185" s="99">
        <v>38467</v>
      </c>
      <c r="D185" s="98" t="s">
        <v>185</v>
      </c>
      <c r="E185" s="99">
        <v>47595</v>
      </c>
      <c r="F185" s="98" t="s">
        <v>162</v>
      </c>
      <c r="G185" s="99">
        <v>40420</v>
      </c>
      <c r="H185" s="98" t="s">
        <v>193</v>
      </c>
      <c r="I185" s="99">
        <v>37010</v>
      </c>
      <c r="J185" s="98" t="s">
        <v>190</v>
      </c>
      <c r="K185" s="99">
        <v>38355</v>
      </c>
      <c r="L185" s="98" t="s">
        <v>214</v>
      </c>
      <c r="M185" s="99">
        <v>38345</v>
      </c>
      <c r="N185" s="98" t="s">
        <v>208</v>
      </c>
    </row>
    <row r="186" spans="1:14" x14ac:dyDescent="0.25">
      <c r="A186" s="100">
        <v>38346</v>
      </c>
      <c r="C186" s="99">
        <v>38516</v>
      </c>
      <c r="D186" s="98" t="s">
        <v>228</v>
      </c>
      <c r="E186" s="99">
        <v>47604</v>
      </c>
      <c r="F186" s="98" t="s">
        <v>172</v>
      </c>
      <c r="G186" s="99">
        <v>40537</v>
      </c>
      <c r="H186" s="98" t="s">
        <v>177</v>
      </c>
      <c r="I186" s="99">
        <v>37011</v>
      </c>
      <c r="J186" s="98" t="s">
        <v>212</v>
      </c>
      <c r="K186" s="99">
        <v>38356</v>
      </c>
      <c r="L186" s="98" t="s">
        <v>213</v>
      </c>
      <c r="M186" s="99">
        <v>38346</v>
      </c>
      <c r="N186" s="98" t="s">
        <v>177</v>
      </c>
    </row>
    <row r="187" spans="1:14" x14ac:dyDescent="0.25">
      <c r="A187" s="100">
        <v>38352</v>
      </c>
      <c r="C187" s="99">
        <v>38565</v>
      </c>
      <c r="D187" s="98" t="s">
        <v>202</v>
      </c>
      <c r="E187" s="99">
        <v>47842</v>
      </c>
      <c r="F187" s="98" t="s">
        <v>177</v>
      </c>
      <c r="G187" s="99">
        <v>40538</v>
      </c>
      <c r="H187" s="98" t="s">
        <v>182</v>
      </c>
      <c r="I187" s="99">
        <v>37014</v>
      </c>
      <c r="J187" s="98" t="s">
        <v>187</v>
      </c>
      <c r="K187" s="99">
        <v>38383</v>
      </c>
      <c r="L187" s="98" t="s">
        <v>206</v>
      </c>
      <c r="M187" s="99">
        <v>38352</v>
      </c>
      <c r="N187" s="98" t="s">
        <v>214</v>
      </c>
    </row>
    <row r="188" spans="1:14" x14ac:dyDescent="0.25">
      <c r="A188" s="100">
        <v>38353</v>
      </c>
      <c r="C188" s="99">
        <v>38628</v>
      </c>
      <c r="D188" s="98" t="s">
        <v>189</v>
      </c>
      <c r="E188" s="99">
        <v>47843</v>
      </c>
      <c r="F188" s="98" t="s">
        <v>243</v>
      </c>
      <c r="G188" s="99">
        <v>40539</v>
      </c>
      <c r="H188" s="98" t="s">
        <v>208</v>
      </c>
      <c r="I188" s="99">
        <v>37015</v>
      </c>
      <c r="J188" s="98" t="s">
        <v>218</v>
      </c>
      <c r="K188" s="99">
        <v>38389</v>
      </c>
      <c r="L188" s="98" t="s">
        <v>169</v>
      </c>
      <c r="M188" s="99">
        <v>38353</v>
      </c>
      <c r="N188" s="98" t="s">
        <v>160</v>
      </c>
    </row>
    <row r="189" spans="1:14" x14ac:dyDescent="0.25">
      <c r="A189" s="100">
        <v>38369</v>
      </c>
      <c r="C189" s="99">
        <v>38711</v>
      </c>
      <c r="D189" s="98" t="s">
        <v>177</v>
      </c>
      <c r="E189" s="99">
        <v>47849</v>
      </c>
      <c r="F189" s="98" t="s">
        <v>160</v>
      </c>
      <c r="G189" s="99">
        <v>40540</v>
      </c>
      <c r="H189" s="98" t="s">
        <v>186</v>
      </c>
      <c r="I189" s="99">
        <v>37016</v>
      </c>
      <c r="J189" s="98" t="s">
        <v>194</v>
      </c>
      <c r="K189" s="99">
        <v>38436</v>
      </c>
      <c r="L189" s="98" t="s">
        <v>159</v>
      </c>
      <c r="M189" s="99">
        <v>38369</v>
      </c>
      <c r="N189" s="98" t="s">
        <v>197</v>
      </c>
    </row>
    <row r="190" spans="1:14" x14ac:dyDescent="0.25">
      <c r="A190" s="100">
        <v>38394</v>
      </c>
      <c r="C190" s="99">
        <v>38712</v>
      </c>
      <c r="D190" s="98" t="s">
        <v>182</v>
      </c>
      <c r="E190" s="99">
        <v>47949</v>
      </c>
      <c r="F190" s="98" t="s">
        <v>159</v>
      </c>
      <c r="G190" s="99">
        <v>40544</v>
      </c>
      <c r="H190" s="98" t="s">
        <v>160</v>
      </c>
      <c r="I190" s="99">
        <v>37092</v>
      </c>
      <c r="J190" s="98" t="s">
        <v>196</v>
      </c>
      <c r="K190" s="99">
        <v>38439</v>
      </c>
      <c r="L190" s="98" t="s">
        <v>162</v>
      </c>
      <c r="M190" s="99">
        <v>38394</v>
      </c>
      <c r="N190" s="98" t="s">
        <v>219</v>
      </c>
    </row>
    <row r="191" spans="1:14" x14ac:dyDescent="0.25">
      <c r="A191" s="100">
        <v>38395</v>
      </c>
      <c r="C191" s="99">
        <v>38713</v>
      </c>
      <c r="D191" s="98" t="s">
        <v>208</v>
      </c>
      <c r="E191" s="99">
        <v>47952</v>
      </c>
      <c r="F191" s="98" t="s">
        <v>162</v>
      </c>
      <c r="G191" s="99">
        <v>40546</v>
      </c>
      <c r="H191" s="98" t="s">
        <v>214</v>
      </c>
      <c r="I191" s="99">
        <v>37149</v>
      </c>
      <c r="J191" s="98" t="s">
        <v>200</v>
      </c>
      <c r="K191" s="99">
        <v>38467</v>
      </c>
      <c r="L191" s="98" t="s">
        <v>174</v>
      </c>
      <c r="M191" s="99">
        <v>38395</v>
      </c>
      <c r="N191" s="98" t="s">
        <v>204</v>
      </c>
    </row>
    <row r="192" spans="1:14" x14ac:dyDescent="0.25">
      <c r="A192" s="100">
        <v>38398</v>
      </c>
      <c r="C192" s="99">
        <v>38718</v>
      </c>
      <c r="D192" s="98" t="s">
        <v>160</v>
      </c>
      <c r="E192" s="99">
        <v>47969</v>
      </c>
      <c r="F192" s="98" t="s">
        <v>172</v>
      </c>
      <c r="G192" s="99">
        <v>40655</v>
      </c>
      <c r="H192" s="98" t="s">
        <v>159</v>
      </c>
      <c r="I192" s="99">
        <v>37157</v>
      </c>
      <c r="J192" s="98" t="s">
        <v>203</v>
      </c>
      <c r="K192" s="99">
        <v>38509</v>
      </c>
      <c r="L192" s="98" t="s">
        <v>228</v>
      </c>
      <c r="M192" s="99">
        <v>38398</v>
      </c>
      <c r="N192" s="98" t="s">
        <v>207</v>
      </c>
    </row>
    <row r="193" spans="1:14" x14ac:dyDescent="0.25">
      <c r="A193" s="100">
        <v>38404</v>
      </c>
      <c r="C193" s="99">
        <v>38719</v>
      </c>
      <c r="D193" s="98" t="s">
        <v>214</v>
      </c>
      <c r="E193" s="99">
        <v>48207</v>
      </c>
      <c r="F193" s="98" t="s">
        <v>177</v>
      </c>
      <c r="G193" s="99">
        <v>40658</v>
      </c>
      <c r="H193" s="98" t="s">
        <v>162</v>
      </c>
      <c r="I193" s="99">
        <v>37158</v>
      </c>
      <c r="J193" s="98" t="s">
        <v>212</v>
      </c>
      <c r="K193" s="99">
        <v>38649</v>
      </c>
      <c r="L193" s="98" t="s">
        <v>189</v>
      </c>
      <c r="M193" s="99">
        <v>38404</v>
      </c>
      <c r="N193" s="98" t="s">
        <v>199</v>
      </c>
    </row>
    <row r="194" spans="1:14" x14ac:dyDescent="0.25">
      <c r="A194" s="100">
        <v>38502</v>
      </c>
      <c r="C194" s="99">
        <v>38743</v>
      </c>
      <c r="D194" s="98" t="s">
        <v>171</v>
      </c>
      <c r="E194" s="99">
        <v>48208</v>
      </c>
      <c r="F194" s="98" t="s">
        <v>243</v>
      </c>
      <c r="G194" s="99">
        <v>40662</v>
      </c>
      <c r="H194" s="98" t="s">
        <v>226</v>
      </c>
      <c r="I194" s="99">
        <v>37172</v>
      </c>
      <c r="J194" s="98" t="s">
        <v>234</v>
      </c>
      <c r="K194" s="99">
        <v>38711</v>
      </c>
      <c r="L194" s="98" t="s">
        <v>177</v>
      </c>
      <c r="M194" s="99">
        <v>38502</v>
      </c>
      <c r="N194" s="98" t="s">
        <v>166</v>
      </c>
    </row>
    <row r="195" spans="1:14" x14ac:dyDescent="0.25">
      <c r="A195" s="100">
        <v>38537</v>
      </c>
      <c r="C195" s="99">
        <v>38821</v>
      </c>
      <c r="D195" s="98" t="s">
        <v>159</v>
      </c>
      <c r="E195" s="99">
        <v>48214</v>
      </c>
      <c r="F195" s="98" t="s">
        <v>160</v>
      </c>
      <c r="G195" s="99">
        <v>40665</v>
      </c>
      <c r="H195" s="98" t="s">
        <v>163</v>
      </c>
      <c r="I195" s="99">
        <v>37198</v>
      </c>
      <c r="J195" s="98" t="s">
        <v>209</v>
      </c>
      <c r="K195" s="99">
        <v>38712</v>
      </c>
      <c r="L195" s="98" t="s">
        <v>182</v>
      </c>
      <c r="M195" s="99">
        <v>38537</v>
      </c>
      <c r="N195" s="98" t="s">
        <v>175</v>
      </c>
    </row>
    <row r="196" spans="1:14" x14ac:dyDescent="0.25">
      <c r="A196" s="100">
        <v>38600</v>
      </c>
      <c r="C196" s="99">
        <v>38822</v>
      </c>
      <c r="D196" s="98" t="s">
        <v>176</v>
      </c>
      <c r="E196" s="99">
        <v>48299</v>
      </c>
      <c r="F196" s="98" t="s">
        <v>159</v>
      </c>
      <c r="G196" s="99">
        <v>40693</v>
      </c>
      <c r="H196" s="98" t="s">
        <v>167</v>
      </c>
      <c r="I196" s="99">
        <v>37218</v>
      </c>
      <c r="J196" s="98" t="s">
        <v>211</v>
      </c>
      <c r="K196" s="99">
        <v>38713</v>
      </c>
      <c r="L196" s="98" t="s">
        <v>208</v>
      </c>
      <c r="M196" s="99">
        <v>38600</v>
      </c>
      <c r="N196" s="98" t="s">
        <v>184</v>
      </c>
    </row>
    <row r="197" spans="1:14" x14ac:dyDescent="0.25">
      <c r="A197" s="100">
        <v>38635</v>
      </c>
      <c r="C197" s="99">
        <v>38824</v>
      </c>
      <c r="D197" s="98" t="s">
        <v>162</v>
      </c>
      <c r="E197" s="99">
        <v>48302</v>
      </c>
      <c r="F197" s="98" t="s">
        <v>162</v>
      </c>
      <c r="G197" s="99">
        <v>40784</v>
      </c>
      <c r="H197" s="98" t="s">
        <v>193</v>
      </c>
      <c r="I197" s="99">
        <v>37248</v>
      </c>
      <c r="J197" s="98" t="s">
        <v>173</v>
      </c>
      <c r="K197" s="99">
        <v>38718</v>
      </c>
      <c r="L197" s="98" t="s">
        <v>160</v>
      </c>
      <c r="M197" s="99">
        <v>38635</v>
      </c>
      <c r="N197" s="98" t="s">
        <v>201</v>
      </c>
    </row>
    <row r="198" spans="1:14" x14ac:dyDescent="0.25">
      <c r="A198" s="100">
        <v>38667</v>
      </c>
      <c r="C198" s="99">
        <v>38832</v>
      </c>
      <c r="D198" s="98" t="s">
        <v>185</v>
      </c>
      <c r="E198" s="99">
        <v>48335</v>
      </c>
      <c r="F198" s="98" t="s">
        <v>172</v>
      </c>
      <c r="G198" s="99">
        <v>40902</v>
      </c>
      <c r="H198" s="98" t="s">
        <v>177</v>
      </c>
      <c r="I198" s="99">
        <v>37249</v>
      </c>
      <c r="J198" s="98" t="s">
        <v>212</v>
      </c>
      <c r="K198" s="99">
        <v>38719</v>
      </c>
      <c r="L198" s="98" t="s">
        <v>165</v>
      </c>
      <c r="M198" s="99">
        <v>38667</v>
      </c>
      <c r="N198" s="98" t="s">
        <v>188</v>
      </c>
    </row>
    <row r="199" spans="1:14" x14ac:dyDescent="0.25">
      <c r="A199" s="100">
        <v>38680</v>
      </c>
      <c r="C199" s="99">
        <v>38880</v>
      </c>
      <c r="D199" s="98" t="s">
        <v>228</v>
      </c>
      <c r="E199" s="99">
        <v>48573</v>
      </c>
      <c r="F199" s="98" t="s">
        <v>177</v>
      </c>
      <c r="G199" s="99">
        <v>40903</v>
      </c>
      <c r="H199" s="98" t="s">
        <v>182</v>
      </c>
      <c r="I199" s="99">
        <v>37257</v>
      </c>
      <c r="J199" s="98" t="s">
        <v>161</v>
      </c>
      <c r="K199" s="99">
        <v>38720</v>
      </c>
      <c r="L199" s="98" t="s">
        <v>214</v>
      </c>
      <c r="M199" s="99">
        <v>38680</v>
      </c>
      <c r="N199" s="98" t="s">
        <v>192</v>
      </c>
    </row>
    <row r="200" spans="1:14" x14ac:dyDescent="0.25">
      <c r="A200" s="100">
        <v>38711</v>
      </c>
      <c r="C200" s="99">
        <v>38936</v>
      </c>
      <c r="D200" s="98" t="s">
        <v>202</v>
      </c>
      <c r="E200" s="99">
        <v>48574</v>
      </c>
      <c r="F200" s="98" t="s">
        <v>243</v>
      </c>
      <c r="G200" s="99">
        <v>40904</v>
      </c>
      <c r="H200" s="98" t="s">
        <v>208</v>
      </c>
      <c r="I200" s="99">
        <v>37270</v>
      </c>
      <c r="J200" s="98" t="s">
        <v>164</v>
      </c>
      <c r="K200" s="99">
        <v>38747</v>
      </c>
      <c r="L200" s="98" t="s">
        <v>206</v>
      </c>
      <c r="M200" s="99">
        <v>38711</v>
      </c>
      <c r="N200" s="98" t="s">
        <v>177</v>
      </c>
    </row>
    <row r="201" spans="1:14" x14ac:dyDescent="0.25">
      <c r="A201" s="100">
        <v>38712</v>
      </c>
      <c r="C201" s="99">
        <v>38992</v>
      </c>
      <c r="D201" s="98" t="s">
        <v>189</v>
      </c>
      <c r="E201" s="99">
        <v>48580</v>
      </c>
      <c r="F201" s="98" t="s">
        <v>160</v>
      </c>
      <c r="G201" s="99">
        <v>40909</v>
      </c>
      <c r="H201" s="98" t="s">
        <v>160</v>
      </c>
      <c r="I201" s="99">
        <v>37298</v>
      </c>
      <c r="J201" s="98" t="s">
        <v>168</v>
      </c>
      <c r="K201" s="99">
        <v>38754</v>
      </c>
      <c r="L201" s="98" t="s">
        <v>169</v>
      </c>
      <c r="M201" s="99">
        <v>38712</v>
      </c>
      <c r="N201" s="98" t="s">
        <v>208</v>
      </c>
    </row>
    <row r="202" spans="1:14" x14ac:dyDescent="0.25">
      <c r="A202" s="100">
        <v>38718</v>
      </c>
      <c r="C202" s="99">
        <v>39076</v>
      </c>
      <c r="D202" s="98" t="s">
        <v>177</v>
      </c>
      <c r="E202" s="99">
        <v>48684</v>
      </c>
      <c r="F202" s="98" t="s">
        <v>159</v>
      </c>
      <c r="G202" s="99">
        <v>40910</v>
      </c>
      <c r="H202" s="98" t="s">
        <v>214</v>
      </c>
      <c r="I202" s="99">
        <v>37336</v>
      </c>
      <c r="J202" s="98" t="s">
        <v>178</v>
      </c>
      <c r="K202" s="99">
        <v>38821</v>
      </c>
      <c r="L202" s="98" t="s">
        <v>159</v>
      </c>
      <c r="M202" s="99">
        <v>38718</v>
      </c>
      <c r="N202" s="98" t="s">
        <v>160</v>
      </c>
    </row>
    <row r="203" spans="1:14" x14ac:dyDescent="0.25">
      <c r="A203" s="100">
        <v>38719</v>
      </c>
      <c r="C203" s="99">
        <v>39077</v>
      </c>
      <c r="D203" s="98" t="s">
        <v>182</v>
      </c>
      <c r="E203" s="99">
        <v>48687</v>
      </c>
      <c r="F203" s="98" t="s">
        <v>162</v>
      </c>
      <c r="G203" s="99">
        <v>41005</v>
      </c>
      <c r="H203" s="98" t="s">
        <v>159</v>
      </c>
      <c r="I203" s="99">
        <v>37375</v>
      </c>
      <c r="J203" s="98" t="s">
        <v>190</v>
      </c>
      <c r="K203" s="99">
        <v>38824</v>
      </c>
      <c r="L203" s="98" t="s">
        <v>162</v>
      </c>
      <c r="M203" s="99">
        <v>38719</v>
      </c>
      <c r="N203" s="98" t="s">
        <v>214</v>
      </c>
    </row>
    <row r="204" spans="1:14" x14ac:dyDescent="0.25">
      <c r="A204" s="100">
        <v>38733</v>
      </c>
      <c r="C204" s="99">
        <v>39083</v>
      </c>
      <c r="D204" s="98" t="s">
        <v>160</v>
      </c>
      <c r="E204" s="99">
        <v>48700</v>
      </c>
      <c r="F204" s="98" t="s">
        <v>172</v>
      </c>
      <c r="G204" s="99">
        <v>41008</v>
      </c>
      <c r="H204" s="98" t="s">
        <v>162</v>
      </c>
      <c r="I204" s="99">
        <v>37379</v>
      </c>
      <c r="J204" s="98" t="s">
        <v>187</v>
      </c>
      <c r="K204" s="99">
        <v>38832</v>
      </c>
      <c r="L204" s="98" t="s">
        <v>174</v>
      </c>
      <c r="M204" s="99">
        <v>38733</v>
      </c>
      <c r="N204" s="98" t="s">
        <v>197</v>
      </c>
    </row>
    <row r="205" spans="1:14" x14ac:dyDescent="0.25">
      <c r="A205" s="100">
        <v>38760</v>
      </c>
      <c r="C205" s="99">
        <v>39108</v>
      </c>
      <c r="D205" s="98" t="s">
        <v>171</v>
      </c>
      <c r="E205" s="99">
        <v>48938</v>
      </c>
      <c r="F205" s="98" t="s">
        <v>177</v>
      </c>
      <c r="G205" s="99">
        <v>41036</v>
      </c>
      <c r="H205" s="98" t="s">
        <v>163</v>
      </c>
      <c r="I205" s="99">
        <v>37380</v>
      </c>
      <c r="J205" s="98" t="s">
        <v>218</v>
      </c>
      <c r="K205" s="99">
        <v>38873</v>
      </c>
      <c r="L205" s="98" t="s">
        <v>228</v>
      </c>
      <c r="M205" s="99">
        <v>38760</v>
      </c>
      <c r="N205" s="98" t="s">
        <v>204</v>
      </c>
    </row>
    <row r="206" spans="1:14" x14ac:dyDescent="0.25">
      <c r="A206" s="100">
        <v>38761</v>
      </c>
      <c r="C206" s="99">
        <v>39178</v>
      </c>
      <c r="D206" s="98" t="s">
        <v>159</v>
      </c>
      <c r="E206" s="99">
        <v>48939</v>
      </c>
      <c r="F206" s="98" t="s">
        <v>243</v>
      </c>
      <c r="G206" s="99">
        <v>41064</v>
      </c>
      <c r="H206" s="98" t="s">
        <v>167</v>
      </c>
      <c r="I206" s="99">
        <v>37381</v>
      </c>
      <c r="J206" s="98" t="s">
        <v>194</v>
      </c>
      <c r="K206" s="99">
        <v>39013</v>
      </c>
      <c r="L206" s="98" t="s">
        <v>189</v>
      </c>
      <c r="M206" s="99">
        <v>38761</v>
      </c>
      <c r="N206" s="98" t="s">
        <v>219</v>
      </c>
    </row>
    <row r="207" spans="1:14" x14ac:dyDescent="0.25">
      <c r="A207" s="100">
        <v>38763</v>
      </c>
      <c r="C207" s="99">
        <v>39179</v>
      </c>
      <c r="D207" s="98" t="s">
        <v>176</v>
      </c>
      <c r="E207" s="99">
        <v>48945</v>
      </c>
      <c r="F207" s="98" t="s">
        <v>160</v>
      </c>
      <c r="G207" s="99">
        <v>41065</v>
      </c>
      <c r="H207" s="98" t="s">
        <v>227</v>
      </c>
      <c r="I207" s="99">
        <v>37382</v>
      </c>
      <c r="J207" s="98" t="s">
        <v>212</v>
      </c>
      <c r="K207" s="99">
        <v>39076</v>
      </c>
      <c r="L207" s="98" t="s">
        <v>177</v>
      </c>
      <c r="M207" s="99">
        <v>38763</v>
      </c>
      <c r="N207" s="98" t="s">
        <v>207</v>
      </c>
    </row>
    <row r="208" spans="1:14" x14ac:dyDescent="0.25">
      <c r="A208" s="100">
        <v>38768</v>
      </c>
      <c r="C208" s="99">
        <v>39181</v>
      </c>
      <c r="D208" s="98" t="s">
        <v>162</v>
      </c>
      <c r="E208" s="99">
        <v>49041</v>
      </c>
      <c r="F208" s="98" t="s">
        <v>159</v>
      </c>
      <c r="G208" s="99">
        <v>41148</v>
      </c>
      <c r="H208" s="98" t="s">
        <v>193</v>
      </c>
      <c r="I208" s="99">
        <v>37457</v>
      </c>
      <c r="J208" s="98" t="s">
        <v>196</v>
      </c>
      <c r="K208" s="99">
        <v>39077</v>
      </c>
      <c r="L208" s="98" t="s">
        <v>182</v>
      </c>
      <c r="M208" s="99">
        <v>38768</v>
      </c>
      <c r="N208" s="98" t="s">
        <v>199</v>
      </c>
    </row>
    <row r="209" spans="1:14" x14ac:dyDescent="0.25">
      <c r="A209" s="100">
        <v>38866</v>
      </c>
      <c r="C209" s="99">
        <v>39197</v>
      </c>
      <c r="D209" s="98" t="s">
        <v>185</v>
      </c>
      <c r="E209" s="99">
        <v>49044</v>
      </c>
      <c r="F209" s="98" t="s">
        <v>162</v>
      </c>
      <c r="G209" s="99">
        <v>41268</v>
      </c>
      <c r="H209" s="98" t="s">
        <v>177</v>
      </c>
      <c r="I209" s="99">
        <v>37514</v>
      </c>
      <c r="J209" s="98" t="s">
        <v>200</v>
      </c>
      <c r="K209" s="99">
        <v>39083</v>
      </c>
      <c r="L209" s="98" t="s">
        <v>160</v>
      </c>
      <c r="M209" s="99">
        <v>38866</v>
      </c>
      <c r="N209" s="98" t="s">
        <v>166</v>
      </c>
    </row>
    <row r="210" spans="1:14" x14ac:dyDescent="0.25">
      <c r="A210" s="100">
        <v>38902</v>
      </c>
      <c r="C210" s="99">
        <v>39244</v>
      </c>
      <c r="D210" s="98" t="s">
        <v>228</v>
      </c>
      <c r="E210" s="99">
        <v>49065</v>
      </c>
      <c r="F210" s="98" t="s">
        <v>172</v>
      </c>
      <c r="G210" s="99">
        <v>41269</v>
      </c>
      <c r="H210" s="98" t="s">
        <v>182</v>
      </c>
      <c r="I210" s="99">
        <v>37515</v>
      </c>
      <c r="J210" s="98" t="s">
        <v>212</v>
      </c>
      <c r="K210" s="99">
        <v>39084</v>
      </c>
      <c r="L210" s="98" t="s">
        <v>165</v>
      </c>
      <c r="M210" s="99">
        <v>38902</v>
      </c>
      <c r="N210" s="98" t="s">
        <v>175</v>
      </c>
    </row>
    <row r="211" spans="1:14" x14ac:dyDescent="0.25">
      <c r="A211" s="100">
        <v>38964</v>
      </c>
      <c r="C211" s="99">
        <v>39300</v>
      </c>
      <c r="D211" s="98" t="s">
        <v>202</v>
      </c>
      <c r="E211" s="99">
        <v>49303</v>
      </c>
      <c r="F211" s="98" t="s">
        <v>177</v>
      </c>
      <c r="G211" s="99">
        <v>41275</v>
      </c>
      <c r="H211" s="98" t="s">
        <v>160</v>
      </c>
      <c r="I211" s="99">
        <v>37522</v>
      </c>
      <c r="J211" s="98" t="s">
        <v>203</v>
      </c>
      <c r="K211" s="99">
        <v>39111</v>
      </c>
      <c r="L211" s="98" t="s">
        <v>206</v>
      </c>
      <c r="M211" s="99">
        <v>38964</v>
      </c>
      <c r="N211" s="98" t="s">
        <v>184</v>
      </c>
    </row>
    <row r="212" spans="1:14" x14ac:dyDescent="0.25">
      <c r="A212" s="100">
        <v>38999</v>
      </c>
      <c r="C212" s="99">
        <v>39356</v>
      </c>
      <c r="D212" s="98" t="s">
        <v>189</v>
      </c>
      <c r="E212" s="99">
        <v>49304</v>
      </c>
      <c r="F212" s="98" t="s">
        <v>243</v>
      </c>
      <c r="G212" s="99">
        <v>41362</v>
      </c>
      <c r="H212" s="98" t="s">
        <v>159</v>
      </c>
      <c r="I212" s="99">
        <v>37543</v>
      </c>
      <c r="J212" s="98" t="s">
        <v>234</v>
      </c>
      <c r="K212" s="99">
        <v>39119</v>
      </c>
      <c r="L212" s="98" t="s">
        <v>169</v>
      </c>
      <c r="M212" s="99">
        <v>38999</v>
      </c>
      <c r="N212" s="98" t="s">
        <v>201</v>
      </c>
    </row>
    <row r="213" spans="1:14" x14ac:dyDescent="0.25">
      <c r="A213" s="100">
        <v>39031</v>
      </c>
      <c r="C213" s="99">
        <v>39441</v>
      </c>
      <c r="D213" s="98" t="s">
        <v>177</v>
      </c>
      <c r="E213" s="99">
        <v>49310</v>
      </c>
      <c r="F213" s="98" t="s">
        <v>160</v>
      </c>
      <c r="G213" s="99">
        <v>41365</v>
      </c>
      <c r="H213" s="98" t="s">
        <v>162</v>
      </c>
      <c r="I213" s="99">
        <v>37563</v>
      </c>
      <c r="J213" s="98" t="s">
        <v>209</v>
      </c>
      <c r="K213" s="99">
        <v>39178</v>
      </c>
      <c r="L213" s="98" t="s">
        <v>159</v>
      </c>
      <c r="M213" s="99">
        <v>39031</v>
      </c>
      <c r="N213" s="98" t="s">
        <v>220</v>
      </c>
    </row>
    <row r="214" spans="1:14" x14ac:dyDescent="0.25">
      <c r="A214" s="100">
        <v>39032</v>
      </c>
      <c r="C214" s="99">
        <v>39442</v>
      </c>
      <c r="D214" s="98" t="s">
        <v>182</v>
      </c>
      <c r="E214" s="99">
        <v>49391</v>
      </c>
      <c r="F214" s="98" t="s">
        <v>159</v>
      </c>
      <c r="G214" s="99">
        <v>41400</v>
      </c>
      <c r="H214" s="98" t="s">
        <v>163</v>
      </c>
      <c r="I214" s="99">
        <v>37564</v>
      </c>
      <c r="J214" s="98" t="s">
        <v>212</v>
      </c>
      <c r="K214" s="99">
        <v>39181</v>
      </c>
      <c r="L214" s="98" t="s">
        <v>162</v>
      </c>
      <c r="M214" s="99">
        <v>39032</v>
      </c>
      <c r="N214" s="98" t="s">
        <v>188</v>
      </c>
    </row>
    <row r="215" spans="1:14" x14ac:dyDescent="0.25">
      <c r="A215" s="100">
        <v>39044</v>
      </c>
      <c r="C215" s="99">
        <v>39448</v>
      </c>
      <c r="D215" s="98" t="s">
        <v>160</v>
      </c>
      <c r="E215" s="99">
        <v>49394</v>
      </c>
      <c r="F215" s="98" t="s">
        <v>162</v>
      </c>
      <c r="G215" s="99">
        <v>41421</v>
      </c>
      <c r="H215" s="98" t="s">
        <v>167</v>
      </c>
      <c r="I215" s="99">
        <v>37583</v>
      </c>
      <c r="J215" s="98" t="s">
        <v>211</v>
      </c>
      <c r="K215" s="99">
        <v>39197</v>
      </c>
      <c r="L215" s="98" t="s">
        <v>174</v>
      </c>
      <c r="M215" s="99">
        <v>39044</v>
      </c>
      <c r="N215" s="98" t="s">
        <v>192</v>
      </c>
    </row>
    <row r="216" spans="1:14" x14ac:dyDescent="0.25">
      <c r="A216" s="100">
        <v>39076</v>
      </c>
      <c r="C216" s="99">
        <v>39473</v>
      </c>
      <c r="D216" s="98" t="s">
        <v>171</v>
      </c>
      <c r="E216" s="99">
        <v>49430</v>
      </c>
      <c r="F216" s="98" t="s">
        <v>172</v>
      </c>
      <c r="G216" s="99">
        <v>41512</v>
      </c>
      <c r="H216" s="98" t="s">
        <v>193</v>
      </c>
      <c r="I216" s="99">
        <v>37613</v>
      </c>
      <c r="J216" s="98" t="s">
        <v>173</v>
      </c>
      <c r="K216" s="99">
        <v>39237</v>
      </c>
      <c r="L216" s="98" t="s">
        <v>228</v>
      </c>
      <c r="M216" s="99">
        <v>39076</v>
      </c>
      <c r="N216" s="98" t="s">
        <v>177</v>
      </c>
    </row>
    <row r="217" spans="1:14" x14ac:dyDescent="0.25">
      <c r="A217" s="100">
        <v>39083</v>
      </c>
      <c r="C217" s="99">
        <v>39528</v>
      </c>
      <c r="D217" s="98" t="s">
        <v>159</v>
      </c>
      <c r="E217" s="99">
        <v>49668</v>
      </c>
      <c r="F217" s="98" t="s">
        <v>177</v>
      </c>
      <c r="G217" s="99">
        <v>41633</v>
      </c>
      <c r="H217" s="98" t="s">
        <v>177</v>
      </c>
      <c r="I217" s="99">
        <v>37622</v>
      </c>
      <c r="J217" s="98" t="s">
        <v>161</v>
      </c>
      <c r="K217" s="99">
        <v>39377</v>
      </c>
      <c r="L217" s="98" t="s">
        <v>189</v>
      </c>
      <c r="M217" s="99">
        <v>39083</v>
      </c>
      <c r="N217" s="98" t="s">
        <v>160</v>
      </c>
    </row>
    <row r="218" spans="1:14" x14ac:dyDescent="0.25">
      <c r="A218" s="100">
        <v>39097</v>
      </c>
      <c r="C218" s="99">
        <v>39529</v>
      </c>
      <c r="D218" s="98" t="s">
        <v>176</v>
      </c>
      <c r="E218" s="99">
        <v>49669</v>
      </c>
      <c r="F218" s="98" t="s">
        <v>243</v>
      </c>
      <c r="G218" s="99">
        <v>41634</v>
      </c>
      <c r="H218" s="98" t="s">
        <v>182</v>
      </c>
      <c r="I218" s="99">
        <v>37634</v>
      </c>
      <c r="J218" s="98" t="s">
        <v>164</v>
      </c>
      <c r="K218" s="99">
        <v>39441</v>
      </c>
      <c r="L218" s="98" t="s">
        <v>177</v>
      </c>
      <c r="M218" s="99">
        <v>39097</v>
      </c>
      <c r="N218" s="98" t="s">
        <v>197</v>
      </c>
    </row>
    <row r="219" spans="1:14" x14ac:dyDescent="0.25">
      <c r="A219" s="100">
        <v>39125</v>
      </c>
      <c r="C219" s="99">
        <v>39531</v>
      </c>
      <c r="D219" s="98" t="s">
        <v>162</v>
      </c>
      <c r="E219" s="99">
        <v>49675</v>
      </c>
      <c r="F219" s="98" t="s">
        <v>160</v>
      </c>
      <c r="G219" s="99">
        <v>41640</v>
      </c>
      <c r="H219" s="98" t="s">
        <v>160</v>
      </c>
      <c r="I219" s="99">
        <v>37663</v>
      </c>
      <c r="J219" s="98" t="s">
        <v>168</v>
      </c>
      <c r="K219" s="99">
        <v>39442</v>
      </c>
      <c r="L219" s="98" t="s">
        <v>182</v>
      </c>
      <c r="M219" s="99">
        <v>39125</v>
      </c>
      <c r="N219" s="98" t="s">
        <v>204</v>
      </c>
    </row>
    <row r="220" spans="1:14" x14ac:dyDescent="0.25">
      <c r="A220" s="100">
        <v>39128</v>
      </c>
      <c r="C220" s="99">
        <v>39563</v>
      </c>
      <c r="D220" s="98" t="s">
        <v>185</v>
      </c>
      <c r="E220" s="99">
        <v>49776</v>
      </c>
      <c r="F220" s="98" t="s">
        <v>159</v>
      </c>
      <c r="G220" s="99">
        <v>41747</v>
      </c>
      <c r="H220" s="98" t="s">
        <v>159</v>
      </c>
      <c r="I220" s="99">
        <v>37701</v>
      </c>
      <c r="J220" s="98" t="s">
        <v>178</v>
      </c>
      <c r="K220" s="99">
        <v>39448</v>
      </c>
      <c r="L220" s="98" t="s">
        <v>160</v>
      </c>
      <c r="M220" s="99">
        <v>39128</v>
      </c>
      <c r="N220" s="98" t="s">
        <v>207</v>
      </c>
    </row>
    <row r="221" spans="1:14" x14ac:dyDescent="0.25">
      <c r="A221" s="100">
        <v>39132</v>
      </c>
      <c r="C221" s="99">
        <v>39608</v>
      </c>
      <c r="D221" s="98" t="s">
        <v>228</v>
      </c>
      <c r="E221" s="99">
        <v>49779</v>
      </c>
      <c r="F221" s="98" t="s">
        <v>162</v>
      </c>
      <c r="G221" s="99">
        <v>41750</v>
      </c>
      <c r="H221" s="98" t="s">
        <v>162</v>
      </c>
      <c r="I221" s="99">
        <v>37740</v>
      </c>
      <c r="J221" s="98" t="s">
        <v>190</v>
      </c>
      <c r="K221" s="99">
        <v>39449</v>
      </c>
      <c r="L221" s="98" t="s">
        <v>165</v>
      </c>
      <c r="M221" s="99">
        <v>39132</v>
      </c>
      <c r="N221" s="98" t="s">
        <v>199</v>
      </c>
    </row>
    <row r="222" spans="1:14" x14ac:dyDescent="0.25">
      <c r="A222" s="100">
        <v>39230</v>
      </c>
      <c r="C222" s="99">
        <v>39664</v>
      </c>
      <c r="D222" s="98" t="s">
        <v>202</v>
      </c>
      <c r="E222" s="99">
        <v>49796</v>
      </c>
      <c r="F222" s="98" t="s">
        <v>172</v>
      </c>
      <c r="G222" s="99">
        <v>41764</v>
      </c>
      <c r="H222" s="98" t="s">
        <v>163</v>
      </c>
      <c r="I222" s="99">
        <v>37744</v>
      </c>
      <c r="J222" s="98" t="s">
        <v>187</v>
      </c>
      <c r="K222" s="99">
        <v>39475</v>
      </c>
      <c r="L222" s="98" t="s">
        <v>206</v>
      </c>
      <c r="M222" s="99">
        <v>39230</v>
      </c>
      <c r="N222" s="98" t="s">
        <v>166</v>
      </c>
    </row>
    <row r="223" spans="1:14" x14ac:dyDescent="0.25">
      <c r="A223" s="100">
        <v>39267</v>
      </c>
      <c r="C223" s="99">
        <v>39727</v>
      </c>
      <c r="D223" s="98" t="s">
        <v>189</v>
      </c>
      <c r="E223" s="99">
        <v>50034</v>
      </c>
      <c r="F223" s="98" t="s">
        <v>177</v>
      </c>
      <c r="G223" s="99">
        <v>41785</v>
      </c>
      <c r="H223" s="98" t="s">
        <v>167</v>
      </c>
      <c r="I223" s="99">
        <v>37746</v>
      </c>
      <c r="J223" s="98" t="s">
        <v>194</v>
      </c>
      <c r="K223" s="99">
        <v>39484</v>
      </c>
      <c r="L223" s="98" t="s">
        <v>169</v>
      </c>
      <c r="M223" s="99">
        <v>39267</v>
      </c>
      <c r="N223" s="98" t="s">
        <v>175</v>
      </c>
    </row>
    <row r="224" spans="1:14" x14ac:dyDescent="0.25">
      <c r="A224" s="100">
        <v>39328</v>
      </c>
      <c r="C224" s="99">
        <v>39807</v>
      </c>
      <c r="D224" s="98" t="s">
        <v>177</v>
      </c>
      <c r="E224" s="99">
        <v>50035</v>
      </c>
      <c r="F224" s="98" t="s">
        <v>243</v>
      </c>
      <c r="G224" s="99">
        <v>41876</v>
      </c>
      <c r="H224" s="98" t="s">
        <v>193</v>
      </c>
      <c r="I224" s="99">
        <v>37823</v>
      </c>
      <c r="J224" s="98" t="s">
        <v>196</v>
      </c>
      <c r="K224" s="99">
        <v>39528</v>
      </c>
      <c r="L224" s="98" t="s">
        <v>159</v>
      </c>
      <c r="M224" s="99">
        <v>39328</v>
      </c>
      <c r="N224" s="98" t="s">
        <v>184</v>
      </c>
    </row>
    <row r="225" spans="1:14" x14ac:dyDescent="0.25">
      <c r="A225" s="100">
        <v>39363</v>
      </c>
      <c r="C225" s="99">
        <v>39808</v>
      </c>
      <c r="D225" s="98" t="s">
        <v>182</v>
      </c>
      <c r="E225" s="99">
        <v>50041</v>
      </c>
      <c r="F225" s="98" t="s">
        <v>160</v>
      </c>
      <c r="G225" s="99">
        <v>41998</v>
      </c>
      <c r="H225" s="98" t="s">
        <v>177</v>
      </c>
      <c r="I225" s="99">
        <v>37879</v>
      </c>
      <c r="J225" s="98" t="s">
        <v>200</v>
      </c>
      <c r="K225" s="99">
        <v>39531</v>
      </c>
      <c r="L225" s="98" t="s">
        <v>162</v>
      </c>
      <c r="M225" s="99">
        <v>39363</v>
      </c>
      <c r="N225" s="98" t="s">
        <v>201</v>
      </c>
    </row>
    <row r="226" spans="1:14" x14ac:dyDescent="0.25">
      <c r="A226" s="100">
        <v>39397</v>
      </c>
      <c r="C226" s="99">
        <v>39814</v>
      </c>
      <c r="D226" s="98" t="s">
        <v>160</v>
      </c>
      <c r="E226" s="99">
        <v>50133</v>
      </c>
      <c r="F226" s="98" t="s">
        <v>159</v>
      </c>
      <c r="G226" s="99">
        <v>41999</v>
      </c>
      <c r="H226" s="98" t="s">
        <v>182</v>
      </c>
      <c r="I226" s="99">
        <v>37887</v>
      </c>
      <c r="J226" s="98" t="s">
        <v>203</v>
      </c>
      <c r="K226" s="99">
        <v>39563</v>
      </c>
      <c r="L226" s="98" t="s">
        <v>174</v>
      </c>
      <c r="M226" s="99">
        <v>39397</v>
      </c>
      <c r="N226" s="98" t="s">
        <v>188</v>
      </c>
    </row>
    <row r="227" spans="1:14" x14ac:dyDescent="0.25">
      <c r="A227" s="100">
        <v>39398</v>
      </c>
      <c r="C227" s="99">
        <v>39839</v>
      </c>
      <c r="D227" s="98" t="s">
        <v>171</v>
      </c>
      <c r="E227" s="99">
        <v>50136</v>
      </c>
      <c r="F227" s="98" t="s">
        <v>162</v>
      </c>
      <c r="G227" s="99">
        <v>42005</v>
      </c>
      <c r="H227" s="98" t="s">
        <v>160</v>
      </c>
      <c r="I227" s="99">
        <v>37907</v>
      </c>
      <c r="J227" s="98" t="s">
        <v>234</v>
      </c>
      <c r="K227" s="99">
        <v>39601</v>
      </c>
      <c r="L227" s="98" t="s">
        <v>228</v>
      </c>
      <c r="M227" s="99">
        <v>39398</v>
      </c>
      <c r="N227" s="98" t="s">
        <v>220</v>
      </c>
    </row>
    <row r="228" spans="1:14" x14ac:dyDescent="0.25">
      <c r="A228" s="100">
        <v>39408</v>
      </c>
      <c r="C228" s="99">
        <v>39913</v>
      </c>
      <c r="D228" s="98" t="s">
        <v>159</v>
      </c>
      <c r="E228" s="99">
        <v>50161</v>
      </c>
      <c r="F228" s="98" t="s">
        <v>172</v>
      </c>
      <c r="G228" s="99">
        <v>42097</v>
      </c>
      <c r="H228" s="98" t="s">
        <v>159</v>
      </c>
      <c r="I228" s="99">
        <v>37928</v>
      </c>
      <c r="J228" s="98" t="s">
        <v>209</v>
      </c>
      <c r="K228" s="99">
        <v>39748</v>
      </c>
      <c r="L228" s="98" t="s">
        <v>189</v>
      </c>
      <c r="M228" s="99">
        <v>39408</v>
      </c>
      <c r="N228" s="98" t="s">
        <v>192</v>
      </c>
    </row>
    <row r="229" spans="1:14" x14ac:dyDescent="0.25">
      <c r="A229" s="100">
        <v>39441</v>
      </c>
      <c r="C229" s="99">
        <v>39914</v>
      </c>
      <c r="D229" s="98" t="s">
        <v>176</v>
      </c>
      <c r="E229" s="99">
        <v>50399</v>
      </c>
      <c r="F229" s="98" t="s">
        <v>177</v>
      </c>
      <c r="G229" s="99">
        <v>42100</v>
      </c>
      <c r="H229" s="98" t="s">
        <v>162</v>
      </c>
      <c r="I229" s="99">
        <v>37948</v>
      </c>
      <c r="J229" s="98" t="s">
        <v>211</v>
      </c>
      <c r="K229" s="99">
        <v>39807</v>
      </c>
      <c r="L229" s="98" t="s">
        <v>177</v>
      </c>
      <c r="M229" s="99">
        <v>39441</v>
      </c>
      <c r="N229" s="98" t="s">
        <v>177</v>
      </c>
    </row>
    <row r="230" spans="1:14" x14ac:dyDescent="0.25">
      <c r="A230" s="100">
        <v>39448</v>
      </c>
      <c r="C230" s="99">
        <v>39916</v>
      </c>
      <c r="D230" s="98" t="s">
        <v>162</v>
      </c>
      <c r="E230" s="99">
        <v>50400</v>
      </c>
      <c r="F230" s="98" t="s">
        <v>243</v>
      </c>
      <c r="G230" s="99">
        <v>42128</v>
      </c>
      <c r="H230" s="98" t="s">
        <v>163</v>
      </c>
      <c r="I230" s="99">
        <v>37949</v>
      </c>
      <c r="J230" s="98" t="s">
        <v>212</v>
      </c>
      <c r="K230" s="99">
        <v>39808</v>
      </c>
      <c r="L230" s="98" t="s">
        <v>182</v>
      </c>
      <c r="M230" s="99">
        <v>39448</v>
      </c>
      <c r="N230" s="98" t="s">
        <v>160</v>
      </c>
    </row>
    <row r="231" spans="1:14" x14ac:dyDescent="0.25">
      <c r="A231" s="100">
        <v>39468</v>
      </c>
      <c r="C231" s="99">
        <v>39928</v>
      </c>
      <c r="D231" s="98" t="s">
        <v>185</v>
      </c>
      <c r="E231" s="99">
        <v>50406</v>
      </c>
      <c r="F231" s="98" t="s">
        <v>160</v>
      </c>
      <c r="G231" s="99">
        <v>42149</v>
      </c>
      <c r="H231" s="98" t="s">
        <v>167</v>
      </c>
      <c r="I231" s="99">
        <v>37978</v>
      </c>
      <c r="J231" s="98" t="s">
        <v>173</v>
      </c>
      <c r="K231" s="99">
        <v>39814</v>
      </c>
      <c r="L231" s="98" t="s">
        <v>160</v>
      </c>
      <c r="M231" s="99">
        <v>39468</v>
      </c>
      <c r="N231" s="98" t="s">
        <v>197</v>
      </c>
    </row>
    <row r="232" spans="1:14" x14ac:dyDescent="0.25">
      <c r="A232" s="100">
        <v>39490</v>
      </c>
      <c r="C232" s="99">
        <v>39930</v>
      </c>
      <c r="D232" s="98" t="s">
        <v>230</v>
      </c>
      <c r="E232" s="99">
        <v>50518</v>
      </c>
      <c r="F232" s="98" t="s">
        <v>159</v>
      </c>
      <c r="G232" s="99">
        <v>42247</v>
      </c>
      <c r="H232" s="98" t="s">
        <v>193</v>
      </c>
      <c r="I232" s="99">
        <v>37987</v>
      </c>
      <c r="J232" s="98" t="s">
        <v>161</v>
      </c>
      <c r="K232" s="99">
        <v>39815</v>
      </c>
      <c r="L232" s="98" t="s">
        <v>165</v>
      </c>
      <c r="M232" s="99">
        <v>39490</v>
      </c>
      <c r="N232" s="98" t="s">
        <v>204</v>
      </c>
    </row>
    <row r="233" spans="1:14" x14ac:dyDescent="0.25">
      <c r="A233" s="100">
        <v>39493</v>
      </c>
      <c r="C233" s="99">
        <v>39972</v>
      </c>
      <c r="D233" s="98" t="s">
        <v>228</v>
      </c>
      <c r="E233" s="99">
        <v>50521</v>
      </c>
      <c r="F233" s="98" t="s">
        <v>162</v>
      </c>
      <c r="G233" s="99">
        <v>42363</v>
      </c>
      <c r="H233" s="98" t="s">
        <v>177</v>
      </c>
      <c r="I233" s="99">
        <v>37998</v>
      </c>
      <c r="J233" s="98" t="s">
        <v>164</v>
      </c>
      <c r="K233" s="99">
        <v>39839</v>
      </c>
      <c r="L233" s="98" t="s">
        <v>206</v>
      </c>
      <c r="M233" s="99">
        <v>39493</v>
      </c>
      <c r="N233" s="98" t="s">
        <v>207</v>
      </c>
    </row>
    <row r="234" spans="1:14" x14ac:dyDescent="0.25">
      <c r="A234" s="100">
        <v>39496</v>
      </c>
      <c r="C234" s="99">
        <v>40028</v>
      </c>
      <c r="D234" s="98" t="s">
        <v>202</v>
      </c>
      <c r="E234" s="99">
        <v>50526</v>
      </c>
      <c r="F234" s="98" t="s">
        <v>172</v>
      </c>
      <c r="G234" s="99">
        <v>42364</v>
      </c>
      <c r="H234" s="98" t="s">
        <v>182</v>
      </c>
      <c r="I234" s="99">
        <v>38028</v>
      </c>
      <c r="J234" s="98" t="s">
        <v>168</v>
      </c>
      <c r="K234" s="99">
        <v>39850</v>
      </c>
      <c r="L234" s="98" t="s">
        <v>169</v>
      </c>
      <c r="M234" s="99">
        <v>39496</v>
      </c>
      <c r="N234" s="98" t="s">
        <v>199</v>
      </c>
    </row>
    <row r="235" spans="1:14" x14ac:dyDescent="0.25">
      <c r="A235" s="100">
        <v>39594</v>
      </c>
      <c r="C235" s="99">
        <v>40091</v>
      </c>
      <c r="D235" s="98" t="s">
        <v>189</v>
      </c>
      <c r="E235" s="99">
        <v>50764</v>
      </c>
      <c r="F235" s="98" t="s">
        <v>177</v>
      </c>
      <c r="G235" s="99">
        <v>42366</v>
      </c>
      <c r="H235" s="98" t="s">
        <v>186</v>
      </c>
      <c r="I235" s="99">
        <v>38066</v>
      </c>
      <c r="J235" s="98" t="s">
        <v>178</v>
      </c>
      <c r="K235" s="99">
        <v>39913</v>
      </c>
      <c r="L235" s="98" t="s">
        <v>159</v>
      </c>
      <c r="M235" s="99">
        <v>39594</v>
      </c>
      <c r="N235" s="98" t="s">
        <v>166</v>
      </c>
    </row>
    <row r="236" spans="1:14" x14ac:dyDescent="0.25">
      <c r="A236" s="100">
        <v>39633</v>
      </c>
      <c r="C236" s="99">
        <v>40172</v>
      </c>
      <c r="D236" s="98" t="s">
        <v>177</v>
      </c>
      <c r="E236" s="99">
        <v>50765</v>
      </c>
      <c r="F236" s="98" t="s">
        <v>243</v>
      </c>
      <c r="G236" s="99">
        <v>42370</v>
      </c>
      <c r="H236" s="98" t="s">
        <v>160</v>
      </c>
      <c r="I236" s="99">
        <v>38106</v>
      </c>
      <c r="J236" s="98" t="s">
        <v>190</v>
      </c>
      <c r="K236" s="99">
        <v>39916</v>
      </c>
      <c r="L236" s="98" t="s">
        <v>162</v>
      </c>
      <c r="M236" s="99">
        <v>39633</v>
      </c>
      <c r="N236" s="98" t="s">
        <v>175</v>
      </c>
    </row>
    <row r="237" spans="1:14" x14ac:dyDescent="0.25">
      <c r="A237" s="100">
        <v>39692</v>
      </c>
      <c r="C237" s="99">
        <v>40173</v>
      </c>
      <c r="D237" s="98" t="s">
        <v>182</v>
      </c>
      <c r="E237" s="99">
        <v>50771</v>
      </c>
      <c r="F237" s="98" t="s">
        <v>160</v>
      </c>
      <c r="G237" s="99">
        <v>42454</v>
      </c>
      <c r="H237" s="98" t="s">
        <v>159</v>
      </c>
      <c r="I237" s="99">
        <v>38110</v>
      </c>
      <c r="J237" s="98" t="s">
        <v>187</v>
      </c>
      <c r="K237" s="99">
        <v>39928</v>
      </c>
      <c r="L237" s="98" t="s">
        <v>174</v>
      </c>
      <c r="M237" s="99">
        <v>39692</v>
      </c>
      <c r="N237" s="98" t="s">
        <v>184</v>
      </c>
    </row>
    <row r="238" spans="1:14" x14ac:dyDescent="0.25">
      <c r="A238" s="100">
        <v>39734</v>
      </c>
      <c r="C238" s="99">
        <v>40179</v>
      </c>
      <c r="D238" s="98" t="s">
        <v>160</v>
      </c>
      <c r="E238" s="99">
        <v>50868</v>
      </c>
      <c r="F238" s="98" t="s">
        <v>159</v>
      </c>
      <c r="G238" s="99">
        <v>42457</v>
      </c>
      <c r="H238" s="98" t="s">
        <v>162</v>
      </c>
      <c r="I238" s="99">
        <v>38111</v>
      </c>
      <c r="J238" s="98" t="s">
        <v>218</v>
      </c>
      <c r="K238" s="99">
        <v>39965</v>
      </c>
      <c r="L238" s="98" t="s">
        <v>228</v>
      </c>
      <c r="M238" s="99">
        <v>39734</v>
      </c>
      <c r="N238" s="98" t="s">
        <v>201</v>
      </c>
    </row>
    <row r="239" spans="1:14" x14ac:dyDescent="0.25">
      <c r="A239" s="100">
        <v>39756</v>
      </c>
      <c r="C239" s="99">
        <v>40204</v>
      </c>
      <c r="D239" s="98" t="s">
        <v>171</v>
      </c>
      <c r="E239" s="99">
        <v>50871</v>
      </c>
      <c r="F239" s="98" t="s">
        <v>162</v>
      </c>
      <c r="G239" s="99">
        <v>42492</v>
      </c>
      <c r="H239" s="98" t="s">
        <v>163</v>
      </c>
      <c r="I239" s="99">
        <v>38112</v>
      </c>
      <c r="J239" s="98" t="s">
        <v>194</v>
      </c>
      <c r="K239" s="99">
        <v>40112</v>
      </c>
      <c r="L239" s="98" t="s">
        <v>189</v>
      </c>
      <c r="M239" s="99">
        <v>39756</v>
      </c>
      <c r="N239" s="98" t="s">
        <v>210</v>
      </c>
    </row>
    <row r="240" spans="1:14" x14ac:dyDescent="0.25">
      <c r="A240" s="100">
        <v>39763</v>
      </c>
      <c r="C240" s="99">
        <v>40270</v>
      </c>
      <c r="D240" s="98" t="s">
        <v>159</v>
      </c>
      <c r="E240" s="99">
        <v>50891</v>
      </c>
      <c r="F240" s="98" t="s">
        <v>172</v>
      </c>
      <c r="G240" s="99">
        <v>42520</v>
      </c>
      <c r="H240" s="98" t="s">
        <v>167</v>
      </c>
      <c r="I240" s="99">
        <v>38187</v>
      </c>
      <c r="J240" s="98" t="s">
        <v>196</v>
      </c>
      <c r="K240" s="99">
        <v>40172</v>
      </c>
      <c r="L240" s="98" t="s">
        <v>177</v>
      </c>
      <c r="M240" s="99">
        <v>39763</v>
      </c>
      <c r="N240" s="98" t="s">
        <v>188</v>
      </c>
    </row>
    <row r="241" spans="1:14" x14ac:dyDescent="0.25">
      <c r="A241" s="100">
        <v>39779</v>
      </c>
      <c r="C241" s="99">
        <v>40271</v>
      </c>
      <c r="D241" s="98" t="s">
        <v>176</v>
      </c>
      <c r="E241" s="99">
        <v>51129</v>
      </c>
      <c r="F241" s="98" t="s">
        <v>177</v>
      </c>
      <c r="G241" s="99">
        <v>42611</v>
      </c>
      <c r="H241" s="98" t="s">
        <v>193</v>
      </c>
      <c r="I241" s="99">
        <v>38250</v>
      </c>
      <c r="J241" s="98" t="s">
        <v>200</v>
      </c>
      <c r="K241" s="99">
        <v>40173</v>
      </c>
      <c r="L241" s="98" t="s">
        <v>182</v>
      </c>
      <c r="M241" s="99">
        <v>39779</v>
      </c>
      <c r="N241" s="98" t="s">
        <v>192</v>
      </c>
    </row>
    <row r="242" spans="1:14" x14ac:dyDescent="0.25">
      <c r="A242" s="100">
        <v>39807</v>
      </c>
      <c r="C242" s="99">
        <v>40273</v>
      </c>
      <c r="D242" s="98" t="s">
        <v>162</v>
      </c>
      <c r="E242" s="99">
        <v>51130</v>
      </c>
      <c r="F242" s="98" t="s">
        <v>243</v>
      </c>
      <c r="G242" s="99">
        <v>42729</v>
      </c>
      <c r="H242" s="98" t="s">
        <v>177</v>
      </c>
      <c r="I242" s="99">
        <v>38253</v>
      </c>
      <c r="J242" s="98" t="s">
        <v>203</v>
      </c>
      <c r="K242" s="99">
        <v>40175</v>
      </c>
      <c r="L242" s="98" t="s">
        <v>186</v>
      </c>
      <c r="M242" s="99">
        <v>39807</v>
      </c>
      <c r="N242" s="98" t="s">
        <v>177</v>
      </c>
    </row>
    <row r="243" spans="1:14" x14ac:dyDescent="0.25">
      <c r="A243" s="100">
        <v>39814</v>
      </c>
      <c r="C243" s="99">
        <v>40293</v>
      </c>
      <c r="D243" s="98" t="s">
        <v>185</v>
      </c>
      <c r="E243" s="99">
        <v>51136</v>
      </c>
      <c r="F243" s="98" t="s">
        <v>160</v>
      </c>
      <c r="G243" s="99">
        <v>42730</v>
      </c>
      <c r="H243" s="98" t="s">
        <v>182</v>
      </c>
      <c r="I243" s="99">
        <v>38271</v>
      </c>
      <c r="J243" s="98" t="s">
        <v>234</v>
      </c>
      <c r="K243" s="99">
        <v>40179</v>
      </c>
      <c r="L243" s="98" t="s">
        <v>160</v>
      </c>
      <c r="M243" s="99">
        <v>39814</v>
      </c>
      <c r="N243" s="98" t="s">
        <v>160</v>
      </c>
    </row>
    <row r="244" spans="1:14" x14ac:dyDescent="0.25">
      <c r="A244" s="100">
        <v>39832</v>
      </c>
      <c r="C244" s="99">
        <v>40294</v>
      </c>
      <c r="D244" s="98" t="s">
        <v>230</v>
      </c>
      <c r="E244" s="99">
        <v>51225</v>
      </c>
      <c r="F244" s="98" t="s">
        <v>159</v>
      </c>
      <c r="G244" s="99">
        <v>42731</v>
      </c>
      <c r="H244" s="98" t="s">
        <v>208</v>
      </c>
      <c r="I244" s="99">
        <v>38294</v>
      </c>
      <c r="J244" s="98" t="s">
        <v>209</v>
      </c>
      <c r="K244" s="99">
        <v>40180</v>
      </c>
      <c r="L244" s="98" t="s">
        <v>165</v>
      </c>
      <c r="M244" s="99">
        <v>39832</v>
      </c>
      <c r="N244" s="98" t="s">
        <v>197</v>
      </c>
    </row>
    <row r="245" spans="1:14" x14ac:dyDescent="0.25">
      <c r="A245" s="100">
        <v>39856</v>
      </c>
      <c r="C245" s="99">
        <v>40343</v>
      </c>
      <c r="D245" s="98" t="s">
        <v>228</v>
      </c>
      <c r="E245" s="99">
        <v>51228</v>
      </c>
      <c r="F245" s="98" t="s">
        <v>162</v>
      </c>
      <c r="G245" s="99">
        <v>42736</v>
      </c>
      <c r="H245" s="98" t="s">
        <v>160</v>
      </c>
      <c r="I245" s="99">
        <v>38314</v>
      </c>
      <c r="J245" s="98" t="s">
        <v>211</v>
      </c>
      <c r="K245" s="99">
        <v>40182</v>
      </c>
      <c r="L245" s="98" t="s">
        <v>213</v>
      </c>
      <c r="M245" s="99">
        <v>39856</v>
      </c>
      <c r="N245" s="98" t="s">
        <v>204</v>
      </c>
    </row>
    <row r="246" spans="1:14" x14ac:dyDescent="0.25">
      <c r="A246" s="100">
        <v>39859</v>
      </c>
      <c r="C246" s="99">
        <v>40392</v>
      </c>
      <c r="D246" s="98" t="s">
        <v>202</v>
      </c>
      <c r="E246" s="99">
        <v>51257</v>
      </c>
      <c r="F246" s="98" t="s">
        <v>172</v>
      </c>
      <c r="G246" s="99">
        <v>42737</v>
      </c>
      <c r="H246" s="98" t="s">
        <v>214</v>
      </c>
      <c r="I246" s="99">
        <v>38344</v>
      </c>
      <c r="J246" s="98" t="s">
        <v>173</v>
      </c>
      <c r="K246" s="99">
        <v>40210</v>
      </c>
      <c r="L246" s="98" t="s">
        <v>206</v>
      </c>
      <c r="M246" s="99">
        <v>39859</v>
      </c>
      <c r="N246" s="98" t="s">
        <v>207</v>
      </c>
    </row>
    <row r="247" spans="1:14" x14ac:dyDescent="0.25">
      <c r="A247" s="100">
        <v>39860</v>
      </c>
      <c r="C247" s="99">
        <v>40455</v>
      </c>
      <c r="D247" s="98" t="s">
        <v>189</v>
      </c>
      <c r="E247" s="99">
        <v>51495</v>
      </c>
      <c r="F247" s="98" t="s">
        <v>177</v>
      </c>
      <c r="G247" s="99">
        <v>42839</v>
      </c>
      <c r="H247" s="98" t="s">
        <v>159</v>
      </c>
      <c r="I247" s="99">
        <v>38353</v>
      </c>
      <c r="J247" s="98" t="s">
        <v>161</v>
      </c>
      <c r="K247" s="99">
        <v>40215</v>
      </c>
      <c r="L247" s="98" t="s">
        <v>169</v>
      </c>
      <c r="M247" s="99">
        <v>39860</v>
      </c>
      <c r="N247" s="98" t="s">
        <v>199</v>
      </c>
    </row>
    <row r="248" spans="1:14" x14ac:dyDescent="0.25">
      <c r="A248" s="100">
        <v>39958</v>
      </c>
      <c r="C248" s="99">
        <v>40537</v>
      </c>
      <c r="D248" s="98" t="s">
        <v>177</v>
      </c>
      <c r="E248" s="99">
        <v>51496</v>
      </c>
      <c r="F248" s="98" t="s">
        <v>243</v>
      </c>
      <c r="G248" s="99">
        <v>42842</v>
      </c>
      <c r="H248" s="98" t="s">
        <v>162</v>
      </c>
      <c r="I248" s="99">
        <v>38362</v>
      </c>
      <c r="J248" s="98" t="s">
        <v>164</v>
      </c>
      <c r="K248" s="99">
        <v>40270</v>
      </c>
      <c r="L248" s="98" t="s">
        <v>159</v>
      </c>
      <c r="M248" s="99">
        <v>39958</v>
      </c>
      <c r="N248" s="98" t="s">
        <v>166</v>
      </c>
    </row>
    <row r="249" spans="1:14" x14ac:dyDescent="0.25">
      <c r="A249" s="100">
        <v>39997</v>
      </c>
      <c r="C249" s="99">
        <v>40538</v>
      </c>
      <c r="D249" s="98" t="s">
        <v>182</v>
      </c>
      <c r="E249" s="99">
        <v>51502</v>
      </c>
      <c r="F249" s="98" t="s">
        <v>160</v>
      </c>
      <c r="G249" s="99">
        <v>42856</v>
      </c>
      <c r="H249" s="98" t="s">
        <v>163</v>
      </c>
      <c r="I249" s="99">
        <v>38394</v>
      </c>
      <c r="J249" s="98" t="s">
        <v>168</v>
      </c>
      <c r="K249" s="99">
        <v>40273</v>
      </c>
      <c r="L249" s="98" t="s">
        <v>162</v>
      </c>
      <c r="M249" s="99">
        <v>39997</v>
      </c>
      <c r="N249" s="98" t="s">
        <v>180</v>
      </c>
    </row>
    <row r="250" spans="1:14" x14ac:dyDescent="0.25">
      <c r="A250" s="100">
        <v>39998</v>
      </c>
      <c r="C250" s="99">
        <v>40539</v>
      </c>
      <c r="D250" s="98" t="s">
        <v>186</v>
      </c>
      <c r="E250" s="99">
        <v>51610</v>
      </c>
      <c r="F250" s="98" t="s">
        <v>159</v>
      </c>
      <c r="G250" s="99">
        <v>42884</v>
      </c>
      <c r="H250" s="98" t="s">
        <v>167</v>
      </c>
      <c r="I250" s="99">
        <v>38431</v>
      </c>
      <c r="J250" s="98" t="s">
        <v>178</v>
      </c>
      <c r="K250" s="99">
        <v>40293</v>
      </c>
      <c r="L250" s="98" t="s">
        <v>174</v>
      </c>
      <c r="M250" s="99">
        <v>39998</v>
      </c>
      <c r="N250" s="98" t="s">
        <v>175</v>
      </c>
    </row>
    <row r="251" spans="1:14" x14ac:dyDescent="0.25">
      <c r="A251" s="100">
        <v>40063</v>
      </c>
      <c r="C251" s="99">
        <v>40544</v>
      </c>
      <c r="D251" s="98" t="s">
        <v>160</v>
      </c>
      <c r="E251" s="99">
        <v>51613</v>
      </c>
      <c r="F251" s="98" t="s">
        <v>162</v>
      </c>
      <c r="G251" s="99">
        <v>42975</v>
      </c>
      <c r="H251" s="98" t="s">
        <v>193</v>
      </c>
      <c r="I251" s="99">
        <v>38432</v>
      </c>
      <c r="J251" s="98" t="s">
        <v>212</v>
      </c>
      <c r="K251" s="99">
        <v>40336</v>
      </c>
      <c r="L251" s="98" t="s">
        <v>228</v>
      </c>
      <c r="M251" s="99">
        <v>40063</v>
      </c>
      <c r="N251" s="98" t="s">
        <v>184</v>
      </c>
    </row>
    <row r="252" spans="1:14" x14ac:dyDescent="0.25">
      <c r="A252" s="100">
        <v>40098</v>
      </c>
      <c r="C252" s="99">
        <v>40546</v>
      </c>
      <c r="D252" s="98" t="s">
        <v>214</v>
      </c>
      <c r="E252" s="99">
        <v>51622</v>
      </c>
      <c r="F252" s="98" t="s">
        <v>172</v>
      </c>
      <c r="G252" s="99">
        <v>43094</v>
      </c>
      <c r="H252" s="98" t="s">
        <v>177</v>
      </c>
      <c r="I252" s="99">
        <v>38471</v>
      </c>
      <c r="J252" s="98" t="s">
        <v>190</v>
      </c>
      <c r="K252" s="99">
        <v>40476</v>
      </c>
      <c r="L252" s="98" t="s">
        <v>189</v>
      </c>
      <c r="M252" s="99">
        <v>40098</v>
      </c>
      <c r="N252" s="98" t="s">
        <v>201</v>
      </c>
    </row>
    <row r="253" spans="1:14" x14ac:dyDescent="0.25">
      <c r="A253" s="100">
        <v>40128</v>
      </c>
      <c r="C253" s="99">
        <v>40569</v>
      </c>
      <c r="D253" s="98" t="s">
        <v>171</v>
      </c>
      <c r="E253" s="99">
        <v>51860</v>
      </c>
      <c r="F253" s="98" t="s">
        <v>177</v>
      </c>
      <c r="G253" s="99">
        <v>43095</v>
      </c>
      <c r="H253" s="98" t="s">
        <v>182</v>
      </c>
      <c r="I253" s="99">
        <v>38475</v>
      </c>
      <c r="J253" s="98" t="s">
        <v>187</v>
      </c>
      <c r="K253" s="99">
        <v>40537</v>
      </c>
      <c r="L253" s="98" t="s">
        <v>177</v>
      </c>
      <c r="M253" s="99">
        <v>40128</v>
      </c>
      <c r="N253" s="98" t="s">
        <v>188</v>
      </c>
    </row>
    <row r="254" spans="1:14" x14ac:dyDescent="0.25">
      <c r="A254" s="100">
        <v>40143</v>
      </c>
      <c r="C254" s="99">
        <v>40655</v>
      </c>
      <c r="D254" s="98" t="s">
        <v>159</v>
      </c>
      <c r="E254" s="99">
        <v>51861</v>
      </c>
      <c r="F254" s="98" t="s">
        <v>243</v>
      </c>
      <c r="G254" s="99">
        <v>43101</v>
      </c>
      <c r="H254" s="98" t="s">
        <v>160</v>
      </c>
      <c r="I254" s="99">
        <v>38476</v>
      </c>
      <c r="J254" s="98" t="s">
        <v>218</v>
      </c>
      <c r="K254" s="99">
        <v>40538</v>
      </c>
      <c r="L254" s="98" t="s">
        <v>182</v>
      </c>
      <c r="M254" s="99">
        <v>40143</v>
      </c>
      <c r="N254" s="98" t="s">
        <v>192</v>
      </c>
    </row>
    <row r="255" spans="1:14" x14ac:dyDescent="0.25">
      <c r="A255" s="100">
        <v>40172</v>
      </c>
      <c r="C255" s="99">
        <v>40656</v>
      </c>
      <c r="D255" s="98" t="s">
        <v>176</v>
      </c>
      <c r="E255" s="99">
        <v>51867</v>
      </c>
      <c r="F255" s="98" t="s">
        <v>160</v>
      </c>
      <c r="G255" s="99">
        <v>43189</v>
      </c>
      <c r="H255" s="98" t="s">
        <v>159</v>
      </c>
      <c r="I255" s="99">
        <v>38477</v>
      </c>
      <c r="J255" s="98" t="s">
        <v>194</v>
      </c>
      <c r="K255" s="99">
        <v>40539</v>
      </c>
      <c r="L255" s="98" t="s">
        <v>208</v>
      </c>
      <c r="M255" s="99">
        <v>40172</v>
      </c>
      <c r="N255" s="98" t="s">
        <v>177</v>
      </c>
    </row>
    <row r="256" spans="1:14" x14ac:dyDescent="0.25">
      <c r="A256" s="100">
        <v>40179</v>
      </c>
      <c r="C256" s="99">
        <v>40657</v>
      </c>
      <c r="D256" s="98" t="s">
        <v>181</v>
      </c>
      <c r="E256" s="99">
        <v>51960</v>
      </c>
      <c r="F256" s="98" t="s">
        <v>159</v>
      </c>
      <c r="G256" s="99">
        <v>43192</v>
      </c>
      <c r="H256" s="98" t="s">
        <v>162</v>
      </c>
      <c r="I256" s="99">
        <v>38551</v>
      </c>
      <c r="J256" s="98" t="s">
        <v>196</v>
      </c>
      <c r="K256" s="99">
        <v>40540</v>
      </c>
      <c r="L256" s="98" t="s">
        <v>186</v>
      </c>
      <c r="M256" s="99">
        <v>40179</v>
      </c>
      <c r="N256" s="98" t="s">
        <v>160</v>
      </c>
    </row>
    <row r="257" spans="1:14" x14ac:dyDescent="0.25">
      <c r="A257" s="100">
        <v>40196</v>
      </c>
      <c r="C257" s="99">
        <v>40658</v>
      </c>
      <c r="D257" s="98" t="s">
        <v>224</v>
      </c>
      <c r="E257" s="99">
        <v>51963</v>
      </c>
      <c r="F257" s="98" t="s">
        <v>162</v>
      </c>
      <c r="G257" s="99">
        <v>43227</v>
      </c>
      <c r="H257" s="98" t="s">
        <v>163</v>
      </c>
      <c r="I257" s="99">
        <v>38614</v>
      </c>
      <c r="J257" s="98" t="s">
        <v>200</v>
      </c>
      <c r="K257" s="99">
        <v>40544</v>
      </c>
      <c r="L257" s="98" t="s">
        <v>160</v>
      </c>
      <c r="M257" s="99">
        <v>40196</v>
      </c>
      <c r="N257" s="98" t="s">
        <v>197</v>
      </c>
    </row>
    <row r="258" spans="1:14" x14ac:dyDescent="0.25">
      <c r="A258" s="100">
        <v>40221</v>
      </c>
      <c r="C258" s="99">
        <v>40707</v>
      </c>
      <c r="D258" s="98" t="s">
        <v>228</v>
      </c>
      <c r="E258" s="99">
        <v>51987</v>
      </c>
      <c r="F258" s="98" t="s">
        <v>172</v>
      </c>
      <c r="G258" s="99">
        <v>43248</v>
      </c>
      <c r="H258" s="98" t="s">
        <v>167</v>
      </c>
      <c r="I258" s="99">
        <v>38618</v>
      </c>
      <c r="J258" s="98" t="s">
        <v>203</v>
      </c>
      <c r="K258" s="99">
        <v>40545</v>
      </c>
      <c r="L258" s="98" t="s">
        <v>165</v>
      </c>
      <c r="M258" s="99">
        <v>40221</v>
      </c>
      <c r="N258" s="98" t="s">
        <v>204</v>
      </c>
    </row>
    <row r="259" spans="1:14" x14ac:dyDescent="0.25">
      <c r="A259" s="100">
        <v>40224</v>
      </c>
      <c r="C259" s="99">
        <v>40756</v>
      </c>
      <c r="D259" s="98" t="s">
        <v>202</v>
      </c>
      <c r="E259" s="99">
        <v>52225</v>
      </c>
      <c r="F259" s="98" t="s">
        <v>177</v>
      </c>
      <c r="G259" s="99">
        <v>43339</v>
      </c>
      <c r="H259" s="98" t="s">
        <v>193</v>
      </c>
      <c r="I259" s="99">
        <v>38635</v>
      </c>
      <c r="J259" s="98" t="s">
        <v>234</v>
      </c>
      <c r="K259" s="99">
        <v>40546</v>
      </c>
      <c r="L259" s="98" t="s">
        <v>214</v>
      </c>
      <c r="M259" s="99">
        <v>40224</v>
      </c>
      <c r="N259" s="98" t="s">
        <v>217</v>
      </c>
    </row>
    <row r="260" spans="1:14" x14ac:dyDescent="0.25">
      <c r="A260" s="100">
        <v>40329</v>
      </c>
      <c r="C260" s="99">
        <v>40819</v>
      </c>
      <c r="D260" s="98" t="s">
        <v>189</v>
      </c>
      <c r="E260" s="99">
        <v>52226</v>
      </c>
      <c r="F260" s="98" t="s">
        <v>243</v>
      </c>
      <c r="G260" s="99">
        <v>43459</v>
      </c>
      <c r="H260" s="98" t="s">
        <v>177</v>
      </c>
      <c r="I260" s="99">
        <v>38659</v>
      </c>
      <c r="J260" s="98" t="s">
        <v>209</v>
      </c>
      <c r="K260" s="99">
        <v>40547</v>
      </c>
      <c r="L260" s="98" t="s">
        <v>213</v>
      </c>
      <c r="M260" s="99">
        <v>40329</v>
      </c>
      <c r="N260" s="98" t="s">
        <v>166</v>
      </c>
    </row>
    <row r="261" spans="1:14" x14ac:dyDescent="0.25">
      <c r="A261" s="100">
        <v>40363</v>
      </c>
      <c r="C261" s="99">
        <v>40902</v>
      </c>
      <c r="D261" s="98" t="s">
        <v>177</v>
      </c>
      <c r="E261" s="99">
        <v>52232</v>
      </c>
      <c r="F261" s="98" t="s">
        <v>160</v>
      </c>
      <c r="G261" s="99">
        <v>43460</v>
      </c>
      <c r="H261" s="98" t="s">
        <v>182</v>
      </c>
      <c r="I261" s="99">
        <v>38679</v>
      </c>
      <c r="J261" s="98" t="s">
        <v>211</v>
      </c>
      <c r="K261" s="99">
        <v>40574</v>
      </c>
      <c r="L261" s="98" t="s">
        <v>206</v>
      </c>
      <c r="M261" s="99">
        <v>40363</v>
      </c>
      <c r="N261" s="98" t="s">
        <v>175</v>
      </c>
    </row>
    <row r="262" spans="1:14" x14ac:dyDescent="0.25">
      <c r="A262" s="100">
        <v>40364</v>
      </c>
      <c r="C262" s="99">
        <v>40903</v>
      </c>
      <c r="D262" s="98" t="s">
        <v>182</v>
      </c>
      <c r="E262" s="99">
        <v>52317</v>
      </c>
      <c r="F262" s="98" t="s">
        <v>159</v>
      </c>
      <c r="G262" s="99">
        <v>43466</v>
      </c>
      <c r="H262" s="98" t="s">
        <v>160</v>
      </c>
      <c r="I262" s="99">
        <v>38709</v>
      </c>
      <c r="J262" s="98" t="s">
        <v>173</v>
      </c>
      <c r="K262" s="99">
        <v>40580</v>
      </c>
      <c r="L262" s="98" t="s">
        <v>169</v>
      </c>
      <c r="M262" s="99">
        <v>40364</v>
      </c>
      <c r="N262" s="98" t="s">
        <v>180</v>
      </c>
    </row>
    <row r="263" spans="1:14" x14ac:dyDescent="0.25">
      <c r="A263" s="100">
        <v>40427</v>
      </c>
      <c r="C263" s="99">
        <v>40904</v>
      </c>
      <c r="D263" s="98" t="s">
        <v>208</v>
      </c>
      <c r="E263" s="99">
        <v>52320</v>
      </c>
      <c r="F263" s="98" t="s">
        <v>162</v>
      </c>
      <c r="G263" s="99">
        <v>43574</v>
      </c>
      <c r="H263" s="98" t="s">
        <v>159</v>
      </c>
      <c r="I263" s="99">
        <v>38718</v>
      </c>
      <c r="J263" s="98" t="s">
        <v>161</v>
      </c>
      <c r="K263" s="99">
        <v>40655</v>
      </c>
      <c r="L263" s="98" t="s">
        <v>159</v>
      </c>
      <c r="M263" s="99">
        <v>40427</v>
      </c>
      <c r="N263" s="98" t="s">
        <v>184</v>
      </c>
    </row>
    <row r="264" spans="1:14" x14ac:dyDescent="0.25">
      <c r="A264" s="100">
        <v>40462</v>
      </c>
      <c r="C264" s="99">
        <v>40909</v>
      </c>
      <c r="D264" s="98" t="s">
        <v>160</v>
      </c>
      <c r="E264" s="99">
        <v>52352</v>
      </c>
      <c r="F264" s="98" t="s">
        <v>172</v>
      </c>
      <c r="G264" s="99">
        <v>43577</v>
      </c>
      <c r="H264" s="98" t="s">
        <v>162</v>
      </c>
      <c r="I264" s="99">
        <v>38719</v>
      </c>
      <c r="J264" s="98" t="s">
        <v>212</v>
      </c>
      <c r="K264" s="99">
        <v>40658</v>
      </c>
      <c r="L264" s="98" t="s">
        <v>225</v>
      </c>
      <c r="M264" s="99">
        <v>40462</v>
      </c>
      <c r="N264" s="98" t="s">
        <v>201</v>
      </c>
    </row>
    <row r="265" spans="1:14" x14ac:dyDescent="0.25">
      <c r="A265" s="100">
        <v>40484</v>
      </c>
      <c r="C265" s="99">
        <v>40910</v>
      </c>
      <c r="D265" s="98" t="s">
        <v>214</v>
      </c>
      <c r="E265" s="99">
        <v>52590</v>
      </c>
      <c r="F265" s="98" t="s">
        <v>177</v>
      </c>
      <c r="G265" s="99">
        <v>43591</v>
      </c>
      <c r="H265" s="98" t="s">
        <v>163</v>
      </c>
      <c r="I265" s="99">
        <v>38726</v>
      </c>
      <c r="J265" s="98" t="s">
        <v>164</v>
      </c>
      <c r="K265" s="99">
        <v>40700</v>
      </c>
      <c r="L265" s="98" t="s">
        <v>228</v>
      </c>
      <c r="M265" s="99">
        <v>40484</v>
      </c>
      <c r="N265" s="98" t="s">
        <v>210</v>
      </c>
    </row>
    <row r="266" spans="1:14" x14ac:dyDescent="0.25">
      <c r="A266" s="100">
        <v>40493</v>
      </c>
      <c r="C266" s="99">
        <v>40934</v>
      </c>
      <c r="D266" s="98" t="s">
        <v>171</v>
      </c>
      <c r="E266" s="99">
        <v>52591</v>
      </c>
      <c r="F266" s="98" t="s">
        <v>243</v>
      </c>
      <c r="G266" s="99">
        <v>43612</v>
      </c>
      <c r="H266" s="98" t="s">
        <v>167</v>
      </c>
      <c r="I266" s="99">
        <v>38759</v>
      </c>
      <c r="J266" s="98" t="s">
        <v>168</v>
      </c>
      <c r="K266" s="99">
        <v>40840</v>
      </c>
      <c r="L266" s="98" t="s">
        <v>189</v>
      </c>
      <c r="M266" s="99">
        <v>40493</v>
      </c>
      <c r="N266" s="98" t="s">
        <v>188</v>
      </c>
    </row>
    <row r="267" spans="1:14" x14ac:dyDescent="0.25">
      <c r="A267" s="100">
        <v>40507</v>
      </c>
      <c r="C267" s="99">
        <v>41005</v>
      </c>
      <c r="D267" s="98" t="s">
        <v>159</v>
      </c>
      <c r="E267" s="99">
        <v>52597</v>
      </c>
      <c r="F267" s="98" t="s">
        <v>160</v>
      </c>
      <c r="G267" s="99">
        <v>43703</v>
      </c>
      <c r="H267" s="98" t="s">
        <v>193</v>
      </c>
      <c r="I267" s="99">
        <v>38797</v>
      </c>
      <c r="J267" s="98" t="s">
        <v>178</v>
      </c>
      <c r="K267" s="99">
        <v>40902</v>
      </c>
      <c r="L267" s="98" t="s">
        <v>177</v>
      </c>
      <c r="M267" s="99">
        <v>40507</v>
      </c>
      <c r="N267" s="98" t="s">
        <v>192</v>
      </c>
    </row>
    <row r="268" spans="1:14" x14ac:dyDescent="0.25">
      <c r="A268" s="100">
        <v>40536</v>
      </c>
      <c r="C268" s="99">
        <v>41006</v>
      </c>
      <c r="D268" s="98" t="s">
        <v>176</v>
      </c>
      <c r="E268" s="99">
        <v>52702</v>
      </c>
      <c r="F268" s="98" t="s">
        <v>159</v>
      </c>
      <c r="G268" s="99">
        <v>43824</v>
      </c>
      <c r="H268" s="98" t="s">
        <v>177</v>
      </c>
      <c r="I268" s="99">
        <v>38836</v>
      </c>
      <c r="J268" s="98" t="s">
        <v>190</v>
      </c>
      <c r="K268" s="99">
        <v>40903</v>
      </c>
      <c r="L268" s="98" t="s">
        <v>182</v>
      </c>
      <c r="M268" s="99">
        <v>40536</v>
      </c>
      <c r="N268" s="98" t="s">
        <v>208</v>
      </c>
    </row>
    <row r="269" spans="1:14" x14ac:dyDescent="0.25">
      <c r="A269" s="100">
        <v>40537</v>
      </c>
      <c r="C269" s="99">
        <v>41007</v>
      </c>
      <c r="D269" s="98" t="s">
        <v>181</v>
      </c>
      <c r="E269" s="99">
        <v>52705</v>
      </c>
      <c r="F269" s="98" t="s">
        <v>162</v>
      </c>
      <c r="G269" s="99">
        <v>43825</v>
      </c>
      <c r="H269" s="98" t="s">
        <v>182</v>
      </c>
      <c r="I269" s="99">
        <v>38840</v>
      </c>
      <c r="J269" s="98" t="s">
        <v>187</v>
      </c>
      <c r="K269" s="99">
        <v>40904</v>
      </c>
      <c r="L269" s="98" t="s">
        <v>208</v>
      </c>
      <c r="M269" s="99">
        <v>40537</v>
      </c>
      <c r="N269" s="98" t="s">
        <v>177</v>
      </c>
    </row>
    <row r="270" spans="1:14" x14ac:dyDescent="0.25">
      <c r="A270" s="100">
        <v>40543</v>
      </c>
      <c r="C270" s="99">
        <v>41008</v>
      </c>
      <c r="D270" s="98" t="s">
        <v>162</v>
      </c>
      <c r="E270" s="99">
        <v>52718</v>
      </c>
      <c r="F270" s="98" t="s">
        <v>172</v>
      </c>
      <c r="G270" s="99">
        <v>43831</v>
      </c>
      <c r="H270" s="98" t="s">
        <v>160</v>
      </c>
      <c r="I270" s="99">
        <v>38841</v>
      </c>
      <c r="J270" s="98" t="s">
        <v>218</v>
      </c>
      <c r="K270" s="99">
        <v>40909</v>
      </c>
      <c r="L270" s="98" t="s">
        <v>160</v>
      </c>
      <c r="M270" s="99">
        <v>40543</v>
      </c>
      <c r="N270" s="98" t="s">
        <v>214</v>
      </c>
    </row>
    <row r="271" spans="1:14" x14ac:dyDescent="0.25">
      <c r="A271" s="100">
        <v>40544</v>
      </c>
      <c r="C271" s="99">
        <v>41024</v>
      </c>
      <c r="D271" s="98" t="s">
        <v>185</v>
      </c>
      <c r="E271" s="99">
        <v>52956</v>
      </c>
      <c r="F271" s="98" t="s">
        <v>177</v>
      </c>
      <c r="G271" s="99">
        <v>43931</v>
      </c>
      <c r="H271" s="98" t="s">
        <v>159</v>
      </c>
      <c r="I271" s="99">
        <v>38842</v>
      </c>
      <c r="J271" s="98" t="s">
        <v>194</v>
      </c>
      <c r="K271" s="99">
        <v>40910</v>
      </c>
      <c r="L271" s="98" t="s">
        <v>165</v>
      </c>
      <c r="M271" s="99">
        <v>40544</v>
      </c>
      <c r="N271" s="98" t="s">
        <v>160</v>
      </c>
    </row>
    <row r="272" spans="1:14" x14ac:dyDescent="0.25">
      <c r="A272" s="100">
        <v>40560</v>
      </c>
      <c r="C272" s="99">
        <v>41071</v>
      </c>
      <c r="D272" s="98" t="s">
        <v>228</v>
      </c>
      <c r="E272" s="99">
        <v>52957</v>
      </c>
      <c r="F272" s="98" t="s">
        <v>243</v>
      </c>
      <c r="G272" s="99">
        <v>43934</v>
      </c>
      <c r="H272" s="98" t="s">
        <v>162</v>
      </c>
      <c r="I272" s="99">
        <v>38915</v>
      </c>
      <c r="J272" s="98" t="s">
        <v>196</v>
      </c>
      <c r="K272" s="99">
        <v>40911</v>
      </c>
      <c r="L272" s="98" t="s">
        <v>214</v>
      </c>
      <c r="M272" s="99">
        <v>40560</v>
      </c>
      <c r="N272" s="98" t="s">
        <v>197</v>
      </c>
    </row>
    <row r="273" spans="1:14" x14ac:dyDescent="0.25">
      <c r="A273" s="100">
        <v>40585</v>
      </c>
      <c r="C273" s="99">
        <v>41127</v>
      </c>
      <c r="D273" s="98" t="s">
        <v>202</v>
      </c>
      <c r="E273" s="99">
        <v>52963</v>
      </c>
      <c r="F273" s="98" t="s">
        <v>160</v>
      </c>
      <c r="G273" s="99">
        <v>43959</v>
      </c>
      <c r="H273" s="98" t="s">
        <v>163</v>
      </c>
      <c r="I273" s="99">
        <v>38978</v>
      </c>
      <c r="J273" s="98" t="s">
        <v>200</v>
      </c>
      <c r="K273" s="99">
        <v>40938</v>
      </c>
      <c r="L273" s="98" t="s">
        <v>206</v>
      </c>
      <c r="M273" s="99">
        <v>40585</v>
      </c>
      <c r="N273" s="98" t="s">
        <v>219</v>
      </c>
    </row>
    <row r="274" spans="1:14" x14ac:dyDescent="0.25">
      <c r="A274" s="100">
        <v>40586</v>
      </c>
      <c r="C274" s="99">
        <v>41183</v>
      </c>
      <c r="D274" s="98" t="s">
        <v>189</v>
      </c>
      <c r="E274" s="99">
        <v>53059</v>
      </c>
      <c r="F274" s="98" t="s">
        <v>159</v>
      </c>
      <c r="G274" s="99">
        <v>43976</v>
      </c>
      <c r="H274" s="98" t="s">
        <v>167</v>
      </c>
      <c r="I274" s="99">
        <v>38983</v>
      </c>
      <c r="J274" s="98" t="s">
        <v>203</v>
      </c>
      <c r="K274" s="99">
        <v>40945</v>
      </c>
      <c r="L274" s="98" t="s">
        <v>169</v>
      </c>
      <c r="M274" s="99">
        <v>40586</v>
      </c>
      <c r="N274" s="98" t="s">
        <v>204</v>
      </c>
    </row>
    <row r="275" spans="1:14" x14ac:dyDescent="0.25">
      <c r="A275" s="100">
        <v>40589</v>
      </c>
      <c r="C275" s="99">
        <v>41268</v>
      </c>
      <c r="D275" s="98" t="s">
        <v>177</v>
      </c>
      <c r="E275" s="99">
        <v>53062</v>
      </c>
      <c r="F275" s="98" t="s">
        <v>162</v>
      </c>
      <c r="G275" s="99">
        <v>44074</v>
      </c>
      <c r="H275" s="98" t="s">
        <v>193</v>
      </c>
      <c r="I275" s="99">
        <v>38999</v>
      </c>
      <c r="J275" s="98" t="s">
        <v>234</v>
      </c>
      <c r="K275" s="99">
        <v>41005</v>
      </c>
      <c r="L275" s="98" t="s">
        <v>159</v>
      </c>
      <c r="M275" s="99">
        <v>40589</v>
      </c>
      <c r="N275" s="98" t="s">
        <v>207</v>
      </c>
    </row>
    <row r="276" spans="1:14" x14ac:dyDescent="0.25">
      <c r="A276" s="100">
        <v>40595</v>
      </c>
      <c r="C276" s="99">
        <v>41269</v>
      </c>
      <c r="D276" s="98" t="s">
        <v>182</v>
      </c>
      <c r="E276" s="99">
        <v>53083</v>
      </c>
      <c r="F276" s="98" t="s">
        <v>172</v>
      </c>
      <c r="G276" s="99">
        <v>44190</v>
      </c>
      <c r="H276" s="98" t="s">
        <v>177</v>
      </c>
      <c r="I276" s="99">
        <v>39024</v>
      </c>
      <c r="J276" s="98" t="s">
        <v>209</v>
      </c>
      <c r="K276" s="99">
        <v>41008</v>
      </c>
      <c r="L276" s="98" t="s">
        <v>162</v>
      </c>
      <c r="M276" s="99">
        <v>40595</v>
      </c>
      <c r="N276" s="98" t="s">
        <v>199</v>
      </c>
    </row>
    <row r="277" spans="1:14" x14ac:dyDescent="0.25">
      <c r="A277" s="100">
        <v>40693</v>
      </c>
      <c r="C277" s="99">
        <v>41275</v>
      </c>
      <c r="D277" s="98" t="s">
        <v>160</v>
      </c>
      <c r="E277" s="99">
        <v>53321</v>
      </c>
      <c r="F277" s="98" t="s">
        <v>177</v>
      </c>
      <c r="G277" s="99">
        <v>44191</v>
      </c>
      <c r="H277" s="98" t="s">
        <v>182</v>
      </c>
      <c r="I277" s="99">
        <v>39044</v>
      </c>
      <c r="J277" s="98" t="s">
        <v>211</v>
      </c>
      <c r="K277" s="99">
        <v>41024</v>
      </c>
      <c r="L277" s="98" t="s">
        <v>174</v>
      </c>
      <c r="M277" s="99">
        <v>40693</v>
      </c>
      <c r="N277" s="98" t="s">
        <v>166</v>
      </c>
    </row>
    <row r="278" spans="1:14" x14ac:dyDescent="0.25">
      <c r="A278" s="100">
        <v>40728</v>
      </c>
      <c r="C278" s="99">
        <v>41302</v>
      </c>
      <c r="D278" s="98" t="s">
        <v>171</v>
      </c>
      <c r="E278" s="99">
        <v>53322</v>
      </c>
      <c r="F278" s="98" t="s">
        <v>243</v>
      </c>
      <c r="G278" s="99">
        <v>44193</v>
      </c>
      <c r="H278" s="98" t="s">
        <v>186</v>
      </c>
      <c r="I278" s="99">
        <v>39074</v>
      </c>
      <c r="J278" s="98" t="s">
        <v>173</v>
      </c>
      <c r="K278" s="99">
        <v>41064</v>
      </c>
      <c r="L278" s="98" t="s">
        <v>228</v>
      </c>
      <c r="M278" s="99">
        <v>40728</v>
      </c>
      <c r="N278" s="98" t="s">
        <v>175</v>
      </c>
    </row>
    <row r="279" spans="1:14" x14ac:dyDescent="0.25">
      <c r="A279" s="100">
        <v>40791</v>
      </c>
      <c r="C279" s="99">
        <v>41362</v>
      </c>
      <c r="D279" s="98" t="s">
        <v>159</v>
      </c>
      <c r="E279" s="99">
        <v>53328</v>
      </c>
      <c r="F279" s="98" t="s">
        <v>160</v>
      </c>
      <c r="G279" s="99">
        <v>44197</v>
      </c>
      <c r="H279" s="98" t="s">
        <v>160</v>
      </c>
      <c r="I279" s="99">
        <v>39083</v>
      </c>
      <c r="J279" s="98" t="s">
        <v>161</v>
      </c>
      <c r="K279" s="99">
        <v>41204</v>
      </c>
      <c r="L279" s="98" t="s">
        <v>189</v>
      </c>
      <c r="M279" s="99">
        <v>40791</v>
      </c>
      <c r="N279" s="98" t="s">
        <v>184</v>
      </c>
    </row>
    <row r="280" spans="1:14" x14ac:dyDescent="0.25">
      <c r="A280" s="100">
        <v>40826</v>
      </c>
      <c r="C280" s="99">
        <v>41363</v>
      </c>
      <c r="D280" s="98" t="s">
        <v>176</v>
      </c>
      <c r="E280" s="99">
        <v>53409</v>
      </c>
      <c r="F280" s="98" t="s">
        <v>159</v>
      </c>
      <c r="G280" s="99">
        <v>44288</v>
      </c>
      <c r="H280" s="98" t="s">
        <v>159</v>
      </c>
      <c r="I280" s="99">
        <v>39090</v>
      </c>
      <c r="J280" s="98" t="s">
        <v>164</v>
      </c>
      <c r="K280" s="99">
        <v>41268</v>
      </c>
      <c r="L280" s="98" t="s">
        <v>177</v>
      </c>
      <c r="M280" s="99">
        <v>40826</v>
      </c>
      <c r="N280" s="98" t="s">
        <v>201</v>
      </c>
    </row>
    <row r="281" spans="1:14" x14ac:dyDescent="0.25">
      <c r="A281" s="100">
        <v>40858</v>
      </c>
      <c r="C281" s="99">
        <v>41364</v>
      </c>
      <c r="D281" s="98" t="s">
        <v>181</v>
      </c>
      <c r="E281" s="99">
        <v>53412</v>
      </c>
      <c r="F281" s="98" t="s">
        <v>162</v>
      </c>
      <c r="G281" s="99">
        <v>44291</v>
      </c>
      <c r="H281" s="98" t="s">
        <v>162</v>
      </c>
      <c r="I281" s="99">
        <v>39124</v>
      </c>
      <c r="J281" s="98" t="s">
        <v>168</v>
      </c>
      <c r="K281" s="99">
        <v>41269</v>
      </c>
      <c r="L281" s="98" t="s">
        <v>182</v>
      </c>
      <c r="M281" s="99">
        <v>40858</v>
      </c>
      <c r="N281" s="98" t="s">
        <v>188</v>
      </c>
    </row>
    <row r="282" spans="1:14" x14ac:dyDescent="0.25">
      <c r="A282" s="100">
        <v>40871</v>
      </c>
      <c r="C282" s="99">
        <v>41365</v>
      </c>
      <c r="D282" s="98" t="s">
        <v>162</v>
      </c>
      <c r="E282" s="99">
        <v>53448</v>
      </c>
      <c r="F282" s="98" t="s">
        <v>172</v>
      </c>
      <c r="G282" s="99">
        <v>44319</v>
      </c>
      <c r="H282" s="98" t="s">
        <v>163</v>
      </c>
      <c r="I282" s="99">
        <v>39125</v>
      </c>
      <c r="J282" s="98" t="s">
        <v>212</v>
      </c>
      <c r="K282" s="99">
        <v>41275</v>
      </c>
      <c r="L282" s="98" t="s">
        <v>160</v>
      </c>
      <c r="M282" s="99">
        <v>40871</v>
      </c>
      <c r="N282" s="98" t="s">
        <v>192</v>
      </c>
    </row>
    <row r="283" spans="1:14" x14ac:dyDescent="0.25">
      <c r="A283" s="100">
        <v>40902</v>
      </c>
      <c r="C283" s="99">
        <v>41389</v>
      </c>
      <c r="D283" s="98" t="s">
        <v>185</v>
      </c>
      <c r="E283" s="99">
        <v>53686</v>
      </c>
      <c r="F283" s="98" t="s">
        <v>177</v>
      </c>
      <c r="G283" s="99">
        <v>44347</v>
      </c>
      <c r="H283" s="98" t="s">
        <v>167</v>
      </c>
      <c r="I283" s="99">
        <v>39162</v>
      </c>
      <c r="J283" s="98" t="s">
        <v>178</v>
      </c>
      <c r="K283" s="99">
        <v>41276</v>
      </c>
      <c r="L283" s="98" t="s">
        <v>165</v>
      </c>
      <c r="M283" s="99">
        <v>40902</v>
      </c>
      <c r="N283" s="98" t="s">
        <v>177</v>
      </c>
    </row>
    <row r="284" spans="1:14" x14ac:dyDescent="0.25">
      <c r="A284" s="100">
        <v>40903</v>
      </c>
      <c r="C284" s="99">
        <v>41435</v>
      </c>
      <c r="D284" s="98" t="s">
        <v>228</v>
      </c>
      <c r="E284" s="99">
        <v>53687</v>
      </c>
      <c r="F284" s="98" t="s">
        <v>243</v>
      </c>
      <c r="G284" s="99">
        <v>44438</v>
      </c>
      <c r="H284" s="98" t="s">
        <v>193</v>
      </c>
      <c r="I284" s="99">
        <v>39201</v>
      </c>
      <c r="J284" s="98" t="s">
        <v>183</v>
      </c>
      <c r="K284" s="99">
        <v>41302</v>
      </c>
      <c r="L284" s="98" t="s">
        <v>206</v>
      </c>
      <c r="M284" s="99">
        <v>40903</v>
      </c>
      <c r="N284" s="98" t="s">
        <v>208</v>
      </c>
    </row>
    <row r="285" spans="1:14" x14ac:dyDescent="0.25">
      <c r="A285" s="100">
        <v>40909</v>
      </c>
      <c r="C285" s="99">
        <v>41491</v>
      </c>
      <c r="D285" s="98" t="s">
        <v>202</v>
      </c>
      <c r="E285" s="99">
        <v>53693</v>
      </c>
      <c r="F285" s="98" t="s">
        <v>160</v>
      </c>
      <c r="G285" s="99">
        <v>44555</v>
      </c>
      <c r="H285" s="98" t="s">
        <v>177</v>
      </c>
      <c r="I285" s="99">
        <v>39202</v>
      </c>
      <c r="J285" s="98" t="s">
        <v>212</v>
      </c>
      <c r="K285" s="99">
        <v>41311</v>
      </c>
      <c r="L285" s="98" t="s">
        <v>169</v>
      </c>
      <c r="M285" s="99">
        <v>40909</v>
      </c>
      <c r="N285" s="98" t="s">
        <v>160</v>
      </c>
    </row>
    <row r="286" spans="1:14" x14ac:dyDescent="0.25">
      <c r="A286" s="100">
        <v>40910</v>
      </c>
      <c r="C286" s="99">
        <v>41554</v>
      </c>
      <c r="D286" s="98" t="s">
        <v>189</v>
      </c>
      <c r="E286" s="99">
        <v>53794</v>
      </c>
      <c r="F286" s="98" t="s">
        <v>159</v>
      </c>
      <c r="G286" s="99">
        <v>44556</v>
      </c>
      <c r="H286" s="98" t="s">
        <v>182</v>
      </c>
      <c r="I286" s="99">
        <v>39205</v>
      </c>
      <c r="J286" s="98" t="s">
        <v>187</v>
      </c>
      <c r="K286" s="99">
        <v>41362</v>
      </c>
      <c r="L286" s="98" t="s">
        <v>159</v>
      </c>
      <c r="M286" s="99">
        <v>40910</v>
      </c>
      <c r="N286" s="98" t="s">
        <v>214</v>
      </c>
    </row>
    <row r="287" spans="1:14" x14ac:dyDescent="0.25">
      <c r="A287" s="100">
        <v>40924</v>
      </c>
      <c r="C287" s="99">
        <v>41633</v>
      </c>
      <c r="D287" s="98" t="s">
        <v>177</v>
      </c>
      <c r="E287" s="99">
        <v>53797</v>
      </c>
      <c r="F287" s="98" t="s">
        <v>162</v>
      </c>
      <c r="G287" s="99">
        <v>44557</v>
      </c>
      <c r="H287" s="98" t="s">
        <v>208</v>
      </c>
      <c r="I287" s="99">
        <v>39206</v>
      </c>
      <c r="J287" s="98" t="s">
        <v>190</v>
      </c>
      <c r="K287" s="99">
        <v>41365</v>
      </c>
      <c r="L287" s="98" t="s">
        <v>162</v>
      </c>
      <c r="M287" s="99">
        <v>40924</v>
      </c>
      <c r="N287" s="98" t="s">
        <v>197</v>
      </c>
    </row>
    <row r="288" spans="1:14" x14ac:dyDescent="0.25">
      <c r="A288" s="100">
        <v>40951</v>
      </c>
      <c r="C288" s="99">
        <v>41634</v>
      </c>
      <c r="D288" s="98" t="s">
        <v>182</v>
      </c>
      <c r="E288" s="99">
        <v>53813</v>
      </c>
      <c r="F288" s="98" t="s">
        <v>172</v>
      </c>
      <c r="G288" s="99">
        <v>44558</v>
      </c>
      <c r="H288" s="98" t="s">
        <v>186</v>
      </c>
      <c r="I288" s="99">
        <v>39207</v>
      </c>
      <c r="J288" s="98" t="s">
        <v>194</v>
      </c>
      <c r="K288" s="99">
        <v>41389</v>
      </c>
      <c r="L288" s="98" t="s">
        <v>174</v>
      </c>
      <c r="M288" s="99">
        <v>40951</v>
      </c>
      <c r="N288" s="98" t="s">
        <v>204</v>
      </c>
    </row>
    <row r="289" spans="1:14" x14ac:dyDescent="0.25">
      <c r="A289" s="100">
        <v>40952</v>
      </c>
      <c r="C289" s="99">
        <v>41640</v>
      </c>
      <c r="D289" s="98" t="s">
        <v>160</v>
      </c>
      <c r="E289" s="99">
        <v>54051</v>
      </c>
      <c r="F289" s="98" t="s">
        <v>177</v>
      </c>
      <c r="G289" s="99">
        <v>44562</v>
      </c>
      <c r="H289" s="98" t="s">
        <v>160</v>
      </c>
      <c r="I289" s="99">
        <v>39279</v>
      </c>
      <c r="J289" s="98" t="s">
        <v>196</v>
      </c>
      <c r="K289" s="99">
        <v>41428</v>
      </c>
      <c r="L289" s="98" t="s">
        <v>228</v>
      </c>
      <c r="M289" s="99">
        <v>40952</v>
      </c>
      <c r="N289" s="98" t="s">
        <v>219</v>
      </c>
    </row>
    <row r="290" spans="1:14" x14ac:dyDescent="0.25">
      <c r="A290" s="100">
        <v>40954</v>
      </c>
      <c r="C290" s="99">
        <v>41666</v>
      </c>
      <c r="D290" s="98" t="s">
        <v>171</v>
      </c>
      <c r="E290" s="99">
        <v>54052</v>
      </c>
      <c r="F290" s="98" t="s">
        <v>243</v>
      </c>
      <c r="G290" s="99">
        <v>44564</v>
      </c>
      <c r="H290" s="98" t="s">
        <v>214</v>
      </c>
      <c r="I290" s="99">
        <v>39342</v>
      </c>
      <c r="J290" s="98" t="s">
        <v>200</v>
      </c>
      <c r="K290" s="99">
        <v>41575</v>
      </c>
      <c r="L290" s="98" t="s">
        <v>189</v>
      </c>
      <c r="M290" s="99">
        <v>40954</v>
      </c>
      <c r="N290" s="98" t="s">
        <v>207</v>
      </c>
    </row>
    <row r="291" spans="1:14" x14ac:dyDescent="0.25">
      <c r="A291" s="100">
        <v>40959</v>
      </c>
      <c r="C291" s="99">
        <v>41747</v>
      </c>
      <c r="D291" s="98" t="s">
        <v>159</v>
      </c>
      <c r="E291" s="99">
        <v>54058</v>
      </c>
      <c r="F291" s="98" t="s">
        <v>160</v>
      </c>
      <c r="G291" s="99">
        <v>44666</v>
      </c>
      <c r="H291" s="98" t="s">
        <v>159</v>
      </c>
      <c r="I291" s="99">
        <v>39348</v>
      </c>
      <c r="J291" s="98" t="s">
        <v>203</v>
      </c>
      <c r="K291" s="99">
        <v>41633</v>
      </c>
      <c r="L291" s="98" t="s">
        <v>177</v>
      </c>
      <c r="M291" s="99">
        <v>40959</v>
      </c>
      <c r="N291" s="98" t="s">
        <v>199</v>
      </c>
    </row>
    <row r="292" spans="1:14" x14ac:dyDescent="0.25">
      <c r="A292" s="100">
        <v>41057</v>
      </c>
      <c r="C292" s="99">
        <v>41748</v>
      </c>
      <c r="D292" s="98" t="s">
        <v>176</v>
      </c>
      <c r="E292" s="99">
        <v>54151</v>
      </c>
      <c r="F292" s="98" t="s">
        <v>159</v>
      </c>
      <c r="G292" s="99">
        <v>44669</v>
      </c>
      <c r="H292" s="98" t="s">
        <v>162</v>
      </c>
      <c r="I292" s="99">
        <v>39349</v>
      </c>
      <c r="J292" s="98" t="s">
        <v>212</v>
      </c>
      <c r="K292" s="99">
        <v>41634</v>
      </c>
      <c r="L292" s="98" t="s">
        <v>182</v>
      </c>
      <c r="M292" s="99">
        <v>41057</v>
      </c>
      <c r="N292" s="98" t="s">
        <v>166</v>
      </c>
    </row>
    <row r="293" spans="1:14" x14ac:dyDescent="0.25">
      <c r="A293" s="100">
        <v>41094</v>
      </c>
      <c r="C293" s="99">
        <v>41749</v>
      </c>
      <c r="D293" s="98" t="s">
        <v>181</v>
      </c>
      <c r="E293" s="99">
        <v>54154</v>
      </c>
      <c r="F293" s="98" t="s">
        <v>162</v>
      </c>
      <c r="G293" s="99">
        <v>44683</v>
      </c>
      <c r="H293" s="98" t="s">
        <v>163</v>
      </c>
      <c r="I293" s="99">
        <v>39363</v>
      </c>
      <c r="J293" s="98" t="s">
        <v>234</v>
      </c>
      <c r="K293" s="99">
        <v>41640</v>
      </c>
      <c r="L293" s="98" t="s">
        <v>160</v>
      </c>
      <c r="M293" s="99">
        <v>41094</v>
      </c>
      <c r="N293" s="98" t="s">
        <v>175</v>
      </c>
    </row>
    <row r="294" spans="1:14" x14ac:dyDescent="0.25">
      <c r="A294" s="100">
        <v>41155</v>
      </c>
      <c r="C294" s="99">
        <v>41750</v>
      </c>
      <c r="D294" s="98" t="s">
        <v>162</v>
      </c>
      <c r="E294" s="99">
        <v>54179</v>
      </c>
      <c r="F294" s="98" t="s">
        <v>172</v>
      </c>
      <c r="G294" s="99">
        <v>44714</v>
      </c>
      <c r="H294" s="98" t="s">
        <v>167</v>
      </c>
      <c r="I294" s="99">
        <v>39389</v>
      </c>
      <c r="J294" s="98" t="s">
        <v>209</v>
      </c>
      <c r="K294" s="99">
        <v>41641</v>
      </c>
      <c r="L294" s="98" t="s">
        <v>165</v>
      </c>
      <c r="M294" s="99">
        <v>41155</v>
      </c>
      <c r="N294" s="98" t="s">
        <v>184</v>
      </c>
    </row>
    <row r="295" spans="1:14" x14ac:dyDescent="0.25">
      <c r="A295" s="100">
        <v>41190</v>
      </c>
      <c r="C295" s="99">
        <v>41754</v>
      </c>
      <c r="D295" s="98" t="s">
        <v>185</v>
      </c>
      <c r="E295" s="99">
        <v>54417</v>
      </c>
      <c r="F295" s="98" t="s">
        <v>177</v>
      </c>
      <c r="G295" s="99">
        <v>44715</v>
      </c>
      <c r="H295" s="98" t="s">
        <v>231</v>
      </c>
      <c r="I295" s="99">
        <v>39409</v>
      </c>
      <c r="J295" s="98" t="s">
        <v>211</v>
      </c>
      <c r="K295" s="99">
        <v>41666</v>
      </c>
      <c r="L295" s="98" t="s">
        <v>206</v>
      </c>
      <c r="M295" s="99">
        <v>41190</v>
      </c>
      <c r="N295" s="98" t="s">
        <v>201</v>
      </c>
    </row>
    <row r="296" spans="1:14" x14ac:dyDescent="0.25">
      <c r="A296" s="100">
        <v>41219</v>
      </c>
      <c r="C296" s="99">
        <v>41799</v>
      </c>
      <c r="D296" s="98" t="s">
        <v>228</v>
      </c>
      <c r="E296" s="99">
        <v>54418</v>
      </c>
      <c r="F296" s="98" t="s">
        <v>243</v>
      </c>
      <c r="G296" s="99">
        <v>44802</v>
      </c>
      <c r="H296" s="98" t="s">
        <v>193</v>
      </c>
      <c r="I296" s="99">
        <v>39439</v>
      </c>
      <c r="J296" s="98" t="s">
        <v>173</v>
      </c>
      <c r="K296" s="99">
        <v>41676</v>
      </c>
      <c r="L296" s="98" t="s">
        <v>169</v>
      </c>
      <c r="M296" s="99">
        <v>41219</v>
      </c>
      <c r="N296" s="98" t="s">
        <v>210</v>
      </c>
    </row>
    <row r="297" spans="1:14" x14ac:dyDescent="0.25">
      <c r="A297" s="100">
        <v>41224</v>
      </c>
      <c r="C297" s="99">
        <v>41855</v>
      </c>
      <c r="D297" s="98" t="s">
        <v>202</v>
      </c>
      <c r="E297" s="99">
        <v>54424</v>
      </c>
      <c r="F297" s="98" t="s">
        <v>160</v>
      </c>
      <c r="G297" s="99">
        <v>44823</v>
      </c>
      <c r="H297" s="98" t="s">
        <v>232</v>
      </c>
      <c r="I297" s="99">
        <v>39440</v>
      </c>
      <c r="J297" s="98" t="s">
        <v>212</v>
      </c>
      <c r="K297" s="99">
        <v>41747</v>
      </c>
      <c r="L297" s="98" t="s">
        <v>159</v>
      </c>
      <c r="M297" s="99">
        <v>41224</v>
      </c>
      <c r="N297" s="98" t="s">
        <v>188</v>
      </c>
    </row>
    <row r="298" spans="1:14" x14ac:dyDescent="0.25">
      <c r="A298" s="100">
        <v>41225</v>
      </c>
      <c r="C298" s="99">
        <v>41918</v>
      </c>
      <c r="D298" s="98" t="s">
        <v>189</v>
      </c>
      <c r="E298" s="99">
        <v>54529</v>
      </c>
      <c r="F298" s="98" t="s">
        <v>159</v>
      </c>
      <c r="G298" s="99">
        <v>44920</v>
      </c>
      <c r="H298" s="98" t="s">
        <v>177</v>
      </c>
      <c r="I298" s="99">
        <v>39448</v>
      </c>
      <c r="J298" s="98" t="s">
        <v>161</v>
      </c>
      <c r="K298" s="99">
        <v>41750</v>
      </c>
      <c r="L298" s="98" t="s">
        <v>162</v>
      </c>
      <c r="M298" s="99">
        <v>41225</v>
      </c>
      <c r="N298" s="98" t="s">
        <v>220</v>
      </c>
    </row>
    <row r="299" spans="1:14" x14ac:dyDescent="0.25">
      <c r="A299" s="100">
        <v>41235</v>
      </c>
      <c r="C299" s="99">
        <v>41998</v>
      </c>
      <c r="D299" s="98" t="s">
        <v>177</v>
      </c>
      <c r="E299" s="99">
        <v>54532</v>
      </c>
      <c r="F299" s="98" t="s">
        <v>162</v>
      </c>
      <c r="G299" s="99">
        <v>44921</v>
      </c>
      <c r="H299" s="98" t="s">
        <v>182</v>
      </c>
      <c r="I299" s="99">
        <v>39461</v>
      </c>
      <c r="J299" s="98" t="s">
        <v>164</v>
      </c>
      <c r="K299" s="99">
        <v>41754</v>
      </c>
      <c r="L299" s="98" t="s">
        <v>174</v>
      </c>
      <c r="M299" s="99">
        <v>41235</v>
      </c>
      <c r="N299" s="98" t="s">
        <v>192</v>
      </c>
    </row>
    <row r="300" spans="1:14" x14ac:dyDescent="0.25">
      <c r="A300" s="100">
        <v>41268</v>
      </c>
      <c r="C300" s="99">
        <v>41999</v>
      </c>
      <c r="D300" s="98" t="s">
        <v>182</v>
      </c>
      <c r="E300" s="99">
        <v>54544</v>
      </c>
      <c r="F300" s="98" t="s">
        <v>172</v>
      </c>
      <c r="G300" s="99">
        <v>44922</v>
      </c>
      <c r="H300" s="98" t="s">
        <v>208</v>
      </c>
      <c r="I300" s="99">
        <v>39489</v>
      </c>
      <c r="J300" s="98" t="s">
        <v>168</v>
      </c>
      <c r="K300" s="99">
        <v>41792</v>
      </c>
      <c r="L300" s="98" t="s">
        <v>228</v>
      </c>
      <c r="M300" s="99">
        <v>41268</v>
      </c>
      <c r="N300" s="98" t="s">
        <v>177</v>
      </c>
    </row>
    <row r="301" spans="1:14" x14ac:dyDescent="0.25">
      <c r="A301" s="100">
        <v>41275</v>
      </c>
      <c r="C301" s="99">
        <v>42005</v>
      </c>
      <c r="D301" s="98" t="s">
        <v>160</v>
      </c>
      <c r="E301" s="99">
        <v>54782</v>
      </c>
      <c r="F301" s="98" t="s">
        <v>177</v>
      </c>
      <c r="G301" s="99">
        <v>44927</v>
      </c>
      <c r="H301" s="98" t="s">
        <v>160</v>
      </c>
      <c r="I301" s="99">
        <v>39527</v>
      </c>
      <c r="J301" s="98" t="s">
        <v>178</v>
      </c>
      <c r="K301" s="99">
        <v>41939</v>
      </c>
      <c r="L301" s="98" t="s">
        <v>189</v>
      </c>
      <c r="M301" s="99">
        <v>41275</v>
      </c>
      <c r="N301" s="98" t="s">
        <v>160</v>
      </c>
    </row>
    <row r="302" spans="1:14" x14ac:dyDescent="0.25">
      <c r="A302" s="100">
        <v>41295</v>
      </c>
      <c r="C302" s="99">
        <v>42030</v>
      </c>
      <c r="D302" s="98" t="s">
        <v>171</v>
      </c>
      <c r="E302" s="99">
        <v>54783</v>
      </c>
      <c r="F302" s="98" t="s">
        <v>243</v>
      </c>
      <c r="G302" s="99">
        <v>44928</v>
      </c>
      <c r="H302" s="98" t="s">
        <v>214</v>
      </c>
      <c r="I302" s="99">
        <v>39567</v>
      </c>
      <c r="J302" s="98" t="s">
        <v>183</v>
      </c>
      <c r="K302" s="99">
        <v>41998</v>
      </c>
      <c r="L302" s="98" t="s">
        <v>177</v>
      </c>
      <c r="M302" s="99">
        <v>41295</v>
      </c>
      <c r="N302" s="98" t="s">
        <v>197</v>
      </c>
    </row>
    <row r="303" spans="1:14" x14ac:dyDescent="0.25">
      <c r="A303" s="100">
        <v>41317</v>
      </c>
      <c r="C303" s="99">
        <v>42097</v>
      </c>
      <c r="D303" s="98" t="s">
        <v>159</v>
      </c>
      <c r="E303" s="99">
        <v>54789</v>
      </c>
      <c r="F303" s="98" t="s">
        <v>160</v>
      </c>
      <c r="G303" s="99">
        <v>45023</v>
      </c>
      <c r="H303" s="98" t="s">
        <v>159</v>
      </c>
      <c r="I303" s="99">
        <v>39571</v>
      </c>
      <c r="J303" s="98" t="s">
        <v>187</v>
      </c>
      <c r="K303" s="99">
        <v>41999</v>
      </c>
      <c r="L303" s="98" t="s">
        <v>182</v>
      </c>
      <c r="M303" s="99">
        <v>41317</v>
      </c>
      <c r="N303" s="98" t="s">
        <v>204</v>
      </c>
    </row>
    <row r="304" spans="1:14" x14ac:dyDescent="0.25">
      <c r="A304" s="100">
        <v>41320</v>
      </c>
      <c r="C304" s="99">
        <v>42098</v>
      </c>
      <c r="D304" s="98" t="s">
        <v>176</v>
      </c>
      <c r="E304" s="99">
        <v>54886</v>
      </c>
      <c r="F304" s="98" t="s">
        <v>159</v>
      </c>
      <c r="G304" s="99">
        <v>45026</v>
      </c>
      <c r="H304" s="98" t="s">
        <v>162</v>
      </c>
      <c r="I304" s="99">
        <v>39572</v>
      </c>
      <c r="J304" s="98" t="s">
        <v>190</v>
      </c>
      <c r="K304" s="99">
        <v>42005</v>
      </c>
      <c r="L304" s="98" t="s">
        <v>160</v>
      </c>
      <c r="M304" s="99">
        <v>41320</v>
      </c>
      <c r="N304" s="98" t="s">
        <v>207</v>
      </c>
    </row>
    <row r="305" spans="1:14" x14ac:dyDescent="0.25">
      <c r="A305" s="100">
        <v>41323</v>
      </c>
      <c r="C305" s="99">
        <v>42099</v>
      </c>
      <c r="D305" s="98" t="s">
        <v>181</v>
      </c>
      <c r="E305" s="99">
        <v>54889</v>
      </c>
      <c r="F305" s="98" t="s">
        <v>162</v>
      </c>
      <c r="G305" s="99">
        <v>45047</v>
      </c>
      <c r="H305" s="98" t="s">
        <v>163</v>
      </c>
      <c r="I305" s="99">
        <v>39573</v>
      </c>
      <c r="J305" s="98" t="s">
        <v>194</v>
      </c>
      <c r="K305" s="99">
        <v>42006</v>
      </c>
      <c r="L305" s="98" t="s">
        <v>165</v>
      </c>
      <c r="M305" s="99">
        <v>41323</v>
      </c>
      <c r="N305" s="98" t="s">
        <v>199</v>
      </c>
    </row>
    <row r="306" spans="1:14" x14ac:dyDescent="0.25">
      <c r="A306" s="100">
        <v>41421</v>
      </c>
      <c r="C306" s="99">
        <v>42100</v>
      </c>
      <c r="D306" s="98" t="s">
        <v>162</v>
      </c>
      <c r="E306" s="99">
        <v>54909</v>
      </c>
      <c r="F306" s="98" t="s">
        <v>172</v>
      </c>
      <c r="G306" s="99">
        <v>45054</v>
      </c>
      <c r="H306" s="98" t="s">
        <v>233</v>
      </c>
      <c r="I306" s="99">
        <v>39574</v>
      </c>
      <c r="J306" s="98" t="s">
        <v>212</v>
      </c>
      <c r="K306" s="99">
        <v>42030</v>
      </c>
      <c r="L306" s="98" t="s">
        <v>206</v>
      </c>
      <c r="M306" s="99">
        <v>41421</v>
      </c>
      <c r="N306" s="98" t="s">
        <v>166</v>
      </c>
    </row>
    <row r="307" spans="1:14" x14ac:dyDescent="0.25">
      <c r="A307" s="100">
        <v>41459</v>
      </c>
      <c r="C307" s="99">
        <v>42119</v>
      </c>
      <c r="D307" s="98" t="s">
        <v>185</v>
      </c>
      <c r="E307" s="99">
        <v>55147</v>
      </c>
      <c r="F307" s="98" t="s">
        <v>177</v>
      </c>
      <c r="G307" s="99">
        <v>45075</v>
      </c>
      <c r="H307" s="98" t="s">
        <v>167</v>
      </c>
      <c r="I307" s="99">
        <v>39650</v>
      </c>
      <c r="J307" s="98" t="s">
        <v>196</v>
      </c>
      <c r="K307" s="99">
        <v>42041</v>
      </c>
      <c r="L307" s="98" t="s">
        <v>169</v>
      </c>
      <c r="M307" s="99">
        <v>41459</v>
      </c>
      <c r="N307" s="98" t="s">
        <v>175</v>
      </c>
    </row>
    <row r="308" spans="1:14" x14ac:dyDescent="0.25">
      <c r="A308" s="100">
        <v>41519</v>
      </c>
      <c r="C308" s="99">
        <v>42163</v>
      </c>
      <c r="D308" s="98" t="s">
        <v>228</v>
      </c>
      <c r="E308" s="99">
        <v>55148</v>
      </c>
      <c r="F308" s="98" t="s">
        <v>243</v>
      </c>
      <c r="G308" s="99">
        <v>45166</v>
      </c>
      <c r="H308" s="98" t="s">
        <v>193</v>
      </c>
      <c r="I308" s="99">
        <v>39706</v>
      </c>
      <c r="J308" s="98" t="s">
        <v>200</v>
      </c>
      <c r="K308" s="99">
        <v>42097</v>
      </c>
      <c r="L308" s="98" t="s">
        <v>159</v>
      </c>
      <c r="M308" s="99">
        <v>41519</v>
      </c>
      <c r="N308" s="98" t="s">
        <v>184</v>
      </c>
    </row>
    <row r="309" spans="1:14" x14ac:dyDescent="0.25">
      <c r="A309" s="100">
        <v>41561</v>
      </c>
      <c r="C309" s="99">
        <v>42219</v>
      </c>
      <c r="D309" s="98" t="s">
        <v>202</v>
      </c>
      <c r="E309" s="99">
        <v>55154</v>
      </c>
      <c r="F309" s="98" t="s">
        <v>160</v>
      </c>
      <c r="G309" s="99">
        <v>45285</v>
      </c>
      <c r="H309" s="98" t="s">
        <v>177</v>
      </c>
      <c r="I309" s="99">
        <v>39714</v>
      </c>
      <c r="J309" s="98" t="s">
        <v>203</v>
      </c>
      <c r="K309" s="99">
        <v>42100</v>
      </c>
      <c r="L309" s="98" t="s">
        <v>162</v>
      </c>
      <c r="M309" s="99">
        <v>41561</v>
      </c>
      <c r="N309" s="98" t="s">
        <v>201</v>
      </c>
    </row>
    <row r="310" spans="1:14" x14ac:dyDescent="0.25">
      <c r="A310" s="100">
        <v>41589</v>
      </c>
      <c r="C310" s="99">
        <v>42282</v>
      </c>
      <c r="D310" s="98" t="s">
        <v>189</v>
      </c>
      <c r="E310" s="99">
        <v>55243</v>
      </c>
      <c r="F310" s="98" t="s">
        <v>159</v>
      </c>
      <c r="G310" s="99">
        <v>45286</v>
      </c>
      <c r="H310" s="98" t="s">
        <v>182</v>
      </c>
      <c r="I310" s="99">
        <v>39734</v>
      </c>
      <c r="J310" s="98" t="s">
        <v>234</v>
      </c>
      <c r="K310" s="99">
        <v>42119</v>
      </c>
      <c r="L310" s="98" t="s">
        <v>174</v>
      </c>
      <c r="M310" s="99">
        <v>41589</v>
      </c>
      <c r="N310" s="98" t="s">
        <v>188</v>
      </c>
    </row>
    <row r="311" spans="1:14" x14ac:dyDescent="0.25">
      <c r="A311" s="100">
        <v>41606</v>
      </c>
      <c r="C311" s="99">
        <v>42363</v>
      </c>
      <c r="D311" s="98" t="s">
        <v>177</v>
      </c>
      <c r="E311" s="99">
        <v>55246</v>
      </c>
      <c r="F311" s="98" t="s">
        <v>162</v>
      </c>
      <c r="G311" s="99">
        <v>45292</v>
      </c>
      <c r="H311" s="98" t="s">
        <v>160</v>
      </c>
      <c r="I311" s="99">
        <v>39755</v>
      </c>
      <c r="J311" s="98" t="s">
        <v>209</v>
      </c>
      <c r="K311" s="99">
        <v>42121</v>
      </c>
      <c r="L311" s="98" t="s">
        <v>179</v>
      </c>
      <c r="M311" s="99">
        <v>41606</v>
      </c>
      <c r="N311" s="98" t="s">
        <v>192</v>
      </c>
    </row>
    <row r="312" spans="1:14" x14ac:dyDescent="0.25">
      <c r="A312" s="100">
        <v>41633</v>
      </c>
      <c r="C312" s="99">
        <v>42364</v>
      </c>
      <c r="D312" s="98" t="s">
        <v>182</v>
      </c>
      <c r="E312" s="99">
        <v>55274</v>
      </c>
      <c r="F312" s="98" t="s">
        <v>172</v>
      </c>
      <c r="G312" s="99">
        <v>45380</v>
      </c>
      <c r="H312" s="98" t="s">
        <v>159</v>
      </c>
      <c r="I312" s="99">
        <v>39775</v>
      </c>
      <c r="J312" s="98" t="s">
        <v>211</v>
      </c>
      <c r="K312" s="99">
        <v>42156</v>
      </c>
      <c r="L312" s="98" t="s">
        <v>228</v>
      </c>
      <c r="M312" s="99">
        <v>41633</v>
      </c>
      <c r="N312" s="98" t="s">
        <v>177</v>
      </c>
    </row>
    <row r="313" spans="1:14" x14ac:dyDescent="0.25">
      <c r="A313" s="100">
        <v>41640</v>
      </c>
      <c r="C313" s="99">
        <v>42366</v>
      </c>
      <c r="D313" s="98" t="s">
        <v>186</v>
      </c>
      <c r="E313" s="99">
        <v>55512</v>
      </c>
      <c r="F313" s="98" t="s">
        <v>177</v>
      </c>
      <c r="G313" s="99">
        <v>45383</v>
      </c>
      <c r="H313" s="98" t="s">
        <v>162</v>
      </c>
      <c r="I313" s="99">
        <v>39776</v>
      </c>
      <c r="J313" s="98" t="s">
        <v>212</v>
      </c>
      <c r="K313" s="99">
        <v>42303</v>
      </c>
      <c r="L313" s="98" t="s">
        <v>189</v>
      </c>
      <c r="M313" s="99">
        <v>41640</v>
      </c>
      <c r="N313" s="98" t="s">
        <v>160</v>
      </c>
    </row>
    <row r="314" spans="1:14" x14ac:dyDescent="0.25">
      <c r="A314" s="100">
        <v>41659</v>
      </c>
      <c r="C314" s="99">
        <v>42370</v>
      </c>
      <c r="D314" s="98" t="s">
        <v>160</v>
      </c>
      <c r="E314" s="99">
        <v>55513</v>
      </c>
      <c r="F314" s="98" t="s">
        <v>243</v>
      </c>
      <c r="G314" s="99">
        <v>45418</v>
      </c>
      <c r="H314" s="98" t="s">
        <v>163</v>
      </c>
      <c r="I314" s="99">
        <v>39805</v>
      </c>
      <c r="J314" s="98" t="s">
        <v>173</v>
      </c>
      <c r="K314" s="99">
        <v>42363</v>
      </c>
      <c r="L314" s="98" t="s">
        <v>177</v>
      </c>
      <c r="M314" s="99">
        <v>41659</v>
      </c>
      <c r="N314" s="98" t="s">
        <v>197</v>
      </c>
    </row>
    <row r="315" spans="1:14" x14ac:dyDescent="0.25">
      <c r="A315" s="100">
        <v>41682</v>
      </c>
      <c r="C315" s="99">
        <v>42395</v>
      </c>
      <c r="D315" s="98" t="s">
        <v>171</v>
      </c>
      <c r="E315" s="99">
        <v>55519</v>
      </c>
      <c r="F315" s="98" t="s">
        <v>160</v>
      </c>
      <c r="G315" s="99">
        <v>45439</v>
      </c>
      <c r="H315" s="98" t="s">
        <v>167</v>
      </c>
      <c r="I315" s="99">
        <v>39814</v>
      </c>
      <c r="J315" s="98" t="s">
        <v>161</v>
      </c>
      <c r="K315" s="99">
        <v>42364</v>
      </c>
      <c r="L315" s="98" t="s">
        <v>182</v>
      </c>
      <c r="M315" s="99">
        <v>41682</v>
      </c>
      <c r="N315" s="98" t="s">
        <v>204</v>
      </c>
    </row>
    <row r="316" spans="1:14" x14ac:dyDescent="0.25">
      <c r="A316" s="100">
        <v>41685</v>
      </c>
      <c r="C316" s="99">
        <v>42454</v>
      </c>
      <c r="D316" s="98" t="s">
        <v>159</v>
      </c>
      <c r="E316" s="99">
        <v>55628</v>
      </c>
      <c r="F316" s="98" t="s">
        <v>159</v>
      </c>
      <c r="G316" s="99">
        <v>45530</v>
      </c>
      <c r="H316" s="98" t="s">
        <v>193</v>
      </c>
      <c r="I316" s="99">
        <v>39825</v>
      </c>
      <c r="J316" s="98" t="s">
        <v>164</v>
      </c>
      <c r="K316" s="99">
        <v>42366</v>
      </c>
      <c r="L316" s="98" t="s">
        <v>186</v>
      </c>
      <c r="M316" s="99">
        <v>41685</v>
      </c>
      <c r="N316" s="98" t="s">
        <v>207</v>
      </c>
    </row>
    <row r="317" spans="1:14" x14ac:dyDescent="0.25">
      <c r="A317" s="100">
        <v>41687</v>
      </c>
      <c r="C317" s="99">
        <v>42455</v>
      </c>
      <c r="D317" s="98" t="s">
        <v>176</v>
      </c>
      <c r="E317" s="99">
        <v>55631</v>
      </c>
      <c r="F317" s="98" t="s">
        <v>162</v>
      </c>
      <c r="G317" s="99">
        <v>45651</v>
      </c>
      <c r="H317" s="98" t="s">
        <v>177</v>
      </c>
      <c r="I317" s="99">
        <v>39855</v>
      </c>
      <c r="J317" s="98" t="s">
        <v>168</v>
      </c>
      <c r="K317" s="99">
        <v>42370</v>
      </c>
      <c r="L317" s="98" t="s">
        <v>160</v>
      </c>
      <c r="M317" s="99">
        <v>41687</v>
      </c>
      <c r="N317" s="98" t="s">
        <v>199</v>
      </c>
    </row>
    <row r="318" spans="1:14" x14ac:dyDescent="0.25">
      <c r="A318" s="100">
        <v>41785</v>
      </c>
      <c r="C318" s="99">
        <v>42456</v>
      </c>
      <c r="D318" s="98" t="s">
        <v>181</v>
      </c>
      <c r="E318" s="99">
        <v>55640</v>
      </c>
      <c r="F318" s="98" t="s">
        <v>172</v>
      </c>
      <c r="G318" s="99">
        <v>45652</v>
      </c>
      <c r="H318" s="98" t="s">
        <v>182</v>
      </c>
      <c r="I318" s="99">
        <v>39892</v>
      </c>
      <c r="J318" s="98" t="s">
        <v>178</v>
      </c>
      <c r="K318" s="99">
        <v>42371</v>
      </c>
      <c r="L318" s="98" t="s">
        <v>165</v>
      </c>
      <c r="M318" s="99">
        <v>41785</v>
      </c>
      <c r="N318" s="98" t="s">
        <v>166</v>
      </c>
    </row>
    <row r="319" spans="1:14" x14ac:dyDescent="0.25">
      <c r="A319" s="100">
        <v>41824</v>
      </c>
      <c r="C319" s="99">
        <v>42457</v>
      </c>
      <c r="D319" s="98" t="s">
        <v>162</v>
      </c>
      <c r="E319" s="99">
        <v>55878</v>
      </c>
      <c r="F319" s="98" t="s">
        <v>177</v>
      </c>
      <c r="G319" s="99">
        <v>45658</v>
      </c>
      <c r="H319" s="98" t="s">
        <v>160</v>
      </c>
      <c r="I319" s="99">
        <v>39932</v>
      </c>
      <c r="J319" s="98" t="s">
        <v>183</v>
      </c>
      <c r="K319" s="99">
        <v>42373</v>
      </c>
      <c r="L319" s="98" t="s">
        <v>213</v>
      </c>
      <c r="M319" s="99">
        <v>41824</v>
      </c>
      <c r="N319" s="98" t="s">
        <v>175</v>
      </c>
    </row>
    <row r="320" spans="1:14" x14ac:dyDescent="0.25">
      <c r="A320" s="100">
        <v>41883</v>
      </c>
      <c r="C320" s="99">
        <v>42485</v>
      </c>
      <c r="D320" s="98" t="s">
        <v>185</v>
      </c>
      <c r="E320" s="99">
        <v>55879</v>
      </c>
      <c r="F320" s="98" t="s">
        <v>243</v>
      </c>
      <c r="G320" s="99">
        <v>45765</v>
      </c>
      <c r="H320" s="98" t="s">
        <v>159</v>
      </c>
      <c r="I320" s="99">
        <v>39936</v>
      </c>
      <c r="J320" s="98" t="s">
        <v>187</v>
      </c>
      <c r="K320" s="99">
        <v>42401</v>
      </c>
      <c r="L320" s="98" t="s">
        <v>206</v>
      </c>
      <c r="M320" s="99">
        <v>41883</v>
      </c>
      <c r="N320" s="98" t="s">
        <v>184</v>
      </c>
    </row>
    <row r="321" spans="1:14" x14ac:dyDescent="0.25">
      <c r="A321" s="100">
        <v>41925</v>
      </c>
      <c r="C321" s="99">
        <v>42534</v>
      </c>
      <c r="D321" s="98" t="s">
        <v>228</v>
      </c>
      <c r="E321" s="99">
        <v>55885</v>
      </c>
      <c r="F321" s="98" t="s">
        <v>160</v>
      </c>
      <c r="G321" s="99">
        <v>45768</v>
      </c>
      <c r="H321" s="98" t="s">
        <v>162</v>
      </c>
      <c r="I321" s="99">
        <v>39937</v>
      </c>
      <c r="J321" s="98" t="s">
        <v>190</v>
      </c>
      <c r="K321" s="99">
        <v>42406</v>
      </c>
      <c r="L321" s="98" t="s">
        <v>169</v>
      </c>
      <c r="M321" s="99">
        <v>41925</v>
      </c>
      <c r="N321" s="98" t="s">
        <v>201</v>
      </c>
    </row>
    <row r="322" spans="1:14" x14ac:dyDescent="0.25">
      <c r="A322" s="100">
        <v>41947</v>
      </c>
      <c r="C322" s="99">
        <v>42583</v>
      </c>
      <c r="D322" s="98" t="s">
        <v>202</v>
      </c>
      <c r="E322" s="99">
        <v>55978</v>
      </c>
      <c r="F322" s="98" t="s">
        <v>159</v>
      </c>
      <c r="G322" s="99">
        <v>45782</v>
      </c>
      <c r="H322" s="98" t="s">
        <v>163</v>
      </c>
      <c r="I322" s="99">
        <v>39938</v>
      </c>
      <c r="J322" s="98" t="s">
        <v>194</v>
      </c>
      <c r="K322" s="99">
        <v>42408</v>
      </c>
      <c r="L322" s="98" t="s">
        <v>215</v>
      </c>
      <c r="M322" s="99">
        <v>41947</v>
      </c>
      <c r="N322" s="98" t="s">
        <v>210</v>
      </c>
    </row>
    <row r="323" spans="1:14" x14ac:dyDescent="0.25">
      <c r="A323" s="100">
        <v>41954</v>
      </c>
      <c r="C323" s="99">
        <v>42646</v>
      </c>
      <c r="D323" s="98" t="s">
        <v>189</v>
      </c>
      <c r="E323" s="99">
        <v>55981</v>
      </c>
      <c r="F323" s="98" t="s">
        <v>162</v>
      </c>
      <c r="G323" s="99">
        <v>45803</v>
      </c>
      <c r="H323" s="98" t="s">
        <v>167</v>
      </c>
      <c r="I323" s="99">
        <v>39939</v>
      </c>
      <c r="J323" s="98" t="s">
        <v>212</v>
      </c>
      <c r="K323" s="99">
        <v>42454</v>
      </c>
      <c r="L323" s="98" t="s">
        <v>159</v>
      </c>
      <c r="M323" s="99">
        <v>41954</v>
      </c>
      <c r="N323" s="98" t="s">
        <v>188</v>
      </c>
    </row>
    <row r="324" spans="1:14" x14ac:dyDescent="0.25">
      <c r="A324" s="100">
        <v>41970</v>
      </c>
      <c r="C324" s="99">
        <v>42729</v>
      </c>
      <c r="D324" s="98" t="s">
        <v>177</v>
      </c>
      <c r="E324" s="99">
        <v>56005</v>
      </c>
      <c r="F324" s="98" t="s">
        <v>172</v>
      </c>
      <c r="G324" s="99">
        <v>45894</v>
      </c>
      <c r="H324" s="98" t="s">
        <v>193</v>
      </c>
      <c r="I324" s="99">
        <v>40014</v>
      </c>
      <c r="J324" s="98" t="s">
        <v>196</v>
      </c>
      <c r="K324" s="99">
        <v>42457</v>
      </c>
      <c r="L324" s="98" t="s">
        <v>162</v>
      </c>
      <c r="M324" s="99">
        <v>41970</v>
      </c>
      <c r="N324" s="98" t="s">
        <v>192</v>
      </c>
    </row>
    <row r="325" spans="1:14" x14ac:dyDescent="0.25">
      <c r="A325" s="100">
        <v>41998</v>
      </c>
      <c r="C325" s="99">
        <v>42730</v>
      </c>
      <c r="D325" s="98" t="s">
        <v>182</v>
      </c>
      <c r="E325" s="99">
        <v>56243</v>
      </c>
      <c r="F325" s="98" t="s">
        <v>177</v>
      </c>
      <c r="G325" s="99">
        <v>46016</v>
      </c>
      <c r="H325" s="98" t="s">
        <v>177</v>
      </c>
      <c r="I325" s="99">
        <v>40077</v>
      </c>
      <c r="J325" s="98" t="s">
        <v>200</v>
      </c>
      <c r="K325" s="99">
        <v>42485</v>
      </c>
      <c r="L325" s="98" t="s">
        <v>174</v>
      </c>
      <c r="M325" s="99">
        <v>41998</v>
      </c>
      <c r="N325" s="98" t="s">
        <v>177</v>
      </c>
    </row>
    <row r="326" spans="1:14" x14ac:dyDescent="0.25">
      <c r="A326" s="100">
        <v>42005</v>
      </c>
      <c r="C326" s="99">
        <v>42731</v>
      </c>
      <c r="D326" s="98" t="s">
        <v>208</v>
      </c>
      <c r="E326" s="99">
        <v>56244</v>
      </c>
      <c r="F326" s="98" t="s">
        <v>243</v>
      </c>
      <c r="G326" s="99">
        <v>46017</v>
      </c>
      <c r="H326" s="98" t="s">
        <v>182</v>
      </c>
      <c r="I326" s="99">
        <v>40078</v>
      </c>
      <c r="J326" s="98" t="s">
        <v>218</v>
      </c>
      <c r="K326" s="99">
        <v>42527</v>
      </c>
      <c r="L326" s="98" t="s">
        <v>228</v>
      </c>
      <c r="M326" s="99">
        <v>42005</v>
      </c>
      <c r="N326" s="98" t="s">
        <v>160</v>
      </c>
    </row>
    <row r="327" spans="1:14" x14ac:dyDescent="0.25">
      <c r="A327" s="100">
        <v>42023</v>
      </c>
      <c r="C327" s="99">
        <v>42736</v>
      </c>
      <c r="D327" s="98" t="s">
        <v>160</v>
      </c>
      <c r="E327" s="99">
        <v>56250</v>
      </c>
      <c r="F327" s="98" t="s">
        <v>160</v>
      </c>
      <c r="G327" s="99">
        <v>46023</v>
      </c>
      <c r="H327" s="98" t="s">
        <v>160</v>
      </c>
      <c r="I327" s="99">
        <v>40079</v>
      </c>
      <c r="J327" s="98" t="s">
        <v>203</v>
      </c>
      <c r="K327" s="99">
        <v>42667</v>
      </c>
      <c r="L327" s="98" t="s">
        <v>189</v>
      </c>
      <c r="M327" s="99">
        <v>42023</v>
      </c>
      <c r="N327" s="98" t="s">
        <v>197</v>
      </c>
    </row>
    <row r="328" spans="1:14" x14ac:dyDescent="0.25">
      <c r="A328" s="100">
        <v>42047</v>
      </c>
      <c r="C328" s="99">
        <v>42737</v>
      </c>
      <c r="D328" s="98" t="s">
        <v>214</v>
      </c>
      <c r="E328" s="99">
        <v>56335</v>
      </c>
      <c r="F328" s="98" t="s">
        <v>159</v>
      </c>
      <c r="G328" s="99">
        <v>46115</v>
      </c>
      <c r="H328" s="98" t="s">
        <v>159</v>
      </c>
      <c r="I328" s="99">
        <v>40098</v>
      </c>
      <c r="J328" s="98" t="s">
        <v>234</v>
      </c>
      <c r="K328" s="99">
        <v>42729</v>
      </c>
      <c r="L328" s="98" t="s">
        <v>177</v>
      </c>
      <c r="M328" s="99">
        <v>42047</v>
      </c>
      <c r="N328" s="98" t="s">
        <v>204</v>
      </c>
    </row>
    <row r="329" spans="1:14" x14ac:dyDescent="0.25">
      <c r="A329" s="100">
        <v>42050</v>
      </c>
      <c r="C329" s="99">
        <v>42761</v>
      </c>
      <c r="D329" s="98" t="s">
        <v>171</v>
      </c>
      <c r="E329" s="99">
        <v>56338</v>
      </c>
      <c r="F329" s="98" t="s">
        <v>162</v>
      </c>
      <c r="G329" s="99">
        <v>46118</v>
      </c>
      <c r="H329" s="98" t="s">
        <v>162</v>
      </c>
      <c r="I329" s="99">
        <v>40120</v>
      </c>
      <c r="J329" s="98" t="s">
        <v>209</v>
      </c>
      <c r="K329" s="99">
        <v>42730</v>
      </c>
      <c r="L329" s="98" t="s">
        <v>182</v>
      </c>
      <c r="M329" s="99">
        <v>42050</v>
      </c>
      <c r="N329" s="98" t="s">
        <v>207</v>
      </c>
    </row>
    <row r="330" spans="1:14" x14ac:dyDescent="0.25">
      <c r="A330" s="100">
        <v>42051</v>
      </c>
      <c r="C330" s="99">
        <v>42839</v>
      </c>
      <c r="D330" s="98" t="s">
        <v>159</v>
      </c>
      <c r="E330" s="99">
        <v>56370</v>
      </c>
      <c r="F330" s="98" t="s">
        <v>172</v>
      </c>
      <c r="G330" s="99">
        <v>46146</v>
      </c>
      <c r="H330" s="98" t="s">
        <v>163</v>
      </c>
      <c r="I330" s="99">
        <v>40140</v>
      </c>
      <c r="J330" s="98" t="s">
        <v>211</v>
      </c>
      <c r="K330" s="99">
        <v>42731</v>
      </c>
      <c r="L330" s="98" t="s">
        <v>208</v>
      </c>
      <c r="M330" s="99">
        <v>42051</v>
      </c>
      <c r="N330" s="98" t="s">
        <v>199</v>
      </c>
    </row>
    <row r="331" spans="1:14" x14ac:dyDescent="0.25">
      <c r="A331" s="100">
        <v>42149</v>
      </c>
      <c r="C331" s="99">
        <v>42840</v>
      </c>
      <c r="D331" s="98" t="s">
        <v>176</v>
      </c>
      <c r="E331" s="99">
        <v>56608</v>
      </c>
      <c r="F331" s="98" t="s">
        <v>177</v>
      </c>
      <c r="G331" s="99">
        <v>46167</v>
      </c>
      <c r="H331" s="98" t="s">
        <v>167</v>
      </c>
      <c r="I331" s="99">
        <v>40170</v>
      </c>
      <c r="J331" s="98" t="s">
        <v>173</v>
      </c>
      <c r="K331" s="99">
        <v>42736</v>
      </c>
      <c r="L331" s="98" t="s">
        <v>160</v>
      </c>
      <c r="M331" s="99">
        <v>42149</v>
      </c>
      <c r="N331" s="98" t="s">
        <v>166</v>
      </c>
    </row>
    <row r="332" spans="1:14" x14ac:dyDescent="0.25">
      <c r="A332" s="100">
        <v>42188</v>
      </c>
      <c r="C332" s="99">
        <v>42841</v>
      </c>
      <c r="D332" s="98" t="s">
        <v>181</v>
      </c>
      <c r="E332" s="99">
        <v>56609</v>
      </c>
      <c r="F332" s="98" t="s">
        <v>243</v>
      </c>
      <c r="G332" s="99">
        <v>46265</v>
      </c>
      <c r="H332" s="98" t="s">
        <v>193</v>
      </c>
      <c r="I332" s="99">
        <v>40179</v>
      </c>
      <c r="J332" s="98" t="s">
        <v>161</v>
      </c>
      <c r="K332" s="99">
        <v>42737</v>
      </c>
      <c r="L332" s="98" t="s">
        <v>165</v>
      </c>
      <c r="M332" s="99">
        <v>42188</v>
      </c>
      <c r="N332" s="98" t="s">
        <v>180</v>
      </c>
    </row>
    <row r="333" spans="1:14" x14ac:dyDescent="0.25">
      <c r="A333" s="100">
        <v>42189</v>
      </c>
      <c r="C333" s="99">
        <v>42842</v>
      </c>
      <c r="D333" s="98" t="s">
        <v>162</v>
      </c>
      <c r="E333" s="99">
        <v>56615</v>
      </c>
      <c r="F333" s="98" t="s">
        <v>160</v>
      </c>
      <c r="G333" s="99">
        <v>46381</v>
      </c>
      <c r="H333" s="98" t="s">
        <v>177</v>
      </c>
      <c r="I333" s="99">
        <v>40189</v>
      </c>
      <c r="J333" s="98" t="s">
        <v>164</v>
      </c>
      <c r="K333" s="99">
        <v>42738</v>
      </c>
      <c r="L333" s="98" t="s">
        <v>214</v>
      </c>
      <c r="M333" s="99">
        <v>42189</v>
      </c>
      <c r="N333" s="98" t="s">
        <v>175</v>
      </c>
    </row>
    <row r="334" spans="1:14" x14ac:dyDescent="0.25">
      <c r="A334" s="100">
        <v>42254</v>
      </c>
      <c r="C334" s="99">
        <v>42850</v>
      </c>
      <c r="D334" s="98" t="s">
        <v>185</v>
      </c>
      <c r="E334" s="99">
        <v>56720</v>
      </c>
      <c r="F334" s="98" t="s">
        <v>159</v>
      </c>
      <c r="G334" s="99">
        <v>46382</v>
      </c>
      <c r="H334" s="98" t="s">
        <v>182</v>
      </c>
      <c r="I334" s="99">
        <v>40220</v>
      </c>
      <c r="J334" s="98" t="s">
        <v>168</v>
      </c>
      <c r="K334" s="99">
        <v>42765</v>
      </c>
      <c r="L334" s="98" t="s">
        <v>206</v>
      </c>
      <c r="M334" s="99">
        <v>42254</v>
      </c>
      <c r="N334" s="98" t="s">
        <v>184</v>
      </c>
    </row>
    <row r="335" spans="1:14" x14ac:dyDescent="0.25">
      <c r="A335" s="100">
        <v>42289</v>
      </c>
      <c r="C335" s="99">
        <v>42898</v>
      </c>
      <c r="D335" s="98" t="s">
        <v>228</v>
      </c>
      <c r="E335" s="99">
        <v>56723</v>
      </c>
      <c r="F335" s="98" t="s">
        <v>162</v>
      </c>
      <c r="G335" s="99">
        <v>46384</v>
      </c>
      <c r="H335" s="98" t="s">
        <v>186</v>
      </c>
      <c r="I335" s="99">
        <v>40258</v>
      </c>
      <c r="J335" s="98" t="s">
        <v>178</v>
      </c>
      <c r="K335" s="99">
        <v>42772</v>
      </c>
      <c r="L335" s="98" t="s">
        <v>169</v>
      </c>
      <c r="M335" s="99">
        <v>42289</v>
      </c>
      <c r="N335" s="98" t="s">
        <v>201</v>
      </c>
    </row>
    <row r="336" spans="1:14" x14ac:dyDescent="0.25">
      <c r="A336" s="100">
        <v>42311</v>
      </c>
      <c r="C336" s="99">
        <v>42954</v>
      </c>
      <c r="D336" s="98" t="s">
        <v>202</v>
      </c>
      <c r="E336" s="99">
        <v>56735</v>
      </c>
      <c r="F336" s="98" t="s">
        <v>172</v>
      </c>
      <c r="G336" s="99">
        <v>46388</v>
      </c>
      <c r="H336" s="98" t="s">
        <v>160</v>
      </c>
      <c r="I336" s="99">
        <v>40259</v>
      </c>
      <c r="J336" s="98" t="s">
        <v>212</v>
      </c>
      <c r="K336" s="99">
        <v>42839</v>
      </c>
      <c r="L336" s="98" t="s">
        <v>159</v>
      </c>
      <c r="M336" s="99">
        <v>42311</v>
      </c>
      <c r="N336" s="98" t="s">
        <v>210</v>
      </c>
    </row>
    <row r="337" spans="1:14" x14ac:dyDescent="0.25">
      <c r="A337" s="100">
        <v>42319</v>
      </c>
      <c r="C337" s="99">
        <v>43010</v>
      </c>
      <c r="D337" s="98" t="s">
        <v>189</v>
      </c>
      <c r="E337" s="99">
        <v>56973</v>
      </c>
      <c r="F337" s="98" t="s">
        <v>177</v>
      </c>
      <c r="G337" s="99">
        <v>46472</v>
      </c>
      <c r="H337" s="98" t="s">
        <v>159</v>
      </c>
      <c r="I337" s="99">
        <v>40297</v>
      </c>
      <c r="J337" s="98" t="s">
        <v>183</v>
      </c>
      <c r="K337" s="99">
        <v>42842</v>
      </c>
      <c r="L337" s="98" t="s">
        <v>162</v>
      </c>
      <c r="M337" s="99">
        <v>42319</v>
      </c>
      <c r="N337" s="98" t="s">
        <v>188</v>
      </c>
    </row>
    <row r="338" spans="1:14" x14ac:dyDescent="0.25">
      <c r="A338" s="100">
        <v>42334</v>
      </c>
      <c r="C338" s="99">
        <v>43094</v>
      </c>
      <c r="D338" s="98" t="s">
        <v>177</v>
      </c>
      <c r="E338" s="99">
        <v>56974</v>
      </c>
      <c r="F338" s="98" t="s">
        <v>243</v>
      </c>
      <c r="G338" s="99">
        <v>46475</v>
      </c>
      <c r="H338" s="98" t="s">
        <v>162</v>
      </c>
      <c r="I338" s="99">
        <v>40301</v>
      </c>
      <c r="J338" s="98" t="s">
        <v>187</v>
      </c>
      <c r="K338" s="99">
        <v>42850</v>
      </c>
      <c r="L338" s="98" t="s">
        <v>174</v>
      </c>
      <c r="M338" s="99">
        <v>42334</v>
      </c>
      <c r="N338" s="98" t="s">
        <v>192</v>
      </c>
    </row>
    <row r="339" spans="1:14" x14ac:dyDescent="0.25">
      <c r="A339" s="100">
        <v>42363</v>
      </c>
      <c r="C339" s="99">
        <v>43095</v>
      </c>
      <c r="D339" s="98" t="s">
        <v>182</v>
      </c>
      <c r="E339" s="99">
        <v>56980</v>
      </c>
      <c r="F339" s="98" t="s">
        <v>160</v>
      </c>
      <c r="G339" s="99">
        <v>46510</v>
      </c>
      <c r="H339" s="98" t="s">
        <v>163</v>
      </c>
      <c r="I339" s="99">
        <v>40302</v>
      </c>
      <c r="J339" s="98" t="s">
        <v>190</v>
      </c>
      <c r="K339" s="99">
        <v>42891</v>
      </c>
      <c r="L339" s="98" t="s">
        <v>228</v>
      </c>
      <c r="M339" s="99">
        <v>42363</v>
      </c>
      <c r="N339" s="98" t="s">
        <v>177</v>
      </c>
    </row>
    <row r="340" spans="1:14" x14ac:dyDescent="0.25">
      <c r="A340" s="100">
        <v>42370</v>
      </c>
      <c r="C340" s="99">
        <v>43101</v>
      </c>
      <c r="D340" s="98" t="s">
        <v>160</v>
      </c>
      <c r="E340" s="99">
        <v>57070</v>
      </c>
      <c r="F340" s="98" t="s">
        <v>159</v>
      </c>
      <c r="G340" s="99">
        <v>46538</v>
      </c>
      <c r="H340" s="98" t="s">
        <v>167</v>
      </c>
      <c r="I340" s="99">
        <v>40303</v>
      </c>
      <c r="J340" s="98" t="s">
        <v>194</v>
      </c>
      <c r="K340" s="99">
        <v>43031</v>
      </c>
      <c r="L340" s="98" t="s">
        <v>189</v>
      </c>
      <c r="M340" s="99">
        <v>42370</v>
      </c>
      <c r="N340" s="98" t="s">
        <v>160</v>
      </c>
    </row>
    <row r="341" spans="1:14" x14ac:dyDescent="0.25">
      <c r="A341" s="100">
        <v>42387</v>
      </c>
      <c r="C341" s="99">
        <v>43126</v>
      </c>
      <c r="D341" s="98" t="s">
        <v>171</v>
      </c>
      <c r="E341" s="99">
        <v>57073</v>
      </c>
      <c r="F341" s="98" t="s">
        <v>162</v>
      </c>
      <c r="G341" s="99">
        <v>46629</v>
      </c>
      <c r="H341" s="98" t="s">
        <v>193</v>
      </c>
      <c r="I341" s="99">
        <v>40378</v>
      </c>
      <c r="J341" s="98" t="s">
        <v>196</v>
      </c>
      <c r="K341" s="99">
        <v>43094</v>
      </c>
      <c r="L341" s="98" t="s">
        <v>177</v>
      </c>
      <c r="M341" s="99">
        <v>42387</v>
      </c>
      <c r="N341" s="98" t="s">
        <v>197</v>
      </c>
    </row>
    <row r="342" spans="1:14" x14ac:dyDescent="0.25">
      <c r="A342" s="100">
        <v>42412</v>
      </c>
      <c r="C342" s="99">
        <v>43189</v>
      </c>
      <c r="D342" s="98" t="s">
        <v>159</v>
      </c>
      <c r="E342" s="99">
        <v>57101</v>
      </c>
      <c r="F342" s="98" t="s">
        <v>172</v>
      </c>
      <c r="G342" s="99">
        <v>46746</v>
      </c>
      <c r="H342" s="98" t="s">
        <v>177</v>
      </c>
      <c r="I342" s="99">
        <v>40441</v>
      </c>
      <c r="J342" s="98" t="s">
        <v>200</v>
      </c>
      <c r="K342" s="99">
        <v>43095</v>
      </c>
      <c r="L342" s="98" t="s">
        <v>182</v>
      </c>
      <c r="M342" s="99">
        <v>42412</v>
      </c>
      <c r="N342" s="98" t="s">
        <v>204</v>
      </c>
    </row>
    <row r="343" spans="1:14" x14ac:dyDescent="0.25">
      <c r="A343" s="100">
        <v>42415</v>
      </c>
      <c r="C343" s="99">
        <v>43190</v>
      </c>
      <c r="D343" s="98" t="s">
        <v>176</v>
      </c>
      <c r="E343" s="99">
        <v>57339</v>
      </c>
      <c r="F343" s="98" t="s">
        <v>177</v>
      </c>
      <c r="G343" s="99">
        <v>46747</v>
      </c>
      <c r="H343" s="98" t="s">
        <v>182</v>
      </c>
      <c r="I343" s="99">
        <v>40444</v>
      </c>
      <c r="J343" s="98" t="s">
        <v>203</v>
      </c>
      <c r="K343" s="99">
        <v>43101</v>
      </c>
      <c r="L343" s="98" t="s">
        <v>160</v>
      </c>
      <c r="M343" s="99">
        <v>42415</v>
      </c>
      <c r="N343" s="98" t="s">
        <v>217</v>
      </c>
    </row>
    <row r="344" spans="1:14" x14ac:dyDescent="0.25">
      <c r="A344" s="100">
        <v>42520</v>
      </c>
      <c r="C344" s="99">
        <v>43191</v>
      </c>
      <c r="D344" s="98" t="s">
        <v>181</v>
      </c>
      <c r="E344" s="99">
        <v>57340</v>
      </c>
      <c r="F344" s="98" t="s">
        <v>243</v>
      </c>
      <c r="G344" s="99">
        <v>46748</v>
      </c>
      <c r="H344" s="98" t="s">
        <v>208</v>
      </c>
      <c r="I344" s="99">
        <v>40462</v>
      </c>
      <c r="J344" s="98" t="s">
        <v>234</v>
      </c>
      <c r="K344" s="99">
        <v>43102</v>
      </c>
      <c r="L344" s="98" t="s">
        <v>165</v>
      </c>
      <c r="M344" s="99">
        <v>42520</v>
      </c>
      <c r="N344" s="98" t="s">
        <v>166</v>
      </c>
    </row>
    <row r="345" spans="1:14" x14ac:dyDescent="0.25">
      <c r="A345" s="100">
        <v>42555</v>
      </c>
      <c r="C345" s="99">
        <v>43192</v>
      </c>
      <c r="D345" s="98" t="s">
        <v>162</v>
      </c>
      <c r="E345" s="99">
        <v>57346</v>
      </c>
      <c r="F345" s="98" t="s">
        <v>160</v>
      </c>
      <c r="G345" s="99">
        <v>46749</v>
      </c>
      <c r="H345" s="98" t="s">
        <v>186</v>
      </c>
      <c r="I345" s="99">
        <v>40485</v>
      </c>
      <c r="J345" s="98" t="s">
        <v>209</v>
      </c>
      <c r="K345" s="99">
        <v>43129</v>
      </c>
      <c r="L345" s="98" t="s">
        <v>206</v>
      </c>
      <c r="M345" s="99">
        <v>42555</v>
      </c>
      <c r="N345" s="98" t="s">
        <v>175</v>
      </c>
    </row>
    <row r="346" spans="1:14" x14ac:dyDescent="0.25">
      <c r="A346" s="100">
        <v>42618</v>
      </c>
      <c r="C346" s="99">
        <v>43215</v>
      </c>
      <c r="D346" s="98" t="s">
        <v>185</v>
      </c>
      <c r="E346" s="99">
        <v>57455</v>
      </c>
      <c r="F346" s="98" t="s">
        <v>159</v>
      </c>
      <c r="G346" s="99">
        <v>46753</v>
      </c>
      <c r="H346" s="98" t="s">
        <v>160</v>
      </c>
      <c r="I346" s="99">
        <v>40505</v>
      </c>
      <c r="J346" s="98" t="s">
        <v>211</v>
      </c>
      <c r="K346" s="99">
        <v>43137</v>
      </c>
      <c r="L346" s="98" t="s">
        <v>169</v>
      </c>
      <c r="M346" s="99">
        <v>42618</v>
      </c>
      <c r="N346" s="98" t="s">
        <v>184</v>
      </c>
    </row>
    <row r="347" spans="1:14" x14ac:dyDescent="0.25">
      <c r="A347" s="100">
        <v>42653</v>
      </c>
      <c r="C347" s="99">
        <v>43262</v>
      </c>
      <c r="D347" s="98" t="s">
        <v>228</v>
      </c>
      <c r="E347" s="99">
        <v>57458</v>
      </c>
      <c r="F347" s="98" t="s">
        <v>162</v>
      </c>
      <c r="G347" s="99">
        <v>46755</v>
      </c>
      <c r="H347" s="98" t="s">
        <v>214</v>
      </c>
      <c r="I347" s="99">
        <v>40535</v>
      </c>
      <c r="J347" s="98" t="s">
        <v>173</v>
      </c>
      <c r="K347" s="99">
        <v>43189</v>
      </c>
      <c r="L347" s="98" t="s">
        <v>159</v>
      </c>
      <c r="M347" s="99">
        <v>42653</v>
      </c>
      <c r="N347" s="98" t="s">
        <v>201</v>
      </c>
    </row>
    <row r="348" spans="1:14" x14ac:dyDescent="0.25">
      <c r="A348" s="100">
        <v>42682</v>
      </c>
      <c r="C348" s="99">
        <v>43318</v>
      </c>
      <c r="D348" s="98" t="s">
        <v>202</v>
      </c>
      <c r="E348" s="99">
        <v>57466</v>
      </c>
      <c r="F348" s="98" t="s">
        <v>172</v>
      </c>
      <c r="G348" s="99">
        <v>46857</v>
      </c>
      <c r="H348" s="98" t="s">
        <v>159</v>
      </c>
      <c r="I348" s="99">
        <v>40544</v>
      </c>
      <c r="J348" s="98" t="s">
        <v>161</v>
      </c>
      <c r="K348" s="99">
        <v>43192</v>
      </c>
      <c r="L348" s="98" t="s">
        <v>162</v>
      </c>
      <c r="M348" s="99">
        <v>42682</v>
      </c>
      <c r="N348" s="98" t="s">
        <v>210</v>
      </c>
    </row>
    <row r="349" spans="1:14" x14ac:dyDescent="0.25">
      <c r="A349" s="100">
        <v>42685</v>
      </c>
      <c r="C349" s="99">
        <v>43374</v>
      </c>
      <c r="D349" s="98" t="s">
        <v>189</v>
      </c>
      <c r="E349" s="99">
        <v>57704</v>
      </c>
      <c r="F349" s="98" t="s">
        <v>177</v>
      </c>
      <c r="G349" s="99">
        <v>46860</v>
      </c>
      <c r="H349" s="98" t="s">
        <v>162</v>
      </c>
      <c r="I349" s="99">
        <v>40553</v>
      </c>
      <c r="J349" s="98" t="s">
        <v>164</v>
      </c>
      <c r="K349" s="99">
        <v>43215</v>
      </c>
      <c r="L349" s="98" t="s">
        <v>174</v>
      </c>
      <c r="M349" s="99">
        <v>42685</v>
      </c>
      <c r="N349" s="98" t="s">
        <v>188</v>
      </c>
    </row>
    <row r="350" spans="1:14" x14ac:dyDescent="0.25">
      <c r="A350" s="100">
        <v>42698</v>
      </c>
      <c r="C350" s="99">
        <v>43459</v>
      </c>
      <c r="D350" s="98" t="s">
        <v>177</v>
      </c>
      <c r="E350" s="99">
        <v>57705</v>
      </c>
      <c r="F350" s="98" t="s">
        <v>243</v>
      </c>
      <c r="G350" s="99">
        <v>46874</v>
      </c>
      <c r="H350" s="98" t="s">
        <v>163</v>
      </c>
      <c r="I350" s="99">
        <v>40585</v>
      </c>
      <c r="J350" s="98" t="s">
        <v>168</v>
      </c>
      <c r="K350" s="99">
        <v>43255</v>
      </c>
      <c r="L350" s="98" t="s">
        <v>228</v>
      </c>
      <c r="M350" s="99">
        <v>42698</v>
      </c>
      <c r="N350" s="98" t="s">
        <v>192</v>
      </c>
    </row>
    <row r="351" spans="1:14" x14ac:dyDescent="0.25">
      <c r="A351" s="100">
        <v>42729</v>
      </c>
      <c r="C351" s="99">
        <v>43460</v>
      </c>
      <c r="D351" s="98" t="s">
        <v>182</v>
      </c>
      <c r="E351" s="99">
        <v>57711</v>
      </c>
      <c r="F351" s="98" t="s">
        <v>160</v>
      </c>
      <c r="G351" s="99">
        <v>46902</v>
      </c>
      <c r="H351" s="98" t="s">
        <v>167</v>
      </c>
      <c r="I351" s="99">
        <v>40623</v>
      </c>
      <c r="J351" s="98" t="s">
        <v>178</v>
      </c>
      <c r="K351" s="99">
        <v>43395</v>
      </c>
      <c r="L351" s="98" t="s">
        <v>189</v>
      </c>
      <c r="M351" s="99">
        <v>42729</v>
      </c>
      <c r="N351" s="98" t="s">
        <v>177</v>
      </c>
    </row>
    <row r="352" spans="1:14" x14ac:dyDescent="0.25">
      <c r="A352" s="100">
        <v>42730</v>
      </c>
      <c r="C352" s="99">
        <v>43466</v>
      </c>
      <c r="D352" s="98" t="s">
        <v>160</v>
      </c>
      <c r="E352" s="99">
        <v>57812</v>
      </c>
      <c r="F352" s="98" t="s">
        <v>159</v>
      </c>
      <c r="G352" s="99">
        <v>46993</v>
      </c>
      <c r="H352" s="98" t="s">
        <v>193</v>
      </c>
      <c r="I352" s="99">
        <v>40662</v>
      </c>
      <c r="J352" s="98" t="s">
        <v>183</v>
      </c>
      <c r="K352" s="99">
        <v>43459</v>
      </c>
      <c r="L352" s="98" t="s">
        <v>177</v>
      </c>
      <c r="M352" s="99">
        <v>42730</v>
      </c>
      <c r="N352" s="98" t="s">
        <v>208</v>
      </c>
    </row>
    <row r="353" spans="1:14" x14ac:dyDescent="0.25">
      <c r="A353" s="100">
        <v>42736</v>
      </c>
      <c r="C353" s="99">
        <v>43493</v>
      </c>
      <c r="D353" s="98" t="s">
        <v>171</v>
      </c>
      <c r="E353" s="99">
        <v>57815</v>
      </c>
      <c r="F353" s="98" t="s">
        <v>162</v>
      </c>
      <c r="G353" s="99">
        <v>47112</v>
      </c>
      <c r="H353" s="98" t="s">
        <v>177</v>
      </c>
      <c r="I353" s="99">
        <v>40666</v>
      </c>
      <c r="J353" s="98" t="s">
        <v>187</v>
      </c>
      <c r="K353" s="99">
        <v>43460</v>
      </c>
      <c r="L353" s="98" t="s">
        <v>182</v>
      </c>
      <c r="M353" s="99">
        <v>42736</v>
      </c>
      <c r="N353" s="98" t="s">
        <v>160</v>
      </c>
    </row>
    <row r="354" spans="1:14" x14ac:dyDescent="0.25">
      <c r="A354" s="100">
        <v>42737</v>
      </c>
      <c r="C354" s="99">
        <v>43574</v>
      </c>
      <c r="D354" s="98" t="s">
        <v>159</v>
      </c>
      <c r="E354" s="99">
        <v>57831</v>
      </c>
      <c r="F354" s="98" t="s">
        <v>172</v>
      </c>
      <c r="G354" s="99">
        <v>47113</v>
      </c>
      <c r="H354" s="98" t="s">
        <v>182</v>
      </c>
      <c r="I354" s="99">
        <v>40667</v>
      </c>
      <c r="J354" s="98" t="s">
        <v>190</v>
      </c>
      <c r="K354" s="99">
        <v>43466</v>
      </c>
      <c r="L354" s="98" t="s">
        <v>160</v>
      </c>
      <c r="M354" s="99">
        <v>42737</v>
      </c>
      <c r="N354" s="98" t="s">
        <v>214</v>
      </c>
    </row>
    <row r="355" spans="1:14" x14ac:dyDescent="0.25">
      <c r="A355" s="100">
        <v>42751</v>
      </c>
      <c r="C355" s="99">
        <v>43575</v>
      </c>
      <c r="D355" s="98" t="s">
        <v>176</v>
      </c>
      <c r="E355" s="99">
        <v>58069</v>
      </c>
      <c r="F355" s="98" t="s">
        <v>177</v>
      </c>
      <c r="G355" s="99">
        <v>47119</v>
      </c>
      <c r="H355" s="98" t="s">
        <v>160</v>
      </c>
      <c r="I355" s="99">
        <v>40668</v>
      </c>
      <c r="J355" s="98" t="s">
        <v>194</v>
      </c>
      <c r="K355" s="99">
        <v>43467</v>
      </c>
      <c r="L355" s="98" t="s">
        <v>165</v>
      </c>
      <c r="M355" s="99">
        <v>42751</v>
      </c>
      <c r="N355" s="98" t="s">
        <v>197</v>
      </c>
    </row>
    <row r="356" spans="1:14" x14ac:dyDescent="0.25">
      <c r="A356" s="100">
        <v>42778</v>
      </c>
      <c r="C356" s="99">
        <v>43576</v>
      </c>
      <c r="D356" s="98" t="s">
        <v>181</v>
      </c>
      <c r="E356" s="99">
        <v>58070</v>
      </c>
      <c r="F356" s="98" t="s">
        <v>243</v>
      </c>
      <c r="G356" s="99">
        <v>47207</v>
      </c>
      <c r="H356" s="98" t="s">
        <v>159</v>
      </c>
      <c r="I356" s="99">
        <v>40742</v>
      </c>
      <c r="J356" s="98" t="s">
        <v>196</v>
      </c>
      <c r="K356" s="99">
        <v>43493</v>
      </c>
      <c r="L356" s="98" t="s">
        <v>206</v>
      </c>
      <c r="M356" s="99">
        <v>42778</v>
      </c>
      <c r="N356" s="98" t="s">
        <v>204</v>
      </c>
    </row>
    <row r="357" spans="1:14" x14ac:dyDescent="0.25">
      <c r="A357" s="100">
        <v>42779</v>
      </c>
      <c r="C357" s="99">
        <v>43577</v>
      </c>
      <c r="D357" s="98" t="s">
        <v>162</v>
      </c>
      <c r="E357" s="99">
        <v>58076</v>
      </c>
      <c r="F357" s="98" t="s">
        <v>160</v>
      </c>
      <c r="G357" s="99">
        <v>47210</v>
      </c>
      <c r="H357" s="98" t="s">
        <v>162</v>
      </c>
      <c r="I357" s="99">
        <v>40805</v>
      </c>
      <c r="J357" s="98" t="s">
        <v>200</v>
      </c>
      <c r="K357" s="99">
        <v>43502</v>
      </c>
      <c r="L357" s="98" t="s">
        <v>169</v>
      </c>
      <c r="M357" s="99">
        <v>42779</v>
      </c>
      <c r="N357" s="98" t="s">
        <v>219</v>
      </c>
    </row>
    <row r="358" spans="1:14" x14ac:dyDescent="0.25">
      <c r="A358" s="100">
        <v>42781</v>
      </c>
      <c r="C358" s="99">
        <v>43580</v>
      </c>
      <c r="D358" s="98" t="s">
        <v>185</v>
      </c>
      <c r="E358" s="99">
        <v>58162</v>
      </c>
      <c r="F358" s="98" t="s">
        <v>159</v>
      </c>
      <c r="G358" s="99">
        <v>47245</v>
      </c>
      <c r="H358" s="98" t="s">
        <v>163</v>
      </c>
      <c r="I358" s="99">
        <v>40809</v>
      </c>
      <c r="J358" s="98" t="s">
        <v>203</v>
      </c>
      <c r="K358" s="99">
        <v>43574</v>
      </c>
      <c r="L358" s="98" t="s">
        <v>159</v>
      </c>
      <c r="M358" s="99">
        <v>42781</v>
      </c>
      <c r="N358" s="98" t="s">
        <v>207</v>
      </c>
    </row>
    <row r="359" spans="1:14" x14ac:dyDescent="0.25">
      <c r="A359" s="100">
        <v>42786</v>
      </c>
      <c r="C359" s="99">
        <v>43626</v>
      </c>
      <c r="D359" s="98" t="s">
        <v>228</v>
      </c>
      <c r="E359" s="99">
        <v>58165</v>
      </c>
      <c r="F359" s="98" t="s">
        <v>162</v>
      </c>
      <c r="G359" s="99">
        <v>47266</v>
      </c>
      <c r="H359" s="98" t="s">
        <v>167</v>
      </c>
      <c r="I359" s="99">
        <v>40826</v>
      </c>
      <c r="J359" s="98" t="s">
        <v>234</v>
      </c>
      <c r="K359" s="99">
        <v>43577</v>
      </c>
      <c r="L359" s="98" t="s">
        <v>162</v>
      </c>
      <c r="M359" s="99">
        <v>42786</v>
      </c>
      <c r="N359" s="98" t="s">
        <v>199</v>
      </c>
    </row>
    <row r="360" spans="1:14" x14ac:dyDescent="0.25">
      <c r="A360" s="100">
        <v>42884</v>
      </c>
      <c r="C360" s="99">
        <v>43682</v>
      </c>
      <c r="D360" s="98" t="s">
        <v>202</v>
      </c>
      <c r="E360" s="99">
        <v>58196</v>
      </c>
      <c r="F360" s="98" t="s">
        <v>172</v>
      </c>
      <c r="G360" s="99">
        <v>47357</v>
      </c>
      <c r="H360" s="98" t="s">
        <v>193</v>
      </c>
      <c r="I360" s="99">
        <v>40850</v>
      </c>
      <c r="J360" s="98" t="s">
        <v>209</v>
      </c>
      <c r="K360" s="99">
        <v>43580</v>
      </c>
      <c r="L360" s="98" t="s">
        <v>174</v>
      </c>
      <c r="M360" s="99">
        <v>42884</v>
      </c>
      <c r="N360" s="98" t="s">
        <v>166</v>
      </c>
    </row>
    <row r="361" spans="1:14" x14ac:dyDescent="0.25">
      <c r="A361" s="100">
        <v>42920</v>
      </c>
      <c r="C361" s="99">
        <v>43745</v>
      </c>
      <c r="D361" s="98" t="s">
        <v>189</v>
      </c>
      <c r="E361" s="99">
        <v>58434</v>
      </c>
      <c r="F361" s="98" t="s">
        <v>177</v>
      </c>
      <c r="G361" s="99">
        <v>47477</v>
      </c>
      <c r="H361" s="98" t="s">
        <v>177</v>
      </c>
      <c r="I361" s="99">
        <v>40870</v>
      </c>
      <c r="J361" s="98" t="s">
        <v>211</v>
      </c>
      <c r="K361" s="99">
        <v>43619</v>
      </c>
      <c r="L361" s="98" t="s">
        <v>228</v>
      </c>
      <c r="M361" s="99">
        <v>42920</v>
      </c>
      <c r="N361" s="98" t="s">
        <v>175</v>
      </c>
    </row>
    <row r="362" spans="1:14" x14ac:dyDescent="0.25">
      <c r="A362" s="100">
        <v>42982</v>
      </c>
      <c r="C362" s="99">
        <v>43824</v>
      </c>
      <c r="D362" s="98" t="s">
        <v>177</v>
      </c>
      <c r="E362" s="99">
        <v>58435</v>
      </c>
      <c r="F362" s="98" t="s">
        <v>243</v>
      </c>
      <c r="G362" s="99">
        <v>47478</v>
      </c>
      <c r="H362" s="98" t="s">
        <v>182</v>
      </c>
      <c r="I362" s="99">
        <v>40900</v>
      </c>
      <c r="J362" s="98" t="s">
        <v>173</v>
      </c>
      <c r="K362" s="99">
        <v>43766</v>
      </c>
      <c r="L362" s="98" t="s">
        <v>189</v>
      </c>
      <c r="M362" s="99">
        <v>42982</v>
      </c>
      <c r="N362" s="98" t="s">
        <v>184</v>
      </c>
    </row>
    <row r="363" spans="1:14" x14ac:dyDescent="0.25">
      <c r="A363" s="100">
        <v>43017</v>
      </c>
      <c r="C363" s="99">
        <v>43825</v>
      </c>
      <c r="D363" s="98" t="s">
        <v>182</v>
      </c>
      <c r="E363" s="99">
        <v>58441</v>
      </c>
      <c r="F363" s="98" t="s">
        <v>160</v>
      </c>
      <c r="G363" s="99">
        <v>47484</v>
      </c>
      <c r="H363" s="98" t="s">
        <v>160</v>
      </c>
      <c r="I363" s="99">
        <v>40909</v>
      </c>
      <c r="J363" s="98" t="s">
        <v>161</v>
      </c>
      <c r="K363" s="99">
        <v>43824</v>
      </c>
      <c r="L363" s="98" t="s">
        <v>177</v>
      </c>
      <c r="M363" s="99">
        <v>43017</v>
      </c>
      <c r="N363" s="98" t="s">
        <v>201</v>
      </c>
    </row>
    <row r="364" spans="1:14" x14ac:dyDescent="0.25">
      <c r="A364" s="100">
        <v>43046</v>
      </c>
      <c r="C364" s="99">
        <v>43831</v>
      </c>
      <c r="D364" s="98" t="s">
        <v>160</v>
      </c>
      <c r="E364" s="99">
        <v>58547</v>
      </c>
      <c r="F364" s="98" t="s">
        <v>159</v>
      </c>
      <c r="G364" s="99">
        <v>47592</v>
      </c>
      <c r="H364" s="98" t="s">
        <v>159</v>
      </c>
      <c r="I364" s="99">
        <v>40910</v>
      </c>
      <c r="J364" s="98" t="s">
        <v>212</v>
      </c>
      <c r="K364" s="99">
        <v>43825</v>
      </c>
      <c r="L364" s="98" t="s">
        <v>182</v>
      </c>
      <c r="M364" s="99">
        <v>43046</v>
      </c>
      <c r="N364" s="98" t="s">
        <v>210</v>
      </c>
    </row>
    <row r="365" spans="1:14" x14ac:dyDescent="0.25">
      <c r="A365" s="100">
        <v>43049</v>
      </c>
      <c r="C365" s="99">
        <v>43857</v>
      </c>
      <c r="D365" s="98" t="s">
        <v>171</v>
      </c>
      <c r="E365" s="99">
        <v>58550</v>
      </c>
      <c r="F365" s="98" t="s">
        <v>162</v>
      </c>
      <c r="G365" s="99">
        <v>47595</v>
      </c>
      <c r="H365" s="98" t="s">
        <v>162</v>
      </c>
      <c r="I365" s="99">
        <v>40917</v>
      </c>
      <c r="J365" s="98" t="s">
        <v>164</v>
      </c>
      <c r="K365" s="99">
        <v>43831</v>
      </c>
      <c r="L365" s="98" t="s">
        <v>160</v>
      </c>
      <c r="M365" s="99">
        <v>43049</v>
      </c>
      <c r="N365" s="98" t="s">
        <v>220</v>
      </c>
    </row>
    <row r="366" spans="1:14" x14ac:dyDescent="0.25">
      <c r="A366" s="100">
        <v>43050</v>
      </c>
      <c r="C366" s="99">
        <v>43931</v>
      </c>
      <c r="D366" s="98" t="s">
        <v>159</v>
      </c>
      <c r="E366" s="99">
        <v>58562</v>
      </c>
      <c r="F366" s="98" t="s">
        <v>172</v>
      </c>
      <c r="G366" s="99">
        <v>47609</v>
      </c>
      <c r="H366" s="98" t="s">
        <v>163</v>
      </c>
      <c r="I366" s="99">
        <v>40950</v>
      </c>
      <c r="J366" s="98" t="s">
        <v>168</v>
      </c>
      <c r="K366" s="99">
        <v>43832</v>
      </c>
      <c r="L366" s="98" t="s">
        <v>165</v>
      </c>
      <c r="M366" s="99">
        <v>43050</v>
      </c>
      <c r="N366" s="98" t="s">
        <v>188</v>
      </c>
    </row>
    <row r="367" spans="1:14" x14ac:dyDescent="0.25">
      <c r="A367" s="100">
        <v>43062</v>
      </c>
      <c r="C367" s="99">
        <v>43932</v>
      </c>
      <c r="D367" s="98" t="s">
        <v>176</v>
      </c>
      <c r="E367" s="99">
        <v>58800</v>
      </c>
      <c r="F367" s="98" t="s">
        <v>177</v>
      </c>
      <c r="G367" s="99">
        <v>47630</v>
      </c>
      <c r="H367" s="98" t="s">
        <v>167</v>
      </c>
      <c r="I367" s="99">
        <v>40988</v>
      </c>
      <c r="J367" s="98" t="s">
        <v>178</v>
      </c>
      <c r="K367" s="99">
        <v>43857</v>
      </c>
      <c r="L367" s="98" t="s">
        <v>206</v>
      </c>
      <c r="M367" s="99">
        <v>43062</v>
      </c>
      <c r="N367" s="98" t="s">
        <v>192</v>
      </c>
    </row>
    <row r="368" spans="1:14" x14ac:dyDescent="0.25">
      <c r="A368" s="100">
        <v>43094</v>
      </c>
      <c r="C368" s="99">
        <v>43933</v>
      </c>
      <c r="D368" s="98" t="s">
        <v>181</v>
      </c>
      <c r="E368" s="99">
        <v>58801</v>
      </c>
      <c r="F368" s="98" t="s">
        <v>243</v>
      </c>
      <c r="G368" s="99">
        <v>47721</v>
      </c>
      <c r="H368" s="98" t="s">
        <v>193</v>
      </c>
      <c r="I368" s="99">
        <v>41028</v>
      </c>
      <c r="J368" s="98" t="s">
        <v>183</v>
      </c>
      <c r="K368" s="99">
        <v>43867</v>
      </c>
      <c r="L368" s="98" t="s">
        <v>169</v>
      </c>
      <c r="M368" s="99">
        <v>43094</v>
      </c>
      <c r="N368" s="98" t="s">
        <v>177</v>
      </c>
    </row>
    <row r="369" spans="1:14" x14ac:dyDescent="0.25">
      <c r="A369" s="100">
        <v>43101</v>
      </c>
      <c r="C369" s="99">
        <v>43934</v>
      </c>
      <c r="D369" s="98" t="s">
        <v>162</v>
      </c>
      <c r="E369" s="99">
        <v>58807</v>
      </c>
      <c r="F369" s="98" t="s">
        <v>160</v>
      </c>
      <c r="G369" s="99">
        <v>47842</v>
      </c>
      <c r="H369" s="98" t="s">
        <v>177</v>
      </c>
      <c r="I369" s="99">
        <v>41029</v>
      </c>
      <c r="J369" s="98" t="s">
        <v>212</v>
      </c>
      <c r="K369" s="99">
        <v>43931</v>
      </c>
      <c r="L369" s="98" t="s">
        <v>159</v>
      </c>
      <c r="M369" s="99">
        <v>43101</v>
      </c>
      <c r="N369" s="98" t="s">
        <v>160</v>
      </c>
    </row>
    <row r="370" spans="1:14" x14ac:dyDescent="0.25">
      <c r="A370" s="100">
        <v>43115</v>
      </c>
      <c r="C370" s="99">
        <v>43946</v>
      </c>
      <c r="D370" s="98" t="s">
        <v>185</v>
      </c>
      <c r="E370" s="99">
        <v>58904</v>
      </c>
      <c r="F370" s="98" t="s">
        <v>159</v>
      </c>
      <c r="G370" s="99">
        <v>47843</v>
      </c>
      <c r="H370" s="98" t="s">
        <v>182</v>
      </c>
      <c r="I370" s="99">
        <v>41032</v>
      </c>
      <c r="J370" s="98" t="s">
        <v>187</v>
      </c>
      <c r="K370" s="99">
        <v>43934</v>
      </c>
      <c r="L370" s="98" t="s">
        <v>162</v>
      </c>
      <c r="M370" s="99">
        <v>43115</v>
      </c>
      <c r="N370" s="98" t="s">
        <v>197</v>
      </c>
    </row>
    <row r="371" spans="1:14" x14ac:dyDescent="0.25">
      <c r="A371" s="100">
        <v>43143</v>
      </c>
      <c r="C371" s="99">
        <v>43990</v>
      </c>
      <c r="D371" s="98" t="s">
        <v>228</v>
      </c>
      <c r="E371" s="99">
        <v>58907</v>
      </c>
      <c r="F371" s="98" t="s">
        <v>162</v>
      </c>
      <c r="G371" s="99">
        <v>47849</v>
      </c>
      <c r="H371" s="98" t="s">
        <v>160</v>
      </c>
      <c r="I371" s="99">
        <v>41033</v>
      </c>
      <c r="J371" s="98" t="s">
        <v>190</v>
      </c>
      <c r="K371" s="99">
        <v>43946</v>
      </c>
      <c r="L371" s="98" t="s">
        <v>174</v>
      </c>
      <c r="M371" s="99">
        <v>43143</v>
      </c>
      <c r="N371" s="98" t="s">
        <v>204</v>
      </c>
    </row>
    <row r="372" spans="1:14" x14ac:dyDescent="0.25">
      <c r="A372" s="100">
        <v>43146</v>
      </c>
      <c r="C372" s="99">
        <v>44046</v>
      </c>
      <c r="D372" s="98" t="s">
        <v>202</v>
      </c>
      <c r="E372" s="99">
        <v>58927</v>
      </c>
      <c r="F372" s="98" t="s">
        <v>172</v>
      </c>
      <c r="G372" s="99">
        <v>47949</v>
      </c>
      <c r="H372" s="98" t="s">
        <v>159</v>
      </c>
      <c r="I372" s="99">
        <v>41034</v>
      </c>
      <c r="J372" s="98" t="s">
        <v>194</v>
      </c>
      <c r="K372" s="99">
        <v>43948</v>
      </c>
      <c r="L372" s="98" t="s">
        <v>179</v>
      </c>
      <c r="M372" s="99">
        <v>43146</v>
      </c>
      <c r="N372" s="98" t="s">
        <v>207</v>
      </c>
    </row>
    <row r="373" spans="1:14" x14ac:dyDescent="0.25">
      <c r="A373" s="100">
        <v>43150</v>
      </c>
      <c r="C373" s="99">
        <v>44109</v>
      </c>
      <c r="D373" s="98" t="s">
        <v>189</v>
      </c>
      <c r="E373" s="99">
        <v>59165</v>
      </c>
      <c r="F373" s="98" t="s">
        <v>177</v>
      </c>
      <c r="G373" s="99">
        <v>47952</v>
      </c>
      <c r="H373" s="98" t="s">
        <v>162</v>
      </c>
      <c r="I373" s="99">
        <v>41106</v>
      </c>
      <c r="J373" s="98" t="s">
        <v>196</v>
      </c>
      <c r="K373" s="99">
        <v>43983</v>
      </c>
      <c r="L373" s="98" t="s">
        <v>228</v>
      </c>
      <c r="M373" s="99">
        <v>43150</v>
      </c>
      <c r="N373" s="98" t="s">
        <v>199</v>
      </c>
    </row>
    <row r="374" spans="1:14" x14ac:dyDescent="0.25">
      <c r="A374" s="100">
        <v>43248</v>
      </c>
      <c r="C374" s="99">
        <v>44190</v>
      </c>
      <c r="D374" s="98" t="s">
        <v>177</v>
      </c>
      <c r="E374" s="99">
        <v>59166</v>
      </c>
      <c r="F374" s="98" t="s">
        <v>243</v>
      </c>
      <c r="G374" s="99">
        <v>47973</v>
      </c>
      <c r="H374" s="98" t="s">
        <v>163</v>
      </c>
      <c r="I374" s="99">
        <v>41169</v>
      </c>
      <c r="J374" s="98" t="s">
        <v>200</v>
      </c>
      <c r="K374" s="99">
        <v>44130</v>
      </c>
      <c r="L374" s="98" t="s">
        <v>189</v>
      </c>
      <c r="M374" s="99">
        <v>43248</v>
      </c>
      <c r="N374" s="98" t="s">
        <v>166</v>
      </c>
    </row>
    <row r="375" spans="1:14" x14ac:dyDescent="0.25">
      <c r="A375" s="100">
        <v>43285</v>
      </c>
      <c r="C375" s="99">
        <v>44191</v>
      </c>
      <c r="D375" s="98" t="s">
        <v>182</v>
      </c>
      <c r="E375" s="99">
        <v>59172</v>
      </c>
      <c r="F375" s="98" t="s">
        <v>160</v>
      </c>
      <c r="G375" s="99">
        <v>47994</v>
      </c>
      <c r="H375" s="98" t="s">
        <v>167</v>
      </c>
      <c r="I375" s="99">
        <v>41174</v>
      </c>
      <c r="J375" s="98" t="s">
        <v>203</v>
      </c>
      <c r="K375" s="99">
        <v>44190</v>
      </c>
      <c r="L375" s="98" t="s">
        <v>177</v>
      </c>
      <c r="M375" s="99">
        <v>43285</v>
      </c>
      <c r="N375" s="98" t="s">
        <v>175</v>
      </c>
    </row>
    <row r="376" spans="1:14" x14ac:dyDescent="0.25">
      <c r="A376" s="100">
        <v>43346</v>
      </c>
      <c r="C376" s="99">
        <v>44193</v>
      </c>
      <c r="D376" s="98" t="s">
        <v>186</v>
      </c>
      <c r="E376" s="99">
        <v>59254</v>
      </c>
      <c r="F376" s="98" t="s">
        <v>159</v>
      </c>
      <c r="G376" s="99">
        <v>48085</v>
      </c>
      <c r="H376" s="98" t="s">
        <v>193</v>
      </c>
      <c r="I376" s="99">
        <v>41190</v>
      </c>
      <c r="J376" s="98" t="s">
        <v>234</v>
      </c>
      <c r="K376" s="99">
        <v>44191</v>
      </c>
      <c r="L376" s="98" t="s">
        <v>182</v>
      </c>
      <c r="M376" s="99">
        <v>43346</v>
      </c>
      <c r="N376" s="98" t="s">
        <v>184</v>
      </c>
    </row>
    <row r="377" spans="1:14" x14ac:dyDescent="0.25">
      <c r="A377" s="100">
        <v>43381</v>
      </c>
      <c r="C377" s="99">
        <v>44197</v>
      </c>
      <c r="D377" s="98" t="s">
        <v>160</v>
      </c>
      <c r="E377" s="99">
        <v>59257</v>
      </c>
      <c r="F377" s="98" t="s">
        <v>162</v>
      </c>
      <c r="G377" s="99">
        <v>48207</v>
      </c>
      <c r="H377" s="98" t="s">
        <v>177</v>
      </c>
      <c r="I377" s="99">
        <v>41216</v>
      </c>
      <c r="J377" s="98" t="s">
        <v>209</v>
      </c>
      <c r="K377" s="99">
        <v>44193</v>
      </c>
      <c r="L377" s="98" t="s">
        <v>186</v>
      </c>
      <c r="M377" s="99">
        <v>43381</v>
      </c>
      <c r="N377" s="98" t="s">
        <v>201</v>
      </c>
    </row>
    <row r="378" spans="1:14" x14ac:dyDescent="0.25">
      <c r="A378" s="100">
        <v>43410</v>
      </c>
      <c r="C378" s="99">
        <v>44222</v>
      </c>
      <c r="D378" s="98" t="s">
        <v>171</v>
      </c>
      <c r="E378" s="99">
        <v>59292</v>
      </c>
      <c r="F378" s="98" t="s">
        <v>172</v>
      </c>
      <c r="G378" s="99">
        <v>48208</v>
      </c>
      <c r="H378" s="98" t="s">
        <v>182</v>
      </c>
      <c r="I378" s="99">
        <v>41236</v>
      </c>
      <c r="J378" s="98" t="s">
        <v>211</v>
      </c>
      <c r="K378" s="99">
        <v>44197</v>
      </c>
      <c r="L378" s="98" t="s">
        <v>160</v>
      </c>
      <c r="M378" s="99">
        <v>43410</v>
      </c>
      <c r="N378" s="98" t="s">
        <v>210</v>
      </c>
    </row>
    <row r="379" spans="1:14" x14ac:dyDescent="0.25">
      <c r="A379" s="100">
        <v>43415</v>
      </c>
      <c r="C379" s="99">
        <v>44288</v>
      </c>
      <c r="D379" s="98" t="s">
        <v>159</v>
      </c>
      <c r="E379" s="99">
        <v>59530</v>
      </c>
      <c r="F379" s="98" t="s">
        <v>177</v>
      </c>
      <c r="G379" s="99">
        <v>48214</v>
      </c>
      <c r="H379" s="98" t="s">
        <v>160</v>
      </c>
      <c r="I379" s="99">
        <v>41266</v>
      </c>
      <c r="J379" s="98" t="s">
        <v>173</v>
      </c>
      <c r="K379" s="99">
        <v>44198</v>
      </c>
      <c r="L379" s="98" t="s">
        <v>165</v>
      </c>
      <c r="M379" s="99">
        <v>43415</v>
      </c>
      <c r="N379" s="98" t="s">
        <v>188</v>
      </c>
    </row>
    <row r="380" spans="1:14" x14ac:dyDescent="0.25">
      <c r="A380" s="100">
        <v>43416</v>
      </c>
      <c r="C380" s="99">
        <v>44289</v>
      </c>
      <c r="D380" s="98" t="s">
        <v>176</v>
      </c>
      <c r="E380" s="99">
        <v>59531</v>
      </c>
      <c r="F380" s="98" t="s">
        <v>243</v>
      </c>
      <c r="G380" s="99">
        <v>48299</v>
      </c>
      <c r="H380" s="98" t="s">
        <v>159</v>
      </c>
      <c r="I380" s="99">
        <v>41267</v>
      </c>
      <c r="J380" s="98" t="s">
        <v>212</v>
      </c>
      <c r="K380" s="99">
        <v>44200</v>
      </c>
      <c r="L380" s="98" t="s">
        <v>213</v>
      </c>
      <c r="M380" s="99">
        <v>43416</v>
      </c>
      <c r="N380" s="98" t="s">
        <v>220</v>
      </c>
    </row>
    <row r="381" spans="1:14" x14ac:dyDescent="0.25">
      <c r="A381" s="100">
        <v>43426</v>
      </c>
      <c r="C381" s="99">
        <v>44290</v>
      </c>
      <c r="D381" s="98" t="s">
        <v>181</v>
      </c>
      <c r="E381" s="99">
        <v>59537</v>
      </c>
      <c r="F381" s="98" t="s">
        <v>160</v>
      </c>
      <c r="G381" s="99">
        <v>48302</v>
      </c>
      <c r="H381" s="98" t="s">
        <v>162</v>
      </c>
      <c r="I381" s="99">
        <v>41275</v>
      </c>
      <c r="J381" s="98" t="s">
        <v>161</v>
      </c>
      <c r="K381" s="99">
        <v>44228</v>
      </c>
      <c r="L381" s="98" t="s">
        <v>206</v>
      </c>
      <c r="M381" s="99">
        <v>43426</v>
      </c>
      <c r="N381" s="98" t="s">
        <v>192</v>
      </c>
    </row>
    <row r="382" spans="1:14" x14ac:dyDescent="0.25">
      <c r="A382" s="100">
        <v>43459</v>
      </c>
      <c r="C382" s="99">
        <v>44291</v>
      </c>
      <c r="D382" s="98" t="s">
        <v>162</v>
      </c>
      <c r="E382" s="99">
        <v>59639</v>
      </c>
      <c r="F382" s="98" t="s">
        <v>159</v>
      </c>
      <c r="G382" s="99">
        <v>48337</v>
      </c>
      <c r="H382" s="98" t="s">
        <v>163</v>
      </c>
      <c r="I382" s="99">
        <v>41288</v>
      </c>
      <c r="J382" s="98" t="s">
        <v>164</v>
      </c>
      <c r="K382" s="99">
        <v>44233</v>
      </c>
      <c r="L382" s="98" t="s">
        <v>169</v>
      </c>
      <c r="M382" s="99">
        <v>43459</v>
      </c>
      <c r="N382" s="98" t="s">
        <v>177</v>
      </c>
    </row>
    <row r="383" spans="1:14" x14ac:dyDescent="0.25">
      <c r="A383" s="100">
        <v>43466</v>
      </c>
      <c r="C383" s="99">
        <v>44311</v>
      </c>
      <c r="D383" s="98" t="s">
        <v>185</v>
      </c>
      <c r="E383" s="99">
        <v>59642</v>
      </c>
      <c r="F383" s="98" t="s">
        <v>162</v>
      </c>
      <c r="G383" s="99">
        <v>48365</v>
      </c>
      <c r="H383" s="98" t="s">
        <v>167</v>
      </c>
      <c r="I383" s="99">
        <v>41316</v>
      </c>
      <c r="J383" s="98" t="s">
        <v>168</v>
      </c>
      <c r="K383" s="99">
        <v>44235</v>
      </c>
      <c r="L383" s="98" t="s">
        <v>215</v>
      </c>
      <c r="M383" s="99">
        <v>43466</v>
      </c>
      <c r="N383" s="98" t="s">
        <v>160</v>
      </c>
    </row>
    <row r="384" spans="1:14" x14ac:dyDescent="0.25">
      <c r="A384" s="100">
        <v>43486</v>
      </c>
      <c r="C384" s="99">
        <v>44361</v>
      </c>
      <c r="D384" s="98" t="s">
        <v>228</v>
      </c>
      <c r="E384" s="99">
        <v>59657</v>
      </c>
      <c r="F384" s="98" t="s">
        <v>172</v>
      </c>
      <c r="G384" s="99">
        <v>48456</v>
      </c>
      <c r="H384" s="98" t="s">
        <v>193</v>
      </c>
      <c r="I384" s="99">
        <v>41353</v>
      </c>
      <c r="J384" s="98" t="s">
        <v>178</v>
      </c>
      <c r="K384" s="99">
        <v>44288</v>
      </c>
      <c r="L384" s="98" t="s">
        <v>159</v>
      </c>
      <c r="M384" s="99">
        <v>43486</v>
      </c>
      <c r="N384" s="98" t="s">
        <v>197</v>
      </c>
    </row>
    <row r="385" spans="1:14" x14ac:dyDescent="0.25">
      <c r="A385" s="100">
        <v>43508</v>
      </c>
      <c r="C385" s="99">
        <v>44410</v>
      </c>
      <c r="D385" s="98" t="s">
        <v>202</v>
      </c>
      <c r="E385" s="99">
        <v>59895</v>
      </c>
      <c r="F385" s="98" t="s">
        <v>177</v>
      </c>
      <c r="G385" s="99">
        <v>48573</v>
      </c>
      <c r="H385" s="98" t="s">
        <v>177</v>
      </c>
      <c r="I385" s="99">
        <v>41393</v>
      </c>
      <c r="J385" s="98" t="s">
        <v>183</v>
      </c>
      <c r="K385" s="99">
        <v>44291</v>
      </c>
      <c r="L385" s="98" t="s">
        <v>162</v>
      </c>
      <c r="M385" s="99">
        <v>43508</v>
      </c>
      <c r="N385" s="98" t="s">
        <v>204</v>
      </c>
    </row>
    <row r="386" spans="1:14" x14ac:dyDescent="0.25">
      <c r="A386" s="100">
        <v>43511</v>
      </c>
      <c r="C386" s="99">
        <v>44473</v>
      </c>
      <c r="D386" s="98" t="s">
        <v>189</v>
      </c>
      <c r="E386" s="99">
        <v>59896</v>
      </c>
      <c r="F386" s="98" t="s">
        <v>243</v>
      </c>
      <c r="G386" s="99">
        <v>48574</v>
      </c>
      <c r="H386" s="98" t="s">
        <v>182</v>
      </c>
      <c r="I386" s="99">
        <v>41397</v>
      </c>
      <c r="J386" s="98" t="s">
        <v>187</v>
      </c>
      <c r="K386" s="99">
        <v>44311</v>
      </c>
      <c r="L386" s="98" t="s">
        <v>174</v>
      </c>
      <c r="M386" s="99">
        <v>43511</v>
      </c>
      <c r="N386" s="98" t="s">
        <v>207</v>
      </c>
    </row>
    <row r="387" spans="1:14" x14ac:dyDescent="0.25">
      <c r="A387" s="100">
        <v>43514</v>
      </c>
      <c r="C387" s="99">
        <v>44555</v>
      </c>
      <c r="D387" s="98" t="s">
        <v>177</v>
      </c>
      <c r="E387" s="99">
        <v>59902</v>
      </c>
      <c r="F387" s="98" t="s">
        <v>160</v>
      </c>
      <c r="G387" s="99">
        <v>48575</v>
      </c>
      <c r="H387" s="98" t="s">
        <v>208</v>
      </c>
      <c r="I387" s="99">
        <v>41398</v>
      </c>
      <c r="J387" s="98" t="s">
        <v>190</v>
      </c>
      <c r="K387" s="99">
        <v>44312</v>
      </c>
      <c r="L387" s="98" t="s">
        <v>179</v>
      </c>
      <c r="M387" s="99">
        <v>43514</v>
      </c>
      <c r="N387" s="98" t="s">
        <v>199</v>
      </c>
    </row>
    <row r="388" spans="1:14" x14ac:dyDescent="0.25">
      <c r="A388" s="100">
        <v>43612</v>
      </c>
      <c r="C388" s="99">
        <v>44556</v>
      </c>
      <c r="D388" s="98" t="s">
        <v>182</v>
      </c>
      <c r="E388" s="99">
        <v>59996</v>
      </c>
      <c r="F388" s="98" t="s">
        <v>159</v>
      </c>
      <c r="G388" s="99">
        <v>48576</v>
      </c>
      <c r="H388" s="98" t="s">
        <v>186</v>
      </c>
      <c r="I388" s="99">
        <v>41399</v>
      </c>
      <c r="J388" s="98" t="s">
        <v>194</v>
      </c>
      <c r="K388" s="99">
        <v>44354</v>
      </c>
      <c r="L388" s="98" t="s">
        <v>228</v>
      </c>
      <c r="M388" s="99">
        <v>43612</v>
      </c>
      <c r="N388" s="98" t="s">
        <v>166</v>
      </c>
    </row>
    <row r="389" spans="1:14" x14ac:dyDescent="0.25">
      <c r="A389" s="100">
        <v>43650</v>
      </c>
      <c r="C389" s="99">
        <v>44557</v>
      </c>
      <c r="D389" s="98" t="s">
        <v>208</v>
      </c>
      <c r="E389" s="99">
        <v>59999</v>
      </c>
      <c r="F389" s="98" t="s">
        <v>162</v>
      </c>
      <c r="G389" s="99">
        <v>48580</v>
      </c>
      <c r="H389" s="98" t="s">
        <v>160</v>
      </c>
      <c r="I389" s="99">
        <v>41400</v>
      </c>
      <c r="J389" s="98" t="s">
        <v>212</v>
      </c>
      <c r="K389" s="99">
        <v>44494</v>
      </c>
      <c r="L389" s="98" t="s">
        <v>189</v>
      </c>
      <c r="M389" s="99">
        <v>43650</v>
      </c>
      <c r="N389" s="98" t="s">
        <v>175</v>
      </c>
    </row>
    <row r="390" spans="1:14" x14ac:dyDescent="0.25">
      <c r="A390" s="100">
        <v>43710</v>
      </c>
      <c r="C390" s="99">
        <v>44558</v>
      </c>
      <c r="D390" s="98" t="s">
        <v>186</v>
      </c>
      <c r="E390" s="99">
        <v>60023</v>
      </c>
      <c r="F390" s="98" t="s">
        <v>172</v>
      </c>
      <c r="G390" s="99">
        <v>48582</v>
      </c>
      <c r="H390" s="98" t="s">
        <v>214</v>
      </c>
      <c r="I390" s="99">
        <v>41470</v>
      </c>
      <c r="J390" s="98" t="s">
        <v>196</v>
      </c>
      <c r="K390" s="99">
        <v>44555</v>
      </c>
      <c r="L390" s="98" t="s">
        <v>177</v>
      </c>
      <c r="M390" s="99">
        <v>43710</v>
      </c>
      <c r="N390" s="98" t="s">
        <v>184</v>
      </c>
    </row>
    <row r="391" spans="1:14" x14ac:dyDescent="0.25">
      <c r="A391" s="100">
        <v>43752</v>
      </c>
      <c r="C391" s="99">
        <v>44562</v>
      </c>
      <c r="D391" s="98" t="s">
        <v>160</v>
      </c>
      <c r="E391" s="99">
        <v>60261</v>
      </c>
      <c r="F391" s="98" t="s">
        <v>177</v>
      </c>
      <c r="G391" s="99">
        <v>48684</v>
      </c>
      <c r="H391" s="98" t="s">
        <v>159</v>
      </c>
      <c r="I391" s="99">
        <v>41533</v>
      </c>
      <c r="J391" s="98" t="s">
        <v>200</v>
      </c>
      <c r="K391" s="99">
        <v>44556</v>
      </c>
      <c r="L391" s="98" t="s">
        <v>182</v>
      </c>
      <c r="M391" s="99">
        <v>43752</v>
      </c>
      <c r="N391" s="98" t="s">
        <v>201</v>
      </c>
    </row>
    <row r="392" spans="1:14" x14ac:dyDescent="0.25">
      <c r="A392" s="100">
        <v>43774</v>
      </c>
      <c r="C392" s="99">
        <v>44564</v>
      </c>
      <c r="D392" s="98" t="s">
        <v>214</v>
      </c>
      <c r="E392" s="99">
        <v>60262</v>
      </c>
      <c r="F392" s="98" t="s">
        <v>243</v>
      </c>
      <c r="G392" s="99">
        <v>48687</v>
      </c>
      <c r="H392" s="98" t="s">
        <v>162</v>
      </c>
      <c r="I392" s="99">
        <v>41540</v>
      </c>
      <c r="J392" s="98" t="s">
        <v>203</v>
      </c>
      <c r="K392" s="99">
        <v>44557</v>
      </c>
      <c r="L392" s="98" t="s">
        <v>208</v>
      </c>
      <c r="M392" s="99">
        <v>43774</v>
      </c>
      <c r="N392" s="98" t="s">
        <v>210</v>
      </c>
    </row>
    <row r="393" spans="1:14" x14ac:dyDescent="0.25">
      <c r="A393" s="100">
        <v>43780</v>
      </c>
      <c r="C393" s="99">
        <v>44587</v>
      </c>
      <c r="D393" s="98" t="s">
        <v>171</v>
      </c>
      <c r="E393" s="99">
        <v>60268</v>
      </c>
      <c r="F393" s="98" t="s">
        <v>160</v>
      </c>
      <c r="G393" s="99">
        <v>48701</v>
      </c>
      <c r="H393" s="98" t="s">
        <v>163</v>
      </c>
      <c r="I393" s="99">
        <v>41561</v>
      </c>
      <c r="J393" s="98" t="s">
        <v>234</v>
      </c>
      <c r="K393" s="99">
        <v>44558</v>
      </c>
      <c r="L393" s="98" t="s">
        <v>186</v>
      </c>
      <c r="M393" s="99">
        <v>43780</v>
      </c>
      <c r="N393" s="98" t="s">
        <v>188</v>
      </c>
    </row>
    <row r="394" spans="1:14" x14ac:dyDescent="0.25">
      <c r="A394" s="100">
        <v>43797</v>
      </c>
      <c r="C394" s="99">
        <v>44666</v>
      </c>
      <c r="D394" s="98" t="s">
        <v>159</v>
      </c>
      <c r="E394" s="99">
        <v>60353</v>
      </c>
      <c r="F394" s="98" t="s">
        <v>159</v>
      </c>
      <c r="G394" s="99">
        <v>48729</v>
      </c>
      <c r="H394" s="98" t="s">
        <v>167</v>
      </c>
      <c r="I394" s="99">
        <v>41581</v>
      </c>
      <c r="J394" s="98" t="s">
        <v>209</v>
      </c>
      <c r="K394" s="99">
        <v>44562</v>
      </c>
      <c r="L394" s="98" t="s">
        <v>160</v>
      </c>
      <c r="M394" s="99">
        <v>43797</v>
      </c>
      <c r="N394" s="98" t="s">
        <v>192</v>
      </c>
    </row>
    <row r="395" spans="1:14" x14ac:dyDescent="0.25">
      <c r="A395" s="100">
        <v>43824</v>
      </c>
      <c r="C395" s="99">
        <v>44667</v>
      </c>
      <c r="D395" s="98" t="s">
        <v>176</v>
      </c>
      <c r="E395" s="99">
        <v>60356</v>
      </c>
      <c r="F395" s="98" t="s">
        <v>162</v>
      </c>
      <c r="G395" s="99">
        <v>48820</v>
      </c>
      <c r="H395" s="98" t="s">
        <v>193</v>
      </c>
      <c r="I395" s="99">
        <v>41582</v>
      </c>
      <c r="J395" s="98" t="s">
        <v>212</v>
      </c>
      <c r="K395" s="99">
        <v>44563</v>
      </c>
      <c r="L395" s="98" t="s">
        <v>165</v>
      </c>
      <c r="M395" s="99">
        <v>43824</v>
      </c>
      <c r="N395" s="98" t="s">
        <v>177</v>
      </c>
    </row>
    <row r="396" spans="1:14" x14ac:dyDescent="0.25">
      <c r="A396" s="100">
        <v>43831</v>
      </c>
      <c r="C396" s="99">
        <v>44668</v>
      </c>
      <c r="D396" s="98" t="s">
        <v>181</v>
      </c>
      <c r="E396" s="99">
        <v>60388</v>
      </c>
      <c r="F396" s="98" t="s">
        <v>172</v>
      </c>
      <c r="G396" s="99">
        <v>48938</v>
      </c>
      <c r="H396" s="98" t="s">
        <v>177</v>
      </c>
      <c r="I396" s="99">
        <v>41601</v>
      </c>
      <c r="J396" s="98" t="s">
        <v>211</v>
      </c>
      <c r="K396" s="99">
        <v>44564</v>
      </c>
      <c r="L396" s="98" t="s">
        <v>214</v>
      </c>
      <c r="M396" s="99">
        <v>43831</v>
      </c>
      <c r="N396" s="98" t="s">
        <v>160</v>
      </c>
    </row>
    <row r="397" spans="1:14" x14ac:dyDescent="0.25">
      <c r="A397" s="100">
        <v>43850</v>
      </c>
      <c r="C397" s="99">
        <v>44669</v>
      </c>
      <c r="D397" s="98" t="s">
        <v>162</v>
      </c>
      <c r="E397" s="99">
        <v>60626</v>
      </c>
      <c r="F397" s="98" t="s">
        <v>177</v>
      </c>
      <c r="G397" s="99">
        <v>48939</v>
      </c>
      <c r="H397" s="98" t="s">
        <v>182</v>
      </c>
      <c r="I397" s="99">
        <v>41631</v>
      </c>
      <c r="J397" s="98" t="s">
        <v>173</v>
      </c>
      <c r="K397" s="99">
        <v>44565</v>
      </c>
      <c r="L397" s="98" t="s">
        <v>213</v>
      </c>
      <c r="M397" s="99">
        <v>43850</v>
      </c>
      <c r="N397" s="98" t="s">
        <v>197</v>
      </c>
    </row>
    <row r="398" spans="1:14" x14ac:dyDescent="0.25">
      <c r="A398" s="100">
        <v>43873</v>
      </c>
      <c r="C398" s="99">
        <v>44676</v>
      </c>
      <c r="D398" s="98" t="s">
        <v>185</v>
      </c>
      <c r="E398" s="99">
        <v>60627</v>
      </c>
      <c r="F398" s="98" t="s">
        <v>243</v>
      </c>
      <c r="G398" s="99">
        <v>48940</v>
      </c>
      <c r="H398" s="98" t="s">
        <v>208</v>
      </c>
      <c r="I398" s="99">
        <v>41640</v>
      </c>
      <c r="J398" s="98" t="s">
        <v>161</v>
      </c>
      <c r="K398" s="99">
        <v>44592</v>
      </c>
      <c r="L398" s="98" t="s">
        <v>206</v>
      </c>
      <c r="M398" s="99">
        <v>43873</v>
      </c>
      <c r="N398" s="98" t="s">
        <v>204</v>
      </c>
    </row>
    <row r="399" spans="1:14" x14ac:dyDescent="0.25">
      <c r="A399" s="100">
        <v>43876</v>
      </c>
      <c r="C399" s="99">
        <v>44725</v>
      </c>
      <c r="D399" s="98" t="s">
        <v>228</v>
      </c>
      <c r="E399" s="99">
        <v>60633</v>
      </c>
      <c r="F399" s="98" t="s">
        <v>160</v>
      </c>
      <c r="G399" s="99">
        <v>48945</v>
      </c>
      <c r="H399" s="98" t="s">
        <v>160</v>
      </c>
      <c r="I399" s="99">
        <v>41652</v>
      </c>
      <c r="J399" s="98" t="s">
        <v>164</v>
      </c>
      <c r="K399" s="99">
        <v>44598</v>
      </c>
      <c r="L399" s="98" t="s">
        <v>169</v>
      </c>
      <c r="M399" s="99">
        <v>43876</v>
      </c>
      <c r="N399" s="98" t="s">
        <v>207</v>
      </c>
    </row>
    <row r="400" spans="1:14" x14ac:dyDescent="0.25">
      <c r="A400" s="100">
        <v>43878</v>
      </c>
      <c r="C400" s="99">
        <v>44774</v>
      </c>
      <c r="D400" s="98" t="s">
        <v>202</v>
      </c>
      <c r="E400" s="99">
        <v>60731</v>
      </c>
      <c r="F400" s="98" t="s">
        <v>159</v>
      </c>
      <c r="G400" s="99">
        <v>48946</v>
      </c>
      <c r="H400" s="98" t="s">
        <v>214</v>
      </c>
      <c r="I400" s="99">
        <v>41681</v>
      </c>
      <c r="J400" s="98" t="s">
        <v>168</v>
      </c>
      <c r="K400" s="99">
        <v>44599</v>
      </c>
      <c r="L400" s="98" t="s">
        <v>215</v>
      </c>
      <c r="M400" s="99">
        <v>43878</v>
      </c>
      <c r="N400" s="98" t="s">
        <v>199</v>
      </c>
    </row>
    <row r="401" spans="1:14" x14ac:dyDescent="0.25">
      <c r="A401" s="100">
        <v>43976</v>
      </c>
      <c r="C401" s="99">
        <v>44826</v>
      </c>
      <c r="D401" s="98" t="s">
        <v>237</v>
      </c>
      <c r="E401" s="99">
        <v>60734</v>
      </c>
      <c r="F401" s="98" t="s">
        <v>162</v>
      </c>
      <c r="G401" s="99">
        <v>49041</v>
      </c>
      <c r="H401" s="98" t="s">
        <v>159</v>
      </c>
      <c r="I401" s="99">
        <v>41719</v>
      </c>
      <c r="J401" s="98" t="s">
        <v>178</v>
      </c>
      <c r="K401" s="99">
        <v>44666</v>
      </c>
      <c r="L401" s="98" t="s">
        <v>159</v>
      </c>
      <c r="M401" s="99">
        <v>43976</v>
      </c>
      <c r="N401" s="98" t="s">
        <v>166</v>
      </c>
    </row>
    <row r="402" spans="1:14" x14ac:dyDescent="0.25">
      <c r="A402" s="100">
        <v>44015</v>
      </c>
      <c r="C402" s="99">
        <v>44837</v>
      </c>
      <c r="D402" s="98" t="s">
        <v>189</v>
      </c>
      <c r="E402" s="99">
        <v>60753</v>
      </c>
      <c r="F402" s="98" t="s">
        <v>172</v>
      </c>
      <c r="G402" s="99">
        <v>49044</v>
      </c>
      <c r="H402" s="98" t="s">
        <v>162</v>
      </c>
      <c r="I402" s="99">
        <v>41758</v>
      </c>
      <c r="J402" s="98" t="s">
        <v>183</v>
      </c>
      <c r="K402" s="99">
        <v>44669</v>
      </c>
      <c r="L402" s="98" t="s">
        <v>162</v>
      </c>
      <c r="M402" s="99">
        <v>44015</v>
      </c>
      <c r="N402" s="98" t="s">
        <v>180</v>
      </c>
    </row>
    <row r="403" spans="1:14" x14ac:dyDescent="0.25">
      <c r="A403" s="100">
        <v>44016</v>
      </c>
      <c r="C403" s="99">
        <v>44920</v>
      </c>
      <c r="D403" s="98" t="s">
        <v>177</v>
      </c>
      <c r="E403" s="99">
        <v>60991</v>
      </c>
      <c r="F403" s="98" t="s">
        <v>177</v>
      </c>
      <c r="G403" s="99">
        <v>49065</v>
      </c>
      <c r="H403" s="98" t="s">
        <v>163</v>
      </c>
      <c r="I403" s="99">
        <v>41762</v>
      </c>
      <c r="J403" s="98" t="s">
        <v>187</v>
      </c>
      <c r="K403" s="99">
        <v>44676</v>
      </c>
      <c r="L403" s="98" t="s">
        <v>174</v>
      </c>
      <c r="M403" s="99">
        <v>44016</v>
      </c>
      <c r="N403" s="98" t="s">
        <v>175</v>
      </c>
    </row>
    <row r="404" spans="1:14" x14ac:dyDescent="0.25">
      <c r="A404" s="100">
        <v>44081</v>
      </c>
      <c r="C404" s="99">
        <v>44921</v>
      </c>
      <c r="D404" s="98" t="s">
        <v>182</v>
      </c>
      <c r="E404" s="99">
        <v>60992</v>
      </c>
      <c r="F404" s="98" t="s">
        <v>243</v>
      </c>
      <c r="G404" s="99">
        <v>49093</v>
      </c>
      <c r="H404" s="98" t="s">
        <v>167</v>
      </c>
      <c r="I404" s="99">
        <v>41763</v>
      </c>
      <c r="J404" s="98" t="s">
        <v>190</v>
      </c>
      <c r="K404" s="99">
        <v>44718</v>
      </c>
      <c r="L404" s="98" t="s">
        <v>228</v>
      </c>
      <c r="M404" s="99">
        <v>44081</v>
      </c>
      <c r="N404" s="98" t="s">
        <v>184</v>
      </c>
    </row>
    <row r="405" spans="1:14" x14ac:dyDescent="0.25">
      <c r="A405" s="100">
        <v>44116</v>
      </c>
      <c r="C405" s="99">
        <v>44922</v>
      </c>
      <c r="D405" s="98" t="s">
        <v>208</v>
      </c>
      <c r="E405" s="99">
        <v>60998</v>
      </c>
      <c r="F405" s="98" t="s">
        <v>160</v>
      </c>
      <c r="G405" s="99">
        <v>49184</v>
      </c>
      <c r="H405" s="98" t="s">
        <v>193</v>
      </c>
      <c r="I405" s="99">
        <v>41764</v>
      </c>
      <c r="J405" s="98" t="s">
        <v>194</v>
      </c>
      <c r="K405" s="99">
        <v>44736</v>
      </c>
      <c r="L405" s="98" t="s">
        <v>195</v>
      </c>
      <c r="M405" s="99">
        <v>44116</v>
      </c>
      <c r="N405" s="98" t="s">
        <v>201</v>
      </c>
    </row>
    <row r="406" spans="1:14" x14ac:dyDescent="0.25">
      <c r="A406" s="100">
        <v>44138</v>
      </c>
      <c r="C406" s="99">
        <v>44927</v>
      </c>
      <c r="D406" s="98" t="s">
        <v>160</v>
      </c>
      <c r="E406" s="99">
        <v>61088</v>
      </c>
      <c r="F406" s="98" t="s">
        <v>159</v>
      </c>
      <c r="G406" s="99">
        <v>49303</v>
      </c>
      <c r="H406" s="98" t="s">
        <v>177</v>
      </c>
      <c r="I406" s="99">
        <v>41765</v>
      </c>
      <c r="J406" s="98" t="s">
        <v>212</v>
      </c>
      <c r="K406" s="99">
        <v>44830</v>
      </c>
      <c r="L406" s="98" t="s">
        <v>238</v>
      </c>
      <c r="M406" s="99">
        <v>44138</v>
      </c>
      <c r="N406" s="98" t="s">
        <v>210</v>
      </c>
    </row>
    <row r="407" spans="1:14" x14ac:dyDescent="0.25">
      <c r="A407" s="100">
        <v>44146</v>
      </c>
      <c r="C407" s="99">
        <v>44928</v>
      </c>
      <c r="D407" s="98" t="s">
        <v>214</v>
      </c>
      <c r="E407" s="99">
        <v>61091</v>
      </c>
      <c r="F407" s="98" t="s">
        <v>162</v>
      </c>
      <c r="G407" s="99">
        <v>49304</v>
      </c>
      <c r="H407" s="98" t="s">
        <v>182</v>
      </c>
      <c r="I407" s="99">
        <v>41841</v>
      </c>
      <c r="J407" s="98" t="s">
        <v>196</v>
      </c>
      <c r="K407" s="99">
        <v>44858</v>
      </c>
      <c r="L407" s="98" t="s">
        <v>189</v>
      </c>
      <c r="M407" s="99">
        <v>44146</v>
      </c>
      <c r="N407" s="98" t="s">
        <v>188</v>
      </c>
    </row>
    <row r="408" spans="1:14" x14ac:dyDescent="0.25">
      <c r="A408" s="100">
        <v>44161</v>
      </c>
      <c r="C408" s="99">
        <v>44952</v>
      </c>
      <c r="D408" s="98" t="s">
        <v>171</v>
      </c>
      <c r="E408" s="99">
        <v>61118</v>
      </c>
      <c r="F408" s="98" t="s">
        <v>172</v>
      </c>
      <c r="G408" s="99">
        <v>49310</v>
      </c>
      <c r="H408" s="98" t="s">
        <v>160</v>
      </c>
      <c r="I408" s="99">
        <v>41897</v>
      </c>
      <c r="J408" s="98" t="s">
        <v>200</v>
      </c>
      <c r="K408" s="99">
        <v>44920</v>
      </c>
      <c r="L408" s="98" t="s">
        <v>177</v>
      </c>
      <c r="M408" s="99">
        <v>44161</v>
      </c>
      <c r="N408" s="98" t="s">
        <v>192</v>
      </c>
    </row>
    <row r="409" spans="1:14" x14ac:dyDescent="0.25">
      <c r="A409" s="100">
        <v>44190</v>
      </c>
      <c r="C409" s="99">
        <v>45023</v>
      </c>
      <c r="D409" s="98" t="s">
        <v>159</v>
      </c>
      <c r="E409" s="99">
        <v>61356</v>
      </c>
      <c r="F409" s="98" t="s">
        <v>177</v>
      </c>
      <c r="G409" s="99">
        <v>49391</v>
      </c>
      <c r="H409" s="98" t="s">
        <v>159</v>
      </c>
      <c r="I409" s="99">
        <v>41905</v>
      </c>
      <c r="J409" s="98" t="s">
        <v>203</v>
      </c>
      <c r="K409" s="99">
        <v>44921</v>
      </c>
      <c r="L409" s="98" t="s">
        <v>182</v>
      </c>
      <c r="M409" s="99">
        <v>44190</v>
      </c>
      <c r="N409" s="98" t="s">
        <v>177</v>
      </c>
    </row>
    <row r="410" spans="1:14" x14ac:dyDescent="0.25">
      <c r="A410" s="100">
        <v>44197</v>
      </c>
      <c r="C410" s="99">
        <v>45024</v>
      </c>
      <c r="D410" s="98" t="s">
        <v>176</v>
      </c>
      <c r="E410" s="99">
        <v>61357</v>
      </c>
      <c r="F410" s="98" t="s">
        <v>243</v>
      </c>
      <c r="G410" s="99">
        <v>49394</v>
      </c>
      <c r="H410" s="98" t="s">
        <v>162</v>
      </c>
      <c r="I410" s="99">
        <v>41925</v>
      </c>
      <c r="J410" s="98" t="s">
        <v>234</v>
      </c>
      <c r="K410" s="99">
        <v>44922</v>
      </c>
      <c r="L410" s="98" t="s">
        <v>208</v>
      </c>
      <c r="M410" s="99">
        <v>44197</v>
      </c>
      <c r="N410" s="98" t="s">
        <v>160</v>
      </c>
    </row>
    <row r="411" spans="1:14" x14ac:dyDescent="0.25">
      <c r="A411" s="100">
        <v>44214</v>
      </c>
      <c r="C411" s="99">
        <v>45025</v>
      </c>
      <c r="D411" s="98" t="s">
        <v>181</v>
      </c>
      <c r="E411" s="99">
        <v>61363</v>
      </c>
      <c r="F411" s="98" t="s">
        <v>160</v>
      </c>
      <c r="G411" s="99">
        <v>49436</v>
      </c>
      <c r="H411" s="98" t="s">
        <v>163</v>
      </c>
      <c r="I411" s="99">
        <v>41946</v>
      </c>
      <c r="J411" s="98" t="s">
        <v>209</v>
      </c>
      <c r="K411" s="99">
        <v>44927</v>
      </c>
      <c r="L411" s="98" t="s">
        <v>160</v>
      </c>
      <c r="M411" s="99">
        <v>44214</v>
      </c>
      <c r="N411" s="98" t="s">
        <v>197</v>
      </c>
    </row>
    <row r="412" spans="1:14" x14ac:dyDescent="0.25">
      <c r="A412" s="100">
        <v>44239</v>
      </c>
      <c r="C412" s="99">
        <v>45026</v>
      </c>
      <c r="D412" s="98" t="s">
        <v>162</v>
      </c>
      <c r="E412" s="99">
        <v>61473</v>
      </c>
      <c r="F412" s="98" t="s">
        <v>159</v>
      </c>
      <c r="G412" s="99">
        <v>49457</v>
      </c>
      <c r="H412" s="98" t="s">
        <v>167</v>
      </c>
      <c r="I412" s="99">
        <v>41966</v>
      </c>
      <c r="J412" s="98" t="s">
        <v>211</v>
      </c>
      <c r="K412" s="99">
        <v>44928</v>
      </c>
      <c r="L412" s="98" t="s">
        <v>165</v>
      </c>
      <c r="M412" s="99">
        <v>44239</v>
      </c>
      <c r="N412" s="98" t="s">
        <v>204</v>
      </c>
    </row>
    <row r="413" spans="1:14" x14ac:dyDescent="0.25">
      <c r="A413" s="100">
        <v>44242</v>
      </c>
      <c r="C413" s="99">
        <v>45041</v>
      </c>
      <c r="D413" s="98" t="s">
        <v>185</v>
      </c>
      <c r="E413" s="99">
        <v>61476</v>
      </c>
      <c r="F413" s="98" t="s">
        <v>162</v>
      </c>
      <c r="G413" s="99">
        <v>49548</v>
      </c>
      <c r="H413" s="98" t="s">
        <v>193</v>
      </c>
      <c r="I413" s="99">
        <v>41967</v>
      </c>
      <c r="J413" s="98" t="s">
        <v>212</v>
      </c>
      <c r="K413" s="99">
        <v>44929</v>
      </c>
      <c r="L413" s="98" t="s">
        <v>214</v>
      </c>
      <c r="M413" s="99">
        <v>44242</v>
      </c>
      <c r="N413" s="98" t="s">
        <v>217</v>
      </c>
    </row>
    <row r="414" spans="1:14" x14ac:dyDescent="0.25">
      <c r="A414" s="100">
        <v>44347</v>
      </c>
      <c r="C414" s="99">
        <v>45089</v>
      </c>
      <c r="D414" s="98" t="s">
        <v>191</v>
      </c>
      <c r="E414" s="99">
        <v>61484</v>
      </c>
      <c r="F414" s="98" t="s">
        <v>172</v>
      </c>
      <c r="G414" s="99">
        <v>49668</v>
      </c>
      <c r="H414" s="98" t="s">
        <v>177</v>
      </c>
      <c r="I414" s="99">
        <v>41996</v>
      </c>
      <c r="J414" s="98" t="s">
        <v>173</v>
      </c>
      <c r="K414" s="99">
        <v>44956</v>
      </c>
      <c r="L414" s="98" t="s">
        <v>206</v>
      </c>
      <c r="M414" s="99">
        <v>44347</v>
      </c>
      <c r="N414" s="98" t="s">
        <v>166</v>
      </c>
    </row>
    <row r="415" spans="1:14" x14ac:dyDescent="0.25">
      <c r="A415" s="100">
        <v>44365</v>
      </c>
      <c r="C415" s="99">
        <v>45145</v>
      </c>
      <c r="D415" s="98" t="s">
        <v>202</v>
      </c>
      <c r="E415" s="99">
        <v>61722</v>
      </c>
      <c r="F415" s="98" t="s">
        <v>177</v>
      </c>
      <c r="G415" s="99">
        <v>49669</v>
      </c>
      <c r="H415" s="98" t="s">
        <v>182</v>
      </c>
      <c r="I415" s="99">
        <v>42005</v>
      </c>
      <c r="J415" s="98" t="s">
        <v>161</v>
      </c>
      <c r="K415" s="99">
        <v>44963</v>
      </c>
      <c r="L415" s="98" t="s">
        <v>169</v>
      </c>
      <c r="M415" s="99">
        <v>44365</v>
      </c>
      <c r="N415" s="98" t="s">
        <v>216</v>
      </c>
    </row>
    <row r="416" spans="1:14" x14ac:dyDescent="0.25">
      <c r="A416" s="100">
        <v>44366</v>
      </c>
      <c r="C416" s="99">
        <v>45201</v>
      </c>
      <c r="D416" s="98" t="s">
        <v>189</v>
      </c>
      <c r="E416" s="99">
        <v>61723</v>
      </c>
      <c r="F416" s="98" t="s">
        <v>243</v>
      </c>
      <c r="G416" s="99">
        <v>49675</v>
      </c>
      <c r="H416" s="98" t="s">
        <v>160</v>
      </c>
      <c r="I416" s="99">
        <v>42016</v>
      </c>
      <c r="J416" s="98" t="s">
        <v>164</v>
      </c>
      <c r="K416" s="99">
        <v>45023</v>
      </c>
      <c r="L416" s="98" t="s">
        <v>159</v>
      </c>
      <c r="M416" s="99">
        <v>44366</v>
      </c>
      <c r="N416" s="98" t="s">
        <v>170</v>
      </c>
    </row>
    <row r="417" spans="1:14" x14ac:dyDescent="0.25">
      <c r="A417" s="100">
        <v>44381</v>
      </c>
      <c r="C417" s="99">
        <v>45285</v>
      </c>
      <c r="D417" s="98" t="s">
        <v>177</v>
      </c>
      <c r="E417" s="99">
        <v>61729</v>
      </c>
      <c r="F417" s="98" t="s">
        <v>160</v>
      </c>
      <c r="G417" s="99">
        <v>49776</v>
      </c>
      <c r="H417" s="98" t="s">
        <v>159</v>
      </c>
      <c r="I417" s="99">
        <v>42046</v>
      </c>
      <c r="J417" s="98" t="s">
        <v>168</v>
      </c>
      <c r="K417" s="99">
        <v>45026</v>
      </c>
      <c r="L417" s="98" t="s">
        <v>162</v>
      </c>
      <c r="M417" s="99">
        <v>44381</v>
      </c>
      <c r="N417" s="98" t="s">
        <v>175</v>
      </c>
    </row>
    <row r="418" spans="1:14" x14ac:dyDescent="0.25">
      <c r="A418" s="100">
        <v>44382</v>
      </c>
      <c r="C418" s="99">
        <v>45286</v>
      </c>
      <c r="D418" s="98" t="s">
        <v>182</v>
      </c>
      <c r="E418" s="99">
        <v>61830</v>
      </c>
      <c r="F418" s="98" t="s">
        <v>159</v>
      </c>
      <c r="G418" s="99">
        <v>49779</v>
      </c>
      <c r="H418" s="98" t="s">
        <v>162</v>
      </c>
      <c r="I418" s="99">
        <v>42084</v>
      </c>
      <c r="J418" s="98" t="s">
        <v>178</v>
      </c>
      <c r="K418" s="99">
        <v>45041</v>
      </c>
      <c r="L418" s="98" t="s">
        <v>174</v>
      </c>
      <c r="M418" s="99">
        <v>44382</v>
      </c>
      <c r="N418" s="98" t="s">
        <v>180</v>
      </c>
    </row>
    <row r="419" spans="1:14" x14ac:dyDescent="0.25">
      <c r="A419" s="100">
        <v>44445</v>
      </c>
      <c r="C419" s="99">
        <v>45292</v>
      </c>
      <c r="D419" s="98" t="s">
        <v>160</v>
      </c>
      <c r="E419" s="99">
        <v>61833</v>
      </c>
      <c r="F419" s="98" t="s">
        <v>162</v>
      </c>
      <c r="G419" s="99">
        <v>49800</v>
      </c>
      <c r="H419" s="98" t="s">
        <v>163</v>
      </c>
      <c r="I419" s="99">
        <v>42123</v>
      </c>
      <c r="J419" s="98" t="s">
        <v>183</v>
      </c>
      <c r="K419" s="99">
        <v>45082</v>
      </c>
      <c r="L419" s="98" t="s">
        <v>191</v>
      </c>
      <c r="M419" s="99">
        <v>44445</v>
      </c>
      <c r="N419" s="98" t="s">
        <v>184</v>
      </c>
    </row>
    <row r="420" spans="1:14" x14ac:dyDescent="0.25">
      <c r="A420" s="100">
        <v>44480</v>
      </c>
      <c r="C420" s="99">
        <v>45317</v>
      </c>
      <c r="D420" s="98" t="s">
        <v>171</v>
      </c>
      <c r="E420" s="99">
        <v>61849</v>
      </c>
      <c r="F420" s="98" t="s">
        <v>172</v>
      </c>
      <c r="G420" s="99">
        <v>49821</v>
      </c>
      <c r="H420" s="98" t="s">
        <v>167</v>
      </c>
      <c r="I420" s="99">
        <v>42127</v>
      </c>
      <c r="J420" s="98" t="s">
        <v>187</v>
      </c>
      <c r="K420" s="99">
        <v>45121</v>
      </c>
      <c r="L420" s="98" t="s">
        <v>195</v>
      </c>
      <c r="M420" s="99">
        <v>44480</v>
      </c>
      <c r="N420" s="98" t="s">
        <v>201</v>
      </c>
    </row>
    <row r="421" spans="1:14" x14ac:dyDescent="0.25">
      <c r="A421" s="100">
        <v>44502</v>
      </c>
      <c r="C421" s="99">
        <v>45380</v>
      </c>
      <c r="D421" s="98" t="s">
        <v>159</v>
      </c>
      <c r="E421" s="99">
        <v>62087</v>
      </c>
      <c r="F421" s="98" t="s">
        <v>177</v>
      </c>
      <c r="G421" s="99">
        <v>49912</v>
      </c>
      <c r="H421" s="98" t="s">
        <v>193</v>
      </c>
      <c r="I421" s="99">
        <v>42128</v>
      </c>
      <c r="J421" s="98" t="s">
        <v>190</v>
      </c>
      <c r="K421" s="99">
        <v>45222</v>
      </c>
      <c r="L421" s="98" t="s">
        <v>189</v>
      </c>
      <c r="M421" s="99">
        <v>44502</v>
      </c>
      <c r="N421" s="98" t="s">
        <v>210</v>
      </c>
    </row>
    <row r="422" spans="1:14" x14ac:dyDescent="0.25">
      <c r="A422" s="100">
        <v>44511</v>
      </c>
      <c r="C422" s="99">
        <v>45381</v>
      </c>
      <c r="D422" s="98" t="s">
        <v>176</v>
      </c>
      <c r="E422" s="99">
        <v>62088</v>
      </c>
      <c r="F422" s="98" t="s">
        <v>243</v>
      </c>
      <c r="G422" s="99">
        <v>50034</v>
      </c>
      <c r="H422" s="98" t="s">
        <v>177</v>
      </c>
      <c r="I422" s="99">
        <v>42129</v>
      </c>
      <c r="J422" s="98" t="s">
        <v>194</v>
      </c>
      <c r="K422" s="99">
        <v>45285</v>
      </c>
      <c r="L422" s="98" t="s">
        <v>177</v>
      </c>
      <c r="M422" s="99">
        <v>44511</v>
      </c>
      <c r="N422" s="98" t="s">
        <v>188</v>
      </c>
    </row>
    <row r="423" spans="1:14" x14ac:dyDescent="0.25">
      <c r="A423" s="100">
        <v>44525</v>
      </c>
      <c r="C423" s="99">
        <v>45382</v>
      </c>
      <c r="D423" s="98" t="s">
        <v>181</v>
      </c>
      <c r="E423" s="99">
        <v>62094</v>
      </c>
      <c r="F423" s="98" t="s">
        <v>160</v>
      </c>
      <c r="G423" s="99">
        <v>50035</v>
      </c>
      <c r="H423" s="98" t="s">
        <v>182</v>
      </c>
      <c r="I423" s="99">
        <v>42130</v>
      </c>
      <c r="J423" s="98" t="s">
        <v>212</v>
      </c>
      <c r="K423" s="99">
        <v>45286</v>
      </c>
      <c r="L423" s="98" t="s">
        <v>182</v>
      </c>
      <c r="M423" s="99">
        <v>44525</v>
      </c>
      <c r="N423" s="98" t="s">
        <v>192</v>
      </c>
    </row>
    <row r="424" spans="1:14" x14ac:dyDescent="0.25">
      <c r="A424" s="100">
        <v>44554</v>
      </c>
      <c r="C424" s="99">
        <v>45383</v>
      </c>
      <c r="D424" s="98" t="s">
        <v>162</v>
      </c>
      <c r="E424" s="99">
        <v>62180</v>
      </c>
      <c r="F424" s="98" t="s">
        <v>159</v>
      </c>
      <c r="G424" s="99">
        <v>50041</v>
      </c>
      <c r="H424" s="98" t="s">
        <v>160</v>
      </c>
      <c r="I424" s="99">
        <v>42205</v>
      </c>
      <c r="J424" s="98" t="s">
        <v>196</v>
      </c>
      <c r="K424" s="99">
        <v>45292</v>
      </c>
      <c r="L424" s="98" t="s">
        <v>160</v>
      </c>
      <c r="M424" s="99">
        <v>44554</v>
      </c>
      <c r="N424" s="98" t="s">
        <v>208</v>
      </c>
    </row>
    <row r="425" spans="1:14" x14ac:dyDescent="0.25">
      <c r="A425" s="100">
        <v>44555</v>
      </c>
      <c r="C425" s="99">
        <v>45407</v>
      </c>
      <c r="D425" s="98" t="s">
        <v>185</v>
      </c>
      <c r="E425" s="99">
        <v>62183</v>
      </c>
      <c r="F425" s="98" t="s">
        <v>162</v>
      </c>
      <c r="G425" s="99">
        <v>50133</v>
      </c>
      <c r="H425" s="98" t="s">
        <v>159</v>
      </c>
      <c r="I425" s="99">
        <v>42268</v>
      </c>
      <c r="J425" s="98" t="s">
        <v>200</v>
      </c>
      <c r="K425" s="99">
        <v>45293</v>
      </c>
      <c r="L425" s="98" t="s">
        <v>165</v>
      </c>
      <c r="M425" s="99">
        <v>44555</v>
      </c>
      <c r="N425" s="98" t="s">
        <v>177</v>
      </c>
    </row>
    <row r="426" spans="1:14" x14ac:dyDescent="0.25">
      <c r="A426" s="100">
        <v>44561</v>
      </c>
      <c r="C426" s="99">
        <v>45453</v>
      </c>
      <c r="D426" s="98" t="s">
        <v>191</v>
      </c>
      <c r="E426" s="99">
        <v>62214</v>
      </c>
      <c r="F426" s="98" t="s">
        <v>172</v>
      </c>
      <c r="G426" s="99">
        <v>50136</v>
      </c>
      <c r="H426" s="98" t="s">
        <v>162</v>
      </c>
      <c r="I426" s="99">
        <v>42269</v>
      </c>
      <c r="J426" s="98" t="s">
        <v>218</v>
      </c>
      <c r="K426" s="99">
        <v>45320</v>
      </c>
      <c r="L426" s="98" t="s">
        <v>206</v>
      </c>
      <c r="M426" s="99">
        <v>44561</v>
      </c>
      <c r="N426" s="98" t="s">
        <v>214</v>
      </c>
    </row>
    <row r="427" spans="1:14" x14ac:dyDescent="0.25">
      <c r="A427" s="100">
        <v>44562</v>
      </c>
      <c r="C427" s="99">
        <v>45509</v>
      </c>
      <c r="D427" s="98" t="s">
        <v>202</v>
      </c>
      <c r="E427" s="99">
        <v>62452</v>
      </c>
      <c r="F427" s="98" t="s">
        <v>177</v>
      </c>
      <c r="G427" s="99">
        <v>50164</v>
      </c>
      <c r="H427" s="98" t="s">
        <v>163</v>
      </c>
      <c r="I427" s="99">
        <v>42270</v>
      </c>
      <c r="J427" s="98" t="s">
        <v>203</v>
      </c>
      <c r="K427" s="99">
        <v>45328</v>
      </c>
      <c r="L427" s="98" t="s">
        <v>169</v>
      </c>
      <c r="M427" s="99">
        <v>44562</v>
      </c>
      <c r="N427" s="98" t="s">
        <v>160</v>
      </c>
    </row>
    <row r="428" spans="1:14" x14ac:dyDescent="0.25">
      <c r="A428" s="100">
        <v>44578</v>
      </c>
      <c r="C428" s="99">
        <v>45572</v>
      </c>
      <c r="D428" s="98" t="s">
        <v>189</v>
      </c>
      <c r="E428" s="99">
        <v>62453</v>
      </c>
      <c r="F428" s="98" t="s">
        <v>243</v>
      </c>
      <c r="G428" s="99">
        <v>50185</v>
      </c>
      <c r="H428" s="98" t="s">
        <v>167</v>
      </c>
      <c r="I428" s="99">
        <v>42289</v>
      </c>
      <c r="J428" s="98" t="s">
        <v>234</v>
      </c>
      <c r="K428" s="99">
        <v>45380</v>
      </c>
      <c r="L428" s="98" t="s">
        <v>159</v>
      </c>
      <c r="M428" s="99">
        <v>44578</v>
      </c>
      <c r="N428" s="98" t="s">
        <v>197</v>
      </c>
    </row>
    <row r="429" spans="1:14" x14ac:dyDescent="0.25">
      <c r="A429" s="100">
        <v>44603</v>
      </c>
      <c r="C429" s="99">
        <v>45651</v>
      </c>
      <c r="D429" s="98" t="s">
        <v>177</v>
      </c>
      <c r="E429" s="99">
        <v>62459</v>
      </c>
      <c r="F429" s="98" t="s">
        <v>160</v>
      </c>
      <c r="G429" s="99">
        <v>50283</v>
      </c>
      <c r="H429" s="98" t="s">
        <v>193</v>
      </c>
      <c r="I429" s="99">
        <v>42311</v>
      </c>
      <c r="J429" s="98" t="s">
        <v>209</v>
      </c>
      <c r="K429" s="99">
        <v>45383</v>
      </c>
      <c r="L429" s="98" t="s">
        <v>162</v>
      </c>
      <c r="M429" s="99">
        <v>44603</v>
      </c>
      <c r="N429" s="98" t="s">
        <v>219</v>
      </c>
    </row>
    <row r="430" spans="1:14" x14ac:dyDescent="0.25">
      <c r="A430" s="100">
        <v>44604</v>
      </c>
      <c r="C430" s="99">
        <v>45652</v>
      </c>
      <c r="D430" s="98" t="s">
        <v>182</v>
      </c>
      <c r="E430" s="99">
        <v>62565</v>
      </c>
      <c r="F430" s="98" t="s">
        <v>159</v>
      </c>
      <c r="G430" s="99">
        <v>50399</v>
      </c>
      <c r="H430" s="98" t="s">
        <v>177</v>
      </c>
      <c r="I430" s="99">
        <v>42331</v>
      </c>
      <c r="J430" s="98" t="s">
        <v>211</v>
      </c>
      <c r="K430" s="99">
        <v>45407</v>
      </c>
      <c r="L430" s="98" t="s">
        <v>174</v>
      </c>
      <c r="M430" s="99">
        <v>44604</v>
      </c>
      <c r="N430" s="98" t="s">
        <v>204</v>
      </c>
    </row>
    <row r="431" spans="1:14" x14ac:dyDescent="0.25">
      <c r="A431" s="100">
        <v>44607</v>
      </c>
      <c r="C431" s="99">
        <v>45658</v>
      </c>
      <c r="D431" s="98" t="s">
        <v>160</v>
      </c>
      <c r="E431" s="99">
        <v>62568</v>
      </c>
      <c r="F431" s="98" t="s">
        <v>162</v>
      </c>
      <c r="G431" s="99">
        <v>50400</v>
      </c>
      <c r="H431" s="98" t="s">
        <v>182</v>
      </c>
      <c r="I431" s="99">
        <v>42361</v>
      </c>
      <c r="J431" s="98" t="s">
        <v>173</v>
      </c>
      <c r="K431" s="99">
        <v>45446</v>
      </c>
      <c r="L431" s="98" t="s">
        <v>191</v>
      </c>
      <c r="M431" s="99">
        <v>44607</v>
      </c>
      <c r="N431" s="98" t="s">
        <v>207</v>
      </c>
    </row>
    <row r="432" spans="1:14" x14ac:dyDescent="0.25">
      <c r="A432" s="100">
        <v>44613</v>
      </c>
      <c r="C432" s="99">
        <v>45684</v>
      </c>
      <c r="D432" s="98" t="s">
        <v>171</v>
      </c>
      <c r="E432" s="99">
        <v>62579</v>
      </c>
      <c r="F432" s="98" t="s">
        <v>172</v>
      </c>
      <c r="G432" s="99">
        <v>50402</v>
      </c>
      <c r="H432" s="98" t="s">
        <v>186</v>
      </c>
      <c r="I432" s="99">
        <v>42370</v>
      </c>
      <c r="J432" s="98" t="s">
        <v>161</v>
      </c>
      <c r="K432" s="99">
        <v>45471</v>
      </c>
      <c r="L432" s="98" t="s">
        <v>195</v>
      </c>
      <c r="M432" s="99">
        <v>44613</v>
      </c>
      <c r="N432" s="98" t="s">
        <v>199</v>
      </c>
    </row>
    <row r="433" spans="1:14" x14ac:dyDescent="0.25">
      <c r="A433" s="100">
        <v>44711</v>
      </c>
      <c r="C433" s="99">
        <v>45765</v>
      </c>
      <c r="D433" s="98" t="s">
        <v>159</v>
      </c>
      <c r="E433" s="99">
        <v>62817</v>
      </c>
      <c r="F433" s="98" t="s">
        <v>177</v>
      </c>
      <c r="G433" s="99">
        <v>50406</v>
      </c>
      <c r="H433" s="98" t="s">
        <v>160</v>
      </c>
      <c r="I433" s="99">
        <v>42380</v>
      </c>
      <c r="J433" s="98" t="s">
        <v>164</v>
      </c>
      <c r="K433" s="99">
        <v>45593</v>
      </c>
      <c r="L433" s="98" t="s">
        <v>189</v>
      </c>
      <c r="M433" s="99">
        <v>44711</v>
      </c>
      <c r="N433" s="98" t="s">
        <v>166</v>
      </c>
    </row>
    <row r="434" spans="1:14" x14ac:dyDescent="0.25">
      <c r="A434" s="100">
        <v>44731</v>
      </c>
      <c r="C434" s="99">
        <v>45766</v>
      </c>
      <c r="D434" s="98" t="s">
        <v>176</v>
      </c>
      <c r="E434" s="99">
        <v>62818</v>
      </c>
      <c r="F434" s="98" t="s">
        <v>243</v>
      </c>
      <c r="G434" s="99">
        <v>50518</v>
      </c>
      <c r="H434" s="98" t="s">
        <v>159</v>
      </c>
      <c r="I434" s="99">
        <v>42411</v>
      </c>
      <c r="J434" s="98" t="s">
        <v>168</v>
      </c>
      <c r="K434" s="99">
        <v>45651</v>
      </c>
      <c r="L434" s="98" t="s">
        <v>177</v>
      </c>
      <c r="M434" s="99">
        <v>44731</v>
      </c>
      <c r="N434" s="98" t="s">
        <v>170</v>
      </c>
    </row>
    <row r="435" spans="1:14" x14ac:dyDescent="0.25">
      <c r="A435" s="100">
        <v>44732</v>
      </c>
      <c r="C435" s="99">
        <v>45767</v>
      </c>
      <c r="D435" s="98" t="s">
        <v>181</v>
      </c>
      <c r="E435" s="99">
        <v>62824</v>
      </c>
      <c r="F435" s="98" t="s">
        <v>160</v>
      </c>
      <c r="G435" s="99">
        <v>50521</v>
      </c>
      <c r="H435" s="98" t="s">
        <v>162</v>
      </c>
      <c r="I435" s="99">
        <v>42449</v>
      </c>
      <c r="J435" s="98" t="s">
        <v>178</v>
      </c>
      <c r="K435" s="99">
        <v>45652</v>
      </c>
      <c r="L435" s="98" t="s">
        <v>182</v>
      </c>
      <c r="M435" s="99">
        <v>44732</v>
      </c>
      <c r="N435" s="98" t="s">
        <v>216</v>
      </c>
    </row>
    <row r="436" spans="1:14" x14ac:dyDescent="0.25">
      <c r="A436" s="100">
        <v>44746</v>
      </c>
      <c r="C436" s="99">
        <v>45768</v>
      </c>
      <c r="D436" s="98" t="s">
        <v>162</v>
      </c>
      <c r="E436" s="99">
        <v>62922</v>
      </c>
      <c r="F436" s="98" t="s">
        <v>159</v>
      </c>
      <c r="G436" s="99">
        <v>50528</v>
      </c>
      <c r="H436" s="98" t="s">
        <v>163</v>
      </c>
      <c r="I436" s="99">
        <v>42450</v>
      </c>
      <c r="J436" s="98" t="s">
        <v>212</v>
      </c>
      <c r="K436" s="99">
        <v>45658</v>
      </c>
      <c r="L436" s="98" t="s">
        <v>160</v>
      </c>
      <c r="M436" s="99">
        <v>44746</v>
      </c>
      <c r="N436" s="98" t="s">
        <v>175</v>
      </c>
    </row>
    <row r="437" spans="1:14" x14ac:dyDescent="0.25">
      <c r="A437" s="100">
        <v>44809</v>
      </c>
      <c r="C437" s="99">
        <v>45772</v>
      </c>
      <c r="D437" s="98" t="s">
        <v>185</v>
      </c>
      <c r="E437" s="99">
        <v>62925</v>
      </c>
      <c r="F437" s="98" t="s">
        <v>162</v>
      </c>
      <c r="G437" s="99">
        <v>50556</v>
      </c>
      <c r="H437" s="98" t="s">
        <v>167</v>
      </c>
      <c r="I437" s="99">
        <v>42489</v>
      </c>
      <c r="J437" s="98" t="s">
        <v>183</v>
      </c>
      <c r="K437" s="99">
        <v>45659</v>
      </c>
      <c r="L437" s="98" t="s">
        <v>165</v>
      </c>
      <c r="M437" s="99">
        <v>44809</v>
      </c>
      <c r="N437" s="98" t="s">
        <v>184</v>
      </c>
    </row>
    <row r="438" spans="1:14" x14ac:dyDescent="0.25">
      <c r="A438" s="100">
        <v>44844</v>
      </c>
      <c r="C438" s="99">
        <v>45817</v>
      </c>
      <c r="D438" s="98" t="s">
        <v>191</v>
      </c>
      <c r="E438" s="99">
        <v>62945</v>
      </c>
      <c r="F438" s="98" t="s">
        <v>172</v>
      </c>
      <c r="G438" s="99">
        <v>50647</v>
      </c>
      <c r="H438" s="98" t="s">
        <v>193</v>
      </c>
      <c r="I438" s="99">
        <v>42493</v>
      </c>
      <c r="J438" s="98" t="s">
        <v>187</v>
      </c>
      <c r="K438" s="99">
        <v>45684</v>
      </c>
      <c r="L438" s="98" t="s">
        <v>206</v>
      </c>
      <c r="M438" s="99">
        <v>44844</v>
      </c>
      <c r="N438" s="98" t="s">
        <v>201</v>
      </c>
    </row>
    <row r="439" spans="1:14" x14ac:dyDescent="0.25">
      <c r="A439" s="100">
        <v>44873</v>
      </c>
      <c r="C439" s="99">
        <v>45873</v>
      </c>
      <c r="D439" s="98" t="s">
        <v>202</v>
      </c>
      <c r="E439" s="99">
        <v>63183</v>
      </c>
      <c r="F439" s="98" t="s">
        <v>177</v>
      </c>
      <c r="G439" s="99">
        <v>50764</v>
      </c>
      <c r="H439" s="98" t="s">
        <v>177</v>
      </c>
      <c r="I439" s="99">
        <v>42494</v>
      </c>
      <c r="J439" s="98" t="s">
        <v>190</v>
      </c>
      <c r="K439" s="99">
        <v>45694</v>
      </c>
      <c r="L439" s="98" t="s">
        <v>169</v>
      </c>
      <c r="M439" s="99">
        <v>44873</v>
      </c>
      <c r="N439" s="98" t="s">
        <v>210</v>
      </c>
    </row>
    <row r="440" spans="1:14" x14ac:dyDescent="0.25">
      <c r="A440" s="100">
        <v>44876</v>
      </c>
      <c r="C440" s="99">
        <v>45936</v>
      </c>
      <c r="D440" s="98" t="s">
        <v>189</v>
      </c>
      <c r="E440" s="99">
        <v>63184</v>
      </c>
      <c r="F440" s="98" t="s">
        <v>243</v>
      </c>
      <c r="G440" s="99">
        <v>50765</v>
      </c>
      <c r="H440" s="98" t="s">
        <v>182</v>
      </c>
      <c r="I440" s="99">
        <v>42495</v>
      </c>
      <c r="J440" s="98" t="s">
        <v>194</v>
      </c>
      <c r="K440" s="99">
        <v>45765</v>
      </c>
      <c r="L440" s="98" t="s">
        <v>159</v>
      </c>
      <c r="M440" s="99">
        <v>44876</v>
      </c>
      <c r="N440" s="98" t="s">
        <v>188</v>
      </c>
    </row>
    <row r="441" spans="1:14" x14ac:dyDescent="0.25">
      <c r="A441" s="100">
        <v>44889</v>
      </c>
      <c r="C441" s="99">
        <v>46016</v>
      </c>
      <c r="D441" s="98" t="s">
        <v>177</v>
      </c>
      <c r="E441" s="99">
        <v>63190</v>
      </c>
      <c r="F441" s="98" t="s">
        <v>160</v>
      </c>
      <c r="G441" s="99">
        <v>50766</v>
      </c>
      <c r="H441" s="98" t="s">
        <v>208</v>
      </c>
      <c r="I441" s="99">
        <v>42569</v>
      </c>
      <c r="J441" s="98" t="s">
        <v>196</v>
      </c>
      <c r="K441" s="99">
        <v>45768</v>
      </c>
      <c r="L441" s="98" t="s">
        <v>162</v>
      </c>
      <c r="M441" s="99">
        <v>44889</v>
      </c>
      <c r="N441" s="98" t="s">
        <v>192</v>
      </c>
    </row>
    <row r="442" spans="1:14" x14ac:dyDescent="0.25">
      <c r="A442" s="100">
        <v>44920</v>
      </c>
      <c r="C442" s="99">
        <v>46017</v>
      </c>
      <c r="D442" s="98" t="s">
        <v>182</v>
      </c>
      <c r="E442" s="99">
        <v>63272</v>
      </c>
      <c r="F442" s="98" t="s">
        <v>159</v>
      </c>
      <c r="G442" s="99">
        <v>50767</v>
      </c>
      <c r="H442" s="98" t="s">
        <v>186</v>
      </c>
      <c r="I442" s="99">
        <v>42593</v>
      </c>
      <c r="J442" s="98" t="s">
        <v>198</v>
      </c>
      <c r="K442" s="99">
        <v>45772</v>
      </c>
      <c r="L442" s="98" t="s">
        <v>174</v>
      </c>
      <c r="M442" s="99">
        <v>44920</v>
      </c>
      <c r="N442" s="98" t="s">
        <v>177</v>
      </c>
    </row>
    <row r="443" spans="1:14" x14ac:dyDescent="0.25">
      <c r="A443" s="100">
        <v>44921</v>
      </c>
      <c r="C443" s="99">
        <v>46023</v>
      </c>
      <c r="D443" s="98" t="s">
        <v>160</v>
      </c>
      <c r="E443" s="99">
        <v>63275</v>
      </c>
      <c r="F443" s="98" t="s">
        <v>162</v>
      </c>
      <c r="G443" s="99">
        <v>50771</v>
      </c>
      <c r="H443" s="98" t="s">
        <v>160</v>
      </c>
      <c r="I443" s="99">
        <v>42632</v>
      </c>
      <c r="J443" s="98" t="s">
        <v>200</v>
      </c>
      <c r="K443" s="99">
        <v>45810</v>
      </c>
      <c r="L443" s="98" t="s">
        <v>191</v>
      </c>
      <c r="M443" s="99">
        <v>44921</v>
      </c>
      <c r="N443" s="98" t="s">
        <v>208</v>
      </c>
    </row>
    <row r="444" spans="1:14" x14ac:dyDescent="0.25">
      <c r="A444" s="100">
        <v>44927</v>
      </c>
      <c r="C444" s="99">
        <v>46048</v>
      </c>
      <c r="D444" s="98" t="s">
        <v>171</v>
      </c>
      <c r="E444" s="99">
        <v>63310</v>
      </c>
      <c r="F444" s="98" t="s">
        <v>172</v>
      </c>
      <c r="G444" s="99">
        <v>50773</v>
      </c>
      <c r="H444" s="98" t="s">
        <v>214</v>
      </c>
      <c r="I444" s="99">
        <v>42635</v>
      </c>
      <c r="J444" s="98" t="s">
        <v>203</v>
      </c>
      <c r="K444" s="99">
        <v>45828</v>
      </c>
      <c r="L444" s="98" t="s">
        <v>195</v>
      </c>
      <c r="M444" s="99">
        <v>44927</v>
      </c>
      <c r="N444" s="98" t="s">
        <v>160</v>
      </c>
    </row>
    <row r="445" spans="1:14" x14ac:dyDescent="0.25">
      <c r="A445" s="100">
        <v>44928</v>
      </c>
      <c r="C445" s="99">
        <v>46115</v>
      </c>
      <c r="D445" s="98" t="s">
        <v>159</v>
      </c>
      <c r="E445" s="99">
        <v>63548</v>
      </c>
      <c r="F445" s="98" t="s">
        <v>177</v>
      </c>
      <c r="G445" s="99">
        <v>50868</v>
      </c>
      <c r="H445" s="98" t="s">
        <v>159</v>
      </c>
      <c r="I445" s="99">
        <v>42653</v>
      </c>
      <c r="J445" s="98" t="s">
        <v>234</v>
      </c>
      <c r="K445" s="99">
        <v>45957</v>
      </c>
      <c r="L445" s="98" t="s">
        <v>189</v>
      </c>
      <c r="M445" s="99">
        <v>44928</v>
      </c>
      <c r="N445" s="98" t="s">
        <v>214</v>
      </c>
    </row>
    <row r="446" spans="1:14" x14ac:dyDescent="0.25">
      <c r="A446" s="100">
        <v>44942</v>
      </c>
      <c r="C446" s="99">
        <v>46116</v>
      </c>
      <c r="D446" s="98" t="s">
        <v>176</v>
      </c>
      <c r="E446" s="99">
        <v>63549</v>
      </c>
      <c r="F446" s="98" t="s">
        <v>243</v>
      </c>
      <c r="G446" s="99">
        <v>50871</v>
      </c>
      <c r="H446" s="98" t="s">
        <v>162</v>
      </c>
      <c r="I446" s="99">
        <v>42677</v>
      </c>
      <c r="J446" s="98" t="s">
        <v>209</v>
      </c>
      <c r="K446" s="99">
        <v>46016</v>
      </c>
      <c r="L446" s="98" t="s">
        <v>177</v>
      </c>
      <c r="M446" s="99">
        <v>44942</v>
      </c>
      <c r="N446" s="98" t="s">
        <v>197</v>
      </c>
    </row>
    <row r="447" spans="1:14" x14ac:dyDescent="0.25">
      <c r="A447" s="100">
        <v>44969</v>
      </c>
      <c r="C447" s="99">
        <v>46117</v>
      </c>
      <c r="D447" s="98" t="s">
        <v>181</v>
      </c>
      <c r="E447" s="99">
        <v>63555</v>
      </c>
      <c r="F447" s="98" t="s">
        <v>160</v>
      </c>
      <c r="G447" s="99">
        <v>50892</v>
      </c>
      <c r="H447" s="98" t="s">
        <v>163</v>
      </c>
      <c r="I447" s="99">
        <v>42697</v>
      </c>
      <c r="J447" s="98" t="s">
        <v>211</v>
      </c>
      <c r="K447" s="99">
        <v>46017</v>
      </c>
      <c r="L447" s="98" t="s">
        <v>182</v>
      </c>
      <c r="M447" s="99">
        <v>44969</v>
      </c>
      <c r="N447" s="98" t="s">
        <v>204</v>
      </c>
    </row>
    <row r="448" spans="1:14" x14ac:dyDescent="0.25">
      <c r="A448" s="100">
        <v>44970</v>
      </c>
      <c r="C448" s="99">
        <v>46118</v>
      </c>
      <c r="D448" s="98" t="s">
        <v>162</v>
      </c>
      <c r="E448" s="99">
        <v>63657</v>
      </c>
      <c r="F448" s="98" t="s">
        <v>159</v>
      </c>
      <c r="G448" s="99">
        <v>50920</v>
      </c>
      <c r="H448" s="98" t="s">
        <v>167</v>
      </c>
      <c r="I448" s="99">
        <v>42727</v>
      </c>
      <c r="J448" s="98" t="s">
        <v>173</v>
      </c>
      <c r="K448" s="99">
        <v>46023</v>
      </c>
      <c r="L448" s="98" t="s">
        <v>160</v>
      </c>
      <c r="M448" s="99">
        <v>44970</v>
      </c>
      <c r="N448" s="98" t="s">
        <v>219</v>
      </c>
    </row>
    <row r="449" spans="1:14" x14ac:dyDescent="0.25">
      <c r="A449" s="100">
        <v>44972</v>
      </c>
      <c r="C449" s="99">
        <v>46137</v>
      </c>
      <c r="D449" s="98" t="s">
        <v>185</v>
      </c>
      <c r="E449" s="99">
        <v>63660</v>
      </c>
      <c r="F449" s="98" t="s">
        <v>162</v>
      </c>
      <c r="G449" s="99">
        <v>51011</v>
      </c>
      <c r="H449" s="98" t="s">
        <v>193</v>
      </c>
      <c r="I449" s="99">
        <v>42736</v>
      </c>
      <c r="J449" s="98" t="s">
        <v>161</v>
      </c>
      <c r="K449" s="99">
        <v>46024</v>
      </c>
      <c r="L449" s="98" t="s">
        <v>165</v>
      </c>
      <c r="M449" s="99">
        <v>44972</v>
      </c>
      <c r="N449" s="98" t="s">
        <v>207</v>
      </c>
    </row>
    <row r="450" spans="1:14" x14ac:dyDescent="0.25">
      <c r="A450" s="100">
        <v>44977</v>
      </c>
      <c r="C450" s="99">
        <v>46181</v>
      </c>
      <c r="D450" s="98" t="s">
        <v>191</v>
      </c>
      <c r="E450" s="99">
        <v>63675</v>
      </c>
      <c r="F450" s="98" t="s">
        <v>172</v>
      </c>
      <c r="G450" s="99">
        <v>51129</v>
      </c>
      <c r="H450" s="98" t="s">
        <v>177</v>
      </c>
      <c r="I450" s="99">
        <v>42737</v>
      </c>
      <c r="J450" s="98" t="s">
        <v>212</v>
      </c>
      <c r="K450" s="99">
        <v>46048</v>
      </c>
      <c r="L450" s="98" t="s">
        <v>206</v>
      </c>
      <c r="M450" s="99">
        <v>44977</v>
      </c>
      <c r="N450" s="98" t="s">
        <v>199</v>
      </c>
    </row>
    <row r="451" spans="1:14" x14ac:dyDescent="0.25">
      <c r="A451" s="100">
        <v>45075</v>
      </c>
      <c r="C451" s="99">
        <v>46237</v>
      </c>
      <c r="D451" s="98" t="s">
        <v>202</v>
      </c>
      <c r="E451" s="99">
        <v>63913</v>
      </c>
      <c r="F451" s="98" t="s">
        <v>177</v>
      </c>
      <c r="G451" s="99">
        <v>51130</v>
      </c>
      <c r="H451" s="98" t="s">
        <v>182</v>
      </c>
      <c r="I451" s="99">
        <v>42744</v>
      </c>
      <c r="J451" s="98" t="s">
        <v>164</v>
      </c>
      <c r="K451" s="99">
        <v>46059</v>
      </c>
      <c r="L451" s="98" t="s">
        <v>169</v>
      </c>
      <c r="M451" s="99">
        <v>45075</v>
      </c>
      <c r="N451" s="98" t="s">
        <v>166</v>
      </c>
    </row>
    <row r="452" spans="1:14" x14ac:dyDescent="0.25">
      <c r="A452" s="100">
        <v>45096</v>
      </c>
      <c r="C452" s="99">
        <v>46300</v>
      </c>
      <c r="D452" s="98" t="s">
        <v>189</v>
      </c>
      <c r="E452" s="99">
        <v>63914</v>
      </c>
      <c r="F452" s="98" t="s">
        <v>243</v>
      </c>
      <c r="G452" s="99">
        <v>51131</v>
      </c>
      <c r="H452" s="98" t="s">
        <v>208</v>
      </c>
      <c r="I452" s="99">
        <v>42777</v>
      </c>
      <c r="J452" s="98" t="s">
        <v>168</v>
      </c>
      <c r="K452" s="99">
        <v>46115</v>
      </c>
      <c r="L452" s="98" t="s">
        <v>159</v>
      </c>
      <c r="M452" s="99">
        <v>45096</v>
      </c>
      <c r="N452" s="98" t="s">
        <v>170</v>
      </c>
    </row>
    <row r="453" spans="1:14" x14ac:dyDescent="0.25">
      <c r="A453" s="100">
        <v>45111</v>
      </c>
      <c r="C453" s="99">
        <v>46381</v>
      </c>
      <c r="D453" s="98" t="s">
        <v>177</v>
      </c>
      <c r="E453" s="99">
        <v>63920</v>
      </c>
      <c r="F453" s="98" t="s">
        <v>160</v>
      </c>
      <c r="G453" s="99">
        <v>51136</v>
      </c>
      <c r="H453" s="98" t="s">
        <v>160</v>
      </c>
      <c r="I453" s="99">
        <v>42814</v>
      </c>
      <c r="J453" s="98" t="s">
        <v>178</v>
      </c>
      <c r="K453" s="99">
        <v>46118</v>
      </c>
      <c r="L453" s="98" t="s">
        <v>162</v>
      </c>
      <c r="M453" s="99">
        <v>45111</v>
      </c>
      <c r="N453" s="98" t="s">
        <v>175</v>
      </c>
    </row>
    <row r="454" spans="1:14" x14ac:dyDescent="0.25">
      <c r="A454" s="100">
        <v>45173</v>
      </c>
      <c r="C454" s="99">
        <v>46382</v>
      </c>
      <c r="D454" s="98" t="s">
        <v>182</v>
      </c>
      <c r="E454" s="99">
        <v>64014</v>
      </c>
      <c r="F454" s="98" t="s">
        <v>159</v>
      </c>
      <c r="G454" s="99">
        <v>51137</v>
      </c>
      <c r="H454" s="98" t="s">
        <v>214</v>
      </c>
      <c r="I454" s="99">
        <v>42854</v>
      </c>
      <c r="J454" s="98" t="s">
        <v>183</v>
      </c>
      <c r="K454" s="99">
        <v>46137</v>
      </c>
      <c r="L454" s="98" t="s">
        <v>174</v>
      </c>
      <c r="M454" s="99">
        <v>45173</v>
      </c>
      <c r="N454" s="98" t="s">
        <v>184</v>
      </c>
    </row>
    <row r="455" spans="1:14" x14ac:dyDescent="0.25">
      <c r="A455" s="100">
        <v>45208</v>
      </c>
      <c r="C455" s="99">
        <v>46384</v>
      </c>
      <c r="D455" s="98" t="s">
        <v>186</v>
      </c>
      <c r="E455" s="99">
        <v>64017</v>
      </c>
      <c r="F455" s="98" t="s">
        <v>162</v>
      </c>
      <c r="G455" s="99">
        <v>51225</v>
      </c>
      <c r="H455" s="98" t="s">
        <v>159</v>
      </c>
      <c r="I455" s="99">
        <v>42858</v>
      </c>
      <c r="J455" s="98" t="s">
        <v>187</v>
      </c>
      <c r="K455" s="99">
        <v>46139</v>
      </c>
      <c r="L455" s="98" t="s">
        <v>179</v>
      </c>
      <c r="M455" s="99">
        <v>45208</v>
      </c>
      <c r="N455" s="98" t="s">
        <v>201</v>
      </c>
    </row>
    <row r="456" spans="1:14" x14ac:dyDescent="0.25">
      <c r="A456" s="100">
        <v>45237</v>
      </c>
      <c r="C456" s="99">
        <v>46388</v>
      </c>
      <c r="D456" s="98" t="s">
        <v>160</v>
      </c>
      <c r="E456" s="99">
        <v>64040</v>
      </c>
      <c r="F456" s="98" t="s">
        <v>172</v>
      </c>
      <c r="G456" s="99">
        <v>51228</v>
      </c>
      <c r="H456" s="98" t="s">
        <v>162</v>
      </c>
      <c r="I456" s="99">
        <v>42859</v>
      </c>
      <c r="J456" s="98" t="s">
        <v>190</v>
      </c>
      <c r="K456" s="99">
        <v>46174</v>
      </c>
      <c r="L456" s="98" t="s">
        <v>191</v>
      </c>
      <c r="M456" s="99">
        <v>45237</v>
      </c>
      <c r="N456" s="98" t="s">
        <v>210</v>
      </c>
    </row>
    <row r="457" spans="1:14" x14ac:dyDescent="0.25">
      <c r="A457" s="100">
        <v>45240</v>
      </c>
      <c r="C457" s="99">
        <v>46413</v>
      </c>
      <c r="D457" s="98" t="s">
        <v>171</v>
      </c>
      <c r="E457" s="99">
        <v>64278</v>
      </c>
      <c r="F457" s="98" t="s">
        <v>177</v>
      </c>
      <c r="G457" s="99">
        <v>51263</v>
      </c>
      <c r="H457" s="98" t="s">
        <v>163</v>
      </c>
      <c r="I457" s="99">
        <v>42860</v>
      </c>
      <c r="J457" s="98" t="s">
        <v>194</v>
      </c>
      <c r="K457" s="99">
        <v>46213</v>
      </c>
      <c r="L457" s="98" t="s">
        <v>195</v>
      </c>
      <c r="M457" s="99">
        <v>45240</v>
      </c>
      <c r="N457" s="98" t="s">
        <v>220</v>
      </c>
    </row>
    <row r="458" spans="1:14" x14ac:dyDescent="0.25">
      <c r="A458" s="100">
        <v>45241</v>
      </c>
      <c r="C458" s="99">
        <v>46472</v>
      </c>
      <c r="D458" s="98" t="s">
        <v>159</v>
      </c>
      <c r="E458" s="99">
        <v>64279</v>
      </c>
      <c r="F458" s="98" t="s">
        <v>243</v>
      </c>
      <c r="G458" s="99">
        <v>51284</v>
      </c>
      <c r="H458" s="98" t="s">
        <v>167</v>
      </c>
      <c r="I458" s="99">
        <v>42933</v>
      </c>
      <c r="J458" s="98" t="s">
        <v>196</v>
      </c>
      <c r="K458" s="99">
        <v>46321</v>
      </c>
      <c r="L458" s="98" t="s">
        <v>189</v>
      </c>
      <c r="M458" s="99">
        <v>45241</v>
      </c>
      <c r="N458" s="98" t="s">
        <v>188</v>
      </c>
    </row>
    <row r="459" spans="1:14" x14ac:dyDescent="0.25">
      <c r="A459" s="100">
        <v>45253</v>
      </c>
      <c r="C459" s="99">
        <v>46473</v>
      </c>
      <c r="D459" s="98" t="s">
        <v>176</v>
      </c>
      <c r="E459" s="99">
        <v>64285</v>
      </c>
      <c r="F459" s="98" t="s">
        <v>160</v>
      </c>
      <c r="G459" s="99">
        <v>51375</v>
      </c>
      <c r="H459" s="98" t="s">
        <v>193</v>
      </c>
      <c r="I459" s="99">
        <v>42958</v>
      </c>
      <c r="J459" s="98" t="s">
        <v>198</v>
      </c>
      <c r="K459" s="99">
        <v>46381</v>
      </c>
      <c r="L459" s="98" t="s">
        <v>177</v>
      </c>
      <c r="M459" s="99">
        <v>45253</v>
      </c>
      <c r="N459" s="98" t="s">
        <v>192</v>
      </c>
    </row>
    <row r="460" spans="1:14" x14ac:dyDescent="0.25">
      <c r="A460" s="100">
        <v>45285</v>
      </c>
      <c r="C460" s="99">
        <v>46474</v>
      </c>
      <c r="D460" s="98" t="s">
        <v>181</v>
      </c>
      <c r="E460" s="99">
        <v>64392</v>
      </c>
      <c r="F460" s="98" t="s">
        <v>159</v>
      </c>
      <c r="G460" s="99">
        <v>51495</v>
      </c>
      <c r="H460" s="98" t="s">
        <v>177</v>
      </c>
      <c r="I460" s="99">
        <v>42996</v>
      </c>
      <c r="J460" s="98" t="s">
        <v>200</v>
      </c>
      <c r="K460" s="99">
        <v>46382</v>
      </c>
      <c r="L460" s="98" t="s">
        <v>182</v>
      </c>
      <c r="M460" s="99">
        <v>45285</v>
      </c>
      <c r="N460" s="98" t="s">
        <v>177</v>
      </c>
    </row>
    <row r="461" spans="1:14" x14ac:dyDescent="0.25">
      <c r="A461" s="100">
        <v>45292</v>
      </c>
      <c r="C461" s="99">
        <v>46475</v>
      </c>
      <c r="D461" s="98" t="s">
        <v>162</v>
      </c>
      <c r="E461" s="99">
        <v>64395</v>
      </c>
      <c r="F461" s="98" t="s">
        <v>162</v>
      </c>
      <c r="G461" s="99">
        <v>51496</v>
      </c>
      <c r="H461" s="98" t="s">
        <v>182</v>
      </c>
      <c r="I461" s="99">
        <v>43001</v>
      </c>
      <c r="J461" s="98" t="s">
        <v>203</v>
      </c>
      <c r="K461" s="99">
        <v>46384</v>
      </c>
      <c r="L461" s="98" t="s">
        <v>186</v>
      </c>
      <c r="M461" s="99">
        <v>45292</v>
      </c>
      <c r="N461" s="98" t="s">
        <v>160</v>
      </c>
    </row>
    <row r="462" spans="1:14" x14ac:dyDescent="0.25">
      <c r="A462" s="100">
        <v>45306</v>
      </c>
      <c r="C462" s="99">
        <v>46502</v>
      </c>
      <c r="D462" s="98" t="s">
        <v>185</v>
      </c>
      <c r="E462" s="99">
        <v>64406</v>
      </c>
      <c r="F462" s="98" t="s">
        <v>172</v>
      </c>
      <c r="G462" s="99">
        <v>51502</v>
      </c>
      <c r="H462" s="98" t="s">
        <v>160</v>
      </c>
      <c r="I462" s="99">
        <v>43017</v>
      </c>
      <c r="J462" s="98" t="s">
        <v>234</v>
      </c>
      <c r="K462" s="99">
        <v>46388</v>
      </c>
      <c r="L462" s="98" t="s">
        <v>160</v>
      </c>
      <c r="M462" s="99">
        <v>45306</v>
      </c>
      <c r="N462" s="98" t="s">
        <v>197</v>
      </c>
    </row>
    <row r="463" spans="1:14" x14ac:dyDescent="0.25">
      <c r="A463" s="100">
        <v>45334</v>
      </c>
      <c r="C463" s="99">
        <v>46552</v>
      </c>
      <c r="D463" s="98" t="s">
        <v>191</v>
      </c>
      <c r="E463" s="99">
        <v>64644</v>
      </c>
      <c r="F463" s="98" t="s">
        <v>177</v>
      </c>
      <c r="G463" s="99">
        <v>51610</v>
      </c>
      <c r="H463" s="98" t="s">
        <v>159</v>
      </c>
      <c r="I463" s="99">
        <v>43042</v>
      </c>
      <c r="J463" s="98" t="s">
        <v>209</v>
      </c>
      <c r="K463" s="99">
        <v>46389</v>
      </c>
      <c r="L463" s="98" t="s">
        <v>165</v>
      </c>
      <c r="M463" s="99">
        <v>45334</v>
      </c>
      <c r="N463" s="98" t="s">
        <v>204</v>
      </c>
    </row>
    <row r="464" spans="1:14" x14ac:dyDescent="0.25">
      <c r="A464" s="100">
        <v>45337</v>
      </c>
      <c r="C464" s="99">
        <v>46601</v>
      </c>
      <c r="D464" s="98" t="s">
        <v>202</v>
      </c>
      <c r="E464" s="99">
        <v>64645</v>
      </c>
      <c r="F464" s="98" t="s">
        <v>243</v>
      </c>
      <c r="G464" s="99">
        <v>51613</v>
      </c>
      <c r="H464" s="98" t="s">
        <v>162</v>
      </c>
      <c r="I464" s="99">
        <v>43062</v>
      </c>
      <c r="J464" s="98" t="s">
        <v>211</v>
      </c>
      <c r="K464" s="99">
        <v>46391</v>
      </c>
      <c r="L464" s="98" t="s">
        <v>213</v>
      </c>
      <c r="M464" s="99">
        <v>45337</v>
      </c>
      <c r="N464" s="98" t="s">
        <v>207</v>
      </c>
    </row>
    <row r="465" spans="1:14" x14ac:dyDescent="0.25">
      <c r="A465" s="100">
        <v>45341</v>
      </c>
      <c r="C465" s="99">
        <v>46664</v>
      </c>
      <c r="D465" s="98" t="s">
        <v>189</v>
      </c>
      <c r="E465" s="99">
        <v>64651</v>
      </c>
      <c r="F465" s="98" t="s">
        <v>160</v>
      </c>
      <c r="G465" s="99">
        <v>51627</v>
      </c>
      <c r="H465" s="98" t="s">
        <v>163</v>
      </c>
      <c r="I465" s="99">
        <v>43092</v>
      </c>
      <c r="J465" s="98" t="s">
        <v>173</v>
      </c>
      <c r="K465" s="99">
        <v>46419</v>
      </c>
      <c r="L465" s="98" t="s">
        <v>206</v>
      </c>
      <c r="M465" s="99">
        <v>45341</v>
      </c>
      <c r="N465" s="98" t="s">
        <v>199</v>
      </c>
    </row>
    <row r="466" spans="1:14" x14ac:dyDescent="0.25">
      <c r="A466" s="100">
        <v>45439</v>
      </c>
      <c r="C466" s="99">
        <v>46746</v>
      </c>
      <c r="D466" s="98" t="s">
        <v>177</v>
      </c>
      <c r="E466" s="99">
        <v>64749</v>
      </c>
      <c r="F466" s="98" t="s">
        <v>159</v>
      </c>
      <c r="G466" s="99">
        <v>51648</v>
      </c>
      <c r="H466" s="98" t="s">
        <v>167</v>
      </c>
      <c r="I466" s="99">
        <v>43101</v>
      </c>
      <c r="J466" s="98" t="s">
        <v>161</v>
      </c>
      <c r="K466" s="99">
        <v>46424</v>
      </c>
      <c r="L466" s="98" t="s">
        <v>169</v>
      </c>
      <c r="M466" s="99">
        <v>45439</v>
      </c>
      <c r="N466" s="98" t="s">
        <v>166</v>
      </c>
    </row>
    <row r="467" spans="1:14" x14ac:dyDescent="0.25">
      <c r="A467" s="100">
        <v>45462</v>
      </c>
      <c r="C467" s="99">
        <v>46747</v>
      </c>
      <c r="D467" s="98" t="s">
        <v>182</v>
      </c>
      <c r="E467" s="99">
        <v>64752</v>
      </c>
      <c r="F467" s="98" t="s">
        <v>162</v>
      </c>
      <c r="G467" s="99">
        <v>51739</v>
      </c>
      <c r="H467" s="98" t="s">
        <v>193</v>
      </c>
      <c r="I467" s="99">
        <v>43108</v>
      </c>
      <c r="J467" s="98" t="s">
        <v>164</v>
      </c>
      <c r="K467" s="99">
        <v>46426</v>
      </c>
      <c r="L467" s="98" t="s">
        <v>215</v>
      </c>
      <c r="M467" s="99">
        <v>45462</v>
      </c>
      <c r="N467" s="98" t="s">
        <v>170</v>
      </c>
    </row>
    <row r="468" spans="1:14" x14ac:dyDescent="0.25">
      <c r="A468" s="100">
        <v>45477</v>
      </c>
      <c r="C468" s="99">
        <v>46748</v>
      </c>
      <c r="D468" s="98" t="s">
        <v>208</v>
      </c>
      <c r="E468" s="99">
        <v>64771</v>
      </c>
      <c r="F468" s="98" t="s">
        <v>172</v>
      </c>
      <c r="G468" s="99">
        <v>51860</v>
      </c>
      <c r="H468" s="98" t="s">
        <v>177</v>
      </c>
      <c r="I468" s="99">
        <v>43142</v>
      </c>
      <c r="J468" s="98" t="s">
        <v>168</v>
      </c>
      <c r="K468" s="99">
        <v>46472</v>
      </c>
      <c r="L468" s="98" t="s">
        <v>159</v>
      </c>
      <c r="M468" s="99">
        <v>45477</v>
      </c>
      <c r="N468" s="98" t="s">
        <v>175</v>
      </c>
    </row>
    <row r="469" spans="1:14" x14ac:dyDescent="0.25">
      <c r="A469" s="100">
        <v>45537</v>
      </c>
      <c r="C469" s="99">
        <v>46749</v>
      </c>
      <c r="D469" s="98" t="s">
        <v>186</v>
      </c>
      <c r="E469" s="99">
        <v>65009</v>
      </c>
      <c r="F469" s="98" t="s">
        <v>177</v>
      </c>
      <c r="G469" s="99">
        <v>51861</v>
      </c>
      <c r="H469" s="98" t="s">
        <v>182</v>
      </c>
      <c r="I469" s="99">
        <v>43143</v>
      </c>
      <c r="J469" s="98" t="s">
        <v>212</v>
      </c>
      <c r="K469" s="99">
        <v>46475</v>
      </c>
      <c r="L469" s="98" t="s">
        <v>162</v>
      </c>
      <c r="M469" s="99">
        <v>45537</v>
      </c>
      <c r="N469" s="98" t="s">
        <v>184</v>
      </c>
    </row>
    <row r="470" spans="1:14" x14ac:dyDescent="0.25">
      <c r="A470" s="100">
        <v>45579</v>
      </c>
      <c r="C470" s="99">
        <v>46753</v>
      </c>
      <c r="D470" s="98" t="s">
        <v>160</v>
      </c>
      <c r="E470" s="99">
        <v>65010</v>
      </c>
      <c r="F470" s="98" t="s">
        <v>243</v>
      </c>
      <c r="G470" s="99">
        <v>51867</v>
      </c>
      <c r="H470" s="98" t="s">
        <v>160</v>
      </c>
      <c r="I470" s="99">
        <v>43180</v>
      </c>
      <c r="J470" s="98" t="s">
        <v>178</v>
      </c>
      <c r="K470" s="99">
        <v>46502</v>
      </c>
      <c r="L470" s="98" t="s">
        <v>174</v>
      </c>
      <c r="M470" s="99">
        <v>45579</v>
      </c>
      <c r="N470" s="98" t="s">
        <v>201</v>
      </c>
    </row>
    <row r="471" spans="1:14" x14ac:dyDescent="0.25">
      <c r="A471" s="100">
        <v>45601</v>
      </c>
      <c r="C471" s="99">
        <v>46755</v>
      </c>
      <c r="D471" s="98" t="s">
        <v>214</v>
      </c>
      <c r="E471" s="99">
        <v>65016</v>
      </c>
      <c r="F471" s="98" t="s">
        <v>160</v>
      </c>
      <c r="G471" s="99">
        <v>51960</v>
      </c>
      <c r="H471" s="98" t="s">
        <v>159</v>
      </c>
      <c r="I471" s="99">
        <v>43219</v>
      </c>
      <c r="J471" s="98" t="s">
        <v>183</v>
      </c>
      <c r="K471" s="99">
        <v>46503</v>
      </c>
      <c r="L471" s="98" t="s">
        <v>179</v>
      </c>
      <c r="M471" s="99">
        <v>45601</v>
      </c>
      <c r="N471" s="98" t="s">
        <v>210</v>
      </c>
    </row>
    <row r="472" spans="1:14" x14ac:dyDescent="0.25">
      <c r="A472" s="100">
        <v>45607</v>
      </c>
      <c r="C472" s="99">
        <v>46778</v>
      </c>
      <c r="D472" s="98" t="s">
        <v>171</v>
      </c>
      <c r="E472" s="99">
        <v>65106</v>
      </c>
      <c r="F472" s="98" t="s">
        <v>159</v>
      </c>
      <c r="G472" s="99">
        <v>51963</v>
      </c>
      <c r="H472" s="98" t="s">
        <v>162</v>
      </c>
      <c r="I472" s="99">
        <v>43220</v>
      </c>
      <c r="J472" s="98" t="s">
        <v>212</v>
      </c>
      <c r="K472" s="99">
        <v>46545</v>
      </c>
      <c r="L472" s="98" t="s">
        <v>191</v>
      </c>
      <c r="M472" s="99">
        <v>45607</v>
      </c>
      <c r="N472" s="98" t="s">
        <v>188</v>
      </c>
    </row>
    <row r="473" spans="1:14" x14ac:dyDescent="0.25">
      <c r="A473" s="100">
        <v>45624</v>
      </c>
      <c r="C473" s="99">
        <v>46857</v>
      </c>
      <c r="D473" s="98" t="s">
        <v>159</v>
      </c>
      <c r="E473" s="99">
        <v>65109</v>
      </c>
      <c r="F473" s="98" t="s">
        <v>162</v>
      </c>
      <c r="G473" s="99">
        <v>51991</v>
      </c>
      <c r="H473" s="98" t="s">
        <v>163</v>
      </c>
      <c r="I473" s="99">
        <v>43223</v>
      </c>
      <c r="J473" s="98" t="s">
        <v>187</v>
      </c>
      <c r="K473" s="99">
        <v>46563</v>
      </c>
      <c r="L473" s="98" t="s">
        <v>195</v>
      </c>
      <c r="M473" s="99">
        <v>45624</v>
      </c>
      <c r="N473" s="98" t="s">
        <v>192</v>
      </c>
    </row>
    <row r="474" spans="1:14" x14ac:dyDescent="0.25">
      <c r="A474" s="100">
        <v>45651</v>
      </c>
      <c r="C474" s="99">
        <v>46858</v>
      </c>
      <c r="D474" s="98" t="s">
        <v>176</v>
      </c>
      <c r="E474" s="99">
        <v>65136</v>
      </c>
      <c r="F474" s="98" t="s">
        <v>172</v>
      </c>
      <c r="G474" s="99">
        <v>52012</v>
      </c>
      <c r="H474" s="98" t="s">
        <v>167</v>
      </c>
      <c r="I474" s="99">
        <v>43224</v>
      </c>
      <c r="J474" s="98" t="s">
        <v>190</v>
      </c>
      <c r="K474" s="99">
        <v>46685</v>
      </c>
      <c r="L474" s="98" t="s">
        <v>189</v>
      </c>
      <c r="M474" s="99">
        <v>45651</v>
      </c>
      <c r="N474" s="98" t="s">
        <v>177</v>
      </c>
    </row>
    <row r="475" spans="1:14" x14ac:dyDescent="0.25">
      <c r="A475" s="100">
        <v>45658</v>
      </c>
      <c r="C475" s="99">
        <v>46859</v>
      </c>
      <c r="D475" s="98" t="s">
        <v>181</v>
      </c>
      <c r="E475" s="99">
        <v>65374</v>
      </c>
      <c r="F475" s="98" t="s">
        <v>177</v>
      </c>
      <c r="G475" s="99">
        <v>52103</v>
      </c>
      <c r="H475" s="98" t="s">
        <v>193</v>
      </c>
      <c r="I475" s="99">
        <v>43225</v>
      </c>
      <c r="J475" s="98" t="s">
        <v>194</v>
      </c>
      <c r="K475" s="99">
        <v>46746</v>
      </c>
      <c r="L475" s="98" t="s">
        <v>177</v>
      </c>
      <c r="M475" s="99">
        <v>45658</v>
      </c>
      <c r="N475" s="98" t="s">
        <v>160</v>
      </c>
    </row>
    <row r="476" spans="1:14" x14ac:dyDescent="0.25">
      <c r="A476" s="100">
        <v>45677</v>
      </c>
      <c r="C476" s="99">
        <v>46860</v>
      </c>
      <c r="D476" s="98" t="s">
        <v>162</v>
      </c>
      <c r="E476" s="99">
        <v>65375</v>
      </c>
      <c r="F476" s="98" t="s">
        <v>243</v>
      </c>
      <c r="G476" s="99">
        <v>52225</v>
      </c>
      <c r="H476" s="98" t="s">
        <v>177</v>
      </c>
      <c r="I476" s="99">
        <v>43297</v>
      </c>
      <c r="J476" s="98" t="s">
        <v>196</v>
      </c>
      <c r="K476" s="99">
        <v>46747</v>
      </c>
      <c r="L476" s="98" t="s">
        <v>182</v>
      </c>
      <c r="M476" s="99">
        <v>45677</v>
      </c>
      <c r="N476" s="98" t="s">
        <v>197</v>
      </c>
    </row>
    <row r="477" spans="1:14" x14ac:dyDescent="0.25">
      <c r="A477" s="100">
        <v>45700</v>
      </c>
      <c r="C477" s="99">
        <v>46868</v>
      </c>
      <c r="D477" s="98" t="s">
        <v>185</v>
      </c>
      <c r="E477" s="99">
        <v>65381</v>
      </c>
      <c r="F477" s="98" t="s">
        <v>160</v>
      </c>
      <c r="G477" s="99">
        <v>52226</v>
      </c>
      <c r="H477" s="98" t="s">
        <v>182</v>
      </c>
      <c r="I477" s="99">
        <v>43323</v>
      </c>
      <c r="J477" s="98" t="s">
        <v>198</v>
      </c>
      <c r="K477" s="99">
        <v>46748</v>
      </c>
      <c r="L477" s="98" t="s">
        <v>208</v>
      </c>
      <c r="M477" s="99">
        <v>45700</v>
      </c>
      <c r="N477" s="98" t="s">
        <v>204</v>
      </c>
    </row>
    <row r="478" spans="1:14" x14ac:dyDescent="0.25">
      <c r="A478" s="100">
        <v>45703</v>
      </c>
      <c r="C478" s="99">
        <v>46916</v>
      </c>
      <c r="D478" s="98" t="s">
        <v>191</v>
      </c>
      <c r="E478" s="99">
        <v>65491</v>
      </c>
      <c r="F478" s="98" t="s">
        <v>159</v>
      </c>
      <c r="G478" s="99">
        <v>52232</v>
      </c>
      <c r="H478" s="98" t="s">
        <v>160</v>
      </c>
      <c r="I478" s="99">
        <v>43360</v>
      </c>
      <c r="J478" s="98" t="s">
        <v>200</v>
      </c>
      <c r="K478" s="99">
        <v>46749</v>
      </c>
      <c r="L478" s="98" t="s">
        <v>186</v>
      </c>
      <c r="M478" s="99">
        <v>45703</v>
      </c>
      <c r="N478" s="98" t="s">
        <v>207</v>
      </c>
    </row>
    <row r="479" spans="1:14" x14ac:dyDescent="0.25">
      <c r="A479" s="100">
        <v>45705</v>
      </c>
      <c r="C479" s="99">
        <v>46972</v>
      </c>
      <c r="D479" s="98" t="s">
        <v>202</v>
      </c>
      <c r="E479" s="99">
        <v>65494</v>
      </c>
      <c r="F479" s="98" t="s">
        <v>162</v>
      </c>
      <c r="G479" s="99">
        <v>52317</v>
      </c>
      <c r="H479" s="98" t="s">
        <v>159</v>
      </c>
      <c r="I479" s="99">
        <v>43366</v>
      </c>
      <c r="J479" s="98" t="s">
        <v>203</v>
      </c>
      <c r="K479" s="99">
        <v>46753</v>
      </c>
      <c r="L479" s="98" t="s">
        <v>160</v>
      </c>
      <c r="M479" s="99">
        <v>45705</v>
      </c>
      <c r="N479" s="98" t="s">
        <v>199</v>
      </c>
    </row>
    <row r="480" spans="1:14" x14ac:dyDescent="0.25">
      <c r="A480" s="100">
        <v>45803</v>
      </c>
      <c r="C480" s="99">
        <v>47028</v>
      </c>
      <c r="D480" s="98" t="s">
        <v>189</v>
      </c>
      <c r="E480" s="99">
        <v>65501</v>
      </c>
      <c r="F480" s="98" t="s">
        <v>172</v>
      </c>
      <c r="G480" s="99">
        <v>52320</v>
      </c>
      <c r="H480" s="98" t="s">
        <v>162</v>
      </c>
      <c r="I480" s="99">
        <v>43367</v>
      </c>
      <c r="J480" s="98" t="s">
        <v>212</v>
      </c>
      <c r="K480" s="99">
        <v>46754</v>
      </c>
      <c r="L480" s="98" t="s">
        <v>165</v>
      </c>
      <c r="M480" s="99">
        <v>45803</v>
      </c>
      <c r="N480" s="98" t="s">
        <v>166</v>
      </c>
    </row>
    <row r="481" spans="1:14" x14ac:dyDescent="0.25">
      <c r="A481" s="100">
        <v>45827</v>
      </c>
      <c r="C481" s="99">
        <v>47112</v>
      </c>
      <c r="D481" s="98" t="s">
        <v>177</v>
      </c>
      <c r="E481" s="99">
        <v>65739</v>
      </c>
      <c r="F481" s="98" t="s">
        <v>177</v>
      </c>
      <c r="G481" s="99">
        <v>52355</v>
      </c>
      <c r="H481" s="98" t="s">
        <v>163</v>
      </c>
      <c r="I481" s="99">
        <v>43381</v>
      </c>
      <c r="J481" s="98" t="s">
        <v>234</v>
      </c>
      <c r="K481" s="99">
        <v>46755</v>
      </c>
      <c r="L481" s="98" t="s">
        <v>214</v>
      </c>
      <c r="M481" s="99">
        <v>45827</v>
      </c>
      <c r="N481" s="98" t="s">
        <v>170</v>
      </c>
    </row>
    <row r="482" spans="1:14" x14ac:dyDescent="0.25">
      <c r="A482" s="100">
        <v>45842</v>
      </c>
      <c r="C482" s="99">
        <v>47113</v>
      </c>
      <c r="D482" s="98" t="s">
        <v>182</v>
      </c>
      <c r="E482" s="99">
        <v>65740</v>
      </c>
      <c r="F482" s="98" t="s">
        <v>243</v>
      </c>
      <c r="G482" s="99">
        <v>52376</v>
      </c>
      <c r="H482" s="98" t="s">
        <v>167</v>
      </c>
      <c r="I482" s="99">
        <v>43407</v>
      </c>
      <c r="J482" s="98" t="s">
        <v>209</v>
      </c>
      <c r="K482" s="99">
        <v>46756</v>
      </c>
      <c r="L482" s="98" t="s">
        <v>213</v>
      </c>
      <c r="M482" s="99">
        <v>45842</v>
      </c>
      <c r="N482" s="98" t="s">
        <v>175</v>
      </c>
    </row>
    <row r="483" spans="1:14" x14ac:dyDescent="0.25">
      <c r="A483" s="100">
        <v>45901</v>
      </c>
      <c r="C483" s="99">
        <v>47119</v>
      </c>
      <c r="D483" s="98" t="s">
        <v>160</v>
      </c>
      <c r="E483" s="99">
        <v>65746</v>
      </c>
      <c r="F483" s="98" t="s">
        <v>160</v>
      </c>
      <c r="G483" s="99">
        <v>52474</v>
      </c>
      <c r="H483" s="98" t="s">
        <v>193</v>
      </c>
      <c r="I483" s="99">
        <v>43427</v>
      </c>
      <c r="J483" s="98" t="s">
        <v>211</v>
      </c>
      <c r="K483" s="99">
        <v>46783</v>
      </c>
      <c r="L483" s="98" t="s">
        <v>206</v>
      </c>
      <c r="M483" s="99">
        <v>45901</v>
      </c>
      <c r="N483" s="98" t="s">
        <v>184</v>
      </c>
    </row>
    <row r="484" spans="1:14" x14ac:dyDescent="0.25">
      <c r="A484" s="100">
        <v>45943</v>
      </c>
      <c r="C484" s="99">
        <v>47144</v>
      </c>
      <c r="D484" s="98" t="s">
        <v>171</v>
      </c>
      <c r="E484" s="99">
        <v>65841</v>
      </c>
      <c r="F484" s="98" t="s">
        <v>159</v>
      </c>
      <c r="G484" s="99">
        <v>52590</v>
      </c>
      <c r="H484" s="98" t="s">
        <v>177</v>
      </c>
      <c r="I484" s="99">
        <v>43457</v>
      </c>
      <c r="J484" s="98" t="s">
        <v>173</v>
      </c>
      <c r="K484" s="99">
        <v>46789</v>
      </c>
      <c r="L484" s="98" t="s">
        <v>169</v>
      </c>
      <c r="M484" s="99">
        <v>45943</v>
      </c>
      <c r="N484" s="98" t="s">
        <v>201</v>
      </c>
    </row>
    <row r="485" spans="1:14" x14ac:dyDescent="0.25">
      <c r="A485" s="100">
        <v>45965</v>
      </c>
      <c r="C485" s="99">
        <v>47207</v>
      </c>
      <c r="D485" s="98" t="s">
        <v>159</v>
      </c>
      <c r="E485" s="99">
        <v>65844</v>
      </c>
      <c r="F485" s="98" t="s">
        <v>162</v>
      </c>
      <c r="G485" s="99">
        <v>52591</v>
      </c>
      <c r="H485" s="98" t="s">
        <v>182</v>
      </c>
      <c r="I485" s="99">
        <v>43458</v>
      </c>
      <c r="J485" s="98" t="s">
        <v>212</v>
      </c>
      <c r="K485" s="99">
        <v>46790</v>
      </c>
      <c r="L485" s="98" t="s">
        <v>215</v>
      </c>
      <c r="M485" s="99">
        <v>45965</v>
      </c>
      <c r="N485" s="98" t="s">
        <v>210</v>
      </c>
    </row>
    <row r="486" spans="1:14" x14ac:dyDescent="0.25">
      <c r="A486" s="100">
        <v>45972</v>
      </c>
      <c r="C486" s="99">
        <v>47208</v>
      </c>
      <c r="D486" s="98" t="s">
        <v>176</v>
      </c>
      <c r="E486" s="99">
        <v>65867</v>
      </c>
      <c r="F486" s="98" t="s">
        <v>172</v>
      </c>
      <c r="G486" s="99">
        <v>52593</v>
      </c>
      <c r="H486" s="98" t="s">
        <v>186</v>
      </c>
      <c r="I486" s="99">
        <v>43466</v>
      </c>
      <c r="J486" s="98" t="s">
        <v>161</v>
      </c>
      <c r="K486" s="99">
        <v>46857</v>
      </c>
      <c r="L486" s="98" t="s">
        <v>159</v>
      </c>
      <c r="M486" s="99">
        <v>45972</v>
      </c>
      <c r="N486" s="98" t="s">
        <v>188</v>
      </c>
    </row>
    <row r="487" spans="1:14" x14ac:dyDescent="0.25">
      <c r="A487" s="100">
        <v>45988</v>
      </c>
      <c r="C487" s="99">
        <v>47209</v>
      </c>
      <c r="D487" s="98" t="s">
        <v>181</v>
      </c>
      <c r="E487" s="99">
        <v>66105</v>
      </c>
      <c r="F487" s="98" t="s">
        <v>177</v>
      </c>
      <c r="G487" s="99">
        <v>52597</v>
      </c>
      <c r="H487" s="98" t="s">
        <v>160</v>
      </c>
      <c r="I487" s="99">
        <v>43479</v>
      </c>
      <c r="J487" s="98" t="s">
        <v>164</v>
      </c>
      <c r="K487" s="99">
        <v>46860</v>
      </c>
      <c r="L487" s="98" t="s">
        <v>162</v>
      </c>
      <c r="M487" s="99">
        <v>45988</v>
      </c>
      <c r="N487" s="98" t="s">
        <v>192</v>
      </c>
    </row>
    <row r="488" spans="1:14" x14ac:dyDescent="0.25">
      <c r="A488" s="100">
        <v>46016</v>
      </c>
      <c r="C488" s="99">
        <v>47210</v>
      </c>
      <c r="D488" s="98" t="s">
        <v>162</v>
      </c>
      <c r="E488" s="99">
        <v>66106</v>
      </c>
      <c r="F488" s="98" t="s">
        <v>243</v>
      </c>
      <c r="G488" s="99">
        <v>52702</v>
      </c>
      <c r="H488" s="98" t="s">
        <v>159</v>
      </c>
      <c r="I488" s="99">
        <v>43507</v>
      </c>
      <c r="J488" s="98" t="s">
        <v>168</v>
      </c>
      <c r="K488" s="99">
        <v>46868</v>
      </c>
      <c r="L488" s="98" t="s">
        <v>174</v>
      </c>
      <c r="M488" s="99">
        <v>46016</v>
      </c>
      <c r="N488" s="98" t="s">
        <v>177</v>
      </c>
    </row>
    <row r="489" spans="1:14" x14ac:dyDescent="0.25">
      <c r="A489" s="100">
        <v>46023</v>
      </c>
      <c r="C489" s="99">
        <v>47233</v>
      </c>
      <c r="D489" s="98" t="s">
        <v>185</v>
      </c>
      <c r="E489" s="99">
        <v>66112</v>
      </c>
      <c r="F489" s="98" t="s">
        <v>160</v>
      </c>
      <c r="G489" s="99">
        <v>52705</v>
      </c>
      <c r="H489" s="98" t="s">
        <v>162</v>
      </c>
      <c r="I489" s="99">
        <v>43545</v>
      </c>
      <c r="J489" s="98" t="s">
        <v>178</v>
      </c>
      <c r="K489" s="99">
        <v>46909</v>
      </c>
      <c r="L489" s="98" t="s">
        <v>191</v>
      </c>
      <c r="M489" s="99">
        <v>46023</v>
      </c>
      <c r="N489" s="98" t="s">
        <v>160</v>
      </c>
    </row>
    <row r="490" spans="1:14" x14ac:dyDescent="0.25">
      <c r="A490" s="100">
        <v>46041</v>
      </c>
      <c r="C490" s="99">
        <v>47280</v>
      </c>
      <c r="D490" s="98" t="s">
        <v>191</v>
      </c>
      <c r="E490" s="99">
        <v>66198</v>
      </c>
      <c r="F490" s="98" t="s">
        <v>159</v>
      </c>
      <c r="G490" s="99">
        <v>52719</v>
      </c>
      <c r="H490" s="98" t="s">
        <v>163</v>
      </c>
      <c r="I490" s="99">
        <v>43584</v>
      </c>
      <c r="J490" s="98" t="s">
        <v>183</v>
      </c>
      <c r="K490" s="99">
        <v>46948</v>
      </c>
      <c r="L490" s="98" t="s">
        <v>195</v>
      </c>
      <c r="M490" s="99">
        <v>46041</v>
      </c>
      <c r="N490" s="98" t="s">
        <v>197</v>
      </c>
    </row>
    <row r="491" spans="1:14" x14ac:dyDescent="0.25">
      <c r="A491" s="100">
        <v>46065</v>
      </c>
      <c r="C491" s="99">
        <v>47336</v>
      </c>
      <c r="D491" s="98" t="s">
        <v>202</v>
      </c>
      <c r="E491" s="99">
        <v>66201</v>
      </c>
      <c r="F491" s="98" t="s">
        <v>162</v>
      </c>
      <c r="G491" s="99">
        <v>52747</v>
      </c>
      <c r="H491" s="98" t="s">
        <v>167</v>
      </c>
      <c r="I491" s="99">
        <v>43585</v>
      </c>
      <c r="J491" s="98" t="s">
        <v>218</v>
      </c>
      <c r="K491" s="99">
        <v>47049</v>
      </c>
      <c r="L491" s="98" t="s">
        <v>189</v>
      </c>
      <c r="M491" s="99">
        <v>46065</v>
      </c>
      <c r="N491" s="98" t="s">
        <v>204</v>
      </c>
    </row>
    <row r="492" spans="1:14" x14ac:dyDescent="0.25">
      <c r="A492" s="100">
        <v>46068</v>
      </c>
      <c r="C492" s="99">
        <v>47392</v>
      </c>
      <c r="D492" s="98" t="s">
        <v>189</v>
      </c>
      <c r="E492" s="99">
        <v>66232</v>
      </c>
      <c r="F492" s="98" t="s">
        <v>172</v>
      </c>
      <c r="G492" s="99">
        <v>52838</v>
      </c>
      <c r="H492" s="98" t="s">
        <v>193</v>
      </c>
      <c r="I492" s="99">
        <v>43586</v>
      </c>
      <c r="J492" s="98" t="s">
        <v>241</v>
      </c>
      <c r="K492" s="99">
        <v>47112</v>
      </c>
      <c r="L492" s="98" t="s">
        <v>177</v>
      </c>
      <c r="M492" s="99">
        <v>46068</v>
      </c>
      <c r="N492" s="98" t="s">
        <v>207</v>
      </c>
    </row>
    <row r="493" spans="1:14" x14ac:dyDescent="0.25">
      <c r="A493" s="100">
        <v>46069</v>
      </c>
      <c r="C493" s="99">
        <v>47477</v>
      </c>
      <c r="D493" s="98" t="s">
        <v>177</v>
      </c>
      <c r="E493" s="99">
        <v>66470</v>
      </c>
      <c r="F493" s="98" t="s">
        <v>177</v>
      </c>
      <c r="G493" s="99">
        <v>52956</v>
      </c>
      <c r="H493" s="98" t="s">
        <v>177</v>
      </c>
      <c r="I493" s="99">
        <v>43587</v>
      </c>
      <c r="J493" s="98" t="s">
        <v>218</v>
      </c>
      <c r="K493" s="99">
        <v>47113</v>
      </c>
      <c r="L493" s="98" t="s">
        <v>182</v>
      </c>
      <c r="M493" s="99">
        <v>46069</v>
      </c>
      <c r="N493" s="98" t="s">
        <v>199</v>
      </c>
    </row>
    <row r="494" spans="1:14" x14ac:dyDescent="0.25">
      <c r="A494" s="100">
        <v>46167</v>
      </c>
      <c r="C494" s="99">
        <v>47478</v>
      </c>
      <c r="D494" s="98" t="s">
        <v>182</v>
      </c>
      <c r="E494" s="99">
        <v>66471</v>
      </c>
      <c r="F494" s="98" t="s">
        <v>243</v>
      </c>
      <c r="G494" s="99">
        <v>52957</v>
      </c>
      <c r="H494" s="98" t="s">
        <v>182</v>
      </c>
      <c r="I494" s="99">
        <v>43588</v>
      </c>
      <c r="J494" s="98" t="s">
        <v>187</v>
      </c>
      <c r="K494" s="99">
        <v>47119</v>
      </c>
      <c r="L494" s="98" t="s">
        <v>160</v>
      </c>
      <c r="M494" s="99">
        <v>46167</v>
      </c>
      <c r="N494" s="98" t="s">
        <v>166</v>
      </c>
    </row>
    <row r="495" spans="1:14" x14ac:dyDescent="0.25">
      <c r="A495" s="100">
        <v>46192</v>
      </c>
      <c r="C495" s="99">
        <v>47484</v>
      </c>
      <c r="D495" s="98" t="s">
        <v>160</v>
      </c>
      <c r="E495" s="99">
        <v>66477</v>
      </c>
      <c r="F495" s="98" t="s">
        <v>160</v>
      </c>
      <c r="G495" s="99">
        <v>52958</v>
      </c>
      <c r="H495" s="98" t="s">
        <v>208</v>
      </c>
      <c r="I495" s="99">
        <v>43589</v>
      </c>
      <c r="J495" s="98" t="s">
        <v>190</v>
      </c>
      <c r="K495" s="99">
        <v>47120</v>
      </c>
      <c r="L495" s="98" t="s">
        <v>165</v>
      </c>
      <c r="M495" s="99">
        <v>46192</v>
      </c>
      <c r="N495" s="98" t="s">
        <v>170</v>
      </c>
    </row>
    <row r="496" spans="1:14" x14ac:dyDescent="0.25">
      <c r="A496" s="100">
        <v>46206</v>
      </c>
      <c r="C496" s="99">
        <v>47511</v>
      </c>
      <c r="D496" s="98" t="s">
        <v>171</v>
      </c>
      <c r="E496" s="99">
        <v>66583</v>
      </c>
      <c r="F496" s="98" t="s">
        <v>159</v>
      </c>
      <c r="G496" s="99">
        <v>52963</v>
      </c>
      <c r="H496" s="98" t="s">
        <v>160</v>
      </c>
      <c r="I496" s="99">
        <v>43590</v>
      </c>
      <c r="J496" s="98" t="s">
        <v>194</v>
      </c>
      <c r="K496" s="99">
        <v>47147</v>
      </c>
      <c r="L496" s="98" t="s">
        <v>206</v>
      </c>
      <c r="M496" s="99">
        <v>46206</v>
      </c>
      <c r="N496" s="98" t="s">
        <v>180</v>
      </c>
    </row>
    <row r="497" spans="1:14" x14ac:dyDescent="0.25">
      <c r="A497" s="100">
        <v>46207</v>
      </c>
      <c r="C497" s="99">
        <v>47592</v>
      </c>
      <c r="D497" s="98" t="s">
        <v>159</v>
      </c>
      <c r="E497" s="99">
        <v>66586</v>
      </c>
      <c r="F497" s="98" t="s">
        <v>162</v>
      </c>
      <c r="G497" s="99">
        <v>52964</v>
      </c>
      <c r="H497" s="98" t="s">
        <v>214</v>
      </c>
      <c r="I497" s="99">
        <v>43591</v>
      </c>
      <c r="J497" s="98" t="s">
        <v>212</v>
      </c>
      <c r="K497" s="99">
        <v>47155</v>
      </c>
      <c r="L497" s="98" t="s">
        <v>169</v>
      </c>
      <c r="M497" s="99">
        <v>46207</v>
      </c>
      <c r="N497" s="98" t="s">
        <v>175</v>
      </c>
    </row>
    <row r="498" spans="1:14" x14ac:dyDescent="0.25">
      <c r="A498" s="100">
        <v>46272</v>
      </c>
      <c r="C498" s="99">
        <v>47593</v>
      </c>
      <c r="D498" s="98" t="s">
        <v>176</v>
      </c>
      <c r="E498" s="99">
        <v>66597</v>
      </c>
      <c r="F498" s="98" t="s">
        <v>172</v>
      </c>
      <c r="G498" s="99">
        <v>53059</v>
      </c>
      <c r="H498" s="98" t="s">
        <v>159</v>
      </c>
      <c r="I498" s="99">
        <v>43661</v>
      </c>
      <c r="J498" s="98" t="s">
        <v>196</v>
      </c>
      <c r="K498" s="99">
        <v>47207</v>
      </c>
      <c r="L498" s="98" t="s">
        <v>159</v>
      </c>
      <c r="M498" s="99">
        <v>46272</v>
      </c>
      <c r="N498" s="98" t="s">
        <v>184</v>
      </c>
    </row>
    <row r="499" spans="1:14" x14ac:dyDescent="0.25">
      <c r="A499" s="100">
        <v>46307</v>
      </c>
      <c r="C499" s="99">
        <v>47594</v>
      </c>
      <c r="D499" s="98" t="s">
        <v>181</v>
      </c>
      <c r="E499" s="99">
        <v>66835</v>
      </c>
      <c r="F499" s="98" t="s">
        <v>177</v>
      </c>
      <c r="G499" s="99">
        <v>53062</v>
      </c>
      <c r="H499" s="98" t="s">
        <v>162</v>
      </c>
      <c r="I499" s="99">
        <v>43688</v>
      </c>
      <c r="J499" s="98" t="s">
        <v>198</v>
      </c>
      <c r="K499" s="99">
        <v>47210</v>
      </c>
      <c r="L499" s="98" t="s">
        <v>162</v>
      </c>
      <c r="M499" s="99">
        <v>46307</v>
      </c>
      <c r="N499" s="98" t="s">
        <v>201</v>
      </c>
    </row>
    <row r="500" spans="1:14" x14ac:dyDescent="0.25">
      <c r="A500" s="100">
        <v>46329</v>
      </c>
      <c r="C500" s="99">
        <v>47595</v>
      </c>
      <c r="D500" s="98" t="s">
        <v>162</v>
      </c>
      <c r="E500" s="99">
        <v>66836</v>
      </c>
      <c r="F500" s="98" t="s">
        <v>243</v>
      </c>
      <c r="G500" s="99">
        <v>53083</v>
      </c>
      <c r="H500" s="98" t="s">
        <v>163</v>
      </c>
      <c r="I500" s="99">
        <v>43689</v>
      </c>
      <c r="J500" s="98" t="s">
        <v>212</v>
      </c>
      <c r="K500" s="99">
        <v>47233</v>
      </c>
      <c r="L500" s="98" t="s">
        <v>174</v>
      </c>
      <c r="M500" s="99">
        <v>46329</v>
      </c>
      <c r="N500" s="98" t="s">
        <v>210</v>
      </c>
    </row>
    <row r="501" spans="1:14" x14ac:dyDescent="0.25">
      <c r="A501" s="100">
        <v>46337</v>
      </c>
      <c r="C501" s="99">
        <v>47598</v>
      </c>
      <c r="D501" s="98" t="s">
        <v>185</v>
      </c>
      <c r="E501" s="99">
        <v>66842</v>
      </c>
      <c r="F501" s="98" t="s">
        <v>160</v>
      </c>
      <c r="G501" s="99">
        <v>53111</v>
      </c>
      <c r="H501" s="98" t="s">
        <v>167</v>
      </c>
      <c r="I501" s="99">
        <v>43724</v>
      </c>
      <c r="J501" s="98" t="s">
        <v>200</v>
      </c>
      <c r="K501" s="99">
        <v>47273</v>
      </c>
      <c r="L501" s="98" t="s">
        <v>191</v>
      </c>
      <c r="M501" s="99">
        <v>46337</v>
      </c>
      <c r="N501" s="98" t="s">
        <v>188</v>
      </c>
    </row>
    <row r="502" spans="1:14" x14ac:dyDescent="0.25">
      <c r="A502" s="100">
        <v>46352</v>
      </c>
      <c r="C502" s="99">
        <v>47644</v>
      </c>
      <c r="D502" s="98" t="s">
        <v>191</v>
      </c>
      <c r="E502" s="99">
        <v>66933</v>
      </c>
      <c r="F502" s="98" t="s">
        <v>159</v>
      </c>
      <c r="G502" s="99">
        <v>53202</v>
      </c>
      <c r="H502" s="98" t="s">
        <v>193</v>
      </c>
      <c r="I502" s="99">
        <v>43731</v>
      </c>
      <c r="J502" s="98" t="s">
        <v>203</v>
      </c>
      <c r="K502" s="99">
        <v>47305</v>
      </c>
      <c r="L502" s="98" t="s">
        <v>195</v>
      </c>
      <c r="M502" s="99">
        <v>46352</v>
      </c>
      <c r="N502" s="98" t="s">
        <v>192</v>
      </c>
    </row>
    <row r="503" spans="1:14" x14ac:dyDescent="0.25">
      <c r="A503" s="100">
        <v>46381</v>
      </c>
      <c r="C503" s="99">
        <v>47700</v>
      </c>
      <c r="D503" s="98" t="s">
        <v>202</v>
      </c>
      <c r="E503" s="99">
        <v>66936</v>
      </c>
      <c r="F503" s="98" t="s">
        <v>162</v>
      </c>
      <c r="G503" s="99">
        <v>53321</v>
      </c>
      <c r="H503" s="98" t="s">
        <v>177</v>
      </c>
      <c r="I503" s="99">
        <v>43752</v>
      </c>
      <c r="J503" s="98" t="s">
        <v>234</v>
      </c>
      <c r="K503" s="99">
        <v>47413</v>
      </c>
      <c r="L503" s="98" t="s">
        <v>189</v>
      </c>
      <c r="M503" s="99">
        <v>46381</v>
      </c>
      <c r="N503" s="98" t="s">
        <v>177</v>
      </c>
    </row>
    <row r="504" spans="1:14" x14ac:dyDescent="0.25">
      <c r="A504" s="100">
        <v>46388</v>
      </c>
      <c r="C504" s="99">
        <v>47763</v>
      </c>
      <c r="D504" s="98" t="s">
        <v>189</v>
      </c>
      <c r="E504" s="99">
        <v>66962</v>
      </c>
      <c r="F504" s="98" t="s">
        <v>172</v>
      </c>
      <c r="G504" s="99">
        <v>53322</v>
      </c>
      <c r="H504" s="98" t="s">
        <v>182</v>
      </c>
      <c r="I504" s="99">
        <v>43760</v>
      </c>
      <c r="J504" s="98" t="s">
        <v>242</v>
      </c>
      <c r="K504" s="99">
        <v>47477</v>
      </c>
      <c r="L504" s="98" t="s">
        <v>177</v>
      </c>
      <c r="M504" s="99">
        <v>46388</v>
      </c>
      <c r="N504" s="98" t="s">
        <v>160</v>
      </c>
    </row>
    <row r="505" spans="1:14" x14ac:dyDescent="0.25">
      <c r="A505" s="100">
        <v>46405</v>
      </c>
      <c r="C505" s="99">
        <v>47842</v>
      </c>
      <c r="D505" s="98" t="s">
        <v>177</v>
      </c>
      <c r="E505" s="99">
        <v>67200</v>
      </c>
      <c r="F505" s="98" t="s">
        <v>177</v>
      </c>
      <c r="G505" s="99">
        <v>53328</v>
      </c>
      <c r="H505" s="98" t="s">
        <v>160</v>
      </c>
      <c r="I505" s="99">
        <v>43772</v>
      </c>
      <c r="J505" s="98" t="s">
        <v>209</v>
      </c>
      <c r="K505" s="99">
        <v>47478</v>
      </c>
      <c r="L505" s="98" t="s">
        <v>182</v>
      </c>
      <c r="M505" s="99">
        <v>46405</v>
      </c>
      <c r="N505" s="98" t="s">
        <v>197</v>
      </c>
    </row>
    <row r="506" spans="1:14" x14ac:dyDescent="0.25">
      <c r="A506" s="100">
        <v>46430</v>
      </c>
      <c r="C506" s="99">
        <v>47843</v>
      </c>
      <c r="D506" s="98" t="s">
        <v>182</v>
      </c>
      <c r="E506" s="99">
        <v>67201</v>
      </c>
      <c r="F506" s="98" t="s">
        <v>243</v>
      </c>
      <c r="G506" s="99">
        <v>53409</v>
      </c>
      <c r="H506" s="98" t="s">
        <v>159</v>
      </c>
      <c r="I506" s="99">
        <v>43773</v>
      </c>
      <c r="J506" s="98" t="s">
        <v>212</v>
      </c>
      <c r="K506" s="99">
        <v>47484</v>
      </c>
      <c r="L506" s="98" t="s">
        <v>160</v>
      </c>
      <c r="M506" s="99">
        <v>46430</v>
      </c>
      <c r="N506" s="98" t="s">
        <v>204</v>
      </c>
    </row>
    <row r="507" spans="1:14" x14ac:dyDescent="0.25">
      <c r="A507" s="100">
        <v>46433</v>
      </c>
      <c r="C507" s="99">
        <v>47849</v>
      </c>
      <c r="D507" s="98" t="s">
        <v>160</v>
      </c>
      <c r="E507" s="99">
        <v>67207</v>
      </c>
      <c r="F507" s="98" t="s">
        <v>160</v>
      </c>
      <c r="G507" s="99">
        <v>53412</v>
      </c>
      <c r="H507" s="98" t="s">
        <v>162</v>
      </c>
      <c r="I507" s="99">
        <v>43792</v>
      </c>
      <c r="J507" s="98" t="s">
        <v>211</v>
      </c>
      <c r="K507" s="99">
        <v>47485</v>
      </c>
      <c r="L507" s="98" t="s">
        <v>165</v>
      </c>
      <c r="M507" s="99">
        <v>46433</v>
      </c>
      <c r="N507" s="98" t="s">
        <v>217</v>
      </c>
    </row>
    <row r="508" spans="1:14" x14ac:dyDescent="0.25">
      <c r="A508" s="100">
        <v>46538</v>
      </c>
      <c r="C508" s="99">
        <v>47875</v>
      </c>
      <c r="D508" s="98" t="s">
        <v>171</v>
      </c>
      <c r="E508" s="99">
        <v>67290</v>
      </c>
      <c r="F508" s="98" t="s">
        <v>159</v>
      </c>
      <c r="G508" s="99">
        <v>53454</v>
      </c>
      <c r="H508" s="98" t="s">
        <v>163</v>
      </c>
      <c r="I508" s="99">
        <v>43831</v>
      </c>
      <c r="J508" s="98" t="s">
        <v>161</v>
      </c>
      <c r="K508" s="99">
        <v>47511</v>
      </c>
      <c r="L508" s="98" t="s">
        <v>206</v>
      </c>
      <c r="M508" s="99">
        <v>46538</v>
      </c>
      <c r="N508" s="98" t="s">
        <v>166</v>
      </c>
    </row>
    <row r="509" spans="1:14" x14ac:dyDescent="0.25">
      <c r="A509" s="100">
        <v>46556</v>
      </c>
      <c r="C509" s="99">
        <v>47949</v>
      </c>
      <c r="D509" s="98" t="s">
        <v>159</v>
      </c>
      <c r="E509" s="99">
        <v>67293</v>
      </c>
      <c r="F509" s="98" t="s">
        <v>162</v>
      </c>
      <c r="G509" s="99">
        <v>53475</v>
      </c>
      <c r="H509" s="98" t="s">
        <v>167</v>
      </c>
      <c r="I509" s="99">
        <v>43843</v>
      </c>
      <c r="J509" s="98" t="s">
        <v>164</v>
      </c>
      <c r="K509" s="99">
        <v>47520</v>
      </c>
      <c r="L509" s="98" t="s">
        <v>169</v>
      </c>
      <c r="M509" s="99">
        <v>46556</v>
      </c>
      <c r="N509" s="98" t="s">
        <v>216</v>
      </c>
    </row>
    <row r="510" spans="1:14" x14ac:dyDescent="0.25">
      <c r="A510" s="100">
        <v>46557</v>
      </c>
      <c r="C510" s="99">
        <v>47950</v>
      </c>
      <c r="D510" s="98" t="s">
        <v>176</v>
      </c>
      <c r="E510" s="99">
        <v>67328</v>
      </c>
      <c r="F510" s="98" t="s">
        <v>172</v>
      </c>
      <c r="G510" s="99">
        <v>53566</v>
      </c>
      <c r="H510" s="98" t="s">
        <v>193</v>
      </c>
      <c r="I510" s="99">
        <v>43872</v>
      </c>
      <c r="J510" s="98" t="s">
        <v>168</v>
      </c>
      <c r="K510" s="99">
        <v>47592</v>
      </c>
      <c r="L510" s="98" t="s">
        <v>159</v>
      </c>
      <c r="M510" s="99">
        <v>46557</v>
      </c>
      <c r="N510" s="98" t="s">
        <v>170</v>
      </c>
    </row>
    <row r="511" spans="1:14" x14ac:dyDescent="0.25">
      <c r="A511" s="100">
        <v>46572</v>
      </c>
      <c r="C511" s="99">
        <v>47951</v>
      </c>
      <c r="D511" s="98" t="s">
        <v>181</v>
      </c>
      <c r="E511" s="99">
        <v>67566</v>
      </c>
      <c r="F511" s="98" t="s">
        <v>177</v>
      </c>
      <c r="G511" s="99">
        <v>53686</v>
      </c>
      <c r="H511" s="98" t="s">
        <v>177</v>
      </c>
      <c r="I511" s="99">
        <v>43884</v>
      </c>
      <c r="J511" s="98" t="s">
        <v>173</v>
      </c>
      <c r="K511" s="99">
        <v>47595</v>
      </c>
      <c r="L511" s="98" t="s">
        <v>162</v>
      </c>
      <c r="M511" s="99">
        <v>46572</v>
      </c>
      <c r="N511" s="98" t="s">
        <v>175</v>
      </c>
    </row>
    <row r="512" spans="1:14" x14ac:dyDescent="0.25">
      <c r="A512" s="100">
        <v>46573</v>
      </c>
      <c r="C512" s="99">
        <v>47952</v>
      </c>
      <c r="D512" s="98" t="s">
        <v>162</v>
      </c>
      <c r="E512" s="99">
        <v>67567</v>
      </c>
      <c r="F512" s="98" t="s">
        <v>243</v>
      </c>
      <c r="G512" s="99">
        <v>53687</v>
      </c>
      <c r="H512" s="98" t="s">
        <v>182</v>
      </c>
      <c r="I512" s="99">
        <v>43885</v>
      </c>
      <c r="J512" s="98" t="s">
        <v>212</v>
      </c>
      <c r="K512" s="99">
        <v>47598</v>
      </c>
      <c r="L512" s="98" t="s">
        <v>174</v>
      </c>
      <c r="M512" s="99">
        <v>46573</v>
      </c>
      <c r="N512" s="98" t="s">
        <v>180</v>
      </c>
    </row>
    <row r="513" spans="1:14" x14ac:dyDescent="0.25">
      <c r="A513" s="100">
        <v>46636</v>
      </c>
      <c r="C513" s="99">
        <v>47963</v>
      </c>
      <c r="D513" s="98" t="s">
        <v>185</v>
      </c>
      <c r="E513" s="99">
        <v>67573</v>
      </c>
      <c r="F513" s="98" t="s">
        <v>160</v>
      </c>
      <c r="G513" s="99">
        <v>53693</v>
      </c>
      <c r="H513" s="98" t="s">
        <v>160</v>
      </c>
      <c r="I513" s="99">
        <v>43910</v>
      </c>
      <c r="J513" s="98" t="s">
        <v>178</v>
      </c>
      <c r="K513" s="99">
        <v>47637</v>
      </c>
      <c r="L513" s="98" t="s">
        <v>191</v>
      </c>
      <c r="M513" s="99">
        <v>46636</v>
      </c>
      <c r="N513" s="98" t="s">
        <v>184</v>
      </c>
    </row>
    <row r="514" spans="1:14" x14ac:dyDescent="0.25">
      <c r="A514" s="100">
        <v>46671</v>
      </c>
      <c r="C514" s="99">
        <v>48008</v>
      </c>
      <c r="D514" s="98" t="s">
        <v>191</v>
      </c>
      <c r="E514" s="99">
        <v>67675</v>
      </c>
      <c r="F514" s="98" t="s">
        <v>159</v>
      </c>
      <c r="G514" s="99">
        <v>53794</v>
      </c>
      <c r="H514" s="98" t="s">
        <v>159</v>
      </c>
      <c r="I514" s="99">
        <v>43950</v>
      </c>
      <c r="J514" s="98" t="s">
        <v>183</v>
      </c>
      <c r="K514" s="99">
        <v>47655</v>
      </c>
      <c r="L514" s="98" t="s">
        <v>195</v>
      </c>
      <c r="M514" s="99">
        <v>46671</v>
      </c>
      <c r="N514" s="98" t="s">
        <v>201</v>
      </c>
    </row>
    <row r="515" spans="1:14" x14ac:dyDescent="0.25">
      <c r="A515" s="100">
        <v>46693</v>
      </c>
      <c r="C515" s="99">
        <v>48064</v>
      </c>
      <c r="D515" s="98" t="s">
        <v>202</v>
      </c>
      <c r="E515" s="99">
        <v>67678</v>
      </c>
      <c r="F515" s="98" t="s">
        <v>162</v>
      </c>
      <c r="G515" s="99">
        <v>53797</v>
      </c>
      <c r="H515" s="98" t="s">
        <v>162</v>
      </c>
      <c r="I515" s="99">
        <v>43954</v>
      </c>
      <c r="J515" s="98" t="s">
        <v>187</v>
      </c>
      <c r="K515" s="99">
        <v>47784</v>
      </c>
      <c r="L515" s="98" t="s">
        <v>189</v>
      </c>
      <c r="M515" s="99">
        <v>46693</v>
      </c>
      <c r="N515" s="98" t="s">
        <v>210</v>
      </c>
    </row>
    <row r="516" spans="1:14" x14ac:dyDescent="0.25">
      <c r="A516" s="100">
        <v>46702</v>
      </c>
      <c r="C516" s="99">
        <v>48127</v>
      </c>
      <c r="D516" s="98" t="s">
        <v>189</v>
      </c>
      <c r="E516" s="99">
        <v>67693</v>
      </c>
      <c r="F516" s="98" t="s">
        <v>172</v>
      </c>
      <c r="G516" s="99">
        <v>53818</v>
      </c>
      <c r="H516" s="98" t="s">
        <v>163</v>
      </c>
      <c r="I516" s="99">
        <v>43955</v>
      </c>
      <c r="J516" s="98" t="s">
        <v>190</v>
      </c>
      <c r="K516" s="99">
        <v>47842</v>
      </c>
      <c r="L516" s="98" t="s">
        <v>177</v>
      </c>
      <c r="M516" s="99">
        <v>46702</v>
      </c>
      <c r="N516" s="98" t="s">
        <v>188</v>
      </c>
    </row>
    <row r="517" spans="1:14" x14ac:dyDescent="0.25">
      <c r="A517" s="100">
        <v>46716</v>
      </c>
      <c r="C517" s="99">
        <v>48207</v>
      </c>
      <c r="D517" s="98" t="s">
        <v>177</v>
      </c>
      <c r="E517" s="99">
        <v>67931</v>
      </c>
      <c r="F517" s="98" t="s">
        <v>177</v>
      </c>
      <c r="G517" s="99">
        <v>53839</v>
      </c>
      <c r="H517" s="98" t="s">
        <v>167</v>
      </c>
      <c r="I517" s="99">
        <v>43956</v>
      </c>
      <c r="J517" s="98" t="s">
        <v>194</v>
      </c>
      <c r="K517" s="99">
        <v>47843</v>
      </c>
      <c r="L517" s="98" t="s">
        <v>182</v>
      </c>
      <c r="M517" s="99">
        <v>46716</v>
      </c>
      <c r="N517" s="98" t="s">
        <v>192</v>
      </c>
    </row>
    <row r="518" spans="1:14" x14ac:dyDescent="0.25">
      <c r="A518" s="100">
        <v>46745</v>
      </c>
      <c r="C518" s="99">
        <v>48208</v>
      </c>
      <c r="D518" s="98" t="s">
        <v>182</v>
      </c>
      <c r="E518" s="99">
        <v>67932</v>
      </c>
      <c r="F518" s="98" t="s">
        <v>243</v>
      </c>
      <c r="G518" s="99">
        <v>53930</v>
      </c>
      <c r="H518" s="98" t="s">
        <v>193</v>
      </c>
      <c r="I518" s="99">
        <v>43957</v>
      </c>
      <c r="J518" s="98" t="s">
        <v>212</v>
      </c>
      <c r="K518" s="99">
        <v>47849</v>
      </c>
      <c r="L518" s="98" t="s">
        <v>160</v>
      </c>
      <c r="M518" s="99">
        <v>46745</v>
      </c>
      <c r="N518" s="98" t="s">
        <v>208</v>
      </c>
    </row>
    <row r="519" spans="1:14" x14ac:dyDescent="0.25">
      <c r="A519" s="100">
        <v>46746</v>
      </c>
      <c r="C519" s="99">
        <v>48214</v>
      </c>
      <c r="D519" s="98" t="s">
        <v>160</v>
      </c>
      <c r="E519" s="99">
        <v>67938</v>
      </c>
      <c r="F519" s="98" t="s">
        <v>160</v>
      </c>
      <c r="G519" s="99">
        <v>54051</v>
      </c>
      <c r="H519" s="98" t="s">
        <v>177</v>
      </c>
      <c r="I519" s="99">
        <v>44035</v>
      </c>
      <c r="J519" s="98" t="s">
        <v>196</v>
      </c>
      <c r="K519" s="99">
        <v>47850</v>
      </c>
      <c r="L519" s="98" t="s">
        <v>165</v>
      </c>
      <c r="M519" s="99">
        <v>46746</v>
      </c>
      <c r="N519" s="98" t="s">
        <v>177</v>
      </c>
    </row>
    <row r="520" spans="1:14" x14ac:dyDescent="0.25">
      <c r="A520" s="100">
        <v>46752</v>
      </c>
      <c r="C520" s="99">
        <v>48239</v>
      </c>
      <c r="D520" s="98" t="s">
        <v>171</v>
      </c>
      <c r="E520" s="99">
        <v>68025</v>
      </c>
      <c r="F520" s="98" t="s">
        <v>159</v>
      </c>
      <c r="G520" s="99">
        <v>54052</v>
      </c>
      <c r="H520" s="98" t="s">
        <v>182</v>
      </c>
      <c r="I520" s="99">
        <v>44036</v>
      </c>
      <c r="J520" s="98" t="s">
        <v>205</v>
      </c>
      <c r="K520" s="99">
        <v>47875</v>
      </c>
      <c r="L520" s="98" t="s">
        <v>206</v>
      </c>
      <c r="M520" s="99">
        <v>46752</v>
      </c>
      <c r="N520" s="98" t="s">
        <v>214</v>
      </c>
    </row>
    <row r="521" spans="1:14" x14ac:dyDescent="0.25">
      <c r="A521" s="100">
        <v>46753</v>
      </c>
      <c r="C521" s="99">
        <v>48299</v>
      </c>
      <c r="D521" s="98" t="s">
        <v>159</v>
      </c>
      <c r="E521" s="99">
        <v>68028</v>
      </c>
      <c r="F521" s="98" t="s">
        <v>162</v>
      </c>
      <c r="G521" s="99">
        <v>54058</v>
      </c>
      <c r="H521" s="98" t="s">
        <v>160</v>
      </c>
      <c r="I521" s="99">
        <v>44053</v>
      </c>
      <c r="J521" s="98" t="s">
        <v>198</v>
      </c>
      <c r="K521" s="99">
        <v>47885</v>
      </c>
      <c r="L521" s="98" t="s">
        <v>169</v>
      </c>
      <c r="M521" s="99">
        <v>46753</v>
      </c>
      <c r="N521" s="98" t="s">
        <v>160</v>
      </c>
    </row>
    <row r="522" spans="1:14" x14ac:dyDescent="0.25">
      <c r="A522" s="100">
        <v>46769</v>
      </c>
      <c r="C522" s="99">
        <v>48300</v>
      </c>
      <c r="D522" s="98" t="s">
        <v>176</v>
      </c>
      <c r="E522" s="99">
        <v>68058</v>
      </c>
      <c r="F522" s="98" t="s">
        <v>172</v>
      </c>
      <c r="G522" s="99">
        <v>54151</v>
      </c>
      <c r="H522" s="98" t="s">
        <v>159</v>
      </c>
      <c r="I522" s="99">
        <v>44095</v>
      </c>
      <c r="J522" s="98" t="s">
        <v>200</v>
      </c>
      <c r="K522" s="99">
        <v>47949</v>
      </c>
      <c r="L522" s="98" t="s">
        <v>159</v>
      </c>
      <c r="M522" s="99">
        <v>46769</v>
      </c>
      <c r="N522" s="98" t="s">
        <v>197</v>
      </c>
    </row>
    <row r="523" spans="1:14" x14ac:dyDescent="0.25">
      <c r="A523" s="100">
        <v>46794</v>
      </c>
      <c r="C523" s="99">
        <v>48301</v>
      </c>
      <c r="D523" s="98" t="s">
        <v>181</v>
      </c>
      <c r="E523" s="99">
        <v>68296</v>
      </c>
      <c r="F523" s="98" t="s">
        <v>177</v>
      </c>
      <c r="G523" s="99">
        <v>54154</v>
      </c>
      <c r="H523" s="98" t="s">
        <v>162</v>
      </c>
      <c r="I523" s="99">
        <v>44096</v>
      </c>
      <c r="J523" s="98" t="s">
        <v>203</v>
      </c>
      <c r="K523" s="99">
        <v>47952</v>
      </c>
      <c r="L523" s="98" t="s">
        <v>162</v>
      </c>
      <c r="M523" s="99">
        <v>46794</v>
      </c>
      <c r="N523" s="98" t="s">
        <v>219</v>
      </c>
    </row>
    <row r="524" spans="1:14" x14ac:dyDescent="0.25">
      <c r="A524" s="100">
        <v>46795</v>
      </c>
      <c r="C524" s="99">
        <v>48302</v>
      </c>
      <c r="D524" s="98" t="s">
        <v>162</v>
      </c>
      <c r="E524" s="99">
        <v>68297</v>
      </c>
      <c r="F524" s="98" t="s">
        <v>243</v>
      </c>
      <c r="G524" s="99">
        <v>54182</v>
      </c>
      <c r="H524" s="98" t="s">
        <v>163</v>
      </c>
      <c r="I524" s="99">
        <v>44138</v>
      </c>
      <c r="J524" s="98" t="s">
        <v>209</v>
      </c>
      <c r="K524" s="99">
        <v>47963</v>
      </c>
      <c r="L524" s="98" t="s">
        <v>174</v>
      </c>
      <c r="M524" s="99">
        <v>46795</v>
      </c>
      <c r="N524" s="98" t="s">
        <v>204</v>
      </c>
    </row>
    <row r="525" spans="1:14" x14ac:dyDescent="0.25">
      <c r="A525" s="100">
        <v>46798</v>
      </c>
      <c r="C525" s="99">
        <v>48329</v>
      </c>
      <c r="D525" s="98" t="s">
        <v>185</v>
      </c>
      <c r="E525" s="99">
        <v>68303</v>
      </c>
      <c r="F525" s="98" t="s">
        <v>160</v>
      </c>
      <c r="G525" s="99">
        <v>54203</v>
      </c>
      <c r="H525" s="98" t="s">
        <v>167</v>
      </c>
      <c r="I525" s="99">
        <v>44158</v>
      </c>
      <c r="J525" s="98" t="s">
        <v>211</v>
      </c>
      <c r="K525" s="99">
        <v>48001</v>
      </c>
      <c r="L525" s="98" t="s">
        <v>191</v>
      </c>
      <c r="M525" s="99">
        <v>46798</v>
      </c>
      <c r="N525" s="98" t="s">
        <v>207</v>
      </c>
    </row>
    <row r="526" spans="1:14" x14ac:dyDescent="0.25">
      <c r="A526" s="100">
        <v>46804</v>
      </c>
      <c r="C526" s="99">
        <v>48379</v>
      </c>
      <c r="D526" s="98" t="s">
        <v>191</v>
      </c>
      <c r="E526" s="99">
        <v>68410</v>
      </c>
      <c r="F526" s="98" t="s">
        <v>159</v>
      </c>
      <c r="G526" s="99">
        <v>54301</v>
      </c>
      <c r="H526" s="98" t="s">
        <v>193</v>
      </c>
      <c r="I526" s="99">
        <v>44197</v>
      </c>
      <c r="J526" s="98" t="s">
        <v>161</v>
      </c>
      <c r="K526" s="99">
        <v>48040</v>
      </c>
      <c r="L526" s="98" t="s">
        <v>195</v>
      </c>
      <c r="M526" s="99">
        <v>46804</v>
      </c>
      <c r="N526" s="98" t="s">
        <v>199</v>
      </c>
    </row>
    <row r="527" spans="1:14" x14ac:dyDescent="0.25">
      <c r="A527" s="100">
        <v>46902</v>
      </c>
      <c r="C527" s="99">
        <v>48428</v>
      </c>
      <c r="D527" s="98" t="s">
        <v>202</v>
      </c>
      <c r="E527" s="99">
        <v>68413</v>
      </c>
      <c r="F527" s="98" t="s">
        <v>162</v>
      </c>
      <c r="G527" s="99">
        <v>54417</v>
      </c>
      <c r="H527" s="98" t="s">
        <v>177</v>
      </c>
      <c r="I527" s="99">
        <v>44207</v>
      </c>
      <c r="J527" s="98" t="s">
        <v>164</v>
      </c>
      <c r="K527" s="99">
        <v>48148</v>
      </c>
      <c r="L527" s="98" t="s">
        <v>189</v>
      </c>
      <c r="M527" s="99">
        <v>46902</v>
      </c>
      <c r="N527" s="98" t="s">
        <v>166</v>
      </c>
    </row>
    <row r="528" spans="1:14" x14ac:dyDescent="0.25">
      <c r="A528" s="100">
        <v>46923</v>
      </c>
      <c r="C528" s="99">
        <v>48491</v>
      </c>
      <c r="D528" s="98" t="s">
        <v>189</v>
      </c>
      <c r="E528" s="99">
        <v>68423</v>
      </c>
      <c r="F528" s="98" t="s">
        <v>172</v>
      </c>
      <c r="G528" s="99">
        <v>54418</v>
      </c>
      <c r="H528" s="98" t="s">
        <v>182</v>
      </c>
      <c r="I528" s="99">
        <v>44238</v>
      </c>
      <c r="J528" s="98" t="s">
        <v>168</v>
      </c>
      <c r="K528" s="99">
        <v>48207</v>
      </c>
      <c r="L528" s="98" t="s">
        <v>177</v>
      </c>
      <c r="M528" s="99">
        <v>46923</v>
      </c>
      <c r="N528" s="98" t="s">
        <v>170</v>
      </c>
    </row>
    <row r="529" spans="1:14" x14ac:dyDescent="0.25">
      <c r="A529" s="100">
        <v>46938</v>
      </c>
      <c r="C529" s="99">
        <v>48573</v>
      </c>
      <c r="D529" s="98" t="s">
        <v>177</v>
      </c>
      <c r="E529" s="99">
        <v>68661</v>
      </c>
      <c r="F529" s="98" t="s">
        <v>177</v>
      </c>
      <c r="G529" s="99">
        <v>54420</v>
      </c>
      <c r="H529" s="98" t="s">
        <v>186</v>
      </c>
      <c r="I529" s="99">
        <v>44250</v>
      </c>
      <c r="J529" s="98" t="s">
        <v>173</v>
      </c>
      <c r="K529" s="99">
        <v>48208</v>
      </c>
      <c r="L529" s="98" t="s">
        <v>182</v>
      </c>
      <c r="M529" s="99">
        <v>46938</v>
      </c>
      <c r="N529" s="98" t="s">
        <v>175</v>
      </c>
    </row>
    <row r="530" spans="1:14" x14ac:dyDescent="0.25">
      <c r="A530" s="100">
        <v>47000</v>
      </c>
      <c r="C530" s="99">
        <v>48574</v>
      </c>
      <c r="D530" s="98" t="s">
        <v>182</v>
      </c>
      <c r="E530" s="99">
        <v>68662</v>
      </c>
      <c r="F530" s="98" t="s">
        <v>243</v>
      </c>
      <c r="G530" s="99">
        <v>54424</v>
      </c>
      <c r="H530" s="98" t="s">
        <v>160</v>
      </c>
      <c r="I530" s="99">
        <v>44275</v>
      </c>
      <c r="J530" s="98" t="s">
        <v>178</v>
      </c>
      <c r="K530" s="99">
        <v>48214</v>
      </c>
      <c r="L530" s="98" t="s">
        <v>160</v>
      </c>
      <c r="M530" s="99">
        <v>47000</v>
      </c>
      <c r="N530" s="98" t="s">
        <v>184</v>
      </c>
    </row>
    <row r="531" spans="1:14" x14ac:dyDescent="0.25">
      <c r="A531" s="100">
        <v>47035</v>
      </c>
      <c r="C531" s="99">
        <v>48575</v>
      </c>
      <c r="D531" s="98" t="s">
        <v>208</v>
      </c>
      <c r="E531" s="99">
        <v>68668</v>
      </c>
      <c r="F531" s="98" t="s">
        <v>160</v>
      </c>
      <c r="G531" s="99">
        <v>54529</v>
      </c>
      <c r="H531" s="98" t="s">
        <v>159</v>
      </c>
      <c r="I531" s="99">
        <v>44315</v>
      </c>
      <c r="J531" s="98" t="s">
        <v>183</v>
      </c>
      <c r="K531" s="99">
        <v>48215</v>
      </c>
      <c r="L531" s="98" t="s">
        <v>165</v>
      </c>
      <c r="M531" s="99">
        <v>47035</v>
      </c>
      <c r="N531" s="98" t="s">
        <v>201</v>
      </c>
    </row>
    <row r="532" spans="1:14" x14ac:dyDescent="0.25">
      <c r="A532" s="100">
        <v>47064</v>
      </c>
      <c r="C532" s="99">
        <v>48576</v>
      </c>
      <c r="D532" s="98" t="s">
        <v>186</v>
      </c>
      <c r="E532" s="99">
        <v>68767</v>
      </c>
      <c r="F532" s="98" t="s">
        <v>159</v>
      </c>
      <c r="G532" s="99">
        <v>54532</v>
      </c>
      <c r="H532" s="98" t="s">
        <v>162</v>
      </c>
      <c r="I532" s="99">
        <v>44319</v>
      </c>
      <c r="J532" s="98" t="s">
        <v>187</v>
      </c>
      <c r="K532" s="99">
        <v>48239</v>
      </c>
      <c r="L532" s="98" t="s">
        <v>206</v>
      </c>
      <c r="M532" s="99">
        <v>47064</v>
      </c>
      <c r="N532" s="98" t="s">
        <v>210</v>
      </c>
    </row>
    <row r="533" spans="1:14" x14ac:dyDescent="0.25">
      <c r="A533" s="100">
        <v>47067</v>
      </c>
      <c r="C533" s="99">
        <v>48580</v>
      </c>
      <c r="D533" s="98" t="s">
        <v>160</v>
      </c>
      <c r="E533" s="99">
        <v>68770</v>
      </c>
      <c r="F533" s="98" t="s">
        <v>162</v>
      </c>
      <c r="G533" s="99">
        <v>54546</v>
      </c>
      <c r="H533" s="98" t="s">
        <v>163</v>
      </c>
      <c r="I533" s="99">
        <v>44320</v>
      </c>
      <c r="J533" s="98" t="s">
        <v>190</v>
      </c>
      <c r="K533" s="99">
        <v>48250</v>
      </c>
      <c r="L533" s="98" t="s">
        <v>169</v>
      </c>
      <c r="M533" s="99">
        <v>47067</v>
      </c>
      <c r="N533" s="98" t="s">
        <v>220</v>
      </c>
    </row>
    <row r="534" spans="1:14" x14ac:dyDescent="0.25">
      <c r="A534" s="100">
        <v>47068</v>
      </c>
      <c r="C534" s="99">
        <v>48582</v>
      </c>
      <c r="D534" s="98" t="s">
        <v>214</v>
      </c>
      <c r="E534" s="99">
        <v>68789</v>
      </c>
      <c r="F534" s="98" t="s">
        <v>172</v>
      </c>
      <c r="G534" s="99">
        <v>54574</v>
      </c>
      <c r="H534" s="98" t="s">
        <v>167</v>
      </c>
      <c r="I534" s="99">
        <v>44321</v>
      </c>
      <c r="J534" s="98" t="s">
        <v>194</v>
      </c>
      <c r="K534" s="99">
        <v>48299</v>
      </c>
      <c r="L534" s="98" t="s">
        <v>159</v>
      </c>
      <c r="M534" s="99">
        <v>47068</v>
      </c>
      <c r="N534" s="98" t="s">
        <v>188</v>
      </c>
    </row>
    <row r="535" spans="1:14" x14ac:dyDescent="0.25">
      <c r="A535" s="100">
        <v>47080</v>
      </c>
      <c r="C535" s="99">
        <v>48605</v>
      </c>
      <c r="D535" s="98" t="s">
        <v>171</v>
      </c>
      <c r="E535" s="99">
        <v>69027</v>
      </c>
      <c r="F535" s="98" t="s">
        <v>177</v>
      </c>
      <c r="G535" s="99">
        <v>54665</v>
      </c>
      <c r="H535" s="98" t="s">
        <v>193</v>
      </c>
      <c r="I535" s="99">
        <v>44399</v>
      </c>
      <c r="J535" s="98" t="s">
        <v>196</v>
      </c>
      <c r="K535" s="99">
        <v>48302</v>
      </c>
      <c r="L535" s="98" t="s">
        <v>162</v>
      </c>
      <c r="M535" s="99">
        <v>47080</v>
      </c>
      <c r="N535" s="98" t="s">
        <v>192</v>
      </c>
    </row>
    <row r="536" spans="1:14" x14ac:dyDescent="0.25">
      <c r="A536" s="100">
        <v>47112</v>
      </c>
      <c r="C536" s="99">
        <v>48684</v>
      </c>
      <c r="D536" s="98" t="s">
        <v>159</v>
      </c>
      <c r="E536" s="99">
        <v>69028</v>
      </c>
      <c r="F536" s="98" t="s">
        <v>243</v>
      </c>
      <c r="G536" s="99">
        <v>54782</v>
      </c>
      <c r="H536" s="98" t="s">
        <v>177</v>
      </c>
      <c r="I536" s="99">
        <v>44400</v>
      </c>
      <c r="J536" s="98" t="s">
        <v>205</v>
      </c>
      <c r="K536" s="99">
        <v>48329</v>
      </c>
      <c r="L536" s="98" t="s">
        <v>174</v>
      </c>
      <c r="M536" s="99">
        <v>47112</v>
      </c>
      <c r="N536" s="98" t="s">
        <v>177</v>
      </c>
    </row>
    <row r="537" spans="1:14" x14ac:dyDescent="0.25">
      <c r="A537" s="100">
        <v>47119</v>
      </c>
      <c r="C537" s="99">
        <v>48685</v>
      </c>
      <c r="D537" s="98" t="s">
        <v>176</v>
      </c>
      <c r="E537" s="99">
        <v>69034</v>
      </c>
      <c r="F537" s="98" t="s">
        <v>160</v>
      </c>
      <c r="G537" s="99">
        <v>54783</v>
      </c>
      <c r="H537" s="98" t="s">
        <v>182</v>
      </c>
      <c r="I537" s="99">
        <v>44416</v>
      </c>
      <c r="J537" s="98" t="s">
        <v>198</v>
      </c>
      <c r="K537" s="99">
        <v>48330</v>
      </c>
      <c r="L537" s="98" t="s">
        <v>179</v>
      </c>
      <c r="M537" s="99">
        <v>47119</v>
      </c>
      <c r="N537" s="98" t="s">
        <v>160</v>
      </c>
    </row>
    <row r="538" spans="1:14" x14ac:dyDescent="0.25">
      <c r="A538" s="100">
        <v>47133</v>
      </c>
      <c r="C538" s="99">
        <v>48686</v>
      </c>
      <c r="D538" s="98" t="s">
        <v>181</v>
      </c>
      <c r="E538" s="99">
        <v>69124</v>
      </c>
      <c r="F538" s="98" t="s">
        <v>159</v>
      </c>
      <c r="G538" s="99">
        <v>54784</v>
      </c>
      <c r="H538" s="98" t="s">
        <v>208</v>
      </c>
      <c r="I538" s="99">
        <v>44417</v>
      </c>
      <c r="J538" s="98" t="s">
        <v>212</v>
      </c>
      <c r="K538" s="99">
        <v>48372</v>
      </c>
      <c r="L538" s="98" t="s">
        <v>191</v>
      </c>
      <c r="M538" s="99">
        <v>47133</v>
      </c>
      <c r="N538" s="98" t="s">
        <v>197</v>
      </c>
    </row>
    <row r="539" spans="1:14" x14ac:dyDescent="0.25">
      <c r="A539" s="100">
        <v>47161</v>
      </c>
      <c r="C539" s="99">
        <v>48687</v>
      </c>
      <c r="D539" s="98" t="s">
        <v>162</v>
      </c>
      <c r="E539" s="99">
        <v>69127</v>
      </c>
      <c r="F539" s="98" t="s">
        <v>162</v>
      </c>
      <c r="G539" s="99">
        <v>54785</v>
      </c>
      <c r="H539" s="98" t="s">
        <v>186</v>
      </c>
      <c r="I539" s="99">
        <v>44459</v>
      </c>
      <c r="J539" s="98" t="s">
        <v>200</v>
      </c>
      <c r="K539" s="99">
        <v>48397</v>
      </c>
      <c r="L539" s="98" t="s">
        <v>195</v>
      </c>
      <c r="M539" s="99">
        <v>47161</v>
      </c>
      <c r="N539" s="98" t="s">
        <v>204</v>
      </c>
    </row>
    <row r="540" spans="1:14" x14ac:dyDescent="0.25">
      <c r="A540" s="100">
        <v>47164</v>
      </c>
      <c r="C540" s="99">
        <v>48694</v>
      </c>
      <c r="D540" s="98" t="s">
        <v>185</v>
      </c>
      <c r="E540" s="99">
        <v>69154</v>
      </c>
      <c r="F540" s="98" t="s">
        <v>172</v>
      </c>
      <c r="G540" s="99">
        <v>54789</v>
      </c>
      <c r="H540" s="98" t="s">
        <v>160</v>
      </c>
      <c r="I540" s="99">
        <v>44462</v>
      </c>
      <c r="J540" s="98" t="s">
        <v>203</v>
      </c>
      <c r="K540" s="99">
        <v>48512</v>
      </c>
      <c r="L540" s="98" t="s">
        <v>189</v>
      </c>
      <c r="M540" s="99">
        <v>47164</v>
      </c>
      <c r="N540" s="98" t="s">
        <v>207</v>
      </c>
    </row>
    <row r="541" spans="1:14" x14ac:dyDescent="0.25">
      <c r="A541" s="100">
        <v>47168</v>
      </c>
      <c r="C541" s="99">
        <v>48743</v>
      </c>
      <c r="D541" s="98" t="s">
        <v>191</v>
      </c>
      <c r="E541" s="99">
        <v>69392</v>
      </c>
      <c r="F541" s="98" t="s">
        <v>177</v>
      </c>
      <c r="G541" s="99">
        <v>54791</v>
      </c>
      <c r="H541" s="98" t="s">
        <v>214</v>
      </c>
      <c r="I541" s="99">
        <v>44503</v>
      </c>
      <c r="J541" s="98" t="s">
        <v>209</v>
      </c>
      <c r="K541" s="99">
        <v>48573</v>
      </c>
      <c r="L541" s="98" t="s">
        <v>177</v>
      </c>
      <c r="M541" s="99">
        <v>47168</v>
      </c>
      <c r="N541" s="98" t="s">
        <v>199</v>
      </c>
    </row>
    <row r="542" spans="1:14" x14ac:dyDescent="0.25">
      <c r="A542" s="100">
        <v>47266</v>
      </c>
      <c r="C542" s="99">
        <v>48792</v>
      </c>
      <c r="D542" s="98" t="s">
        <v>202</v>
      </c>
      <c r="E542" s="99">
        <v>69393</v>
      </c>
      <c r="F542" s="98" t="s">
        <v>243</v>
      </c>
      <c r="G542" s="99">
        <v>54886</v>
      </c>
      <c r="H542" s="98" t="s">
        <v>159</v>
      </c>
      <c r="I542" s="99">
        <v>44523</v>
      </c>
      <c r="J542" s="98" t="s">
        <v>211</v>
      </c>
      <c r="K542" s="99">
        <v>48574</v>
      </c>
      <c r="L542" s="98" t="s">
        <v>182</v>
      </c>
      <c r="M542" s="99">
        <v>47266</v>
      </c>
      <c r="N542" s="98" t="s">
        <v>166</v>
      </c>
    </row>
    <row r="543" spans="1:14" x14ac:dyDescent="0.25">
      <c r="A543" s="100">
        <v>47288</v>
      </c>
      <c r="C543" s="99">
        <v>48855</v>
      </c>
      <c r="D543" s="98" t="s">
        <v>189</v>
      </c>
      <c r="E543" s="99">
        <v>69399</v>
      </c>
      <c r="F543" s="98" t="s">
        <v>160</v>
      </c>
      <c r="G543" s="99">
        <v>54889</v>
      </c>
      <c r="H543" s="98" t="s">
        <v>162</v>
      </c>
      <c r="I543" s="99">
        <v>44562</v>
      </c>
      <c r="J543" s="98" t="s">
        <v>161</v>
      </c>
      <c r="K543" s="99">
        <v>48575</v>
      </c>
      <c r="L543" s="98" t="s">
        <v>208</v>
      </c>
      <c r="M543" s="99">
        <v>47288</v>
      </c>
      <c r="N543" s="98" t="s">
        <v>170</v>
      </c>
    </row>
    <row r="544" spans="1:14" x14ac:dyDescent="0.25">
      <c r="A544" s="100">
        <v>47303</v>
      </c>
      <c r="C544" s="99">
        <v>48938</v>
      </c>
      <c r="D544" s="98" t="s">
        <v>177</v>
      </c>
      <c r="E544" s="99">
        <v>69502</v>
      </c>
      <c r="F544" s="98" t="s">
        <v>159</v>
      </c>
      <c r="G544" s="99">
        <v>54910</v>
      </c>
      <c r="H544" s="98" t="s">
        <v>163</v>
      </c>
      <c r="I544" s="99">
        <v>44571</v>
      </c>
      <c r="J544" s="98" t="s">
        <v>164</v>
      </c>
      <c r="K544" s="99">
        <v>48576</v>
      </c>
      <c r="L544" s="98" t="s">
        <v>186</v>
      </c>
      <c r="M544" s="99">
        <v>47303</v>
      </c>
      <c r="N544" s="98" t="s">
        <v>175</v>
      </c>
    </row>
    <row r="545" spans="1:14" x14ac:dyDescent="0.25">
      <c r="A545" s="100">
        <v>47364</v>
      </c>
      <c r="C545" s="99">
        <v>48939</v>
      </c>
      <c r="D545" s="98" t="s">
        <v>182</v>
      </c>
      <c r="E545" s="99">
        <v>69505</v>
      </c>
      <c r="F545" s="98" t="s">
        <v>162</v>
      </c>
      <c r="G545" s="99">
        <v>54938</v>
      </c>
      <c r="H545" s="98" t="s">
        <v>167</v>
      </c>
      <c r="I545" s="99">
        <v>44603</v>
      </c>
      <c r="J545" s="98" t="s">
        <v>168</v>
      </c>
      <c r="K545" s="99">
        <v>48580</v>
      </c>
      <c r="L545" s="98" t="s">
        <v>160</v>
      </c>
      <c r="M545" s="99">
        <v>47364</v>
      </c>
      <c r="N545" s="98" t="s">
        <v>184</v>
      </c>
    </row>
    <row r="546" spans="1:14" x14ac:dyDescent="0.25">
      <c r="A546" s="100">
        <v>47399</v>
      </c>
      <c r="C546" s="99">
        <v>48940</v>
      </c>
      <c r="D546" s="98" t="s">
        <v>208</v>
      </c>
      <c r="E546" s="99">
        <v>69519</v>
      </c>
      <c r="F546" s="98" t="s">
        <v>172</v>
      </c>
      <c r="G546" s="99">
        <v>55029</v>
      </c>
      <c r="H546" s="98" t="s">
        <v>193</v>
      </c>
      <c r="I546" s="99">
        <v>44615</v>
      </c>
      <c r="J546" s="98" t="s">
        <v>173</v>
      </c>
      <c r="K546" s="99">
        <v>48581</v>
      </c>
      <c r="L546" s="98" t="s">
        <v>165</v>
      </c>
      <c r="M546" s="99">
        <v>47399</v>
      </c>
      <c r="N546" s="98" t="s">
        <v>201</v>
      </c>
    </row>
    <row r="547" spans="1:14" x14ac:dyDescent="0.25">
      <c r="A547" s="100">
        <v>47428</v>
      </c>
      <c r="C547" s="99">
        <v>48945</v>
      </c>
      <c r="D547" s="98" t="s">
        <v>160</v>
      </c>
      <c r="E547" s="99">
        <v>69757</v>
      </c>
      <c r="F547" s="98" t="s">
        <v>177</v>
      </c>
      <c r="G547" s="99">
        <v>55147</v>
      </c>
      <c r="H547" s="98" t="s">
        <v>177</v>
      </c>
      <c r="I547" s="99">
        <v>44641</v>
      </c>
      <c r="J547" s="98" t="s">
        <v>178</v>
      </c>
      <c r="K547" s="99">
        <v>48582</v>
      </c>
      <c r="L547" s="98" t="s">
        <v>214</v>
      </c>
      <c r="M547" s="99">
        <v>47428</v>
      </c>
      <c r="N547" s="98" t="s">
        <v>210</v>
      </c>
    </row>
    <row r="548" spans="1:14" x14ac:dyDescent="0.25">
      <c r="A548" s="100">
        <v>47433</v>
      </c>
      <c r="C548" s="99">
        <v>48946</v>
      </c>
      <c r="D548" s="98" t="s">
        <v>214</v>
      </c>
      <c r="E548" s="99">
        <v>69758</v>
      </c>
      <c r="F548" s="98" t="s">
        <v>243</v>
      </c>
      <c r="G548" s="99">
        <v>55148</v>
      </c>
      <c r="H548" s="98" t="s">
        <v>182</v>
      </c>
      <c r="I548" s="99">
        <v>44680</v>
      </c>
      <c r="J548" s="98" t="s">
        <v>183</v>
      </c>
      <c r="K548" s="99">
        <v>48583</v>
      </c>
      <c r="L548" s="98" t="s">
        <v>213</v>
      </c>
      <c r="M548" s="99">
        <v>47433</v>
      </c>
      <c r="N548" s="98" t="s">
        <v>188</v>
      </c>
    </row>
    <row r="549" spans="1:14" x14ac:dyDescent="0.25">
      <c r="A549" s="100">
        <v>47434</v>
      </c>
      <c r="C549" s="99">
        <v>48970</v>
      </c>
      <c r="D549" s="98" t="s">
        <v>171</v>
      </c>
      <c r="E549" s="99">
        <v>69764</v>
      </c>
      <c r="F549" s="98" t="s">
        <v>160</v>
      </c>
      <c r="G549" s="99">
        <v>55149</v>
      </c>
      <c r="H549" s="98" t="s">
        <v>208</v>
      </c>
      <c r="I549" s="99">
        <v>44684</v>
      </c>
      <c r="J549" s="98" t="s">
        <v>187</v>
      </c>
      <c r="K549" s="99">
        <v>48610</v>
      </c>
      <c r="L549" s="98" t="s">
        <v>206</v>
      </c>
      <c r="M549" s="99">
        <v>47434</v>
      </c>
      <c r="N549" s="98" t="s">
        <v>220</v>
      </c>
    </row>
    <row r="550" spans="1:14" x14ac:dyDescent="0.25">
      <c r="A550" s="100">
        <v>47444</v>
      </c>
      <c r="C550" s="99">
        <v>49041</v>
      </c>
      <c r="D550" s="98" t="s">
        <v>159</v>
      </c>
      <c r="E550" s="99">
        <v>69859</v>
      </c>
      <c r="F550" s="98" t="s">
        <v>159</v>
      </c>
      <c r="G550" s="99">
        <v>55154</v>
      </c>
      <c r="H550" s="98" t="s">
        <v>160</v>
      </c>
      <c r="I550" s="99">
        <v>44685</v>
      </c>
      <c r="J550" s="98" t="s">
        <v>190</v>
      </c>
      <c r="K550" s="99">
        <v>48616</v>
      </c>
      <c r="L550" s="98" t="s">
        <v>169</v>
      </c>
      <c r="M550" s="99">
        <v>47444</v>
      </c>
      <c r="N550" s="98" t="s">
        <v>192</v>
      </c>
    </row>
    <row r="551" spans="1:14" x14ac:dyDescent="0.25">
      <c r="A551" s="100">
        <v>47477</v>
      </c>
      <c r="C551" s="99">
        <v>49042</v>
      </c>
      <c r="D551" s="98" t="s">
        <v>176</v>
      </c>
      <c r="E551" s="99">
        <v>69862</v>
      </c>
      <c r="F551" s="98" t="s">
        <v>162</v>
      </c>
      <c r="G551" s="99">
        <v>55155</v>
      </c>
      <c r="H551" s="98" t="s">
        <v>214</v>
      </c>
      <c r="I551" s="99">
        <v>44686</v>
      </c>
      <c r="J551" s="98" t="s">
        <v>194</v>
      </c>
      <c r="K551" s="99">
        <v>48617</v>
      </c>
      <c r="L551" s="98" t="s">
        <v>215</v>
      </c>
      <c r="M551" s="99">
        <v>47477</v>
      </c>
      <c r="N551" s="98" t="s">
        <v>177</v>
      </c>
    </row>
    <row r="552" spans="1:14" x14ac:dyDescent="0.25">
      <c r="A552" s="100">
        <v>47484</v>
      </c>
      <c r="C552" s="99">
        <v>49043</v>
      </c>
      <c r="D552" s="98" t="s">
        <v>181</v>
      </c>
      <c r="E552" s="99">
        <v>69884</v>
      </c>
      <c r="F552" s="98" t="s">
        <v>172</v>
      </c>
      <c r="G552" s="99">
        <v>55243</v>
      </c>
      <c r="H552" s="98" t="s">
        <v>159</v>
      </c>
      <c r="I552" s="99">
        <v>44760</v>
      </c>
      <c r="J552" s="98" t="s">
        <v>196</v>
      </c>
      <c r="K552" s="99">
        <v>48684</v>
      </c>
      <c r="L552" s="98" t="s">
        <v>159</v>
      </c>
      <c r="M552" s="99">
        <v>47484</v>
      </c>
      <c r="N552" s="98" t="s">
        <v>160</v>
      </c>
    </row>
    <row r="553" spans="1:14" x14ac:dyDescent="0.25">
      <c r="A553" s="100">
        <v>47504</v>
      </c>
      <c r="C553" s="99">
        <v>49044</v>
      </c>
      <c r="D553" s="98" t="s">
        <v>162</v>
      </c>
      <c r="E553" s="99">
        <v>70122</v>
      </c>
      <c r="F553" s="98" t="s">
        <v>177</v>
      </c>
      <c r="G553" s="99">
        <v>55246</v>
      </c>
      <c r="H553" s="98" t="s">
        <v>162</v>
      </c>
      <c r="I553" s="99">
        <v>44784</v>
      </c>
      <c r="J553" s="98" t="s">
        <v>198</v>
      </c>
      <c r="K553" s="99">
        <v>48687</v>
      </c>
      <c r="L553" s="98" t="s">
        <v>162</v>
      </c>
      <c r="M553" s="99">
        <v>47504</v>
      </c>
      <c r="N553" s="98" t="s">
        <v>197</v>
      </c>
    </row>
    <row r="554" spans="1:14" x14ac:dyDescent="0.25">
      <c r="A554" s="100">
        <v>47526</v>
      </c>
      <c r="C554" s="99">
        <v>49059</v>
      </c>
      <c r="D554" s="98" t="s">
        <v>185</v>
      </c>
      <c r="E554" s="99">
        <v>70123</v>
      </c>
      <c r="F554" s="98" t="s">
        <v>243</v>
      </c>
      <c r="G554" s="99">
        <v>55274</v>
      </c>
      <c r="H554" s="98" t="s">
        <v>163</v>
      </c>
      <c r="I554" s="99">
        <v>44823</v>
      </c>
      <c r="J554" s="98" t="s">
        <v>200</v>
      </c>
      <c r="K554" s="99">
        <v>48694</v>
      </c>
      <c r="L554" s="98" t="s">
        <v>174</v>
      </c>
      <c r="M554" s="99">
        <v>47526</v>
      </c>
      <c r="N554" s="98" t="s">
        <v>204</v>
      </c>
    </row>
    <row r="555" spans="1:14" x14ac:dyDescent="0.25">
      <c r="A555" s="100">
        <v>47529</v>
      </c>
      <c r="C555" s="99">
        <v>49107</v>
      </c>
      <c r="D555" s="98" t="s">
        <v>191</v>
      </c>
      <c r="E555" s="99">
        <v>70129</v>
      </c>
      <c r="F555" s="98" t="s">
        <v>160</v>
      </c>
      <c r="G555" s="99">
        <v>55302</v>
      </c>
      <c r="H555" s="98" t="s">
        <v>167</v>
      </c>
      <c r="I555" s="99">
        <v>44827</v>
      </c>
      <c r="J555" s="98" t="s">
        <v>203</v>
      </c>
      <c r="K555" s="99">
        <v>48736</v>
      </c>
      <c r="L555" s="98" t="s">
        <v>191</v>
      </c>
      <c r="M555" s="99">
        <v>47529</v>
      </c>
      <c r="N555" s="98" t="s">
        <v>207</v>
      </c>
    </row>
    <row r="556" spans="1:14" x14ac:dyDescent="0.25">
      <c r="A556" s="100">
        <v>47532</v>
      </c>
      <c r="C556" s="99">
        <v>49163</v>
      </c>
      <c r="D556" s="98" t="s">
        <v>202</v>
      </c>
      <c r="E556" s="99">
        <v>70216</v>
      </c>
      <c r="F556" s="98" t="s">
        <v>159</v>
      </c>
      <c r="G556" s="99">
        <v>55393</v>
      </c>
      <c r="H556" s="98" t="s">
        <v>193</v>
      </c>
      <c r="I556" s="99">
        <v>44844</v>
      </c>
      <c r="J556" s="98" t="s">
        <v>205</v>
      </c>
      <c r="K556" s="99">
        <v>48754</v>
      </c>
      <c r="L556" s="98" t="s">
        <v>195</v>
      </c>
      <c r="M556" s="99">
        <v>47532</v>
      </c>
      <c r="N556" s="98" t="s">
        <v>199</v>
      </c>
    </row>
    <row r="557" spans="1:14" x14ac:dyDescent="0.25">
      <c r="A557" s="100">
        <v>47630</v>
      </c>
      <c r="C557" s="99">
        <v>49219</v>
      </c>
      <c r="D557" s="98" t="s">
        <v>189</v>
      </c>
      <c r="E557" s="99">
        <v>70219</v>
      </c>
      <c r="F557" s="98" t="s">
        <v>162</v>
      </c>
      <c r="G557" s="99">
        <v>55512</v>
      </c>
      <c r="H557" s="98" t="s">
        <v>177</v>
      </c>
      <c r="I557" s="99">
        <v>44868</v>
      </c>
      <c r="J557" s="98" t="s">
        <v>209</v>
      </c>
      <c r="K557" s="99">
        <v>48876</v>
      </c>
      <c r="L557" s="98" t="s">
        <v>189</v>
      </c>
      <c r="M557" s="99">
        <v>47630</v>
      </c>
      <c r="N557" s="98" t="s">
        <v>166</v>
      </c>
    </row>
    <row r="558" spans="1:14" x14ac:dyDescent="0.25">
      <c r="A558" s="100">
        <v>47653</v>
      </c>
      <c r="C558" s="99">
        <v>49303</v>
      </c>
      <c r="D558" s="98" t="s">
        <v>177</v>
      </c>
      <c r="E558" s="99">
        <v>70250</v>
      </c>
      <c r="F558" s="98" t="s">
        <v>172</v>
      </c>
      <c r="G558" s="99">
        <v>55513</v>
      </c>
      <c r="H558" s="98" t="s">
        <v>182</v>
      </c>
      <c r="I558" s="99">
        <v>44888</v>
      </c>
      <c r="J558" s="98" t="s">
        <v>211</v>
      </c>
      <c r="K558" s="99">
        <v>48938</v>
      </c>
      <c r="L558" s="98" t="s">
        <v>177</v>
      </c>
      <c r="M558" s="99">
        <v>47653</v>
      </c>
      <c r="N558" s="98" t="s">
        <v>170</v>
      </c>
    </row>
    <row r="559" spans="1:14" x14ac:dyDescent="0.25">
      <c r="A559" s="100">
        <v>47668</v>
      </c>
      <c r="C559" s="99">
        <v>49304</v>
      </c>
      <c r="D559" s="98" t="s">
        <v>182</v>
      </c>
      <c r="E559" s="99">
        <v>70488</v>
      </c>
      <c r="F559" s="98" t="s">
        <v>177</v>
      </c>
      <c r="G559" s="99">
        <v>55519</v>
      </c>
      <c r="H559" s="98" t="s">
        <v>160</v>
      </c>
      <c r="I559" s="99">
        <v>44927</v>
      </c>
      <c r="J559" s="98" t="s">
        <v>161</v>
      </c>
      <c r="K559" s="99">
        <v>48939</v>
      </c>
      <c r="L559" s="98" t="s">
        <v>182</v>
      </c>
      <c r="M559" s="99">
        <v>47668</v>
      </c>
      <c r="N559" s="98" t="s">
        <v>175</v>
      </c>
    </row>
    <row r="560" spans="1:14" x14ac:dyDescent="0.25">
      <c r="A560" s="100">
        <v>47728</v>
      </c>
      <c r="C560" s="99">
        <v>49310</v>
      </c>
      <c r="D560" s="98" t="s">
        <v>160</v>
      </c>
      <c r="E560" s="99">
        <v>70489</v>
      </c>
      <c r="F560" s="98" t="s">
        <v>243</v>
      </c>
      <c r="G560" s="99">
        <v>55628</v>
      </c>
      <c r="H560" s="98" t="s">
        <v>159</v>
      </c>
      <c r="I560" s="99">
        <v>44928</v>
      </c>
      <c r="J560" s="98" t="s">
        <v>212</v>
      </c>
      <c r="K560" s="99">
        <v>48940</v>
      </c>
      <c r="L560" s="98" t="s">
        <v>208</v>
      </c>
      <c r="M560" s="99">
        <v>47728</v>
      </c>
      <c r="N560" s="98" t="s">
        <v>184</v>
      </c>
    </row>
    <row r="561" spans="1:14" x14ac:dyDescent="0.25">
      <c r="A561" s="100">
        <v>47770</v>
      </c>
      <c r="C561" s="99">
        <v>49335</v>
      </c>
      <c r="D561" s="98" t="s">
        <v>171</v>
      </c>
      <c r="E561" s="99">
        <v>70495</v>
      </c>
      <c r="F561" s="98" t="s">
        <v>160</v>
      </c>
      <c r="G561" s="99">
        <v>55631</v>
      </c>
      <c r="H561" s="98" t="s">
        <v>162</v>
      </c>
      <c r="I561" s="99">
        <v>44935</v>
      </c>
      <c r="J561" s="98" t="s">
        <v>164</v>
      </c>
      <c r="K561" s="99">
        <v>48945</v>
      </c>
      <c r="L561" s="98" t="s">
        <v>160</v>
      </c>
      <c r="M561" s="99">
        <v>47770</v>
      </c>
      <c r="N561" s="98" t="s">
        <v>201</v>
      </c>
    </row>
    <row r="562" spans="1:14" x14ac:dyDescent="0.25">
      <c r="A562" s="100">
        <v>47792</v>
      </c>
      <c r="C562" s="99">
        <v>49391</v>
      </c>
      <c r="D562" s="98" t="s">
        <v>159</v>
      </c>
      <c r="E562" s="99">
        <v>70594</v>
      </c>
      <c r="F562" s="98" t="s">
        <v>159</v>
      </c>
      <c r="G562" s="99">
        <v>55645</v>
      </c>
      <c r="H562" s="98" t="s">
        <v>163</v>
      </c>
      <c r="I562" s="99">
        <v>44968</v>
      </c>
      <c r="J562" s="98" t="s">
        <v>168</v>
      </c>
      <c r="K562" s="99">
        <v>48946</v>
      </c>
      <c r="L562" s="98" t="s">
        <v>165</v>
      </c>
      <c r="M562" s="99">
        <v>47792</v>
      </c>
      <c r="N562" s="98" t="s">
        <v>210</v>
      </c>
    </row>
    <row r="563" spans="1:14" x14ac:dyDescent="0.25">
      <c r="A563" s="100">
        <v>47798</v>
      </c>
      <c r="C563" s="99">
        <v>49392</v>
      </c>
      <c r="D563" s="98" t="s">
        <v>176</v>
      </c>
      <c r="E563" s="99">
        <v>70597</v>
      </c>
      <c r="F563" s="98" t="s">
        <v>162</v>
      </c>
      <c r="G563" s="99">
        <v>55666</v>
      </c>
      <c r="H563" s="98" t="s">
        <v>167</v>
      </c>
      <c r="I563" s="99">
        <v>44980</v>
      </c>
      <c r="J563" s="98" t="s">
        <v>173</v>
      </c>
      <c r="K563" s="99">
        <v>48947</v>
      </c>
      <c r="L563" s="98" t="s">
        <v>214</v>
      </c>
      <c r="M563" s="99">
        <v>47798</v>
      </c>
      <c r="N563" s="98" t="s">
        <v>188</v>
      </c>
    </row>
    <row r="564" spans="1:14" x14ac:dyDescent="0.25">
      <c r="A564" s="100">
        <v>47815</v>
      </c>
      <c r="C564" s="99">
        <v>49393</v>
      </c>
      <c r="D564" s="98" t="s">
        <v>181</v>
      </c>
      <c r="E564" s="99">
        <v>70615</v>
      </c>
      <c r="F564" s="98" t="s">
        <v>172</v>
      </c>
      <c r="G564" s="99">
        <v>55757</v>
      </c>
      <c r="H564" s="98" t="s">
        <v>193</v>
      </c>
      <c r="I564" s="99">
        <v>45006</v>
      </c>
      <c r="J564" s="98" t="s">
        <v>178</v>
      </c>
      <c r="K564" s="99">
        <v>48974</v>
      </c>
      <c r="L564" s="98" t="s">
        <v>206</v>
      </c>
      <c r="M564" s="99">
        <v>47815</v>
      </c>
      <c r="N564" s="98" t="s">
        <v>192</v>
      </c>
    </row>
    <row r="565" spans="1:14" x14ac:dyDescent="0.25">
      <c r="A565" s="100">
        <v>47842</v>
      </c>
      <c r="C565" s="99">
        <v>49394</v>
      </c>
      <c r="D565" s="98" t="s">
        <v>162</v>
      </c>
      <c r="E565" s="99">
        <v>70853</v>
      </c>
      <c r="F565" s="98" t="s">
        <v>177</v>
      </c>
      <c r="G565" s="99">
        <v>55878</v>
      </c>
      <c r="H565" s="98" t="s">
        <v>177</v>
      </c>
      <c r="I565" s="99">
        <v>45045</v>
      </c>
      <c r="J565" s="98" t="s">
        <v>183</v>
      </c>
      <c r="K565" s="99">
        <v>48981</v>
      </c>
      <c r="L565" s="98" t="s">
        <v>169</v>
      </c>
      <c r="M565" s="99">
        <v>47842</v>
      </c>
      <c r="N565" s="98" t="s">
        <v>177</v>
      </c>
    </row>
    <row r="566" spans="1:14" x14ac:dyDescent="0.25">
      <c r="A566" s="100">
        <v>47849</v>
      </c>
      <c r="C566" s="99">
        <v>49424</v>
      </c>
      <c r="D566" s="98" t="s">
        <v>185</v>
      </c>
      <c r="E566" s="99">
        <v>70854</v>
      </c>
      <c r="F566" s="98" t="s">
        <v>243</v>
      </c>
      <c r="G566" s="99">
        <v>55879</v>
      </c>
      <c r="H566" s="98" t="s">
        <v>182</v>
      </c>
      <c r="I566" s="99">
        <v>45049</v>
      </c>
      <c r="J566" s="98" t="s">
        <v>187</v>
      </c>
      <c r="K566" s="99">
        <v>49041</v>
      </c>
      <c r="L566" s="98" t="s">
        <v>159</v>
      </c>
      <c r="M566" s="99">
        <v>47849</v>
      </c>
      <c r="N566" s="98" t="s">
        <v>160</v>
      </c>
    </row>
    <row r="567" spans="1:14" x14ac:dyDescent="0.25">
      <c r="A567" s="100">
        <v>47868</v>
      </c>
      <c r="C567" s="99">
        <v>49471</v>
      </c>
      <c r="D567" s="98" t="s">
        <v>191</v>
      </c>
      <c r="E567" s="99">
        <v>70860</v>
      </c>
      <c r="F567" s="98" t="s">
        <v>160</v>
      </c>
      <c r="G567" s="99">
        <v>55885</v>
      </c>
      <c r="H567" s="98" t="s">
        <v>160</v>
      </c>
      <c r="I567" s="99">
        <v>45050</v>
      </c>
      <c r="J567" s="98" t="s">
        <v>190</v>
      </c>
      <c r="K567" s="99">
        <v>49044</v>
      </c>
      <c r="L567" s="98" t="s">
        <v>162</v>
      </c>
      <c r="M567" s="99">
        <v>47868</v>
      </c>
      <c r="N567" s="98" t="s">
        <v>197</v>
      </c>
    </row>
    <row r="568" spans="1:14" x14ac:dyDescent="0.25">
      <c r="A568" s="100">
        <v>47891</v>
      </c>
      <c r="C568" s="99">
        <v>49527</v>
      </c>
      <c r="D568" s="98" t="s">
        <v>202</v>
      </c>
      <c r="E568" s="99">
        <v>70951</v>
      </c>
      <c r="F568" s="98" t="s">
        <v>159</v>
      </c>
      <c r="G568" s="99">
        <v>55978</v>
      </c>
      <c r="H568" s="98" t="s">
        <v>159</v>
      </c>
      <c r="I568" s="99">
        <v>45051</v>
      </c>
      <c r="J568" s="98" t="s">
        <v>194</v>
      </c>
      <c r="K568" s="99">
        <v>49059</v>
      </c>
      <c r="L568" s="98" t="s">
        <v>174</v>
      </c>
      <c r="M568" s="99">
        <v>47891</v>
      </c>
      <c r="N568" s="98" t="s">
        <v>204</v>
      </c>
    </row>
    <row r="569" spans="1:14" x14ac:dyDescent="0.25">
      <c r="A569" s="100">
        <v>47894</v>
      </c>
      <c r="C569" s="99">
        <v>49583</v>
      </c>
      <c r="D569" s="98" t="s">
        <v>189</v>
      </c>
      <c r="E569" s="99">
        <v>70954</v>
      </c>
      <c r="F569" s="98" t="s">
        <v>162</v>
      </c>
      <c r="G569" s="99">
        <v>55981</v>
      </c>
      <c r="H569" s="98" t="s">
        <v>162</v>
      </c>
      <c r="I569" s="99">
        <v>45124</v>
      </c>
      <c r="J569" s="98" t="s">
        <v>196</v>
      </c>
      <c r="K569" s="99">
        <v>49100</v>
      </c>
      <c r="L569" s="98" t="s">
        <v>191</v>
      </c>
      <c r="M569" s="99">
        <v>47894</v>
      </c>
      <c r="N569" s="98" t="s">
        <v>207</v>
      </c>
    </row>
    <row r="570" spans="1:14" x14ac:dyDescent="0.25">
      <c r="A570" s="100">
        <v>47896</v>
      </c>
      <c r="C570" s="99">
        <v>49668</v>
      </c>
      <c r="D570" s="98" t="s">
        <v>177</v>
      </c>
      <c r="E570" s="99">
        <v>70980</v>
      </c>
      <c r="F570" s="98" t="s">
        <v>172</v>
      </c>
      <c r="G570" s="99">
        <v>56009</v>
      </c>
      <c r="H570" s="98" t="s">
        <v>163</v>
      </c>
      <c r="I570" s="99">
        <v>45149</v>
      </c>
      <c r="J570" s="98" t="s">
        <v>198</v>
      </c>
      <c r="K570" s="99">
        <v>49132</v>
      </c>
      <c r="L570" s="98" t="s">
        <v>195</v>
      </c>
      <c r="M570" s="99">
        <v>47896</v>
      </c>
      <c r="N570" s="98" t="s">
        <v>199</v>
      </c>
    </row>
    <row r="571" spans="1:14" x14ac:dyDescent="0.25">
      <c r="A571" s="100">
        <v>47994</v>
      </c>
      <c r="C571" s="99">
        <v>49669</v>
      </c>
      <c r="D571" s="98" t="s">
        <v>182</v>
      </c>
      <c r="E571" s="99">
        <v>71218</v>
      </c>
      <c r="F571" s="98" t="s">
        <v>177</v>
      </c>
      <c r="G571" s="99">
        <v>56030</v>
      </c>
      <c r="H571" s="98" t="s">
        <v>167</v>
      </c>
      <c r="I571" s="99">
        <v>45187</v>
      </c>
      <c r="J571" s="98" t="s">
        <v>200</v>
      </c>
      <c r="K571" s="99">
        <v>49240</v>
      </c>
      <c r="L571" s="98" t="s">
        <v>189</v>
      </c>
      <c r="M571" s="99">
        <v>47994</v>
      </c>
      <c r="N571" s="98" t="s">
        <v>166</v>
      </c>
    </row>
    <row r="572" spans="1:14" x14ac:dyDescent="0.25">
      <c r="A572" s="100">
        <v>48018</v>
      </c>
      <c r="C572" s="99">
        <v>49675</v>
      </c>
      <c r="D572" s="98" t="s">
        <v>160</v>
      </c>
      <c r="E572" s="99">
        <v>71219</v>
      </c>
      <c r="F572" s="98" t="s">
        <v>243</v>
      </c>
      <c r="G572" s="99">
        <v>56121</v>
      </c>
      <c r="H572" s="98" t="s">
        <v>193</v>
      </c>
      <c r="I572" s="99">
        <v>45192</v>
      </c>
      <c r="J572" s="98" t="s">
        <v>203</v>
      </c>
      <c r="K572" s="99">
        <v>49303</v>
      </c>
      <c r="L572" s="98" t="s">
        <v>177</v>
      </c>
      <c r="M572" s="99">
        <v>48018</v>
      </c>
      <c r="N572" s="98" t="s">
        <v>170</v>
      </c>
    </row>
    <row r="573" spans="1:14" x14ac:dyDescent="0.25">
      <c r="A573" s="100">
        <v>48033</v>
      </c>
      <c r="C573" s="99">
        <v>49702</v>
      </c>
      <c r="D573" s="98" t="s">
        <v>171</v>
      </c>
      <c r="E573" s="99">
        <v>71225</v>
      </c>
      <c r="F573" s="98" t="s">
        <v>160</v>
      </c>
      <c r="G573" s="99">
        <v>56243</v>
      </c>
      <c r="H573" s="98" t="s">
        <v>177</v>
      </c>
      <c r="I573" s="99">
        <v>45208</v>
      </c>
      <c r="J573" s="98" t="s">
        <v>205</v>
      </c>
      <c r="K573" s="99">
        <v>49304</v>
      </c>
      <c r="L573" s="98" t="s">
        <v>182</v>
      </c>
      <c r="M573" s="99">
        <v>48033</v>
      </c>
      <c r="N573" s="98" t="s">
        <v>175</v>
      </c>
    </row>
    <row r="574" spans="1:14" x14ac:dyDescent="0.25">
      <c r="A574" s="100">
        <v>48092</v>
      </c>
      <c r="C574" s="99">
        <v>49776</v>
      </c>
      <c r="D574" s="98" t="s">
        <v>159</v>
      </c>
      <c r="E574" s="99">
        <v>71336</v>
      </c>
      <c r="F574" s="98" t="s">
        <v>159</v>
      </c>
      <c r="G574" s="99">
        <v>56244</v>
      </c>
      <c r="H574" s="98" t="s">
        <v>182</v>
      </c>
      <c r="I574" s="99">
        <v>45233</v>
      </c>
      <c r="J574" s="98" t="s">
        <v>209</v>
      </c>
      <c r="K574" s="99">
        <v>49310</v>
      </c>
      <c r="L574" s="98" t="s">
        <v>160</v>
      </c>
      <c r="M574" s="99">
        <v>48092</v>
      </c>
      <c r="N574" s="98" t="s">
        <v>184</v>
      </c>
    </row>
    <row r="575" spans="1:14" x14ac:dyDescent="0.25">
      <c r="A575" s="100">
        <v>48134</v>
      </c>
      <c r="C575" s="99">
        <v>49777</v>
      </c>
      <c r="D575" s="98" t="s">
        <v>176</v>
      </c>
      <c r="E575" s="99">
        <v>71339</v>
      </c>
      <c r="F575" s="98" t="s">
        <v>162</v>
      </c>
      <c r="G575" s="99">
        <v>56250</v>
      </c>
      <c r="H575" s="98" t="s">
        <v>160</v>
      </c>
      <c r="I575" s="99">
        <v>45253</v>
      </c>
      <c r="J575" s="98" t="s">
        <v>211</v>
      </c>
      <c r="K575" s="99">
        <v>49311</v>
      </c>
      <c r="L575" s="98" t="s">
        <v>165</v>
      </c>
      <c r="M575" s="99">
        <v>48134</v>
      </c>
      <c r="N575" s="98" t="s">
        <v>201</v>
      </c>
    </row>
    <row r="576" spans="1:14" x14ac:dyDescent="0.25">
      <c r="A576" s="100">
        <v>48156</v>
      </c>
      <c r="C576" s="99">
        <v>49778</v>
      </c>
      <c r="D576" s="98" t="s">
        <v>181</v>
      </c>
      <c r="E576" s="99">
        <v>71345</v>
      </c>
      <c r="F576" s="98" t="s">
        <v>172</v>
      </c>
      <c r="G576" s="99">
        <v>56335</v>
      </c>
      <c r="H576" s="98" t="s">
        <v>159</v>
      </c>
      <c r="I576" s="99">
        <v>45292</v>
      </c>
      <c r="J576" s="98" t="s">
        <v>161</v>
      </c>
      <c r="K576" s="99">
        <v>49338</v>
      </c>
      <c r="L576" s="98" t="s">
        <v>206</v>
      </c>
      <c r="M576" s="99">
        <v>48156</v>
      </c>
      <c r="N576" s="98" t="s">
        <v>210</v>
      </c>
    </row>
    <row r="577" spans="1:14" x14ac:dyDescent="0.25">
      <c r="A577" s="100">
        <v>48163</v>
      </c>
      <c r="C577" s="99">
        <v>49779</v>
      </c>
      <c r="D577" s="98" t="s">
        <v>162</v>
      </c>
      <c r="E577" s="99">
        <v>71583</v>
      </c>
      <c r="F577" s="98" t="s">
        <v>177</v>
      </c>
      <c r="G577" s="99">
        <v>56338</v>
      </c>
      <c r="H577" s="98" t="s">
        <v>162</v>
      </c>
      <c r="I577" s="99">
        <v>45299</v>
      </c>
      <c r="J577" s="98" t="s">
        <v>164</v>
      </c>
      <c r="K577" s="99">
        <v>49346</v>
      </c>
      <c r="L577" s="98" t="s">
        <v>169</v>
      </c>
      <c r="M577" s="99">
        <v>48163</v>
      </c>
      <c r="N577" s="98" t="s">
        <v>188</v>
      </c>
    </row>
    <row r="578" spans="1:14" x14ac:dyDescent="0.25">
      <c r="A578" s="100">
        <v>48179</v>
      </c>
      <c r="C578" s="99">
        <v>49790</v>
      </c>
      <c r="D578" s="98" t="s">
        <v>185</v>
      </c>
      <c r="E578" s="99">
        <v>71584</v>
      </c>
      <c r="F578" s="98" t="s">
        <v>243</v>
      </c>
      <c r="G578" s="99">
        <v>56373</v>
      </c>
      <c r="H578" s="98" t="s">
        <v>163</v>
      </c>
      <c r="I578" s="99">
        <v>45333</v>
      </c>
      <c r="J578" s="98" t="s">
        <v>168</v>
      </c>
      <c r="K578" s="99">
        <v>49391</v>
      </c>
      <c r="L578" s="98" t="s">
        <v>159</v>
      </c>
      <c r="M578" s="99">
        <v>48179</v>
      </c>
      <c r="N578" s="98" t="s">
        <v>192</v>
      </c>
    </row>
    <row r="579" spans="1:14" x14ac:dyDescent="0.25">
      <c r="A579" s="100">
        <v>48207</v>
      </c>
      <c r="C579" s="99">
        <v>49835</v>
      </c>
      <c r="D579" s="98" t="s">
        <v>191</v>
      </c>
      <c r="E579" s="99">
        <v>71590</v>
      </c>
      <c r="F579" s="98" t="s">
        <v>160</v>
      </c>
      <c r="G579" s="99">
        <v>56394</v>
      </c>
      <c r="H579" s="98" t="s">
        <v>167</v>
      </c>
      <c r="I579" s="99">
        <v>45334</v>
      </c>
      <c r="J579" s="98" t="s">
        <v>212</v>
      </c>
      <c r="K579" s="99">
        <v>49394</v>
      </c>
      <c r="L579" s="98" t="s">
        <v>162</v>
      </c>
      <c r="M579" s="99">
        <v>48207</v>
      </c>
      <c r="N579" s="98" t="s">
        <v>177</v>
      </c>
    </row>
    <row r="580" spans="1:14" x14ac:dyDescent="0.25">
      <c r="A580" s="100">
        <v>48214</v>
      </c>
      <c r="C580" s="99">
        <v>49891</v>
      </c>
      <c r="D580" s="98" t="s">
        <v>202</v>
      </c>
      <c r="E580" s="99">
        <v>71693</v>
      </c>
      <c r="F580" s="98" t="s">
        <v>159</v>
      </c>
      <c r="G580" s="99">
        <v>56492</v>
      </c>
      <c r="H580" s="98" t="s">
        <v>193</v>
      </c>
      <c r="I580" s="99">
        <v>45345</v>
      </c>
      <c r="J580" s="98" t="s">
        <v>173</v>
      </c>
      <c r="K580" s="99">
        <v>49424</v>
      </c>
      <c r="L580" s="98" t="s">
        <v>174</v>
      </c>
      <c r="M580" s="99">
        <v>48214</v>
      </c>
      <c r="N580" s="98" t="s">
        <v>160</v>
      </c>
    </row>
    <row r="581" spans="1:14" x14ac:dyDescent="0.25">
      <c r="A581" s="100">
        <v>48232</v>
      </c>
      <c r="C581" s="99">
        <v>49954</v>
      </c>
      <c r="D581" s="98" t="s">
        <v>189</v>
      </c>
      <c r="E581" s="99">
        <v>71696</v>
      </c>
      <c r="F581" s="98" t="s">
        <v>162</v>
      </c>
      <c r="G581" s="99">
        <v>56608</v>
      </c>
      <c r="H581" s="98" t="s">
        <v>177</v>
      </c>
      <c r="I581" s="99">
        <v>45371</v>
      </c>
      <c r="J581" s="98" t="s">
        <v>178</v>
      </c>
      <c r="K581" s="99">
        <v>49464</v>
      </c>
      <c r="L581" s="98" t="s">
        <v>191</v>
      </c>
      <c r="M581" s="99">
        <v>48232</v>
      </c>
      <c r="N581" s="98" t="s">
        <v>197</v>
      </c>
    </row>
    <row r="582" spans="1:14" x14ac:dyDescent="0.25">
      <c r="A582" s="100">
        <v>48256</v>
      </c>
      <c r="C582" s="99">
        <v>50034</v>
      </c>
      <c r="D582" s="98" t="s">
        <v>177</v>
      </c>
      <c r="E582" s="99">
        <v>71711</v>
      </c>
      <c r="F582" s="98" t="s">
        <v>172</v>
      </c>
      <c r="G582" s="99">
        <v>56609</v>
      </c>
      <c r="H582" s="98" t="s">
        <v>182</v>
      </c>
      <c r="I582" s="99">
        <v>45411</v>
      </c>
      <c r="J582" s="98" t="s">
        <v>183</v>
      </c>
      <c r="K582" s="99">
        <v>49489</v>
      </c>
      <c r="L582" s="98" t="s">
        <v>195</v>
      </c>
      <c r="M582" s="99">
        <v>48256</v>
      </c>
      <c r="N582" s="98" t="s">
        <v>204</v>
      </c>
    </row>
    <row r="583" spans="1:14" x14ac:dyDescent="0.25">
      <c r="A583" s="100">
        <v>48259</v>
      </c>
      <c r="C583" s="99">
        <v>50035</v>
      </c>
      <c r="D583" s="98" t="s">
        <v>182</v>
      </c>
      <c r="E583" s="99">
        <v>71949</v>
      </c>
      <c r="F583" s="98" t="s">
        <v>177</v>
      </c>
      <c r="G583" s="99">
        <v>56611</v>
      </c>
      <c r="H583" s="98" t="s">
        <v>186</v>
      </c>
      <c r="I583" s="99">
        <v>45415</v>
      </c>
      <c r="J583" s="98" t="s">
        <v>187</v>
      </c>
      <c r="K583" s="99">
        <v>49604</v>
      </c>
      <c r="L583" s="98" t="s">
        <v>189</v>
      </c>
      <c r="M583" s="99">
        <v>48259</v>
      </c>
      <c r="N583" s="98" t="s">
        <v>207</v>
      </c>
    </row>
    <row r="584" spans="1:14" x14ac:dyDescent="0.25">
      <c r="A584" s="100">
        <v>48260</v>
      </c>
      <c r="C584" s="99">
        <v>50041</v>
      </c>
      <c r="D584" s="98" t="s">
        <v>160</v>
      </c>
      <c r="E584" s="99">
        <v>71950</v>
      </c>
      <c r="F584" s="98" t="s">
        <v>243</v>
      </c>
      <c r="G584" s="99">
        <v>56615</v>
      </c>
      <c r="H584" s="98" t="s">
        <v>160</v>
      </c>
      <c r="I584" s="99">
        <v>45416</v>
      </c>
      <c r="J584" s="98" t="s">
        <v>190</v>
      </c>
      <c r="K584" s="99">
        <v>49668</v>
      </c>
      <c r="L584" s="98" t="s">
        <v>177</v>
      </c>
      <c r="M584" s="99">
        <v>48260</v>
      </c>
      <c r="N584" s="98" t="s">
        <v>199</v>
      </c>
    </row>
    <row r="585" spans="1:14" x14ac:dyDescent="0.25">
      <c r="A585" s="100">
        <v>48365</v>
      </c>
      <c r="C585" s="99">
        <v>50066</v>
      </c>
      <c r="D585" s="98" t="s">
        <v>171</v>
      </c>
      <c r="E585" s="99">
        <v>71956</v>
      </c>
      <c r="F585" s="98" t="s">
        <v>160</v>
      </c>
      <c r="G585" s="99">
        <v>56720</v>
      </c>
      <c r="H585" s="98" t="s">
        <v>159</v>
      </c>
      <c r="I585" s="99">
        <v>45417</v>
      </c>
      <c r="J585" s="98" t="s">
        <v>194</v>
      </c>
      <c r="K585" s="99">
        <v>49669</v>
      </c>
      <c r="L585" s="98" t="s">
        <v>182</v>
      </c>
      <c r="M585" s="99">
        <v>48365</v>
      </c>
      <c r="N585" s="98" t="s">
        <v>166</v>
      </c>
    </row>
    <row r="586" spans="1:14" x14ac:dyDescent="0.25">
      <c r="A586" s="100">
        <v>48383</v>
      </c>
      <c r="C586" s="99">
        <v>50133</v>
      </c>
      <c r="D586" s="98" t="s">
        <v>159</v>
      </c>
      <c r="E586" s="99">
        <v>72043</v>
      </c>
      <c r="F586" s="98" t="s">
        <v>159</v>
      </c>
      <c r="G586" s="99">
        <v>56723</v>
      </c>
      <c r="H586" s="98" t="s">
        <v>162</v>
      </c>
      <c r="I586" s="99">
        <v>45418</v>
      </c>
      <c r="J586" s="98" t="s">
        <v>212</v>
      </c>
      <c r="K586" s="99">
        <v>49675</v>
      </c>
      <c r="L586" s="98" t="s">
        <v>160</v>
      </c>
      <c r="M586" s="99">
        <v>48383</v>
      </c>
      <c r="N586" s="98" t="s">
        <v>216</v>
      </c>
    </row>
    <row r="587" spans="1:14" x14ac:dyDescent="0.25">
      <c r="A587" s="100">
        <v>48384</v>
      </c>
      <c r="C587" s="99">
        <v>50134</v>
      </c>
      <c r="D587" s="98" t="s">
        <v>176</v>
      </c>
      <c r="E587" s="99">
        <v>72046</v>
      </c>
      <c r="F587" s="98" t="s">
        <v>162</v>
      </c>
      <c r="G587" s="99">
        <v>56737</v>
      </c>
      <c r="H587" s="98" t="s">
        <v>163</v>
      </c>
      <c r="I587" s="99">
        <v>45488</v>
      </c>
      <c r="J587" s="98" t="s">
        <v>196</v>
      </c>
      <c r="K587" s="99">
        <v>49676</v>
      </c>
      <c r="L587" s="98" t="s">
        <v>165</v>
      </c>
      <c r="M587" s="99">
        <v>48384</v>
      </c>
      <c r="N587" s="98" t="s">
        <v>170</v>
      </c>
    </row>
    <row r="588" spans="1:14" x14ac:dyDescent="0.25">
      <c r="A588" s="100">
        <v>48399</v>
      </c>
      <c r="C588" s="99">
        <v>50135</v>
      </c>
      <c r="D588" s="98" t="s">
        <v>181</v>
      </c>
      <c r="E588" s="99">
        <v>72076</v>
      </c>
      <c r="F588" s="98" t="s">
        <v>172</v>
      </c>
      <c r="G588" s="99">
        <v>56765</v>
      </c>
      <c r="H588" s="98" t="s">
        <v>167</v>
      </c>
      <c r="I588" s="99">
        <v>45515</v>
      </c>
      <c r="J588" s="98" t="s">
        <v>198</v>
      </c>
      <c r="K588" s="99">
        <v>49702</v>
      </c>
      <c r="L588" s="98" t="s">
        <v>206</v>
      </c>
      <c r="M588" s="99">
        <v>48399</v>
      </c>
      <c r="N588" s="98" t="s">
        <v>175</v>
      </c>
    </row>
    <row r="589" spans="1:14" x14ac:dyDescent="0.25">
      <c r="A589" s="100">
        <v>48400</v>
      </c>
      <c r="C589" s="99">
        <v>50136</v>
      </c>
      <c r="D589" s="98" t="s">
        <v>162</v>
      </c>
      <c r="E589" s="99">
        <v>72314</v>
      </c>
      <c r="F589" s="98" t="s">
        <v>177</v>
      </c>
      <c r="G589" s="99">
        <v>56856</v>
      </c>
      <c r="H589" s="98" t="s">
        <v>193</v>
      </c>
      <c r="I589" s="99">
        <v>45516</v>
      </c>
      <c r="J589" s="98" t="s">
        <v>212</v>
      </c>
      <c r="K589" s="99">
        <v>49711</v>
      </c>
      <c r="L589" s="98" t="s">
        <v>169</v>
      </c>
      <c r="M589" s="99">
        <v>48400</v>
      </c>
      <c r="N589" s="98" t="s">
        <v>180</v>
      </c>
    </row>
    <row r="590" spans="1:14" x14ac:dyDescent="0.25">
      <c r="A590" s="100">
        <v>48463</v>
      </c>
      <c r="C590" s="99">
        <v>50155</v>
      </c>
      <c r="D590" s="98" t="s">
        <v>185</v>
      </c>
      <c r="E590" s="99">
        <v>72315</v>
      </c>
      <c r="F590" s="98" t="s">
        <v>243</v>
      </c>
      <c r="G590" s="99">
        <v>56973</v>
      </c>
      <c r="H590" s="98" t="s">
        <v>177</v>
      </c>
      <c r="I590" s="99">
        <v>45551</v>
      </c>
      <c r="J590" s="98" t="s">
        <v>200</v>
      </c>
      <c r="K590" s="99">
        <v>49776</v>
      </c>
      <c r="L590" s="98" t="s">
        <v>159</v>
      </c>
      <c r="M590" s="99">
        <v>48463</v>
      </c>
      <c r="N590" s="98" t="s">
        <v>184</v>
      </c>
    </row>
    <row r="591" spans="1:14" x14ac:dyDescent="0.25">
      <c r="A591" s="100">
        <v>48498</v>
      </c>
      <c r="C591" s="99">
        <v>50199</v>
      </c>
      <c r="D591" s="98" t="s">
        <v>191</v>
      </c>
      <c r="E591" s="99">
        <v>72321</v>
      </c>
      <c r="F591" s="98" t="s">
        <v>160</v>
      </c>
      <c r="G591" s="99">
        <v>56974</v>
      </c>
      <c r="H591" s="98" t="s">
        <v>182</v>
      </c>
      <c r="I591" s="99">
        <v>45557</v>
      </c>
      <c r="J591" s="98" t="s">
        <v>203</v>
      </c>
      <c r="K591" s="99">
        <v>49779</v>
      </c>
      <c r="L591" s="98" t="s">
        <v>162</v>
      </c>
      <c r="M591" s="99">
        <v>48498</v>
      </c>
      <c r="N591" s="98" t="s">
        <v>201</v>
      </c>
    </row>
    <row r="592" spans="1:14" x14ac:dyDescent="0.25">
      <c r="A592" s="100">
        <v>48520</v>
      </c>
      <c r="C592" s="99">
        <v>50255</v>
      </c>
      <c r="D592" s="98" t="s">
        <v>202</v>
      </c>
      <c r="E592" s="99">
        <v>72428</v>
      </c>
      <c r="F592" s="98" t="s">
        <v>159</v>
      </c>
      <c r="G592" s="99">
        <v>56975</v>
      </c>
      <c r="H592" s="98" t="s">
        <v>208</v>
      </c>
      <c r="I592" s="99">
        <v>45558</v>
      </c>
      <c r="J592" s="98" t="s">
        <v>212</v>
      </c>
      <c r="K592" s="99">
        <v>49790</v>
      </c>
      <c r="L592" s="98" t="s">
        <v>174</v>
      </c>
      <c r="M592" s="99">
        <v>48520</v>
      </c>
      <c r="N592" s="98" t="s">
        <v>210</v>
      </c>
    </row>
    <row r="593" spans="1:14" x14ac:dyDescent="0.25">
      <c r="A593" s="100">
        <v>48529</v>
      </c>
      <c r="C593" s="99">
        <v>50318</v>
      </c>
      <c r="D593" s="98" t="s">
        <v>189</v>
      </c>
      <c r="E593" s="99">
        <v>72431</v>
      </c>
      <c r="F593" s="98" t="s">
        <v>162</v>
      </c>
      <c r="G593" s="99">
        <v>56976</v>
      </c>
      <c r="H593" s="98" t="s">
        <v>186</v>
      </c>
      <c r="I593" s="99">
        <v>45579</v>
      </c>
      <c r="J593" s="98" t="s">
        <v>205</v>
      </c>
      <c r="K593" s="99">
        <v>49828</v>
      </c>
      <c r="L593" s="98" t="s">
        <v>191</v>
      </c>
      <c r="M593" s="99">
        <v>48529</v>
      </c>
      <c r="N593" s="98" t="s">
        <v>188</v>
      </c>
    </row>
    <row r="594" spans="1:14" x14ac:dyDescent="0.25">
      <c r="A594" s="100">
        <v>48543</v>
      </c>
      <c r="C594" s="99">
        <v>50399</v>
      </c>
      <c r="D594" s="98" t="s">
        <v>177</v>
      </c>
      <c r="E594" s="99">
        <v>72441</v>
      </c>
      <c r="F594" s="98" t="s">
        <v>172</v>
      </c>
      <c r="G594" s="99">
        <v>56980</v>
      </c>
      <c r="H594" s="98" t="s">
        <v>160</v>
      </c>
      <c r="I594" s="99">
        <v>45599</v>
      </c>
      <c r="J594" s="98" t="s">
        <v>209</v>
      </c>
      <c r="K594" s="99">
        <v>49874</v>
      </c>
      <c r="L594" s="98" t="s">
        <v>195</v>
      </c>
      <c r="M594" s="99">
        <v>48543</v>
      </c>
      <c r="N594" s="98" t="s">
        <v>192</v>
      </c>
    </row>
    <row r="595" spans="1:14" x14ac:dyDescent="0.25">
      <c r="A595" s="100">
        <v>48572</v>
      </c>
      <c r="C595" s="99">
        <v>50400</v>
      </c>
      <c r="D595" s="98" t="s">
        <v>182</v>
      </c>
      <c r="E595" s="99">
        <v>72679</v>
      </c>
      <c r="F595" s="98" t="s">
        <v>177</v>
      </c>
      <c r="G595" s="99">
        <v>56982</v>
      </c>
      <c r="H595" s="98" t="s">
        <v>214</v>
      </c>
      <c r="I595" s="99">
        <v>45600</v>
      </c>
      <c r="J595" s="98" t="s">
        <v>212</v>
      </c>
      <c r="K595" s="99">
        <v>49975</v>
      </c>
      <c r="L595" s="98" t="s">
        <v>189</v>
      </c>
      <c r="M595" s="99">
        <v>48572</v>
      </c>
      <c r="N595" s="98" t="s">
        <v>208</v>
      </c>
    </row>
    <row r="596" spans="1:14" x14ac:dyDescent="0.25">
      <c r="A596" s="100">
        <v>48573</v>
      </c>
      <c r="C596" s="99">
        <v>50402</v>
      </c>
      <c r="D596" s="98" t="s">
        <v>186</v>
      </c>
      <c r="E596" s="99">
        <v>72680</v>
      </c>
      <c r="F596" s="98" t="s">
        <v>243</v>
      </c>
      <c r="G596" s="99">
        <v>57070</v>
      </c>
      <c r="H596" s="98" t="s">
        <v>159</v>
      </c>
      <c r="I596" s="99">
        <v>45619</v>
      </c>
      <c r="J596" s="98" t="s">
        <v>211</v>
      </c>
      <c r="K596" s="99">
        <v>50034</v>
      </c>
      <c r="L596" s="98" t="s">
        <v>177</v>
      </c>
      <c r="M596" s="99">
        <v>48573</v>
      </c>
      <c r="N596" s="98" t="s">
        <v>177</v>
      </c>
    </row>
    <row r="597" spans="1:14" x14ac:dyDescent="0.25">
      <c r="A597" s="100">
        <v>48579</v>
      </c>
      <c r="C597" s="99">
        <v>50406</v>
      </c>
      <c r="D597" s="98" t="s">
        <v>160</v>
      </c>
      <c r="E597" s="99">
        <v>72686</v>
      </c>
      <c r="F597" s="98" t="s">
        <v>160</v>
      </c>
      <c r="G597" s="99">
        <v>57073</v>
      </c>
      <c r="H597" s="98" t="s">
        <v>162</v>
      </c>
      <c r="I597" s="99">
        <v>45658</v>
      </c>
      <c r="J597" s="98" t="s">
        <v>161</v>
      </c>
      <c r="K597" s="99">
        <v>50035</v>
      </c>
      <c r="L597" s="98" t="s">
        <v>182</v>
      </c>
      <c r="M597" s="99">
        <v>48579</v>
      </c>
      <c r="N597" s="98" t="s">
        <v>214</v>
      </c>
    </row>
    <row r="598" spans="1:14" x14ac:dyDescent="0.25">
      <c r="A598" s="100">
        <v>48580</v>
      </c>
      <c r="C598" s="99">
        <v>50431</v>
      </c>
      <c r="D598" s="98" t="s">
        <v>171</v>
      </c>
      <c r="E598" s="99">
        <v>72785</v>
      </c>
      <c r="F598" s="98" t="s">
        <v>159</v>
      </c>
      <c r="G598" s="99">
        <v>57101</v>
      </c>
      <c r="H598" s="98" t="s">
        <v>163</v>
      </c>
      <c r="I598" s="99">
        <v>45670</v>
      </c>
      <c r="J598" s="98" t="s">
        <v>164</v>
      </c>
      <c r="K598" s="99">
        <v>50041</v>
      </c>
      <c r="L598" s="98" t="s">
        <v>160</v>
      </c>
      <c r="M598" s="99">
        <v>48580</v>
      </c>
      <c r="N598" s="98" t="s">
        <v>160</v>
      </c>
    </row>
    <row r="599" spans="1:14" x14ac:dyDescent="0.25">
      <c r="A599" s="100">
        <v>48596</v>
      </c>
      <c r="C599" s="99">
        <v>50518</v>
      </c>
      <c r="D599" s="98" t="s">
        <v>159</v>
      </c>
      <c r="E599" s="99">
        <v>72788</v>
      </c>
      <c r="F599" s="98" t="s">
        <v>162</v>
      </c>
      <c r="G599" s="99">
        <v>57129</v>
      </c>
      <c r="H599" s="98" t="s">
        <v>167</v>
      </c>
      <c r="I599" s="99">
        <v>45699</v>
      </c>
      <c r="J599" s="98" t="s">
        <v>168</v>
      </c>
      <c r="K599" s="99">
        <v>50042</v>
      </c>
      <c r="L599" s="98" t="s">
        <v>165</v>
      </c>
      <c r="M599" s="99">
        <v>48596</v>
      </c>
      <c r="N599" s="98" t="s">
        <v>197</v>
      </c>
    </row>
    <row r="600" spans="1:14" x14ac:dyDescent="0.25">
      <c r="A600" s="100">
        <v>48621</v>
      </c>
      <c r="C600" s="99">
        <v>50519</v>
      </c>
      <c r="D600" s="98" t="s">
        <v>176</v>
      </c>
      <c r="E600" s="99">
        <v>72806</v>
      </c>
      <c r="F600" s="98" t="s">
        <v>172</v>
      </c>
      <c r="G600" s="99">
        <v>57220</v>
      </c>
      <c r="H600" s="98" t="s">
        <v>193</v>
      </c>
      <c r="I600" s="99">
        <v>45711</v>
      </c>
      <c r="J600" s="98" t="s">
        <v>173</v>
      </c>
      <c r="K600" s="99">
        <v>50066</v>
      </c>
      <c r="L600" s="98" t="s">
        <v>206</v>
      </c>
      <c r="M600" s="99">
        <v>48621</v>
      </c>
      <c r="N600" s="98" t="s">
        <v>219</v>
      </c>
    </row>
    <row r="601" spans="1:14" x14ac:dyDescent="0.25">
      <c r="A601" s="100">
        <v>48622</v>
      </c>
      <c r="C601" s="99">
        <v>50520</v>
      </c>
      <c r="D601" s="98" t="s">
        <v>239</v>
      </c>
      <c r="E601" s="99">
        <v>73044</v>
      </c>
      <c r="F601" s="98" t="s">
        <v>177</v>
      </c>
      <c r="G601" s="99">
        <v>57339</v>
      </c>
      <c r="H601" s="98" t="s">
        <v>177</v>
      </c>
      <c r="I601" s="99">
        <v>45712</v>
      </c>
      <c r="J601" s="98" t="s">
        <v>212</v>
      </c>
      <c r="K601" s="99">
        <v>50077</v>
      </c>
      <c r="L601" s="98" t="s">
        <v>169</v>
      </c>
      <c r="M601" s="99">
        <v>48622</v>
      </c>
      <c r="N601" s="98" t="s">
        <v>204</v>
      </c>
    </row>
    <row r="602" spans="1:14" x14ac:dyDescent="0.25">
      <c r="A602" s="100">
        <v>48625</v>
      </c>
      <c r="C602" s="99">
        <v>50521</v>
      </c>
      <c r="D602" s="98" t="s">
        <v>162</v>
      </c>
      <c r="E602" s="99">
        <v>73045</v>
      </c>
      <c r="F602" s="98" t="s">
        <v>243</v>
      </c>
      <c r="G602" s="99">
        <v>57340</v>
      </c>
      <c r="H602" s="98" t="s">
        <v>182</v>
      </c>
      <c r="I602" s="99">
        <v>45736</v>
      </c>
      <c r="J602" s="98" t="s">
        <v>178</v>
      </c>
      <c r="K602" s="99">
        <v>50133</v>
      </c>
      <c r="L602" s="98" t="s">
        <v>159</v>
      </c>
      <c r="M602" s="99">
        <v>48625</v>
      </c>
      <c r="N602" s="98" t="s">
        <v>207</v>
      </c>
    </row>
    <row r="603" spans="1:14" x14ac:dyDescent="0.25">
      <c r="A603" s="100">
        <v>48631</v>
      </c>
      <c r="C603" s="99">
        <v>50570</v>
      </c>
      <c r="D603" s="98" t="s">
        <v>191</v>
      </c>
      <c r="G603" s="99">
        <v>57346</v>
      </c>
      <c r="H603" s="98" t="s">
        <v>160</v>
      </c>
      <c r="I603" s="99">
        <v>45776</v>
      </c>
      <c r="J603" s="98" t="s">
        <v>183</v>
      </c>
      <c r="K603" s="99">
        <v>50136</v>
      </c>
      <c r="L603" s="98" t="s">
        <v>162</v>
      </c>
      <c r="M603" s="99">
        <v>48631</v>
      </c>
      <c r="N603" s="98" t="s">
        <v>199</v>
      </c>
    </row>
    <row r="604" spans="1:14" x14ac:dyDescent="0.25">
      <c r="A604" s="100">
        <v>48729</v>
      </c>
      <c r="C604" s="99">
        <v>50619</v>
      </c>
      <c r="D604" s="98" t="s">
        <v>202</v>
      </c>
      <c r="G604" s="99">
        <v>57455</v>
      </c>
      <c r="H604" s="98" t="s">
        <v>159</v>
      </c>
      <c r="I604" s="99">
        <v>45780</v>
      </c>
      <c r="J604" s="98" t="s">
        <v>187</v>
      </c>
      <c r="K604" s="99">
        <v>50155</v>
      </c>
      <c r="L604" s="98" t="s">
        <v>174</v>
      </c>
      <c r="M604" s="99">
        <v>48729</v>
      </c>
      <c r="N604" s="98" t="s">
        <v>166</v>
      </c>
    </row>
    <row r="605" spans="1:14" x14ac:dyDescent="0.25">
      <c r="A605" s="100">
        <v>48749</v>
      </c>
      <c r="C605" s="99">
        <v>50682</v>
      </c>
      <c r="D605" s="98" t="s">
        <v>189</v>
      </c>
      <c r="G605" s="99">
        <v>57458</v>
      </c>
      <c r="H605" s="98" t="s">
        <v>162</v>
      </c>
      <c r="I605" s="99">
        <v>45781</v>
      </c>
      <c r="J605" s="98" t="s">
        <v>190</v>
      </c>
      <c r="K605" s="99">
        <v>50157</v>
      </c>
      <c r="L605" s="98" t="s">
        <v>179</v>
      </c>
      <c r="M605" s="99">
        <v>48749</v>
      </c>
      <c r="N605" s="98" t="s">
        <v>170</v>
      </c>
    </row>
    <row r="606" spans="1:14" x14ac:dyDescent="0.25">
      <c r="A606" s="100">
        <v>48750</v>
      </c>
      <c r="C606" s="99">
        <v>50764</v>
      </c>
      <c r="D606" s="98" t="s">
        <v>177</v>
      </c>
      <c r="G606" s="99">
        <v>57472</v>
      </c>
      <c r="H606" s="98" t="s">
        <v>163</v>
      </c>
      <c r="I606" s="99">
        <v>45782</v>
      </c>
      <c r="J606" s="98" t="s">
        <v>194</v>
      </c>
      <c r="K606" s="99">
        <v>50192</v>
      </c>
      <c r="L606" s="98" t="s">
        <v>191</v>
      </c>
      <c r="M606" s="99">
        <v>48750</v>
      </c>
      <c r="N606" s="98" t="s">
        <v>216</v>
      </c>
    </row>
    <row r="607" spans="1:14" x14ac:dyDescent="0.25">
      <c r="A607" s="100">
        <v>48764</v>
      </c>
      <c r="C607" s="99">
        <v>50765</v>
      </c>
      <c r="D607" s="98" t="s">
        <v>182</v>
      </c>
      <c r="G607" s="99">
        <v>57493</v>
      </c>
      <c r="H607" s="98" t="s">
        <v>167</v>
      </c>
      <c r="I607" s="99">
        <v>45783</v>
      </c>
      <c r="J607" s="98" t="s">
        <v>212</v>
      </c>
      <c r="K607" s="99">
        <v>50231</v>
      </c>
      <c r="L607" s="98" t="s">
        <v>195</v>
      </c>
      <c r="M607" s="99">
        <v>48764</v>
      </c>
      <c r="N607" s="98" t="s">
        <v>175</v>
      </c>
    </row>
    <row r="608" spans="1:14" x14ac:dyDescent="0.25">
      <c r="A608" s="100">
        <v>48827</v>
      </c>
      <c r="C608" s="99">
        <v>50766</v>
      </c>
      <c r="D608" s="98" t="s">
        <v>208</v>
      </c>
      <c r="G608" s="99">
        <v>57584</v>
      </c>
      <c r="H608" s="98" t="s">
        <v>193</v>
      </c>
      <c r="I608" s="99">
        <v>45859</v>
      </c>
      <c r="J608" s="98" t="s">
        <v>196</v>
      </c>
      <c r="K608" s="99">
        <v>50339</v>
      </c>
      <c r="L608" s="98" t="s">
        <v>189</v>
      </c>
      <c r="M608" s="99">
        <v>48827</v>
      </c>
      <c r="N608" s="98" t="s">
        <v>184</v>
      </c>
    </row>
    <row r="609" spans="1:14" x14ac:dyDescent="0.25">
      <c r="A609" s="100">
        <v>48862</v>
      </c>
      <c r="C609" s="99">
        <v>50767</v>
      </c>
      <c r="D609" s="98" t="s">
        <v>186</v>
      </c>
      <c r="G609" s="99">
        <v>57704</v>
      </c>
      <c r="H609" s="98" t="s">
        <v>177</v>
      </c>
      <c r="I609" s="99">
        <v>45880</v>
      </c>
      <c r="J609" s="98" t="s">
        <v>198</v>
      </c>
      <c r="K609" s="99">
        <v>50399</v>
      </c>
      <c r="L609" s="98" t="s">
        <v>177</v>
      </c>
      <c r="M609" s="99">
        <v>48862</v>
      </c>
      <c r="N609" s="98" t="s">
        <v>201</v>
      </c>
    </row>
    <row r="610" spans="1:14" x14ac:dyDescent="0.25">
      <c r="A610" s="100">
        <v>48891</v>
      </c>
      <c r="C610" s="99">
        <v>50771</v>
      </c>
      <c r="D610" s="98" t="s">
        <v>160</v>
      </c>
      <c r="G610" s="99">
        <v>57705</v>
      </c>
      <c r="H610" s="98" t="s">
        <v>182</v>
      </c>
      <c r="I610" s="99">
        <v>45915</v>
      </c>
      <c r="J610" s="98" t="s">
        <v>200</v>
      </c>
      <c r="K610" s="99">
        <v>50400</v>
      </c>
      <c r="L610" s="98" t="s">
        <v>182</v>
      </c>
      <c r="M610" s="99">
        <v>48891</v>
      </c>
      <c r="N610" s="98" t="s">
        <v>210</v>
      </c>
    </row>
    <row r="611" spans="1:14" x14ac:dyDescent="0.25">
      <c r="A611" s="100">
        <v>48894</v>
      </c>
      <c r="C611" s="99">
        <v>50773</v>
      </c>
      <c r="D611" s="98" t="s">
        <v>214</v>
      </c>
      <c r="G611" s="99">
        <v>57711</v>
      </c>
      <c r="H611" s="98" t="s">
        <v>160</v>
      </c>
      <c r="I611" s="99">
        <v>45923</v>
      </c>
      <c r="J611" s="98" t="s">
        <v>203</v>
      </c>
      <c r="K611" s="99">
        <v>50402</v>
      </c>
      <c r="L611" s="98" t="s">
        <v>186</v>
      </c>
      <c r="M611" s="99">
        <v>48894</v>
      </c>
      <c r="N611" s="98" t="s">
        <v>188</v>
      </c>
    </row>
    <row r="612" spans="1:14" x14ac:dyDescent="0.25">
      <c r="A612" s="100">
        <v>48907</v>
      </c>
      <c r="C612" s="99">
        <v>50796</v>
      </c>
      <c r="D612" s="98" t="s">
        <v>171</v>
      </c>
      <c r="G612" s="99">
        <v>57812</v>
      </c>
      <c r="H612" s="98" t="s">
        <v>159</v>
      </c>
      <c r="I612" s="99">
        <v>45943</v>
      </c>
      <c r="J612" s="98" t="s">
        <v>205</v>
      </c>
      <c r="K612" s="99">
        <v>50406</v>
      </c>
      <c r="L612" s="98" t="s">
        <v>160</v>
      </c>
      <c r="M612" s="99">
        <v>48907</v>
      </c>
      <c r="N612" s="98" t="s">
        <v>192</v>
      </c>
    </row>
    <row r="613" spans="1:14" x14ac:dyDescent="0.25">
      <c r="A613" s="100">
        <v>48938</v>
      </c>
      <c r="C613" s="99">
        <v>50868</v>
      </c>
      <c r="D613" s="98" t="s">
        <v>159</v>
      </c>
      <c r="G613" s="99">
        <v>57815</v>
      </c>
      <c r="H613" s="98" t="s">
        <v>162</v>
      </c>
      <c r="I613" s="99">
        <v>45964</v>
      </c>
      <c r="J613" s="98" t="s">
        <v>209</v>
      </c>
      <c r="K613" s="99">
        <v>50407</v>
      </c>
      <c r="L613" s="98" t="s">
        <v>165</v>
      </c>
      <c r="M613" s="99">
        <v>48938</v>
      </c>
      <c r="N613" s="98" t="s">
        <v>177</v>
      </c>
    </row>
    <row r="614" spans="1:14" x14ac:dyDescent="0.25">
      <c r="A614" s="100">
        <v>48939</v>
      </c>
      <c r="C614" s="99">
        <v>50869</v>
      </c>
      <c r="D614" s="98" t="s">
        <v>176</v>
      </c>
      <c r="G614" s="99">
        <v>57836</v>
      </c>
      <c r="H614" s="98" t="s">
        <v>163</v>
      </c>
      <c r="I614" s="99">
        <v>45984</v>
      </c>
      <c r="J614" s="98" t="s">
        <v>211</v>
      </c>
      <c r="K614" s="99">
        <v>50409</v>
      </c>
      <c r="L614" s="98" t="s">
        <v>213</v>
      </c>
      <c r="M614" s="99">
        <v>48939</v>
      </c>
      <c r="N614" s="98" t="s">
        <v>208</v>
      </c>
    </row>
    <row r="615" spans="1:14" x14ac:dyDescent="0.25">
      <c r="A615" s="100">
        <v>48945</v>
      </c>
      <c r="C615" s="99">
        <v>50870</v>
      </c>
      <c r="D615" s="98" t="s">
        <v>181</v>
      </c>
      <c r="G615" s="99">
        <v>57857</v>
      </c>
      <c r="H615" s="98" t="s">
        <v>167</v>
      </c>
      <c r="I615" s="99">
        <v>45985</v>
      </c>
      <c r="J615" s="98" t="s">
        <v>212</v>
      </c>
      <c r="K615" s="99">
        <v>50437</v>
      </c>
      <c r="L615" s="98" t="s">
        <v>206</v>
      </c>
      <c r="M615" s="99">
        <v>48945</v>
      </c>
      <c r="N615" s="98" t="s">
        <v>160</v>
      </c>
    </row>
    <row r="616" spans="1:14" x14ac:dyDescent="0.25">
      <c r="A616" s="100">
        <v>48946</v>
      </c>
      <c r="C616" s="99">
        <v>50871</v>
      </c>
      <c r="D616" s="98" t="s">
        <v>162</v>
      </c>
      <c r="G616" s="99">
        <v>57948</v>
      </c>
      <c r="H616" s="98" t="s">
        <v>193</v>
      </c>
      <c r="I616" s="99">
        <v>46023</v>
      </c>
      <c r="J616" s="98" t="s">
        <v>161</v>
      </c>
      <c r="K616" s="99">
        <v>50442</v>
      </c>
      <c r="L616" s="98" t="s">
        <v>169</v>
      </c>
      <c r="M616" s="99">
        <v>48946</v>
      </c>
      <c r="N616" s="98" t="s">
        <v>214</v>
      </c>
    </row>
    <row r="617" spans="1:14" x14ac:dyDescent="0.25">
      <c r="A617" s="100">
        <v>48960</v>
      </c>
      <c r="C617" s="99">
        <v>50885</v>
      </c>
      <c r="D617" s="98" t="s">
        <v>185</v>
      </c>
      <c r="G617" s="99">
        <v>58069</v>
      </c>
      <c r="H617" s="98" t="s">
        <v>177</v>
      </c>
      <c r="I617" s="99">
        <v>46034</v>
      </c>
      <c r="J617" s="98" t="s">
        <v>164</v>
      </c>
      <c r="K617" s="99">
        <v>50444</v>
      </c>
      <c r="L617" s="98" t="s">
        <v>215</v>
      </c>
      <c r="M617" s="99">
        <v>48960</v>
      </c>
      <c r="N617" s="98" t="s">
        <v>197</v>
      </c>
    </row>
    <row r="618" spans="1:14" x14ac:dyDescent="0.25">
      <c r="A618" s="100">
        <v>48987</v>
      </c>
      <c r="C618" s="99">
        <v>50934</v>
      </c>
      <c r="D618" s="98" t="s">
        <v>191</v>
      </c>
      <c r="G618" s="99">
        <v>58070</v>
      </c>
      <c r="H618" s="98" t="s">
        <v>182</v>
      </c>
      <c r="I618" s="99">
        <v>46064</v>
      </c>
      <c r="J618" s="98" t="s">
        <v>168</v>
      </c>
      <c r="K618" s="99">
        <v>50518</v>
      </c>
      <c r="L618" s="98" t="s">
        <v>159</v>
      </c>
      <c r="M618" s="99">
        <v>48987</v>
      </c>
      <c r="N618" s="98" t="s">
        <v>204</v>
      </c>
    </row>
    <row r="619" spans="1:14" x14ac:dyDescent="0.25">
      <c r="A619" s="100">
        <v>48988</v>
      </c>
      <c r="C619" s="99">
        <v>50983</v>
      </c>
      <c r="D619" s="98" t="s">
        <v>202</v>
      </c>
      <c r="G619" s="99">
        <v>58076</v>
      </c>
      <c r="H619" s="98" t="s">
        <v>160</v>
      </c>
      <c r="I619" s="99">
        <v>46076</v>
      </c>
      <c r="J619" s="98" t="s">
        <v>173</v>
      </c>
      <c r="K619" s="99">
        <v>50520</v>
      </c>
      <c r="L619" s="98" t="s">
        <v>174</v>
      </c>
      <c r="M619" s="99">
        <v>48988</v>
      </c>
      <c r="N619" s="98" t="s">
        <v>219</v>
      </c>
    </row>
    <row r="620" spans="1:14" x14ac:dyDescent="0.25">
      <c r="A620" s="100">
        <v>48990</v>
      </c>
      <c r="C620" s="99">
        <v>51046</v>
      </c>
      <c r="D620" s="98" t="s">
        <v>189</v>
      </c>
      <c r="G620" s="99">
        <v>58162</v>
      </c>
      <c r="H620" s="98" t="s">
        <v>159</v>
      </c>
      <c r="I620" s="99">
        <v>46101</v>
      </c>
      <c r="J620" s="98" t="s">
        <v>178</v>
      </c>
      <c r="K620" s="99">
        <v>50521</v>
      </c>
      <c r="L620" s="98" t="s">
        <v>240</v>
      </c>
      <c r="M620" s="99">
        <v>48990</v>
      </c>
      <c r="N620" s="98" t="s">
        <v>207</v>
      </c>
    </row>
    <row r="621" spans="1:14" x14ac:dyDescent="0.25">
      <c r="A621" s="100">
        <v>48995</v>
      </c>
      <c r="C621" s="99">
        <v>51129</v>
      </c>
      <c r="D621" s="98" t="s">
        <v>177</v>
      </c>
      <c r="G621" s="99">
        <v>58165</v>
      </c>
      <c r="H621" s="98" t="s">
        <v>162</v>
      </c>
      <c r="I621" s="99">
        <v>46141</v>
      </c>
      <c r="J621" s="98" t="s">
        <v>183</v>
      </c>
      <c r="K621" s="99">
        <v>50563</v>
      </c>
      <c r="L621" s="98" t="s">
        <v>191</v>
      </c>
      <c r="M621" s="99">
        <v>48995</v>
      </c>
      <c r="N621" s="98" t="s">
        <v>199</v>
      </c>
    </row>
    <row r="622" spans="1:14" x14ac:dyDescent="0.25">
      <c r="A622" s="100">
        <v>49093</v>
      </c>
      <c r="C622" s="99">
        <v>51130</v>
      </c>
      <c r="D622" s="98" t="s">
        <v>182</v>
      </c>
      <c r="G622" s="99">
        <v>58200</v>
      </c>
      <c r="H622" s="98" t="s">
        <v>163</v>
      </c>
      <c r="I622" s="99">
        <v>46145</v>
      </c>
      <c r="J622" s="98" t="s">
        <v>187</v>
      </c>
      <c r="K622" s="99">
        <v>50581</v>
      </c>
      <c r="L622" s="98" t="s">
        <v>195</v>
      </c>
      <c r="M622" s="99">
        <v>49093</v>
      </c>
      <c r="N622" s="98" t="s">
        <v>166</v>
      </c>
    </row>
    <row r="623" spans="1:14" x14ac:dyDescent="0.25">
      <c r="A623" s="100">
        <v>49114</v>
      </c>
      <c r="C623" s="99">
        <v>51131</v>
      </c>
      <c r="D623" s="98" t="s">
        <v>208</v>
      </c>
      <c r="G623" s="99">
        <v>58221</v>
      </c>
      <c r="H623" s="98" t="s">
        <v>167</v>
      </c>
      <c r="I623" s="99">
        <v>46146</v>
      </c>
      <c r="J623" s="98" t="s">
        <v>190</v>
      </c>
      <c r="K623" s="99">
        <v>50703</v>
      </c>
      <c r="L623" s="98" t="s">
        <v>189</v>
      </c>
      <c r="M623" s="99">
        <v>49114</v>
      </c>
      <c r="N623" s="98" t="s">
        <v>170</v>
      </c>
    </row>
    <row r="624" spans="1:14" x14ac:dyDescent="0.25">
      <c r="A624" s="100">
        <v>49129</v>
      </c>
      <c r="C624" s="99">
        <v>51136</v>
      </c>
      <c r="D624" s="98" t="s">
        <v>160</v>
      </c>
      <c r="G624" s="99">
        <v>58312</v>
      </c>
      <c r="H624" s="98" t="s">
        <v>193</v>
      </c>
      <c r="I624" s="99">
        <v>46147</v>
      </c>
      <c r="J624" s="98" t="s">
        <v>194</v>
      </c>
      <c r="K624" s="99">
        <v>50764</v>
      </c>
      <c r="L624" s="98" t="s">
        <v>177</v>
      </c>
      <c r="M624" s="99">
        <v>49129</v>
      </c>
      <c r="N624" s="98" t="s">
        <v>175</v>
      </c>
    </row>
    <row r="625" spans="1:14" x14ac:dyDescent="0.25">
      <c r="A625" s="100">
        <v>49191</v>
      </c>
      <c r="C625" s="99">
        <v>51137</v>
      </c>
      <c r="D625" s="98" t="s">
        <v>214</v>
      </c>
      <c r="G625" s="99">
        <v>58434</v>
      </c>
      <c r="H625" s="98" t="s">
        <v>177</v>
      </c>
      <c r="I625" s="99">
        <v>46148</v>
      </c>
      <c r="J625" s="98" t="s">
        <v>212</v>
      </c>
      <c r="K625" s="99">
        <v>50765</v>
      </c>
      <c r="L625" s="98" t="s">
        <v>182</v>
      </c>
      <c r="M625" s="99">
        <v>49191</v>
      </c>
      <c r="N625" s="98" t="s">
        <v>184</v>
      </c>
    </row>
    <row r="626" spans="1:14" x14ac:dyDescent="0.25">
      <c r="A626" s="100">
        <v>49226</v>
      </c>
      <c r="C626" s="99">
        <v>51161</v>
      </c>
      <c r="D626" s="98" t="s">
        <v>171</v>
      </c>
      <c r="G626" s="99">
        <v>58435</v>
      </c>
      <c r="H626" s="98" t="s">
        <v>182</v>
      </c>
      <c r="I626" s="99">
        <v>46223</v>
      </c>
      <c r="J626" s="98" t="s">
        <v>196</v>
      </c>
      <c r="K626" s="99">
        <v>50766</v>
      </c>
      <c r="L626" s="98" t="s">
        <v>208</v>
      </c>
      <c r="M626" s="99">
        <v>49226</v>
      </c>
      <c r="N626" s="98" t="s">
        <v>201</v>
      </c>
    </row>
    <row r="627" spans="1:14" x14ac:dyDescent="0.25">
      <c r="A627" s="100">
        <v>49255</v>
      </c>
      <c r="C627" s="99">
        <v>51225</v>
      </c>
      <c r="D627" s="98" t="s">
        <v>159</v>
      </c>
      <c r="G627" s="99">
        <v>58441</v>
      </c>
      <c r="H627" s="98" t="s">
        <v>160</v>
      </c>
      <c r="I627" s="99">
        <v>46245</v>
      </c>
      <c r="J627" s="98" t="s">
        <v>198</v>
      </c>
      <c r="K627" s="99">
        <v>50767</v>
      </c>
      <c r="L627" s="98" t="s">
        <v>186</v>
      </c>
      <c r="M627" s="99">
        <v>49255</v>
      </c>
      <c r="N627" s="98" t="s">
        <v>210</v>
      </c>
    </row>
    <row r="628" spans="1:14" x14ac:dyDescent="0.25">
      <c r="A628" s="100">
        <v>49258</v>
      </c>
      <c r="C628" s="99">
        <v>51226</v>
      </c>
      <c r="D628" s="98" t="s">
        <v>176</v>
      </c>
      <c r="G628" s="99">
        <v>58547</v>
      </c>
      <c r="H628" s="98" t="s">
        <v>159</v>
      </c>
      <c r="I628" s="99">
        <v>46286</v>
      </c>
      <c r="J628" s="98" t="s">
        <v>200</v>
      </c>
      <c r="K628" s="99">
        <v>50771</v>
      </c>
      <c r="L628" s="98" t="s">
        <v>160</v>
      </c>
      <c r="M628" s="99">
        <v>49258</v>
      </c>
      <c r="N628" s="98" t="s">
        <v>220</v>
      </c>
    </row>
    <row r="629" spans="1:14" x14ac:dyDescent="0.25">
      <c r="A629" s="100">
        <v>49259</v>
      </c>
      <c r="C629" s="99">
        <v>51227</v>
      </c>
      <c r="D629" s="98" t="s">
        <v>181</v>
      </c>
      <c r="G629" s="99">
        <v>58550</v>
      </c>
      <c r="H629" s="98" t="s">
        <v>162</v>
      </c>
      <c r="I629" s="99">
        <v>46287</v>
      </c>
      <c r="J629" s="98" t="s">
        <v>218</v>
      </c>
      <c r="K629" s="99">
        <v>50772</v>
      </c>
      <c r="L629" s="98" t="s">
        <v>165</v>
      </c>
      <c r="M629" s="99">
        <v>49259</v>
      </c>
      <c r="N629" s="98" t="s">
        <v>188</v>
      </c>
    </row>
    <row r="630" spans="1:14" x14ac:dyDescent="0.25">
      <c r="A630" s="100">
        <v>49271</v>
      </c>
      <c r="C630" s="99">
        <v>51228</v>
      </c>
      <c r="D630" s="98" t="s">
        <v>162</v>
      </c>
      <c r="G630" s="99">
        <v>58564</v>
      </c>
      <c r="H630" s="98" t="s">
        <v>163</v>
      </c>
      <c r="I630" s="99">
        <v>46288</v>
      </c>
      <c r="J630" s="98" t="s">
        <v>203</v>
      </c>
      <c r="K630" s="99">
        <v>50773</v>
      </c>
      <c r="L630" s="98" t="s">
        <v>214</v>
      </c>
      <c r="M630" s="99">
        <v>49271</v>
      </c>
      <c r="N630" s="98" t="s">
        <v>192</v>
      </c>
    </row>
    <row r="631" spans="1:14" x14ac:dyDescent="0.25">
      <c r="A631" s="100">
        <v>49303</v>
      </c>
      <c r="C631" s="99">
        <v>51251</v>
      </c>
      <c r="D631" s="98" t="s">
        <v>185</v>
      </c>
      <c r="G631" s="99">
        <v>58592</v>
      </c>
      <c r="H631" s="98" t="s">
        <v>167</v>
      </c>
      <c r="I631" s="99">
        <v>46307</v>
      </c>
      <c r="J631" s="98" t="s">
        <v>205</v>
      </c>
      <c r="K631" s="99">
        <v>50774</v>
      </c>
      <c r="L631" s="98" t="s">
        <v>213</v>
      </c>
      <c r="M631" s="99">
        <v>49303</v>
      </c>
      <c r="N631" s="98" t="s">
        <v>177</v>
      </c>
    </row>
    <row r="632" spans="1:14" x14ac:dyDescent="0.25">
      <c r="A632" s="100">
        <v>49310</v>
      </c>
      <c r="C632" s="99">
        <v>51298</v>
      </c>
      <c r="D632" s="98" t="s">
        <v>191</v>
      </c>
      <c r="G632" s="99">
        <v>58683</v>
      </c>
      <c r="H632" s="98" t="s">
        <v>193</v>
      </c>
      <c r="I632" s="99">
        <v>46329</v>
      </c>
      <c r="J632" s="98" t="s">
        <v>209</v>
      </c>
      <c r="K632" s="99">
        <v>50801</v>
      </c>
      <c r="L632" s="98" t="s">
        <v>206</v>
      </c>
      <c r="M632" s="99">
        <v>49310</v>
      </c>
      <c r="N632" s="98" t="s">
        <v>160</v>
      </c>
    </row>
    <row r="633" spans="1:14" x14ac:dyDescent="0.25">
      <c r="A633" s="100">
        <v>49324</v>
      </c>
      <c r="C633" s="99">
        <v>51354</v>
      </c>
      <c r="D633" s="98" t="s">
        <v>202</v>
      </c>
      <c r="G633" s="99">
        <v>58800</v>
      </c>
      <c r="H633" s="98" t="s">
        <v>177</v>
      </c>
      <c r="I633" s="99">
        <v>46349</v>
      </c>
      <c r="J633" s="98" t="s">
        <v>211</v>
      </c>
      <c r="K633" s="99">
        <v>50807</v>
      </c>
      <c r="L633" s="98" t="s">
        <v>169</v>
      </c>
      <c r="M633" s="99">
        <v>49324</v>
      </c>
      <c r="N633" s="98" t="s">
        <v>197</v>
      </c>
    </row>
    <row r="634" spans="1:14" x14ac:dyDescent="0.25">
      <c r="A634" s="100">
        <v>49352</v>
      </c>
      <c r="C634" s="99">
        <v>51410</v>
      </c>
      <c r="D634" s="98" t="s">
        <v>189</v>
      </c>
      <c r="G634" s="99">
        <v>58801</v>
      </c>
      <c r="H634" s="98" t="s">
        <v>182</v>
      </c>
      <c r="I634" s="99">
        <v>46388</v>
      </c>
      <c r="J634" s="98" t="s">
        <v>161</v>
      </c>
      <c r="K634" s="99">
        <v>50808</v>
      </c>
      <c r="L634" s="98" t="s">
        <v>215</v>
      </c>
      <c r="M634" s="99">
        <v>49352</v>
      </c>
      <c r="N634" s="98" t="s">
        <v>204</v>
      </c>
    </row>
    <row r="635" spans="1:14" x14ac:dyDescent="0.25">
      <c r="A635" s="100">
        <v>49355</v>
      </c>
      <c r="C635" s="99">
        <v>51495</v>
      </c>
      <c r="D635" s="98" t="s">
        <v>177</v>
      </c>
      <c r="G635" s="99">
        <v>58802</v>
      </c>
      <c r="H635" s="98" t="s">
        <v>208</v>
      </c>
      <c r="I635" s="99">
        <v>46398</v>
      </c>
      <c r="J635" s="98" t="s">
        <v>164</v>
      </c>
      <c r="K635" s="99">
        <v>50868</v>
      </c>
      <c r="L635" s="98" t="s">
        <v>159</v>
      </c>
      <c r="M635" s="99">
        <v>49355</v>
      </c>
      <c r="N635" s="98" t="s">
        <v>207</v>
      </c>
    </row>
    <row r="636" spans="1:14" x14ac:dyDescent="0.25">
      <c r="A636" s="100">
        <v>49359</v>
      </c>
      <c r="C636" s="99">
        <v>51496</v>
      </c>
      <c r="D636" s="98" t="s">
        <v>182</v>
      </c>
      <c r="G636" s="99">
        <v>58803</v>
      </c>
      <c r="H636" s="98" t="s">
        <v>186</v>
      </c>
      <c r="I636" s="99">
        <v>46429</v>
      </c>
      <c r="J636" s="98" t="s">
        <v>168</v>
      </c>
      <c r="K636" s="99">
        <v>50871</v>
      </c>
      <c r="L636" s="98" t="s">
        <v>162</v>
      </c>
      <c r="M636" s="99">
        <v>49359</v>
      </c>
      <c r="N636" s="98" t="s">
        <v>199</v>
      </c>
    </row>
    <row r="637" spans="1:14" x14ac:dyDescent="0.25">
      <c r="A637" s="100">
        <v>49457</v>
      </c>
      <c r="C637" s="99">
        <v>51502</v>
      </c>
      <c r="D637" s="98" t="s">
        <v>160</v>
      </c>
      <c r="G637" s="99">
        <v>58807</v>
      </c>
      <c r="H637" s="98" t="s">
        <v>160</v>
      </c>
      <c r="I637" s="99">
        <v>46441</v>
      </c>
      <c r="J637" s="98" t="s">
        <v>173</v>
      </c>
      <c r="K637" s="99">
        <v>50885</v>
      </c>
      <c r="L637" s="98" t="s">
        <v>174</v>
      </c>
      <c r="M637" s="99">
        <v>49457</v>
      </c>
      <c r="N637" s="98" t="s">
        <v>166</v>
      </c>
    </row>
    <row r="638" spans="1:14" x14ac:dyDescent="0.25">
      <c r="A638" s="100">
        <v>49479</v>
      </c>
      <c r="C638" s="99">
        <v>51529</v>
      </c>
      <c r="D638" s="98" t="s">
        <v>171</v>
      </c>
      <c r="G638" s="99">
        <v>58809</v>
      </c>
      <c r="H638" s="98" t="s">
        <v>214</v>
      </c>
      <c r="I638" s="99">
        <v>46467</v>
      </c>
      <c r="J638" s="98" t="s">
        <v>178</v>
      </c>
      <c r="K638" s="99">
        <v>50927</v>
      </c>
      <c r="L638" s="98" t="s">
        <v>191</v>
      </c>
      <c r="M638" s="99">
        <v>49479</v>
      </c>
      <c r="N638" s="98" t="s">
        <v>170</v>
      </c>
    </row>
    <row r="639" spans="1:14" x14ac:dyDescent="0.25">
      <c r="A639" s="100">
        <v>49494</v>
      </c>
      <c r="C639" s="99">
        <v>51610</v>
      </c>
      <c r="D639" s="98" t="s">
        <v>159</v>
      </c>
      <c r="G639" s="99">
        <v>58904</v>
      </c>
      <c r="H639" s="98" t="s">
        <v>159</v>
      </c>
      <c r="I639" s="99">
        <v>46468</v>
      </c>
      <c r="J639" s="98" t="s">
        <v>212</v>
      </c>
      <c r="K639" s="99">
        <v>50966</v>
      </c>
      <c r="L639" s="98" t="s">
        <v>195</v>
      </c>
      <c r="M639" s="99">
        <v>49494</v>
      </c>
      <c r="N639" s="98" t="s">
        <v>175</v>
      </c>
    </row>
    <row r="640" spans="1:14" x14ac:dyDescent="0.25">
      <c r="A640" s="100">
        <v>49555</v>
      </c>
      <c r="C640" s="99">
        <v>51611</v>
      </c>
      <c r="D640" s="98" t="s">
        <v>176</v>
      </c>
      <c r="G640" s="99">
        <v>58907</v>
      </c>
      <c r="H640" s="98" t="s">
        <v>162</v>
      </c>
      <c r="I640" s="99">
        <v>46506</v>
      </c>
      <c r="J640" s="98" t="s">
        <v>183</v>
      </c>
      <c r="K640" s="99">
        <v>51067</v>
      </c>
      <c r="L640" s="98" t="s">
        <v>189</v>
      </c>
      <c r="M640" s="99">
        <v>49555</v>
      </c>
      <c r="N640" s="98" t="s">
        <v>184</v>
      </c>
    </row>
    <row r="641" spans="1:14" x14ac:dyDescent="0.25">
      <c r="A641" s="100">
        <v>49590</v>
      </c>
      <c r="C641" s="99">
        <v>51612</v>
      </c>
      <c r="D641" s="98" t="s">
        <v>181</v>
      </c>
      <c r="G641" s="99">
        <v>58928</v>
      </c>
      <c r="H641" s="98" t="s">
        <v>163</v>
      </c>
      <c r="I641" s="99">
        <v>46510</v>
      </c>
      <c r="J641" s="98" t="s">
        <v>187</v>
      </c>
      <c r="K641" s="99">
        <v>51129</v>
      </c>
      <c r="L641" s="98" t="s">
        <v>177</v>
      </c>
      <c r="M641" s="99">
        <v>49590</v>
      </c>
      <c r="N641" s="98" t="s">
        <v>201</v>
      </c>
    </row>
    <row r="642" spans="1:14" x14ac:dyDescent="0.25">
      <c r="A642" s="100">
        <v>49619</v>
      </c>
      <c r="C642" s="99">
        <v>51613</v>
      </c>
      <c r="D642" s="98" t="s">
        <v>162</v>
      </c>
      <c r="G642" s="99">
        <v>58956</v>
      </c>
      <c r="H642" s="98" t="s">
        <v>167</v>
      </c>
      <c r="I642" s="99">
        <v>46511</v>
      </c>
      <c r="J642" s="98" t="s">
        <v>190</v>
      </c>
      <c r="K642" s="99">
        <v>51130</v>
      </c>
      <c r="L642" s="98" t="s">
        <v>182</v>
      </c>
      <c r="M642" s="99">
        <v>49619</v>
      </c>
      <c r="N642" s="98" t="s">
        <v>210</v>
      </c>
    </row>
    <row r="643" spans="1:14" x14ac:dyDescent="0.25">
      <c r="A643" s="100">
        <v>49624</v>
      </c>
      <c r="C643" s="99">
        <v>51616</v>
      </c>
      <c r="D643" s="98" t="s">
        <v>185</v>
      </c>
      <c r="G643" s="99">
        <v>59047</v>
      </c>
      <c r="H643" s="98" t="s">
        <v>193</v>
      </c>
      <c r="I643" s="99">
        <v>46512</v>
      </c>
      <c r="J643" s="98" t="s">
        <v>194</v>
      </c>
      <c r="K643" s="99">
        <v>51131</v>
      </c>
      <c r="L643" s="98" t="s">
        <v>208</v>
      </c>
      <c r="M643" s="99">
        <v>49624</v>
      </c>
      <c r="N643" s="98" t="s">
        <v>188</v>
      </c>
    </row>
    <row r="644" spans="1:14" x14ac:dyDescent="0.25">
      <c r="A644" s="100">
        <v>49625</v>
      </c>
      <c r="C644" s="99">
        <v>51662</v>
      </c>
      <c r="D644" s="98" t="s">
        <v>191</v>
      </c>
      <c r="G644" s="99">
        <v>59165</v>
      </c>
      <c r="H644" s="98" t="s">
        <v>177</v>
      </c>
      <c r="I644" s="99">
        <v>46587</v>
      </c>
      <c r="J644" s="98" t="s">
        <v>196</v>
      </c>
      <c r="K644" s="99">
        <v>51136</v>
      </c>
      <c r="L644" s="98" t="s">
        <v>160</v>
      </c>
      <c r="M644" s="99">
        <v>49625</v>
      </c>
      <c r="N644" s="98" t="s">
        <v>220</v>
      </c>
    </row>
    <row r="645" spans="1:14" x14ac:dyDescent="0.25">
      <c r="A645" s="100">
        <v>49635</v>
      </c>
      <c r="C645" s="99">
        <v>51718</v>
      </c>
      <c r="D645" s="98" t="s">
        <v>202</v>
      </c>
      <c r="G645" s="99">
        <v>59166</v>
      </c>
      <c r="H645" s="98" t="s">
        <v>182</v>
      </c>
      <c r="I645" s="99">
        <v>46610</v>
      </c>
      <c r="J645" s="98" t="s">
        <v>198</v>
      </c>
      <c r="K645" s="99">
        <v>51137</v>
      </c>
      <c r="L645" s="98" t="s">
        <v>165</v>
      </c>
      <c r="M645" s="99">
        <v>49635</v>
      </c>
      <c r="N645" s="98" t="s">
        <v>192</v>
      </c>
    </row>
    <row r="646" spans="1:14" x14ac:dyDescent="0.25">
      <c r="A646" s="100">
        <v>49668</v>
      </c>
      <c r="C646" s="99">
        <v>51781</v>
      </c>
      <c r="D646" s="98" t="s">
        <v>189</v>
      </c>
      <c r="G646" s="99">
        <v>59167</v>
      </c>
      <c r="H646" s="98" t="s">
        <v>208</v>
      </c>
      <c r="I646" s="99">
        <v>46650</v>
      </c>
      <c r="J646" s="98" t="s">
        <v>200</v>
      </c>
      <c r="K646" s="99">
        <v>51138</v>
      </c>
      <c r="L646" s="98" t="s">
        <v>214</v>
      </c>
      <c r="M646" s="99">
        <v>49668</v>
      </c>
      <c r="N646" s="98" t="s">
        <v>177</v>
      </c>
    </row>
    <row r="647" spans="1:14" x14ac:dyDescent="0.25">
      <c r="A647" s="100">
        <v>49675</v>
      </c>
      <c r="C647" s="99">
        <v>51860</v>
      </c>
      <c r="D647" s="98" t="s">
        <v>177</v>
      </c>
      <c r="G647" s="99">
        <v>59172</v>
      </c>
      <c r="H647" s="98" t="s">
        <v>160</v>
      </c>
      <c r="I647" s="99">
        <v>46653</v>
      </c>
      <c r="J647" s="98" t="s">
        <v>203</v>
      </c>
      <c r="K647" s="99">
        <v>51165</v>
      </c>
      <c r="L647" s="98" t="s">
        <v>206</v>
      </c>
      <c r="M647" s="99">
        <v>49675</v>
      </c>
      <c r="N647" s="98" t="s">
        <v>160</v>
      </c>
    </row>
    <row r="648" spans="1:14" x14ac:dyDescent="0.25">
      <c r="A648" s="100">
        <v>49695</v>
      </c>
      <c r="C648" s="99">
        <v>51861</v>
      </c>
      <c r="D648" s="98" t="s">
        <v>182</v>
      </c>
      <c r="G648" s="99">
        <v>59173</v>
      </c>
      <c r="H648" s="98" t="s">
        <v>214</v>
      </c>
      <c r="I648" s="99">
        <v>46671</v>
      </c>
      <c r="J648" s="98" t="s">
        <v>205</v>
      </c>
      <c r="K648" s="99">
        <v>51172</v>
      </c>
      <c r="L648" s="98" t="s">
        <v>169</v>
      </c>
      <c r="M648" s="99">
        <v>49695</v>
      </c>
      <c r="N648" s="98" t="s">
        <v>197</v>
      </c>
    </row>
    <row r="649" spans="1:14" x14ac:dyDescent="0.25">
      <c r="A649" s="100">
        <v>49717</v>
      </c>
      <c r="C649" s="99">
        <v>51867</v>
      </c>
      <c r="D649" s="98" t="s">
        <v>160</v>
      </c>
      <c r="G649" s="99">
        <v>59254</v>
      </c>
      <c r="H649" s="98" t="s">
        <v>159</v>
      </c>
      <c r="I649" s="99">
        <v>46694</v>
      </c>
      <c r="J649" s="98" t="s">
        <v>209</v>
      </c>
      <c r="K649" s="99">
        <v>51225</v>
      </c>
      <c r="L649" s="98" t="s">
        <v>159</v>
      </c>
      <c r="M649" s="99">
        <v>49717</v>
      </c>
      <c r="N649" s="98" t="s">
        <v>204</v>
      </c>
    </row>
    <row r="650" spans="1:14" x14ac:dyDescent="0.25">
      <c r="A650" s="100">
        <v>49720</v>
      </c>
      <c r="C650" s="99">
        <v>51893</v>
      </c>
      <c r="D650" s="98" t="s">
        <v>171</v>
      </c>
      <c r="G650" s="99">
        <v>59257</v>
      </c>
      <c r="H650" s="98" t="s">
        <v>162</v>
      </c>
      <c r="I650" s="99">
        <v>46714</v>
      </c>
      <c r="J650" s="98" t="s">
        <v>211</v>
      </c>
      <c r="K650" s="99">
        <v>51228</v>
      </c>
      <c r="L650" s="98" t="s">
        <v>162</v>
      </c>
      <c r="M650" s="99">
        <v>49720</v>
      </c>
      <c r="N650" s="98" t="s">
        <v>207</v>
      </c>
    </row>
    <row r="651" spans="1:14" x14ac:dyDescent="0.25">
      <c r="A651" s="100">
        <v>49723</v>
      </c>
      <c r="C651" s="99">
        <v>51960</v>
      </c>
      <c r="D651" s="98" t="s">
        <v>159</v>
      </c>
      <c r="G651" s="99">
        <v>59292</v>
      </c>
      <c r="H651" s="98" t="s">
        <v>163</v>
      </c>
      <c r="I651" s="99">
        <v>46753</v>
      </c>
      <c r="J651" s="98" t="s">
        <v>161</v>
      </c>
      <c r="K651" s="99">
        <v>51251</v>
      </c>
      <c r="L651" s="98" t="s">
        <v>174</v>
      </c>
      <c r="M651" s="99">
        <v>49723</v>
      </c>
      <c r="N651" s="98" t="s">
        <v>199</v>
      </c>
    </row>
    <row r="652" spans="1:14" x14ac:dyDescent="0.25">
      <c r="A652" s="100">
        <v>49821</v>
      </c>
      <c r="C652" s="99">
        <v>51961</v>
      </c>
      <c r="D652" s="98" t="s">
        <v>176</v>
      </c>
      <c r="G652" s="99">
        <v>59320</v>
      </c>
      <c r="H652" s="98" t="s">
        <v>167</v>
      </c>
      <c r="I652" s="99">
        <v>46762</v>
      </c>
      <c r="J652" s="98" t="s">
        <v>164</v>
      </c>
      <c r="K652" s="99">
        <v>51291</v>
      </c>
      <c r="L652" s="98" t="s">
        <v>191</v>
      </c>
      <c r="M652" s="99">
        <v>49821</v>
      </c>
      <c r="N652" s="98" t="s">
        <v>166</v>
      </c>
    </row>
    <row r="653" spans="1:14" x14ac:dyDescent="0.25">
      <c r="A653" s="100">
        <v>49845</v>
      </c>
      <c r="C653" s="99">
        <v>51962</v>
      </c>
      <c r="D653" s="98" t="s">
        <v>181</v>
      </c>
      <c r="G653" s="99">
        <v>59411</v>
      </c>
      <c r="H653" s="98" t="s">
        <v>193</v>
      </c>
      <c r="I653" s="99">
        <v>46794</v>
      </c>
      <c r="J653" s="98" t="s">
        <v>168</v>
      </c>
      <c r="K653" s="99">
        <v>51323</v>
      </c>
      <c r="L653" s="98" t="s">
        <v>195</v>
      </c>
      <c r="M653" s="99">
        <v>49845</v>
      </c>
      <c r="N653" s="98" t="s">
        <v>170</v>
      </c>
    </row>
    <row r="654" spans="1:14" x14ac:dyDescent="0.25">
      <c r="A654" s="100">
        <v>49860</v>
      </c>
      <c r="C654" s="99">
        <v>51963</v>
      </c>
      <c r="D654" s="98" t="s">
        <v>162</v>
      </c>
      <c r="G654" s="99">
        <v>59530</v>
      </c>
      <c r="H654" s="98" t="s">
        <v>177</v>
      </c>
      <c r="I654" s="99">
        <v>46806</v>
      </c>
      <c r="J654" s="98" t="s">
        <v>173</v>
      </c>
      <c r="K654" s="99">
        <v>51431</v>
      </c>
      <c r="L654" s="98" t="s">
        <v>189</v>
      </c>
      <c r="M654" s="99">
        <v>49860</v>
      </c>
      <c r="N654" s="98" t="s">
        <v>175</v>
      </c>
    </row>
    <row r="655" spans="1:14" x14ac:dyDescent="0.25">
      <c r="A655" s="100">
        <v>49919</v>
      </c>
      <c r="C655" s="99">
        <v>51981</v>
      </c>
      <c r="D655" s="98" t="s">
        <v>185</v>
      </c>
      <c r="G655" s="99">
        <v>59531</v>
      </c>
      <c r="H655" s="98" t="s">
        <v>182</v>
      </c>
      <c r="I655" s="99">
        <v>46832</v>
      </c>
      <c r="J655" s="98" t="s">
        <v>178</v>
      </c>
      <c r="K655" s="99">
        <v>51495</v>
      </c>
      <c r="L655" s="98" t="s">
        <v>177</v>
      </c>
      <c r="M655" s="99">
        <v>49919</v>
      </c>
      <c r="N655" s="98" t="s">
        <v>184</v>
      </c>
    </row>
    <row r="656" spans="1:14" x14ac:dyDescent="0.25">
      <c r="A656" s="100">
        <v>49961</v>
      </c>
      <c r="C656" s="99">
        <v>52026</v>
      </c>
      <c r="D656" s="98" t="s">
        <v>191</v>
      </c>
      <c r="G656" s="99">
        <v>59537</v>
      </c>
      <c r="H656" s="98" t="s">
        <v>160</v>
      </c>
      <c r="I656" s="99">
        <v>46872</v>
      </c>
      <c r="J656" s="98" t="s">
        <v>183</v>
      </c>
      <c r="K656" s="99">
        <v>51496</v>
      </c>
      <c r="L656" s="98" t="s">
        <v>182</v>
      </c>
      <c r="M656" s="99">
        <v>49961</v>
      </c>
      <c r="N656" s="98" t="s">
        <v>201</v>
      </c>
    </row>
    <row r="657" spans="1:14" x14ac:dyDescent="0.25">
      <c r="A657" s="100">
        <v>49983</v>
      </c>
      <c r="C657" s="99">
        <v>52082</v>
      </c>
      <c r="D657" s="98" t="s">
        <v>202</v>
      </c>
      <c r="G657" s="99">
        <v>59639</v>
      </c>
      <c r="H657" s="98" t="s">
        <v>159</v>
      </c>
      <c r="I657" s="99">
        <v>46876</v>
      </c>
      <c r="J657" s="98" t="s">
        <v>187</v>
      </c>
      <c r="K657" s="99">
        <v>51502</v>
      </c>
      <c r="L657" s="98" t="s">
        <v>160</v>
      </c>
      <c r="M657" s="99">
        <v>49983</v>
      </c>
      <c r="N657" s="98" t="s">
        <v>210</v>
      </c>
    </row>
    <row r="658" spans="1:14" x14ac:dyDescent="0.25">
      <c r="A658" s="100">
        <v>49990</v>
      </c>
      <c r="C658" s="99">
        <v>52145</v>
      </c>
      <c r="D658" s="98" t="s">
        <v>189</v>
      </c>
      <c r="G658" s="99">
        <v>59642</v>
      </c>
      <c r="H658" s="98" t="s">
        <v>162</v>
      </c>
      <c r="I658" s="99">
        <v>46877</v>
      </c>
      <c r="J658" s="98" t="s">
        <v>190</v>
      </c>
      <c r="K658" s="99">
        <v>51503</v>
      </c>
      <c r="L658" s="98" t="s">
        <v>165</v>
      </c>
      <c r="M658" s="99">
        <v>49990</v>
      </c>
      <c r="N658" s="98" t="s">
        <v>188</v>
      </c>
    </row>
    <row r="659" spans="1:14" x14ac:dyDescent="0.25">
      <c r="A659" s="100">
        <v>50006</v>
      </c>
      <c r="C659" s="99">
        <v>52225</v>
      </c>
      <c r="D659" s="98" t="s">
        <v>177</v>
      </c>
      <c r="G659" s="99">
        <v>59663</v>
      </c>
      <c r="H659" s="98" t="s">
        <v>163</v>
      </c>
      <c r="I659" s="99">
        <v>46878</v>
      </c>
      <c r="J659" s="98" t="s">
        <v>194</v>
      </c>
      <c r="K659" s="99">
        <v>51529</v>
      </c>
      <c r="L659" s="98" t="s">
        <v>206</v>
      </c>
      <c r="M659" s="99">
        <v>50006</v>
      </c>
      <c r="N659" s="98" t="s">
        <v>192</v>
      </c>
    </row>
    <row r="660" spans="1:14" x14ac:dyDescent="0.25">
      <c r="A660" s="100">
        <v>50034</v>
      </c>
      <c r="C660" s="99">
        <v>52226</v>
      </c>
      <c r="D660" s="98" t="s">
        <v>182</v>
      </c>
      <c r="G660" s="99">
        <v>59684</v>
      </c>
      <c r="H660" s="98" t="s">
        <v>167</v>
      </c>
      <c r="I660" s="99">
        <v>46951</v>
      </c>
      <c r="J660" s="98" t="s">
        <v>196</v>
      </c>
      <c r="K660" s="99">
        <v>51538</v>
      </c>
      <c r="L660" s="98" t="s">
        <v>169</v>
      </c>
      <c r="M660" s="99">
        <v>50034</v>
      </c>
      <c r="N660" s="98" t="s">
        <v>177</v>
      </c>
    </row>
    <row r="661" spans="1:14" x14ac:dyDescent="0.25">
      <c r="A661" s="100">
        <v>50041</v>
      </c>
      <c r="C661" s="99">
        <v>52232</v>
      </c>
      <c r="D661" s="98" t="s">
        <v>160</v>
      </c>
      <c r="G661" s="99">
        <v>59775</v>
      </c>
      <c r="H661" s="98" t="s">
        <v>193</v>
      </c>
      <c r="I661" s="99">
        <v>46976</v>
      </c>
      <c r="J661" s="98" t="s">
        <v>198</v>
      </c>
      <c r="K661" s="99">
        <v>51610</v>
      </c>
      <c r="L661" s="98" t="s">
        <v>159</v>
      </c>
      <c r="M661" s="99">
        <v>50041</v>
      </c>
      <c r="N661" s="98" t="s">
        <v>160</v>
      </c>
    </row>
    <row r="662" spans="1:14" x14ac:dyDescent="0.25">
      <c r="A662" s="100">
        <v>50059</v>
      </c>
      <c r="C662" s="99">
        <v>52257</v>
      </c>
      <c r="D662" s="98" t="s">
        <v>171</v>
      </c>
      <c r="G662" s="99">
        <v>59895</v>
      </c>
      <c r="H662" s="98" t="s">
        <v>177</v>
      </c>
      <c r="I662" s="99">
        <v>47014</v>
      </c>
      <c r="J662" s="98" t="s">
        <v>200</v>
      </c>
      <c r="K662" s="99">
        <v>51613</v>
      </c>
      <c r="L662" s="98" t="s">
        <v>162</v>
      </c>
      <c r="M662" s="99">
        <v>50059</v>
      </c>
      <c r="N662" s="98" t="s">
        <v>197</v>
      </c>
    </row>
    <row r="663" spans="1:14" x14ac:dyDescent="0.25">
      <c r="A663" s="100">
        <v>50083</v>
      </c>
      <c r="C663" s="99">
        <v>52317</v>
      </c>
      <c r="D663" s="98" t="s">
        <v>159</v>
      </c>
      <c r="G663" s="99">
        <v>59896</v>
      </c>
      <c r="H663" s="98" t="s">
        <v>182</v>
      </c>
      <c r="I663" s="99">
        <v>47018</v>
      </c>
      <c r="J663" s="98" t="s">
        <v>203</v>
      </c>
      <c r="K663" s="99">
        <v>51616</v>
      </c>
      <c r="L663" s="98" t="s">
        <v>174</v>
      </c>
      <c r="M663" s="99">
        <v>50083</v>
      </c>
      <c r="N663" s="98" t="s">
        <v>204</v>
      </c>
    </row>
    <row r="664" spans="1:14" x14ac:dyDescent="0.25">
      <c r="A664" s="100">
        <v>50086</v>
      </c>
      <c r="C664" s="99">
        <v>52318</v>
      </c>
      <c r="D664" s="98" t="s">
        <v>176</v>
      </c>
      <c r="G664" s="99">
        <v>59902</v>
      </c>
      <c r="H664" s="98" t="s">
        <v>160</v>
      </c>
      <c r="I664" s="99">
        <v>47035</v>
      </c>
      <c r="J664" s="98" t="s">
        <v>205</v>
      </c>
      <c r="K664" s="99">
        <v>51655</v>
      </c>
      <c r="L664" s="98" t="s">
        <v>191</v>
      </c>
      <c r="M664" s="99">
        <v>50086</v>
      </c>
      <c r="N664" s="98" t="s">
        <v>207</v>
      </c>
    </row>
    <row r="665" spans="1:14" x14ac:dyDescent="0.25">
      <c r="A665" s="100">
        <v>50087</v>
      </c>
      <c r="C665" s="99">
        <v>52319</v>
      </c>
      <c r="D665" s="98" t="s">
        <v>181</v>
      </c>
      <c r="G665" s="99">
        <v>59996</v>
      </c>
      <c r="H665" s="98" t="s">
        <v>159</v>
      </c>
      <c r="I665" s="99">
        <v>47060</v>
      </c>
      <c r="J665" s="98" t="s">
        <v>209</v>
      </c>
      <c r="K665" s="99">
        <v>51701</v>
      </c>
      <c r="L665" s="98" t="s">
        <v>195</v>
      </c>
      <c r="M665" s="99">
        <v>50087</v>
      </c>
      <c r="N665" s="98" t="s">
        <v>199</v>
      </c>
    </row>
    <row r="666" spans="1:14" x14ac:dyDescent="0.25">
      <c r="A666" s="100">
        <v>50185</v>
      </c>
      <c r="C666" s="99">
        <v>52320</v>
      </c>
      <c r="D666" s="98" t="s">
        <v>162</v>
      </c>
      <c r="G666" s="99">
        <v>59999</v>
      </c>
      <c r="H666" s="98" t="s">
        <v>162</v>
      </c>
      <c r="I666" s="99">
        <v>47080</v>
      </c>
      <c r="J666" s="98" t="s">
        <v>211</v>
      </c>
      <c r="K666" s="99">
        <v>51802</v>
      </c>
      <c r="L666" s="98" t="s">
        <v>189</v>
      </c>
      <c r="M666" s="99">
        <v>50185</v>
      </c>
      <c r="N666" s="98" t="s">
        <v>166</v>
      </c>
    </row>
    <row r="667" spans="1:14" x14ac:dyDescent="0.25">
      <c r="A667" s="100">
        <v>50210</v>
      </c>
      <c r="C667" s="99">
        <v>52346</v>
      </c>
      <c r="D667" s="98" t="s">
        <v>185</v>
      </c>
      <c r="G667" s="99">
        <v>60027</v>
      </c>
      <c r="H667" s="98" t="s">
        <v>163</v>
      </c>
      <c r="I667" s="99">
        <v>47119</v>
      </c>
      <c r="J667" s="98" t="s">
        <v>161</v>
      </c>
      <c r="K667" s="99">
        <v>51860</v>
      </c>
      <c r="L667" s="98" t="s">
        <v>177</v>
      </c>
      <c r="M667" s="99">
        <v>50210</v>
      </c>
      <c r="N667" s="98" t="s">
        <v>170</v>
      </c>
    </row>
    <row r="668" spans="1:14" x14ac:dyDescent="0.25">
      <c r="A668" s="100">
        <v>50224</v>
      </c>
      <c r="C668" s="99">
        <v>52390</v>
      </c>
      <c r="D668" s="98" t="s">
        <v>191</v>
      </c>
      <c r="G668" s="99">
        <v>60048</v>
      </c>
      <c r="H668" s="98" t="s">
        <v>167</v>
      </c>
      <c r="I668" s="99">
        <v>47126</v>
      </c>
      <c r="J668" s="98" t="s">
        <v>164</v>
      </c>
      <c r="K668" s="99">
        <v>51861</v>
      </c>
      <c r="L668" s="98" t="s">
        <v>182</v>
      </c>
      <c r="M668" s="99">
        <v>50224</v>
      </c>
      <c r="N668" s="98" t="s">
        <v>180</v>
      </c>
    </row>
    <row r="669" spans="1:14" x14ac:dyDescent="0.25">
      <c r="A669" s="100">
        <v>50225</v>
      </c>
      <c r="C669" s="99">
        <v>52446</v>
      </c>
      <c r="D669" s="98" t="s">
        <v>202</v>
      </c>
      <c r="G669" s="99">
        <v>60139</v>
      </c>
      <c r="H669" s="98" t="s">
        <v>193</v>
      </c>
      <c r="I669" s="99">
        <v>47160</v>
      </c>
      <c r="J669" s="98" t="s">
        <v>168</v>
      </c>
      <c r="K669" s="99">
        <v>51867</v>
      </c>
      <c r="L669" s="98" t="s">
        <v>160</v>
      </c>
      <c r="M669" s="99">
        <v>50225</v>
      </c>
      <c r="N669" s="98" t="s">
        <v>175</v>
      </c>
    </row>
    <row r="670" spans="1:14" x14ac:dyDescent="0.25">
      <c r="A670" s="100">
        <v>50290</v>
      </c>
      <c r="C670" s="99">
        <v>52509</v>
      </c>
      <c r="D670" s="98" t="s">
        <v>189</v>
      </c>
      <c r="G670" s="99">
        <v>60261</v>
      </c>
      <c r="H670" s="98" t="s">
        <v>177</v>
      </c>
      <c r="I670" s="99">
        <v>47161</v>
      </c>
      <c r="J670" s="98" t="s">
        <v>212</v>
      </c>
      <c r="K670" s="99">
        <v>51868</v>
      </c>
      <c r="L670" s="98" t="s">
        <v>165</v>
      </c>
      <c r="M670" s="99">
        <v>50290</v>
      </c>
      <c r="N670" s="98" t="s">
        <v>184</v>
      </c>
    </row>
    <row r="671" spans="1:14" x14ac:dyDescent="0.25">
      <c r="A671" s="100">
        <v>50325</v>
      </c>
      <c r="C671" s="99">
        <v>52590</v>
      </c>
      <c r="D671" s="98" t="s">
        <v>177</v>
      </c>
      <c r="G671" s="99">
        <v>60262</v>
      </c>
      <c r="H671" s="98" t="s">
        <v>182</v>
      </c>
      <c r="I671" s="99">
        <v>47172</v>
      </c>
      <c r="J671" s="98" t="s">
        <v>173</v>
      </c>
      <c r="K671" s="99">
        <v>51893</v>
      </c>
      <c r="L671" s="98" t="s">
        <v>206</v>
      </c>
      <c r="M671" s="99">
        <v>50325</v>
      </c>
      <c r="N671" s="98" t="s">
        <v>201</v>
      </c>
    </row>
    <row r="672" spans="1:14" x14ac:dyDescent="0.25">
      <c r="A672" s="100">
        <v>50347</v>
      </c>
      <c r="C672" s="99">
        <v>52591</v>
      </c>
      <c r="D672" s="98" t="s">
        <v>182</v>
      </c>
      <c r="G672" s="99">
        <v>60268</v>
      </c>
      <c r="H672" s="98" t="s">
        <v>160</v>
      </c>
      <c r="I672" s="99">
        <v>47197</v>
      </c>
      <c r="J672" s="98" t="s">
        <v>178</v>
      </c>
      <c r="K672" s="99">
        <v>51903</v>
      </c>
      <c r="L672" s="98" t="s">
        <v>169</v>
      </c>
      <c r="M672" s="99">
        <v>50347</v>
      </c>
      <c r="N672" s="98" t="s">
        <v>210</v>
      </c>
    </row>
    <row r="673" spans="1:14" x14ac:dyDescent="0.25">
      <c r="A673" s="100">
        <v>50355</v>
      </c>
      <c r="C673" s="99">
        <v>52593</v>
      </c>
      <c r="D673" s="98" t="s">
        <v>186</v>
      </c>
      <c r="G673" s="99">
        <v>60353</v>
      </c>
      <c r="H673" s="98" t="s">
        <v>159</v>
      </c>
      <c r="I673" s="99">
        <v>47237</v>
      </c>
      <c r="J673" s="98" t="s">
        <v>183</v>
      </c>
      <c r="K673" s="99">
        <v>51960</v>
      </c>
      <c r="L673" s="98" t="s">
        <v>159</v>
      </c>
      <c r="M673" s="99">
        <v>50355</v>
      </c>
      <c r="N673" s="98" t="s">
        <v>188</v>
      </c>
    </row>
    <row r="674" spans="1:14" x14ac:dyDescent="0.25">
      <c r="A674" s="100">
        <v>50370</v>
      </c>
      <c r="C674" s="99">
        <v>52597</v>
      </c>
      <c r="D674" s="98" t="s">
        <v>160</v>
      </c>
      <c r="G674" s="99">
        <v>60356</v>
      </c>
      <c r="H674" s="98" t="s">
        <v>162</v>
      </c>
      <c r="I674" s="99">
        <v>47238</v>
      </c>
      <c r="J674" s="98" t="s">
        <v>212</v>
      </c>
      <c r="K674" s="99">
        <v>51963</v>
      </c>
      <c r="L674" s="98" t="s">
        <v>162</v>
      </c>
      <c r="M674" s="99">
        <v>50370</v>
      </c>
      <c r="N674" s="98" t="s">
        <v>192</v>
      </c>
    </row>
    <row r="675" spans="1:14" x14ac:dyDescent="0.25">
      <c r="A675" s="100">
        <v>50399</v>
      </c>
      <c r="C675" s="99">
        <v>52622</v>
      </c>
      <c r="D675" s="98" t="s">
        <v>171</v>
      </c>
      <c r="G675" s="99">
        <v>60391</v>
      </c>
      <c r="H675" s="98" t="s">
        <v>163</v>
      </c>
      <c r="I675" s="99">
        <v>47241</v>
      </c>
      <c r="J675" s="98" t="s">
        <v>187</v>
      </c>
      <c r="K675" s="99">
        <v>51981</v>
      </c>
      <c r="L675" s="98" t="s">
        <v>174</v>
      </c>
      <c r="M675" s="99">
        <v>50399</v>
      </c>
      <c r="N675" s="98" t="s">
        <v>177</v>
      </c>
    </row>
    <row r="676" spans="1:14" x14ac:dyDescent="0.25">
      <c r="A676" s="100">
        <v>50406</v>
      </c>
      <c r="C676" s="99">
        <v>52702</v>
      </c>
      <c r="D676" s="98" t="s">
        <v>159</v>
      </c>
      <c r="G676" s="99">
        <v>60412</v>
      </c>
      <c r="H676" s="98" t="s">
        <v>167</v>
      </c>
      <c r="I676" s="99">
        <v>47242</v>
      </c>
      <c r="J676" s="98" t="s">
        <v>190</v>
      </c>
      <c r="K676" s="99">
        <v>52019</v>
      </c>
      <c r="L676" s="98" t="s">
        <v>191</v>
      </c>
      <c r="M676" s="99">
        <v>50406</v>
      </c>
      <c r="N676" s="98" t="s">
        <v>160</v>
      </c>
    </row>
    <row r="677" spans="1:14" x14ac:dyDescent="0.25">
      <c r="A677" s="100">
        <v>50423</v>
      </c>
      <c r="C677" s="99">
        <v>52703</v>
      </c>
      <c r="D677" s="98" t="s">
        <v>176</v>
      </c>
      <c r="G677" s="99">
        <v>60510</v>
      </c>
      <c r="H677" s="98" t="s">
        <v>193</v>
      </c>
      <c r="I677" s="99">
        <v>47243</v>
      </c>
      <c r="J677" s="98" t="s">
        <v>194</v>
      </c>
      <c r="K677" s="99">
        <v>52058</v>
      </c>
      <c r="L677" s="98" t="s">
        <v>195</v>
      </c>
      <c r="M677" s="99">
        <v>50423</v>
      </c>
      <c r="N677" s="98" t="s">
        <v>197</v>
      </c>
    </row>
    <row r="678" spans="1:14" x14ac:dyDescent="0.25">
      <c r="A678" s="100">
        <v>50448</v>
      </c>
      <c r="C678" s="99">
        <v>52704</v>
      </c>
      <c r="D678" s="98" t="s">
        <v>181</v>
      </c>
      <c r="G678" s="99">
        <v>60626</v>
      </c>
      <c r="H678" s="98" t="s">
        <v>177</v>
      </c>
      <c r="I678" s="99">
        <v>47315</v>
      </c>
      <c r="J678" s="98" t="s">
        <v>196</v>
      </c>
      <c r="K678" s="99">
        <v>52166</v>
      </c>
      <c r="L678" s="98" t="s">
        <v>189</v>
      </c>
      <c r="M678" s="99">
        <v>50448</v>
      </c>
      <c r="N678" s="98" t="s">
        <v>204</v>
      </c>
    </row>
    <row r="679" spans="1:14" x14ac:dyDescent="0.25">
      <c r="A679" s="100">
        <v>50451</v>
      </c>
      <c r="C679" s="99">
        <v>52705</v>
      </c>
      <c r="D679" s="98" t="s">
        <v>162</v>
      </c>
      <c r="G679" s="99">
        <v>60627</v>
      </c>
      <c r="H679" s="98" t="s">
        <v>182</v>
      </c>
      <c r="I679" s="99">
        <v>47341</v>
      </c>
      <c r="J679" s="98" t="s">
        <v>198</v>
      </c>
      <c r="K679" s="99">
        <v>52225</v>
      </c>
      <c r="L679" s="98" t="s">
        <v>177</v>
      </c>
      <c r="M679" s="99">
        <v>50451</v>
      </c>
      <c r="N679" s="98" t="s">
        <v>217</v>
      </c>
    </row>
    <row r="680" spans="1:14" x14ac:dyDescent="0.25">
      <c r="A680" s="100">
        <v>50556</v>
      </c>
      <c r="C680" s="99">
        <v>52712</v>
      </c>
      <c r="D680" s="98" t="s">
        <v>185</v>
      </c>
      <c r="G680" s="99">
        <v>60629</v>
      </c>
      <c r="H680" s="98" t="s">
        <v>186</v>
      </c>
      <c r="I680" s="99">
        <v>47378</v>
      </c>
      <c r="J680" s="98" t="s">
        <v>200</v>
      </c>
      <c r="K680" s="99">
        <v>52226</v>
      </c>
      <c r="L680" s="98" t="s">
        <v>182</v>
      </c>
      <c r="M680" s="99">
        <v>50556</v>
      </c>
      <c r="N680" s="98" t="s">
        <v>166</v>
      </c>
    </row>
    <row r="681" spans="1:14" x14ac:dyDescent="0.25">
      <c r="A681" s="100">
        <v>50574</v>
      </c>
      <c r="C681" s="99">
        <v>52761</v>
      </c>
      <c r="D681" s="98" t="s">
        <v>191</v>
      </c>
      <c r="G681" s="99">
        <v>60633</v>
      </c>
      <c r="H681" s="98" t="s">
        <v>160</v>
      </c>
      <c r="I681" s="99">
        <v>47384</v>
      </c>
      <c r="J681" s="98" t="s">
        <v>203</v>
      </c>
      <c r="K681" s="99">
        <v>52232</v>
      </c>
      <c r="L681" s="98" t="s">
        <v>160</v>
      </c>
      <c r="M681" s="99">
        <v>50574</v>
      </c>
      <c r="N681" s="98" t="s">
        <v>216</v>
      </c>
    </row>
    <row r="682" spans="1:14" x14ac:dyDescent="0.25">
      <c r="A682" s="100">
        <v>50575</v>
      </c>
      <c r="C682" s="99">
        <v>52810</v>
      </c>
      <c r="D682" s="98" t="s">
        <v>202</v>
      </c>
      <c r="G682" s="99">
        <v>60731</v>
      </c>
      <c r="H682" s="98" t="s">
        <v>159</v>
      </c>
      <c r="I682" s="99">
        <v>47385</v>
      </c>
      <c r="J682" s="98" t="s">
        <v>212</v>
      </c>
      <c r="K682" s="99">
        <v>52233</v>
      </c>
      <c r="L682" s="98" t="s">
        <v>165</v>
      </c>
      <c r="M682" s="99">
        <v>50575</v>
      </c>
      <c r="N682" s="98" t="s">
        <v>170</v>
      </c>
    </row>
    <row r="683" spans="1:14" x14ac:dyDescent="0.25">
      <c r="A683" s="100">
        <v>50590</v>
      </c>
      <c r="C683" s="99">
        <v>52873</v>
      </c>
      <c r="D683" s="98" t="s">
        <v>189</v>
      </c>
      <c r="G683" s="99">
        <v>60734</v>
      </c>
      <c r="H683" s="98" t="s">
        <v>162</v>
      </c>
      <c r="I683" s="99">
        <v>47399</v>
      </c>
      <c r="J683" s="98" t="s">
        <v>205</v>
      </c>
      <c r="K683" s="99">
        <v>52257</v>
      </c>
      <c r="L683" s="98" t="s">
        <v>206</v>
      </c>
      <c r="M683" s="99">
        <v>50590</v>
      </c>
      <c r="N683" s="98" t="s">
        <v>175</v>
      </c>
    </row>
    <row r="684" spans="1:14" x14ac:dyDescent="0.25">
      <c r="A684" s="100">
        <v>50591</v>
      </c>
      <c r="C684" s="99">
        <v>52956</v>
      </c>
      <c r="D684" s="98" t="s">
        <v>177</v>
      </c>
      <c r="G684" s="99">
        <v>60755</v>
      </c>
      <c r="H684" s="98" t="s">
        <v>163</v>
      </c>
      <c r="I684" s="99">
        <v>47425</v>
      </c>
      <c r="J684" s="98" t="s">
        <v>209</v>
      </c>
      <c r="K684" s="99">
        <v>52268</v>
      </c>
      <c r="L684" s="98" t="s">
        <v>169</v>
      </c>
      <c r="M684" s="99">
        <v>50591</v>
      </c>
      <c r="N684" s="98" t="s">
        <v>180</v>
      </c>
    </row>
    <row r="685" spans="1:14" x14ac:dyDescent="0.25">
      <c r="A685" s="100">
        <v>50654</v>
      </c>
      <c r="C685" s="99">
        <v>52957</v>
      </c>
      <c r="D685" s="98" t="s">
        <v>182</v>
      </c>
      <c r="G685" s="99">
        <v>60783</v>
      </c>
      <c r="H685" s="98" t="s">
        <v>167</v>
      </c>
      <c r="I685" s="99">
        <v>47445</v>
      </c>
      <c r="J685" s="98" t="s">
        <v>211</v>
      </c>
      <c r="K685" s="99">
        <v>52317</v>
      </c>
      <c r="L685" s="98" t="s">
        <v>159</v>
      </c>
      <c r="M685" s="99">
        <v>50654</v>
      </c>
      <c r="N685" s="98" t="s">
        <v>184</v>
      </c>
    </row>
    <row r="686" spans="1:14" x14ac:dyDescent="0.25">
      <c r="A686" s="100">
        <v>50689</v>
      </c>
      <c r="C686" s="99">
        <v>52958</v>
      </c>
      <c r="D686" s="98" t="s">
        <v>208</v>
      </c>
      <c r="G686" s="99">
        <v>60874</v>
      </c>
      <c r="H686" s="98" t="s">
        <v>193</v>
      </c>
      <c r="I686" s="99">
        <v>47484</v>
      </c>
      <c r="J686" s="98" t="s">
        <v>161</v>
      </c>
      <c r="K686" s="99">
        <v>52320</v>
      </c>
      <c r="L686" s="98" t="s">
        <v>162</v>
      </c>
      <c r="M686" s="99">
        <v>50689</v>
      </c>
      <c r="N686" s="98" t="s">
        <v>201</v>
      </c>
    </row>
    <row r="687" spans="1:14" x14ac:dyDescent="0.25">
      <c r="A687" s="100">
        <v>50711</v>
      </c>
      <c r="C687" s="99">
        <v>52963</v>
      </c>
      <c r="D687" s="98" t="s">
        <v>160</v>
      </c>
      <c r="G687" s="99">
        <v>60991</v>
      </c>
      <c r="H687" s="98" t="s">
        <v>177</v>
      </c>
      <c r="I687" s="99">
        <v>47497</v>
      </c>
      <c r="J687" s="98" t="s">
        <v>164</v>
      </c>
      <c r="K687" s="99">
        <v>52346</v>
      </c>
      <c r="L687" s="98" t="s">
        <v>174</v>
      </c>
      <c r="M687" s="99">
        <v>50711</v>
      </c>
      <c r="N687" s="98" t="s">
        <v>210</v>
      </c>
    </row>
    <row r="688" spans="1:14" x14ac:dyDescent="0.25">
      <c r="A688" s="100">
        <v>50720</v>
      </c>
      <c r="C688" s="99">
        <v>52964</v>
      </c>
      <c r="D688" s="98" t="s">
        <v>214</v>
      </c>
      <c r="G688" s="99">
        <v>60992</v>
      </c>
      <c r="H688" s="98" t="s">
        <v>182</v>
      </c>
      <c r="I688" s="99">
        <v>47525</v>
      </c>
      <c r="J688" s="98" t="s">
        <v>168</v>
      </c>
      <c r="K688" s="99">
        <v>52348</v>
      </c>
      <c r="L688" s="98" t="s">
        <v>179</v>
      </c>
      <c r="M688" s="99">
        <v>50720</v>
      </c>
      <c r="N688" s="98" t="s">
        <v>188</v>
      </c>
    </row>
    <row r="689" spans="1:14" x14ac:dyDescent="0.25">
      <c r="A689" s="100">
        <v>50734</v>
      </c>
      <c r="C689" s="99">
        <v>52988</v>
      </c>
      <c r="D689" s="98" t="s">
        <v>171</v>
      </c>
      <c r="G689" s="99">
        <v>60993</v>
      </c>
      <c r="H689" s="98" t="s">
        <v>208</v>
      </c>
      <c r="I689" s="99">
        <v>47537</v>
      </c>
      <c r="J689" s="98" t="s">
        <v>173</v>
      </c>
      <c r="K689" s="99">
        <v>52383</v>
      </c>
      <c r="L689" s="98" t="s">
        <v>191</v>
      </c>
      <c r="M689" s="99">
        <v>50734</v>
      </c>
      <c r="N689" s="98" t="s">
        <v>192</v>
      </c>
    </row>
    <row r="690" spans="1:14" x14ac:dyDescent="0.25">
      <c r="A690" s="100">
        <v>50763</v>
      </c>
      <c r="C690" s="99">
        <v>53059</v>
      </c>
      <c r="D690" s="98" t="s">
        <v>159</v>
      </c>
      <c r="G690" s="99">
        <v>60994</v>
      </c>
      <c r="H690" s="98" t="s">
        <v>186</v>
      </c>
      <c r="I690" s="99">
        <v>47562</v>
      </c>
      <c r="J690" s="98" t="s">
        <v>178</v>
      </c>
      <c r="K690" s="99">
        <v>52415</v>
      </c>
      <c r="L690" s="98" t="s">
        <v>195</v>
      </c>
      <c r="M690" s="99">
        <v>50763</v>
      </c>
      <c r="N690" s="98" t="s">
        <v>208</v>
      </c>
    </row>
    <row r="691" spans="1:14" x14ac:dyDescent="0.25">
      <c r="A691" s="100">
        <v>50764</v>
      </c>
      <c r="C691" s="99">
        <v>53060</v>
      </c>
      <c r="D691" s="98" t="s">
        <v>176</v>
      </c>
      <c r="G691" s="99">
        <v>60998</v>
      </c>
      <c r="H691" s="98" t="s">
        <v>160</v>
      </c>
      <c r="I691" s="99">
        <v>47602</v>
      </c>
      <c r="J691" s="98" t="s">
        <v>183</v>
      </c>
      <c r="K691" s="99">
        <v>52530</v>
      </c>
      <c r="L691" s="98" t="s">
        <v>189</v>
      </c>
      <c r="M691" s="99">
        <v>50764</v>
      </c>
      <c r="N691" s="98" t="s">
        <v>177</v>
      </c>
    </row>
    <row r="692" spans="1:14" x14ac:dyDescent="0.25">
      <c r="A692" s="100">
        <v>50770</v>
      </c>
      <c r="C692" s="99">
        <v>53061</v>
      </c>
      <c r="D692" s="98" t="s">
        <v>181</v>
      </c>
      <c r="G692" s="99">
        <v>61000</v>
      </c>
      <c r="H692" s="98" t="s">
        <v>214</v>
      </c>
      <c r="I692" s="99">
        <v>47606</v>
      </c>
      <c r="J692" s="98" t="s">
        <v>187</v>
      </c>
      <c r="K692" s="99">
        <v>52590</v>
      </c>
      <c r="L692" s="98" t="s">
        <v>177</v>
      </c>
      <c r="M692" s="99">
        <v>50770</v>
      </c>
      <c r="N692" s="98" t="s">
        <v>214</v>
      </c>
    </row>
    <row r="693" spans="1:14" x14ac:dyDescent="0.25">
      <c r="A693" s="100">
        <v>50771</v>
      </c>
      <c r="C693" s="99">
        <v>53062</v>
      </c>
      <c r="D693" s="98" t="s">
        <v>162</v>
      </c>
      <c r="G693" s="99">
        <v>61088</v>
      </c>
      <c r="H693" s="98" t="s">
        <v>159</v>
      </c>
      <c r="I693" s="99">
        <v>47607</v>
      </c>
      <c r="J693" s="98" t="s">
        <v>190</v>
      </c>
      <c r="K693" s="99">
        <v>52591</v>
      </c>
      <c r="L693" s="98" t="s">
        <v>182</v>
      </c>
      <c r="M693" s="99">
        <v>50771</v>
      </c>
      <c r="N693" s="98" t="s">
        <v>160</v>
      </c>
    </row>
    <row r="694" spans="1:14" x14ac:dyDescent="0.25">
      <c r="A694" s="100">
        <v>50787</v>
      </c>
      <c r="C694" s="99">
        <v>53077</v>
      </c>
      <c r="D694" s="98" t="s">
        <v>185</v>
      </c>
      <c r="G694" s="99">
        <v>61091</v>
      </c>
      <c r="H694" s="98" t="s">
        <v>162</v>
      </c>
      <c r="I694" s="99">
        <v>47608</v>
      </c>
      <c r="J694" s="98" t="s">
        <v>194</v>
      </c>
      <c r="K694" s="99">
        <v>52593</v>
      </c>
      <c r="L694" s="98" t="s">
        <v>186</v>
      </c>
      <c r="M694" s="99">
        <v>50787</v>
      </c>
      <c r="N694" s="98" t="s">
        <v>197</v>
      </c>
    </row>
    <row r="695" spans="1:14" x14ac:dyDescent="0.25">
      <c r="A695" s="100">
        <v>50812</v>
      </c>
      <c r="C695" s="99">
        <v>53125</v>
      </c>
      <c r="D695" s="98" t="s">
        <v>191</v>
      </c>
      <c r="G695" s="99">
        <v>61119</v>
      </c>
      <c r="H695" s="98" t="s">
        <v>163</v>
      </c>
      <c r="I695" s="99">
        <v>47609</v>
      </c>
      <c r="J695" s="98" t="s">
        <v>212</v>
      </c>
      <c r="K695" s="99">
        <v>52597</v>
      </c>
      <c r="L695" s="98" t="s">
        <v>160</v>
      </c>
      <c r="M695" s="99">
        <v>50812</v>
      </c>
      <c r="N695" s="98" t="s">
        <v>219</v>
      </c>
    </row>
    <row r="696" spans="1:14" x14ac:dyDescent="0.25">
      <c r="A696" s="100">
        <v>50813</v>
      </c>
      <c r="C696" s="99">
        <v>53181</v>
      </c>
      <c r="D696" s="98" t="s">
        <v>202</v>
      </c>
      <c r="G696" s="99">
        <v>61147</v>
      </c>
      <c r="H696" s="98" t="s">
        <v>167</v>
      </c>
      <c r="I696" s="99">
        <v>47679</v>
      </c>
      <c r="J696" s="98" t="s">
        <v>196</v>
      </c>
      <c r="K696" s="99">
        <v>52598</v>
      </c>
      <c r="L696" s="98" t="s">
        <v>165</v>
      </c>
      <c r="M696" s="99">
        <v>50813</v>
      </c>
      <c r="N696" s="98" t="s">
        <v>204</v>
      </c>
    </row>
    <row r="697" spans="1:14" x14ac:dyDescent="0.25">
      <c r="A697" s="100">
        <v>50816</v>
      </c>
      <c r="C697" s="99">
        <v>53237</v>
      </c>
      <c r="D697" s="98" t="s">
        <v>189</v>
      </c>
      <c r="G697" s="99">
        <v>61238</v>
      </c>
      <c r="H697" s="98" t="s">
        <v>193</v>
      </c>
      <c r="I697" s="99">
        <v>47706</v>
      </c>
      <c r="J697" s="98" t="s">
        <v>198</v>
      </c>
      <c r="K697" s="99">
        <v>52600</v>
      </c>
      <c r="L697" s="98" t="s">
        <v>213</v>
      </c>
      <c r="M697" s="99">
        <v>50816</v>
      </c>
      <c r="N697" s="98" t="s">
        <v>207</v>
      </c>
    </row>
    <row r="698" spans="1:14" x14ac:dyDescent="0.25">
      <c r="A698" s="100">
        <v>50822</v>
      </c>
      <c r="C698" s="99">
        <v>53321</v>
      </c>
      <c r="D698" s="98" t="s">
        <v>177</v>
      </c>
      <c r="G698" s="99">
        <v>61356</v>
      </c>
      <c r="H698" s="98" t="s">
        <v>177</v>
      </c>
      <c r="I698" s="99">
        <v>47707</v>
      </c>
      <c r="J698" s="98" t="s">
        <v>212</v>
      </c>
      <c r="K698" s="99">
        <v>52628</v>
      </c>
      <c r="L698" s="98" t="s">
        <v>206</v>
      </c>
      <c r="M698" s="99">
        <v>50822</v>
      </c>
      <c r="N698" s="98" t="s">
        <v>199</v>
      </c>
    </row>
    <row r="699" spans="1:14" x14ac:dyDescent="0.25">
      <c r="A699" s="100">
        <v>50920</v>
      </c>
      <c r="C699" s="99">
        <v>53322</v>
      </c>
      <c r="D699" s="98" t="s">
        <v>182</v>
      </c>
      <c r="G699" s="99">
        <v>61357</v>
      </c>
      <c r="H699" s="98" t="s">
        <v>182</v>
      </c>
      <c r="I699" s="99">
        <v>47742</v>
      </c>
      <c r="J699" s="98" t="s">
        <v>200</v>
      </c>
      <c r="K699" s="99">
        <v>52633</v>
      </c>
      <c r="L699" s="98" t="s">
        <v>169</v>
      </c>
      <c r="M699" s="99">
        <v>50920</v>
      </c>
      <c r="N699" s="98" t="s">
        <v>166</v>
      </c>
    </row>
    <row r="700" spans="1:14" x14ac:dyDescent="0.25">
      <c r="A700" s="100">
        <v>50940</v>
      </c>
      <c r="C700" s="99">
        <v>53328</v>
      </c>
      <c r="D700" s="98" t="s">
        <v>160</v>
      </c>
      <c r="G700" s="99">
        <v>61358</v>
      </c>
      <c r="H700" s="98" t="s">
        <v>208</v>
      </c>
      <c r="I700" s="99">
        <v>47749</v>
      </c>
      <c r="J700" s="98" t="s">
        <v>203</v>
      </c>
      <c r="K700" s="99">
        <v>52635</v>
      </c>
      <c r="L700" s="98" t="s">
        <v>215</v>
      </c>
      <c r="M700" s="99">
        <v>50940</v>
      </c>
      <c r="N700" s="98" t="s">
        <v>170</v>
      </c>
    </row>
    <row r="701" spans="1:14" x14ac:dyDescent="0.25">
      <c r="A701" s="100">
        <v>50941</v>
      </c>
      <c r="C701" s="99">
        <v>53353</v>
      </c>
      <c r="D701" s="98" t="s">
        <v>171</v>
      </c>
      <c r="G701" s="99">
        <v>61363</v>
      </c>
      <c r="H701" s="98" t="s">
        <v>160</v>
      </c>
      <c r="I701" s="99">
        <v>47770</v>
      </c>
      <c r="J701" s="98" t="s">
        <v>205</v>
      </c>
      <c r="K701" s="99">
        <v>52702</v>
      </c>
      <c r="L701" s="98" t="s">
        <v>159</v>
      </c>
      <c r="M701" s="99">
        <v>50941</v>
      </c>
      <c r="N701" s="98" t="s">
        <v>216</v>
      </c>
    </row>
    <row r="702" spans="1:14" x14ac:dyDescent="0.25">
      <c r="A702" s="100">
        <v>50955</v>
      </c>
      <c r="C702" s="99">
        <v>53409</v>
      </c>
      <c r="D702" s="98" t="s">
        <v>159</v>
      </c>
      <c r="G702" s="99">
        <v>61364</v>
      </c>
      <c r="H702" s="98" t="s">
        <v>214</v>
      </c>
      <c r="I702" s="99">
        <v>47790</v>
      </c>
      <c r="J702" s="98" t="s">
        <v>209</v>
      </c>
      <c r="K702" s="99">
        <v>52705</v>
      </c>
      <c r="L702" s="98" t="s">
        <v>162</v>
      </c>
      <c r="M702" s="99">
        <v>50955</v>
      </c>
      <c r="N702" s="98" t="s">
        <v>175</v>
      </c>
    </row>
    <row r="703" spans="1:14" x14ac:dyDescent="0.25">
      <c r="A703" s="100">
        <v>51018</v>
      </c>
      <c r="C703" s="99">
        <v>53410</v>
      </c>
      <c r="D703" s="98" t="s">
        <v>176</v>
      </c>
      <c r="G703" s="99">
        <v>61473</v>
      </c>
      <c r="H703" s="98" t="s">
        <v>159</v>
      </c>
      <c r="I703" s="99">
        <v>47791</v>
      </c>
      <c r="J703" s="98" t="s">
        <v>212</v>
      </c>
      <c r="K703" s="99">
        <v>52712</v>
      </c>
      <c r="L703" s="98" t="s">
        <v>174</v>
      </c>
      <c r="M703" s="99">
        <v>51018</v>
      </c>
      <c r="N703" s="98" t="s">
        <v>184</v>
      </c>
    </row>
    <row r="704" spans="1:14" x14ac:dyDescent="0.25">
      <c r="A704" s="100">
        <v>51053</v>
      </c>
      <c r="C704" s="99">
        <v>53411</v>
      </c>
      <c r="D704" s="98" t="s">
        <v>181</v>
      </c>
      <c r="G704" s="99">
        <v>61476</v>
      </c>
      <c r="H704" s="98" t="s">
        <v>162</v>
      </c>
      <c r="I704" s="99">
        <v>47810</v>
      </c>
      <c r="J704" s="98" t="s">
        <v>211</v>
      </c>
      <c r="K704" s="99">
        <v>52754</v>
      </c>
      <c r="L704" s="98" t="s">
        <v>191</v>
      </c>
      <c r="M704" s="99">
        <v>51053</v>
      </c>
      <c r="N704" s="98" t="s">
        <v>201</v>
      </c>
    </row>
    <row r="705" spans="1:14" x14ac:dyDescent="0.25">
      <c r="A705" s="100">
        <v>51082</v>
      </c>
      <c r="C705" s="99">
        <v>53412</v>
      </c>
      <c r="D705" s="98" t="s">
        <v>162</v>
      </c>
      <c r="G705" s="99">
        <v>61490</v>
      </c>
      <c r="H705" s="98" t="s">
        <v>163</v>
      </c>
      <c r="I705" s="99">
        <v>47849</v>
      </c>
      <c r="J705" s="98" t="s">
        <v>161</v>
      </c>
      <c r="K705" s="99">
        <v>52772</v>
      </c>
      <c r="L705" s="98" t="s">
        <v>195</v>
      </c>
      <c r="M705" s="99">
        <v>51082</v>
      </c>
      <c r="N705" s="98" t="s">
        <v>210</v>
      </c>
    </row>
    <row r="706" spans="1:14" x14ac:dyDescent="0.25">
      <c r="A706" s="100">
        <v>51085</v>
      </c>
      <c r="C706" s="99">
        <v>53442</v>
      </c>
      <c r="D706" s="98" t="s">
        <v>185</v>
      </c>
      <c r="G706" s="99">
        <v>61511</v>
      </c>
      <c r="H706" s="98" t="s">
        <v>167</v>
      </c>
      <c r="I706" s="99">
        <v>47861</v>
      </c>
      <c r="J706" s="98" t="s">
        <v>164</v>
      </c>
      <c r="K706" s="99">
        <v>52894</v>
      </c>
      <c r="L706" s="98" t="s">
        <v>189</v>
      </c>
      <c r="M706" s="99">
        <v>51085</v>
      </c>
      <c r="N706" s="98" t="s">
        <v>188</v>
      </c>
    </row>
    <row r="707" spans="1:14" x14ac:dyDescent="0.25">
      <c r="A707" s="100">
        <v>51098</v>
      </c>
      <c r="C707" s="99">
        <v>53489</v>
      </c>
      <c r="D707" s="98" t="s">
        <v>191</v>
      </c>
      <c r="G707" s="99">
        <v>61602</v>
      </c>
      <c r="H707" s="98" t="s">
        <v>193</v>
      </c>
      <c r="I707" s="99">
        <v>47890</v>
      </c>
      <c r="J707" s="98" t="s">
        <v>168</v>
      </c>
      <c r="K707" s="99">
        <v>52956</v>
      </c>
      <c r="L707" s="98" t="s">
        <v>177</v>
      </c>
      <c r="M707" s="99">
        <v>51098</v>
      </c>
      <c r="N707" s="98" t="s">
        <v>192</v>
      </c>
    </row>
    <row r="708" spans="1:14" x14ac:dyDescent="0.25">
      <c r="A708" s="100">
        <v>51129</v>
      </c>
      <c r="C708" s="99">
        <v>53545</v>
      </c>
      <c r="D708" s="98" t="s">
        <v>202</v>
      </c>
      <c r="G708" s="99">
        <v>61722</v>
      </c>
      <c r="H708" s="98" t="s">
        <v>177</v>
      </c>
      <c r="I708" s="99">
        <v>47902</v>
      </c>
      <c r="J708" s="98" t="s">
        <v>173</v>
      </c>
      <c r="K708" s="99">
        <v>52957</v>
      </c>
      <c r="L708" s="98" t="s">
        <v>182</v>
      </c>
      <c r="M708" s="99">
        <v>51129</v>
      </c>
      <c r="N708" s="98" t="s">
        <v>177</v>
      </c>
    </row>
    <row r="709" spans="1:14" x14ac:dyDescent="0.25">
      <c r="A709" s="100">
        <v>51130</v>
      </c>
      <c r="C709" s="99">
        <v>53601</v>
      </c>
      <c r="D709" s="98" t="s">
        <v>189</v>
      </c>
      <c r="G709" s="99">
        <v>61723</v>
      </c>
      <c r="H709" s="98" t="s">
        <v>182</v>
      </c>
      <c r="I709" s="99">
        <v>47903</v>
      </c>
      <c r="J709" s="98" t="s">
        <v>212</v>
      </c>
      <c r="K709" s="99">
        <v>52958</v>
      </c>
      <c r="L709" s="98" t="s">
        <v>208</v>
      </c>
      <c r="M709" s="99">
        <v>51130</v>
      </c>
      <c r="N709" s="98" t="s">
        <v>208</v>
      </c>
    </row>
    <row r="710" spans="1:14" x14ac:dyDescent="0.25">
      <c r="A710" s="100">
        <v>51136</v>
      </c>
      <c r="C710" s="99">
        <v>53686</v>
      </c>
      <c r="D710" s="98" t="s">
        <v>177</v>
      </c>
      <c r="G710" s="99">
        <v>61729</v>
      </c>
      <c r="H710" s="98" t="s">
        <v>160</v>
      </c>
      <c r="I710" s="99">
        <v>47928</v>
      </c>
      <c r="J710" s="98" t="s">
        <v>178</v>
      </c>
      <c r="K710" s="99">
        <v>52963</v>
      </c>
      <c r="L710" s="98" t="s">
        <v>160</v>
      </c>
      <c r="M710" s="99">
        <v>51136</v>
      </c>
      <c r="N710" s="98" t="s">
        <v>160</v>
      </c>
    </row>
    <row r="711" spans="1:14" x14ac:dyDescent="0.25">
      <c r="A711" s="100">
        <v>51137</v>
      </c>
      <c r="C711" s="99">
        <v>53687</v>
      </c>
      <c r="D711" s="98" t="s">
        <v>182</v>
      </c>
      <c r="G711" s="99">
        <v>61830</v>
      </c>
      <c r="H711" s="98" t="s">
        <v>159</v>
      </c>
      <c r="I711" s="99">
        <v>47967</v>
      </c>
      <c r="J711" s="98" t="s">
        <v>183</v>
      </c>
      <c r="K711" s="99">
        <v>52964</v>
      </c>
      <c r="L711" s="98" t="s">
        <v>165</v>
      </c>
      <c r="M711" s="99">
        <v>51137</v>
      </c>
      <c r="N711" s="98" t="s">
        <v>214</v>
      </c>
    </row>
    <row r="712" spans="1:14" x14ac:dyDescent="0.25">
      <c r="A712" s="100">
        <v>51151</v>
      </c>
      <c r="C712" s="99">
        <v>53693</v>
      </c>
      <c r="D712" s="98" t="s">
        <v>160</v>
      </c>
      <c r="G712" s="99">
        <v>61833</v>
      </c>
      <c r="H712" s="98" t="s">
        <v>162</v>
      </c>
      <c r="I712" s="99">
        <v>47971</v>
      </c>
      <c r="J712" s="98" t="s">
        <v>187</v>
      </c>
      <c r="K712" s="99">
        <v>52965</v>
      </c>
      <c r="L712" s="98" t="s">
        <v>214</v>
      </c>
      <c r="M712" s="99">
        <v>51151</v>
      </c>
      <c r="N712" s="98" t="s">
        <v>197</v>
      </c>
    </row>
    <row r="713" spans="1:14" x14ac:dyDescent="0.25">
      <c r="A713" s="100">
        <v>51178</v>
      </c>
      <c r="C713" s="99">
        <v>53720</v>
      </c>
      <c r="D713" s="98" t="s">
        <v>171</v>
      </c>
      <c r="G713" s="99">
        <v>61854</v>
      </c>
      <c r="H713" s="98" t="s">
        <v>163</v>
      </c>
      <c r="I713" s="99">
        <v>47972</v>
      </c>
      <c r="J713" s="98" t="s">
        <v>190</v>
      </c>
      <c r="K713" s="99">
        <v>52992</v>
      </c>
      <c r="L713" s="98" t="s">
        <v>206</v>
      </c>
      <c r="M713" s="99">
        <v>51178</v>
      </c>
      <c r="N713" s="98" t="s">
        <v>204</v>
      </c>
    </row>
    <row r="714" spans="1:14" x14ac:dyDescent="0.25">
      <c r="A714" s="100">
        <v>51179</v>
      </c>
      <c r="C714" s="99">
        <v>53794</v>
      </c>
      <c r="D714" s="98" t="s">
        <v>159</v>
      </c>
      <c r="G714" s="99">
        <v>61875</v>
      </c>
      <c r="H714" s="98" t="s">
        <v>167</v>
      </c>
      <c r="I714" s="99">
        <v>47973</v>
      </c>
      <c r="J714" s="98" t="s">
        <v>194</v>
      </c>
      <c r="K714" s="99">
        <v>52999</v>
      </c>
      <c r="L714" s="98" t="s">
        <v>169</v>
      </c>
      <c r="M714" s="99">
        <v>51179</v>
      </c>
      <c r="N714" s="98" t="s">
        <v>219</v>
      </c>
    </row>
    <row r="715" spans="1:14" x14ac:dyDescent="0.25">
      <c r="A715" s="100">
        <v>51181</v>
      </c>
      <c r="C715" s="99">
        <v>53795</v>
      </c>
      <c r="D715" s="98" t="s">
        <v>176</v>
      </c>
      <c r="G715" s="99">
        <v>61966</v>
      </c>
      <c r="H715" s="98" t="s">
        <v>193</v>
      </c>
      <c r="I715" s="99">
        <v>47974</v>
      </c>
      <c r="J715" s="98" t="s">
        <v>212</v>
      </c>
      <c r="K715" s="99">
        <v>53059</v>
      </c>
      <c r="L715" s="98" t="s">
        <v>159</v>
      </c>
      <c r="M715" s="99">
        <v>51181</v>
      </c>
      <c r="N715" s="98" t="s">
        <v>207</v>
      </c>
    </row>
    <row r="716" spans="1:14" x14ac:dyDescent="0.25">
      <c r="A716" s="100">
        <v>51186</v>
      </c>
      <c r="C716" s="99">
        <v>53796</v>
      </c>
      <c r="D716" s="98" t="s">
        <v>181</v>
      </c>
      <c r="G716" s="99">
        <v>62087</v>
      </c>
      <c r="H716" s="98" t="s">
        <v>177</v>
      </c>
      <c r="I716" s="99">
        <v>48050</v>
      </c>
      <c r="J716" s="98" t="s">
        <v>196</v>
      </c>
      <c r="K716" s="99">
        <v>53062</v>
      </c>
      <c r="L716" s="98" t="s">
        <v>162</v>
      </c>
      <c r="M716" s="99">
        <v>51186</v>
      </c>
      <c r="N716" s="98" t="s">
        <v>199</v>
      </c>
    </row>
    <row r="717" spans="1:14" x14ac:dyDescent="0.25">
      <c r="A717" s="100">
        <v>51284</v>
      </c>
      <c r="C717" s="99">
        <v>53797</v>
      </c>
      <c r="D717" s="98" t="s">
        <v>162</v>
      </c>
      <c r="G717" s="99">
        <v>62088</v>
      </c>
      <c r="H717" s="98" t="s">
        <v>182</v>
      </c>
      <c r="I717" s="99">
        <v>48071</v>
      </c>
      <c r="J717" s="98" t="s">
        <v>198</v>
      </c>
      <c r="K717" s="99">
        <v>53077</v>
      </c>
      <c r="L717" s="98" t="s">
        <v>174</v>
      </c>
      <c r="M717" s="99">
        <v>51284</v>
      </c>
      <c r="N717" s="98" t="s">
        <v>166</v>
      </c>
    </row>
    <row r="718" spans="1:14" x14ac:dyDescent="0.25">
      <c r="A718" s="100">
        <v>51306</v>
      </c>
      <c r="C718" s="99">
        <v>53807</v>
      </c>
      <c r="D718" s="98" t="s">
        <v>185</v>
      </c>
      <c r="G718" s="99">
        <v>62094</v>
      </c>
      <c r="H718" s="98" t="s">
        <v>160</v>
      </c>
      <c r="I718" s="99">
        <v>48106</v>
      </c>
      <c r="J718" s="98" t="s">
        <v>200</v>
      </c>
      <c r="K718" s="99">
        <v>53118</v>
      </c>
      <c r="L718" s="98" t="s">
        <v>191</v>
      </c>
      <c r="M718" s="99">
        <v>51306</v>
      </c>
      <c r="N718" s="98" t="s">
        <v>170</v>
      </c>
    </row>
    <row r="719" spans="1:14" x14ac:dyDescent="0.25">
      <c r="A719" s="100">
        <v>51321</v>
      </c>
      <c r="C719" s="99">
        <v>53853</v>
      </c>
      <c r="D719" s="98" t="s">
        <v>191</v>
      </c>
      <c r="G719" s="99">
        <v>62180</v>
      </c>
      <c r="H719" s="98" t="s">
        <v>159</v>
      </c>
      <c r="I719" s="99">
        <v>48114</v>
      </c>
      <c r="J719" s="98" t="s">
        <v>203</v>
      </c>
      <c r="K719" s="99">
        <v>53150</v>
      </c>
      <c r="L719" s="98" t="s">
        <v>195</v>
      </c>
      <c r="M719" s="99">
        <v>51321</v>
      </c>
      <c r="N719" s="98" t="s">
        <v>175</v>
      </c>
    </row>
    <row r="720" spans="1:14" x14ac:dyDescent="0.25">
      <c r="A720" s="100">
        <v>51382</v>
      </c>
      <c r="C720" s="99">
        <v>53909</v>
      </c>
      <c r="D720" s="98" t="s">
        <v>202</v>
      </c>
      <c r="G720" s="99">
        <v>62183</v>
      </c>
      <c r="H720" s="98" t="s">
        <v>162</v>
      </c>
      <c r="I720" s="99">
        <v>48134</v>
      </c>
      <c r="J720" s="98" t="s">
        <v>205</v>
      </c>
      <c r="K720" s="99">
        <v>53258</v>
      </c>
      <c r="L720" s="98" t="s">
        <v>189</v>
      </c>
      <c r="M720" s="99">
        <v>51382</v>
      </c>
      <c r="N720" s="98" t="s">
        <v>184</v>
      </c>
    </row>
    <row r="721" spans="1:14" x14ac:dyDescent="0.25">
      <c r="A721" s="100">
        <v>51417</v>
      </c>
      <c r="C721" s="99">
        <v>53972</v>
      </c>
      <c r="D721" s="98" t="s">
        <v>189</v>
      </c>
      <c r="G721" s="99">
        <v>62218</v>
      </c>
      <c r="H721" s="98" t="s">
        <v>163</v>
      </c>
      <c r="I721" s="99">
        <v>48155</v>
      </c>
      <c r="J721" s="98" t="s">
        <v>209</v>
      </c>
      <c r="K721" s="99">
        <v>53321</v>
      </c>
      <c r="L721" s="98" t="s">
        <v>177</v>
      </c>
      <c r="M721" s="99">
        <v>51417</v>
      </c>
      <c r="N721" s="98" t="s">
        <v>201</v>
      </c>
    </row>
    <row r="722" spans="1:14" x14ac:dyDescent="0.25">
      <c r="A722" s="100">
        <v>51446</v>
      </c>
      <c r="C722" s="99">
        <v>54051</v>
      </c>
      <c r="D722" s="98" t="s">
        <v>177</v>
      </c>
      <c r="G722" s="99">
        <v>62239</v>
      </c>
      <c r="H722" s="98" t="s">
        <v>167</v>
      </c>
      <c r="I722" s="99">
        <v>48175</v>
      </c>
      <c r="J722" s="98" t="s">
        <v>211</v>
      </c>
      <c r="K722" s="99">
        <v>53322</v>
      </c>
      <c r="L722" s="98" t="s">
        <v>182</v>
      </c>
      <c r="M722" s="99">
        <v>51446</v>
      </c>
      <c r="N722" s="98" t="s">
        <v>210</v>
      </c>
    </row>
    <row r="723" spans="1:14" x14ac:dyDescent="0.25">
      <c r="A723" s="100">
        <v>51451</v>
      </c>
      <c r="C723" s="99">
        <v>54052</v>
      </c>
      <c r="D723" s="98" t="s">
        <v>182</v>
      </c>
      <c r="G723" s="99">
        <v>62330</v>
      </c>
      <c r="H723" s="98" t="s">
        <v>193</v>
      </c>
      <c r="I723" s="99">
        <v>48176</v>
      </c>
      <c r="J723" s="98" t="s">
        <v>212</v>
      </c>
      <c r="K723" s="99">
        <v>53328</v>
      </c>
      <c r="L723" s="98" t="s">
        <v>160</v>
      </c>
      <c r="M723" s="99">
        <v>51451</v>
      </c>
      <c r="N723" s="98" t="s">
        <v>188</v>
      </c>
    </row>
    <row r="724" spans="1:14" x14ac:dyDescent="0.25">
      <c r="A724" s="100">
        <v>51452</v>
      </c>
      <c r="C724" s="99">
        <v>54058</v>
      </c>
      <c r="D724" s="98" t="s">
        <v>160</v>
      </c>
      <c r="G724" s="99">
        <v>62452</v>
      </c>
      <c r="H724" s="98" t="s">
        <v>177</v>
      </c>
      <c r="I724" s="99">
        <v>48214</v>
      </c>
      <c r="J724" s="98" t="s">
        <v>161</v>
      </c>
      <c r="K724" s="99">
        <v>53329</v>
      </c>
      <c r="L724" s="98" t="s">
        <v>165</v>
      </c>
      <c r="M724" s="99">
        <v>51452</v>
      </c>
      <c r="N724" s="98" t="s">
        <v>220</v>
      </c>
    </row>
    <row r="725" spans="1:14" x14ac:dyDescent="0.25">
      <c r="A725" s="100">
        <v>51462</v>
      </c>
      <c r="C725" s="99">
        <v>54084</v>
      </c>
      <c r="D725" s="98" t="s">
        <v>171</v>
      </c>
      <c r="G725" s="99">
        <v>62453</v>
      </c>
      <c r="H725" s="98" t="s">
        <v>182</v>
      </c>
      <c r="I725" s="99">
        <v>48225</v>
      </c>
      <c r="J725" s="98" t="s">
        <v>164</v>
      </c>
      <c r="K725" s="99">
        <v>53356</v>
      </c>
      <c r="L725" s="98" t="s">
        <v>206</v>
      </c>
      <c r="M725" s="99">
        <v>51462</v>
      </c>
      <c r="N725" s="98" t="s">
        <v>192</v>
      </c>
    </row>
    <row r="726" spans="1:14" x14ac:dyDescent="0.25">
      <c r="A726" s="100">
        <v>51495</v>
      </c>
      <c r="C726" s="99">
        <v>54151</v>
      </c>
      <c r="D726" s="98" t="s">
        <v>159</v>
      </c>
      <c r="G726" s="99">
        <v>62459</v>
      </c>
      <c r="H726" s="98" t="s">
        <v>160</v>
      </c>
      <c r="I726" s="99">
        <v>48255</v>
      </c>
      <c r="J726" s="98" t="s">
        <v>168</v>
      </c>
      <c r="K726" s="99">
        <v>53364</v>
      </c>
      <c r="L726" s="98" t="s">
        <v>169</v>
      </c>
      <c r="M726" s="99">
        <v>51495</v>
      </c>
      <c r="N726" s="98" t="s">
        <v>177</v>
      </c>
    </row>
    <row r="727" spans="1:14" x14ac:dyDescent="0.25">
      <c r="A727" s="100">
        <v>51502</v>
      </c>
      <c r="C727" s="99">
        <v>54152</v>
      </c>
      <c r="D727" s="98" t="s">
        <v>176</v>
      </c>
      <c r="G727" s="99">
        <v>62565</v>
      </c>
      <c r="H727" s="98" t="s">
        <v>159</v>
      </c>
      <c r="I727" s="99">
        <v>48267</v>
      </c>
      <c r="J727" s="98" t="s">
        <v>173</v>
      </c>
      <c r="K727" s="99">
        <v>53409</v>
      </c>
      <c r="L727" s="98" t="s">
        <v>159</v>
      </c>
      <c r="M727" s="99">
        <v>51502</v>
      </c>
      <c r="N727" s="98" t="s">
        <v>160</v>
      </c>
    </row>
    <row r="728" spans="1:14" x14ac:dyDescent="0.25">
      <c r="A728" s="100">
        <v>51522</v>
      </c>
      <c r="C728" s="99">
        <v>54153</v>
      </c>
      <c r="D728" s="98" t="s">
        <v>181</v>
      </c>
      <c r="G728" s="99">
        <v>62568</v>
      </c>
      <c r="H728" s="98" t="s">
        <v>162</v>
      </c>
      <c r="I728" s="99">
        <v>48293</v>
      </c>
      <c r="J728" s="98" t="s">
        <v>178</v>
      </c>
      <c r="K728" s="99">
        <v>53412</v>
      </c>
      <c r="L728" s="98" t="s">
        <v>162</v>
      </c>
      <c r="M728" s="99">
        <v>51522</v>
      </c>
      <c r="N728" s="98" t="s">
        <v>197</v>
      </c>
    </row>
    <row r="729" spans="1:14" x14ac:dyDescent="0.25">
      <c r="A729" s="100">
        <v>51544</v>
      </c>
      <c r="C729" s="99">
        <v>54154</v>
      </c>
      <c r="D729" s="98" t="s">
        <v>162</v>
      </c>
      <c r="G729" s="99">
        <v>62582</v>
      </c>
      <c r="H729" s="98" t="s">
        <v>163</v>
      </c>
      <c r="I729" s="99">
        <v>48333</v>
      </c>
      <c r="J729" s="98" t="s">
        <v>183</v>
      </c>
      <c r="K729" s="99">
        <v>53442</v>
      </c>
      <c r="L729" s="98" t="s">
        <v>174</v>
      </c>
      <c r="M729" s="99">
        <v>51544</v>
      </c>
      <c r="N729" s="98" t="s">
        <v>204</v>
      </c>
    </row>
    <row r="730" spans="1:14" x14ac:dyDescent="0.25">
      <c r="A730" s="100">
        <v>51547</v>
      </c>
      <c r="C730" s="99">
        <v>54173</v>
      </c>
      <c r="D730" s="98" t="s">
        <v>185</v>
      </c>
      <c r="G730" s="99">
        <v>62603</v>
      </c>
      <c r="H730" s="98" t="s">
        <v>167</v>
      </c>
      <c r="I730" s="99">
        <v>48337</v>
      </c>
      <c r="J730" s="98" t="s">
        <v>187</v>
      </c>
      <c r="K730" s="99">
        <v>53482</v>
      </c>
      <c r="L730" s="98" t="s">
        <v>191</v>
      </c>
      <c r="M730" s="99">
        <v>51547</v>
      </c>
      <c r="N730" s="98" t="s">
        <v>207</v>
      </c>
    </row>
    <row r="731" spans="1:14" x14ac:dyDescent="0.25">
      <c r="A731" s="100">
        <v>51550</v>
      </c>
      <c r="C731" s="99">
        <v>54217</v>
      </c>
      <c r="D731" s="98" t="s">
        <v>191</v>
      </c>
      <c r="G731" s="99">
        <v>62701</v>
      </c>
      <c r="H731" s="98" t="s">
        <v>193</v>
      </c>
      <c r="I731" s="99">
        <v>48338</v>
      </c>
      <c r="J731" s="98" t="s">
        <v>190</v>
      </c>
      <c r="K731" s="99">
        <v>53507</v>
      </c>
      <c r="L731" s="98" t="s">
        <v>195</v>
      </c>
      <c r="M731" s="99">
        <v>51550</v>
      </c>
      <c r="N731" s="98" t="s">
        <v>199</v>
      </c>
    </row>
    <row r="732" spans="1:14" x14ac:dyDescent="0.25">
      <c r="A732" s="100">
        <v>51648</v>
      </c>
      <c r="C732" s="99">
        <v>54273</v>
      </c>
      <c r="D732" s="98" t="s">
        <v>202</v>
      </c>
      <c r="G732" s="99">
        <v>62817</v>
      </c>
      <c r="H732" s="98" t="s">
        <v>177</v>
      </c>
      <c r="I732" s="99">
        <v>48339</v>
      </c>
      <c r="J732" s="98" t="s">
        <v>194</v>
      </c>
      <c r="K732" s="99">
        <v>53622</v>
      </c>
      <c r="L732" s="98" t="s">
        <v>189</v>
      </c>
      <c r="M732" s="99">
        <v>51648</v>
      </c>
      <c r="N732" s="98" t="s">
        <v>166</v>
      </c>
    </row>
    <row r="733" spans="1:14" x14ac:dyDescent="0.25">
      <c r="A733" s="100">
        <v>51671</v>
      </c>
      <c r="C733" s="99">
        <v>54336</v>
      </c>
      <c r="D733" s="98" t="s">
        <v>189</v>
      </c>
      <c r="G733" s="99">
        <v>62818</v>
      </c>
      <c r="H733" s="98" t="s">
        <v>182</v>
      </c>
      <c r="I733" s="99">
        <v>48414</v>
      </c>
      <c r="J733" s="98" t="s">
        <v>196</v>
      </c>
      <c r="K733" s="99">
        <v>53686</v>
      </c>
      <c r="L733" s="98" t="s">
        <v>177</v>
      </c>
      <c r="M733" s="99">
        <v>51671</v>
      </c>
      <c r="N733" s="98" t="s">
        <v>170</v>
      </c>
    </row>
    <row r="734" spans="1:14" x14ac:dyDescent="0.25">
      <c r="A734" s="100">
        <v>51686</v>
      </c>
      <c r="C734" s="99">
        <v>54417</v>
      </c>
      <c r="D734" s="98" t="s">
        <v>177</v>
      </c>
      <c r="G734" s="99">
        <v>62820</v>
      </c>
      <c r="H734" s="98" t="s">
        <v>186</v>
      </c>
      <c r="I734" s="99">
        <v>48437</v>
      </c>
      <c r="J734" s="98" t="s">
        <v>198</v>
      </c>
      <c r="K734" s="99">
        <v>53687</v>
      </c>
      <c r="L734" s="98" t="s">
        <v>182</v>
      </c>
      <c r="M734" s="99">
        <v>51686</v>
      </c>
      <c r="N734" s="98" t="s">
        <v>175</v>
      </c>
    </row>
    <row r="735" spans="1:14" x14ac:dyDescent="0.25">
      <c r="A735" s="100">
        <v>51746</v>
      </c>
      <c r="C735" s="99">
        <v>54418</v>
      </c>
      <c r="D735" s="98" t="s">
        <v>182</v>
      </c>
      <c r="G735" s="99">
        <v>62824</v>
      </c>
      <c r="H735" s="98" t="s">
        <v>160</v>
      </c>
      <c r="I735" s="99">
        <v>48477</v>
      </c>
      <c r="J735" s="98" t="s">
        <v>200</v>
      </c>
      <c r="K735" s="99">
        <v>53693</v>
      </c>
      <c r="L735" s="98" t="s">
        <v>160</v>
      </c>
      <c r="M735" s="99">
        <v>51746</v>
      </c>
      <c r="N735" s="98" t="s">
        <v>184</v>
      </c>
    </row>
    <row r="736" spans="1:14" x14ac:dyDescent="0.25">
      <c r="A736" s="100">
        <v>51788</v>
      </c>
      <c r="C736" s="99">
        <v>54420</v>
      </c>
      <c r="D736" s="98" t="s">
        <v>186</v>
      </c>
      <c r="G736" s="99">
        <v>62922</v>
      </c>
      <c r="H736" s="98" t="s">
        <v>159</v>
      </c>
      <c r="I736" s="99">
        <v>48478</v>
      </c>
      <c r="J736" s="98" t="s">
        <v>218</v>
      </c>
      <c r="K736" s="99">
        <v>53694</v>
      </c>
      <c r="L736" s="98" t="s">
        <v>165</v>
      </c>
      <c r="M736" s="99">
        <v>51788</v>
      </c>
      <c r="N736" s="98" t="s">
        <v>201</v>
      </c>
    </row>
    <row r="737" spans="1:14" x14ac:dyDescent="0.25">
      <c r="A737" s="100">
        <v>51810</v>
      </c>
      <c r="C737" s="99">
        <v>54424</v>
      </c>
      <c r="D737" s="98" t="s">
        <v>160</v>
      </c>
      <c r="G737" s="99">
        <v>62925</v>
      </c>
      <c r="H737" s="98" t="s">
        <v>162</v>
      </c>
      <c r="I737" s="99">
        <v>48479</v>
      </c>
      <c r="J737" s="98" t="s">
        <v>203</v>
      </c>
      <c r="K737" s="99">
        <v>53720</v>
      </c>
      <c r="L737" s="98" t="s">
        <v>206</v>
      </c>
      <c r="M737" s="99">
        <v>51810</v>
      </c>
      <c r="N737" s="98" t="s">
        <v>210</v>
      </c>
    </row>
    <row r="738" spans="1:14" x14ac:dyDescent="0.25">
      <c r="A738" s="100">
        <v>51816</v>
      </c>
      <c r="C738" s="99">
        <v>54449</v>
      </c>
      <c r="D738" s="98" t="s">
        <v>171</v>
      </c>
      <c r="G738" s="99">
        <v>62946</v>
      </c>
      <c r="H738" s="98" t="s">
        <v>163</v>
      </c>
      <c r="I738" s="99">
        <v>48498</v>
      </c>
      <c r="J738" s="98" t="s">
        <v>205</v>
      </c>
      <c r="K738" s="99">
        <v>53729</v>
      </c>
      <c r="L738" s="98" t="s">
        <v>169</v>
      </c>
      <c r="M738" s="99">
        <v>51816</v>
      </c>
      <c r="N738" s="98" t="s">
        <v>188</v>
      </c>
    </row>
    <row r="739" spans="1:14" x14ac:dyDescent="0.25">
      <c r="A739" s="100">
        <v>51833</v>
      </c>
      <c r="C739" s="99">
        <v>54529</v>
      </c>
      <c r="D739" s="98" t="s">
        <v>159</v>
      </c>
      <c r="G739" s="99">
        <v>62974</v>
      </c>
      <c r="H739" s="98" t="s">
        <v>167</v>
      </c>
      <c r="I739" s="99">
        <v>48521</v>
      </c>
      <c r="J739" s="98" t="s">
        <v>209</v>
      </c>
      <c r="K739" s="99">
        <v>53794</v>
      </c>
      <c r="L739" s="98" t="s">
        <v>159</v>
      </c>
      <c r="M739" s="99">
        <v>51833</v>
      </c>
      <c r="N739" s="98" t="s">
        <v>192</v>
      </c>
    </row>
    <row r="740" spans="1:14" x14ac:dyDescent="0.25">
      <c r="A740" s="100">
        <v>51860</v>
      </c>
      <c r="C740" s="99">
        <v>54530</v>
      </c>
      <c r="D740" s="98" t="s">
        <v>176</v>
      </c>
      <c r="G740" s="99">
        <v>63065</v>
      </c>
      <c r="H740" s="98" t="s">
        <v>193</v>
      </c>
      <c r="I740" s="99">
        <v>48541</v>
      </c>
      <c r="J740" s="98" t="s">
        <v>211</v>
      </c>
      <c r="K740" s="99">
        <v>53797</v>
      </c>
      <c r="L740" s="98" t="s">
        <v>162</v>
      </c>
      <c r="M740" s="99">
        <v>51860</v>
      </c>
      <c r="N740" s="98" t="s">
        <v>177</v>
      </c>
    </row>
    <row r="741" spans="1:14" x14ac:dyDescent="0.25">
      <c r="A741" s="100">
        <v>51867</v>
      </c>
      <c r="C741" s="99">
        <v>54531</v>
      </c>
      <c r="D741" s="98" t="s">
        <v>181</v>
      </c>
      <c r="G741" s="99">
        <v>63183</v>
      </c>
      <c r="H741" s="98" t="s">
        <v>177</v>
      </c>
      <c r="I741" s="99">
        <v>48580</v>
      </c>
      <c r="J741" s="98" t="s">
        <v>161</v>
      </c>
      <c r="K741" s="99">
        <v>53807</v>
      </c>
      <c r="L741" s="98" t="s">
        <v>174</v>
      </c>
      <c r="M741" s="99">
        <v>51867</v>
      </c>
      <c r="N741" s="98" t="s">
        <v>160</v>
      </c>
    </row>
    <row r="742" spans="1:14" x14ac:dyDescent="0.25">
      <c r="A742" s="100">
        <v>51886</v>
      </c>
      <c r="C742" s="99">
        <v>54532</v>
      </c>
      <c r="D742" s="98" t="s">
        <v>162</v>
      </c>
      <c r="G742" s="99">
        <v>63184</v>
      </c>
      <c r="H742" s="98" t="s">
        <v>182</v>
      </c>
      <c r="I742" s="99">
        <v>48589</v>
      </c>
      <c r="J742" s="98" t="s">
        <v>164</v>
      </c>
      <c r="K742" s="99">
        <v>53846</v>
      </c>
      <c r="L742" s="98" t="s">
        <v>191</v>
      </c>
      <c r="M742" s="99">
        <v>51886</v>
      </c>
      <c r="N742" s="98" t="s">
        <v>197</v>
      </c>
    </row>
    <row r="743" spans="1:14" x14ac:dyDescent="0.25">
      <c r="A743" s="100">
        <v>51909</v>
      </c>
      <c r="C743" s="99">
        <v>54538</v>
      </c>
      <c r="D743" s="98" t="s">
        <v>185</v>
      </c>
      <c r="G743" s="99">
        <v>63185</v>
      </c>
      <c r="H743" s="98" t="s">
        <v>208</v>
      </c>
      <c r="I743" s="99">
        <v>48621</v>
      </c>
      <c r="J743" s="98" t="s">
        <v>168</v>
      </c>
      <c r="K743" s="99">
        <v>53892</v>
      </c>
      <c r="L743" s="98" t="s">
        <v>195</v>
      </c>
      <c r="M743" s="99">
        <v>51909</v>
      </c>
      <c r="N743" s="98" t="s">
        <v>204</v>
      </c>
    </row>
    <row r="744" spans="1:14" x14ac:dyDescent="0.25">
      <c r="A744" s="100">
        <v>51912</v>
      </c>
      <c r="C744" s="99">
        <v>54588</v>
      </c>
      <c r="D744" s="98" t="s">
        <v>191</v>
      </c>
      <c r="G744" s="99">
        <v>63190</v>
      </c>
      <c r="H744" s="98" t="s">
        <v>160</v>
      </c>
      <c r="I744" s="99">
        <v>48633</v>
      </c>
      <c r="J744" s="98" t="s">
        <v>173</v>
      </c>
      <c r="K744" s="99">
        <v>53993</v>
      </c>
      <c r="L744" s="98" t="s">
        <v>189</v>
      </c>
      <c r="M744" s="99">
        <v>51912</v>
      </c>
      <c r="N744" s="98" t="s">
        <v>207</v>
      </c>
    </row>
    <row r="745" spans="1:14" x14ac:dyDescent="0.25">
      <c r="A745" s="100">
        <v>51914</v>
      </c>
      <c r="C745" s="99">
        <v>54637</v>
      </c>
      <c r="D745" s="98" t="s">
        <v>202</v>
      </c>
      <c r="G745" s="99">
        <v>63191</v>
      </c>
      <c r="H745" s="98" t="s">
        <v>214</v>
      </c>
      <c r="I745" s="99">
        <v>48658</v>
      </c>
      <c r="J745" s="98" t="s">
        <v>178</v>
      </c>
      <c r="K745" s="99">
        <v>54051</v>
      </c>
      <c r="L745" s="98" t="s">
        <v>177</v>
      </c>
      <c r="M745" s="99">
        <v>51914</v>
      </c>
      <c r="N745" s="98" t="s">
        <v>199</v>
      </c>
    </row>
    <row r="746" spans="1:14" x14ac:dyDescent="0.25">
      <c r="A746" s="100">
        <v>52012</v>
      </c>
      <c r="C746" s="99">
        <v>54700</v>
      </c>
      <c r="D746" s="98" t="s">
        <v>189</v>
      </c>
      <c r="G746" s="99">
        <v>63272</v>
      </c>
      <c r="H746" s="98" t="s">
        <v>159</v>
      </c>
      <c r="I746" s="99">
        <v>48659</v>
      </c>
      <c r="J746" s="98" t="s">
        <v>212</v>
      </c>
      <c r="K746" s="99">
        <v>54052</v>
      </c>
      <c r="L746" s="98" t="s">
        <v>182</v>
      </c>
      <c r="M746" s="99">
        <v>52012</v>
      </c>
      <c r="N746" s="98" t="s">
        <v>166</v>
      </c>
    </row>
    <row r="747" spans="1:14" x14ac:dyDescent="0.25">
      <c r="A747" s="100">
        <v>52036</v>
      </c>
      <c r="C747" s="99">
        <v>54782</v>
      </c>
      <c r="D747" s="98" t="s">
        <v>177</v>
      </c>
      <c r="G747" s="99">
        <v>63275</v>
      </c>
      <c r="H747" s="98" t="s">
        <v>162</v>
      </c>
      <c r="I747" s="99">
        <v>48698</v>
      </c>
      <c r="J747" s="98" t="s">
        <v>183</v>
      </c>
      <c r="K747" s="99">
        <v>54058</v>
      </c>
      <c r="L747" s="98" t="s">
        <v>160</v>
      </c>
      <c r="M747" s="99">
        <v>52036</v>
      </c>
      <c r="N747" s="98" t="s">
        <v>170</v>
      </c>
    </row>
    <row r="748" spans="1:14" x14ac:dyDescent="0.25">
      <c r="A748" s="100">
        <v>52051</v>
      </c>
      <c r="C748" s="99">
        <v>54783</v>
      </c>
      <c r="D748" s="98" t="s">
        <v>182</v>
      </c>
      <c r="G748" s="99">
        <v>63310</v>
      </c>
      <c r="H748" s="98" t="s">
        <v>163</v>
      </c>
      <c r="I748" s="99">
        <v>48702</v>
      </c>
      <c r="J748" s="98" t="s">
        <v>187</v>
      </c>
      <c r="K748" s="99">
        <v>54059</v>
      </c>
      <c r="L748" s="98" t="s">
        <v>165</v>
      </c>
      <c r="M748" s="99">
        <v>52051</v>
      </c>
      <c r="N748" s="98" t="s">
        <v>175</v>
      </c>
    </row>
    <row r="749" spans="1:14" x14ac:dyDescent="0.25">
      <c r="A749" s="100">
        <v>52110</v>
      </c>
      <c r="C749" s="99">
        <v>54784</v>
      </c>
      <c r="D749" s="98" t="s">
        <v>208</v>
      </c>
      <c r="G749" s="99">
        <v>63338</v>
      </c>
      <c r="H749" s="98" t="s">
        <v>167</v>
      </c>
      <c r="I749" s="99">
        <v>48703</v>
      </c>
      <c r="J749" s="98" t="s">
        <v>190</v>
      </c>
      <c r="K749" s="99">
        <v>54084</v>
      </c>
      <c r="L749" s="98" t="s">
        <v>206</v>
      </c>
      <c r="M749" s="99">
        <v>52110</v>
      </c>
      <c r="N749" s="98" t="s">
        <v>184</v>
      </c>
    </row>
    <row r="750" spans="1:14" x14ac:dyDescent="0.25">
      <c r="A750" s="100">
        <v>52152</v>
      </c>
      <c r="C750" s="99">
        <v>54785</v>
      </c>
      <c r="D750" s="98" t="s">
        <v>186</v>
      </c>
      <c r="G750" s="99">
        <v>63429</v>
      </c>
      <c r="H750" s="98" t="s">
        <v>193</v>
      </c>
      <c r="I750" s="99">
        <v>48704</v>
      </c>
      <c r="J750" s="98" t="s">
        <v>194</v>
      </c>
      <c r="K750" s="99">
        <v>54094</v>
      </c>
      <c r="L750" s="98" t="s">
        <v>169</v>
      </c>
      <c r="M750" s="99">
        <v>52152</v>
      </c>
      <c r="N750" s="98" t="s">
        <v>201</v>
      </c>
    </row>
    <row r="751" spans="1:14" x14ac:dyDescent="0.25">
      <c r="A751" s="100">
        <v>52174</v>
      </c>
      <c r="C751" s="99">
        <v>54789</v>
      </c>
      <c r="D751" s="98" t="s">
        <v>160</v>
      </c>
      <c r="G751" s="99">
        <v>63548</v>
      </c>
      <c r="H751" s="98" t="s">
        <v>177</v>
      </c>
      <c r="I751" s="99">
        <v>48778</v>
      </c>
      <c r="J751" s="98" t="s">
        <v>196</v>
      </c>
      <c r="K751" s="99">
        <v>54151</v>
      </c>
      <c r="L751" s="98" t="s">
        <v>159</v>
      </c>
      <c r="M751" s="99">
        <v>52174</v>
      </c>
      <c r="N751" s="98" t="s">
        <v>210</v>
      </c>
    </row>
    <row r="752" spans="1:14" x14ac:dyDescent="0.25">
      <c r="A752" s="100">
        <v>52181</v>
      </c>
      <c r="C752" s="99">
        <v>54791</v>
      </c>
      <c r="D752" s="98" t="s">
        <v>214</v>
      </c>
      <c r="G752" s="99">
        <v>63549</v>
      </c>
      <c r="H752" s="98" t="s">
        <v>182</v>
      </c>
      <c r="I752" s="99">
        <v>48802</v>
      </c>
      <c r="J752" s="98" t="s">
        <v>198</v>
      </c>
      <c r="K752" s="99">
        <v>54154</v>
      </c>
      <c r="L752" s="98" t="s">
        <v>162</v>
      </c>
      <c r="M752" s="99">
        <v>52181</v>
      </c>
      <c r="N752" s="98" t="s">
        <v>188</v>
      </c>
    </row>
    <row r="753" spans="1:14" x14ac:dyDescent="0.25">
      <c r="A753" s="100">
        <v>52197</v>
      </c>
      <c r="C753" s="99">
        <v>54814</v>
      </c>
      <c r="D753" s="98" t="s">
        <v>171</v>
      </c>
      <c r="G753" s="99">
        <v>63555</v>
      </c>
      <c r="H753" s="98" t="s">
        <v>160</v>
      </c>
      <c r="I753" s="99">
        <v>48841</v>
      </c>
      <c r="J753" s="98" t="s">
        <v>200</v>
      </c>
      <c r="K753" s="99">
        <v>54173</v>
      </c>
      <c r="L753" s="98" t="s">
        <v>174</v>
      </c>
      <c r="M753" s="99">
        <v>52197</v>
      </c>
      <c r="N753" s="98" t="s">
        <v>192</v>
      </c>
    </row>
    <row r="754" spans="1:14" x14ac:dyDescent="0.25">
      <c r="A754" s="100">
        <v>52225</v>
      </c>
      <c r="C754" s="99">
        <v>54886</v>
      </c>
      <c r="D754" s="98" t="s">
        <v>159</v>
      </c>
      <c r="G754" s="99">
        <v>63657</v>
      </c>
      <c r="H754" s="98" t="s">
        <v>159</v>
      </c>
      <c r="I754" s="99">
        <v>48845</v>
      </c>
      <c r="J754" s="98" t="s">
        <v>203</v>
      </c>
      <c r="K754" s="99">
        <v>54175</v>
      </c>
      <c r="L754" s="98" t="s">
        <v>179</v>
      </c>
      <c r="M754" s="99">
        <v>52225</v>
      </c>
      <c r="N754" s="98" t="s">
        <v>177</v>
      </c>
    </row>
    <row r="755" spans="1:14" x14ac:dyDescent="0.25">
      <c r="A755" s="100">
        <v>52232</v>
      </c>
      <c r="C755" s="99">
        <v>54887</v>
      </c>
      <c r="D755" s="98" t="s">
        <v>176</v>
      </c>
      <c r="G755" s="99">
        <v>63660</v>
      </c>
      <c r="H755" s="98" t="s">
        <v>162</v>
      </c>
      <c r="I755" s="99">
        <v>48862</v>
      </c>
      <c r="J755" s="98" t="s">
        <v>205</v>
      </c>
      <c r="K755" s="99">
        <v>54210</v>
      </c>
      <c r="L755" s="98" t="s">
        <v>191</v>
      </c>
      <c r="M755" s="99">
        <v>52232</v>
      </c>
      <c r="N755" s="98" t="s">
        <v>160</v>
      </c>
    </row>
    <row r="756" spans="1:14" x14ac:dyDescent="0.25">
      <c r="A756" s="100">
        <v>52250</v>
      </c>
      <c r="C756" s="99">
        <v>54888</v>
      </c>
      <c r="D756" s="98" t="s">
        <v>181</v>
      </c>
      <c r="G756" s="99">
        <v>63681</v>
      </c>
      <c r="H756" s="98" t="s">
        <v>163</v>
      </c>
      <c r="I756" s="99">
        <v>48886</v>
      </c>
      <c r="J756" s="98" t="s">
        <v>209</v>
      </c>
      <c r="K756" s="99">
        <v>54242</v>
      </c>
      <c r="L756" s="98" t="s">
        <v>195</v>
      </c>
      <c r="M756" s="99">
        <v>52250</v>
      </c>
      <c r="N756" s="98" t="s">
        <v>197</v>
      </c>
    </row>
    <row r="757" spans="1:14" x14ac:dyDescent="0.25">
      <c r="A757" s="100">
        <v>52274</v>
      </c>
      <c r="C757" s="99">
        <v>54889</v>
      </c>
      <c r="D757" s="98" t="s">
        <v>162</v>
      </c>
      <c r="G757" s="99">
        <v>63702</v>
      </c>
      <c r="H757" s="98" t="s">
        <v>167</v>
      </c>
      <c r="I757" s="99">
        <v>48906</v>
      </c>
      <c r="J757" s="98" t="s">
        <v>211</v>
      </c>
      <c r="K757" s="99">
        <v>54357</v>
      </c>
      <c r="L757" s="98" t="s">
        <v>189</v>
      </c>
      <c r="M757" s="99">
        <v>52274</v>
      </c>
      <c r="N757" s="98" t="s">
        <v>204</v>
      </c>
    </row>
    <row r="758" spans="1:14" x14ac:dyDescent="0.25">
      <c r="A758" s="100">
        <v>52277</v>
      </c>
      <c r="C758" s="99">
        <v>54903</v>
      </c>
      <c r="D758" s="98" t="s">
        <v>185</v>
      </c>
      <c r="G758" s="99">
        <v>63793</v>
      </c>
      <c r="H758" s="98" t="s">
        <v>193</v>
      </c>
      <c r="I758" s="99">
        <v>48945</v>
      </c>
      <c r="J758" s="98" t="s">
        <v>161</v>
      </c>
      <c r="K758" s="99">
        <v>54417</v>
      </c>
      <c r="L758" s="98" t="s">
        <v>177</v>
      </c>
      <c r="M758" s="99">
        <v>52277</v>
      </c>
      <c r="N758" s="98" t="s">
        <v>207</v>
      </c>
    </row>
    <row r="759" spans="1:14" x14ac:dyDescent="0.25">
      <c r="A759" s="100">
        <v>52278</v>
      </c>
      <c r="C759" s="99">
        <v>54952</v>
      </c>
      <c r="D759" s="98" t="s">
        <v>191</v>
      </c>
      <c r="G759" s="99">
        <v>63913</v>
      </c>
      <c r="H759" s="98" t="s">
        <v>177</v>
      </c>
      <c r="I759" s="99">
        <v>48946</v>
      </c>
      <c r="J759" s="98" t="s">
        <v>212</v>
      </c>
      <c r="K759" s="99">
        <v>54418</v>
      </c>
      <c r="L759" s="98" t="s">
        <v>182</v>
      </c>
      <c r="M759" s="99">
        <v>52278</v>
      </c>
      <c r="N759" s="98" t="s">
        <v>199</v>
      </c>
    </row>
    <row r="760" spans="1:14" x14ac:dyDescent="0.25">
      <c r="A760" s="100">
        <v>52376</v>
      </c>
      <c r="C760" s="99">
        <v>55001</v>
      </c>
      <c r="D760" s="98" t="s">
        <v>202</v>
      </c>
      <c r="G760" s="99">
        <v>63914</v>
      </c>
      <c r="H760" s="98" t="s">
        <v>182</v>
      </c>
      <c r="I760" s="99">
        <v>48953</v>
      </c>
      <c r="J760" s="98" t="s">
        <v>164</v>
      </c>
      <c r="K760" s="99">
        <v>54420</v>
      </c>
      <c r="L760" s="98" t="s">
        <v>186</v>
      </c>
      <c r="M760" s="99">
        <v>52376</v>
      </c>
      <c r="N760" s="98" t="s">
        <v>166</v>
      </c>
    </row>
    <row r="761" spans="1:14" x14ac:dyDescent="0.25">
      <c r="A761" s="100">
        <v>52401</v>
      </c>
      <c r="C761" s="99">
        <v>55064</v>
      </c>
      <c r="D761" s="98" t="s">
        <v>189</v>
      </c>
      <c r="G761" s="99">
        <v>63920</v>
      </c>
      <c r="H761" s="98" t="s">
        <v>160</v>
      </c>
      <c r="I761" s="99">
        <v>48986</v>
      </c>
      <c r="J761" s="98" t="s">
        <v>168</v>
      </c>
      <c r="K761" s="99">
        <v>54424</v>
      </c>
      <c r="L761" s="98" t="s">
        <v>160</v>
      </c>
      <c r="M761" s="99">
        <v>52401</v>
      </c>
      <c r="N761" s="98" t="s">
        <v>170</v>
      </c>
    </row>
    <row r="762" spans="1:14" x14ac:dyDescent="0.25">
      <c r="A762" s="100">
        <v>52415</v>
      </c>
      <c r="C762" s="99">
        <v>55147</v>
      </c>
      <c r="D762" s="98" t="s">
        <v>177</v>
      </c>
      <c r="G762" s="99">
        <v>64014</v>
      </c>
      <c r="H762" s="98" t="s">
        <v>159</v>
      </c>
      <c r="I762" s="99">
        <v>48998</v>
      </c>
      <c r="J762" s="98" t="s">
        <v>173</v>
      </c>
      <c r="K762" s="99">
        <v>54425</v>
      </c>
      <c r="L762" s="98" t="s">
        <v>165</v>
      </c>
      <c r="M762" s="99">
        <v>52415</v>
      </c>
      <c r="N762" s="98" t="s">
        <v>180</v>
      </c>
    </row>
    <row r="763" spans="1:14" x14ac:dyDescent="0.25">
      <c r="A763" s="100">
        <v>52416</v>
      </c>
      <c r="C763" s="99">
        <v>55148</v>
      </c>
      <c r="D763" s="98" t="s">
        <v>182</v>
      </c>
      <c r="G763" s="99">
        <v>64017</v>
      </c>
      <c r="H763" s="98" t="s">
        <v>162</v>
      </c>
      <c r="I763" s="99">
        <v>49023</v>
      </c>
      <c r="J763" s="98" t="s">
        <v>178</v>
      </c>
      <c r="K763" s="99">
        <v>54427</v>
      </c>
      <c r="L763" s="98" t="s">
        <v>213</v>
      </c>
      <c r="M763" s="99">
        <v>52416</v>
      </c>
      <c r="N763" s="98" t="s">
        <v>175</v>
      </c>
    </row>
    <row r="764" spans="1:14" x14ac:dyDescent="0.25">
      <c r="A764" s="100">
        <v>52481</v>
      </c>
      <c r="C764" s="99">
        <v>55149</v>
      </c>
      <c r="D764" s="98" t="s">
        <v>208</v>
      </c>
      <c r="G764" s="99">
        <v>64045</v>
      </c>
      <c r="H764" s="98" t="s">
        <v>163</v>
      </c>
      <c r="I764" s="99">
        <v>49063</v>
      </c>
      <c r="J764" s="98" t="s">
        <v>183</v>
      </c>
      <c r="K764" s="99">
        <v>54455</v>
      </c>
      <c r="L764" s="98" t="s">
        <v>206</v>
      </c>
      <c r="M764" s="99">
        <v>52481</v>
      </c>
      <c r="N764" s="98" t="s">
        <v>184</v>
      </c>
    </row>
    <row r="765" spans="1:14" x14ac:dyDescent="0.25">
      <c r="A765" s="100">
        <v>52516</v>
      </c>
      <c r="C765" s="99">
        <v>55154</v>
      </c>
      <c r="D765" s="98" t="s">
        <v>160</v>
      </c>
      <c r="G765" s="99">
        <v>64066</v>
      </c>
      <c r="H765" s="98" t="s">
        <v>167</v>
      </c>
      <c r="I765" s="99">
        <v>49067</v>
      </c>
      <c r="J765" s="98" t="s">
        <v>187</v>
      </c>
      <c r="K765" s="99">
        <v>54460</v>
      </c>
      <c r="L765" s="98" t="s">
        <v>169</v>
      </c>
      <c r="M765" s="99">
        <v>52516</v>
      </c>
      <c r="N765" s="98" t="s">
        <v>201</v>
      </c>
    </row>
    <row r="766" spans="1:14" x14ac:dyDescent="0.25">
      <c r="A766" s="100">
        <v>52538</v>
      </c>
      <c r="C766" s="99">
        <v>55155</v>
      </c>
      <c r="D766" s="98" t="s">
        <v>214</v>
      </c>
      <c r="G766" s="99">
        <v>64157</v>
      </c>
      <c r="H766" s="98" t="s">
        <v>193</v>
      </c>
      <c r="I766" s="99">
        <v>49068</v>
      </c>
      <c r="J766" s="98" t="s">
        <v>190</v>
      </c>
      <c r="K766" s="99">
        <v>54462</v>
      </c>
      <c r="L766" s="98" t="s">
        <v>215</v>
      </c>
      <c r="M766" s="99">
        <v>52538</v>
      </c>
      <c r="N766" s="98" t="s">
        <v>210</v>
      </c>
    </row>
    <row r="767" spans="1:14" x14ac:dyDescent="0.25">
      <c r="A767" s="100">
        <v>52546</v>
      </c>
      <c r="C767" s="99">
        <v>55179</v>
      </c>
      <c r="D767" s="98" t="s">
        <v>171</v>
      </c>
      <c r="G767" s="99">
        <v>64278</v>
      </c>
      <c r="H767" s="98" t="s">
        <v>177</v>
      </c>
      <c r="I767" s="99">
        <v>49069</v>
      </c>
      <c r="J767" s="98" t="s">
        <v>194</v>
      </c>
      <c r="K767" s="99">
        <v>54529</v>
      </c>
      <c r="L767" s="98" t="s">
        <v>159</v>
      </c>
      <c r="M767" s="99">
        <v>52546</v>
      </c>
      <c r="N767" s="98" t="s">
        <v>188</v>
      </c>
    </row>
    <row r="768" spans="1:14" x14ac:dyDescent="0.25">
      <c r="A768" s="100">
        <v>52561</v>
      </c>
      <c r="C768" s="99">
        <v>55243</v>
      </c>
      <c r="D768" s="98" t="s">
        <v>159</v>
      </c>
      <c r="G768" s="99">
        <v>64279</v>
      </c>
      <c r="H768" s="98" t="s">
        <v>182</v>
      </c>
      <c r="I768" s="99">
        <v>49142</v>
      </c>
      <c r="J768" s="98" t="s">
        <v>196</v>
      </c>
      <c r="K768" s="99">
        <v>54532</v>
      </c>
      <c r="L768" s="98" t="s">
        <v>162</v>
      </c>
      <c r="M768" s="99">
        <v>52561</v>
      </c>
      <c r="N768" s="98" t="s">
        <v>192</v>
      </c>
    </row>
    <row r="769" spans="1:14" x14ac:dyDescent="0.25">
      <c r="A769" s="100">
        <v>52590</v>
      </c>
      <c r="C769" s="99">
        <v>55244</v>
      </c>
      <c r="D769" s="98" t="s">
        <v>176</v>
      </c>
      <c r="G769" s="99">
        <v>64285</v>
      </c>
      <c r="H769" s="98" t="s">
        <v>160</v>
      </c>
      <c r="I769" s="99">
        <v>49167</v>
      </c>
      <c r="J769" s="98" t="s">
        <v>198</v>
      </c>
      <c r="K769" s="99">
        <v>54538</v>
      </c>
      <c r="L769" s="98" t="s">
        <v>174</v>
      </c>
      <c r="M769" s="99">
        <v>52590</v>
      </c>
      <c r="N769" s="98" t="s">
        <v>177</v>
      </c>
    </row>
    <row r="770" spans="1:14" x14ac:dyDescent="0.25">
      <c r="A770" s="100">
        <v>52597</v>
      </c>
      <c r="C770" s="99">
        <v>55245</v>
      </c>
      <c r="D770" s="98" t="s">
        <v>181</v>
      </c>
      <c r="G770" s="99">
        <v>64392</v>
      </c>
      <c r="H770" s="98" t="s">
        <v>159</v>
      </c>
      <c r="I770" s="99">
        <v>49205</v>
      </c>
      <c r="J770" s="98" t="s">
        <v>200</v>
      </c>
      <c r="K770" s="99">
        <v>54539</v>
      </c>
      <c r="L770" s="98" t="s">
        <v>179</v>
      </c>
      <c r="M770" s="99">
        <v>52597</v>
      </c>
      <c r="N770" s="98" t="s">
        <v>160</v>
      </c>
    </row>
    <row r="771" spans="1:14" x14ac:dyDescent="0.25">
      <c r="A771" s="100">
        <v>52614</v>
      </c>
      <c r="C771" s="99">
        <v>55246</v>
      </c>
      <c r="D771" s="98" t="s">
        <v>162</v>
      </c>
      <c r="G771" s="99">
        <v>64395</v>
      </c>
      <c r="H771" s="98" t="s">
        <v>162</v>
      </c>
      <c r="I771" s="99">
        <v>49210</v>
      </c>
      <c r="J771" s="98" t="s">
        <v>203</v>
      </c>
      <c r="K771" s="99">
        <v>54581</v>
      </c>
      <c r="L771" s="98" t="s">
        <v>191</v>
      </c>
      <c r="M771" s="99">
        <v>52614</v>
      </c>
      <c r="N771" s="98" t="s">
        <v>197</v>
      </c>
    </row>
    <row r="772" spans="1:14" x14ac:dyDescent="0.25">
      <c r="A772" s="100">
        <v>52639</v>
      </c>
      <c r="C772" s="99">
        <v>55268</v>
      </c>
      <c r="D772" s="98" t="s">
        <v>185</v>
      </c>
      <c r="G772" s="99">
        <v>64409</v>
      </c>
      <c r="H772" s="98" t="s">
        <v>163</v>
      </c>
      <c r="I772" s="99">
        <v>49226</v>
      </c>
      <c r="J772" s="98" t="s">
        <v>205</v>
      </c>
      <c r="K772" s="99">
        <v>54599</v>
      </c>
      <c r="L772" s="98" t="s">
        <v>195</v>
      </c>
      <c r="M772" s="99">
        <v>52639</v>
      </c>
      <c r="N772" s="98" t="s">
        <v>204</v>
      </c>
    </row>
    <row r="773" spans="1:14" x14ac:dyDescent="0.25">
      <c r="A773" s="100">
        <v>52642</v>
      </c>
      <c r="C773" s="99">
        <v>55316</v>
      </c>
      <c r="D773" s="98" t="s">
        <v>191</v>
      </c>
      <c r="G773" s="99">
        <v>64430</v>
      </c>
      <c r="H773" s="98" t="s">
        <v>167</v>
      </c>
      <c r="I773" s="99">
        <v>49251</v>
      </c>
      <c r="J773" s="98" t="s">
        <v>209</v>
      </c>
      <c r="K773" s="99">
        <v>54721</v>
      </c>
      <c r="L773" s="98" t="s">
        <v>189</v>
      </c>
      <c r="M773" s="99">
        <v>52642</v>
      </c>
      <c r="N773" s="98" t="s">
        <v>217</v>
      </c>
    </row>
    <row r="774" spans="1:14" x14ac:dyDescent="0.25">
      <c r="A774" s="100">
        <v>52747</v>
      </c>
      <c r="C774" s="99">
        <v>55372</v>
      </c>
      <c r="D774" s="98" t="s">
        <v>202</v>
      </c>
      <c r="G774" s="99">
        <v>64528</v>
      </c>
      <c r="H774" s="98" t="s">
        <v>193</v>
      </c>
      <c r="I774" s="99">
        <v>49271</v>
      </c>
      <c r="J774" s="98" t="s">
        <v>211</v>
      </c>
      <c r="K774" s="99">
        <v>54782</v>
      </c>
      <c r="L774" s="98" t="s">
        <v>177</v>
      </c>
      <c r="M774" s="99">
        <v>52747</v>
      </c>
      <c r="N774" s="98" t="s">
        <v>166</v>
      </c>
    </row>
    <row r="775" spans="1:14" x14ac:dyDescent="0.25">
      <c r="A775" s="100">
        <v>52767</v>
      </c>
      <c r="C775" s="99">
        <v>55428</v>
      </c>
      <c r="D775" s="98" t="s">
        <v>189</v>
      </c>
      <c r="G775" s="99">
        <v>64644</v>
      </c>
      <c r="H775" s="98" t="s">
        <v>177</v>
      </c>
      <c r="I775" s="99">
        <v>49310</v>
      </c>
      <c r="J775" s="98" t="s">
        <v>161</v>
      </c>
      <c r="K775" s="99">
        <v>54783</v>
      </c>
      <c r="L775" s="98" t="s">
        <v>182</v>
      </c>
      <c r="M775" s="99">
        <v>52767</v>
      </c>
      <c r="N775" s="98" t="s">
        <v>170</v>
      </c>
    </row>
    <row r="776" spans="1:14" x14ac:dyDescent="0.25">
      <c r="A776" s="100">
        <v>52768</v>
      </c>
      <c r="C776" s="99">
        <v>55512</v>
      </c>
      <c r="D776" s="98" t="s">
        <v>177</v>
      </c>
      <c r="G776" s="99">
        <v>64645</v>
      </c>
      <c r="H776" s="98" t="s">
        <v>182</v>
      </c>
      <c r="I776" s="99">
        <v>49317</v>
      </c>
      <c r="J776" s="98" t="s">
        <v>164</v>
      </c>
      <c r="K776" s="99">
        <v>54784</v>
      </c>
      <c r="L776" s="98" t="s">
        <v>208</v>
      </c>
      <c r="M776" s="99">
        <v>52768</v>
      </c>
      <c r="N776" s="98" t="s">
        <v>216</v>
      </c>
    </row>
    <row r="777" spans="1:14" x14ac:dyDescent="0.25">
      <c r="A777" s="100">
        <v>52782</v>
      </c>
      <c r="C777" s="99">
        <v>55513</v>
      </c>
      <c r="D777" s="98" t="s">
        <v>182</v>
      </c>
      <c r="G777" s="99">
        <v>64647</v>
      </c>
      <c r="H777" s="98" t="s">
        <v>186</v>
      </c>
      <c r="I777" s="99">
        <v>49351</v>
      </c>
      <c r="J777" s="98" t="s">
        <v>168</v>
      </c>
      <c r="K777" s="99">
        <v>54785</v>
      </c>
      <c r="L777" s="98" t="s">
        <v>186</v>
      </c>
      <c r="M777" s="99">
        <v>52782</v>
      </c>
      <c r="N777" s="98" t="s">
        <v>175</v>
      </c>
    </row>
    <row r="778" spans="1:14" x14ac:dyDescent="0.25">
      <c r="A778" s="100">
        <v>52845</v>
      </c>
      <c r="C778" s="99">
        <v>55519</v>
      </c>
      <c r="D778" s="98" t="s">
        <v>160</v>
      </c>
      <c r="G778" s="99">
        <v>64651</v>
      </c>
      <c r="H778" s="98" t="s">
        <v>160</v>
      </c>
      <c r="I778" s="99">
        <v>49352</v>
      </c>
      <c r="J778" s="98" t="s">
        <v>212</v>
      </c>
      <c r="K778" s="99">
        <v>54789</v>
      </c>
      <c r="L778" s="98" t="s">
        <v>160</v>
      </c>
      <c r="M778" s="99">
        <v>52845</v>
      </c>
      <c r="N778" s="98" t="s">
        <v>184</v>
      </c>
    </row>
    <row r="779" spans="1:14" x14ac:dyDescent="0.25">
      <c r="A779" s="100">
        <v>52880</v>
      </c>
      <c r="C779" s="99">
        <v>55544</v>
      </c>
      <c r="D779" s="98" t="s">
        <v>171</v>
      </c>
      <c r="G779" s="99">
        <v>64749</v>
      </c>
      <c r="H779" s="98" t="s">
        <v>159</v>
      </c>
      <c r="I779" s="99">
        <v>49363</v>
      </c>
      <c r="J779" s="98" t="s">
        <v>173</v>
      </c>
      <c r="K779" s="99">
        <v>54790</v>
      </c>
      <c r="L779" s="98" t="s">
        <v>165</v>
      </c>
      <c r="M779" s="99">
        <v>52880</v>
      </c>
      <c r="N779" s="98" t="s">
        <v>201</v>
      </c>
    </row>
    <row r="780" spans="1:14" x14ac:dyDescent="0.25">
      <c r="A780" s="100">
        <v>52909</v>
      </c>
      <c r="C780" s="99">
        <v>55628</v>
      </c>
      <c r="D780" s="98" t="s">
        <v>159</v>
      </c>
      <c r="G780" s="99">
        <v>64752</v>
      </c>
      <c r="H780" s="98" t="s">
        <v>162</v>
      </c>
      <c r="I780" s="99">
        <v>49389</v>
      </c>
      <c r="J780" s="98" t="s">
        <v>178</v>
      </c>
      <c r="K780" s="99">
        <v>54791</v>
      </c>
      <c r="L780" s="98" t="s">
        <v>214</v>
      </c>
      <c r="M780" s="99">
        <v>52909</v>
      </c>
      <c r="N780" s="98" t="s">
        <v>210</v>
      </c>
    </row>
    <row r="781" spans="1:14" x14ac:dyDescent="0.25">
      <c r="A781" s="100">
        <v>52912</v>
      </c>
      <c r="C781" s="99">
        <v>55629</v>
      </c>
      <c r="D781" s="98" t="s">
        <v>176</v>
      </c>
      <c r="G781" s="99">
        <v>64773</v>
      </c>
      <c r="H781" s="98" t="s">
        <v>163</v>
      </c>
      <c r="I781" s="99">
        <v>49428</v>
      </c>
      <c r="J781" s="98" t="s">
        <v>183</v>
      </c>
      <c r="K781" s="99">
        <v>54792</v>
      </c>
      <c r="L781" s="98" t="s">
        <v>213</v>
      </c>
      <c r="M781" s="99">
        <v>52912</v>
      </c>
      <c r="N781" s="98" t="s">
        <v>188</v>
      </c>
    </row>
    <row r="782" spans="1:14" x14ac:dyDescent="0.25">
      <c r="A782" s="100">
        <v>52925</v>
      </c>
      <c r="C782" s="99">
        <v>55630</v>
      </c>
      <c r="D782" s="98" t="s">
        <v>181</v>
      </c>
      <c r="G782" s="99">
        <v>64801</v>
      </c>
      <c r="H782" s="98" t="s">
        <v>167</v>
      </c>
      <c r="I782" s="99">
        <v>49429</v>
      </c>
      <c r="J782" s="98" t="s">
        <v>212</v>
      </c>
      <c r="K782" s="99">
        <v>54819</v>
      </c>
      <c r="L782" s="98" t="s">
        <v>206</v>
      </c>
      <c r="M782" s="99">
        <v>52925</v>
      </c>
      <c r="N782" s="98" t="s">
        <v>192</v>
      </c>
    </row>
    <row r="783" spans="1:14" x14ac:dyDescent="0.25">
      <c r="A783" s="100">
        <v>52956</v>
      </c>
      <c r="C783" s="99">
        <v>55631</v>
      </c>
      <c r="D783" s="98" t="s">
        <v>162</v>
      </c>
      <c r="G783" s="99">
        <v>64892</v>
      </c>
      <c r="H783" s="98" t="s">
        <v>193</v>
      </c>
      <c r="I783" s="99">
        <v>49432</v>
      </c>
      <c r="J783" s="98" t="s">
        <v>187</v>
      </c>
      <c r="K783" s="99">
        <v>54825</v>
      </c>
      <c r="L783" s="98" t="s">
        <v>169</v>
      </c>
      <c r="M783" s="99">
        <v>52956</v>
      </c>
      <c r="N783" s="98" t="s">
        <v>177</v>
      </c>
    </row>
    <row r="784" spans="1:14" x14ac:dyDescent="0.25">
      <c r="A784" s="100">
        <v>52957</v>
      </c>
      <c r="C784" s="99">
        <v>55634</v>
      </c>
      <c r="D784" s="98" t="s">
        <v>185</v>
      </c>
      <c r="G784" s="99">
        <v>65009</v>
      </c>
      <c r="H784" s="98" t="s">
        <v>177</v>
      </c>
      <c r="I784" s="99">
        <v>49433</v>
      </c>
      <c r="J784" s="98" t="s">
        <v>190</v>
      </c>
      <c r="K784" s="99">
        <v>54826</v>
      </c>
      <c r="L784" s="98" t="s">
        <v>215</v>
      </c>
      <c r="M784" s="99">
        <v>52957</v>
      </c>
      <c r="N784" s="98" t="s">
        <v>208</v>
      </c>
    </row>
    <row r="785" spans="1:14" x14ac:dyDescent="0.25">
      <c r="A785" s="100">
        <v>52963</v>
      </c>
      <c r="C785" s="99">
        <v>55680</v>
      </c>
      <c r="D785" s="98" t="s">
        <v>191</v>
      </c>
      <c r="G785" s="99">
        <v>65010</v>
      </c>
      <c r="H785" s="98" t="s">
        <v>182</v>
      </c>
      <c r="I785" s="99">
        <v>49434</v>
      </c>
      <c r="J785" s="98" t="s">
        <v>194</v>
      </c>
      <c r="K785" s="99">
        <v>54886</v>
      </c>
      <c r="L785" s="98" t="s">
        <v>159</v>
      </c>
      <c r="M785" s="99">
        <v>52963</v>
      </c>
      <c r="N785" s="98" t="s">
        <v>160</v>
      </c>
    </row>
    <row r="786" spans="1:14" x14ac:dyDescent="0.25">
      <c r="A786" s="100">
        <v>52964</v>
      </c>
      <c r="C786" s="99">
        <v>55736</v>
      </c>
      <c r="D786" s="98" t="s">
        <v>202</v>
      </c>
      <c r="G786" s="99">
        <v>65011</v>
      </c>
      <c r="H786" s="98" t="s">
        <v>208</v>
      </c>
      <c r="I786" s="99">
        <v>49506</v>
      </c>
      <c r="J786" s="98" t="s">
        <v>196</v>
      </c>
      <c r="K786" s="99">
        <v>54889</v>
      </c>
      <c r="L786" s="98" t="s">
        <v>162</v>
      </c>
      <c r="M786" s="99">
        <v>52964</v>
      </c>
      <c r="N786" s="98" t="s">
        <v>214</v>
      </c>
    </row>
    <row r="787" spans="1:14" x14ac:dyDescent="0.25">
      <c r="A787" s="100">
        <v>52978</v>
      </c>
      <c r="C787" s="99">
        <v>55799</v>
      </c>
      <c r="D787" s="98" t="s">
        <v>189</v>
      </c>
      <c r="G787" s="99">
        <v>65012</v>
      </c>
      <c r="H787" s="98" t="s">
        <v>186</v>
      </c>
      <c r="I787" s="99">
        <v>49532</v>
      </c>
      <c r="J787" s="98" t="s">
        <v>198</v>
      </c>
      <c r="K787" s="99">
        <v>54903</v>
      </c>
      <c r="L787" s="98" t="s">
        <v>174</v>
      </c>
      <c r="M787" s="99">
        <v>52978</v>
      </c>
      <c r="N787" s="98" t="s">
        <v>197</v>
      </c>
    </row>
    <row r="788" spans="1:14" x14ac:dyDescent="0.25">
      <c r="A788" s="100">
        <v>53005</v>
      </c>
      <c r="C788" s="99">
        <v>55878</v>
      </c>
      <c r="D788" s="98" t="s">
        <v>177</v>
      </c>
      <c r="G788" s="99">
        <v>65016</v>
      </c>
      <c r="H788" s="98" t="s">
        <v>160</v>
      </c>
      <c r="I788" s="99">
        <v>49569</v>
      </c>
      <c r="J788" s="98" t="s">
        <v>200</v>
      </c>
      <c r="K788" s="99">
        <v>54945</v>
      </c>
      <c r="L788" s="98" t="s">
        <v>191</v>
      </c>
      <c r="M788" s="99">
        <v>53005</v>
      </c>
      <c r="N788" s="98" t="s">
        <v>204</v>
      </c>
    </row>
    <row r="789" spans="1:14" x14ac:dyDescent="0.25">
      <c r="A789" s="100">
        <v>53006</v>
      </c>
      <c r="C789" s="99">
        <v>55879</v>
      </c>
      <c r="D789" s="98" t="s">
        <v>182</v>
      </c>
      <c r="G789" s="99">
        <v>65018</v>
      </c>
      <c r="H789" s="98" t="s">
        <v>214</v>
      </c>
      <c r="I789" s="99">
        <v>49575</v>
      </c>
      <c r="J789" s="98" t="s">
        <v>203</v>
      </c>
      <c r="K789" s="99">
        <v>54984</v>
      </c>
      <c r="L789" s="98" t="s">
        <v>195</v>
      </c>
      <c r="M789" s="99">
        <v>53006</v>
      </c>
      <c r="N789" s="98" t="s">
        <v>219</v>
      </c>
    </row>
    <row r="790" spans="1:14" x14ac:dyDescent="0.25">
      <c r="A790" s="100">
        <v>53008</v>
      </c>
      <c r="C790" s="99">
        <v>55885</v>
      </c>
      <c r="D790" s="98" t="s">
        <v>160</v>
      </c>
      <c r="G790" s="99">
        <v>65106</v>
      </c>
      <c r="H790" s="98" t="s">
        <v>159</v>
      </c>
      <c r="I790" s="99">
        <v>49576</v>
      </c>
      <c r="J790" s="98" t="s">
        <v>212</v>
      </c>
      <c r="K790" s="99">
        <v>55085</v>
      </c>
      <c r="L790" s="98" t="s">
        <v>189</v>
      </c>
      <c r="M790" s="99">
        <v>53008</v>
      </c>
      <c r="N790" s="98" t="s">
        <v>207</v>
      </c>
    </row>
    <row r="791" spans="1:14" x14ac:dyDescent="0.25">
      <c r="A791" s="100">
        <v>53013</v>
      </c>
      <c r="C791" s="99">
        <v>55911</v>
      </c>
      <c r="D791" s="98" t="s">
        <v>171</v>
      </c>
      <c r="G791" s="99">
        <v>65109</v>
      </c>
      <c r="H791" s="98" t="s">
        <v>162</v>
      </c>
      <c r="I791" s="99">
        <v>49590</v>
      </c>
      <c r="J791" s="98" t="s">
        <v>205</v>
      </c>
      <c r="K791" s="99">
        <v>55147</v>
      </c>
      <c r="L791" s="98" t="s">
        <v>177</v>
      </c>
      <c r="M791" s="99">
        <v>53013</v>
      </c>
      <c r="N791" s="98" t="s">
        <v>199</v>
      </c>
    </row>
    <row r="792" spans="1:14" x14ac:dyDescent="0.25">
      <c r="A792" s="100">
        <v>53111</v>
      </c>
      <c r="C792" s="99">
        <v>55978</v>
      </c>
      <c r="D792" s="98" t="s">
        <v>159</v>
      </c>
      <c r="G792" s="99">
        <v>65137</v>
      </c>
      <c r="H792" s="98" t="s">
        <v>163</v>
      </c>
      <c r="I792" s="99">
        <v>49616</v>
      </c>
      <c r="J792" s="98" t="s">
        <v>209</v>
      </c>
      <c r="K792" s="99">
        <v>55148</v>
      </c>
      <c r="L792" s="98" t="s">
        <v>182</v>
      </c>
      <c r="M792" s="99">
        <v>53111</v>
      </c>
      <c r="N792" s="98" t="s">
        <v>166</v>
      </c>
    </row>
    <row r="793" spans="1:14" x14ac:dyDescent="0.25">
      <c r="A793" s="100">
        <v>53132</v>
      </c>
      <c r="C793" s="99">
        <v>55979</v>
      </c>
      <c r="D793" s="98" t="s">
        <v>176</v>
      </c>
      <c r="G793" s="99">
        <v>65165</v>
      </c>
      <c r="H793" s="98" t="s">
        <v>167</v>
      </c>
      <c r="I793" s="99">
        <v>49636</v>
      </c>
      <c r="J793" s="98" t="s">
        <v>211</v>
      </c>
      <c r="K793" s="99">
        <v>55149</v>
      </c>
      <c r="L793" s="98" t="s">
        <v>208</v>
      </c>
      <c r="M793" s="99">
        <v>53132</v>
      </c>
      <c r="N793" s="98" t="s">
        <v>170</v>
      </c>
    </row>
    <row r="794" spans="1:14" x14ac:dyDescent="0.25">
      <c r="A794" s="100">
        <v>53147</v>
      </c>
      <c r="C794" s="99">
        <v>55980</v>
      </c>
      <c r="D794" s="98" t="s">
        <v>181</v>
      </c>
      <c r="G794" s="99">
        <v>65256</v>
      </c>
      <c r="H794" s="98" t="s">
        <v>193</v>
      </c>
      <c r="I794" s="99">
        <v>49675</v>
      </c>
      <c r="J794" s="98" t="s">
        <v>161</v>
      </c>
      <c r="K794" s="99">
        <v>55154</v>
      </c>
      <c r="L794" s="98" t="s">
        <v>160</v>
      </c>
      <c r="M794" s="99">
        <v>53147</v>
      </c>
      <c r="N794" s="98" t="s">
        <v>175</v>
      </c>
    </row>
    <row r="795" spans="1:14" x14ac:dyDescent="0.25">
      <c r="A795" s="100">
        <v>53209</v>
      </c>
      <c r="C795" s="99">
        <v>55981</v>
      </c>
      <c r="D795" s="98" t="s">
        <v>162</v>
      </c>
      <c r="G795" s="99">
        <v>65374</v>
      </c>
      <c r="H795" s="98" t="s">
        <v>177</v>
      </c>
      <c r="I795" s="99">
        <v>49688</v>
      </c>
      <c r="J795" s="98" t="s">
        <v>164</v>
      </c>
      <c r="K795" s="99">
        <v>55155</v>
      </c>
      <c r="L795" s="98" t="s">
        <v>165</v>
      </c>
      <c r="M795" s="99">
        <v>53209</v>
      </c>
      <c r="N795" s="98" t="s">
        <v>184</v>
      </c>
    </row>
    <row r="796" spans="1:14" x14ac:dyDescent="0.25">
      <c r="A796" s="100">
        <v>53244</v>
      </c>
      <c r="C796" s="99">
        <v>55999</v>
      </c>
      <c r="D796" s="98" t="s">
        <v>185</v>
      </c>
      <c r="G796" s="99">
        <v>65375</v>
      </c>
      <c r="H796" s="98" t="s">
        <v>182</v>
      </c>
      <c r="I796" s="99">
        <v>49716</v>
      </c>
      <c r="J796" s="98" t="s">
        <v>168</v>
      </c>
      <c r="K796" s="99">
        <v>55156</v>
      </c>
      <c r="L796" s="98" t="s">
        <v>214</v>
      </c>
      <c r="M796" s="99">
        <v>53244</v>
      </c>
      <c r="N796" s="98" t="s">
        <v>201</v>
      </c>
    </row>
    <row r="797" spans="1:14" x14ac:dyDescent="0.25">
      <c r="A797" s="100">
        <v>53273</v>
      </c>
      <c r="C797" s="99">
        <v>56044</v>
      </c>
      <c r="D797" s="98" t="s">
        <v>191</v>
      </c>
      <c r="G797" s="99">
        <v>65376</v>
      </c>
      <c r="H797" s="98" t="s">
        <v>208</v>
      </c>
      <c r="I797" s="99">
        <v>49728</v>
      </c>
      <c r="J797" s="98" t="s">
        <v>173</v>
      </c>
      <c r="K797" s="99">
        <v>55183</v>
      </c>
      <c r="L797" s="98" t="s">
        <v>206</v>
      </c>
      <c r="M797" s="99">
        <v>53273</v>
      </c>
      <c r="N797" s="98" t="s">
        <v>210</v>
      </c>
    </row>
    <row r="798" spans="1:14" x14ac:dyDescent="0.25">
      <c r="A798" s="100">
        <v>53276</v>
      </c>
      <c r="C798" s="99">
        <v>56100</v>
      </c>
      <c r="D798" s="98" t="s">
        <v>202</v>
      </c>
      <c r="G798" s="99">
        <v>65381</v>
      </c>
      <c r="H798" s="98" t="s">
        <v>160</v>
      </c>
      <c r="I798" s="99">
        <v>49754</v>
      </c>
      <c r="J798" s="98" t="s">
        <v>178</v>
      </c>
      <c r="K798" s="99">
        <v>55190</v>
      </c>
      <c r="L798" s="98" t="s">
        <v>169</v>
      </c>
      <c r="M798" s="99">
        <v>53276</v>
      </c>
      <c r="N798" s="98" t="s">
        <v>220</v>
      </c>
    </row>
    <row r="799" spans="1:14" x14ac:dyDescent="0.25">
      <c r="A799" s="100">
        <v>53277</v>
      </c>
      <c r="C799" s="99">
        <v>56163</v>
      </c>
      <c r="D799" s="98" t="s">
        <v>189</v>
      </c>
      <c r="G799" s="99">
        <v>65382</v>
      </c>
      <c r="H799" s="98" t="s">
        <v>214</v>
      </c>
      <c r="I799" s="99">
        <v>49794</v>
      </c>
      <c r="J799" s="98" t="s">
        <v>183</v>
      </c>
      <c r="K799" s="99">
        <v>55243</v>
      </c>
      <c r="L799" s="98" t="s">
        <v>159</v>
      </c>
      <c r="M799" s="99">
        <v>53277</v>
      </c>
      <c r="N799" s="98" t="s">
        <v>188</v>
      </c>
    </row>
    <row r="800" spans="1:14" x14ac:dyDescent="0.25">
      <c r="A800" s="100">
        <v>53289</v>
      </c>
      <c r="C800" s="99">
        <v>56243</v>
      </c>
      <c r="D800" s="98" t="s">
        <v>177</v>
      </c>
      <c r="G800" s="99">
        <v>65491</v>
      </c>
      <c r="H800" s="98" t="s">
        <v>159</v>
      </c>
      <c r="I800" s="99">
        <v>49798</v>
      </c>
      <c r="J800" s="98" t="s">
        <v>187</v>
      </c>
      <c r="K800" s="99">
        <v>55246</v>
      </c>
      <c r="L800" s="98" t="s">
        <v>162</v>
      </c>
      <c r="M800" s="99">
        <v>53289</v>
      </c>
      <c r="N800" s="98" t="s">
        <v>192</v>
      </c>
    </row>
    <row r="801" spans="1:14" x14ac:dyDescent="0.25">
      <c r="A801" s="100">
        <v>53321</v>
      </c>
      <c r="C801" s="99">
        <v>56244</v>
      </c>
      <c r="D801" s="98" t="s">
        <v>182</v>
      </c>
      <c r="G801" s="99">
        <v>65494</v>
      </c>
      <c r="H801" s="98" t="s">
        <v>162</v>
      </c>
      <c r="I801" s="99">
        <v>49799</v>
      </c>
      <c r="J801" s="98" t="s">
        <v>190</v>
      </c>
      <c r="K801" s="99">
        <v>55268</v>
      </c>
      <c r="L801" s="98" t="s">
        <v>174</v>
      </c>
      <c r="M801" s="99">
        <v>53321</v>
      </c>
      <c r="N801" s="98" t="s">
        <v>177</v>
      </c>
    </row>
    <row r="802" spans="1:14" x14ac:dyDescent="0.25">
      <c r="A802" s="100">
        <v>53328</v>
      </c>
      <c r="C802" s="99">
        <v>56250</v>
      </c>
      <c r="D802" s="98" t="s">
        <v>160</v>
      </c>
      <c r="G802" s="99">
        <v>65501</v>
      </c>
      <c r="H802" s="98" t="s">
        <v>163</v>
      </c>
      <c r="I802" s="99">
        <v>49800</v>
      </c>
      <c r="J802" s="98" t="s">
        <v>194</v>
      </c>
      <c r="K802" s="99">
        <v>55309</v>
      </c>
      <c r="L802" s="98" t="s">
        <v>191</v>
      </c>
      <c r="M802" s="99">
        <v>53328</v>
      </c>
      <c r="N802" s="98" t="s">
        <v>160</v>
      </c>
    </row>
    <row r="803" spans="1:14" x14ac:dyDescent="0.25">
      <c r="A803" s="100">
        <v>53342</v>
      </c>
      <c r="C803" s="99">
        <v>56275</v>
      </c>
      <c r="D803" s="98" t="s">
        <v>171</v>
      </c>
      <c r="G803" s="99">
        <v>65529</v>
      </c>
      <c r="H803" s="98" t="s">
        <v>167</v>
      </c>
      <c r="I803" s="99">
        <v>49801</v>
      </c>
      <c r="J803" s="98" t="s">
        <v>212</v>
      </c>
      <c r="K803" s="99">
        <v>55334</v>
      </c>
      <c r="L803" s="98" t="s">
        <v>195</v>
      </c>
      <c r="M803" s="99">
        <v>53342</v>
      </c>
      <c r="N803" s="98" t="s">
        <v>197</v>
      </c>
    </row>
    <row r="804" spans="1:14" x14ac:dyDescent="0.25">
      <c r="A804" s="100">
        <v>53370</v>
      </c>
      <c r="C804" s="99">
        <v>56335</v>
      </c>
      <c r="D804" s="98" t="s">
        <v>159</v>
      </c>
      <c r="G804" s="99">
        <v>65620</v>
      </c>
      <c r="H804" s="98" t="s">
        <v>193</v>
      </c>
      <c r="I804" s="99">
        <v>49877</v>
      </c>
      <c r="J804" s="98" t="s">
        <v>196</v>
      </c>
      <c r="K804" s="99">
        <v>55449</v>
      </c>
      <c r="L804" s="98" t="s">
        <v>189</v>
      </c>
      <c r="M804" s="99">
        <v>53370</v>
      </c>
      <c r="N804" s="98" t="s">
        <v>204</v>
      </c>
    </row>
    <row r="805" spans="1:14" x14ac:dyDescent="0.25">
      <c r="A805" s="100">
        <v>53373</v>
      </c>
      <c r="C805" s="99">
        <v>56336</v>
      </c>
      <c r="D805" s="98" t="s">
        <v>176</v>
      </c>
      <c r="G805" s="99">
        <v>65739</v>
      </c>
      <c r="H805" s="98" t="s">
        <v>177</v>
      </c>
      <c r="I805" s="99">
        <v>49898</v>
      </c>
      <c r="J805" s="98" t="s">
        <v>198</v>
      </c>
      <c r="K805" s="99">
        <v>55512</v>
      </c>
      <c r="L805" s="98" t="s">
        <v>177</v>
      </c>
      <c r="M805" s="99">
        <v>53373</v>
      </c>
      <c r="N805" s="98" t="s">
        <v>207</v>
      </c>
    </row>
    <row r="806" spans="1:14" x14ac:dyDescent="0.25">
      <c r="A806" s="100">
        <v>53377</v>
      </c>
      <c r="C806" s="99">
        <v>56337</v>
      </c>
      <c r="D806" s="98" t="s">
        <v>181</v>
      </c>
      <c r="G806" s="99">
        <v>65740</v>
      </c>
      <c r="H806" s="98" t="s">
        <v>182</v>
      </c>
      <c r="I806" s="99">
        <v>49933</v>
      </c>
      <c r="J806" s="98" t="s">
        <v>200</v>
      </c>
      <c r="K806" s="99">
        <v>55513</v>
      </c>
      <c r="L806" s="98" t="s">
        <v>182</v>
      </c>
      <c r="M806" s="99">
        <v>53377</v>
      </c>
      <c r="N806" s="98" t="s">
        <v>199</v>
      </c>
    </row>
    <row r="807" spans="1:14" x14ac:dyDescent="0.25">
      <c r="A807" s="100">
        <v>53475</v>
      </c>
      <c r="C807" s="99">
        <v>56338</v>
      </c>
      <c r="D807" s="98" t="s">
        <v>162</v>
      </c>
      <c r="G807" s="99">
        <v>65746</v>
      </c>
      <c r="H807" s="98" t="s">
        <v>160</v>
      </c>
      <c r="I807" s="99">
        <v>49940</v>
      </c>
      <c r="J807" s="98" t="s">
        <v>203</v>
      </c>
      <c r="K807" s="99">
        <v>55519</v>
      </c>
      <c r="L807" s="98" t="s">
        <v>160</v>
      </c>
      <c r="M807" s="99">
        <v>53475</v>
      </c>
      <c r="N807" s="98" t="s">
        <v>166</v>
      </c>
    </row>
    <row r="808" spans="1:14" x14ac:dyDescent="0.25">
      <c r="A808" s="100">
        <v>53497</v>
      </c>
      <c r="C808" s="99">
        <v>56364</v>
      </c>
      <c r="D808" s="98" t="s">
        <v>185</v>
      </c>
      <c r="G808" s="99">
        <v>65841</v>
      </c>
      <c r="H808" s="98" t="s">
        <v>159</v>
      </c>
      <c r="I808" s="99">
        <v>49961</v>
      </c>
      <c r="J808" s="98" t="s">
        <v>205</v>
      </c>
      <c r="K808" s="99">
        <v>55520</v>
      </c>
      <c r="L808" s="98" t="s">
        <v>165</v>
      </c>
      <c r="M808" s="99">
        <v>53497</v>
      </c>
      <c r="N808" s="98" t="s">
        <v>170</v>
      </c>
    </row>
    <row r="809" spans="1:14" x14ac:dyDescent="0.25">
      <c r="A809" s="100">
        <v>53512</v>
      </c>
      <c r="C809" s="99">
        <v>56408</v>
      </c>
      <c r="D809" s="98" t="s">
        <v>191</v>
      </c>
      <c r="G809" s="99">
        <v>65844</v>
      </c>
      <c r="H809" s="98" t="s">
        <v>162</v>
      </c>
      <c r="I809" s="99">
        <v>49982</v>
      </c>
      <c r="J809" s="98" t="s">
        <v>209</v>
      </c>
      <c r="K809" s="99">
        <v>55547</v>
      </c>
      <c r="L809" s="98" t="s">
        <v>206</v>
      </c>
      <c r="M809" s="99">
        <v>53512</v>
      </c>
      <c r="N809" s="98" t="s">
        <v>175</v>
      </c>
    </row>
    <row r="810" spans="1:14" x14ac:dyDescent="0.25">
      <c r="A810" s="100">
        <v>53573</v>
      </c>
      <c r="C810" s="99">
        <v>56464</v>
      </c>
      <c r="D810" s="98" t="s">
        <v>202</v>
      </c>
      <c r="G810" s="99">
        <v>65872</v>
      </c>
      <c r="H810" s="98" t="s">
        <v>163</v>
      </c>
      <c r="I810" s="99">
        <v>50002</v>
      </c>
      <c r="J810" s="98" t="s">
        <v>211</v>
      </c>
      <c r="K810" s="99">
        <v>55555</v>
      </c>
      <c r="L810" s="98" t="s">
        <v>169</v>
      </c>
      <c r="M810" s="99">
        <v>53573</v>
      </c>
      <c r="N810" s="98" t="s">
        <v>184</v>
      </c>
    </row>
    <row r="811" spans="1:14" x14ac:dyDescent="0.25">
      <c r="A811" s="100">
        <v>53608</v>
      </c>
      <c r="C811" s="99">
        <v>56527</v>
      </c>
      <c r="D811" s="98" t="s">
        <v>189</v>
      </c>
      <c r="G811" s="99">
        <v>65893</v>
      </c>
      <c r="H811" s="98" t="s">
        <v>167</v>
      </c>
      <c r="I811" s="99">
        <v>50003</v>
      </c>
      <c r="J811" s="98" t="s">
        <v>212</v>
      </c>
      <c r="K811" s="99">
        <v>55628</v>
      </c>
      <c r="L811" s="98" t="s">
        <v>159</v>
      </c>
      <c r="M811" s="99">
        <v>53608</v>
      </c>
      <c r="N811" s="98" t="s">
        <v>201</v>
      </c>
    </row>
    <row r="812" spans="1:14" x14ac:dyDescent="0.25">
      <c r="A812" s="100">
        <v>53637</v>
      </c>
      <c r="C812" s="99">
        <v>56608</v>
      </c>
      <c r="D812" s="98" t="s">
        <v>177</v>
      </c>
      <c r="G812" s="99">
        <v>65984</v>
      </c>
      <c r="H812" s="98" t="s">
        <v>193</v>
      </c>
      <c r="I812" s="99">
        <v>50041</v>
      </c>
      <c r="J812" s="98" t="s">
        <v>161</v>
      </c>
      <c r="K812" s="99">
        <v>55631</v>
      </c>
      <c r="L812" s="98" t="s">
        <v>162</v>
      </c>
      <c r="M812" s="99">
        <v>53637</v>
      </c>
      <c r="N812" s="98" t="s">
        <v>210</v>
      </c>
    </row>
    <row r="813" spans="1:14" x14ac:dyDescent="0.25">
      <c r="A813" s="100">
        <v>53642</v>
      </c>
      <c r="C813" s="99">
        <v>56609</v>
      </c>
      <c r="D813" s="98" t="s">
        <v>182</v>
      </c>
      <c r="G813" s="99">
        <v>66105</v>
      </c>
      <c r="H813" s="98" t="s">
        <v>177</v>
      </c>
      <c r="I813" s="99">
        <v>50052</v>
      </c>
      <c r="J813" s="98" t="s">
        <v>164</v>
      </c>
      <c r="K813" s="99">
        <v>55634</v>
      </c>
      <c r="L813" s="98" t="s">
        <v>174</v>
      </c>
      <c r="M813" s="99">
        <v>53642</v>
      </c>
      <c r="N813" s="98" t="s">
        <v>188</v>
      </c>
    </row>
    <row r="814" spans="1:14" x14ac:dyDescent="0.25">
      <c r="A814" s="100">
        <v>53643</v>
      </c>
      <c r="C814" s="99">
        <v>56611</v>
      </c>
      <c r="D814" s="98" t="s">
        <v>186</v>
      </c>
      <c r="G814" s="99">
        <v>66106</v>
      </c>
      <c r="H814" s="98" t="s">
        <v>182</v>
      </c>
      <c r="I814" s="99">
        <v>50082</v>
      </c>
      <c r="J814" s="98" t="s">
        <v>168</v>
      </c>
      <c r="K814" s="99">
        <v>55673</v>
      </c>
      <c r="L814" s="98" t="s">
        <v>191</v>
      </c>
      <c r="M814" s="99">
        <v>53643</v>
      </c>
      <c r="N814" s="98" t="s">
        <v>220</v>
      </c>
    </row>
    <row r="815" spans="1:14" x14ac:dyDescent="0.25">
      <c r="A815" s="100">
        <v>53653</v>
      </c>
      <c r="C815" s="99">
        <v>56615</v>
      </c>
      <c r="D815" s="98" t="s">
        <v>160</v>
      </c>
      <c r="G815" s="99">
        <v>66112</v>
      </c>
      <c r="H815" s="98" t="s">
        <v>160</v>
      </c>
      <c r="I815" s="99">
        <v>50094</v>
      </c>
      <c r="J815" s="98" t="s">
        <v>173</v>
      </c>
      <c r="K815" s="99">
        <v>55691</v>
      </c>
      <c r="L815" s="98" t="s">
        <v>195</v>
      </c>
      <c r="M815" s="99">
        <v>53653</v>
      </c>
      <c r="N815" s="98" t="s">
        <v>192</v>
      </c>
    </row>
    <row r="816" spans="1:14" x14ac:dyDescent="0.25">
      <c r="A816" s="100">
        <v>53686</v>
      </c>
      <c r="C816" s="99">
        <v>56640</v>
      </c>
      <c r="D816" s="98" t="s">
        <v>171</v>
      </c>
      <c r="G816" s="99">
        <v>66198</v>
      </c>
      <c r="H816" s="98" t="s">
        <v>159</v>
      </c>
      <c r="I816" s="99">
        <v>50119</v>
      </c>
      <c r="J816" s="98" t="s">
        <v>178</v>
      </c>
      <c r="K816" s="99">
        <v>55820</v>
      </c>
      <c r="L816" s="98" t="s">
        <v>189</v>
      </c>
      <c r="M816" s="99">
        <v>53686</v>
      </c>
      <c r="N816" s="98" t="s">
        <v>177</v>
      </c>
    </row>
    <row r="817" spans="1:14" x14ac:dyDescent="0.25">
      <c r="A817" s="100">
        <v>53693</v>
      </c>
      <c r="C817" s="99">
        <v>56720</v>
      </c>
      <c r="D817" s="98" t="s">
        <v>159</v>
      </c>
      <c r="G817" s="99">
        <v>66201</v>
      </c>
      <c r="H817" s="98" t="s">
        <v>162</v>
      </c>
      <c r="I817" s="99">
        <v>50159</v>
      </c>
      <c r="J817" s="98" t="s">
        <v>183</v>
      </c>
      <c r="K817" s="99">
        <v>55878</v>
      </c>
      <c r="L817" s="98" t="s">
        <v>177</v>
      </c>
      <c r="M817" s="99">
        <v>53693</v>
      </c>
      <c r="N817" s="98" t="s">
        <v>160</v>
      </c>
    </row>
    <row r="818" spans="1:14" x14ac:dyDescent="0.25">
      <c r="A818" s="100">
        <v>53713</v>
      </c>
      <c r="C818" s="99">
        <v>56721</v>
      </c>
      <c r="D818" s="98" t="s">
        <v>176</v>
      </c>
      <c r="G818" s="99">
        <v>66236</v>
      </c>
      <c r="H818" s="98" t="s">
        <v>163</v>
      </c>
      <c r="I818" s="99">
        <v>50163</v>
      </c>
      <c r="J818" s="98" t="s">
        <v>187</v>
      </c>
      <c r="K818" s="99">
        <v>55879</v>
      </c>
      <c r="L818" s="98" t="s">
        <v>182</v>
      </c>
      <c r="M818" s="99">
        <v>53713</v>
      </c>
      <c r="N818" s="98" t="s">
        <v>197</v>
      </c>
    </row>
    <row r="819" spans="1:14" x14ac:dyDescent="0.25">
      <c r="A819" s="100">
        <v>53735</v>
      </c>
      <c r="C819" s="99">
        <v>56722</v>
      </c>
      <c r="D819" s="98" t="s">
        <v>181</v>
      </c>
      <c r="G819" s="99">
        <v>66257</v>
      </c>
      <c r="H819" s="98" t="s">
        <v>167</v>
      </c>
      <c r="I819" s="99">
        <v>50164</v>
      </c>
      <c r="J819" s="98" t="s">
        <v>190</v>
      </c>
      <c r="K819" s="99">
        <v>55885</v>
      </c>
      <c r="L819" s="98" t="s">
        <v>160</v>
      </c>
      <c r="M819" s="99">
        <v>53735</v>
      </c>
      <c r="N819" s="98" t="s">
        <v>204</v>
      </c>
    </row>
    <row r="820" spans="1:14" x14ac:dyDescent="0.25">
      <c r="A820" s="100">
        <v>53738</v>
      </c>
      <c r="C820" s="99">
        <v>56723</v>
      </c>
      <c r="D820" s="98" t="s">
        <v>162</v>
      </c>
      <c r="G820" s="99">
        <v>66348</v>
      </c>
      <c r="H820" s="98" t="s">
        <v>193</v>
      </c>
      <c r="I820" s="99">
        <v>50165</v>
      </c>
      <c r="J820" s="98" t="s">
        <v>194</v>
      </c>
      <c r="K820" s="99">
        <v>55886</v>
      </c>
      <c r="L820" s="98" t="s">
        <v>165</v>
      </c>
      <c r="M820" s="99">
        <v>53738</v>
      </c>
      <c r="N820" s="98" t="s">
        <v>207</v>
      </c>
    </row>
    <row r="821" spans="1:14" x14ac:dyDescent="0.25">
      <c r="A821" s="100">
        <v>53741</v>
      </c>
      <c r="C821" s="99">
        <v>56729</v>
      </c>
      <c r="D821" s="98" t="s">
        <v>185</v>
      </c>
      <c r="G821" s="99">
        <v>66470</v>
      </c>
      <c r="H821" s="98" t="s">
        <v>177</v>
      </c>
      <c r="I821" s="99">
        <v>50166</v>
      </c>
      <c r="J821" s="98" t="s">
        <v>212</v>
      </c>
      <c r="K821" s="99">
        <v>55911</v>
      </c>
      <c r="L821" s="98" t="s">
        <v>206</v>
      </c>
      <c r="M821" s="99">
        <v>53741</v>
      </c>
      <c r="N821" s="98" t="s">
        <v>199</v>
      </c>
    </row>
    <row r="822" spans="1:14" x14ac:dyDescent="0.25">
      <c r="A822" s="100">
        <v>53839</v>
      </c>
      <c r="C822" s="99">
        <v>56779</v>
      </c>
      <c r="D822" s="98" t="s">
        <v>191</v>
      </c>
      <c r="G822" s="99">
        <v>66471</v>
      </c>
      <c r="H822" s="98" t="s">
        <v>182</v>
      </c>
      <c r="I822" s="99">
        <v>50241</v>
      </c>
      <c r="J822" s="98" t="s">
        <v>196</v>
      </c>
      <c r="K822" s="99">
        <v>55921</v>
      </c>
      <c r="L822" s="98" t="s">
        <v>169</v>
      </c>
      <c r="M822" s="99">
        <v>53839</v>
      </c>
      <c r="N822" s="98" t="s">
        <v>166</v>
      </c>
    </row>
    <row r="823" spans="1:14" x14ac:dyDescent="0.25">
      <c r="A823" s="100">
        <v>53862</v>
      </c>
      <c r="C823" s="99">
        <v>56828</v>
      </c>
      <c r="D823" s="98" t="s">
        <v>202</v>
      </c>
      <c r="G823" s="99">
        <v>66477</v>
      </c>
      <c r="H823" s="98" t="s">
        <v>160</v>
      </c>
      <c r="I823" s="99">
        <v>50263</v>
      </c>
      <c r="J823" s="98" t="s">
        <v>198</v>
      </c>
      <c r="K823" s="99">
        <v>55978</v>
      </c>
      <c r="L823" s="98" t="s">
        <v>159</v>
      </c>
      <c r="M823" s="99">
        <v>53862</v>
      </c>
      <c r="N823" s="98" t="s">
        <v>170</v>
      </c>
    </row>
    <row r="824" spans="1:14" x14ac:dyDescent="0.25">
      <c r="A824" s="100">
        <v>53877</v>
      </c>
      <c r="C824" s="99">
        <v>56891</v>
      </c>
      <c r="D824" s="98" t="s">
        <v>189</v>
      </c>
      <c r="G824" s="99">
        <v>66583</v>
      </c>
      <c r="H824" s="98" t="s">
        <v>159</v>
      </c>
      <c r="I824" s="99">
        <v>50304</v>
      </c>
      <c r="J824" s="98" t="s">
        <v>200</v>
      </c>
      <c r="K824" s="99">
        <v>55981</v>
      </c>
      <c r="L824" s="98" t="s">
        <v>162</v>
      </c>
      <c r="M824" s="99">
        <v>53877</v>
      </c>
      <c r="N824" s="98" t="s">
        <v>175</v>
      </c>
    </row>
    <row r="825" spans="1:14" x14ac:dyDescent="0.25">
      <c r="A825" s="100">
        <v>53937</v>
      </c>
      <c r="C825" s="99">
        <v>56973</v>
      </c>
      <c r="D825" s="98" t="s">
        <v>177</v>
      </c>
      <c r="G825" s="99">
        <v>66586</v>
      </c>
      <c r="H825" s="98" t="s">
        <v>162</v>
      </c>
      <c r="I825" s="99">
        <v>50305</v>
      </c>
      <c r="J825" s="98" t="s">
        <v>218</v>
      </c>
      <c r="K825" s="99">
        <v>55999</v>
      </c>
      <c r="L825" s="98" t="s">
        <v>174</v>
      </c>
      <c r="M825" s="99">
        <v>53937</v>
      </c>
      <c r="N825" s="98" t="s">
        <v>184</v>
      </c>
    </row>
    <row r="826" spans="1:14" x14ac:dyDescent="0.25">
      <c r="A826" s="100">
        <v>53979</v>
      </c>
      <c r="C826" s="99">
        <v>56974</v>
      </c>
      <c r="D826" s="98" t="s">
        <v>182</v>
      </c>
      <c r="G826" s="99">
        <v>66600</v>
      </c>
      <c r="H826" s="98" t="s">
        <v>163</v>
      </c>
      <c r="I826" s="99">
        <v>50306</v>
      </c>
      <c r="J826" s="98" t="s">
        <v>203</v>
      </c>
      <c r="K826" s="99">
        <v>56037</v>
      </c>
      <c r="L826" s="98" t="s">
        <v>191</v>
      </c>
      <c r="M826" s="99">
        <v>53979</v>
      </c>
      <c r="N826" s="98" t="s">
        <v>201</v>
      </c>
    </row>
    <row r="827" spans="1:14" x14ac:dyDescent="0.25">
      <c r="A827" s="100">
        <v>54001</v>
      </c>
      <c r="C827" s="99">
        <v>56975</v>
      </c>
      <c r="D827" s="98" t="s">
        <v>208</v>
      </c>
      <c r="G827" s="99">
        <v>66621</v>
      </c>
      <c r="H827" s="98" t="s">
        <v>167</v>
      </c>
      <c r="I827" s="99">
        <v>50325</v>
      </c>
      <c r="J827" s="98" t="s">
        <v>205</v>
      </c>
      <c r="K827" s="99">
        <v>56184</v>
      </c>
      <c r="L827" s="98" t="s">
        <v>189</v>
      </c>
      <c r="M827" s="99">
        <v>54001</v>
      </c>
      <c r="N827" s="98" t="s">
        <v>210</v>
      </c>
    </row>
    <row r="828" spans="1:14" x14ac:dyDescent="0.25">
      <c r="A828" s="100">
        <v>54007</v>
      </c>
      <c r="C828" s="99">
        <v>56976</v>
      </c>
      <c r="D828" s="98" t="s">
        <v>186</v>
      </c>
      <c r="G828" s="99">
        <v>66719</v>
      </c>
      <c r="H828" s="98" t="s">
        <v>193</v>
      </c>
      <c r="I828" s="99">
        <v>50347</v>
      </c>
      <c r="J828" s="98" t="s">
        <v>209</v>
      </c>
      <c r="K828" s="99">
        <v>56243</v>
      </c>
      <c r="L828" s="98" t="s">
        <v>177</v>
      </c>
      <c r="M828" s="99">
        <v>54007</v>
      </c>
      <c r="N828" s="98" t="s">
        <v>188</v>
      </c>
    </row>
    <row r="829" spans="1:14" x14ac:dyDescent="0.25">
      <c r="A829" s="100">
        <v>54024</v>
      </c>
      <c r="C829" s="99">
        <v>56980</v>
      </c>
      <c r="D829" s="98" t="s">
        <v>160</v>
      </c>
      <c r="G829" s="99">
        <v>66835</v>
      </c>
      <c r="H829" s="98" t="s">
        <v>177</v>
      </c>
      <c r="I829" s="99">
        <v>50367</v>
      </c>
      <c r="J829" s="98" t="s">
        <v>211</v>
      </c>
      <c r="K829" s="99">
        <v>56244</v>
      </c>
      <c r="L829" s="98" t="s">
        <v>182</v>
      </c>
      <c r="M829" s="99">
        <v>54024</v>
      </c>
      <c r="N829" s="98" t="s">
        <v>192</v>
      </c>
    </row>
    <row r="830" spans="1:14" x14ac:dyDescent="0.25">
      <c r="A830" s="100">
        <v>54051</v>
      </c>
      <c r="C830" s="99">
        <v>56982</v>
      </c>
      <c r="D830" s="98" t="s">
        <v>214</v>
      </c>
      <c r="G830" s="99">
        <v>66836</v>
      </c>
      <c r="H830" s="98" t="s">
        <v>182</v>
      </c>
      <c r="I830" s="99">
        <v>50406</v>
      </c>
      <c r="J830" s="98" t="s">
        <v>161</v>
      </c>
      <c r="K830" s="99">
        <v>56250</v>
      </c>
      <c r="L830" s="98" t="s">
        <v>160</v>
      </c>
      <c r="M830" s="99">
        <v>54051</v>
      </c>
      <c r="N830" s="98" t="s">
        <v>177</v>
      </c>
    </row>
    <row r="831" spans="1:14" x14ac:dyDescent="0.25">
      <c r="A831" s="100">
        <v>54058</v>
      </c>
      <c r="C831" s="99">
        <v>57005</v>
      </c>
      <c r="D831" s="98" t="s">
        <v>171</v>
      </c>
      <c r="G831" s="99">
        <v>66838</v>
      </c>
      <c r="H831" s="98" t="s">
        <v>186</v>
      </c>
      <c r="I831" s="99">
        <v>50416</v>
      </c>
      <c r="J831" s="98" t="s">
        <v>164</v>
      </c>
      <c r="K831" s="99">
        <v>56251</v>
      </c>
      <c r="L831" s="98" t="s">
        <v>165</v>
      </c>
      <c r="M831" s="99">
        <v>54058</v>
      </c>
      <c r="N831" s="98" t="s">
        <v>160</v>
      </c>
    </row>
    <row r="832" spans="1:14" x14ac:dyDescent="0.25">
      <c r="A832" s="100">
        <v>54077</v>
      </c>
      <c r="C832" s="99">
        <v>57070</v>
      </c>
      <c r="D832" s="98" t="s">
        <v>159</v>
      </c>
      <c r="G832" s="99">
        <v>66842</v>
      </c>
      <c r="H832" s="98" t="s">
        <v>160</v>
      </c>
      <c r="I832" s="99">
        <v>50447</v>
      </c>
      <c r="J832" s="98" t="s">
        <v>168</v>
      </c>
      <c r="K832" s="99">
        <v>56275</v>
      </c>
      <c r="L832" s="98" t="s">
        <v>206</v>
      </c>
      <c r="M832" s="99">
        <v>54077</v>
      </c>
      <c r="N832" s="98" t="s">
        <v>197</v>
      </c>
    </row>
    <row r="833" spans="1:14" x14ac:dyDescent="0.25">
      <c r="A833" s="100">
        <v>54100</v>
      </c>
      <c r="C833" s="99">
        <v>57071</v>
      </c>
      <c r="D833" s="98" t="s">
        <v>176</v>
      </c>
      <c r="G833" s="99">
        <v>66933</v>
      </c>
      <c r="H833" s="98" t="s">
        <v>159</v>
      </c>
      <c r="I833" s="99">
        <v>50459</v>
      </c>
      <c r="J833" s="98" t="s">
        <v>173</v>
      </c>
      <c r="K833" s="99">
        <v>56286</v>
      </c>
      <c r="L833" s="98" t="s">
        <v>169</v>
      </c>
      <c r="M833" s="99">
        <v>54100</v>
      </c>
      <c r="N833" s="98" t="s">
        <v>204</v>
      </c>
    </row>
    <row r="834" spans="1:14" x14ac:dyDescent="0.25">
      <c r="A834" s="100">
        <v>54103</v>
      </c>
      <c r="C834" s="99">
        <v>57072</v>
      </c>
      <c r="D834" s="98" t="s">
        <v>181</v>
      </c>
      <c r="G834" s="99">
        <v>66936</v>
      </c>
      <c r="H834" s="98" t="s">
        <v>162</v>
      </c>
      <c r="I834" s="99">
        <v>50484</v>
      </c>
      <c r="J834" s="98" t="s">
        <v>178</v>
      </c>
      <c r="K834" s="99">
        <v>56335</v>
      </c>
      <c r="L834" s="98" t="s">
        <v>159</v>
      </c>
      <c r="M834" s="99">
        <v>54103</v>
      </c>
      <c r="N834" s="98" t="s">
        <v>207</v>
      </c>
    </row>
    <row r="835" spans="1:14" x14ac:dyDescent="0.25">
      <c r="A835" s="100">
        <v>54105</v>
      </c>
      <c r="C835" s="99">
        <v>57073</v>
      </c>
      <c r="D835" s="98" t="s">
        <v>162</v>
      </c>
      <c r="G835" s="99">
        <v>66964</v>
      </c>
      <c r="H835" s="98" t="s">
        <v>163</v>
      </c>
      <c r="I835" s="99">
        <v>50524</v>
      </c>
      <c r="J835" s="98" t="s">
        <v>183</v>
      </c>
      <c r="K835" s="99">
        <v>56338</v>
      </c>
      <c r="L835" s="98" t="s">
        <v>162</v>
      </c>
      <c r="M835" s="99">
        <v>54105</v>
      </c>
      <c r="N835" s="98" t="s">
        <v>199</v>
      </c>
    </row>
    <row r="836" spans="1:14" x14ac:dyDescent="0.25">
      <c r="A836" s="100">
        <v>54203</v>
      </c>
      <c r="C836" s="99">
        <v>57095</v>
      </c>
      <c r="D836" s="98" t="s">
        <v>185</v>
      </c>
      <c r="G836" s="99">
        <v>66992</v>
      </c>
      <c r="H836" s="98" t="s">
        <v>167</v>
      </c>
      <c r="I836" s="99">
        <v>50528</v>
      </c>
      <c r="J836" s="98" t="s">
        <v>187</v>
      </c>
      <c r="K836" s="99">
        <v>56364</v>
      </c>
      <c r="L836" s="98" t="s">
        <v>174</v>
      </c>
      <c r="M836" s="99">
        <v>54203</v>
      </c>
      <c r="N836" s="98" t="s">
        <v>166</v>
      </c>
    </row>
    <row r="837" spans="1:14" x14ac:dyDescent="0.25">
      <c r="A837" s="100">
        <v>54228</v>
      </c>
      <c r="C837" s="99">
        <v>57143</v>
      </c>
      <c r="D837" s="98" t="s">
        <v>191</v>
      </c>
      <c r="G837" s="99">
        <v>67083</v>
      </c>
      <c r="H837" s="98" t="s">
        <v>193</v>
      </c>
      <c r="I837" s="99">
        <v>50529</v>
      </c>
      <c r="J837" s="98" t="s">
        <v>190</v>
      </c>
      <c r="K837" s="99">
        <v>56366</v>
      </c>
      <c r="L837" s="98" t="s">
        <v>179</v>
      </c>
      <c r="M837" s="99">
        <v>54228</v>
      </c>
      <c r="N837" s="98" t="s">
        <v>170</v>
      </c>
    </row>
    <row r="838" spans="1:14" x14ac:dyDescent="0.25">
      <c r="A838" s="100">
        <v>54242</v>
      </c>
      <c r="C838" s="99">
        <v>57199</v>
      </c>
      <c r="D838" s="98" t="s">
        <v>202</v>
      </c>
      <c r="G838" s="99">
        <v>67200</v>
      </c>
      <c r="H838" s="98" t="s">
        <v>177</v>
      </c>
      <c r="I838" s="99">
        <v>50530</v>
      </c>
      <c r="J838" s="98" t="s">
        <v>194</v>
      </c>
      <c r="K838" s="99">
        <v>56401</v>
      </c>
      <c r="L838" s="98" t="s">
        <v>191</v>
      </c>
      <c r="M838" s="99">
        <v>54242</v>
      </c>
      <c r="N838" s="98" t="s">
        <v>180</v>
      </c>
    </row>
    <row r="839" spans="1:14" x14ac:dyDescent="0.25">
      <c r="A839" s="100">
        <v>54243</v>
      </c>
      <c r="C839" s="99">
        <v>57255</v>
      </c>
      <c r="D839" s="98" t="s">
        <v>189</v>
      </c>
      <c r="G839" s="99">
        <v>67201</v>
      </c>
      <c r="H839" s="98" t="s">
        <v>182</v>
      </c>
      <c r="I839" s="99">
        <v>50605</v>
      </c>
      <c r="J839" s="98" t="s">
        <v>196</v>
      </c>
      <c r="K839" s="99">
        <v>56548</v>
      </c>
      <c r="L839" s="98" t="s">
        <v>189</v>
      </c>
      <c r="M839" s="99">
        <v>54243</v>
      </c>
      <c r="N839" s="98" t="s">
        <v>175</v>
      </c>
    </row>
    <row r="840" spans="1:14" x14ac:dyDescent="0.25">
      <c r="A840" s="100">
        <v>54308</v>
      </c>
      <c r="C840" s="99">
        <v>57339</v>
      </c>
      <c r="D840" s="98" t="s">
        <v>177</v>
      </c>
      <c r="G840" s="99">
        <v>67202</v>
      </c>
      <c r="H840" s="98" t="s">
        <v>208</v>
      </c>
      <c r="I840" s="99">
        <v>50628</v>
      </c>
      <c r="J840" s="98" t="s">
        <v>198</v>
      </c>
      <c r="K840" s="99">
        <v>56608</v>
      </c>
      <c r="L840" s="98" t="s">
        <v>177</v>
      </c>
      <c r="M840" s="99">
        <v>54308</v>
      </c>
      <c r="N840" s="98" t="s">
        <v>184</v>
      </c>
    </row>
    <row r="841" spans="1:14" x14ac:dyDescent="0.25">
      <c r="A841" s="100">
        <v>54343</v>
      </c>
      <c r="C841" s="99">
        <v>57340</v>
      </c>
      <c r="D841" s="98" t="s">
        <v>182</v>
      </c>
      <c r="G841" s="99">
        <v>67203</v>
      </c>
      <c r="H841" s="98" t="s">
        <v>186</v>
      </c>
      <c r="I841" s="99">
        <v>50668</v>
      </c>
      <c r="J841" s="98" t="s">
        <v>200</v>
      </c>
      <c r="K841" s="99">
        <v>56609</v>
      </c>
      <c r="L841" s="98" t="s">
        <v>182</v>
      </c>
      <c r="M841" s="99">
        <v>54343</v>
      </c>
      <c r="N841" s="98" t="s">
        <v>201</v>
      </c>
    </row>
    <row r="842" spans="1:14" x14ac:dyDescent="0.25">
      <c r="A842" s="100">
        <v>54365</v>
      </c>
      <c r="C842" s="99">
        <v>57346</v>
      </c>
      <c r="D842" s="98" t="s">
        <v>160</v>
      </c>
      <c r="G842" s="99">
        <v>67207</v>
      </c>
      <c r="H842" s="98" t="s">
        <v>160</v>
      </c>
      <c r="I842" s="99">
        <v>50671</v>
      </c>
      <c r="J842" s="98" t="s">
        <v>203</v>
      </c>
      <c r="K842" s="99">
        <v>56611</v>
      </c>
      <c r="L842" s="98" t="s">
        <v>186</v>
      </c>
      <c r="M842" s="99">
        <v>54365</v>
      </c>
      <c r="N842" s="98" t="s">
        <v>210</v>
      </c>
    </row>
    <row r="843" spans="1:14" x14ac:dyDescent="0.25">
      <c r="A843" s="100">
        <v>54373</v>
      </c>
      <c r="C843" s="99">
        <v>57371</v>
      </c>
      <c r="D843" s="98" t="s">
        <v>171</v>
      </c>
      <c r="G843" s="99">
        <v>67209</v>
      </c>
      <c r="H843" s="98" t="s">
        <v>214</v>
      </c>
      <c r="I843" s="99">
        <v>50689</v>
      </c>
      <c r="J843" s="98" t="s">
        <v>205</v>
      </c>
      <c r="K843" s="99">
        <v>56615</v>
      </c>
      <c r="L843" s="98" t="s">
        <v>160</v>
      </c>
      <c r="M843" s="99">
        <v>54373</v>
      </c>
      <c r="N843" s="98" t="s">
        <v>188</v>
      </c>
    </row>
    <row r="844" spans="1:14" x14ac:dyDescent="0.25">
      <c r="A844" s="100">
        <v>54388</v>
      </c>
      <c r="C844" s="99">
        <v>57455</v>
      </c>
      <c r="D844" s="98" t="s">
        <v>159</v>
      </c>
      <c r="G844" s="99">
        <v>67290</v>
      </c>
      <c r="H844" s="98" t="s">
        <v>159</v>
      </c>
      <c r="I844" s="99">
        <v>50712</v>
      </c>
      <c r="J844" s="98" t="s">
        <v>209</v>
      </c>
      <c r="K844" s="99">
        <v>56616</v>
      </c>
      <c r="L844" s="98" t="s">
        <v>165</v>
      </c>
      <c r="M844" s="99">
        <v>54388</v>
      </c>
      <c r="N844" s="98" t="s">
        <v>192</v>
      </c>
    </row>
    <row r="845" spans="1:14" x14ac:dyDescent="0.25">
      <c r="A845" s="100">
        <v>54417</v>
      </c>
      <c r="C845" s="99">
        <v>57456</v>
      </c>
      <c r="D845" s="98" t="s">
        <v>176</v>
      </c>
      <c r="G845" s="99">
        <v>67293</v>
      </c>
      <c r="H845" s="98" t="s">
        <v>162</v>
      </c>
      <c r="I845" s="99">
        <v>50732</v>
      </c>
      <c r="J845" s="98" t="s">
        <v>211</v>
      </c>
      <c r="K845" s="99">
        <v>56618</v>
      </c>
      <c r="L845" s="98" t="s">
        <v>213</v>
      </c>
      <c r="M845" s="99">
        <v>54417</v>
      </c>
      <c r="N845" s="98" t="s">
        <v>177</v>
      </c>
    </row>
    <row r="846" spans="1:14" x14ac:dyDescent="0.25">
      <c r="A846" s="100">
        <v>54424</v>
      </c>
      <c r="C846" s="99">
        <v>57457</v>
      </c>
      <c r="D846" s="98" t="s">
        <v>181</v>
      </c>
      <c r="G846" s="99">
        <v>67328</v>
      </c>
      <c r="H846" s="98" t="s">
        <v>163</v>
      </c>
      <c r="I846" s="99">
        <v>50771</v>
      </c>
      <c r="J846" s="98" t="s">
        <v>161</v>
      </c>
      <c r="K846" s="99">
        <v>56646</v>
      </c>
      <c r="L846" s="98" t="s">
        <v>206</v>
      </c>
      <c r="M846" s="99">
        <v>54424</v>
      </c>
      <c r="N846" s="98" t="s">
        <v>160</v>
      </c>
    </row>
    <row r="847" spans="1:14" x14ac:dyDescent="0.25">
      <c r="A847" s="100">
        <v>54441</v>
      </c>
      <c r="C847" s="99">
        <v>57458</v>
      </c>
      <c r="D847" s="98" t="s">
        <v>162</v>
      </c>
      <c r="G847" s="99">
        <v>67356</v>
      </c>
      <c r="H847" s="98" t="s">
        <v>167</v>
      </c>
      <c r="I847" s="99">
        <v>50780</v>
      </c>
      <c r="J847" s="98" t="s">
        <v>164</v>
      </c>
      <c r="K847" s="99">
        <v>56651</v>
      </c>
      <c r="L847" s="98" t="s">
        <v>169</v>
      </c>
      <c r="M847" s="99">
        <v>54441</v>
      </c>
      <c r="N847" s="98" t="s">
        <v>197</v>
      </c>
    </row>
    <row r="848" spans="1:14" x14ac:dyDescent="0.25">
      <c r="A848" s="100">
        <v>54466</v>
      </c>
      <c r="C848" s="99">
        <v>57460</v>
      </c>
      <c r="D848" s="98" t="s">
        <v>185</v>
      </c>
      <c r="G848" s="99">
        <v>67447</v>
      </c>
      <c r="H848" s="98" t="s">
        <v>193</v>
      </c>
      <c r="I848" s="99">
        <v>50812</v>
      </c>
      <c r="J848" s="98" t="s">
        <v>168</v>
      </c>
      <c r="K848" s="99">
        <v>56653</v>
      </c>
      <c r="L848" s="98" t="s">
        <v>215</v>
      </c>
      <c r="M848" s="99">
        <v>54466</v>
      </c>
      <c r="N848" s="98" t="s">
        <v>204</v>
      </c>
    </row>
    <row r="849" spans="1:14" x14ac:dyDescent="0.25">
      <c r="A849" s="100">
        <v>54469</v>
      </c>
      <c r="C849" s="99">
        <v>57507</v>
      </c>
      <c r="D849" s="98" t="s">
        <v>191</v>
      </c>
      <c r="G849" s="99">
        <v>67566</v>
      </c>
      <c r="H849" s="98" t="s">
        <v>177</v>
      </c>
      <c r="I849" s="99">
        <v>50824</v>
      </c>
      <c r="J849" s="98" t="s">
        <v>173</v>
      </c>
      <c r="K849" s="99">
        <v>56720</v>
      </c>
      <c r="L849" s="98" t="s">
        <v>159</v>
      </c>
      <c r="M849" s="99">
        <v>54469</v>
      </c>
      <c r="N849" s="98" t="s">
        <v>217</v>
      </c>
    </row>
    <row r="850" spans="1:14" x14ac:dyDescent="0.25">
      <c r="A850" s="100">
        <v>54574</v>
      </c>
      <c r="C850" s="99">
        <v>57563</v>
      </c>
      <c r="D850" s="98" t="s">
        <v>202</v>
      </c>
      <c r="G850" s="99">
        <v>67567</v>
      </c>
      <c r="H850" s="98" t="s">
        <v>182</v>
      </c>
      <c r="I850" s="99">
        <v>50850</v>
      </c>
      <c r="J850" s="98" t="s">
        <v>178</v>
      </c>
      <c r="K850" s="99">
        <v>56723</v>
      </c>
      <c r="L850" s="98" t="s">
        <v>162</v>
      </c>
      <c r="M850" s="99">
        <v>54574</v>
      </c>
      <c r="N850" s="98" t="s">
        <v>166</v>
      </c>
    </row>
    <row r="851" spans="1:14" x14ac:dyDescent="0.25">
      <c r="A851" s="100">
        <v>54592</v>
      </c>
      <c r="C851" s="99">
        <v>57619</v>
      </c>
      <c r="D851" s="98" t="s">
        <v>189</v>
      </c>
      <c r="G851" s="99">
        <v>67573</v>
      </c>
      <c r="H851" s="98" t="s">
        <v>160</v>
      </c>
      <c r="I851" s="99">
        <v>50889</v>
      </c>
      <c r="J851" s="98" t="s">
        <v>183</v>
      </c>
      <c r="K851" s="99">
        <v>56729</v>
      </c>
      <c r="L851" s="98" t="s">
        <v>174</v>
      </c>
      <c r="M851" s="99">
        <v>54592</v>
      </c>
      <c r="N851" s="98" t="s">
        <v>216</v>
      </c>
    </row>
    <row r="852" spans="1:14" x14ac:dyDescent="0.25">
      <c r="A852" s="100">
        <v>54593</v>
      </c>
      <c r="C852" s="99">
        <v>57704</v>
      </c>
      <c r="D852" s="98" t="s">
        <v>177</v>
      </c>
      <c r="G852" s="99">
        <v>67675</v>
      </c>
      <c r="H852" s="98" t="s">
        <v>159</v>
      </c>
      <c r="I852" s="99">
        <v>50893</v>
      </c>
      <c r="J852" s="98" t="s">
        <v>187</v>
      </c>
      <c r="K852" s="99">
        <v>56730</v>
      </c>
      <c r="L852" s="98" t="s">
        <v>179</v>
      </c>
      <c r="M852" s="99">
        <v>54593</v>
      </c>
      <c r="N852" s="98" t="s">
        <v>170</v>
      </c>
    </row>
    <row r="853" spans="1:14" x14ac:dyDescent="0.25">
      <c r="A853" s="100">
        <v>54608</v>
      </c>
      <c r="C853" s="99">
        <v>57705</v>
      </c>
      <c r="D853" s="98" t="s">
        <v>182</v>
      </c>
      <c r="G853" s="99">
        <v>67678</v>
      </c>
      <c r="H853" s="98" t="s">
        <v>162</v>
      </c>
      <c r="I853" s="99">
        <v>50894</v>
      </c>
      <c r="J853" s="98" t="s">
        <v>190</v>
      </c>
      <c r="K853" s="99">
        <v>56772</v>
      </c>
      <c r="L853" s="98" t="s">
        <v>191</v>
      </c>
      <c r="M853" s="99">
        <v>54608</v>
      </c>
      <c r="N853" s="98" t="s">
        <v>175</v>
      </c>
    </row>
    <row r="854" spans="1:14" x14ac:dyDescent="0.25">
      <c r="A854" s="100">
        <v>54609</v>
      </c>
      <c r="C854" s="99">
        <v>57711</v>
      </c>
      <c r="D854" s="98" t="s">
        <v>160</v>
      </c>
      <c r="G854" s="99">
        <v>67699</v>
      </c>
      <c r="H854" s="98" t="s">
        <v>163</v>
      </c>
      <c r="I854" s="99">
        <v>50895</v>
      </c>
      <c r="J854" s="98" t="s">
        <v>194</v>
      </c>
      <c r="K854" s="99">
        <v>56912</v>
      </c>
      <c r="L854" s="98" t="s">
        <v>189</v>
      </c>
      <c r="M854" s="99">
        <v>54609</v>
      </c>
      <c r="N854" s="98" t="s">
        <v>180</v>
      </c>
    </row>
    <row r="855" spans="1:14" x14ac:dyDescent="0.25">
      <c r="A855" s="100">
        <v>54672</v>
      </c>
      <c r="C855" s="99">
        <v>57738</v>
      </c>
      <c r="D855" s="98" t="s">
        <v>171</v>
      </c>
      <c r="G855" s="99">
        <v>67720</v>
      </c>
      <c r="H855" s="98" t="s">
        <v>167</v>
      </c>
      <c r="I855" s="99">
        <v>50969</v>
      </c>
      <c r="J855" s="98" t="s">
        <v>196</v>
      </c>
      <c r="K855" s="99">
        <v>56973</v>
      </c>
      <c r="L855" s="98" t="s">
        <v>177</v>
      </c>
      <c r="M855" s="99">
        <v>54672</v>
      </c>
      <c r="N855" s="98" t="s">
        <v>184</v>
      </c>
    </row>
    <row r="856" spans="1:14" x14ac:dyDescent="0.25">
      <c r="A856" s="100">
        <v>54707</v>
      </c>
      <c r="C856" s="99">
        <v>57812</v>
      </c>
      <c r="D856" s="98" t="s">
        <v>159</v>
      </c>
      <c r="G856" s="99">
        <v>67811</v>
      </c>
      <c r="H856" s="98" t="s">
        <v>193</v>
      </c>
      <c r="I856" s="99">
        <v>50993</v>
      </c>
      <c r="J856" s="98" t="s">
        <v>198</v>
      </c>
      <c r="K856" s="99">
        <v>56974</v>
      </c>
      <c r="L856" s="98" t="s">
        <v>182</v>
      </c>
      <c r="M856" s="99">
        <v>54707</v>
      </c>
      <c r="N856" s="98" t="s">
        <v>201</v>
      </c>
    </row>
    <row r="857" spans="1:14" x14ac:dyDescent="0.25">
      <c r="A857" s="100">
        <v>54729</v>
      </c>
      <c r="C857" s="99">
        <v>57813</v>
      </c>
      <c r="D857" s="98" t="s">
        <v>176</v>
      </c>
      <c r="G857" s="99">
        <v>67931</v>
      </c>
      <c r="H857" s="98" t="s">
        <v>177</v>
      </c>
      <c r="I857" s="99">
        <v>51032</v>
      </c>
      <c r="J857" s="98" t="s">
        <v>200</v>
      </c>
      <c r="K857" s="99">
        <v>56975</v>
      </c>
      <c r="L857" s="98" t="s">
        <v>208</v>
      </c>
      <c r="M857" s="99">
        <v>54729</v>
      </c>
      <c r="N857" s="98" t="s">
        <v>210</v>
      </c>
    </row>
    <row r="858" spans="1:14" x14ac:dyDescent="0.25">
      <c r="A858" s="100">
        <v>54738</v>
      </c>
      <c r="C858" s="99">
        <v>57814</v>
      </c>
      <c r="D858" s="98" t="s">
        <v>181</v>
      </c>
      <c r="G858" s="99">
        <v>67932</v>
      </c>
      <c r="H858" s="98" t="s">
        <v>182</v>
      </c>
      <c r="I858" s="99">
        <v>51036</v>
      </c>
      <c r="J858" s="98" t="s">
        <v>203</v>
      </c>
      <c r="K858" s="99">
        <v>56976</v>
      </c>
      <c r="L858" s="98" t="s">
        <v>186</v>
      </c>
      <c r="M858" s="99">
        <v>54738</v>
      </c>
      <c r="N858" s="98" t="s">
        <v>188</v>
      </c>
    </row>
    <row r="859" spans="1:14" x14ac:dyDescent="0.25">
      <c r="A859" s="100">
        <v>54752</v>
      </c>
      <c r="C859" s="99">
        <v>57815</v>
      </c>
      <c r="D859" s="98" t="s">
        <v>162</v>
      </c>
      <c r="G859" s="99">
        <v>67938</v>
      </c>
      <c r="H859" s="98" t="s">
        <v>160</v>
      </c>
      <c r="I859" s="99">
        <v>51053</v>
      </c>
      <c r="J859" s="98" t="s">
        <v>205</v>
      </c>
      <c r="K859" s="99">
        <v>56980</v>
      </c>
      <c r="L859" s="98" t="s">
        <v>160</v>
      </c>
      <c r="M859" s="99">
        <v>54752</v>
      </c>
      <c r="N859" s="98" t="s">
        <v>192</v>
      </c>
    </row>
    <row r="860" spans="1:14" x14ac:dyDescent="0.25">
      <c r="A860" s="100">
        <v>54781</v>
      </c>
      <c r="C860" s="99">
        <v>57825</v>
      </c>
      <c r="D860" s="98" t="s">
        <v>185</v>
      </c>
      <c r="G860" s="99">
        <v>68025</v>
      </c>
      <c r="H860" s="98" t="s">
        <v>159</v>
      </c>
      <c r="I860" s="99">
        <v>51077</v>
      </c>
      <c r="J860" s="98" t="s">
        <v>209</v>
      </c>
      <c r="K860" s="99">
        <v>56981</v>
      </c>
      <c r="L860" s="98" t="s">
        <v>165</v>
      </c>
      <c r="M860" s="99">
        <v>54781</v>
      </c>
      <c r="N860" s="98" t="s">
        <v>208</v>
      </c>
    </row>
    <row r="861" spans="1:14" x14ac:dyDescent="0.25">
      <c r="A861" s="100">
        <v>54782</v>
      </c>
      <c r="C861" s="99">
        <v>57871</v>
      </c>
      <c r="D861" s="98" t="s">
        <v>191</v>
      </c>
      <c r="G861" s="99">
        <v>68028</v>
      </c>
      <c r="H861" s="98" t="s">
        <v>162</v>
      </c>
      <c r="I861" s="99">
        <v>51097</v>
      </c>
      <c r="J861" s="98" t="s">
        <v>211</v>
      </c>
      <c r="K861" s="99">
        <v>56982</v>
      </c>
      <c r="L861" s="98" t="s">
        <v>214</v>
      </c>
      <c r="M861" s="99">
        <v>54782</v>
      </c>
      <c r="N861" s="98" t="s">
        <v>177</v>
      </c>
    </row>
    <row r="862" spans="1:14" x14ac:dyDescent="0.25">
      <c r="A862" s="100">
        <v>54788</v>
      </c>
      <c r="C862" s="99">
        <v>57927</v>
      </c>
      <c r="D862" s="98" t="s">
        <v>202</v>
      </c>
      <c r="G862" s="99">
        <v>68063</v>
      </c>
      <c r="H862" s="98" t="s">
        <v>163</v>
      </c>
      <c r="I862" s="99">
        <v>51136</v>
      </c>
      <c r="J862" s="98" t="s">
        <v>161</v>
      </c>
      <c r="K862" s="99">
        <v>56983</v>
      </c>
      <c r="L862" s="98" t="s">
        <v>213</v>
      </c>
      <c r="M862" s="99">
        <v>54788</v>
      </c>
      <c r="N862" s="98" t="s">
        <v>214</v>
      </c>
    </row>
    <row r="863" spans="1:14" x14ac:dyDescent="0.25">
      <c r="A863" s="100">
        <v>54789</v>
      </c>
      <c r="C863" s="99">
        <v>57990</v>
      </c>
      <c r="D863" s="98" t="s">
        <v>189</v>
      </c>
      <c r="G863" s="99">
        <v>68084</v>
      </c>
      <c r="H863" s="98" t="s">
        <v>167</v>
      </c>
      <c r="I863" s="99">
        <v>51137</v>
      </c>
      <c r="J863" s="98" t="s">
        <v>212</v>
      </c>
      <c r="K863" s="99">
        <v>57010</v>
      </c>
      <c r="L863" s="98" t="s">
        <v>206</v>
      </c>
      <c r="M863" s="99">
        <v>54789</v>
      </c>
      <c r="N863" s="98" t="s">
        <v>160</v>
      </c>
    </row>
    <row r="864" spans="1:14" x14ac:dyDescent="0.25">
      <c r="A864" s="100">
        <v>54805</v>
      </c>
      <c r="C864" s="99">
        <v>58069</v>
      </c>
      <c r="D864" s="98" t="s">
        <v>177</v>
      </c>
      <c r="G864" s="99">
        <v>68175</v>
      </c>
      <c r="H864" s="98" t="s">
        <v>193</v>
      </c>
      <c r="I864" s="99">
        <v>51144</v>
      </c>
      <c r="J864" s="98" t="s">
        <v>164</v>
      </c>
      <c r="K864" s="99">
        <v>57016</v>
      </c>
      <c r="L864" s="98" t="s">
        <v>169</v>
      </c>
      <c r="M864" s="99">
        <v>54805</v>
      </c>
      <c r="N864" s="98" t="s">
        <v>197</v>
      </c>
    </row>
    <row r="865" spans="1:14" x14ac:dyDescent="0.25">
      <c r="A865" s="100">
        <v>54830</v>
      </c>
      <c r="C865" s="99">
        <v>58070</v>
      </c>
      <c r="D865" s="98" t="s">
        <v>182</v>
      </c>
      <c r="G865" s="99">
        <v>68296</v>
      </c>
      <c r="H865" s="98" t="s">
        <v>177</v>
      </c>
      <c r="I865" s="99">
        <v>51177</v>
      </c>
      <c r="J865" s="98" t="s">
        <v>168</v>
      </c>
      <c r="K865" s="99">
        <v>57017</v>
      </c>
      <c r="L865" s="98" t="s">
        <v>215</v>
      </c>
      <c r="M865" s="99">
        <v>54830</v>
      </c>
      <c r="N865" s="98" t="s">
        <v>219</v>
      </c>
    </row>
    <row r="866" spans="1:14" x14ac:dyDescent="0.25">
      <c r="A866" s="100">
        <v>54831</v>
      </c>
      <c r="C866" s="99">
        <v>58076</v>
      </c>
      <c r="D866" s="98" t="s">
        <v>160</v>
      </c>
      <c r="G866" s="99">
        <v>68297</v>
      </c>
      <c r="H866" s="98" t="s">
        <v>182</v>
      </c>
      <c r="I866" s="99">
        <v>51189</v>
      </c>
      <c r="J866" s="98" t="s">
        <v>173</v>
      </c>
      <c r="K866" s="99">
        <v>57070</v>
      </c>
      <c r="L866" s="98" t="s">
        <v>159</v>
      </c>
      <c r="M866" s="99">
        <v>54831</v>
      </c>
      <c r="N866" s="98" t="s">
        <v>204</v>
      </c>
    </row>
    <row r="867" spans="1:14" x14ac:dyDescent="0.25">
      <c r="A867" s="100">
        <v>54834</v>
      </c>
      <c r="C867" s="99">
        <v>58102</v>
      </c>
      <c r="D867" s="98" t="s">
        <v>171</v>
      </c>
      <c r="G867" s="99">
        <v>68303</v>
      </c>
      <c r="H867" s="98" t="s">
        <v>160</v>
      </c>
      <c r="I867" s="99">
        <v>51215</v>
      </c>
      <c r="J867" s="98" t="s">
        <v>178</v>
      </c>
      <c r="K867" s="99">
        <v>57073</v>
      </c>
      <c r="L867" s="98" t="s">
        <v>162</v>
      </c>
      <c r="M867" s="99">
        <v>54834</v>
      </c>
      <c r="N867" s="98" t="s">
        <v>207</v>
      </c>
    </row>
    <row r="868" spans="1:14" x14ac:dyDescent="0.25">
      <c r="A868" s="100">
        <v>54840</v>
      </c>
      <c r="C868" s="99">
        <v>58162</v>
      </c>
      <c r="D868" s="98" t="s">
        <v>159</v>
      </c>
      <c r="G868" s="99">
        <v>68410</v>
      </c>
      <c r="H868" s="98" t="s">
        <v>159</v>
      </c>
      <c r="I868" s="99">
        <v>51255</v>
      </c>
      <c r="J868" s="98" t="s">
        <v>183</v>
      </c>
      <c r="K868" s="99">
        <v>57095</v>
      </c>
      <c r="L868" s="98" t="s">
        <v>174</v>
      </c>
      <c r="M868" s="99">
        <v>54840</v>
      </c>
      <c r="N868" s="98" t="s">
        <v>199</v>
      </c>
    </row>
    <row r="869" spans="1:14" x14ac:dyDescent="0.25">
      <c r="A869" s="100">
        <v>54938</v>
      </c>
      <c r="C869" s="99">
        <v>58163</v>
      </c>
      <c r="D869" s="98" t="s">
        <v>176</v>
      </c>
      <c r="G869" s="99">
        <v>68413</v>
      </c>
      <c r="H869" s="98" t="s">
        <v>162</v>
      </c>
      <c r="I869" s="99">
        <v>51256</v>
      </c>
      <c r="J869" s="98" t="s">
        <v>212</v>
      </c>
      <c r="K869" s="99">
        <v>57136</v>
      </c>
      <c r="L869" s="98" t="s">
        <v>191</v>
      </c>
      <c r="M869" s="99">
        <v>54938</v>
      </c>
      <c r="N869" s="98" t="s">
        <v>166</v>
      </c>
    </row>
    <row r="870" spans="1:14" x14ac:dyDescent="0.25">
      <c r="A870" s="100">
        <v>54958</v>
      </c>
      <c r="C870" s="99">
        <v>58164</v>
      </c>
      <c r="D870" s="98" t="s">
        <v>181</v>
      </c>
      <c r="G870" s="99">
        <v>68427</v>
      </c>
      <c r="H870" s="98" t="s">
        <v>163</v>
      </c>
      <c r="I870" s="99">
        <v>51259</v>
      </c>
      <c r="J870" s="98" t="s">
        <v>187</v>
      </c>
      <c r="K870" s="99">
        <v>57276</v>
      </c>
      <c r="L870" s="98" t="s">
        <v>189</v>
      </c>
      <c r="M870" s="99">
        <v>54958</v>
      </c>
      <c r="N870" s="98" t="s">
        <v>170</v>
      </c>
    </row>
    <row r="871" spans="1:14" x14ac:dyDescent="0.25">
      <c r="A871" s="100">
        <v>54959</v>
      </c>
      <c r="C871" s="99">
        <v>58165</v>
      </c>
      <c r="D871" s="98" t="s">
        <v>162</v>
      </c>
      <c r="G871" s="99">
        <v>68448</v>
      </c>
      <c r="H871" s="98" t="s">
        <v>167</v>
      </c>
      <c r="I871" s="99">
        <v>51260</v>
      </c>
      <c r="J871" s="98" t="s">
        <v>190</v>
      </c>
      <c r="K871" s="99">
        <v>57339</v>
      </c>
      <c r="L871" s="98" t="s">
        <v>177</v>
      </c>
      <c r="M871" s="99">
        <v>54959</v>
      </c>
      <c r="N871" s="98" t="s">
        <v>216</v>
      </c>
    </row>
    <row r="872" spans="1:14" x14ac:dyDescent="0.25">
      <c r="A872" s="100">
        <v>54973</v>
      </c>
      <c r="C872" s="99">
        <v>58190</v>
      </c>
      <c r="D872" s="98" t="s">
        <v>185</v>
      </c>
      <c r="G872" s="99">
        <v>68539</v>
      </c>
      <c r="H872" s="98" t="s">
        <v>193</v>
      </c>
      <c r="I872" s="99">
        <v>51261</v>
      </c>
      <c r="J872" s="98" t="s">
        <v>194</v>
      </c>
      <c r="K872" s="99">
        <v>57340</v>
      </c>
      <c r="L872" s="98" t="s">
        <v>182</v>
      </c>
      <c r="M872" s="99">
        <v>54973</v>
      </c>
      <c r="N872" s="98" t="s">
        <v>175</v>
      </c>
    </row>
    <row r="873" spans="1:14" x14ac:dyDescent="0.25">
      <c r="A873" s="100">
        <v>55036</v>
      </c>
      <c r="C873" s="99">
        <v>58235</v>
      </c>
      <c r="D873" s="98" t="s">
        <v>191</v>
      </c>
      <c r="G873" s="99">
        <v>68661</v>
      </c>
      <c r="H873" s="98" t="s">
        <v>177</v>
      </c>
      <c r="I873" s="99">
        <v>51333</v>
      </c>
      <c r="J873" s="98" t="s">
        <v>196</v>
      </c>
      <c r="K873" s="99">
        <v>57346</v>
      </c>
      <c r="L873" s="98" t="s">
        <v>160</v>
      </c>
      <c r="M873" s="99">
        <v>55036</v>
      </c>
      <c r="N873" s="98" t="s">
        <v>184</v>
      </c>
    </row>
    <row r="874" spans="1:14" x14ac:dyDescent="0.25">
      <c r="A874" s="100">
        <v>55071</v>
      </c>
      <c r="C874" s="99">
        <v>58291</v>
      </c>
      <c r="D874" s="98" t="s">
        <v>202</v>
      </c>
      <c r="G874" s="99">
        <v>68662</v>
      </c>
      <c r="H874" s="98" t="s">
        <v>182</v>
      </c>
      <c r="I874" s="99">
        <v>51359</v>
      </c>
      <c r="J874" s="98" t="s">
        <v>198</v>
      </c>
      <c r="K874" s="99">
        <v>57347</v>
      </c>
      <c r="L874" s="98" t="s">
        <v>165</v>
      </c>
      <c r="M874" s="99">
        <v>55071</v>
      </c>
      <c r="N874" s="98" t="s">
        <v>201</v>
      </c>
    </row>
    <row r="875" spans="1:14" x14ac:dyDescent="0.25">
      <c r="A875" s="100">
        <v>55100</v>
      </c>
      <c r="C875" s="99">
        <v>58354</v>
      </c>
      <c r="D875" s="98" t="s">
        <v>189</v>
      </c>
      <c r="G875" s="99">
        <v>68668</v>
      </c>
      <c r="H875" s="98" t="s">
        <v>160</v>
      </c>
      <c r="I875" s="99">
        <v>51396</v>
      </c>
      <c r="J875" s="98" t="s">
        <v>200</v>
      </c>
      <c r="K875" s="99">
        <v>57374</v>
      </c>
      <c r="L875" s="98" t="s">
        <v>206</v>
      </c>
      <c r="M875" s="99">
        <v>55100</v>
      </c>
      <c r="N875" s="98" t="s">
        <v>210</v>
      </c>
    </row>
    <row r="876" spans="1:14" x14ac:dyDescent="0.25">
      <c r="A876" s="100">
        <v>55103</v>
      </c>
      <c r="C876" s="99">
        <v>58434</v>
      </c>
      <c r="D876" s="98" t="s">
        <v>177</v>
      </c>
      <c r="G876" s="99">
        <v>68767</v>
      </c>
      <c r="H876" s="98" t="s">
        <v>159</v>
      </c>
      <c r="I876" s="99">
        <v>51401</v>
      </c>
      <c r="J876" s="98" t="s">
        <v>203</v>
      </c>
      <c r="K876" s="99">
        <v>57382</v>
      </c>
      <c r="L876" s="98" t="s">
        <v>169</v>
      </c>
      <c r="M876" s="99">
        <v>55103</v>
      </c>
      <c r="N876" s="98" t="s">
        <v>188</v>
      </c>
    </row>
    <row r="877" spans="1:14" x14ac:dyDescent="0.25">
      <c r="A877" s="100">
        <v>55116</v>
      </c>
      <c r="C877" s="99">
        <v>58435</v>
      </c>
      <c r="D877" s="98" t="s">
        <v>182</v>
      </c>
      <c r="G877" s="99">
        <v>68770</v>
      </c>
      <c r="H877" s="98" t="s">
        <v>162</v>
      </c>
      <c r="I877" s="99">
        <v>51417</v>
      </c>
      <c r="J877" s="98" t="s">
        <v>205</v>
      </c>
      <c r="K877" s="99">
        <v>57455</v>
      </c>
      <c r="L877" s="98" t="s">
        <v>159</v>
      </c>
      <c r="M877" s="99">
        <v>55116</v>
      </c>
      <c r="N877" s="98" t="s">
        <v>192</v>
      </c>
    </row>
    <row r="878" spans="1:14" x14ac:dyDescent="0.25">
      <c r="A878" s="100">
        <v>55147</v>
      </c>
      <c r="C878" s="99">
        <v>58441</v>
      </c>
      <c r="D878" s="98" t="s">
        <v>160</v>
      </c>
      <c r="G878" s="99">
        <v>68791</v>
      </c>
      <c r="H878" s="98" t="s">
        <v>163</v>
      </c>
      <c r="I878" s="99">
        <v>51443</v>
      </c>
      <c r="J878" s="98" t="s">
        <v>209</v>
      </c>
      <c r="K878" s="99">
        <v>57458</v>
      </c>
      <c r="L878" s="98" t="s">
        <v>162</v>
      </c>
      <c r="M878" s="99">
        <v>55147</v>
      </c>
      <c r="N878" s="98" t="s">
        <v>177</v>
      </c>
    </row>
    <row r="879" spans="1:14" x14ac:dyDescent="0.25">
      <c r="A879" s="100">
        <v>55148</v>
      </c>
      <c r="C879" s="99">
        <v>58466</v>
      </c>
      <c r="D879" s="98" t="s">
        <v>171</v>
      </c>
      <c r="G879" s="99">
        <v>68819</v>
      </c>
      <c r="H879" s="98" t="s">
        <v>167</v>
      </c>
      <c r="I879" s="99">
        <v>51463</v>
      </c>
      <c r="J879" s="98" t="s">
        <v>211</v>
      </c>
      <c r="K879" s="99">
        <v>57460</v>
      </c>
      <c r="L879" s="98" t="s">
        <v>174</v>
      </c>
      <c r="M879" s="99">
        <v>55148</v>
      </c>
      <c r="N879" s="98" t="s">
        <v>208</v>
      </c>
    </row>
    <row r="880" spans="1:14" x14ac:dyDescent="0.25">
      <c r="A880" s="100">
        <v>55154</v>
      </c>
      <c r="C880" s="99">
        <v>58547</v>
      </c>
      <c r="D880" s="98" t="s">
        <v>159</v>
      </c>
      <c r="G880" s="99">
        <v>68910</v>
      </c>
      <c r="H880" s="98" t="s">
        <v>193</v>
      </c>
      <c r="I880" s="99">
        <v>51502</v>
      </c>
      <c r="J880" s="98" t="s">
        <v>161</v>
      </c>
      <c r="K880" s="99">
        <v>57500</v>
      </c>
      <c r="L880" s="98" t="s">
        <v>191</v>
      </c>
      <c r="M880" s="99">
        <v>55154</v>
      </c>
      <c r="N880" s="98" t="s">
        <v>160</v>
      </c>
    </row>
    <row r="881" spans="1:14" x14ac:dyDescent="0.25">
      <c r="A881" s="100">
        <v>55155</v>
      </c>
      <c r="C881" s="99">
        <v>58548</v>
      </c>
      <c r="D881" s="98" t="s">
        <v>176</v>
      </c>
      <c r="G881" s="99">
        <v>69027</v>
      </c>
      <c r="H881" s="98" t="s">
        <v>177</v>
      </c>
      <c r="I881" s="99">
        <v>51515</v>
      </c>
      <c r="J881" s="98" t="s">
        <v>164</v>
      </c>
      <c r="K881" s="99">
        <v>57640</v>
      </c>
      <c r="L881" s="98" t="s">
        <v>189</v>
      </c>
      <c r="M881" s="99">
        <v>55155</v>
      </c>
      <c r="N881" s="98" t="s">
        <v>214</v>
      </c>
    </row>
    <row r="882" spans="1:14" x14ac:dyDescent="0.25">
      <c r="A882" s="100">
        <v>55169</v>
      </c>
      <c r="C882" s="99">
        <v>58549</v>
      </c>
      <c r="D882" s="98" t="s">
        <v>181</v>
      </c>
      <c r="G882" s="99">
        <v>69028</v>
      </c>
      <c r="H882" s="98" t="s">
        <v>182</v>
      </c>
      <c r="I882" s="99">
        <v>51543</v>
      </c>
      <c r="J882" s="98" t="s">
        <v>168</v>
      </c>
      <c r="K882" s="99">
        <v>57704</v>
      </c>
      <c r="L882" s="98" t="s">
        <v>177</v>
      </c>
      <c r="M882" s="99">
        <v>55169</v>
      </c>
      <c r="N882" s="98" t="s">
        <v>197</v>
      </c>
    </row>
    <row r="883" spans="1:14" x14ac:dyDescent="0.25">
      <c r="A883" s="100">
        <v>55196</v>
      </c>
      <c r="C883" s="99">
        <v>58550</v>
      </c>
      <c r="D883" s="98" t="s">
        <v>162</v>
      </c>
      <c r="G883" s="99">
        <v>69029</v>
      </c>
      <c r="H883" s="98" t="s">
        <v>208</v>
      </c>
      <c r="I883" s="99">
        <v>51555</v>
      </c>
      <c r="J883" s="98" t="s">
        <v>173</v>
      </c>
      <c r="K883" s="99">
        <v>57705</v>
      </c>
      <c r="L883" s="98" t="s">
        <v>182</v>
      </c>
      <c r="M883" s="99">
        <v>55196</v>
      </c>
      <c r="N883" s="98" t="s">
        <v>204</v>
      </c>
    </row>
    <row r="884" spans="1:14" x14ac:dyDescent="0.25">
      <c r="A884" s="100">
        <v>55197</v>
      </c>
      <c r="C884" s="99">
        <v>58556</v>
      </c>
      <c r="D884" s="98" t="s">
        <v>185</v>
      </c>
      <c r="G884" s="99">
        <v>69030</v>
      </c>
      <c r="H884" s="98" t="s">
        <v>186</v>
      </c>
      <c r="I884" s="99">
        <v>51580</v>
      </c>
      <c r="J884" s="98" t="s">
        <v>178</v>
      </c>
      <c r="K884" s="99">
        <v>57711</v>
      </c>
      <c r="L884" s="98" t="s">
        <v>160</v>
      </c>
      <c r="M884" s="99">
        <v>55197</v>
      </c>
      <c r="N884" s="98" t="s">
        <v>219</v>
      </c>
    </row>
    <row r="885" spans="1:14" x14ac:dyDescent="0.25">
      <c r="A885" s="100">
        <v>55199</v>
      </c>
      <c r="C885" s="99">
        <v>58606</v>
      </c>
      <c r="D885" s="98" t="s">
        <v>191</v>
      </c>
      <c r="G885" s="99">
        <v>69034</v>
      </c>
      <c r="H885" s="98" t="s">
        <v>160</v>
      </c>
      <c r="I885" s="99">
        <v>51620</v>
      </c>
      <c r="J885" s="98" t="s">
        <v>183</v>
      </c>
      <c r="K885" s="99">
        <v>57712</v>
      </c>
      <c r="L885" s="98" t="s">
        <v>165</v>
      </c>
      <c r="M885" s="99">
        <v>55199</v>
      </c>
      <c r="N885" s="98" t="s">
        <v>207</v>
      </c>
    </row>
    <row r="886" spans="1:14" x14ac:dyDescent="0.25">
      <c r="A886" s="100">
        <v>55204</v>
      </c>
      <c r="C886" s="99">
        <v>58655</v>
      </c>
      <c r="D886" s="98" t="s">
        <v>202</v>
      </c>
      <c r="G886" s="99">
        <v>69036</v>
      </c>
      <c r="H886" s="98" t="s">
        <v>214</v>
      </c>
      <c r="I886" s="99">
        <v>51624</v>
      </c>
      <c r="J886" s="98" t="s">
        <v>187</v>
      </c>
      <c r="K886" s="99">
        <v>57738</v>
      </c>
      <c r="L886" s="98" t="s">
        <v>206</v>
      </c>
      <c r="M886" s="99">
        <v>55204</v>
      </c>
      <c r="N886" s="98" t="s">
        <v>199</v>
      </c>
    </row>
    <row r="887" spans="1:14" x14ac:dyDescent="0.25">
      <c r="A887" s="100">
        <v>55302</v>
      </c>
      <c r="C887" s="99">
        <v>58718</v>
      </c>
      <c r="D887" s="98" t="s">
        <v>189</v>
      </c>
      <c r="G887" s="99">
        <v>69124</v>
      </c>
      <c r="H887" s="98" t="s">
        <v>159</v>
      </c>
      <c r="I887" s="99">
        <v>51625</v>
      </c>
      <c r="J887" s="98" t="s">
        <v>190</v>
      </c>
      <c r="K887" s="99">
        <v>57747</v>
      </c>
      <c r="L887" s="98" t="s">
        <v>169</v>
      </c>
      <c r="M887" s="99">
        <v>55302</v>
      </c>
      <c r="N887" s="98" t="s">
        <v>166</v>
      </c>
    </row>
    <row r="888" spans="1:14" x14ac:dyDescent="0.25">
      <c r="A888" s="100">
        <v>55323</v>
      </c>
      <c r="C888" s="99">
        <v>58800</v>
      </c>
      <c r="D888" s="98" t="s">
        <v>177</v>
      </c>
      <c r="G888" s="99">
        <v>69127</v>
      </c>
      <c r="H888" s="98" t="s">
        <v>162</v>
      </c>
      <c r="I888" s="99">
        <v>51626</v>
      </c>
      <c r="J888" s="98" t="s">
        <v>194</v>
      </c>
      <c r="K888" s="99">
        <v>57812</v>
      </c>
      <c r="L888" s="98" t="s">
        <v>159</v>
      </c>
      <c r="M888" s="99">
        <v>55323</v>
      </c>
      <c r="N888" s="98" t="s">
        <v>170</v>
      </c>
    </row>
    <row r="889" spans="1:14" x14ac:dyDescent="0.25">
      <c r="A889" s="100">
        <v>55338</v>
      </c>
      <c r="C889" s="99">
        <v>58801</v>
      </c>
      <c r="D889" s="98" t="s">
        <v>182</v>
      </c>
      <c r="G889" s="99">
        <v>69155</v>
      </c>
      <c r="H889" s="98" t="s">
        <v>163</v>
      </c>
      <c r="I889" s="99">
        <v>51627</v>
      </c>
      <c r="J889" s="98" t="s">
        <v>212</v>
      </c>
      <c r="K889" s="99">
        <v>57815</v>
      </c>
      <c r="L889" s="98" t="s">
        <v>162</v>
      </c>
      <c r="M889" s="99">
        <v>55338</v>
      </c>
      <c r="N889" s="98" t="s">
        <v>175</v>
      </c>
    </row>
    <row r="890" spans="1:14" x14ac:dyDescent="0.25">
      <c r="A890" s="100">
        <v>55400</v>
      </c>
      <c r="C890" s="99">
        <v>58802</v>
      </c>
      <c r="D890" s="98" t="s">
        <v>208</v>
      </c>
      <c r="G890" s="99">
        <v>69183</v>
      </c>
      <c r="H890" s="98" t="s">
        <v>167</v>
      </c>
      <c r="I890" s="99">
        <v>51697</v>
      </c>
      <c r="J890" s="98" t="s">
        <v>196</v>
      </c>
      <c r="K890" s="99">
        <v>57825</v>
      </c>
      <c r="L890" s="98" t="s">
        <v>174</v>
      </c>
      <c r="M890" s="99">
        <v>55400</v>
      </c>
      <c r="N890" s="98" t="s">
        <v>184</v>
      </c>
    </row>
    <row r="891" spans="1:14" x14ac:dyDescent="0.25">
      <c r="A891" s="100">
        <v>55435</v>
      </c>
      <c r="C891" s="99">
        <v>58803</v>
      </c>
      <c r="D891" s="98" t="s">
        <v>186</v>
      </c>
      <c r="G891" s="99">
        <v>69274</v>
      </c>
      <c r="H891" s="98" t="s">
        <v>193</v>
      </c>
      <c r="I891" s="99">
        <v>51724</v>
      </c>
      <c r="J891" s="98" t="s">
        <v>198</v>
      </c>
      <c r="K891" s="99">
        <v>57864</v>
      </c>
      <c r="L891" s="98" t="s">
        <v>191</v>
      </c>
      <c r="M891" s="99">
        <v>55435</v>
      </c>
      <c r="N891" s="98" t="s">
        <v>201</v>
      </c>
    </row>
    <row r="892" spans="1:14" x14ac:dyDescent="0.25">
      <c r="A892" s="100">
        <v>55464</v>
      </c>
      <c r="C892" s="99">
        <v>58807</v>
      </c>
      <c r="D892" s="98" t="s">
        <v>160</v>
      </c>
      <c r="G892" s="99">
        <v>69392</v>
      </c>
      <c r="H892" s="98" t="s">
        <v>177</v>
      </c>
      <c r="I892" s="99">
        <v>51725</v>
      </c>
      <c r="J892" s="98" t="s">
        <v>212</v>
      </c>
      <c r="K892" s="99">
        <v>58011</v>
      </c>
      <c r="L892" s="98" t="s">
        <v>189</v>
      </c>
      <c r="M892" s="99">
        <v>55464</v>
      </c>
      <c r="N892" s="98" t="s">
        <v>210</v>
      </c>
    </row>
    <row r="893" spans="1:14" x14ac:dyDescent="0.25">
      <c r="A893" s="100">
        <v>55467</v>
      </c>
      <c r="C893" s="99">
        <v>58809</v>
      </c>
      <c r="D893" s="98" t="s">
        <v>214</v>
      </c>
      <c r="G893" s="99">
        <v>69393</v>
      </c>
      <c r="H893" s="98" t="s">
        <v>182</v>
      </c>
      <c r="I893" s="99">
        <v>51760</v>
      </c>
      <c r="J893" s="98" t="s">
        <v>200</v>
      </c>
      <c r="K893" s="99">
        <v>58069</v>
      </c>
      <c r="L893" s="98" t="s">
        <v>177</v>
      </c>
      <c r="M893" s="99">
        <v>55467</v>
      </c>
      <c r="N893" s="98" t="s">
        <v>220</v>
      </c>
    </row>
    <row r="894" spans="1:14" x14ac:dyDescent="0.25">
      <c r="A894" s="100">
        <v>55468</v>
      </c>
      <c r="C894" s="99">
        <v>58832</v>
      </c>
      <c r="D894" s="98" t="s">
        <v>171</v>
      </c>
      <c r="G894" s="99">
        <v>69394</v>
      </c>
      <c r="H894" s="98" t="s">
        <v>208</v>
      </c>
      <c r="I894" s="99">
        <v>51767</v>
      </c>
      <c r="J894" s="98" t="s">
        <v>203</v>
      </c>
      <c r="K894" s="99">
        <v>58070</v>
      </c>
      <c r="L894" s="98" t="s">
        <v>182</v>
      </c>
      <c r="M894" s="99">
        <v>55468</v>
      </c>
      <c r="N894" s="98" t="s">
        <v>188</v>
      </c>
    </row>
    <row r="895" spans="1:14" x14ac:dyDescent="0.25">
      <c r="A895" s="100">
        <v>55480</v>
      </c>
      <c r="C895" s="99">
        <v>58904</v>
      </c>
      <c r="D895" s="98" t="s">
        <v>159</v>
      </c>
      <c r="G895" s="99">
        <v>69399</v>
      </c>
      <c r="H895" s="98" t="s">
        <v>160</v>
      </c>
      <c r="I895" s="99">
        <v>51788</v>
      </c>
      <c r="J895" s="98" t="s">
        <v>205</v>
      </c>
      <c r="K895" s="99">
        <v>58076</v>
      </c>
      <c r="L895" s="98" t="s">
        <v>160</v>
      </c>
      <c r="M895" s="99">
        <v>55480</v>
      </c>
      <c r="N895" s="98" t="s">
        <v>192</v>
      </c>
    </row>
    <row r="896" spans="1:14" x14ac:dyDescent="0.25">
      <c r="A896" s="100">
        <v>55512</v>
      </c>
      <c r="C896" s="99">
        <v>58905</v>
      </c>
      <c r="D896" s="98" t="s">
        <v>176</v>
      </c>
      <c r="G896" s="99">
        <v>69400</v>
      </c>
      <c r="H896" s="98" t="s">
        <v>214</v>
      </c>
      <c r="I896" s="99">
        <v>51808</v>
      </c>
      <c r="J896" s="98" t="s">
        <v>209</v>
      </c>
      <c r="K896" s="99">
        <v>58077</v>
      </c>
      <c r="L896" s="98" t="s">
        <v>165</v>
      </c>
      <c r="M896" s="99">
        <v>55512</v>
      </c>
      <c r="N896" s="98" t="s">
        <v>177</v>
      </c>
    </row>
    <row r="897" spans="1:14" x14ac:dyDescent="0.25">
      <c r="A897" s="100">
        <v>55519</v>
      </c>
      <c r="C897" s="99">
        <v>58906</v>
      </c>
      <c r="D897" s="98" t="s">
        <v>181</v>
      </c>
      <c r="G897" s="99">
        <v>69502</v>
      </c>
      <c r="H897" s="98" t="s">
        <v>159</v>
      </c>
      <c r="I897" s="99">
        <v>51809</v>
      </c>
      <c r="J897" s="98" t="s">
        <v>212</v>
      </c>
      <c r="K897" s="99">
        <v>58102</v>
      </c>
      <c r="L897" s="98" t="s">
        <v>206</v>
      </c>
      <c r="M897" s="99">
        <v>55519</v>
      </c>
      <c r="N897" s="98" t="s">
        <v>160</v>
      </c>
    </row>
    <row r="898" spans="1:14" x14ac:dyDescent="0.25">
      <c r="A898" s="100">
        <v>55533</v>
      </c>
      <c r="C898" s="99">
        <v>58907</v>
      </c>
      <c r="D898" s="98" t="s">
        <v>162</v>
      </c>
      <c r="G898" s="99">
        <v>69505</v>
      </c>
      <c r="H898" s="98" t="s">
        <v>162</v>
      </c>
      <c r="I898" s="99">
        <v>51828</v>
      </c>
      <c r="J898" s="98" t="s">
        <v>211</v>
      </c>
      <c r="K898" s="99">
        <v>58112</v>
      </c>
      <c r="L898" s="98" t="s">
        <v>169</v>
      </c>
      <c r="M898" s="99">
        <v>55533</v>
      </c>
      <c r="N898" s="98" t="s">
        <v>197</v>
      </c>
    </row>
    <row r="899" spans="1:14" x14ac:dyDescent="0.25">
      <c r="A899" s="100">
        <v>55561</v>
      </c>
      <c r="C899" s="99">
        <v>58921</v>
      </c>
      <c r="D899" s="98" t="s">
        <v>185</v>
      </c>
      <c r="G899" s="99">
        <v>69519</v>
      </c>
      <c r="H899" s="98" t="s">
        <v>163</v>
      </c>
      <c r="I899" s="99">
        <v>51867</v>
      </c>
      <c r="J899" s="98" t="s">
        <v>161</v>
      </c>
      <c r="K899" s="99">
        <v>58162</v>
      </c>
      <c r="L899" s="98" t="s">
        <v>159</v>
      </c>
      <c r="M899" s="99">
        <v>55561</v>
      </c>
      <c r="N899" s="98" t="s">
        <v>204</v>
      </c>
    </row>
    <row r="900" spans="1:14" x14ac:dyDescent="0.25">
      <c r="A900" s="100">
        <v>55564</v>
      </c>
      <c r="C900" s="99">
        <v>58970</v>
      </c>
      <c r="D900" s="98" t="s">
        <v>191</v>
      </c>
      <c r="G900" s="99">
        <v>69547</v>
      </c>
      <c r="H900" s="98" t="s">
        <v>167</v>
      </c>
      <c r="I900" s="99">
        <v>51879</v>
      </c>
      <c r="J900" s="98" t="s">
        <v>164</v>
      </c>
      <c r="K900" s="99">
        <v>58165</v>
      </c>
      <c r="L900" s="98" t="s">
        <v>162</v>
      </c>
      <c r="M900" s="99">
        <v>55564</v>
      </c>
      <c r="N900" s="98" t="s">
        <v>207</v>
      </c>
    </row>
    <row r="901" spans="1:14" x14ac:dyDescent="0.25">
      <c r="A901" s="100">
        <v>55568</v>
      </c>
      <c r="C901" s="99">
        <v>59019</v>
      </c>
      <c r="D901" s="98" t="s">
        <v>202</v>
      </c>
      <c r="G901" s="99">
        <v>69638</v>
      </c>
      <c r="H901" s="98" t="s">
        <v>193</v>
      </c>
      <c r="I901" s="99">
        <v>51908</v>
      </c>
      <c r="J901" s="98" t="s">
        <v>168</v>
      </c>
      <c r="K901" s="99">
        <v>58190</v>
      </c>
      <c r="L901" s="98" t="s">
        <v>174</v>
      </c>
      <c r="M901" s="99">
        <v>55568</v>
      </c>
      <c r="N901" s="98" t="s">
        <v>199</v>
      </c>
    </row>
    <row r="902" spans="1:14" x14ac:dyDescent="0.25">
      <c r="A902" s="100">
        <v>55666</v>
      </c>
      <c r="C902" s="99">
        <v>59082</v>
      </c>
      <c r="D902" s="98" t="s">
        <v>189</v>
      </c>
      <c r="G902" s="99">
        <v>69757</v>
      </c>
      <c r="H902" s="98" t="s">
        <v>177</v>
      </c>
      <c r="I902" s="99">
        <v>51920</v>
      </c>
      <c r="J902" s="98" t="s">
        <v>173</v>
      </c>
      <c r="K902" s="99">
        <v>58228</v>
      </c>
      <c r="L902" s="98" t="s">
        <v>191</v>
      </c>
      <c r="M902" s="99">
        <v>55666</v>
      </c>
      <c r="N902" s="98" t="s">
        <v>166</v>
      </c>
    </row>
    <row r="903" spans="1:14" x14ac:dyDescent="0.25">
      <c r="A903" s="100">
        <v>55689</v>
      </c>
      <c r="C903" s="99">
        <v>59165</v>
      </c>
      <c r="D903" s="98" t="s">
        <v>177</v>
      </c>
      <c r="G903" s="99">
        <v>69758</v>
      </c>
      <c r="H903" s="98" t="s">
        <v>182</v>
      </c>
      <c r="I903" s="99">
        <v>51921</v>
      </c>
      <c r="J903" s="98" t="s">
        <v>212</v>
      </c>
      <c r="K903" s="99">
        <v>58375</v>
      </c>
      <c r="L903" s="98" t="s">
        <v>189</v>
      </c>
      <c r="M903" s="99">
        <v>55689</v>
      </c>
      <c r="N903" s="98" t="s">
        <v>170</v>
      </c>
    </row>
    <row r="904" spans="1:14" x14ac:dyDescent="0.25">
      <c r="A904" s="100">
        <v>55704</v>
      </c>
      <c r="C904" s="99">
        <v>59166</v>
      </c>
      <c r="D904" s="98" t="s">
        <v>182</v>
      </c>
      <c r="G904" s="99">
        <v>69764</v>
      </c>
      <c r="H904" s="98" t="s">
        <v>160</v>
      </c>
      <c r="I904" s="99">
        <v>51945</v>
      </c>
      <c r="J904" s="98" t="s">
        <v>178</v>
      </c>
      <c r="K904" s="99">
        <v>58434</v>
      </c>
      <c r="L904" s="98" t="s">
        <v>177</v>
      </c>
      <c r="M904" s="99">
        <v>55704</v>
      </c>
      <c r="N904" s="98" t="s">
        <v>175</v>
      </c>
    </row>
    <row r="905" spans="1:14" x14ac:dyDescent="0.25">
      <c r="A905" s="100">
        <v>55764</v>
      </c>
      <c r="C905" s="99">
        <v>59167</v>
      </c>
      <c r="D905" s="98" t="s">
        <v>208</v>
      </c>
      <c r="G905" s="99">
        <v>69859</v>
      </c>
      <c r="H905" s="98" t="s">
        <v>159</v>
      </c>
      <c r="I905" s="99">
        <v>51985</v>
      </c>
      <c r="J905" s="98" t="s">
        <v>183</v>
      </c>
      <c r="K905" s="99">
        <v>58435</v>
      </c>
      <c r="L905" s="98" t="s">
        <v>182</v>
      </c>
      <c r="M905" s="99">
        <v>55764</v>
      </c>
      <c r="N905" s="98" t="s">
        <v>184</v>
      </c>
    </row>
    <row r="906" spans="1:14" x14ac:dyDescent="0.25">
      <c r="A906" s="100">
        <v>55806</v>
      </c>
      <c r="C906" s="99">
        <v>59172</v>
      </c>
      <c r="D906" s="98" t="s">
        <v>160</v>
      </c>
      <c r="G906" s="99">
        <v>69862</v>
      </c>
      <c r="H906" s="98" t="s">
        <v>162</v>
      </c>
      <c r="I906" s="99">
        <v>51989</v>
      </c>
      <c r="J906" s="98" t="s">
        <v>187</v>
      </c>
      <c r="K906" s="99">
        <v>58441</v>
      </c>
      <c r="L906" s="98" t="s">
        <v>160</v>
      </c>
      <c r="M906" s="99">
        <v>55806</v>
      </c>
      <c r="N906" s="98" t="s">
        <v>201</v>
      </c>
    </row>
    <row r="907" spans="1:14" x14ac:dyDescent="0.25">
      <c r="A907" s="100">
        <v>55828</v>
      </c>
      <c r="C907" s="99">
        <v>59173</v>
      </c>
      <c r="D907" s="98" t="s">
        <v>214</v>
      </c>
      <c r="G907" s="99">
        <v>69890</v>
      </c>
      <c r="H907" s="98" t="s">
        <v>163</v>
      </c>
      <c r="I907" s="99">
        <v>51990</v>
      </c>
      <c r="J907" s="98" t="s">
        <v>190</v>
      </c>
      <c r="K907" s="99">
        <v>58442</v>
      </c>
      <c r="L907" s="98" t="s">
        <v>165</v>
      </c>
      <c r="M907" s="99">
        <v>55828</v>
      </c>
      <c r="N907" s="98" t="s">
        <v>210</v>
      </c>
    </row>
    <row r="908" spans="1:14" x14ac:dyDescent="0.25">
      <c r="A908" s="100">
        <v>55834</v>
      </c>
      <c r="C908" s="99">
        <v>59197</v>
      </c>
      <c r="D908" s="98" t="s">
        <v>171</v>
      </c>
      <c r="G908" s="99">
        <v>69911</v>
      </c>
      <c r="H908" s="98" t="s">
        <v>167</v>
      </c>
      <c r="I908" s="99">
        <v>51991</v>
      </c>
      <c r="J908" s="98" t="s">
        <v>194</v>
      </c>
      <c r="K908" s="99">
        <v>58466</v>
      </c>
      <c r="L908" s="98" t="s">
        <v>206</v>
      </c>
      <c r="M908" s="99">
        <v>55834</v>
      </c>
      <c r="N908" s="98" t="s">
        <v>188</v>
      </c>
    </row>
    <row r="909" spans="1:14" x14ac:dyDescent="0.25">
      <c r="A909" s="100">
        <v>55851</v>
      </c>
      <c r="C909" s="99">
        <v>59254</v>
      </c>
      <c r="D909" s="98" t="s">
        <v>159</v>
      </c>
      <c r="G909" s="99">
        <v>70002</v>
      </c>
      <c r="H909" s="98" t="s">
        <v>193</v>
      </c>
      <c r="I909" s="99">
        <v>51992</v>
      </c>
      <c r="J909" s="98" t="s">
        <v>212</v>
      </c>
      <c r="K909" s="99">
        <v>58477</v>
      </c>
      <c r="L909" s="98" t="s">
        <v>169</v>
      </c>
      <c r="M909" s="99">
        <v>55851</v>
      </c>
      <c r="N909" s="98" t="s">
        <v>192</v>
      </c>
    </row>
    <row r="910" spans="1:14" x14ac:dyDescent="0.25">
      <c r="A910" s="100">
        <v>55878</v>
      </c>
      <c r="C910" s="99">
        <v>59255</v>
      </c>
      <c r="D910" s="98" t="s">
        <v>176</v>
      </c>
      <c r="G910" s="99">
        <v>70122</v>
      </c>
      <c r="H910" s="98" t="s">
        <v>177</v>
      </c>
      <c r="I910" s="99">
        <v>52068</v>
      </c>
      <c r="J910" s="98" t="s">
        <v>196</v>
      </c>
      <c r="K910" s="99">
        <v>58547</v>
      </c>
      <c r="L910" s="98" t="s">
        <v>159</v>
      </c>
      <c r="M910" s="99">
        <v>55878</v>
      </c>
      <c r="N910" s="98" t="s">
        <v>177</v>
      </c>
    </row>
    <row r="911" spans="1:14" x14ac:dyDescent="0.25">
      <c r="A911" s="100">
        <v>55885</v>
      </c>
      <c r="C911" s="99">
        <v>59256</v>
      </c>
      <c r="D911" s="98" t="s">
        <v>181</v>
      </c>
      <c r="G911" s="99">
        <v>70123</v>
      </c>
      <c r="H911" s="98" t="s">
        <v>182</v>
      </c>
      <c r="I911" s="99">
        <v>52089</v>
      </c>
      <c r="J911" s="98" t="s">
        <v>198</v>
      </c>
      <c r="K911" s="99">
        <v>58550</v>
      </c>
      <c r="L911" s="98" t="s">
        <v>162</v>
      </c>
      <c r="M911" s="99">
        <v>55885</v>
      </c>
      <c r="N911" s="98" t="s">
        <v>160</v>
      </c>
    </row>
    <row r="912" spans="1:14" x14ac:dyDescent="0.25">
      <c r="A912" s="100">
        <v>55904</v>
      </c>
      <c r="C912" s="99">
        <v>59257</v>
      </c>
      <c r="D912" s="98" t="s">
        <v>162</v>
      </c>
      <c r="G912" s="99">
        <v>70129</v>
      </c>
      <c r="H912" s="98" t="s">
        <v>160</v>
      </c>
      <c r="I912" s="99">
        <v>52124</v>
      </c>
      <c r="J912" s="98" t="s">
        <v>200</v>
      </c>
      <c r="K912" s="99">
        <v>58556</v>
      </c>
      <c r="L912" s="98" t="s">
        <v>174</v>
      </c>
      <c r="M912" s="99">
        <v>55904</v>
      </c>
      <c r="N912" s="98" t="s">
        <v>197</v>
      </c>
    </row>
    <row r="913" spans="1:14" x14ac:dyDescent="0.25">
      <c r="A913" s="100">
        <v>55927</v>
      </c>
      <c r="C913" s="99">
        <v>59286</v>
      </c>
      <c r="D913" s="98" t="s">
        <v>185</v>
      </c>
      <c r="G913" s="99">
        <v>70216</v>
      </c>
      <c r="H913" s="98" t="s">
        <v>159</v>
      </c>
      <c r="I913" s="99">
        <v>52132</v>
      </c>
      <c r="J913" s="98" t="s">
        <v>203</v>
      </c>
      <c r="K913" s="99">
        <v>58557</v>
      </c>
      <c r="L913" s="98" t="s">
        <v>179</v>
      </c>
      <c r="M913" s="99">
        <v>55927</v>
      </c>
      <c r="N913" s="98" t="s">
        <v>204</v>
      </c>
    </row>
    <row r="914" spans="1:14" x14ac:dyDescent="0.25">
      <c r="A914" s="100">
        <v>55930</v>
      </c>
      <c r="C914" s="99">
        <v>59334</v>
      </c>
      <c r="D914" s="98" t="s">
        <v>191</v>
      </c>
      <c r="G914" s="99">
        <v>70219</v>
      </c>
      <c r="H914" s="98" t="s">
        <v>162</v>
      </c>
      <c r="I914" s="99">
        <v>52152</v>
      </c>
      <c r="J914" s="98" t="s">
        <v>205</v>
      </c>
      <c r="K914" s="99">
        <v>58599</v>
      </c>
      <c r="L914" s="98" t="s">
        <v>191</v>
      </c>
      <c r="M914" s="99">
        <v>55930</v>
      </c>
      <c r="N914" s="98" t="s">
        <v>207</v>
      </c>
    </row>
    <row r="915" spans="1:14" x14ac:dyDescent="0.25">
      <c r="A915" s="100">
        <v>55932</v>
      </c>
      <c r="C915" s="99">
        <v>59390</v>
      </c>
      <c r="D915" s="98" t="s">
        <v>202</v>
      </c>
      <c r="G915" s="99">
        <v>70254</v>
      </c>
      <c r="H915" s="98" t="s">
        <v>163</v>
      </c>
      <c r="I915" s="99">
        <v>52173</v>
      </c>
      <c r="J915" s="98" t="s">
        <v>209</v>
      </c>
      <c r="K915" s="99">
        <v>58739</v>
      </c>
      <c r="L915" s="98" t="s">
        <v>189</v>
      </c>
      <c r="M915" s="99">
        <v>55932</v>
      </c>
      <c r="N915" s="98" t="s">
        <v>199</v>
      </c>
    </row>
    <row r="916" spans="1:14" x14ac:dyDescent="0.25">
      <c r="A916" s="100">
        <v>56030</v>
      </c>
      <c r="C916" s="99">
        <v>59446</v>
      </c>
      <c r="D916" s="98" t="s">
        <v>189</v>
      </c>
      <c r="G916" s="99">
        <v>70275</v>
      </c>
      <c r="H916" s="98" t="s">
        <v>167</v>
      </c>
      <c r="I916" s="99">
        <v>52193</v>
      </c>
      <c r="J916" s="98" t="s">
        <v>211</v>
      </c>
      <c r="K916" s="99">
        <v>58800</v>
      </c>
      <c r="L916" s="98" t="s">
        <v>177</v>
      </c>
      <c r="M916" s="99">
        <v>56030</v>
      </c>
      <c r="N916" s="98" t="s">
        <v>166</v>
      </c>
    </row>
    <row r="917" spans="1:14" x14ac:dyDescent="0.25">
      <c r="A917" s="100">
        <v>56054</v>
      </c>
      <c r="C917" s="99">
        <v>59530</v>
      </c>
      <c r="D917" s="98" t="s">
        <v>177</v>
      </c>
      <c r="G917" s="99">
        <v>70366</v>
      </c>
      <c r="H917" s="98" t="s">
        <v>193</v>
      </c>
      <c r="I917" s="99">
        <v>52194</v>
      </c>
      <c r="J917" s="98" t="s">
        <v>212</v>
      </c>
      <c r="K917" s="99">
        <v>58801</v>
      </c>
      <c r="L917" s="98" t="s">
        <v>182</v>
      </c>
      <c r="M917" s="99">
        <v>56054</v>
      </c>
      <c r="N917" s="98" t="s">
        <v>170</v>
      </c>
    </row>
    <row r="918" spans="1:14" x14ac:dyDescent="0.25">
      <c r="A918" s="100">
        <v>56069</v>
      </c>
      <c r="C918" s="99">
        <v>59531</v>
      </c>
      <c r="D918" s="98" t="s">
        <v>182</v>
      </c>
      <c r="G918" s="99">
        <v>70488</v>
      </c>
      <c r="H918" s="98" t="s">
        <v>177</v>
      </c>
      <c r="I918" s="99">
        <v>52232</v>
      </c>
      <c r="J918" s="98" t="s">
        <v>161</v>
      </c>
      <c r="K918" s="99">
        <v>58802</v>
      </c>
      <c r="L918" s="98" t="s">
        <v>208</v>
      </c>
      <c r="M918" s="99">
        <v>56069</v>
      </c>
      <c r="N918" s="98" t="s">
        <v>175</v>
      </c>
    </row>
    <row r="919" spans="1:14" x14ac:dyDescent="0.25">
      <c r="A919" s="100">
        <v>56128</v>
      </c>
      <c r="C919" s="99">
        <v>59537</v>
      </c>
      <c r="D919" s="98" t="s">
        <v>160</v>
      </c>
      <c r="G919" s="99">
        <v>70489</v>
      </c>
      <c r="H919" s="98" t="s">
        <v>182</v>
      </c>
      <c r="I919" s="99">
        <v>52243</v>
      </c>
      <c r="J919" s="98" t="s">
        <v>164</v>
      </c>
      <c r="K919" s="99">
        <v>58803</v>
      </c>
      <c r="L919" s="98" t="s">
        <v>186</v>
      </c>
      <c r="M919" s="99">
        <v>56128</v>
      </c>
      <c r="N919" s="98" t="s">
        <v>184</v>
      </c>
    </row>
    <row r="920" spans="1:14" x14ac:dyDescent="0.25">
      <c r="A920" s="100">
        <v>56170</v>
      </c>
      <c r="C920" s="99">
        <v>59562</v>
      </c>
      <c r="D920" s="98" t="s">
        <v>171</v>
      </c>
      <c r="G920" s="99">
        <v>70495</v>
      </c>
      <c r="H920" s="98" t="s">
        <v>160</v>
      </c>
      <c r="I920" s="99">
        <v>52273</v>
      </c>
      <c r="J920" s="98" t="s">
        <v>168</v>
      </c>
      <c r="K920" s="99">
        <v>58807</v>
      </c>
      <c r="L920" s="98" t="s">
        <v>160</v>
      </c>
      <c r="M920" s="99">
        <v>56170</v>
      </c>
      <c r="N920" s="98" t="s">
        <v>201</v>
      </c>
    </row>
    <row r="921" spans="1:14" x14ac:dyDescent="0.25">
      <c r="A921" s="100">
        <v>56192</v>
      </c>
      <c r="C921" s="99">
        <v>59639</v>
      </c>
      <c r="D921" s="98" t="s">
        <v>159</v>
      </c>
      <c r="G921" s="99">
        <v>70594</v>
      </c>
      <c r="H921" s="98" t="s">
        <v>159</v>
      </c>
      <c r="I921" s="99">
        <v>52285</v>
      </c>
      <c r="J921" s="98" t="s">
        <v>173</v>
      </c>
      <c r="K921" s="99">
        <v>58808</v>
      </c>
      <c r="L921" s="98" t="s">
        <v>165</v>
      </c>
      <c r="M921" s="99">
        <v>56192</v>
      </c>
      <c r="N921" s="98" t="s">
        <v>210</v>
      </c>
    </row>
    <row r="922" spans="1:14" x14ac:dyDescent="0.25">
      <c r="A922" s="100">
        <v>56199</v>
      </c>
      <c r="C922" s="99">
        <v>59640</v>
      </c>
      <c r="D922" s="98" t="s">
        <v>176</v>
      </c>
      <c r="G922" s="99">
        <v>70597</v>
      </c>
      <c r="H922" s="98" t="s">
        <v>162</v>
      </c>
      <c r="I922" s="99">
        <v>52311</v>
      </c>
      <c r="J922" s="98" t="s">
        <v>178</v>
      </c>
      <c r="K922" s="99">
        <v>58809</v>
      </c>
      <c r="L922" s="98" t="s">
        <v>214</v>
      </c>
      <c r="M922" s="99">
        <v>56199</v>
      </c>
      <c r="N922" s="98" t="s">
        <v>188</v>
      </c>
    </row>
    <row r="923" spans="1:14" x14ac:dyDescent="0.25">
      <c r="A923" s="100">
        <v>56215</v>
      </c>
      <c r="C923" s="99">
        <v>59641</v>
      </c>
      <c r="D923" s="98" t="s">
        <v>181</v>
      </c>
      <c r="G923" s="99">
        <v>70618</v>
      </c>
      <c r="H923" s="98" t="s">
        <v>163</v>
      </c>
      <c r="I923" s="99">
        <v>52350</v>
      </c>
      <c r="J923" s="98" t="s">
        <v>183</v>
      </c>
      <c r="K923" s="99">
        <v>58810</v>
      </c>
      <c r="L923" s="98" t="s">
        <v>213</v>
      </c>
      <c r="M923" s="99">
        <v>56215</v>
      </c>
      <c r="N923" s="98" t="s">
        <v>192</v>
      </c>
    </row>
    <row r="924" spans="1:14" x14ac:dyDescent="0.25">
      <c r="A924" s="100">
        <v>56243</v>
      </c>
      <c r="C924" s="99">
        <v>59642</v>
      </c>
      <c r="D924" s="98" t="s">
        <v>162</v>
      </c>
      <c r="G924" s="99">
        <v>70639</v>
      </c>
      <c r="H924" s="98" t="s">
        <v>167</v>
      </c>
      <c r="I924" s="99">
        <v>52354</v>
      </c>
      <c r="J924" s="98" t="s">
        <v>187</v>
      </c>
      <c r="K924" s="99">
        <v>58837</v>
      </c>
      <c r="L924" s="98" t="s">
        <v>206</v>
      </c>
      <c r="M924" s="99">
        <v>56243</v>
      </c>
      <c r="N924" s="98" t="s">
        <v>177</v>
      </c>
    </row>
    <row r="925" spans="1:14" x14ac:dyDescent="0.25">
      <c r="A925" s="100">
        <v>56250</v>
      </c>
      <c r="C925" s="99">
        <v>59651</v>
      </c>
      <c r="D925" s="98" t="s">
        <v>185</v>
      </c>
      <c r="G925" s="99">
        <v>70737</v>
      </c>
      <c r="H925" s="98" t="s">
        <v>193</v>
      </c>
      <c r="I925" s="99">
        <v>52355</v>
      </c>
      <c r="J925" s="98" t="s">
        <v>190</v>
      </c>
      <c r="K925" s="99">
        <v>58843</v>
      </c>
      <c r="L925" s="98" t="s">
        <v>169</v>
      </c>
      <c r="M925" s="99">
        <v>56250</v>
      </c>
      <c r="N925" s="98" t="s">
        <v>160</v>
      </c>
    </row>
    <row r="926" spans="1:14" x14ac:dyDescent="0.25">
      <c r="A926" s="100">
        <v>56268</v>
      </c>
      <c r="C926" s="99">
        <v>59698</v>
      </c>
      <c r="D926" s="98" t="s">
        <v>191</v>
      </c>
      <c r="G926" s="99">
        <v>70853</v>
      </c>
      <c r="H926" s="98" t="s">
        <v>177</v>
      </c>
      <c r="I926" s="99">
        <v>52356</v>
      </c>
      <c r="J926" s="98" t="s">
        <v>194</v>
      </c>
      <c r="K926" s="99">
        <v>58844</v>
      </c>
      <c r="L926" s="98" t="s">
        <v>215</v>
      </c>
      <c r="M926" s="99">
        <v>56268</v>
      </c>
      <c r="N926" s="98" t="s">
        <v>197</v>
      </c>
    </row>
    <row r="927" spans="1:14" x14ac:dyDescent="0.25">
      <c r="A927" s="100">
        <v>56292</v>
      </c>
      <c r="C927" s="99">
        <v>59754</v>
      </c>
      <c r="D927" s="98" t="s">
        <v>202</v>
      </c>
      <c r="G927" s="99">
        <v>70854</v>
      </c>
      <c r="H927" s="98" t="s">
        <v>182</v>
      </c>
      <c r="I927" s="99">
        <v>52357</v>
      </c>
      <c r="J927" s="98" t="s">
        <v>212</v>
      </c>
      <c r="K927" s="99">
        <v>58904</v>
      </c>
      <c r="L927" s="98" t="s">
        <v>159</v>
      </c>
      <c r="M927" s="99">
        <v>56292</v>
      </c>
      <c r="N927" s="98" t="s">
        <v>204</v>
      </c>
    </row>
    <row r="928" spans="1:14" x14ac:dyDescent="0.25">
      <c r="A928" s="100">
        <v>56295</v>
      </c>
      <c r="C928" s="99">
        <v>59810</v>
      </c>
      <c r="D928" s="98" t="s">
        <v>189</v>
      </c>
      <c r="G928" s="99">
        <v>70856</v>
      </c>
      <c r="H928" s="98" t="s">
        <v>186</v>
      </c>
      <c r="I928" s="99">
        <v>52432</v>
      </c>
      <c r="J928" s="98" t="s">
        <v>196</v>
      </c>
      <c r="K928" s="99">
        <v>58907</v>
      </c>
      <c r="L928" s="98" t="s">
        <v>162</v>
      </c>
      <c r="M928" s="99">
        <v>56295</v>
      </c>
      <c r="N928" s="98" t="s">
        <v>207</v>
      </c>
    </row>
    <row r="929" spans="1:14" x14ac:dyDescent="0.25">
      <c r="A929" s="100">
        <v>56296</v>
      </c>
      <c r="C929" s="99">
        <v>59895</v>
      </c>
      <c r="D929" s="98" t="s">
        <v>177</v>
      </c>
      <c r="G929" s="99">
        <v>70860</v>
      </c>
      <c r="H929" s="98" t="s">
        <v>160</v>
      </c>
      <c r="I929" s="99">
        <v>52454</v>
      </c>
      <c r="J929" s="98" t="s">
        <v>198</v>
      </c>
      <c r="K929" s="99">
        <v>58921</v>
      </c>
      <c r="L929" s="98" t="s">
        <v>174</v>
      </c>
      <c r="M929" s="99">
        <v>56296</v>
      </c>
      <c r="N929" s="98" t="s">
        <v>199</v>
      </c>
    </row>
    <row r="930" spans="1:14" x14ac:dyDescent="0.25">
      <c r="A930" s="100">
        <v>56394</v>
      </c>
      <c r="C930" s="99">
        <v>59896</v>
      </c>
      <c r="D930" s="98" t="s">
        <v>182</v>
      </c>
      <c r="G930" s="99">
        <v>70951</v>
      </c>
      <c r="H930" s="98" t="s">
        <v>159</v>
      </c>
      <c r="I930" s="99">
        <v>52495</v>
      </c>
      <c r="J930" s="98" t="s">
        <v>200</v>
      </c>
      <c r="K930" s="99">
        <v>58963</v>
      </c>
      <c r="L930" s="98" t="s">
        <v>191</v>
      </c>
      <c r="M930" s="99">
        <v>56394</v>
      </c>
      <c r="N930" s="98" t="s">
        <v>166</v>
      </c>
    </row>
    <row r="931" spans="1:14" x14ac:dyDescent="0.25">
      <c r="A931" s="100">
        <v>56419</v>
      </c>
      <c r="C931" s="99">
        <v>59902</v>
      </c>
      <c r="D931" s="98" t="s">
        <v>160</v>
      </c>
      <c r="G931" s="99">
        <v>70954</v>
      </c>
      <c r="H931" s="98" t="s">
        <v>162</v>
      </c>
      <c r="I931" s="99">
        <v>52496</v>
      </c>
      <c r="J931" s="98" t="s">
        <v>218</v>
      </c>
      <c r="K931" s="99">
        <v>59103</v>
      </c>
      <c r="L931" s="98" t="s">
        <v>189</v>
      </c>
      <c r="M931" s="99">
        <v>56419</v>
      </c>
      <c r="N931" s="98" t="s">
        <v>170</v>
      </c>
    </row>
    <row r="932" spans="1:14" x14ac:dyDescent="0.25">
      <c r="A932" s="100">
        <v>56433</v>
      </c>
      <c r="C932" s="99">
        <v>59929</v>
      </c>
      <c r="D932" s="98" t="s">
        <v>171</v>
      </c>
      <c r="G932" s="99">
        <v>70982</v>
      </c>
      <c r="H932" s="98" t="s">
        <v>163</v>
      </c>
      <c r="I932" s="99">
        <v>52497</v>
      </c>
      <c r="J932" s="98" t="s">
        <v>203</v>
      </c>
      <c r="K932" s="99">
        <v>59165</v>
      </c>
      <c r="L932" s="98" t="s">
        <v>177</v>
      </c>
      <c r="M932" s="99">
        <v>56433</v>
      </c>
      <c r="N932" s="98" t="s">
        <v>180</v>
      </c>
    </row>
    <row r="933" spans="1:14" x14ac:dyDescent="0.25">
      <c r="A933" s="100">
        <v>56434</v>
      </c>
      <c r="C933" s="99">
        <v>59996</v>
      </c>
      <c r="D933" s="98" t="s">
        <v>159</v>
      </c>
      <c r="G933" s="99">
        <v>71010</v>
      </c>
      <c r="H933" s="98" t="s">
        <v>167</v>
      </c>
      <c r="I933" s="99">
        <v>52516</v>
      </c>
      <c r="J933" s="98" t="s">
        <v>205</v>
      </c>
      <c r="K933" s="99">
        <v>59166</v>
      </c>
      <c r="L933" s="98" t="s">
        <v>182</v>
      </c>
      <c r="M933" s="99">
        <v>56434</v>
      </c>
      <c r="N933" s="98" t="s">
        <v>175</v>
      </c>
    </row>
    <row r="934" spans="1:14" x14ac:dyDescent="0.25">
      <c r="A934" s="100">
        <v>56499</v>
      </c>
      <c r="C934" s="99">
        <v>59997</v>
      </c>
      <c r="D934" s="98" t="s">
        <v>176</v>
      </c>
      <c r="G934" s="99">
        <v>71101</v>
      </c>
      <c r="H934" s="98" t="s">
        <v>193</v>
      </c>
      <c r="I934" s="99">
        <v>52538</v>
      </c>
      <c r="J934" s="98" t="s">
        <v>209</v>
      </c>
      <c r="K934" s="99">
        <v>59167</v>
      </c>
      <c r="L934" s="98" t="s">
        <v>208</v>
      </c>
      <c r="M934" s="99">
        <v>56499</v>
      </c>
      <c r="N934" s="98" t="s">
        <v>184</v>
      </c>
    </row>
    <row r="935" spans="1:14" x14ac:dyDescent="0.25">
      <c r="A935" s="100">
        <v>56534</v>
      </c>
      <c r="C935" s="99">
        <v>59998</v>
      </c>
      <c r="D935" s="98" t="s">
        <v>181</v>
      </c>
      <c r="G935" s="99">
        <v>71218</v>
      </c>
      <c r="H935" s="98" t="s">
        <v>177</v>
      </c>
      <c r="I935" s="99">
        <v>52558</v>
      </c>
      <c r="J935" s="98" t="s">
        <v>211</v>
      </c>
      <c r="K935" s="99">
        <v>59172</v>
      </c>
      <c r="L935" s="98" t="s">
        <v>160</v>
      </c>
      <c r="M935" s="99">
        <v>56534</v>
      </c>
      <c r="N935" s="98" t="s">
        <v>201</v>
      </c>
    </row>
    <row r="936" spans="1:14" x14ac:dyDescent="0.25">
      <c r="A936" s="100">
        <v>56556</v>
      </c>
      <c r="C936" s="99">
        <v>59999</v>
      </c>
      <c r="D936" s="98" t="s">
        <v>162</v>
      </c>
      <c r="G936" s="99">
        <v>71219</v>
      </c>
      <c r="H936" s="98" t="s">
        <v>182</v>
      </c>
      <c r="I936" s="99">
        <v>52597</v>
      </c>
      <c r="J936" s="98" t="s">
        <v>161</v>
      </c>
      <c r="K936" s="99">
        <v>59173</v>
      </c>
      <c r="L936" s="98" t="s">
        <v>165</v>
      </c>
      <c r="M936" s="99">
        <v>56556</v>
      </c>
      <c r="N936" s="98" t="s">
        <v>210</v>
      </c>
    </row>
    <row r="937" spans="1:14" x14ac:dyDescent="0.25">
      <c r="A937" s="100">
        <v>56564</v>
      </c>
      <c r="C937" s="99">
        <v>60017</v>
      </c>
      <c r="D937" s="98" t="s">
        <v>185</v>
      </c>
      <c r="G937" s="99">
        <v>71220</v>
      </c>
      <c r="H937" s="98" t="s">
        <v>208</v>
      </c>
      <c r="I937" s="99">
        <v>52607</v>
      </c>
      <c r="J937" s="98" t="s">
        <v>164</v>
      </c>
      <c r="K937" s="99">
        <v>59174</v>
      </c>
      <c r="L937" s="98" t="s">
        <v>214</v>
      </c>
      <c r="M937" s="99">
        <v>56564</v>
      </c>
      <c r="N937" s="98" t="s">
        <v>188</v>
      </c>
    </row>
    <row r="938" spans="1:14" x14ac:dyDescent="0.25">
      <c r="A938" s="100">
        <v>56579</v>
      </c>
      <c r="C938" s="99">
        <v>60062</v>
      </c>
      <c r="D938" s="98" t="s">
        <v>191</v>
      </c>
      <c r="G938" s="99">
        <v>71221</v>
      </c>
      <c r="H938" s="98" t="s">
        <v>186</v>
      </c>
      <c r="I938" s="99">
        <v>52638</v>
      </c>
      <c r="J938" s="98" t="s">
        <v>168</v>
      </c>
      <c r="K938" s="99">
        <v>59201</v>
      </c>
      <c r="L938" s="98" t="s">
        <v>206</v>
      </c>
      <c r="M938" s="99">
        <v>56579</v>
      </c>
      <c r="N938" s="98" t="s">
        <v>192</v>
      </c>
    </row>
    <row r="939" spans="1:14" x14ac:dyDescent="0.25">
      <c r="A939" s="100">
        <v>56608</v>
      </c>
      <c r="C939" s="99">
        <v>60118</v>
      </c>
      <c r="D939" s="98" t="s">
        <v>202</v>
      </c>
      <c r="G939" s="99">
        <v>71225</v>
      </c>
      <c r="H939" s="98" t="s">
        <v>160</v>
      </c>
      <c r="I939" s="99">
        <v>52650</v>
      </c>
      <c r="J939" s="98" t="s">
        <v>173</v>
      </c>
      <c r="K939" s="99">
        <v>59208</v>
      </c>
      <c r="L939" s="98" t="s">
        <v>169</v>
      </c>
      <c r="M939" s="99">
        <v>56608</v>
      </c>
      <c r="N939" s="98" t="s">
        <v>177</v>
      </c>
    </row>
    <row r="940" spans="1:14" x14ac:dyDescent="0.25">
      <c r="A940" s="100">
        <v>56615</v>
      </c>
      <c r="C940" s="99">
        <v>60181</v>
      </c>
      <c r="D940" s="98" t="s">
        <v>189</v>
      </c>
      <c r="G940" s="99">
        <v>71227</v>
      </c>
      <c r="H940" s="98" t="s">
        <v>214</v>
      </c>
      <c r="I940" s="99">
        <v>52676</v>
      </c>
      <c r="J940" s="98" t="s">
        <v>178</v>
      </c>
      <c r="K940" s="99">
        <v>59254</v>
      </c>
      <c r="L940" s="98" t="s">
        <v>159</v>
      </c>
      <c r="M940" s="99">
        <v>56615</v>
      </c>
      <c r="N940" s="98" t="s">
        <v>160</v>
      </c>
    </row>
    <row r="941" spans="1:14" x14ac:dyDescent="0.25">
      <c r="A941" s="100">
        <v>56632</v>
      </c>
      <c r="C941" s="99">
        <v>60261</v>
      </c>
      <c r="D941" s="98" t="s">
        <v>177</v>
      </c>
      <c r="G941" s="99">
        <v>71336</v>
      </c>
      <c r="H941" s="98" t="s">
        <v>159</v>
      </c>
      <c r="I941" s="99">
        <v>52677</v>
      </c>
      <c r="J941" s="98" t="s">
        <v>212</v>
      </c>
      <c r="K941" s="99">
        <v>59257</v>
      </c>
      <c r="L941" s="98" t="s">
        <v>162</v>
      </c>
      <c r="M941" s="99">
        <v>56632</v>
      </c>
      <c r="N941" s="98" t="s">
        <v>197</v>
      </c>
    </row>
    <row r="942" spans="1:14" x14ac:dyDescent="0.25">
      <c r="A942" s="100">
        <v>56657</v>
      </c>
      <c r="C942" s="99">
        <v>60262</v>
      </c>
      <c r="D942" s="98" t="s">
        <v>182</v>
      </c>
      <c r="G942" s="99">
        <v>71339</v>
      </c>
      <c r="H942" s="98" t="s">
        <v>162</v>
      </c>
      <c r="I942" s="99">
        <v>52716</v>
      </c>
      <c r="J942" s="98" t="s">
        <v>183</v>
      </c>
      <c r="K942" s="99">
        <v>59286</v>
      </c>
      <c r="L942" s="98" t="s">
        <v>174</v>
      </c>
      <c r="M942" s="99">
        <v>56657</v>
      </c>
      <c r="N942" s="98" t="s">
        <v>204</v>
      </c>
    </row>
    <row r="943" spans="1:14" x14ac:dyDescent="0.25">
      <c r="A943" s="100">
        <v>56660</v>
      </c>
      <c r="C943" s="99">
        <v>60268</v>
      </c>
      <c r="D943" s="98" t="s">
        <v>160</v>
      </c>
      <c r="G943" s="99">
        <v>71346</v>
      </c>
      <c r="H943" s="98" t="s">
        <v>163</v>
      </c>
      <c r="I943" s="99">
        <v>52720</v>
      </c>
      <c r="J943" s="98" t="s">
        <v>187</v>
      </c>
      <c r="K943" s="99">
        <v>59327</v>
      </c>
      <c r="L943" s="98" t="s">
        <v>191</v>
      </c>
      <c r="M943" s="99">
        <v>56660</v>
      </c>
      <c r="N943" s="98" t="s">
        <v>217</v>
      </c>
    </row>
    <row r="944" spans="1:14" x14ac:dyDescent="0.25">
      <c r="A944" s="100">
        <v>56765</v>
      </c>
      <c r="C944" s="99">
        <v>60293</v>
      </c>
      <c r="D944" s="98" t="s">
        <v>171</v>
      </c>
      <c r="G944" s="99">
        <v>71374</v>
      </c>
      <c r="H944" s="98" t="s">
        <v>167</v>
      </c>
      <c r="I944" s="99">
        <v>52721</v>
      </c>
      <c r="J944" s="98" t="s">
        <v>190</v>
      </c>
      <c r="K944" s="99">
        <v>59467</v>
      </c>
      <c r="L944" s="98" t="s">
        <v>189</v>
      </c>
      <c r="M944" s="99">
        <v>56765</v>
      </c>
      <c r="N944" s="98" t="s">
        <v>166</v>
      </c>
    </row>
    <row r="945" spans="1:14" x14ac:dyDescent="0.25">
      <c r="A945" s="100">
        <v>56783</v>
      </c>
      <c r="C945" s="99">
        <v>60353</v>
      </c>
      <c r="D945" s="98" t="s">
        <v>159</v>
      </c>
      <c r="G945" s="99">
        <v>71465</v>
      </c>
      <c r="H945" s="98" t="s">
        <v>193</v>
      </c>
      <c r="I945" s="99">
        <v>52722</v>
      </c>
      <c r="J945" s="98" t="s">
        <v>194</v>
      </c>
      <c r="K945" s="99">
        <v>59530</v>
      </c>
      <c r="L945" s="98" t="s">
        <v>177</v>
      </c>
      <c r="M945" s="99">
        <v>56783</v>
      </c>
      <c r="N945" s="98" t="s">
        <v>216</v>
      </c>
    </row>
    <row r="946" spans="1:14" x14ac:dyDescent="0.25">
      <c r="A946" s="100">
        <v>56784</v>
      </c>
      <c r="C946" s="99">
        <v>60354</v>
      </c>
      <c r="D946" s="98" t="s">
        <v>176</v>
      </c>
      <c r="G946" s="99">
        <v>71583</v>
      </c>
      <c r="H946" s="98" t="s">
        <v>177</v>
      </c>
      <c r="I946" s="99">
        <v>52796</v>
      </c>
      <c r="J946" s="98" t="s">
        <v>196</v>
      </c>
      <c r="K946" s="99">
        <v>59531</v>
      </c>
      <c r="L946" s="98" t="s">
        <v>182</v>
      </c>
      <c r="M946" s="99">
        <v>56784</v>
      </c>
      <c r="N946" s="98" t="s">
        <v>170</v>
      </c>
    </row>
    <row r="947" spans="1:14" x14ac:dyDescent="0.25">
      <c r="A947" s="100">
        <v>56799</v>
      </c>
      <c r="C947" s="99">
        <v>60355</v>
      </c>
      <c r="D947" s="98" t="s">
        <v>181</v>
      </c>
      <c r="G947" s="99">
        <v>71584</v>
      </c>
      <c r="H947" s="98" t="s">
        <v>182</v>
      </c>
      <c r="I947" s="99">
        <v>52820</v>
      </c>
      <c r="J947" s="98" t="s">
        <v>198</v>
      </c>
      <c r="K947" s="99">
        <v>59537</v>
      </c>
      <c r="L947" s="98" t="s">
        <v>160</v>
      </c>
      <c r="M947" s="99">
        <v>56799</v>
      </c>
      <c r="N947" s="98" t="s">
        <v>175</v>
      </c>
    </row>
    <row r="948" spans="1:14" x14ac:dyDescent="0.25">
      <c r="A948" s="100">
        <v>56800</v>
      </c>
      <c r="C948" s="99">
        <v>60356</v>
      </c>
      <c r="D948" s="98" t="s">
        <v>162</v>
      </c>
      <c r="G948" s="99">
        <v>71585</v>
      </c>
      <c r="H948" s="98" t="s">
        <v>208</v>
      </c>
      <c r="I948" s="99">
        <v>52859</v>
      </c>
      <c r="J948" s="98" t="s">
        <v>200</v>
      </c>
      <c r="K948" s="99">
        <v>59538</v>
      </c>
      <c r="L948" s="98" t="s">
        <v>165</v>
      </c>
      <c r="M948" s="99">
        <v>56800</v>
      </c>
      <c r="N948" s="98" t="s">
        <v>180</v>
      </c>
    </row>
    <row r="949" spans="1:14" x14ac:dyDescent="0.25">
      <c r="A949" s="100">
        <v>56863</v>
      </c>
      <c r="C949" s="99">
        <v>60382</v>
      </c>
      <c r="D949" s="98" t="s">
        <v>185</v>
      </c>
      <c r="G949" s="99">
        <v>71590</v>
      </c>
      <c r="H949" s="98" t="s">
        <v>160</v>
      </c>
      <c r="I949" s="99">
        <v>52862</v>
      </c>
      <c r="J949" s="98" t="s">
        <v>203</v>
      </c>
      <c r="K949" s="99">
        <v>59565</v>
      </c>
      <c r="L949" s="98" t="s">
        <v>206</v>
      </c>
      <c r="M949" s="99">
        <v>56863</v>
      </c>
      <c r="N949" s="98" t="s">
        <v>184</v>
      </c>
    </row>
    <row r="950" spans="1:14" x14ac:dyDescent="0.25">
      <c r="A950" s="100">
        <v>56898</v>
      </c>
      <c r="C950" s="99">
        <v>60426</v>
      </c>
      <c r="D950" s="98" t="s">
        <v>191</v>
      </c>
      <c r="G950" s="99">
        <v>71591</v>
      </c>
      <c r="H950" s="98" t="s">
        <v>214</v>
      </c>
      <c r="I950" s="99">
        <v>52880</v>
      </c>
      <c r="J950" s="98" t="s">
        <v>205</v>
      </c>
      <c r="K950" s="99">
        <v>59573</v>
      </c>
      <c r="L950" s="98" t="s">
        <v>169</v>
      </c>
      <c r="M950" s="99">
        <v>56898</v>
      </c>
      <c r="N950" s="98" t="s">
        <v>201</v>
      </c>
    </row>
    <row r="951" spans="1:14" x14ac:dyDescent="0.25">
      <c r="A951" s="100">
        <v>56920</v>
      </c>
      <c r="C951" s="99">
        <v>60482</v>
      </c>
      <c r="D951" s="98" t="s">
        <v>202</v>
      </c>
      <c r="G951" s="99">
        <v>71693</v>
      </c>
      <c r="H951" s="98" t="s">
        <v>159</v>
      </c>
      <c r="I951" s="99">
        <v>52904</v>
      </c>
      <c r="J951" s="98" t="s">
        <v>209</v>
      </c>
      <c r="K951" s="99">
        <v>59639</v>
      </c>
      <c r="L951" s="98" t="s">
        <v>159</v>
      </c>
      <c r="M951" s="99">
        <v>56920</v>
      </c>
      <c r="N951" s="98" t="s">
        <v>210</v>
      </c>
    </row>
    <row r="952" spans="1:14" x14ac:dyDescent="0.25">
      <c r="A952" s="100">
        <v>56929</v>
      </c>
      <c r="C952" s="99">
        <v>60545</v>
      </c>
      <c r="D952" s="98" t="s">
        <v>189</v>
      </c>
      <c r="G952" s="99">
        <v>71696</v>
      </c>
      <c r="H952" s="98" t="s">
        <v>162</v>
      </c>
      <c r="I952" s="99">
        <v>52924</v>
      </c>
      <c r="J952" s="98" t="s">
        <v>211</v>
      </c>
      <c r="K952" s="99">
        <v>59642</v>
      </c>
      <c r="L952" s="98" t="s">
        <v>162</v>
      </c>
      <c r="M952" s="99">
        <v>56929</v>
      </c>
      <c r="N952" s="98" t="s">
        <v>188</v>
      </c>
    </row>
    <row r="953" spans="1:14" x14ac:dyDescent="0.25">
      <c r="A953" s="100">
        <v>56943</v>
      </c>
      <c r="C953" s="99">
        <v>60626</v>
      </c>
      <c r="D953" s="98" t="s">
        <v>177</v>
      </c>
      <c r="G953" s="99">
        <v>71717</v>
      </c>
      <c r="H953" s="98" t="s">
        <v>163</v>
      </c>
      <c r="I953" s="99">
        <v>52963</v>
      </c>
      <c r="J953" s="98" t="s">
        <v>161</v>
      </c>
      <c r="K953" s="99">
        <v>59651</v>
      </c>
      <c r="L953" s="98" t="s">
        <v>174</v>
      </c>
      <c r="M953" s="99">
        <v>56943</v>
      </c>
      <c r="N953" s="98" t="s">
        <v>192</v>
      </c>
    </row>
    <row r="954" spans="1:14" x14ac:dyDescent="0.25">
      <c r="A954" s="100">
        <v>56972</v>
      </c>
      <c r="C954" s="99">
        <v>60627</v>
      </c>
      <c r="D954" s="98" t="s">
        <v>182</v>
      </c>
      <c r="G954" s="99">
        <v>71738</v>
      </c>
      <c r="H954" s="98" t="s">
        <v>167</v>
      </c>
      <c r="I954" s="99">
        <v>52964</v>
      </c>
      <c r="J954" s="98" t="s">
        <v>212</v>
      </c>
      <c r="K954" s="99">
        <v>59691</v>
      </c>
      <c r="L954" s="98" t="s">
        <v>191</v>
      </c>
      <c r="M954" s="99">
        <v>56972</v>
      </c>
      <c r="N954" s="98" t="s">
        <v>208</v>
      </c>
    </row>
    <row r="955" spans="1:14" x14ac:dyDescent="0.25">
      <c r="A955" s="100">
        <v>56973</v>
      </c>
      <c r="C955" s="99">
        <v>60629</v>
      </c>
      <c r="D955" s="98" t="s">
        <v>186</v>
      </c>
      <c r="G955" s="99">
        <v>71829</v>
      </c>
      <c r="H955" s="98" t="s">
        <v>193</v>
      </c>
      <c r="I955" s="99">
        <v>52971</v>
      </c>
      <c r="J955" s="98" t="s">
        <v>164</v>
      </c>
      <c r="K955" s="99">
        <v>59831</v>
      </c>
      <c r="L955" s="98" t="s">
        <v>189</v>
      </c>
      <c r="M955" s="99">
        <v>56973</v>
      </c>
      <c r="N955" s="98" t="s">
        <v>177</v>
      </c>
    </row>
    <row r="956" spans="1:14" x14ac:dyDescent="0.25">
      <c r="A956" s="100">
        <v>56979</v>
      </c>
      <c r="C956" s="99">
        <v>60633</v>
      </c>
      <c r="D956" s="98" t="s">
        <v>160</v>
      </c>
      <c r="G956" s="99">
        <v>71949</v>
      </c>
      <c r="H956" s="98" t="s">
        <v>177</v>
      </c>
      <c r="I956" s="99">
        <v>53004</v>
      </c>
      <c r="J956" s="98" t="s">
        <v>168</v>
      </c>
      <c r="K956" s="99">
        <v>59895</v>
      </c>
      <c r="L956" s="98" t="s">
        <v>177</v>
      </c>
      <c r="M956" s="99">
        <v>56979</v>
      </c>
      <c r="N956" s="98" t="s">
        <v>214</v>
      </c>
    </row>
    <row r="957" spans="1:14" x14ac:dyDescent="0.25">
      <c r="A957" s="100">
        <v>56980</v>
      </c>
      <c r="C957" s="99">
        <v>60658</v>
      </c>
      <c r="D957" s="98" t="s">
        <v>171</v>
      </c>
      <c r="G957" s="99">
        <v>71950</v>
      </c>
      <c r="H957" s="98" t="s">
        <v>182</v>
      </c>
      <c r="I957" s="99">
        <v>53016</v>
      </c>
      <c r="J957" s="98" t="s">
        <v>173</v>
      </c>
      <c r="K957" s="99">
        <v>59896</v>
      </c>
      <c r="L957" s="98" t="s">
        <v>182</v>
      </c>
      <c r="M957" s="99">
        <v>56980</v>
      </c>
      <c r="N957" s="98" t="s">
        <v>160</v>
      </c>
    </row>
    <row r="958" spans="1:14" x14ac:dyDescent="0.25">
      <c r="A958" s="100">
        <v>56996</v>
      </c>
      <c r="C958" s="99">
        <v>60731</v>
      </c>
      <c r="D958" s="98" t="s">
        <v>159</v>
      </c>
      <c r="G958" s="99">
        <v>71956</v>
      </c>
      <c r="H958" s="98" t="s">
        <v>160</v>
      </c>
      <c r="I958" s="99">
        <v>53041</v>
      </c>
      <c r="J958" s="98" t="s">
        <v>178</v>
      </c>
      <c r="K958" s="99">
        <v>59902</v>
      </c>
      <c r="L958" s="98" t="s">
        <v>160</v>
      </c>
      <c r="M958" s="99">
        <v>56996</v>
      </c>
      <c r="N958" s="98" t="s">
        <v>197</v>
      </c>
    </row>
    <row r="959" spans="1:14" x14ac:dyDescent="0.25">
      <c r="A959" s="100">
        <v>57021</v>
      </c>
      <c r="C959" s="99">
        <v>60732</v>
      </c>
      <c r="D959" s="98" t="s">
        <v>176</v>
      </c>
      <c r="G959" s="99">
        <v>72043</v>
      </c>
      <c r="H959" s="98" t="s">
        <v>159</v>
      </c>
      <c r="I959" s="99">
        <v>53081</v>
      </c>
      <c r="J959" s="98" t="s">
        <v>183</v>
      </c>
      <c r="K959" s="99">
        <v>59903</v>
      </c>
      <c r="L959" s="98" t="s">
        <v>165</v>
      </c>
      <c r="M959" s="99">
        <v>57021</v>
      </c>
      <c r="N959" s="98" t="s">
        <v>219</v>
      </c>
    </row>
    <row r="960" spans="1:14" x14ac:dyDescent="0.25">
      <c r="A960" s="100">
        <v>57022</v>
      </c>
      <c r="C960" s="99">
        <v>60733</v>
      </c>
      <c r="D960" s="98" t="s">
        <v>181</v>
      </c>
      <c r="G960" s="99">
        <v>72046</v>
      </c>
      <c r="H960" s="98" t="s">
        <v>162</v>
      </c>
      <c r="I960" s="99">
        <v>53085</v>
      </c>
      <c r="J960" s="98" t="s">
        <v>187</v>
      </c>
      <c r="K960" s="99">
        <v>59929</v>
      </c>
      <c r="L960" s="98" t="s">
        <v>206</v>
      </c>
      <c r="M960" s="99">
        <v>57022</v>
      </c>
      <c r="N960" s="98" t="s">
        <v>204</v>
      </c>
    </row>
    <row r="961" spans="1:14" x14ac:dyDescent="0.25">
      <c r="A961" s="100">
        <v>57025</v>
      </c>
      <c r="C961" s="99">
        <v>60734</v>
      </c>
      <c r="D961" s="98" t="s">
        <v>162</v>
      </c>
      <c r="G961" s="99">
        <v>72081</v>
      </c>
      <c r="H961" s="98" t="s">
        <v>163</v>
      </c>
      <c r="I961" s="99">
        <v>53086</v>
      </c>
      <c r="J961" s="98" t="s">
        <v>190</v>
      </c>
      <c r="K961" s="99">
        <v>59938</v>
      </c>
      <c r="L961" s="98" t="s">
        <v>169</v>
      </c>
      <c r="M961" s="99">
        <v>57025</v>
      </c>
      <c r="N961" s="98" t="s">
        <v>207</v>
      </c>
    </row>
    <row r="962" spans="1:14" x14ac:dyDescent="0.25">
      <c r="A962" s="100">
        <v>57031</v>
      </c>
      <c r="C962" s="99">
        <v>60747</v>
      </c>
      <c r="D962" s="98" t="s">
        <v>185</v>
      </c>
      <c r="G962" s="99">
        <v>72102</v>
      </c>
      <c r="H962" s="98" t="s">
        <v>167</v>
      </c>
      <c r="I962" s="99">
        <v>53087</v>
      </c>
      <c r="J962" s="98" t="s">
        <v>194</v>
      </c>
      <c r="K962" s="99">
        <v>59996</v>
      </c>
      <c r="L962" s="98" t="s">
        <v>159</v>
      </c>
      <c r="M962" s="99">
        <v>57031</v>
      </c>
      <c r="N962" s="98" t="s">
        <v>199</v>
      </c>
    </row>
    <row r="963" spans="1:14" x14ac:dyDescent="0.25">
      <c r="A963" s="100">
        <v>57129</v>
      </c>
      <c r="C963" s="99">
        <v>60797</v>
      </c>
      <c r="D963" s="98" t="s">
        <v>191</v>
      </c>
      <c r="G963" s="99">
        <v>72193</v>
      </c>
      <c r="H963" s="98" t="s">
        <v>193</v>
      </c>
      <c r="I963" s="99">
        <v>53160</v>
      </c>
      <c r="J963" s="98" t="s">
        <v>196</v>
      </c>
      <c r="K963" s="99">
        <v>59999</v>
      </c>
      <c r="L963" s="98" t="s">
        <v>162</v>
      </c>
      <c r="M963" s="99">
        <v>57129</v>
      </c>
      <c r="N963" s="98" t="s">
        <v>166</v>
      </c>
    </row>
    <row r="964" spans="1:14" x14ac:dyDescent="0.25">
      <c r="A964" s="100">
        <v>57150</v>
      </c>
      <c r="C964" s="99">
        <v>60846</v>
      </c>
      <c r="D964" s="98" t="s">
        <v>202</v>
      </c>
      <c r="G964" s="99">
        <v>72314</v>
      </c>
      <c r="H964" s="98" t="s">
        <v>177</v>
      </c>
      <c r="I964" s="99">
        <v>53185</v>
      </c>
      <c r="J964" s="98" t="s">
        <v>198</v>
      </c>
      <c r="K964" s="99">
        <v>60017</v>
      </c>
      <c r="L964" s="98" t="s">
        <v>174</v>
      </c>
      <c r="M964" s="99">
        <v>57150</v>
      </c>
      <c r="N964" s="98" t="s">
        <v>170</v>
      </c>
    </row>
    <row r="965" spans="1:14" x14ac:dyDescent="0.25">
      <c r="A965" s="100">
        <v>57165</v>
      </c>
      <c r="C965" s="99">
        <v>60909</v>
      </c>
      <c r="D965" s="98" t="s">
        <v>189</v>
      </c>
      <c r="G965" s="99">
        <v>72315</v>
      </c>
      <c r="H965" s="98" t="s">
        <v>182</v>
      </c>
      <c r="I965" s="99">
        <v>53223</v>
      </c>
      <c r="J965" s="98" t="s">
        <v>200</v>
      </c>
      <c r="K965" s="99">
        <v>60055</v>
      </c>
      <c r="L965" s="98" t="s">
        <v>191</v>
      </c>
      <c r="M965" s="99">
        <v>57165</v>
      </c>
      <c r="N965" s="98" t="s">
        <v>175</v>
      </c>
    </row>
    <row r="966" spans="1:14" x14ac:dyDescent="0.25">
      <c r="A966" s="100">
        <v>57227</v>
      </c>
      <c r="C966" s="99">
        <v>60991</v>
      </c>
      <c r="D966" s="98" t="s">
        <v>177</v>
      </c>
      <c r="G966" s="99">
        <v>72321</v>
      </c>
      <c r="H966" s="98" t="s">
        <v>160</v>
      </c>
      <c r="I966" s="99">
        <v>53227</v>
      </c>
      <c r="J966" s="98" t="s">
        <v>203</v>
      </c>
      <c r="K966" s="99">
        <v>60202</v>
      </c>
      <c r="L966" s="98" t="s">
        <v>189</v>
      </c>
      <c r="M966" s="99">
        <v>57227</v>
      </c>
      <c r="N966" s="98" t="s">
        <v>184</v>
      </c>
    </row>
    <row r="967" spans="1:14" x14ac:dyDescent="0.25">
      <c r="A967" s="100">
        <v>57262</v>
      </c>
      <c r="C967" s="99">
        <v>60992</v>
      </c>
      <c r="D967" s="98" t="s">
        <v>182</v>
      </c>
      <c r="G967" s="99">
        <v>72428</v>
      </c>
      <c r="H967" s="98" t="s">
        <v>159</v>
      </c>
      <c r="I967" s="99">
        <v>53244</v>
      </c>
      <c r="J967" s="98" t="s">
        <v>205</v>
      </c>
      <c r="K967" s="99">
        <v>60261</v>
      </c>
      <c r="L967" s="98" t="s">
        <v>177</v>
      </c>
      <c r="M967" s="99">
        <v>57262</v>
      </c>
      <c r="N967" s="98" t="s">
        <v>201</v>
      </c>
    </row>
    <row r="968" spans="1:14" x14ac:dyDescent="0.25">
      <c r="A968" s="100">
        <v>57291</v>
      </c>
      <c r="C968" s="99">
        <v>60993</v>
      </c>
      <c r="D968" s="98" t="s">
        <v>208</v>
      </c>
      <c r="G968" s="99">
        <v>72431</v>
      </c>
      <c r="H968" s="98" t="s">
        <v>162</v>
      </c>
      <c r="I968" s="99">
        <v>53269</v>
      </c>
      <c r="J968" s="98" t="s">
        <v>209</v>
      </c>
      <c r="K968" s="99">
        <v>60262</v>
      </c>
      <c r="L968" s="98" t="s">
        <v>182</v>
      </c>
      <c r="M968" s="99">
        <v>57291</v>
      </c>
      <c r="N968" s="98" t="s">
        <v>210</v>
      </c>
    </row>
    <row r="969" spans="1:14" x14ac:dyDescent="0.25">
      <c r="A969" s="100">
        <v>57294</v>
      </c>
      <c r="C969" s="99">
        <v>60994</v>
      </c>
      <c r="D969" s="98" t="s">
        <v>186</v>
      </c>
      <c r="G969" s="99">
        <v>72445</v>
      </c>
      <c r="H969" s="98" t="s">
        <v>163</v>
      </c>
      <c r="I969" s="99">
        <v>53289</v>
      </c>
      <c r="J969" s="98" t="s">
        <v>211</v>
      </c>
      <c r="K969" s="99">
        <v>60268</v>
      </c>
      <c r="L969" s="98" t="s">
        <v>160</v>
      </c>
      <c r="M969" s="99">
        <v>57294</v>
      </c>
      <c r="N969" s="98" t="s">
        <v>220</v>
      </c>
    </row>
    <row r="970" spans="1:14" x14ac:dyDescent="0.25">
      <c r="A970" s="100">
        <v>57295</v>
      </c>
      <c r="C970" s="99">
        <v>60998</v>
      </c>
      <c r="D970" s="98" t="s">
        <v>160</v>
      </c>
      <c r="G970" s="99">
        <v>72466</v>
      </c>
      <c r="H970" s="98" t="s">
        <v>167</v>
      </c>
      <c r="I970" s="99">
        <v>53328</v>
      </c>
      <c r="J970" s="98" t="s">
        <v>161</v>
      </c>
      <c r="K970" s="99">
        <v>60269</v>
      </c>
      <c r="L970" s="98" t="s">
        <v>165</v>
      </c>
      <c r="M970" s="99">
        <v>57295</v>
      </c>
      <c r="N970" s="98" t="s">
        <v>188</v>
      </c>
    </row>
    <row r="971" spans="1:14" x14ac:dyDescent="0.25">
      <c r="A971" s="100">
        <v>57307</v>
      </c>
      <c r="C971" s="99">
        <v>61000</v>
      </c>
      <c r="D971" s="98" t="s">
        <v>214</v>
      </c>
      <c r="G971" s="99">
        <v>72557</v>
      </c>
      <c r="H971" s="98" t="s">
        <v>193</v>
      </c>
      <c r="I971" s="99">
        <v>53335</v>
      </c>
      <c r="J971" s="98" t="s">
        <v>164</v>
      </c>
      <c r="K971" s="99">
        <v>60293</v>
      </c>
      <c r="L971" s="98" t="s">
        <v>206</v>
      </c>
      <c r="M971" s="99">
        <v>57307</v>
      </c>
      <c r="N971" s="98" t="s">
        <v>192</v>
      </c>
    </row>
    <row r="972" spans="1:14" x14ac:dyDescent="0.25">
      <c r="A972" s="100">
        <v>57339</v>
      </c>
      <c r="C972" s="99">
        <v>61023</v>
      </c>
      <c r="D972" s="98" t="s">
        <v>171</v>
      </c>
      <c r="G972" s="99">
        <v>72679</v>
      </c>
      <c r="H972" s="98" t="s">
        <v>177</v>
      </c>
      <c r="I972" s="99">
        <v>53369</v>
      </c>
      <c r="J972" s="98" t="s">
        <v>168</v>
      </c>
      <c r="K972" s="99">
        <v>60304</v>
      </c>
      <c r="L972" s="98" t="s">
        <v>169</v>
      </c>
      <c r="M972" s="99">
        <v>57339</v>
      </c>
      <c r="N972" s="98" t="s">
        <v>177</v>
      </c>
    </row>
    <row r="973" spans="1:14" x14ac:dyDescent="0.25">
      <c r="A973" s="100">
        <v>57346</v>
      </c>
      <c r="C973" s="99">
        <v>61088</v>
      </c>
      <c r="D973" s="98" t="s">
        <v>159</v>
      </c>
      <c r="G973" s="99">
        <v>72680</v>
      </c>
      <c r="H973" s="98" t="s">
        <v>182</v>
      </c>
      <c r="I973" s="99">
        <v>53370</v>
      </c>
      <c r="J973" s="98" t="s">
        <v>212</v>
      </c>
      <c r="K973" s="99">
        <v>60353</v>
      </c>
      <c r="L973" s="98" t="s">
        <v>159</v>
      </c>
      <c r="M973" s="99">
        <v>57346</v>
      </c>
      <c r="N973" s="98" t="s">
        <v>160</v>
      </c>
    </row>
    <row r="974" spans="1:14" x14ac:dyDescent="0.25">
      <c r="A974" s="100">
        <v>57360</v>
      </c>
      <c r="C974" s="99">
        <v>61089</v>
      </c>
      <c r="D974" s="98" t="s">
        <v>176</v>
      </c>
      <c r="G974" s="99">
        <v>72686</v>
      </c>
      <c r="H974" s="98" t="s">
        <v>160</v>
      </c>
      <c r="I974" s="99">
        <v>53381</v>
      </c>
      <c r="J974" s="98" t="s">
        <v>173</v>
      </c>
      <c r="K974" s="99">
        <v>60356</v>
      </c>
      <c r="L974" s="98" t="s">
        <v>162</v>
      </c>
      <c r="M974" s="99">
        <v>57360</v>
      </c>
      <c r="N974" s="98" t="s">
        <v>197</v>
      </c>
    </row>
    <row r="975" spans="1:14" x14ac:dyDescent="0.25">
      <c r="A975" s="100">
        <v>57388</v>
      </c>
      <c r="C975" s="99">
        <v>61090</v>
      </c>
      <c r="D975" s="98" t="s">
        <v>181</v>
      </c>
      <c r="G975" s="99">
        <v>72785</v>
      </c>
      <c r="H975" s="98" t="s">
        <v>159</v>
      </c>
      <c r="I975" s="99">
        <v>53406</v>
      </c>
      <c r="J975" s="98" t="s">
        <v>178</v>
      </c>
      <c r="K975" s="99">
        <v>60382</v>
      </c>
      <c r="L975" s="98" t="s">
        <v>174</v>
      </c>
      <c r="M975" s="99">
        <v>57388</v>
      </c>
      <c r="N975" s="98" t="s">
        <v>204</v>
      </c>
    </row>
    <row r="976" spans="1:14" x14ac:dyDescent="0.25">
      <c r="A976" s="100">
        <v>57391</v>
      </c>
      <c r="C976" s="99">
        <v>61091</v>
      </c>
      <c r="D976" s="98" t="s">
        <v>162</v>
      </c>
      <c r="G976" s="99">
        <v>72788</v>
      </c>
      <c r="H976" s="98" t="s">
        <v>162</v>
      </c>
      <c r="I976" s="99">
        <v>53446</v>
      </c>
      <c r="J976" s="98" t="s">
        <v>183</v>
      </c>
      <c r="K976" s="99">
        <v>60384</v>
      </c>
      <c r="L976" s="98" t="s">
        <v>179</v>
      </c>
      <c r="M976" s="99">
        <v>57391</v>
      </c>
      <c r="N976" s="98" t="s">
        <v>207</v>
      </c>
    </row>
    <row r="977" spans="1:14" x14ac:dyDescent="0.25">
      <c r="A977" s="100">
        <v>57395</v>
      </c>
      <c r="C977" s="99">
        <v>61112</v>
      </c>
      <c r="D977" s="98" t="s">
        <v>185</v>
      </c>
      <c r="G977" s="99">
        <v>72809</v>
      </c>
      <c r="H977" s="98" t="s">
        <v>163</v>
      </c>
      <c r="I977" s="99">
        <v>53447</v>
      </c>
      <c r="J977" s="98" t="s">
        <v>212</v>
      </c>
      <c r="K977" s="99">
        <v>60419</v>
      </c>
      <c r="L977" s="98" t="s">
        <v>191</v>
      </c>
      <c r="M977" s="99">
        <v>57395</v>
      </c>
      <c r="N977" s="98" t="s">
        <v>199</v>
      </c>
    </row>
    <row r="978" spans="1:14" x14ac:dyDescent="0.25">
      <c r="A978" s="100">
        <v>57493</v>
      </c>
      <c r="C978" s="99">
        <v>61161</v>
      </c>
      <c r="D978" s="98" t="s">
        <v>191</v>
      </c>
      <c r="G978" s="99">
        <v>72830</v>
      </c>
      <c r="H978" s="98" t="s">
        <v>167</v>
      </c>
      <c r="I978" s="99">
        <v>53450</v>
      </c>
      <c r="J978" s="98" t="s">
        <v>187</v>
      </c>
      <c r="K978" s="99">
        <v>60566</v>
      </c>
      <c r="L978" s="98" t="s">
        <v>189</v>
      </c>
      <c r="M978" s="99">
        <v>57493</v>
      </c>
      <c r="N978" s="98" t="s">
        <v>166</v>
      </c>
    </row>
    <row r="979" spans="1:14" x14ac:dyDescent="0.25">
      <c r="A979" s="100">
        <v>57515</v>
      </c>
      <c r="C979" s="99">
        <v>61210</v>
      </c>
      <c r="D979" s="98" t="s">
        <v>202</v>
      </c>
      <c r="G979" s="99">
        <v>72928</v>
      </c>
      <c r="H979" s="98" t="s">
        <v>193</v>
      </c>
      <c r="I979" s="99">
        <v>53451</v>
      </c>
      <c r="J979" s="98" t="s">
        <v>190</v>
      </c>
      <c r="K979" s="99">
        <v>60626</v>
      </c>
      <c r="L979" s="98" t="s">
        <v>177</v>
      </c>
      <c r="M979" s="99">
        <v>57515</v>
      </c>
      <c r="N979" s="98" t="s">
        <v>170</v>
      </c>
    </row>
    <row r="980" spans="1:14" x14ac:dyDescent="0.25">
      <c r="A980" s="100">
        <v>57530</v>
      </c>
      <c r="C980" s="99">
        <v>61273</v>
      </c>
      <c r="D980" s="98" t="s">
        <v>189</v>
      </c>
      <c r="G980" s="99">
        <v>73044</v>
      </c>
      <c r="H980" s="98" t="s">
        <v>177</v>
      </c>
      <c r="I980" s="99">
        <v>53452</v>
      </c>
      <c r="J980" s="98" t="s">
        <v>194</v>
      </c>
      <c r="K980" s="99">
        <v>60627</v>
      </c>
      <c r="L980" s="98" t="s">
        <v>182</v>
      </c>
      <c r="M980" s="99">
        <v>57530</v>
      </c>
      <c r="N980" s="98" t="s">
        <v>175</v>
      </c>
    </row>
    <row r="981" spans="1:14" x14ac:dyDescent="0.25">
      <c r="A981" s="100">
        <v>57591</v>
      </c>
      <c r="C981" s="99">
        <v>61356</v>
      </c>
      <c r="D981" s="98" t="s">
        <v>177</v>
      </c>
      <c r="G981" s="99">
        <v>73045</v>
      </c>
      <c r="H981" s="98" t="s">
        <v>182</v>
      </c>
      <c r="I981" s="99">
        <v>53524</v>
      </c>
      <c r="J981" s="98" t="s">
        <v>196</v>
      </c>
      <c r="K981" s="99">
        <v>60629</v>
      </c>
      <c r="L981" s="98" t="s">
        <v>186</v>
      </c>
      <c r="M981" s="99">
        <v>57591</v>
      </c>
      <c r="N981" s="98" t="s">
        <v>184</v>
      </c>
    </row>
    <row r="982" spans="1:14" x14ac:dyDescent="0.25">
      <c r="A982" s="100">
        <v>57626</v>
      </c>
      <c r="C982" s="99">
        <v>61357</v>
      </c>
      <c r="D982" s="98" t="s">
        <v>182</v>
      </c>
      <c r="G982" s="99">
        <v>73047</v>
      </c>
      <c r="H982" s="98" t="s">
        <v>186</v>
      </c>
      <c r="I982" s="99">
        <v>53550</v>
      </c>
      <c r="J982" s="98" t="s">
        <v>198</v>
      </c>
      <c r="K982" s="99">
        <v>60633</v>
      </c>
      <c r="L982" s="98" t="s">
        <v>160</v>
      </c>
      <c r="M982" s="99">
        <v>57626</v>
      </c>
      <c r="N982" s="98" t="s">
        <v>201</v>
      </c>
    </row>
    <row r="983" spans="1:14" x14ac:dyDescent="0.25">
      <c r="A983" s="100">
        <v>57655</v>
      </c>
      <c r="C983" s="99">
        <v>61358</v>
      </c>
      <c r="D983" s="98" t="s">
        <v>208</v>
      </c>
      <c r="I983" s="99">
        <v>53587</v>
      </c>
      <c r="J983" s="98" t="s">
        <v>200</v>
      </c>
      <c r="K983" s="99">
        <v>60634</v>
      </c>
      <c r="L983" s="98" t="s">
        <v>165</v>
      </c>
      <c r="M983" s="99">
        <v>57655</v>
      </c>
      <c r="N983" s="98" t="s">
        <v>210</v>
      </c>
    </row>
    <row r="984" spans="1:14" x14ac:dyDescent="0.25">
      <c r="A984" s="100">
        <v>57660</v>
      </c>
      <c r="C984" s="99">
        <v>61363</v>
      </c>
      <c r="D984" s="98" t="s">
        <v>160</v>
      </c>
      <c r="I984" s="99">
        <v>53593</v>
      </c>
      <c r="J984" s="98" t="s">
        <v>203</v>
      </c>
      <c r="K984" s="99">
        <v>60636</v>
      </c>
      <c r="L984" s="98" t="s">
        <v>213</v>
      </c>
      <c r="M984" s="99">
        <v>57660</v>
      </c>
      <c r="N984" s="98" t="s">
        <v>188</v>
      </c>
    </row>
    <row r="985" spans="1:14" x14ac:dyDescent="0.25">
      <c r="A985" s="100">
        <v>57661</v>
      </c>
      <c r="C985" s="99">
        <v>61364</v>
      </c>
      <c r="D985" s="98" t="s">
        <v>214</v>
      </c>
      <c r="I985" s="99">
        <v>53594</v>
      </c>
      <c r="J985" s="98" t="s">
        <v>212</v>
      </c>
      <c r="K985" s="99">
        <v>60664</v>
      </c>
      <c r="L985" s="98" t="s">
        <v>206</v>
      </c>
      <c r="M985" s="99">
        <v>57661</v>
      </c>
      <c r="N985" s="98" t="s">
        <v>220</v>
      </c>
    </row>
    <row r="986" spans="1:14" x14ac:dyDescent="0.25">
      <c r="A986" s="100">
        <v>57671</v>
      </c>
      <c r="C986" s="99">
        <v>61388</v>
      </c>
      <c r="D986" s="98" t="s">
        <v>171</v>
      </c>
      <c r="I986" s="99">
        <v>53608</v>
      </c>
      <c r="J986" s="98" t="s">
        <v>205</v>
      </c>
      <c r="K986" s="99">
        <v>60669</v>
      </c>
      <c r="L986" s="98" t="s">
        <v>169</v>
      </c>
      <c r="M986" s="99">
        <v>57671</v>
      </c>
      <c r="N986" s="98" t="s">
        <v>192</v>
      </c>
    </row>
    <row r="987" spans="1:14" x14ac:dyDescent="0.25">
      <c r="A987" s="100">
        <v>57704</v>
      </c>
      <c r="C987" s="99">
        <v>61473</v>
      </c>
      <c r="D987" s="98" t="s">
        <v>159</v>
      </c>
      <c r="I987" s="99">
        <v>53634</v>
      </c>
      <c r="J987" s="98" t="s">
        <v>209</v>
      </c>
      <c r="K987" s="99">
        <v>60671</v>
      </c>
      <c r="L987" s="98" t="s">
        <v>215</v>
      </c>
      <c r="M987" s="99">
        <v>57704</v>
      </c>
      <c r="N987" s="98" t="s">
        <v>177</v>
      </c>
    </row>
    <row r="988" spans="1:14" x14ac:dyDescent="0.25">
      <c r="A988" s="100">
        <v>57711</v>
      </c>
      <c r="C988" s="99">
        <v>61474</v>
      </c>
      <c r="D988" s="98" t="s">
        <v>176</v>
      </c>
      <c r="I988" s="99">
        <v>53654</v>
      </c>
      <c r="J988" s="98" t="s">
        <v>211</v>
      </c>
      <c r="K988" s="99">
        <v>60731</v>
      </c>
      <c r="L988" s="98" t="s">
        <v>159</v>
      </c>
      <c r="M988" s="99">
        <v>57711</v>
      </c>
      <c r="N988" s="98" t="s">
        <v>160</v>
      </c>
    </row>
    <row r="989" spans="1:14" x14ac:dyDescent="0.25">
      <c r="A989" s="100">
        <v>57731</v>
      </c>
      <c r="C989" s="99">
        <v>61475</v>
      </c>
      <c r="D989" s="98" t="s">
        <v>181</v>
      </c>
      <c r="I989" s="99">
        <v>53693</v>
      </c>
      <c r="J989" s="98" t="s">
        <v>161</v>
      </c>
      <c r="K989" s="99">
        <v>60734</v>
      </c>
      <c r="L989" s="98" t="s">
        <v>162</v>
      </c>
      <c r="M989" s="99">
        <v>57731</v>
      </c>
      <c r="N989" s="98" t="s">
        <v>197</v>
      </c>
    </row>
    <row r="990" spans="1:14" x14ac:dyDescent="0.25">
      <c r="A990" s="100">
        <v>57753</v>
      </c>
      <c r="C990" s="99">
        <v>61476</v>
      </c>
      <c r="D990" s="98" t="s">
        <v>162</v>
      </c>
      <c r="I990" s="99">
        <v>53706</v>
      </c>
      <c r="J990" s="98" t="s">
        <v>164</v>
      </c>
      <c r="K990" s="99">
        <v>60747</v>
      </c>
      <c r="L990" s="98" t="s">
        <v>174</v>
      </c>
      <c r="M990" s="99">
        <v>57753</v>
      </c>
      <c r="N990" s="98" t="s">
        <v>204</v>
      </c>
    </row>
    <row r="991" spans="1:14" x14ac:dyDescent="0.25">
      <c r="A991" s="100">
        <v>57756</v>
      </c>
      <c r="C991" s="99">
        <v>61478</v>
      </c>
      <c r="D991" s="98" t="s">
        <v>185</v>
      </c>
      <c r="I991" s="99">
        <v>53734</v>
      </c>
      <c r="J991" s="98" t="s">
        <v>168</v>
      </c>
      <c r="K991" s="99">
        <v>60748</v>
      </c>
      <c r="L991" s="98" t="s">
        <v>179</v>
      </c>
      <c r="M991" s="99">
        <v>57756</v>
      </c>
      <c r="N991" s="98" t="s">
        <v>207</v>
      </c>
    </row>
    <row r="992" spans="1:14" x14ac:dyDescent="0.25">
      <c r="A992" s="100">
        <v>57759</v>
      </c>
      <c r="C992" s="99">
        <v>61525</v>
      </c>
      <c r="D992" s="98" t="s">
        <v>191</v>
      </c>
      <c r="I992" s="99">
        <v>53746</v>
      </c>
      <c r="J992" s="98" t="s">
        <v>173</v>
      </c>
      <c r="K992" s="99">
        <v>60790</v>
      </c>
      <c r="L992" s="98" t="s">
        <v>191</v>
      </c>
      <c r="M992" s="99">
        <v>57759</v>
      </c>
      <c r="N992" s="98" t="s">
        <v>199</v>
      </c>
    </row>
    <row r="993" spans="1:14" x14ac:dyDescent="0.25">
      <c r="A993" s="100">
        <v>57857</v>
      </c>
      <c r="C993" s="99">
        <v>61581</v>
      </c>
      <c r="D993" s="98" t="s">
        <v>202</v>
      </c>
      <c r="I993" s="99">
        <v>53772</v>
      </c>
      <c r="J993" s="98" t="s">
        <v>178</v>
      </c>
      <c r="K993" s="99">
        <v>60930</v>
      </c>
      <c r="L993" s="98" t="s">
        <v>189</v>
      </c>
      <c r="M993" s="99">
        <v>57857</v>
      </c>
      <c r="N993" s="98" t="s">
        <v>166</v>
      </c>
    </row>
    <row r="994" spans="1:14" x14ac:dyDescent="0.25">
      <c r="A994" s="100">
        <v>57880</v>
      </c>
      <c r="C994" s="99">
        <v>61637</v>
      </c>
      <c r="D994" s="98" t="s">
        <v>189</v>
      </c>
      <c r="I994" s="99">
        <v>53811</v>
      </c>
      <c r="J994" s="98" t="s">
        <v>183</v>
      </c>
      <c r="K994" s="99">
        <v>60991</v>
      </c>
      <c r="L994" s="98" t="s">
        <v>177</v>
      </c>
      <c r="M994" s="99">
        <v>57880</v>
      </c>
      <c r="N994" s="98" t="s">
        <v>170</v>
      </c>
    </row>
    <row r="995" spans="1:14" x14ac:dyDescent="0.25">
      <c r="A995" s="100">
        <v>57895</v>
      </c>
      <c r="C995" s="99">
        <v>61722</v>
      </c>
      <c r="D995" s="98" t="s">
        <v>177</v>
      </c>
      <c r="I995" s="99">
        <v>53815</v>
      </c>
      <c r="J995" s="98" t="s">
        <v>187</v>
      </c>
      <c r="K995" s="99">
        <v>60992</v>
      </c>
      <c r="L995" s="98" t="s">
        <v>182</v>
      </c>
      <c r="M995" s="99">
        <v>57895</v>
      </c>
      <c r="N995" s="98" t="s">
        <v>175</v>
      </c>
    </row>
    <row r="996" spans="1:14" x14ac:dyDescent="0.25">
      <c r="A996" s="100">
        <v>57955</v>
      </c>
      <c r="C996" s="99">
        <v>61723</v>
      </c>
      <c r="D996" s="98" t="s">
        <v>182</v>
      </c>
      <c r="I996" s="99">
        <v>53816</v>
      </c>
      <c r="J996" s="98" t="s">
        <v>190</v>
      </c>
      <c r="K996" s="99">
        <v>60993</v>
      </c>
      <c r="L996" s="98" t="s">
        <v>208</v>
      </c>
      <c r="M996" s="99">
        <v>57955</v>
      </c>
      <c r="N996" s="98" t="s">
        <v>184</v>
      </c>
    </row>
    <row r="997" spans="1:14" x14ac:dyDescent="0.25">
      <c r="A997" s="100">
        <v>57997</v>
      </c>
      <c r="C997" s="99">
        <v>61729</v>
      </c>
      <c r="D997" s="98" t="s">
        <v>160</v>
      </c>
      <c r="I997" s="99">
        <v>53817</v>
      </c>
      <c r="J997" s="98" t="s">
        <v>194</v>
      </c>
      <c r="K997" s="99">
        <v>60994</v>
      </c>
      <c r="L997" s="98" t="s">
        <v>186</v>
      </c>
      <c r="M997" s="99">
        <v>57997</v>
      </c>
      <c r="N997" s="98" t="s">
        <v>201</v>
      </c>
    </row>
    <row r="998" spans="1:14" x14ac:dyDescent="0.25">
      <c r="A998" s="100">
        <v>58019</v>
      </c>
      <c r="C998" s="99">
        <v>61756</v>
      </c>
      <c r="D998" s="98" t="s">
        <v>171</v>
      </c>
      <c r="I998" s="99">
        <v>53818</v>
      </c>
      <c r="J998" s="98" t="s">
        <v>212</v>
      </c>
      <c r="K998" s="99">
        <v>60998</v>
      </c>
      <c r="L998" s="98" t="s">
        <v>160</v>
      </c>
      <c r="M998" s="99">
        <v>58019</v>
      </c>
      <c r="N998" s="98" t="s">
        <v>210</v>
      </c>
    </row>
    <row r="999" spans="1:14" x14ac:dyDescent="0.25">
      <c r="A999" s="100">
        <v>58025</v>
      </c>
      <c r="C999" s="99">
        <v>61830</v>
      </c>
      <c r="D999" s="98" t="s">
        <v>159</v>
      </c>
      <c r="I999" s="99">
        <v>53888</v>
      </c>
      <c r="J999" s="98" t="s">
        <v>196</v>
      </c>
      <c r="K999" s="99">
        <v>60999</v>
      </c>
      <c r="L999" s="98" t="s">
        <v>165</v>
      </c>
      <c r="M999" s="99">
        <v>58025</v>
      </c>
      <c r="N999" s="98" t="s">
        <v>188</v>
      </c>
    </row>
    <row r="1000" spans="1:14" x14ac:dyDescent="0.25">
      <c r="A1000" s="100">
        <v>58042</v>
      </c>
      <c r="C1000" s="99">
        <v>61831</v>
      </c>
      <c r="D1000" s="98" t="s">
        <v>176</v>
      </c>
      <c r="I1000" s="99">
        <v>53915</v>
      </c>
      <c r="J1000" s="98" t="s">
        <v>198</v>
      </c>
      <c r="K1000" s="99">
        <v>61000</v>
      </c>
      <c r="L1000" s="98" t="s">
        <v>214</v>
      </c>
      <c r="M1000" s="99">
        <v>58042</v>
      </c>
      <c r="N1000" s="98" t="s">
        <v>192</v>
      </c>
    </row>
    <row r="1001" spans="1:14" x14ac:dyDescent="0.25">
      <c r="A1001" s="100">
        <v>58069</v>
      </c>
      <c r="C1001" s="99">
        <v>61832</v>
      </c>
      <c r="D1001" s="98" t="s">
        <v>181</v>
      </c>
      <c r="I1001" s="99">
        <v>53916</v>
      </c>
      <c r="J1001" s="98" t="s">
        <v>212</v>
      </c>
      <c r="K1001" s="99">
        <v>61001</v>
      </c>
      <c r="L1001" s="98" t="s">
        <v>213</v>
      </c>
      <c r="M1001" s="99">
        <v>58069</v>
      </c>
      <c r="N1001" s="98" t="s">
        <v>177</v>
      </c>
    </row>
    <row r="1002" spans="1:14" x14ac:dyDescent="0.25">
      <c r="A1002" s="100">
        <v>58076</v>
      </c>
      <c r="C1002" s="99">
        <v>61833</v>
      </c>
      <c r="D1002" s="98" t="s">
        <v>162</v>
      </c>
      <c r="I1002" s="99">
        <v>53951</v>
      </c>
      <c r="J1002" s="98" t="s">
        <v>200</v>
      </c>
      <c r="K1002" s="99">
        <v>61028</v>
      </c>
      <c r="L1002" s="98" t="s">
        <v>206</v>
      </c>
      <c r="M1002" s="99">
        <v>58076</v>
      </c>
      <c r="N1002" s="98" t="s">
        <v>160</v>
      </c>
    </row>
    <row r="1003" spans="1:14" x14ac:dyDescent="0.25">
      <c r="A1003" s="100">
        <v>58095</v>
      </c>
      <c r="C1003" s="99">
        <v>61843</v>
      </c>
      <c r="D1003" s="98" t="s">
        <v>185</v>
      </c>
      <c r="I1003" s="99">
        <v>53958</v>
      </c>
      <c r="J1003" s="98" t="s">
        <v>203</v>
      </c>
      <c r="K1003" s="99">
        <v>61034</v>
      </c>
      <c r="L1003" s="98" t="s">
        <v>169</v>
      </c>
      <c r="M1003" s="99">
        <v>58095</v>
      </c>
      <c r="N1003" s="98" t="s">
        <v>197</v>
      </c>
    </row>
    <row r="1004" spans="1:14" x14ac:dyDescent="0.25">
      <c r="A1004" s="100">
        <v>58118</v>
      </c>
      <c r="C1004" s="99">
        <v>61889</v>
      </c>
      <c r="D1004" s="98" t="s">
        <v>191</v>
      </c>
      <c r="I1004" s="99">
        <v>53979</v>
      </c>
      <c r="J1004" s="98" t="s">
        <v>205</v>
      </c>
      <c r="K1004" s="99">
        <v>61035</v>
      </c>
      <c r="L1004" s="98" t="s">
        <v>215</v>
      </c>
      <c r="M1004" s="99">
        <v>58118</v>
      </c>
      <c r="N1004" s="98" t="s">
        <v>204</v>
      </c>
    </row>
    <row r="1005" spans="1:14" x14ac:dyDescent="0.25">
      <c r="A1005" s="100">
        <v>58121</v>
      </c>
      <c r="C1005" s="99">
        <v>61945</v>
      </c>
      <c r="D1005" s="98" t="s">
        <v>202</v>
      </c>
      <c r="I1005" s="99">
        <v>53999</v>
      </c>
      <c r="J1005" s="98" t="s">
        <v>209</v>
      </c>
      <c r="K1005" s="99">
        <v>61088</v>
      </c>
      <c r="L1005" s="98" t="s">
        <v>159</v>
      </c>
      <c r="M1005" s="99">
        <v>58121</v>
      </c>
      <c r="N1005" s="98" t="s">
        <v>207</v>
      </c>
    </row>
    <row r="1006" spans="1:14" x14ac:dyDescent="0.25">
      <c r="A1006" s="100">
        <v>58123</v>
      </c>
      <c r="C1006" s="99">
        <v>62008</v>
      </c>
      <c r="D1006" s="98" t="s">
        <v>189</v>
      </c>
      <c r="I1006" s="99">
        <v>54000</v>
      </c>
      <c r="J1006" s="98" t="s">
        <v>212</v>
      </c>
      <c r="K1006" s="99">
        <v>61091</v>
      </c>
      <c r="L1006" s="98" t="s">
        <v>162</v>
      </c>
      <c r="M1006" s="99">
        <v>58123</v>
      </c>
      <c r="N1006" s="98" t="s">
        <v>199</v>
      </c>
    </row>
    <row r="1007" spans="1:14" x14ac:dyDescent="0.25">
      <c r="A1007" s="100">
        <v>58221</v>
      </c>
      <c r="C1007" s="99">
        <v>62087</v>
      </c>
      <c r="D1007" s="98" t="s">
        <v>177</v>
      </c>
      <c r="I1007" s="99">
        <v>54019</v>
      </c>
      <c r="J1007" s="98" t="s">
        <v>211</v>
      </c>
      <c r="K1007" s="99">
        <v>61112</v>
      </c>
      <c r="L1007" s="98" t="s">
        <v>174</v>
      </c>
      <c r="M1007" s="99">
        <v>58221</v>
      </c>
      <c r="N1007" s="98" t="s">
        <v>166</v>
      </c>
    </row>
    <row r="1008" spans="1:14" x14ac:dyDescent="0.25">
      <c r="A1008" s="100">
        <v>58245</v>
      </c>
      <c r="C1008" s="99">
        <v>62088</v>
      </c>
      <c r="D1008" s="98" t="s">
        <v>182</v>
      </c>
      <c r="I1008" s="99">
        <v>54058</v>
      </c>
      <c r="J1008" s="98" t="s">
        <v>161</v>
      </c>
      <c r="K1008" s="99">
        <v>61154</v>
      </c>
      <c r="L1008" s="98" t="s">
        <v>191</v>
      </c>
      <c r="M1008" s="99">
        <v>58245</v>
      </c>
      <c r="N1008" s="98" t="s">
        <v>170</v>
      </c>
    </row>
    <row r="1009" spans="1:14" x14ac:dyDescent="0.25">
      <c r="A1009" s="100">
        <v>58260</v>
      </c>
      <c r="C1009" s="99">
        <v>62094</v>
      </c>
      <c r="D1009" s="98" t="s">
        <v>160</v>
      </c>
      <c r="I1009" s="99">
        <v>54070</v>
      </c>
      <c r="J1009" s="98" t="s">
        <v>164</v>
      </c>
      <c r="K1009" s="99">
        <v>61294</v>
      </c>
      <c r="L1009" s="98" t="s">
        <v>189</v>
      </c>
      <c r="M1009" s="99">
        <v>58260</v>
      </c>
      <c r="N1009" s="98" t="s">
        <v>175</v>
      </c>
    </row>
    <row r="1010" spans="1:14" x14ac:dyDescent="0.25">
      <c r="A1010" s="100">
        <v>58319</v>
      </c>
      <c r="C1010" s="99">
        <v>62120</v>
      </c>
      <c r="D1010" s="98" t="s">
        <v>171</v>
      </c>
      <c r="I1010" s="99">
        <v>54099</v>
      </c>
      <c r="J1010" s="98" t="s">
        <v>168</v>
      </c>
      <c r="K1010" s="99">
        <v>61356</v>
      </c>
      <c r="L1010" s="98" t="s">
        <v>177</v>
      </c>
      <c r="M1010" s="99">
        <v>58319</v>
      </c>
      <c r="N1010" s="98" t="s">
        <v>184</v>
      </c>
    </row>
    <row r="1011" spans="1:14" x14ac:dyDescent="0.25">
      <c r="A1011" s="100">
        <v>58361</v>
      </c>
      <c r="C1011" s="99">
        <v>62180</v>
      </c>
      <c r="D1011" s="98" t="s">
        <v>159</v>
      </c>
      <c r="I1011" s="99">
        <v>54111</v>
      </c>
      <c r="J1011" s="98" t="s">
        <v>173</v>
      </c>
      <c r="K1011" s="99">
        <v>61357</v>
      </c>
      <c r="L1011" s="98" t="s">
        <v>182</v>
      </c>
      <c r="M1011" s="99">
        <v>58361</v>
      </c>
      <c r="N1011" s="98" t="s">
        <v>201</v>
      </c>
    </row>
    <row r="1012" spans="1:14" x14ac:dyDescent="0.25">
      <c r="A1012" s="100">
        <v>58383</v>
      </c>
      <c r="C1012" s="99">
        <v>62181</v>
      </c>
      <c r="D1012" s="98" t="s">
        <v>176</v>
      </c>
      <c r="I1012" s="99">
        <v>54112</v>
      </c>
      <c r="J1012" s="98" t="s">
        <v>212</v>
      </c>
      <c r="K1012" s="99">
        <v>61358</v>
      </c>
      <c r="L1012" s="98" t="s">
        <v>208</v>
      </c>
      <c r="M1012" s="99">
        <v>58383</v>
      </c>
      <c r="N1012" s="98" t="s">
        <v>210</v>
      </c>
    </row>
    <row r="1013" spans="1:14" x14ac:dyDescent="0.25">
      <c r="A1013" s="100">
        <v>58390</v>
      </c>
      <c r="C1013" s="99">
        <v>62182</v>
      </c>
      <c r="D1013" s="98" t="s">
        <v>181</v>
      </c>
      <c r="I1013" s="99">
        <v>54137</v>
      </c>
      <c r="J1013" s="98" t="s">
        <v>178</v>
      </c>
      <c r="K1013" s="99">
        <v>61363</v>
      </c>
      <c r="L1013" s="98" t="s">
        <v>160</v>
      </c>
      <c r="M1013" s="99">
        <v>58390</v>
      </c>
      <c r="N1013" s="98" t="s">
        <v>188</v>
      </c>
    </row>
    <row r="1014" spans="1:14" x14ac:dyDescent="0.25">
      <c r="A1014" s="100">
        <v>58406</v>
      </c>
      <c r="C1014" s="99">
        <v>62183</v>
      </c>
      <c r="D1014" s="98" t="s">
        <v>162</v>
      </c>
      <c r="I1014" s="99">
        <v>54177</v>
      </c>
      <c r="J1014" s="98" t="s">
        <v>183</v>
      </c>
      <c r="K1014" s="99">
        <v>61364</v>
      </c>
      <c r="L1014" s="98" t="s">
        <v>165</v>
      </c>
      <c r="M1014" s="99">
        <v>58406</v>
      </c>
      <c r="N1014" s="98" t="s">
        <v>192</v>
      </c>
    </row>
    <row r="1015" spans="1:14" x14ac:dyDescent="0.25">
      <c r="A1015" s="100">
        <v>58434</v>
      </c>
      <c r="C1015" s="99">
        <v>62208</v>
      </c>
      <c r="D1015" s="98" t="s">
        <v>185</v>
      </c>
      <c r="I1015" s="99">
        <v>54181</v>
      </c>
      <c r="J1015" s="98" t="s">
        <v>187</v>
      </c>
      <c r="K1015" s="99">
        <v>61365</v>
      </c>
      <c r="L1015" s="98" t="s">
        <v>214</v>
      </c>
      <c r="M1015" s="99">
        <v>58434</v>
      </c>
      <c r="N1015" s="98" t="s">
        <v>177</v>
      </c>
    </row>
    <row r="1016" spans="1:14" x14ac:dyDescent="0.25">
      <c r="A1016" s="100">
        <v>58441</v>
      </c>
      <c r="C1016" s="99">
        <v>62253</v>
      </c>
      <c r="D1016" s="98" t="s">
        <v>191</v>
      </c>
      <c r="I1016" s="99">
        <v>54182</v>
      </c>
      <c r="J1016" s="98" t="s">
        <v>190</v>
      </c>
      <c r="K1016" s="99">
        <v>61392</v>
      </c>
      <c r="L1016" s="98" t="s">
        <v>206</v>
      </c>
      <c r="M1016" s="99">
        <v>58441</v>
      </c>
      <c r="N1016" s="98" t="s">
        <v>160</v>
      </c>
    </row>
    <row r="1017" spans="1:14" x14ac:dyDescent="0.25">
      <c r="A1017" s="100">
        <v>58459</v>
      </c>
      <c r="C1017" s="99">
        <v>62309</v>
      </c>
      <c r="D1017" s="98" t="s">
        <v>202</v>
      </c>
      <c r="I1017" s="99">
        <v>54183</v>
      </c>
      <c r="J1017" s="98" t="s">
        <v>194</v>
      </c>
      <c r="K1017" s="99">
        <v>61399</v>
      </c>
      <c r="L1017" s="98" t="s">
        <v>169</v>
      </c>
      <c r="M1017" s="99">
        <v>58459</v>
      </c>
      <c r="N1017" s="98" t="s">
        <v>197</v>
      </c>
    </row>
    <row r="1018" spans="1:14" x14ac:dyDescent="0.25">
      <c r="A1018" s="100">
        <v>58483</v>
      </c>
      <c r="C1018" s="99">
        <v>62372</v>
      </c>
      <c r="D1018" s="98" t="s">
        <v>189</v>
      </c>
      <c r="I1018" s="99">
        <v>54184</v>
      </c>
      <c r="J1018" s="98" t="s">
        <v>212</v>
      </c>
      <c r="K1018" s="99">
        <v>61473</v>
      </c>
      <c r="L1018" s="98" t="s">
        <v>159</v>
      </c>
      <c r="M1018" s="99">
        <v>58483</v>
      </c>
      <c r="N1018" s="98" t="s">
        <v>204</v>
      </c>
    </row>
    <row r="1019" spans="1:14" x14ac:dyDescent="0.25">
      <c r="A1019" s="100">
        <v>58486</v>
      </c>
      <c r="C1019" s="99">
        <v>62452</v>
      </c>
      <c r="D1019" s="98" t="s">
        <v>177</v>
      </c>
      <c r="I1019" s="99">
        <v>54259</v>
      </c>
      <c r="J1019" s="98" t="s">
        <v>196</v>
      </c>
      <c r="K1019" s="99">
        <v>61476</v>
      </c>
      <c r="L1019" s="98" t="s">
        <v>162</v>
      </c>
      <c r="M1019" s="99">
        <v>58486</v>
      </c>
      <c r="N1019" s="98" t="s">
        <v>207</v>
      </c>
    </row>
    <row r="1020" spans="1:14" x14ac:dyDescent="0.25">
      <c r="A1020" s="100">
        <v>58487</v>
      </c>
      <c r="C1020" s="99">
        <v>62453</v>
      </c>
      <c r="D1020" s="98" t="s">
        <v>182</v>
      </c>
      <c r="I1020" s="99">
        <v>54281</v>
      </c>
      <c r="J1020" s="98" t="s">
        <v>198</v>
      </c>
      <c r="K1020" s="99">
        <v>61478</v>
      </c>
      <c r="L1020" s="98" t="s">
        <v>174</v>
      </c>
      <c r="M1020" s="99">
        <v>58487</v>
      </c>
      <c r="N1020" s="98" t="s">
        <v>199</v>
      </c>
    </row>
    <row r="1021" spans="1:14" x14ac:dyDescent="0.25">
      <c r="A1021" s="100">
        <v>58592</v>
      </c>
      <c r="C1021" s="99">
        <v>62459</v>
      </c>
      <c r="D1021" s="98" t="s">
        <v>160</v>
      </c>
      <c r="I1021" s="99">
        <v>54322</v>
      </c>
      <c r="J1021" s="98" t="s">
        <v>200</v>
      </c>
      <c r="K1021" s="99">
        <v>61518</v>
      </c>
      <c r="L1021" s="98" t="s">
        <v>191</v>
      </c>
      <c r="M1021" s="99">
        <v>58592</v>
      </c>
      <c r="N1021" s="98" t="s">
        <v>166</v>
      </c>
    </row>
    <row r="1022" spans="1:14" x14ac:dyDescent="0.25">
      <c r="A1022" s="100">
        <v>58610</v>
      </c>
      <c r="C1022" s="99">
        <v>62484</v>
      </c>
      <c r="D1022" s="98" t="s">
        <v>171</v>
      </c>
      <c r="I1022" s="99">
        <v>54323</v>
      </c>
      <c r="J1022" s="98" t="s">
        <v>203</v>
      </c>
      <c r="K1022" s="99">
        <v>61658</v>
      </c>
      <c r="L1022" s="98" t="s">
        <v>189</v>
      </c>
      <c r="M1022" s="99">
        <v>58610</v>
      </c>
      <c r="N1022" s="98" t="s">
        <v>216</v>
      </c>
    </row>
    <row r="1023" spans="1:14" x14ac:dyDescent="0.25">
      <c r="A1023" s="100">
        <v>58611</v>
      </c>
      <c r="C1023" s="99">
        <v>62565</v>
      </c>
      <c r="D1023" s="98" t="s">
        <v>159</v>
      </c>
      <c r="I1023" s="99">
        <v>54343</v>
      </c>
      <c r="J1023" s="98" t="s">
        <v>205</v>
      </c>
      <c r="K1023" s="99">
        <v>61722</v>
      </c>
      <c r="L1023" s="98" t="s">
        <v>177</v>
      </c>
      <c r="M1023" s="99">
        <v>58611</v>
      </c>
      <c r="N1023" s="98" t="s">
        <v>170</v>
      </c>
    </row>
    <row r="1024" spans="1:14" x14ac:dyDescent="0.25">
      <c r="A1024" s="100">
        <v>58626</v>
      </c>
      <c r="C1024" s="99">
        <v>62566</v>
      </c>
      <c r="D1024" s="98" t="s">
        <v>176</v>
      </c>
      <c r="I1024" s="99">
        <v>54365</v>
      </c>
      <c r="J1024" s="98" t="s">
        <v>209</v>
      </c>
      <c r="K1024" s="99">
        <v>61723</v>
      </c>
      <c r="L1024" s="98" t="s">
        <v>182</v>
      </c>
      <c r="M1024" s="99">
        <v>58626</v>
      </c>
      <c r="N1024" s="98" t="s">
        <v>175</v>
      </c>
    </row>
    <row r="1025" spans="1:14" x14ac:dyDescent="0.25">
      <c r="A1025" s="100">
        <v>58627</v>
      </c>
      <c r="C1025" s="99">
        <v>62567</v>
      </c>
      <c r="D1025" s="98" t="s">
        <v>181</v>
      </c>
      <c r="I1025" s="99">
        <v>54385</v>
      </c>
      <c r="J1025" s="98" t="s">
        <v>211</v>
      </c>
      <c r="K1025" s="99">
        <v>61729</v>
      </c>
      <c r="L1025" s="98" t="s">
        <v>160</v>
      </c>
      <c r="M1025" s="99">
        <v>58627</v>
      </c>
      <c r="N1025" s="98" t="s">
        <v>180</v>
      </c>
    </row>
    <row r="1026" spans="1:14" x14ac:dyDescent="0.25">
      <c r="A1026" s="100">
        <v>58690</v>
      </c>
      <c r="C1026" s="99">
        <v>62568</v>
      </c>
      <c r="D1026" s="98" t="s">
        <v>162</v>
      </c>
      <c r="I1026" s="99">
        <v>54424</v>
      </c>
      <c r="J1026" s="98" t="s">
        <v>161</v>
      </c>
      <c r="K1026" s="99">
        <v>61730</v>
      </c>
      <c r="L1026" s="98" t="s">
        <v>165</v>
      </c>
      <c r="M1026" s="99">
        <v>58690</v>
      </c>
      <c r="N1026" s="98" t="s">
        <v>184</v>
      </c>
    </row>
    <row r="1027" spans="1:14" x14ac:dyDescent="0.25">
      <c r="A1027" s="100">
        <v>58725</v>
      </c>
      <c r="C1027" s="99">
        <v>62573</v>
      </c>
      <c r="D1027" s="98" t="s">
        <v>185</v>
      </c>
      <c r="I1027" s="99">
        <v>54434</v>
      </c>
      <c r="J1027" s="98" t="s">
        <v>164</v>
      </c>
      <c r="K1027" s="99">
        <v>61756</v>
      </c>
      <c r="L1027" s="98" t="s">
        <v>206</v>
      </c>
      <c r="M1027" s="99">
        <v>58725</v>
      </c>
      <c r="N1027" s="98" t="s">
        <v>201</v>
      </c>
    </row>
    <row r="1028" spans="1:14" x14ac:dyDescent="0.25">
      <c r="A1028" s="100">
        <v>58747</v>
      </c>
      <c r="C1028" s="99">
        <v>62617</v>
      </c>
      <c r="D1028" s="98" t="s">
        <v>191</v>
      </c>
      <c r="I1028" s="99">
        <v>54465</v>
      </c>
      <c r="J1028" s="98" t="s">
        <v>168</v>
      </c>
      <c r="K1028" s="99">
        <v>61765</v>
      </c>
      <c r="L1028" s="98" t="s">
        <v>169</v>
      </c>
      <c r="M1028" s="99">
        <v>58747</v>
      </c>
      <c r="N1028" s="98" t="s">
        <v>210</v>
      </c>
    </row>
    <row r="1029" spans="1:14" x14ac:dyDescent="0.25">
      <c r="A1029" s="100">
        <v>58756</v>
      </c>
      <c r="C1029" s="99">
        <v>62673</v>
      </c>
      <c r="D1029" s="98" t="s">
        <v>202</v>
      </c>
      <c r="I1029" s="99">
        <v>54477</v>
      </c>
      <c r="J1029" s="98" t="s">
        <v>173</v>
      </c>
      <c r="K1029" s="99">
        <v>61830</v>
      </c>
      <c r="L1029" s="98" t="s">
        <v>159</v>
      </c>
      <c r="M1029" s="99">
        <v>58756</v>
      </c>
      <c r="N1029" s="98" t="s">
        <v>188</v>
      </c>
    </row>
    <row r="1030" spans="1:14" x14ac:dyDescent="0.25">
      <c r="A1030" s="100">
        <v>58770</v>
      </c>
      <c r="C1030" s="99">
        <v>62736</v>
      </c>
      <c r="D1030" s="98" t="s">
        <v>189</v>
      </c>
      <c r="I1030" s="99">
        <v>54502</v>
      </c>
      <c r="J1030" s="98" t="s">
        <v>178</v>
      </c>
      <c r="K1030" s="99">
        <v>61833</v>
      </c>
      <c r="L1030" s="98" t="s">
        <v>162</v>
      </c>
      <c r="M1030" s="99">
        <v>58770</v>
      </c>
      <c r="N1030" s="98" t="s">
        <v>192</v>
      </c>
    </row>
    <row r="1031" spans="1:14" x14ac:dyDescent="0.25">
      <c r="A1031" s="100">
        <v>58799</v>
      </c>
      <c r="C1031" s="99">
        <v>62817</v>
      </c>
      <c r="D1031" s="98" t="s">
        <v>177</v>
      </c>
      <c r="I1031" s="99">
        <v>54542</v>
      </c>
      <c r="J1031" s="98" t="s">
        <v>183</v>
      </c>
      <c r="K1031" s="99">
        <v>61843</v>
      </c>
      <c r="L1031" s="98" t="s">
        <v>174</v>
      </c>
      <c r="M1031" s="99">
        <v>58799</v>
      </c>
      <c r="N1031" s="98" t="s">
        <v>208</v>
      </c>
    </row>
    <row r="1032" spans="1:14" x14ac:dyDescent="0.25">
      <c r="A1032" s="100">
        <v>58800</v>
      </c>
      <c r="C1032" s="99">
        <v>62818</v>
      </c>
      <c r="D1032" s="98" t="s">
        <v>182</v>
      </c>
      <c r="I1032" s="99">
        <v>54546</v>
      </c>
      <c r="J1032" s="98" t="s">
        <v>187</v>
      </c>
      <c r="K1032" s="99">
        <v>61882</v>
      </c>
      <c r="L1032" s="98" t="s">
        <v>191</v>
      </c>
      <c r="M1032" s="99">
        <v>58800</v>
      </c>
      <c r="N1032" s="98" t="s">
        <v>177</v>
      </c>
    </row>
    <row r="1033" spans="1:14" x14ac:dyDescent="0.25">
      <c r="A1033" s="100">
        <v>58806</v>
      </c>
      <c r="C1033" s="99">
        <v>62820</v>
      </c>
      <c r="D1033" s="98" t="s">
        <v>186</v>
      </c>
      <c r="I1033" s="99">
        <v>54547</v>
      </c>
      <c r="J1033" s="98" t="s">
        <v>190</v>
      </c>
      <c r="K1033" s="99">
        <v>62029</v>
      </c>
      <c r="L1033" s="98" t="s">
        <v>189</v>
      </c>
      <c r="M1033" s="99">
        <v>58806</v>
      </c>
      <c r="N1033" s="98" t="s">
        <v>214</v>
      </c>
    </row>
    <row r="1034" spans="1:14" x14ac:dyDescent="0.25">
      <c r="A1034" s="100">
        <v>58807</v>
      </c>
      <c r="C1034" s="99">
        <v>62824</v>
      </c>
      <c r="D1034" s="98" t="s">
        <v>160</v>
      </c>
      <c r="I1034" s="99">
        <v>54548</v>
      </c>
      <c r="J1034" s="98" t="s">
        <v>194</v>
      </c>
      <c r="K1034" s="99">
        <v>62087</v>
      </c>
      <c r="L1034" s="98" t="s">
        <v>177</v>
      </c>
      <c r="M1034" s="99">
        <v>58807</v>
      </c>
      <c r="N1034" s="98" t="s">
        <v>160</v>
      </c>
    </row>
    <row r="1035" spans="1:14" x14ac:dyDescent="0.25">
      <c r="A1035" s="100">
        <v>58823</v>
      </c>
      <c r="C1035" s="99">
        <v>62849</v>
      </c>
      <c r="D1035" s="98" t="s">
        <v>171</v>
      </c>
      <c r="I1035" s="99">
        <v>54623</v>
      </c>
      <c r="J1035" s="98" t="s">
        <v>196</v>
      </c>
      <c r="K1035" s="99">
        <v>62088</v>
      </c>
      <c r="L1035" s="98" t="s">
        <v>182</v>
      </c>
      <c r="M1035" s="99">
        <v>58823</v>
      </c>
      <c r="N1035" s="98" t="s">
        <v>197</v>
      </c>
    </row>
    <row r="1036" spans="1:14" x14ac:dyDescent="0.25">
      <c r="A1036" s="100">
        <v>58848</v>
      </c>
      <c r="C1036" s="99">
        <v>62922</v>
      </c>
      <c r="D1036" s="98" t="s">
        <v>159</v>
      </c>
      <c r="I1036" s="99">
        <v>54646</v>
      </c>
      <c r="J1036" s="98" t="s">
        <v>198</v>
      </c>
      <c r="K1036" s="99">
        <v>62094</v>
      </c>
      <c r="L1036" s="98" t="s">
        <v>160</v>
      </c>
      <c r="M1036" s="99">
        <v>58848</v>
      </c>
      <c r="N1036" s="98" t="s">
        <v>219</v>
      </c>
    </row>
    <row r="1037" spans="1:14" x14ac:dyDescent="0.25">
      <c r="A1037" s="100">
        <v>58849</v>
      </c>
      <c r="C1037" s="99">
        <v>62923</v>
      </c>
      <c r="D1037" s="98" t="s">
        <v>176</v>
      </c>
      <c r="I1037" s="99">
        <v>54686</v>
      </c>
      <c r="J1037" s="98" t="s">
        <v>200</v>
      </c>
      <c r="K1037" s="99">
        <v>62095</v>
      </c>
      <c r="L1037" s="98" t="s">
        <v>165</v>
      </c>
      <c r="M1037" s="99">
        <v>58849</v>
      </c>
      <c r="N1037" s="98" t="s">
        <v>204</v>
      </c>
    </row>
    <row r="1038" spans="1:14" x14ac:dyDescent="0.25">
      <c r="A1038" s="100">
        <v>58852</v>
      </c>
      <c r="C1038" s="99">
        <v>62924</v>
      </c>
      <c r="D1038" s="98" t="s">
        <v>181</v>
      </c>
      <c r="I1038" s="99">
        <v>54687</v>
      </c>
      <c r="J1038" s="98" t="s">
        <v>218</v>
      </c>
      <c r="K1038" s="99">
        <v>62120</v>
      </c>
      <c r="L1038" s="98" t="s">
        <v>206</v>
      </c>
      <c r="M1038" s="99">
        <v>58852</v>
      </c>
      <c r="N1038" s="98" t="s">
        <v>207</v>
      </c>
    </row>
    <row r="1039" spans="1:14" x14ac:dyDescent="0.25">
      <c r="A1039" s="100">
        <v>58858</v>
      </c>
      <c r="C1039" s="99">
        <v>62925</v>
      </c>
      <c r="D1039" s="98" t="s">
        <v>162</v>
      </c>
      <c r="I1039" s="99">
        <v>54688</v>
      </c>
      <c r="J1039" s="98" t="s">
        <v>203</v>
      </c>
      <c r="K1039" s="99">
        <v>62130</v>
      </c>
      <c r="L1039" s="98" t="s">
        <v>169</v>
      </c>
      <c r="M1039" s="99">
        <v>58858</v>
      </c>
      <c r="N1039" s="98" t="s">
        <v>199</v>
      </c>
    </row>
    <row r="1040" spans="1:14" x14ac:dyDescent="0.25">
      <c r="A1040" s="100">
        <v>58956</v>
      </c>
      <c r="C1040" s="99">
        <v>62939</v>
      </c>
      <c r="D1040" s="98" t="s">
        <v>185</v>
      </c>
      <c r="I1040" s="99">
        <v>54707</v>
      </c>
      <c r="J1040" s="98" t="s">
        <v>205</v>
      </c>
      <c r="K1040" s="99">
        <v>62180</v>
      </c>
      <c r="L1040" s="98" t="s">
        <v>159</v>
      </c>
      <c r="M1040" s="99">
        <v>58956</v>
      </c>
      <c r="N1040" s="98" t="s">
        <v>166</v>
      </c>
    </row>
    <row r="1041" spans="1:14" x14ac:dyDescent="0.25">
      <c r="A1041" s="100">
        <v>58976</v>
      </c>
      <c r="C1041" s="99">
        <v>62988</v>
      </c>
      <c r="D1041" s="98" t="s">
        <v>191</v>
      </c>
      <c r="I1041" s="99">
        <v>54730</v>
      </c>
      <c r="J1041" s="98" t="s">
        <v>209</v>
      </c>
      <c r="K1041" s="99">
        <v>62183</v>
      </c>
      <c r="L1041" s="98" t="s">
        <v>162</v>
      </c>
      <c r="M1041" s="99">
        <v>58976</v>
      </c>
      <c r="N1041" s="98" t="s">
        <v>170</v>
      </c>
    </row>
    <row r="1042" spans="1:14" x14ac:dyDescent="0.25">
      <c r="A1042" s="100">
        <v>58977</v>
      </c>
      <c r="C1042" s="99">
        <v>63037</v>
      </c>
      <c r="D1042" s="98" t="s">
        <v>202</v>
      </c>
      <c r="I1042" s="99">
        <v>54750</v>
      </c>
      <c r="J1042" s="98" t="s">
        <v>211</v>
      </c>
      <c r="K1042" s="99">
        <v>62208</v>
      </c>
      <c r="L1042" s="98" t="s">
        <v>174</v>
      </c>
      <c r="M1042" s="99">
        <v>58977</v>
      </c>
      <c r="N1042" s="98" t="s">
        <v>216</v>
      </c>
    </row>
    <row r="1043" spans="1:14" x14ac:dyDescent="0.25">
      <c r="A1043" s="100">
        <v>58991</v>
      </c>
      <c r="C1043" s="99">
        <v>63100</v>
      </c>
      <c r="D1043" s="98" t="s">
        <v>189</v>
      </c>
      <c r="I1043" s="99">
        <v>54789</v>
      </c>
      <c r="J1043" s="98" t="s">
        <v>161</v>
      </c>
      <c r="K1043" s="99">
        <v>62246</v>
      </c>
      <c r="L1043" s="98" t="s">
        <v>191</v>
      </c>
      <c r="M1043" s="99">
        <v>58991</v>
      </c>
      <c r="N1043" s="98" t="s">
        <v>175</v>
      </c>
    </row>
    <row r="1044" spans="1:14" x14ac:dyDescent="0.25">
      <c r="A1044" s="100">
        <v>59054</v>
      </c>
      <c r="C1044" s="99">
        <v>63183</v>
      </c>
      <c r="D1044" s="98" t="s">
        <v>177</v>
      </c>
      <c r="I1044" s="99">
        <v>54798</v>
      </c>
      <c r="J1044" s="98" t="s">
        <v>164</v>
      </c>
      <c r="K1044" s="99">
        <v>62393</v>
      </c>
      <c r="L1044" s="98" t="s">
        <v>189</v>
      </c>
      <c r="M1044" s="99">
        <v>59054</v>
      </c>
      <c r="N1044" s="98" t="s">
        <v>184</v>
      </c>
    </row>
    <row r="1045" spans="1:14" x14ac:dyDescent="0.25">
      <c r="A1045" s="100">
        <v>59089</v>
      </c>
      <c r="C1045" s="99">
        <v>63184</v>
      </c>
      <c r="D1045" s="98" t="s">
        <v>182</v>
      </c>
      <c r="I1045" s="99">
        <v>54830</v>
      </c>
      <c r="J1045" s="98" t="s">
        <v>168</v>
      </c>
      <c r="K1045" s="99">
        <v>62452</v>
      </c>
      <c r="L1045" s="98" t="s">
        <v>177</v>
      </c>
      <c r="M1045" s="99">
        <v>59089</v>
      </c>
      <c r="N1045" s="98" t="s">
        <v>201</v>
      </c>
    </row>
    <row r="1046" spans="1:14" x14ac:dyDescent="0.25">
      <c r="A1046" s="100">
        <v>59118</v>
      </c>
      <c r="C1046" s="99">
        <v>63185</v>
      </c>
      <c r="D1046" s="98" t="s">
        <v>208</v>
      </c>
      <c r="I1046" s="99">
        <v>54842</v>
      </c>
      <c r="J1046" s="98" t="s">
        <v>173</v>
      </c>
      <c r="K1046" s="99">
        <v>62453</v>
      </c>
      <c r="L1046" s="98" t="s">
        <v>182</v>
      </c>
      <c r="M1046" s="99">
        <v>59118</v>
      </c>
      <c r="N1046" s="98" t="s">
        <v>210</v>
      </c>
    </row>
    <row r="1047" spans="1:14" x14ac:dyDescent="0.25">
      <c r="A1047" s="100">
        <v>59121</v>
      </c>
      <c r="C1047" s="99">
        <v>63190</v>
      </c>
      <c r="D1047" s="98" t="s">
        <v>160</v>
      </c>
      <c r="I1047" s="99">
        <v>54867</v>
      </c>
      <c r="J1047" s="98" t="s">
        <v>178</v>
      </c>
      <c r="K1047" s="99">
        <v>62459</v>
      </c>
      <c r="L1047" s="98" t="s">
        <v>160</v>
      </c>
      <c r="M1047" s="99">
        <v>59121</v>
      </c>
      <c r="N1047" s="98" t="s">
        <v>188</v>
      </c>
    </row>
    <row r="1048" spans="1:14" x14ac:dyDescent="0.25">
      <c r="A1048" s="100">
        <v>59134</v>
      </c>
      <c r="C1048" s="99">
        <v>63191</v>
      </c>
      <c r="D1048" s="98" t="s">
        <v>214</v>
      </c>
      <c r="I1048" s="99">
        <v>54868</v>
      </c>
      <c r="J1048" s="98" t="s">
        <v>212</v>
      </c>
      <c r="K1048" s="99">
        <v>62460</v>
      </c>
      <c r="L1048" s="98" t="s">
        <v>165</v>
      </c>
      <c r="M1048" s="99">
        <v>59134</v>
      </c>
      <c r="N1048" s="98" t="s">
        <v>192</v>
      </c>
    </row>
    <row r="1049" spans="1:14" x14ac:dyDescent="0.25">
      <c r="A1049" s="100">
        <v>59165</v>
      </c>
      <c r="C1049" s="99">
        <v>63215</v>
      </c>
      <c r="D1049" s="98" t="s">
        <v>171</v>
      </c>
      <c r="I1049" s="99">
        <v>54907</v>
      </c>
      <c r="J1049" s="98" t="s">
        <v>183</v>
      </c>
      <c r="K1049" s="99">
        <v>62484</v>
      </c>
      <c r="L1049" s="98" t="s">
        <v>206</v>
      </c>
      <c r="M1049" s="99">
        <v>59165</v>
      </c>
      <c r="N1049" s="98" t="s">
        <v>177</v>
      </c>
    </row>
    <row r="1050" spans="1:14" x14ac:dyDescent="0.25">
      <c r="A1050" s="100">
        <v>59166</v>
      </c>
      <c r="C1050" s="99">
        <v>63272</v>
      </c>
      <c r="D1050" s="98" t="s">
        <v>159</v>
      </c>
      <c r="I1050" s="99">
        <v>54911</v>
      </c>
      <c r="J1050" s="98" t="s">
        <v>187</v>
      </c>
      <c r="K1050" s="99">
        <v>62495</v>
      </c>
      <c r="L1050" s="98" t="s">
        <v>169</v>
      </c>
      <c r="M1050" s="99">
        <v>59166</v>
      </c>
      <c r="N1050" s="98" t="s">
        <v>208</v>
      </c>
    </row>
    <row r="1051" spans="1:14" x14ac:dyDescent="0.25">
      <c r="A1051" s="100">
        <v>59172</v>
      </c>
      <c r="C1051" s="99">
        <v>63273</v>
      </c>
      <c r="D1051" s="98" t="s">
        <v>176</v>
      </c>
      <c r="I1051" s="99">
        <v>54912</v>
      </c>
      <c r="J1051" s="98" t="s">
        <v>190</v>
      </c>
      <c r="K1051" s="99">
        <v>62565</v>
      </c>
      <c r="L1051" s="98" t="s">
        <v>159</v>
      </c>
      <c r="M1051" s="99">
        <v>59172</v>
      </c>
      <c r="N1051" s="98" t="s">
        <v>160</v>
      </c>
    </row>
    <row r="1052" spans="1:14" x14ac:dyDescent="0.25">
      <c r="A1052" s="100">
        <v>59173</v>
      </c>
      <c r="C1052" s="99">
        <v>63274</v>
      </c>
      <c r="D1052" s="98" t="s">
        <v>181</v>
      </c>
      <c r="I1052" s="99">
        <v>54913</v>
      </c>
      <c r="J1052" s="98" t="s">
        <v>194</v>
      </c>
      <c r="K1052" s="99">
        <v>62568</v>
      </c>
      <c r="L1052" s="98" t="s">
        <v>162</v>
      </c>
      <c r="M1052" s="99">
        <v>59173</v>
      </c>
      <c r="N1052" s="98" t="s">
        <v>214</v>
      </c>
    </row>
    <row r="1053" spans="1:14" x14ac:dyDescent="0.25">
      <c r="A1053" s="100">
        <v>59187</v>
      </c>
      <c r="C1053" s="99">
        <v>63275</v>
      </c>
      <c r="D1053" s="98" t="s">
        <v>162</v>
      </c>
      <c r="I1053" s="99">
        <v>54987</v>
      </c>
      <c r="J1053" s="98" t="s">
        <v>196</v>
      </c>
      <c r="K1053" s="99">
        <v>62573</v>
      </c>
      <c r="L1053" s="98" t="s">
        <v>174</v>
      </c>
      <c r="M1053" s="99">
        <v>59187</v>
      </c>
      <c r="N1053" s="98" t="s">
        <v>197</v>
      </c>
    </row>
    <row r="1054" spans="1:14" x14ac:dyDescent="0.25">
      <c r="A1054" s="100">
        <v>59214</v>
      </c>
      <c r="C1054" s="99">
        <v>63304</v>
      </c>
      <c r="D1054" s="98" t="s">
        <v>185</v>
      </c>
      <c r="I1054" s="99">
        <v>55011</v>
      </c>
      <c r="J1054" s="98" t="s">
        <v>198</v>
      </c>
      <c r="K1054" s="99">
        <v>62575</v>
      </c>
      <c r="L1054" s="98" t="s">
        <v>179</v>
      </c>
      <c r="M1054" s="99">
        <v>59214</v>
      </c>
      <c r="N1054" s="98" t="s">
        <v>204</v>
      </c>
    </row>
    <row r="1055" spans="1:14" x14ac:dyDescent="0.25">
      <c r="A1055" s="100">
        <v>59215</v>
      </c>
      <c r="C1055" s="99">
        <v>63352</v>
      </c>
      <c r="D1055" s="98" t="s">
        <v>191</v>
      </c>
      <c r="I1055" s="99">
        <v>55050</v>
      </c>
      <c r="J1055" s="98" t="s">
        <v>200</v>
      </c>
      <c r="K1055" s="99">
        <v>62610</v>
      </c>
      <c r="L1055" s="98" t="s">
        <v>191</v>
      </c>
      <c r="M1055" s="99">
        <v>59215</v>
      </c>
      <c r="N1055" s="98" t="s">
        <v>219</v>
      </c>
    </row>
    <row r="1056" spans="1:14" x14ac:dyDescent="0.25">
      <c r="A1056" s="100">
        <v>59217</v>
      </c>
      <c r="C1056" s="99">
        <v>63408</v>
      </c>
      <c r="D1056" s="98" t="s">
        <v>202</v>
      </c>
      <c r="I1056" s="99">
        <v>55054</v>
      </c>
      <c r="J1056" s="98" t="s">
        <v>203</v>
      </c>
      <c r="K1056" s="99">
        <v>62757</v>
      </c>
      <c r="L1056" s="98" t="s">
        <v>189</v>
      </c>
      <c r="M1056" s="99">
        <v>59217</v>
      </c>
      <c r="N1056" s="98" t="s">
        <v>207</v>
      </c>
    </row>
    <row r="1057" spans="1:14" x14ac:dyDescent="0.25">
      <c r="A1057" s="100">
        <v>59222</v>
      </c>
      <c r="C1057" s="99">
        <v>63464</v>
      </c>
      <c r="D1057" s="98" t="s">
        <v>189</v>
      </c>
      <c r="I1057" s="99">
        <v>55071</v>
      </c>
      <c r="J1057" s="98" t="s">
        <v>205</v>
      </c>
      <c r="K1057" s="99">
        <v>62817</v>
      </c>
      <c r="L1057" s="98" t="s">
        <v>177</v>
      </c>
      <c r="M1057" s="99">
        <v>59222</v>
      </c>
      <c r="N1057" s="98" t="s">
        <v>199</v>
      </c>
    </row>
    <row r="1058" spans="1:14" x14ac:dyDescent="0.25">
      <c r="A1058" s="100">
        <v>59320</v>
      </c>
      <c r="C1058" s="99">
        <v>63548</v>
      </c>
      <c r="D1058" s="98" t="s">
        <v>177</v>
      </c>
      <c r="I1058" s="99">
        <v>55095</v>
      </c>
      <c r="J1058" s="98" t="s">
        <v>209</v>
      </c>
      <c r="K1058" s="99">
        <v>62818</v>
      </c>
      <c r="L1058" s="98" t="s">
        <v>182</v>
      </c>
      <c r="M1058" s="99">
        <v>59320</v>
      </c>
      <c r="N1058" s="98" t="s">
        <v>166</v>
      </c>
    </row>
    <row r="1059" spans="1:14" x14ac:dyDescent="0.25">
      <c r="A1059" s="100">
        <v>59341</v>
      </c>
      <c r="C1059" s="99">
        <v>63549</v>
      </c>
      <c r="D1059" s="98" t="s">
        <v>182</v>
      </c>
      <c r="I1059" s="99">
        <v>55115</v>
      </c>
      <c r="J1059" s="98" t="s">
        <v>211</v>
      </c>
      <c r="K1059" s="99">
        <v>62820</v>
      </c>
      <c r="L1059" s="98" t="s">
        <v>186</v>
      </c>
      <c r="M1059" s="99">
        <v>59341</v>
      </c>
      <c r="N1059" s="98" t="s">
        <v>170</v>
      </c>
    </row>
    <row r="1060" spans="1:14" x14ac:dyDescent="0.25">
      <c r="A1060" s="100">
        <v>59356</v>
      </c>
      <c r="C1060" s="99">
        <v>63555</v>
      </c>
      <c r="D1060" s="98" t="s">
        <v>160</v>
      </c>
      <c r="I1060" s="99">
        <v>55154</v>
      </c>
      <c r="J1060" s="98" t="s">
        <v>161</v>
      </c>
      <c r="K1060" s="99">
        <v>62824</v>
      </c>
      <c r="L1060" s="98" t="s">
        <v>160</v>
      </c>
      <c r="M1060" s="99">
        <v>59356</v>
      </c>
      <c r="N1060" s="98" t="s">
        <v>175</v>
      </c>
    </row>
    <row r="1061" spans="1:14" x14ac:dyDescent="0.25">
      <c r="A1061" s="100">
        <v>59418</v>
      </c>
      <c r="C1061" s="99">
        <v>63580</v>
      </c>
      <c r="D1061" s="98" t="s">
        <v>171</v>
      </c>
      <c r="I1061" s="99">
        <v>55155</v>
      </c>
      <c r="J1061" s="98" t="s">
        <v>212</v>
      </c>
      <c r="K1061" s="99">
        <v>62825</v>
      </c>
      <c r="L1061" s="98" t="s">
        <v>165</v>
      </c>
      <c r="M1061" s="99">
        <v>59418</v>
      </c>
      <c r="N1061" s="98" t="s">
        <v>184</v>
      </c>
    </row>
    <row r="1062" spans="1:14" x14ac:dyDescent="0.25">
      <c r="A1062" s="100">
        <v>59453</v>
      </c>
      <c r="C1062" s="99">
        <v>63657</v>
      </c>
      <c r="D1062" s="98" t="s">
        <v>159</v>
      </c>
      <c r="I1062" s="99">
        <v>55162</v>
      </c>
      <c r="J1062" s="98" t="s">
        <v>164</v>
      </c>
      <c r="K1062" s="99">
        <v>62827</v>
      </c>
      <c r="L1062" s="98" t="s">
        <v>213</v>
      </c>
      <c r="M1062" s="99">
        <v>59453</v>
      </c>
      <c r="N1062" s="98" t="s">
        <v>201</v>
      </c>
    </row>
    <row r="1063" spans="1:14" x14ac:dyDescent="0.25">
      <c r="A1063" s="100">
        <v>59482</v>
      </c>
      <c r="C1063" s="99">
        <v>63658</v>
      </c>
      <c r="D1063" s="98" t="s">
        <v>176</v>
      </c>
      <c r="I1063" s="99">
        <v>55195</v>
      </c>
      <c r="J1063" s="98" t="s">
        <v>168</v>
      </c>
      <c r="K1063" s="99">
        <v>62855</v>
      </c>
      <c r="L1063" s="98" t="s">
        <v>206</v>
      </c>
      <c r="M1063" s="99">
        <v>59482</v>
      </c>
      <c r="N1063" s="98" t="s">
        <v>210</v>
      </c>
    </row>
    <row r="1064" spans="1:14" x14ac:dyDescent="0.25">
      <c r="A1064" s="100">
        <v>59485</v>
      </c>
      <c r="C1064" s="99">
        <v>63659</v>
      </c>
      <c r="D1064" s="98" t="s">
        <v>181</v>
      </c>
      <c r="I1064" s="99">
        <v>55207</v>
      </c>
      <c r="J1064" s="98" t="s">
        <v>173</v>
      </c>
      <c r="K1064" s="99">
        <v>62860</v>
      </c>
      <c r="L1064" s="98" t="s">
        <v>169</v>
      </c>
      <c r="M1064" s="99">
        <v>59485</v>
      </c>
      <c r="N1064" s="98" t="s">
        <v>220</v>
      </c>
    </row>
    <row r="1065" spans="1:14" x14ac:dyDescent="0.25">
      <c r="A1065" s="100">
        <v>59486</v>
      </c>
      <c r="C1065" s="99">
        <v>63660</v>
      </c>
      <c r="D1065" s="98" t="s">
        <v>162</v>
      </c>
      <c r="I1065" s="99">
        <v>55233</v>
      </c>
      <c r="J1065" s="98" t="s">
        <v>178</v>
      </c>
      <c r="K1065" s="99">
        <v>62862</v>
      </c>
      <c r="L1065" s="98" t="s">
        <v>215</v>
      </c>
      <c r="M1065" s="99">
        <v>59486</v>
      </c>
      <c r="N1065" s="98" t="s">
        <v>188</v>
      </c>
    </row>
    <row r="1066" spans="1:14" x14ac:dyDescent="0.25">
      <c r="A1066" s="100">
        <v>59498</v>
      </c>
      <c r="C1066" s="99">
        <v>63669</v>
      </c>
      <c r="D1066" s="98" t="s">
        <v>185</v>
      </c>
      <c r="I1066" s="99">
        <v>55272</v>
      </c>
      <c r="J1066" s="98" t="s">
        <v>183</v>
      </c>
      <c r="K1066" s="99">
        <v>62922</v>
      </c>
      <c r="L1066" s="98" t="s">
        <v>159</v>
      </c>
      <c r="M1066" s="99">
        <v>59498</v>
      </c>
      <c r="N1066" s="98" t="s">
        <v>192</v>
      </c>
    </row>
    <row r="1067" spans="1:14" x14ac:dyDescent="0.25">
      <c r="A1067" s="100">
        <v>59530</v>
      </c>
      <c r="C1067" s="99">
        <v>63716</v>
      </c>
      <c r="D1067" s="98" t="s">
        <v>191</v>
      </c>
      <c r="I1067" s="99">
        <v>55276</v>
      </c>
      <c r="J1067" s="98" t="s">
        <v>187</v>
      </c>
      <c r="K1067" s="99">
        <v>62925</v>
      </c>
      <c r="L1067" s="98" t="s">
        <v>162</v>
      </c>
      <c r="M1067" s="99">
        <v>59530</v>
      </c>
      <c r="N1067" s="98" t="s">
        <v>177</v>
      </c>
    </row>
    <row r="1068" spans="1:14" x14ac:dyDescent="0.25">
      <c r="A1068" s="100">
        <v>59537</v>
      </c>
      <c r="C1068" s="99">
        <v>63772</v>
      </c>
      <c r="D1068" s="98" t="s">
        <v>202</v>
      </c>
      <c r="I1068" s="99">
        <v>55277</v>
      </c>
      <c r="J1068" s="98" t="s">
        <v>190</v>
      </c>
      <c r="K1068" s="99">
        <v>62939</v>
      </c>
      <c r="L1068" s="98" t="s">
        <v>174</v>
      </c>
      <c r="M1068" s="99">
        <v>59537</v>
      </c>
      <c r="N1068" s="98" t="s">
        <v>160</v>
      </c>
    </row>
    <row r="1069" spans="1:14" x14ac:dyDescent="0.25">
      <c r="A1069" s="100">
        <v>59551</v>
      </c>
      <c r="C1069" s="99">
        <v>63828</v>
      </c>
      <c r="D1069" s="98" t="s">
        <v>189</v>
      </c>
      <c r="I1069" s="99">
        <v>55278</v>
      </c>
      <c r="J1069" s="98" t="s">
        <v>194</v>
      </c>
      <c r="K1069" s="99">
        <v>62981</v>
      </c>
      <c r="L1069" s="98" t="s">
        <v>191</v>
      </c>
      <c r="M1069" s="99">
        <v>59551</v>
      </c>
      <c r="N1069" s="98" t="s">
        <v>197</v>
      </c>
    </row>
    <row r="1070" spans="1:14" x14ac:dyDescent="0.25">
      <c r="A1070" s="100">
        <v>59579</v>
      </c>
      <c r="C1070" s="99">
        <v>63913</v>
      </c>
      <c r="D1070" s="98" t="s">
        <v>177</v>
      </c>
      <c r="I1070" s="99">
        <v>55351</v>
      </c>
      <c r="J1070" s="98" t="s">
        <v>196</v>
      </c>
      <c r="K1070" s="99">
        <v>63121</v>
      </c>
      <c r="L1070" s="98" t="s">
        <v>189</v>
      </c>
      <c r="M1070" s="99">
        <v>59579</v>
      </c>
      <c r="N1070" s="98" t="s">
        <v>204</v>
      </c>
    </row>
    <row r="1071" spans="1:14" x14ac:dyDescent="0.25">
      <c r="A1071" s="100">
        <v>59582</v>
      </c>
      <c r="C1071" s="99">
        <v>63914</v>
      </c>
      <c r="D1071" s="98" t="s">
        <v>182</v>
      </c>
      <c r="I1071" s="99">
        <v>55376</v>
      </c>
      <c r="J1071" s="98" t="s">
        <v>198</v>
      </c>
      <c r="K1071" s="99">
        <v>63183</v>
      </c>
      <c r="L1071" s="98" t="s">
        <v>177</v>
      </c>
      <c r="M1071" s="99">
        <v>59582</v>
      </c>
      <c r="N1071" s="98" t="s">
        <v>207</v>
      </c>
    </row>
    <row r="1072" spans="1:14" x14ac:dyDescent="0.25">
      <c r="A1072" s="100">
        <v>59586</v>
      </c>
      <c r="C1072" s="99">
        <v>63920</v>
      </c>
      <c r="D1072" s="98" t="s">
        <v>160</v>
      </c>
      <c r="I1072" s="99">
        <v>55414</v>
      </c>
      <c r="J1072" s="98" t="s">
        <v>200</v>
      </c>
      <c r="K1072" s="99">
        <v>63184</v>
      </c>
      <c r="L1072" s="98" t="s">
        <v>182</v>
      </c>
      <c r="M1072" s="99">
        <v>59586</v>
      </c>
      <c r="N1072" s="98" t="s">
        <v>199</v>
      </c>
    </row>
    <row r="1073" spans="1:14" x14ac:dyDescent="0.25">
      <c r="A1073" s="100">
        <v>59684</v>
      </c>
      <c r="C1073" s="99">
        <v>63947</v>
      </c>
      <c r="D1073" s="98" t="s">
        <v>171</v>
      </c>
      <c r="I1073" s="99">
        <v>55419</v>
      </c>
      <c r="J1073" s="98" t="s">
        <v>203</v>
      </c>
      <c r="K1073" s="99">
        <v>63185</v>
      </c>
      <c r="L1073" s="98" t="s">
        <v>208</v>
      </c>
      <c r="M1073" s="99">
        <v>59684</v>
      </c>
      <c r="N1073" s="98" t="s">
        <v>166</v>
      </c>
    </row>
    <row r="1074" spans="1:14" x14ac:dyDescent="0.25">
      <c r="A1074" s="100">
        <v>59706</v>
      </c>
      <c r="C1074" s="99">
        <v>64014</v>
      </c>
      <c r="D1074" s="98" t="s">
        <v>159</v>
      </c>
      <c r="I1074" s="99">
        <v>55435</v>
      </c>
      <c r="J1074" s="98" t="s">
        <v>205</v>
      </c>
      <c r="K1074" s="99">
        <v>63190</v>
      </c>
      <c r="L1074" s="98" t="s">
        <v>160</v>
      </c>
      <c r="M1074" s="99">
        <v>59706</v>
      </c>
      <c r="N1074" s="98" t="s">
        <v>170</v>
      </c>
    </row>
    <row r="1075" spans="1:14" x14ac:dyDescent="0.25">
      <c r="A1075" s="100">
        <v>59721</v>
      </c>
      <c r="C1075" s="99">
        <v>64015</v>
      </c>
      <c r="D1075" s="98" t="s">
        <v>176</v>
      </c>
      <c r="I1075" s="99">
        <v>55460</v>
      </c>
      <c r="J1075" s="98" t="s">
        <v>209</v>
      </c>
      <c r="K1075" s="99">
        <v>63191</v>
      </c>
      <c r="L1075" s="98" t="s">
        <v>165</v>
      </c>
      <c r="M1075" s="99">
        <v>59721</v>
      </c>
      <c r="N1075" s="98" t="s">
        <v>175</v>
      </c>
    </row>
    <row r="1076" spans="1:14" x14ac:dyDescent="0.25">
      <c r="A1076" s="100">
        <v>59782</v>
      </c>
      <c r="C1076" s="99">
        <v>64016</v>
      </c>
      <c r="D1076" s="98" t="s">
        <v>181</v>
      </c>
      <c r="I1076" s="99">
        <v>55480</v>
      </c>
      <c r="J1076" s="98" t="s">
        <v>211</v>
      </c>
      <c r="K1076" s="99">
        <v>63192</v>
      </c>
      <c r="L1076" s="98" t="s">
        <v>214</v>
      </c>
      <c r="M1076" s="99">
        <v>59782</v>
      </c>
      <c r="N1076" s="98" t="s">
        <v>184</v>
      </c>
    </row>
    <row r="1077" spans="1:14" x14ac:dyDescent="0.25">
      <c r="A1077" s="100">
        <v>59817</v>
      </c>
      <c r="C1077" s="99">
        <v>64017</v>
      </c>
      <c r="D1077" s="98" t="s">
        <v>162</v>
      </c>
      <c r="I1077" s="99">
        <v>55519</v>
      </c>
      <c r="J1077" s="98" t="s">
        <v>161</v>
      </c>
      <c r="K1077" s="99">
        <v>63219</v>
      </c>
      <c r="L1077" s="98" t="s">
        <v>206</v>
      </c>
      <c r="M1077" s="99">
        <v>59817</v>
      </c>
      <c r="N1077" s="98" t="s">
        <v>201</v>
      </c>
    </row>
    <row r="1078" spans="1:14" x14ac:dyDescent="0.25">
      <c r="A1078" s="100">
        <v>59846</v>
      </c>
      <c r="C1078" s="99">
        <v>64034</v>
      </c>
      <c r="D1078" s="98" t="s">
        <v>185</v>
      </c>
      <c r="I1078" s="99">
        <v>55526</v>
      </c>
      <c r="J1078" s="98" t="s">
        <v>164</v>
      </c>
      <c r="K1078" s="99">
        <v>63226</v>
      </c>
      <c r="L1078" s="98" t="s">
        <v>169</v>
      </c>
      <c r="M1078" s="99">
        <v>59846</v>
      </c>
      <c r="N1078" s="98" t="s">
        <v>210</v>
      </c>
    </row>
    <row r="1079" spans="1:14" x14ac:dyDescent="0.25">
      <c r="A1079" s="100">
        <v>59851</v>
      </c>
      <c r="C1079" s="99">
        <v>64080</v>
      </c>
      <c r="D1079" s="98" t="s">
        <v>191</v>
      </c>
      <c r="I1079" s="99">
        <v>55560</v>
      </c>
      <c r="J1079" s="98" t="s">
        <v>168</v>
      </c>
      <c r="K1079" s="99">
        <v>63272</v>
      </c>
      <c r="L1079" s="98" t="s">
        <v>159</v>
      </c>
      <c r="M1079" s="99">
        <v>59851</v>
      </c>
      <c r="N1079" s="98" t="s">
        <v>188</v>
      </c>
    </row>
    <row r="1080" spans="1:14" x14ac:dyDescent="0.25">
      <c r="A1080" s="100">
        <v>59852</v>
      </c>
      <c r="C1080" s="99">
        <v>64136</v>
      </c>
      <c r="D1080" s="98" t="s">
        <v>202</v>
      </c>
      <c r="I1080" s="99">
        <v>55561</v>
      </c>
      <c r="J1080" s="98" t="s">
        <v>212</v>
      </c>
      <c r="K1080" s="99">
        <v>63275</v>
      </c>
      <c r="L1080" s="98" t="s">
        <v>162</v>
      </c>
      <c r="M1080" s="99">
        <v>59852</v>
      </c>
      <c r="N1080" s="98" t="s">
        <v>220</v>
      </c>
    </row>
    <row r="1081" spans="1:14" x14ac:dyDescent="0.25">
      <c r="A1081" s="100">
        <v>59862</v>
      </c>
      <c r="C1081" s="99">
        <v>64199</v>
      </c>
      <c r="D1081" s="98" t="s">
        <v>189</v>
      </c>
      <c r="I1081" s="99">
        <v>55572</v>
      </c>
      <c r="J1081" s="98" t="s">
        <v>173</v>
      </c>
      <c r="K1081" s="99">
        <v>63304</v>
      </c>
      <c r="L1081" s="98" t="s">
        <v>174</v>
      </c>
      <c r="M1081" s="99">
        <v>59862</v>
      </c>
      <c r="N1081" s="98" t="s">
        <v>192</v>
      </c>
    </row>
    <row r="1082" spans="1:14" x14ac:dyDescent="0.25">
      <c r="A1082" s="100">
        <v>59895</v>
      </c>
      <c r="C1082" s="99">
        <v>64278</v>
      </c>
      <c r="D1082" s="98" t="s">
        <v>177</v>
      </c>
      <c r="I1082" s="99">
        <v>55598</v>
      </c>
      <c r="J1082" s="98" t="s">
        <v>178</v>
      </c>
      <c r="K1082" s="99">
        <v>63345</v>
      </c>
      <c r="L1082" s="98" t="s">
        <v>191</v>
      </c>
      <c r="M1082" s="99">
        <v>59895</v>
      </c>
      <c r="N1082" s="98" t="s">
        <v>177</v>
      </c>
    </row>
    <row r="1083" spans="1:14" x14ac:dyDescent="0.25">
      <c r="A1083" s="100">
        <v>59902</v>
      </c>
      <c r="C1083" s="99">
        <v>64279</v>
      </c>
      <c r="D1083" s="98" t="s">
        <v>182</v>
      </c>
      <c r="I1083" s="99">
        <v>55638</v>
      </c>
      <c r="J1083" s="98" t="s">
        <v>183</v>
      </c>
      <c r="K1083" s="99">
        <v>63485</v>
      </c>
      <c r="L1083" s="98" t="s">
        <v>189</v>
      </c>
      <c r="M1083" s="99">
        <v>59902</v>
      </c>
      <c r="N1083" s="98" t="s">
        <v>160</v>
      </c>
    </row>
    <row r="1084" spans="1:14" x14ac:dyDescent="0.25">
      <c r="A1084" s="100">
        <v>59922</v>
      </c>
      <c r="C1084" s="99">
        <v>64285</v>
      </c>
      <c r="D1084" s="98" t="s">
        <v>160</v>
      </c>
      <c r="I1084" s="99">
        <v>55642</v>
      </c>
      <c r="J1084" s="98" t="s">
        <v>187</v>
      </c>
      <c r="K1084" s="99">
        <v>63548</v>
      </c>
      <c r="L1084" s="98" t="s">
        <v>177</v>
      </c>
      <c r="M1084" s="99">
        <v>59922</v>
      </c>
      <c r="N1084" s="98" t="s">
        <v>197</v>
      </c>
    </row>
    <row r="1085" spans="1:14" x14ac:dyDescent="0.25">
      <c r="A1085" s="100">
        <v>59944</v>
      </c>
      <c r="C1085" s="99">
        <v>64311</v>
      </c>
      <c r="D1085" s="98" t="s">
        <v>171</v>
      </c>
      <c r="I1085" s="99">
        <v>55643</v>
      </c>
      <c r="J1085" s="98" t="s">
        <v>190</v>
      </c>
      <c r="K1085" s="99">
        <v>63549</v>
      </c>
      <c r="L1085" s="98" t="s">
        <v>182</v>
      </c>
      <c r="M1085" s="99">
        <v>59944</v>
      </c>
      <c r="N1085" s="98" t="s">
        <v>204</v>
      </c>
    </row>
    <row r="1086" spans="1:14" x14ac:dyDescent="0.25">
      <c r="A1086" s="100">
        <v>59947</v>
      </c>
      <c r="C1086" s="99">
        <v>64392</v>
      </c>
      <c r="D1086" s="98" t="s">
        <v>159</v>
      </c>
      <c r="I1086" s="99">
        <v>55644</v>
      </c>
      <c r="J1086" s="98" t="s">
        <v>194</v>
      </c>
      <c r="K1086" s="99">
        <v>63555</v>
      </c>
      <c r="L1086" s="98" t="s">
        <v>160</v>
      </c>
      <c r="M1086" s="99">
        <v>59947</v>
      </c>
      <c r="N1086" s="98" t="s">
        <v>207</v>
      </c>
    </row>
    <row r="1087" spans="1:14" x14ac:dyDescent="0.25">
      <c r="A1087" s="100">
        <v>59950</v>
      </c>
      <c r="C1087" s="99">
        <v>64393</v>
      </c>
      <c r="D1087" s="98" t="s">
        <v>176</v>
      </c>
      <c r="I1087" s="99">
        <v>55645</v>
      </c>
      <c r="J1087" s="98" t="s">
        <v>212</v>
      </c>
      <c r="K1087" s="99">
        <v>63556</v>
      </c>
      <c r="L1087" s="98" t="s">
        <v>165</v>
      </c>
      <c r="M1087" s="99">
        <v>59950</v>
      </c>
      <c r="N1087" s="98" t="s">
        <v>199</v>
      </c>
    </row>
    <row r="1088" spans="1:14" x14ac:dyDescent="0.25">
      <c r="A1088" s="100">
        <v>60048</v>
      </c>
      <c r="C1088" s="99">
        <v>64394</v>
      </c>
      <c r="D1088" s="98" t="s">
        <v>181</v>
      </c>
      <c r="I1088" s="99">
        <v>55715</v>
      </c>
      <c r="J1088" s="98" t="s">
        <v>196</v>
      </c>
      <c r="K1088" s="99">
        <v>63583</v>
      </c>
      <c r="L1088" s="98" t="s">
        <v>206</v>
      </c>
      <c r="M1088" s="99">
        <v>60048</v>
      </c>
      <c r="N1088" s="98" t="s">
        <v>166</v>
      </c>
    </row>
    <row r="1089" spans="1:14" x14ac:dyDescent="0.25">
      <c r="A1089" s="100">
        <v>60072</v>
      </c>
      <c r="C1089" s="99">
        <v>64395</v>
      </c>
      <c r="D1089" s="98" t="s">
        <v>162</v>
      </c>
      <c r="I1089" s="99">
        <v>55742</v>
      </c>
      <c r="J1089" s="98" t="s">
        <v>198</v>
      </c>
      <c r="K1089" s="99">
        <v>63591</v>
      </c>
      <c r="L1089" s="98" t="s">
        <v>169</v>
      </c>
      <c r="M1089" s="99">
        <v>60072</v>
      </c>
      <c r="N1089" s="98" t="s">
        <v>170</v>
      </c>
    </row>
    <row r="1090" spans="1:14" x14ac:dyDescent="0.25">
      <c r="A1090" s="100">
        <v>60087</v>
      </c>
      <c r="C1090" s="99">
        <v>64400</v>
      </c>
      <c r="D1090" s="98" t="s">
        <v>185</v>
      </c>
      <c r="I1090" s="99">
        <v>55743</v>
      </c>
      <c r="J1090" s="98" t="s">
        <v>212</v>
      </c>
      <c r="K1090" s="99">
        <v>63657</v>
      </c>
      <c r="L1090" s="98" t="s">
        <v>159</v>
      </c>
      <c r="M1090" s="99">
        <v>60087</v>
      </c>
      <c r="N1090" s="98" t="s">
        <v>175</v>
      </c>
    </row>
    <row r="1091" spans="1:14" x14ac:dyDescent="0.25">
      <c r="A1091" s="100">
        <v>60146</v>
      </c>
      <c r="C1091" s="99">
        <v>64444</v>
      </c>
      <c r="D1091" s="98" t="s">
        <v>191</v>
      </c>
      <c r="I1091" s="99">
        <v>55778</v>
      </c>
      <c r="J1091" s="98" t="s">
        <v>200</v>
      </c>
      <c r="K1091" s="99">
        <v>63660</v>
      </c>
      <c r="L1091" s="98" t="s">
        <v>162</v>
      </c>
      <c r="M1091" s="99">
        <v>60146</v>
      </c>
      <c r="N1091" s="98" t="s">
        <v>184</v>
      </c>
    </row>
    <row r="1092" spans="1:14" x14ac:dyDescent="0.25">
      <c r="A1092" s="100">
        <v>60188</v>
      </c>
      <c r="C1092" s="99">
        <v>64500</v>
      </c>
      <c r="D1092" s="98" t="s">
        <v>202</v>
      </c>
      <c r="I1092" s="99">
        <v>55784</v>
      </c>
      <c r="J1092" s="98" t="s">
        <v>203</v>
      </c>
      <c r="K1092" s="99">
        <v>63669</v>
      </c>
      <c r="L1092" s="98" t="s">
        <v>174</v>
      </c>
      <c r="M1092" s="99">
        <v>60188</v>
      </c>
      <c r="N1092" s="98" t="s">
        <v>201</v>
      </c>
    </row>
    <row r="1093" spans="1:14" x14ac:dyDescent="0.25">
      <c r="A1093" s="100">
        <v>60210</v>
      </c>
      <c r="C1093" s="99">
        <v>64563</v>
      </c>
      <c r="D1093" s="98" t="s">
        <v>189</v>
      </c>
      <c r="I1093" s="99">
        <v>55785</v>
      </c>
      <c r="J1093" s="98" t="s">
        <v>212</v>
      </c>
      <c r="K1093" s="99">
        <v>63709</v>
      </c>
      <c r="L1093" s="98" t="s">
        <v>191</v>
      </c>
      <c r="M1093" s="99">
        <v>60210</v>
      </c>
      <c r="N1093" s="98" t="s">
        <v>210</v>
      </c>
    </row>
    <row r="1094" spans="1:14" x14ac:dyDescent="0.25">
      <c r="A1094" s="100">
        <v>60217</v>
      </c>
      <c r="C1094" s="99">
        <v>64644</v>
      </c>
      <c r="D1094" s="98" t="s">
        <v>177</v>
      </c>
      <c r="I1094" s="99">
        <v>55806</v>
      </c>
      <c r="J1094" s="98" t="s">
        <v>205</v>
      </c>
      <c r="K1094" s="99">
        <v>63849</v>
      </c>
      <c r="L1094" s="98" t="s">
        <v>189</v>
      </c>
      <c r="M1094" s="99">
        <v>60217</v>
      </c>
      <c r="N1094" s="98" t="s">
        <v>188</v>
      </c>
    </row>
    <row r="1095" spans="1:14" x14ac:dyDescent="0.25">
      <c r="A1095" s="100">
        <v>60233</v>
      </c>
      <c r="C1095" s="99">
        <v>64645</v>
      </c>
      <c r="D1095" s="98" t="s">
        <v>182</v>
      </c>
      <c r="I1095" s="99">
        <v>55826</v>
      </c>
      <c r="J1095" s="98" t="s">
        <v>209</v>
      </c>
      <c r="K1095" s="99">
        <v>63913</v>
      </c>
      <c r="L1095" s="98" t="s">
        <v>177</v>
      </c>
      <c r="M1095" s="99">
        <v>60233</v>
      </c>
      <c r="N1095" s="98" t="s">
        <v>192</v>
      </c>
    </row>
    <row r="1096" spans="1:14" x14ac:dyDescent="0.25">
      <c r="A1096" s="100">
        <v>60261</v>
      </c>
      <c r="C1096" s="99">
        <v>64647</v>
      </c>
      <c r="D1096" s="98" t="s">
        <v>186</v>
      </c>
      <c r="I1096" s="99">
        <v>55827</v>
      </c>
      <c r="J1096" s="98" t="s">
        <v>212</v>
      </c>
      <c r="K1096" s="99">
        <v>63914</v>
      </c>
      <c r="L1096" s="98" t="s">
        <v>182</v>
      </c>
      <c r="M1096" s="99">
        <v>60261</v>
      </c>
      <c r="N1096" s="98" t="s">
        <v>177</v>
      </c>
    </row>
    <row r="1097" spans="1:14" x14ac:dyDescent="0.25">
      <c r="A1097" s="100">
        <v>60268</v>
      </c>
      <c r="C1097" s="99">
        <v>64651</v>
      </c>
      <c r="D1097" s="98" t="s">
        <v>160</v>
      </c>
      <c r="I1097" s="99">
        <v>55846</v>
      </c>
      <c r="J1097" s="98" t="s">
        <v>211</v>
      </c>
      <c r="K1097" s="99">
        <v>63920</v>
      </c>
      <c r="L1097" s="98" t="s">
        <v>160</v>
      </c>
      <c r="M1097" s="99">
        <v>60268</v>
      </c>
      <c r="N1097" s="98" t="s">
        <v>160</v>
      </c>
    </row>
    <row r="1098" spans="1:14" x14ac:dyDescent="0.25">
      <c r="A1098" s="100">
        <v>60286</v>
      </c>
      <c r="C1098" s="99">
        <v>64676</v>
      </c>
      <c r="D1098" s="98" t="s">
        <v>171</v>
      </c>
      <c r="I1098" s="99">
        <v>55885</v>
      </c>
      <c r="J1098" s="98" t="s">
        <v>161</v>
      </c>
      <c r="K1098" s="99">
        <v>63921</v>
      </c>
      <c r="L1098" s="98" t="s">
        <v>165</v>
      </c>
      <c r="M1098" s="99">
        <v>60286</v>
      </c>
      <c r="N1098" s="98" t="s">
        <v>197</v>
      </c>
    </row>
    <row r="1099" spans="1:14" x14ac:dyDescent="0.25">
      <c r="A1099" s="100">
        <v>60310</v>
      </c>
      <c r="C1099" s="99">
        <v>64749</v>
      </c>
      <c r="D1099" s="98" t="s">
        <v>159</v>
      </c>
      <c r="I1099" s="99">
        <v>55897</v>
      </c>
      <c r="J1099" s="98" t="s">
        <v>164</v>
      </c>
      <c r="K1099" s="99">
        <v>63947</v>
      </c>
      <c r="L1099" s="98" t="s">
        <v>206</v>
      </c>
      <c r="M1099" s="99">
        <v>60310</v>
      </c>
      <c r="N1099" s="98" t="s">
        <v>204</v>
      </c>
    </row>
    <row r="1100" spans="1:14" x14ac:dyDescent="0.25">
      <c r="A1100" s="100">
        <v>60313</v>
      </c>
      <c r="C1100" s="99">
        <v>64750</v>
      </c>
      <c r="D1100" s="98" t="s">
        <v>176</v>
      </c>
      <c r="I1100" s="99">
        <v>55926</v>
      </c>
      <c r="J1100" s="98" t="s">
        <v>168</v>
      </c>
      <c r="K1100" s="99">
        <v>63956</v>
      </c>
      <c r="L1100" s="98" t="s">
        <v>169</v>
      </c>
      <c r="M1100" s="99">
        <v>60313</v>
      </c>
      <c r="N1100" s="98" t="s">
        <v>207</v>
      </c>
    </row>
    <row r="1101" spans="1:14" x14ac:dyDescent="0.25">
      <c r="A1101" s="100">
        <v>60314</v>
      </c>
      <c r="C1101" s="99">
        <v>64751</v>
      </c>
      <c r="D1101" s="98" t="s">
        <v>181</v>
      </c>
      <c r="I1101" s="99">
        <v>55938</v>
      </c>
      <c r="J1101" s="98" t="s">
        <v>173</v>
      </c>
      <c r="K1101" s="99">
        <v>64014</v>
      </c>
      <c r="L1101" s="98" t="s">
        <v>159</v>
      </c>
      <c r="M1101" s="99">
        <v>60314</v>
      </c>
      <c r="N1101" s="98" t="s">
        <v>199</v>
      </c>
    </row>
    <row r="1102" spans="1:14" x14ac:dyDescent="0.25">
      <c r="A1102" s="100">
        <v>60412</v>
      </c>
      <c r="C1102" s="99">
        <v>64752</v>
      </c>
      <c r="D1102" s="98" t="s">
        <v>162</v>
      </c>
      <c r="I1102" s="99">
        <v>55939</v>
      </c>
      <c r="J1102" s="98" t="s">
        <v>212</v>
      </c>
      <c r="K1102" s="99">
        <v>64017</v>
      </c>
      <c r="L1102" s="98" t="s">
        <v>162</v>
      </c>
      <c r="M1102" s="99">
        <v>60412</v>
      </c>
      <c r="N1102" s="98" t="s">
        <v>166</v>
      </c>
    </row>
    <row r="1103" spans="1:14" x14ac:dyDescent="0.25">
      <c r="A1103" s="100">
        <v>60437</v>
      </c>
      <c r="C1103" s="99">
        <v>64765</v>
      </c>
      <c r="D1103" s="98" t="s">
        <v>185</v>
      </c>
      <c r="I1103" s="99">
        <v>55963</v>
      </c>
      <c r="J1103" s="98" t="s">
        <v>178</v>
      </c>
      <c r="K1103" s="99">
        <v>64034</v>
      </c>
      <c r="L1103" s="98" t="s">
        <v>174</v>
      </c>
      <c r="M1103" s="99">
        <v>60437</v>
      </c>
      <c r="N1103" s="98" t="s">
        <v>170</v>
      </c>
    </row>
    <row r="1104" spans="1:14" x14ac:dyDescent="0.25">
      <c r="A1104" s="100">
        <v>60451</v>
      </c>
      <c r="C1104" s="99">
        <v>64815</v>
      </c>
      <c r="D1104" s="98" t="s">
        <v>191</v>
      </c>
      <c r="I1104" s="99">
        <v>56003</v>
      </c>
      <c r="J1104" s="98" t="s">
        <v>183</v>
      </c>
      <c r="K1104" s="99">
        <v>64073</v>
      </c>
      <c r="L1104" s="98" t="s">
        <v>191</v>
      </c>
      <c r="M1104" s="99">
        <v>60451</v>
      </c>
      <c r="N1104" s="98" t="s">
        <v>180</v>
      </c>
    </row>
    <row r="1105" spans="1:14" x14ac:dyDescent="0.25">
      <c r="A1105" s="100">
        <v>60452</v>
      </c>
      <c r="C1105" s="99">
        <v>64864</v>
      </c>
      <c r="D1105" s="98" t="s">
        <v>202</v>
      </c>
      <c r="I1105" s="99">
        <v>56007</v>
      </c>
      <c r="J1105" s="98" t="s">
        <v>187</v>
      </c>
      <c r="K1105" s="99">
        <v>64220</v>
      </c>
      <c r="L1105" s="98" t="s">
        <v>189</v>
      </c>
      <c r="M1105" s="99">
        <v>60452</v>
      </c>
      <c r="N1105" s="98" t="s">
        <v>175</v>
      </c>
    </row>
    <row r="1106" spans="1:14" x14ac:dyDescent="0.25">
      <c r="A1106" s="100">
        <v>60517</v>
      </c>
      <c r="C1106" s="99">
        <v>64927</v>
      </c>
      <c r="D1106" s="98" t="s">
        <v>189</v>
      </c>
      <c r="I1106" s="99">
        <v>56008</v>
      </c>
      <c r="J1106" s="98" t="s">
        <v>190</v>
      </c>
      <c r="K1106" s="99">
        <v>64278</v>
      </c>
      <c r="L1106" s="98" t="s">
        <v>177</v>
      </c>
      <c r="M1106" s="99">
        <v>60517</v>
      </c>
      <c r="N1106" s="98" t="s">
        <v>184</v>
      </c>
    </row>
    <row r="1107" spans="1:14" x14ac:dyDescent="0.25">
      <c r="A1107" s="100">
        <v>60552</v>
      </c>
      <c r="C1107" s="99">
        <v>65009</v>
      </c>
      <c r="D1107" s="98" t="s">
        <v>177</v>
      </c>
      <c r="I1107" s="99">
        <v>56009</v>
      </c>
      <c r="J1107" s="98" t="s">
        <v>194</v>
      </c>
      <c r="K1107" s="99">
        <v>64279</v>
      </c>
      <c r="L1107" s="98" t="s">
        <v>182</v>
      </c>
      <c r="M1107" s="99">
        <v>60552</v>
      </c>
      <c r="N1107" s="98" t="s">
        <v>201</v>
      </c>
    </row>
    <row r="1108" spans="1:14" x14ac:dyDescent="0.25">
      <c r="A1108" s="100">
        <v>60574</v>
      </c>
      <c r="C1108" s="99">
        <v>65010</v>
      </c>
      <c r="D1108" s="98" t="s">
        <v>182</v>
      </c>
      <c r="I1108" s="99">
        <v>56010</v>
      </c>
      <c r="J1108" s="98" t="s">
        <v>212</v>
      </c>
      <c r="K1108" s="99">
        <v>64285</v>
      </c>
      <c r="L1108" s="98" t="s">
        <v>160</v>
      </c>
      <c r="M1108" s="99">
        <v>60574</v>
      </c>
      <c r="N1108" s="98" t="s">
        <v>210</v>
      </c>
    </row>
    <row r="1109" spans="1:14" x14ac:dyDescent="0.25">
      <c r="A1109" s="100">
        <v>60582</v>
      </c>
      <c r="C1109" s="99">
        <v>65011</v>
      </c>
      <c r="D1109" s="98" t="s">
        <v>208</v>
      </c>
      <c r="I1109" s="99">
        <v>56086</v>
      </c>
      <c r="J1109" s="98" t="s">
        <v>196</v>
      </c>
      <c r="K1109" s="99">
        <v>64286</v>
      </c>
      <c r="L1109" s="98" t="s">
        <v>165</v>
      </c>
      <c r="M1109" s="99">
        <v>60582</v>
      </c>
      <c r="N1109" s="98" t="s">
        <v>188</v>
      </c>
    </row>
    <row r="1110" spans="1:14" x14ac:dyDescent="0.25">
      <c r="A1110" s="100">
        <v>60597</v>
      </c>
      <c r="C1110" s="99">
        <v>65012</v>
      </c>
      <c r="D1110" s="98" t="s">
        <v>186</v>
      </c>
      <c r="I1110" s="99">
        <v>56107</v>
      </c>
      <c r="J1110" s="98" t="s">
        <v>198</v>
      </c>
      <c r="K1110" s="99">
        <v>64311</v>
      </c>
      <c r="L1110" s="98" t="s">
        <v>206</v>
      </c>
      <c r="M1110" s="99">
        <v>60597</v>
      </c>
      <c r="N1110" s="98" t="s">
        <v>192</v>
      </c>
    </row>
    <row r="1111" spans="1:14" x14ac:dyDescent="0.25">
      <c r="A1111" s="100">
        <v>60626</v>
      </c>
      <c r="C1111" s="99">
        <v>65016</v>
      </c>
      <c r="D1111" s="98" t="s">
        <v>160</v>
      </c>
      <c r="I1111" s="99">
        <v>56142</v>
      </c>
      <c r="J1111" s="98" t="s">
        <v>200</v>
      </c>
      <c r="K1111" s="99">
        <v>64321</v>
      </c>
      <c r="L1111" s="98" t="s">
        <v>169</v>
      </c>
      <c r="M1111" s="99">
        <v>60626</v>
      </c>
      <c r="N1111" s="98" t="s">
        <v>177</v>
      </c>
    </row>
    <row r="1112" spans="1:14" x14ac:dyDescent="0.25">
      <c r="A1112" s="100">
        <v>60633</v>
      </c>
      <c r="C1112" s="99">
        <v>65018</v>
      </c>
      <c r="D1112" s="98" t="s">
        <v>214</v>
      </c>
      <c r="I1112" s="99">
        <v>56149</v>
      </c>
      <c r="J1112" s="98" t="s">
        <v>203</v>
      </c>
      <c r="K1112" s="99">
        <v>64392</v>
      </c>
      <c r="L1112" s="98" t="s">
        <v>159</v>
      </c>
      <c r="M1112" s="99">
        <v>60633</v>
      </c>
      <c r="N1112" s="98" t="s">
        <v>160</v>
      </c>
    </row>
    <row r="1113" spans="1:14" x14ac:dyDescent="0.25">
      <c r="A1113" s="100">
        <v>60650</v>
      </c>
      <c r="C1113" s="99">
        <v>65041</v>
      </c>
      <c r="D1113" s="98" t="s">
        <v>171</v>
      </c>
      <c r="I1113" s="99">
        <v>56170</v>
      </c>
      <c r="J1113" s="98" t="s">
        <v>205</v>
      </c>
      <c r="K1113" s="99">
        <v>64395</v>
      </c>
      <c r="L1113" s="98" t="s">
        <v>162</v>
      </c>
      <c r="M1113" s="99">
        <v>60650</v>
      </c>
      <c r="N1113" s="98" t="s">
        <v>197</v>
      </c>
    </row>
    <row r="1114" spans="1:14" x14ac:dyDescent="0.25">
      <c r="A1114" s="100">
        <v>60675</v>
      </c>
      <c r="C1114" s="99">
        <v>65106</v>
      </c>
      <c r="D1114" s="98" t="s">
        <v>159</v>
      </c>
      <c r="I1114" s="99">
        <v>56191</v>
      </c>
      <c r="J1114" s="98" t="s">
        <v>209</v>
      </c>
      <c r="K1114" s="99">
        <v>64400</v>
      </c>
      <c r="L1114" s="98" t="s">
        <v>174</v>
      </c>
      <c r="M1114" s="99">
        <v>60675</v>
      </c>
      <c r="N1114" s="98" t="s">
        <v>204</v>
      </c>
    </row>
    <row r="1115" spans="1:14" x14ac:dyDescent="0.25">
      <c r="A1115" s="100">
        <v>60678</v>
      </c>
      <c r="C1115" s="99">
        <v>65107</v>
      </c>
      <c r="D1115" s="98" t="s">
        <v>176</v>
      </c>
      <c r="I1115" s="99">
        <v>56211</v>
      </c>
      <c r="J1115" s="98" t="s">
        <v>211</v>
      </c>
      <c r="K1115" s="99">
        <v>64402</v>
      </c>
      <c r="L1115" s="98" t="s">
        <v>179</v>
      </c>
      <c r="M1115" s="99">
        <v>60678</v>
      </c>
      <c r="N1115" s="98" t="s">
        <v>217</v>
      </c>
    </row>
    <row r="1116" spans="1:14" x14ac:dyDescent="0.25">
      <c r="A1116" s="100">
        <v>60783</v>
      </c>
      <c r="C1116" s="99">
        <v>65108</v>
      </c>
      <c r="D1116" s="98" t="s">
        <v>181</v>
      </c>
      <c r="I1116" s="99">
        <v>56212</v>
      </c>
      <c r="J1116" s="98" t="s">
        <v>212</v>
      </c>
      <c r="K1116" s="99">
        <v>64437</v>
      </c>
      <c r="L1116" s="98" t="s">
        <v>191</v>
      </c>
      <c r="M1116" s="99">
        <v>60783</v>
      </c>
      <c r="N1116" s="98" t="s">
        <v>166</v>
      </c>
    </row>
    <row r="1117" spans="1:14" x14ac:dyDescent="0.25">
      <c r="A1117" s="100">
        <v>60801</v>
      </c>
      <c r="C1117" s="99">
        <v>65109</v>
      </c>
      <c r="D1117" s="98" t="s">
        <v>162</v>
      </c>
      <c r="I1117" s="99">
        <v>56250</v>
      </c>
      <c r="J1117" s="98" t="s">
        <v>161</v>
      </c>
      <c r="K1117" s="99">
        <v>64584</v>
      </c>
      <c r="L1117" s="98" t="s">
        <v>189</v>
      </c>
      <c r="M1117" s="99">
        <v>60801</v>
      </c>
      <c r="N1117" s="98" t="s">
        <v>216</v>
      </c>
    </row>
    <row r="1118" spans="1:14" x14ac:dyDescent="0.25">
      <c r="A1118" s="100">
        <v>60802</v>
      </c>
      <c r="C1118" s="99">
        <v>65130</v>
      </c>
      <c r="D1118" s="98" t="s">
        <v>185</v>
      </c>
      <c r="I1118" s="99">
        <v>56261</v>
      </c>
      <c r="J1118" s="98" t="s">
        <v>164</v>
      </c>
      <c r="K1118" s="99">
        <v>64644</v>
      </c>
      <c r="L1118" s="98" t="s">
        <v>177</v>
      </c>
      <c r="M1118" s="99">
        <v>60802</v>
      </c>
      <c r="N1118" s="98" t="s">
        <v>170</v>
      </c>
    </row>
    <row r="1119" spans="1:14" x14ac:dyDescent="0.25">
      <c r="A1119" s="100">
        <v>60817</v>
      </c>
      <c r="C1119" s="99">
        <v>65179</v>
      </c>
      <c r="D1119" s="98" t="s">
        <v>191</v>
      </c>
      <c r="I1119" s="99">
        <v>56291</v>
      </c>
      <c r="J1119" s="98" t="s">
        <v>168</v>
      </c>
      <c r="K1119" s="99">
        <v>64645</v>
      </c>
      <c r="L1119" s="98" t="s">
        <v>182</v>
      </c>
      <c r="M1119" s="99">
        <v>60817</v>
      </c>
      <c r="N1119" s="98" t="s">
        <v>175</v>
      </c>
    </row>
    <row r="1120" spans="1:14" x14ac:dyDescent="0.25">
      <c r="A1120" s="100">
        <v>60818</v>
      </c>
      <c r="C1120" s="99">
        <v>65228</v>
      </c>
      <c r="D1120" s="98" t="s">
        <v>202</v>
      </c>
      <c r="I1120" s="99">
        <v>56303</v>
      </c>
      <c r="J1120" s="98" t="s">
        <v>173</v>
      </c>
      <c r="K1120" s="99">
        <v>64647</v>
      </c>
      <c r="L1120" s="98" t="s">
        <v>186</v>
      </c>
      <c r="M1120" s="99">
        <v>60818</v>
      </c>
      <c r="N1120" s="98" t="s">
        <v>180</v>
      </c>
    </row>
    <row r="1121" spans="1:14" x14ac:dyDescent="0.25">
      <c r="A1121" s="100">
        <v>60881</v>
      </c>
      <c r="C1121" s="99">
        <v>65291</v>
      </c>
      <c r="D1121" s="98" t="s">
        <v>189</v>
      </c>
      <c r="I1121" s="99">
        <v>56328</v>
      </c>
      <c r="J1121" s="98" t="s">
        <v>178</v>
      </c>
      <c r="K1121" s="99">
        <v>64651</v>
      </c>
      <c r="L1121" s="98" t="s">
        <v>160</v>
      </c>
      <c r="M1121" s="99">
        <v>60881</v>
      </c>
      <c r="N1121" s="98" t="s">
        <v>184</v>
      </c>
    </row>
    <row r="1122" spans="1:14" x14ac:dyDescent="0.25">
      <c r="A1122" s="100">
        <v>60916</v>
      </c>
      <c r="C1122" s="99">
        <v>65374</v>
      </c>
      <c r="D1122" s="98" t="s">
        <v>177</v>
      </c>
      <c r="I1122" s="99">
        <v>56368</v>
      </c>
      <c r="J1122" s="98" t="s">
        <v>183</v>
      </c>
      <c r="K1122" s="99">
        <v>64652</v>
      </c>
      <c r="L1122" s="98" t="s">
        <v>165</v>
      </c>
      <c r="M1122" s="99">
        <v>60916</v>
      </c>
      <c r="N1122" s="98" t="s">
        <v>201</v>
      </c>
    </row>
    <row r="1123" spans="1:14" x14ac:dyDescent="0.25">
      <c r="A1123" s="100">
        <v>60938</v>
      </c>
      <c r="C1123" s="99">
        <v>65375</v>
      </c>
      <c r="D1123" s="98" t="s">
        <v>182</v>
      </c>
      <c r="I1123" s="99">
        <v>56372</v>
      </c>
      <c r="J1123" s="98" t="s">
        <v>187</v>
      </c>
      <c r="K1123" s="99">
        <v>64654</v>
      </c>
      <c r="L1123" s="98" t="s">
        <v>213</v>
      </c>
      <c r="M1123" s="99">
        <v>60938</v>
      </c>
      <c r="N1123" s="98" t="s">
        <v>210</v>
      </c>
    </row>
    <row r="1124" spans="1:14" x14ac:dyDescent="0.25">
      <c r="A1124" s="100">
        <v>60947</v>
      </c>
      <c r="C1124" s="99">
        <v>65376</v>
      </c>
      <c r="D1124" s="98" t="s">
        <v>208</v>
      </c>
      <c r="I1124" s="99">
        <v>56373</v>
      </c>
      <c r="J1124" s="98" t="s">
        <v>190</v>
      </c>
      <c r="K1124" s="99">
        <v>64682</v>
      </c>
      <c r="L1124" s="98" t="s">
        <v>206</v>
      </c>
      <c r="M1124" s="99">
        <v>60947</v>
      </c>
      <c r="N1124" s="98" t="s">
        <v>188</v>
      </c>
    </row>
    <row r="1125" spans="1:14" x14ac:dyDescent="0.25">
      <c r="A1125" s="100">
        <v>60961</v>
      </c>
      <c r="C1125" s="99">
        <v>65381</v>
      </c>
      <c r="D1125" s="98" t="s">
        <v>160</v>
      </c>
      <c r="I1125" s="99">
        <v>56374</v>
      </c>
      <c r="J1125" s="98" t="s">
        <v>194</v>
      </c>
      <c r="K1125" s="99">
        <v>64687</v>
      </c>
      <c r="L1125" s="98" t="s">
        <v>169</v>
      </c>
      <c r="M1125" s="99">
        <v>60961</v>
      </c>
      <c r="N1125" s="98" t="s">
        <v>192</v>
      </c>
    </row>
    <row r="1126" spans="1:14" x14ac:dyDescent="0.25">
      <c r="A1126" s="100">
        <v>60990</v>
      </c>
      <c r="C1126" s="99">
        <v>65382</v>
      </c>
      <c r="D1126" s="98" t="s">
        <v>214</v>
      </c>
      <c r="I1126" s="99">
        <v>56375</v>
      </c>
      <c r="J1126" s="98" t="s">
        <v>212</v>
      </c>
      <c r="K1126" s="99">
        <v>64689</v>
      </c>
      <c r="L1126" s="98" t="s">
        <v>215</v>
      </c>
      <c r="M1126" s="99">
        <v>60990</v>
      </c>
      <c r="N1126" s="98" t="s">
        <v>208</v>
      </c>
    </row>
    <row r="1127" spans="1:14" x14ac:dyDescent="0.25">
      <c r="A1127" s="100">
        <v>60991</v>
      </c>
      <c r="C1127" s="99">
        <v>65406</v>
      </c>
      <c r="D1127" s="98" t="s">
        <v>171</v>
      </c>
      <c r="I1127" s="99">
        <v>56450</v>
      </c>
      <c r="J1127" s="98" t="s">
        <v>196</v>
      </c>
      <c r="K1127" s="99">
        <v>64749</v>
      </c>
      <c r="L1127" s="98" t="s">
        <v>159</v>
      </c>
      <c r="M1127" s="99">
        <v>60991</v>
      </c>
      <c r="N1127" s="98" t="s">
        <v>177</v>
      </c>
    </row>
    <row r="1128" spans="1:14" x14ac:dyDescent="0.25">
      <c r="A1128" s="100">
        <v>60997</v>
      </c>
      <c r="C1128" s="99">
        <v>65491</v>
      </c>
      <c r="D1128" s="98" t="s">
        <v>159</v>
      </c>
      <c r="I1128" s="99">
        <v>56472</v>
      </c>
      <c r="J1128" s="98" t="s">
        <v>198</v>
      </c>
      <c r="K1128" s="99">
        <v>64752</v>
      </c>
      <c r="L1128" s="98" t="s">
        <v>162</v>
      </c>
      <c r="M1128" s="99">
        <v>60997</v>
      </c>
      <c r="N1128" s="98" t="s">
        <v>214</v>
      </c>
    </row>
    <row r="1129" spans="1:14" x14ac:dyDescent="0.25">
      <c r="A1129" s="100">
        <v>60998</v>
      </c>
      <c r="C1129" s="99">
        <v>65492</v>
      </c>
      <c r="D1129" s="98" t="s">
        <v>176</v>
      </c>
      <c r="I1129" s="99">
        <v>56513</v>
      </c>
      <c r="J1129" s="98" t="s">
        <v>200</v>
      </c>
      <c r="K1129" s="99">
        <v>64765</v>
      </c>
      <c r="L1129" s="98" t="s">
        <v>174</v>
      </c>
      <c r="M1129" s="99">
        <v>60998</v>
      </c>
      <c r="N1129" s="98" t="s">
        <v>160</v>
      </c>
    </row>
    <row r="1130" spans="1:14" x14ac:dyDescent="0.25">
      <c r="A1130" s="100">
        <v>61014</v>
      </c>
      <c r="C1130" s="99">
        <v>65493</v>
      </c>
      <c r="D1130" s="98" t="s">
        <v>181</v>
      </c>
      <c r="I1130" s="99">
        <v>56514</v>
      </c>
      <c r="J1130" s="98" t="s">
        <v>218</v>
      </c>
      <c r="K1130" s="99">
        <v>64766</v>
      </c>
      <c r="L1130" s="98" t="s">
        <v>179</v>
      </c>
      <c r="M1130" s="99">
        <v>61014</v>
      </c>
      <c r="N1130" s="98" t="s">
        <v>197</v>
      </c>
    </row>
    <row r="1131" spans="1:14" x14ac:dyDescent="0.25">
      <c r="A1131" s="100">
        <v>61039</v>
      </c>
      <c r="C1131" s="99">
        <v>65494</v>
      </c>
      <c r="D1131" s="98" t="s">
        <v>162</v>
      </c>
      <c r="I1131" s="99">
        <v>56515</v>
      </c>
      <c r="J1131" s="98" t="s">
        <v>203</v>
      </c>
      <c r="K1131" s="99">
        <v>64808</v>
      </c>
      <c r="L1131" s="98" t="s">
        <v>191</v>
      </c>
      <c r="M1131" s="99">
        <v>61039</v>
      </c>
      <c r="N1131" s="98" t="s">
        <v>219</v>
      </c>
    </row>
    <row r="1132" spans="1:14" x14ac:dyDescent="0.25">
      <c r="A1132" s="100">
        <v>61040</v>
      </c>
      <c r="C1132" s="99">
        <v>65495</v>
      </c>
      <c r="D1132" s="98" t="s">
        <v>185</v>
      </c>
      <c r="I1132" s="99">
        <v>56534</v>
      </c>
      <c r="J1132" s="98" t="s">
        <v>205</v>
      </c>
      <c r="K1132" s="99">
        <v>64948</v>
      </c>
      <c r="L1132" s="98" t="s">
        <v>189</v>
      </c>
      <c r="M1132" s="99">
        <v>61040</v>
      </c>
      <c r="N1132" s="98" t="s">
        <v>204</v>
      </c>
    </row>
    <row r="1133" spans="1:14" x14ac:dyDescent="0.25">
      <c r="A1133" s="100">
        <v>61043</v>
      </c>
      <c r="C1133" s="99">
        <v>65543</v>
      </c>
      <c r="D1133" s="98" t="s">
        <v>191</v>
      </c>
      <c r="I1133" s="99">
        <v>56556</v>
      </c>
      <c r="J1133" s="98" t="s">
        <v>209</v>
      </c>
      <c r="K1133" s="99">
        <v>65009</v>
      </c>
      <c r="L1133" s="98" t="s">
        <v>177</v>
      </c>
      <c r="M1133" s="99">
        <v>61043</v>
      </c>
      <c r="N1133" s="98" t="s">
        <v>207</v>
      </c>
    </row>
    <row r="1134" spans="1:14" x14ac:dyDescent="0.25">
      <c r="A1134" s="100">
        <v>61049</v>
      </c>
      <c r="C1134" s="99">
        <v>65599</v>
      </c>
      <c r="D1134" s="98" t="s">
        <v>202</v>
      </c>
      <c r="I1134" s="99">
        <v>56576</v>
      </c>
      <c r="J1134" s="98" t="s">
        <v>211</v>
      </c>
      <c r="K1134" s="99">
        <v>65010</v>
      </c>
      <c r="L1134" s="98" t="s">
        <v>182</v>
      </c>
      <c r="M1134" s="99">
        <v>61049</v>
      </c>
      <c r="N1134" s="98" t="s">
        <v>199</v>
      </c>
    </row>
    <row r="1135" spans="1:14" x14ac:dyDescent="0.25">
      <c r="A1135" s="100">
        <v>61147</v>
      </c>
      <c r="C1135" s="99">
        <v>65655</v>
      </c>
      <c r="D1135" s="98" t="s">
        <v>189</v>
      </c>
      <c r="I1135" s="99">
        <v>56615</v>
      </c>
      <c r="J1135" s="98" t="s">
        <v>161</v>
      </c>
      <c r="K1135" s="99">
        <v>65011</v>
      </c>
      <c r="L1135" s="98" t="s">
        <v>208</v>
      </c>
      <c r="M1135" s="99">
        <v>61147</v>
      </c>
      <c r="N1135" s="98" t="s">
        <v>166</v>
      </c>
    </row>
    <row r="1136" spans="1:14" x14ac:dyDescent="0.25">
      <c r="A1136" s="100">
        <v>61167</v>
      </c>
      <c r="C1136" s="99">
        <v>65739</v>
      </c>
      <c r="D1136" s="98" t="s">
        <v>177</v>
      </c>
      <c r="I1136" s="99">
        <v>56625</v>
      </c>
      <c r="J1136" s="98" t="s">
        <v>164</v>
      </c>
      <c r="K1136" s="99">
        <v>65012</v>
      </c>
      <c r="L1136" s="98" t="s">
        <v>186</v>
      </c>
      <c r="M1136" s="99">
        <v>61167</v>
      </c>
      <c r="N1136" s="98" t="s">
        <v>170</v>
      </c>
    </row>
    <row r="1137" spans="1:14" x14ac:dyDescent="0.25">
      <c r="A1137" s="100">
        <v>61168</v>
      </c>
      <c r="C1137" s="99">
        <v>65740</v>
      </c>
      <c r="D1137" s="98" t="s">
        <v>182</v>
      </c>
      <c r="I1137" s="99">
        <v>56656</v>
      </c>
      <c r="J1137" s="98" t="s">
        <v>168</v>
      </c>
      <c r="K1137" s="99">
        <v>65016</v>
      </c>
      <c r="L1137" s="98" t="s">
        <v>160</v>
      </c>
      <c r="M1137" s="99">
        <v>61168</v>
      </c>
      <c r="N1137" s="98" t="s">
        <v>216</v>
      </c>
    </row>
    <row r="1138" spans="1:14" x14ac:dyDescent="0.25">
      <c r="A1138" s="100">
        <v>61182</v>
      </c>
      <c r="C1138" s="99">
        <v>65746</v>
      </c>
      <c r="D1138" s="98" t="s">
        <v>160</v>
      </c>
      <c r="I1138" s="99">
        <v>56668</v>
      </c>
      <c r="J1138" s="98" t="s">
        <v>173</v>
      </c>
      <c r="K1138" s="99">
        <v>65017</v>
      </c>
      <c r="L1138" s="98" t="s">
        <v>165</v>
      </c>
      <c r="M1138" s="99">
        <v>61182</v>
      </c>
      <c r="N1138" s="98" t="s">
        <v>175</v>
      </c>
    </row>
    <row r="1139" spans="1:14" x14ac:dyDescent="0.25">
      <c r="A1139" s="100">
        <v>61245</v>
      </c>
      <c r="C1139" s="99">
        <v>65771</v>
      </c>
      <c r="D1139" s="98" t="s">
        <v>171</v>
      </c>
      <c r="I1139" s="99">
        <v>56694</v>
      </c>
      <c r="J1139" s="98" t="s">
        <v>178</v>
      </c>
      <c r="K1139" s="99">
        <v>65018</v>
      </c>
      <c r="L1139" s="98" t="s">
        <v>214</v>
      </c>
      <c r="M1139" s="99">
        <v>61245</v>
      </c>
      <c r="N1139" s="98" t="s">
        <v>184</v>
      </c>
    </row>
    <row r="1140" spans="1:14" x14ac:dyDescent="0.25">
      <c r="A1140" s="100">
        <v>61280</v>
      </c>
      <c r="C1140" s="99">
        <v>65841</v>
      </c>
      <c r="D1140" s="98" t="s">
        <v>159</v>
      </c>
      <c r="I1140" s="99">
        <v>56695</v>
      </c>
      <c r="J1140" s="98" t="s">
        <v>212</v>
      </c>
      <c r="K1140" s="99">
        <v>65019</v>
      </c>
      <c r="L1140" s="98" t="s">
        <v>213</v>
      </c>
      <c r="M1140" s="99">
        <v>61280</v>
      </c>
      <c r="N1140" s="98" t="s">
        <v>201</v>
      </c>
    </row>
    <row r="1141" spans="1:14" x14ac:dyDescent="0.25">
      <c r="A1141" s="100">
        <v>61309</v>
      </c>
      <c r="C1141" s="99">
        <v>65842</v>
      </c>
      <c r="D1141" s="98" t="s">
        <v>176</v>
      </c>
      <c r="I1141" s="99">
        <v>56733</v>
      </c>
      <c r="J1141" s="98" t="s">
        <v>183</v>
      </c>
      <c r="K1141" s="99">
        <v>65046</v>
      </c>
      <c r="L1141" s="98" t="s">
        <v>206</v>
      </c>
      <c r="M1141" s="99">
        <v>61309</v>
      </c>
      <c r="N1141" s="98" t="s">
        <v>210</v>
      </c>
    </row>
    <row r="1142" spans="1:14" x14ac:dyDescent="0.25">
      <c r="A1142" s="100">
        <v>61312</v>
      </c>
      <c r="C1142" s="99">
        <v>65843</v>
      </c>
      <c r="D1142" s="98" t="s">
        <v>181</v>
      </c>
      <c r="I1142" s="99">
        <v>56737</v>
      </c>
      <c r="J1142" s="98" t="s">
        <v>187</v>
      </c>
      <c r="K1142" s="99">
        <v>65052</v>
      </c>
      <c r="L1142" s="98" t="s">
        <v>169</v>
      </c>
      <c r="M1142" s="99">
        <v>61312</v>
      </c>
      <c r="N1142" s="98" t="s">
        <v>188</v>
      </c>
    </row>
    <row r="1143" spans="1:14" x14ac:dyDescent="0.25">
      <c r="A1143" s="100">
        <v>61325</v>
      </c>
      <c r="C1143" s="99">
        <v>65844</v>
      </c>
      <c r="D1143" s="98" t="s">
        <v>162</v>
      </c>
      <c r="I1143" s="99">
        <v>56738</v>
      </c>
      <c r="J1143" s="98" t="s">
        <v>190</v>
      </c>
      <c r="K1143" s="99">
        <v>65053</v>
      </c>
      <c r="L1143" s="98" t="s">
        <v>215</v>
      </c>
      <c r="M1143" s="99">
        <v>61325</v>
      </c>
      <c r="N1143" s="98" t="s">
        <v>192</v>
      </c>
    </row>
    <row r="1144" spans="1:14" x14ac:dyDescent="0.25">
      <c r="A1144" s="100">
        <v>61356</v>
      </c>
      <c r="C1144" s="99">
        <v>65861</v>
      </c>
      <c r="D1144" s="98" t="s">
        <v>185</v>
      </c>
      <c r="I1144" s="99">
        <v>56739</v>
      </c>
      <c r="J1144" s="98" t="s">
        <v>194</v>
      </c>
      <c r="K1144" s="99">
        <v>65106</v>
      </c>
      <c r="L1144" s="98" t="s">
        <v>159</v>
      </c>
      <c r="M1144" s="99">
        <v>61356</v>
      </c>
      <c r="N1144" s="98" t="s">
        <v>177</v>
      </c>
    </row>
    <row r="1145" spans="1:14" x14ac:dyDescent="0.25">
      <c r="A1145" s="100">
        <v>61357</v>
      </c>
      <c r="C1145" s="99">
        <v>65907</v>
      </c>
      <c r="D1145" s="98" t="s">
        <v>191</v>
      </c>
      <c r="I1145" s="99">
        <v>56814</v>
      </c>
      <c r="J1145" s="98" t="s">
        <v>196</v>
      </c>
      <c r="K1145" s="99">
        <v>65109</v>
      </c>
      <c r="L1145" s="98" t="s">
        <v>162</v>
      </c>
      <c r="M1145" s="99">
        <v>61357</v>
      </c>
      <c r="N1145" s="98" t="s">
        <v>208</v>
      </c>
    </row>
    <row r="1146" spans="1:14" x14ac:dyDescent="0.25">
      <c r="A1146" s="100">
        <v>61363</v>
      </c>
      <c r="C1146" s="99">
        <v>65963</v>
      </c>
      <c r="D1146" s="98" t="s">
        <v>202</v>
      </c>
      <c r="I1146" s="99">
        <v>56837</v>
      </c>
      <c r="J1146" s="98" t="s">
        <v>198</v>
      </c>
      <c r="K1146" s="99">
        <v>65130</v>
      </c>
      <c r="L1146" s="98" t="s">
        <v>174</v>
      </c>
      <c r="M1146" s="99">
        <v>61363</v>
      </c>
      <c r="N1146" s="98" t="s">
        <v>160</v>
      </c>
    </row>
    <row r="1147" spans="1:14" x14ac:dyDescent="0.25">
      <c r="A1147" s="100">
        <v>61364</v>
      </c>
      <c r="C1147" s="99">
        <v>66026</v>
      </c>
      <c r="D1147" s="98" t="s">
        <v>189</v>
      </c>
      <c r="I1147" s="99">
        <v>56877</v>
      </c>
      <c r="J1147" s="98" t="s">
        <v>200</v>
      </c>
      <c r="K1147" s="99">
        <v>65172</v>
      </c>
      <c r="L1147" s="98" t="s">
        <v>191</v>
      </c>
      <c r="M1147" s="99">
        <v>61364</v>
      </c>
      <c r="N1147" s="98" t="s">
        <v>214</v>
      </c>
    </row>
    <row r="1148" spans="1:14" x14ac:dyDescent="0.25">
      <c r="A1148" s="100">
        <v>61378</v>
      </c>
      <c r="C1148" s="99">
        <v>66105</v>
      </c>
      <c r="D1148" s="98" t="s">
        <v>177</v>
      </c>
      <c r="I1148" s="99">
        <v>56880</v>
      </c>
      <c r="J1148" s="98" t="s">
        <v>203</v>
      </c>
      <c r="K1148" s="99">
        <v>65312</v>
      </c>
      <c r="L1148" s="98" t="s">
        <v>189</v>
      </c>
      <c r="M1148" s="99">
        <v>61378</v>
      </c>
      <c r="N1148" s="98" t="s">
        <v>197</v>
      </c>
    </row>
    <row r="1149" spans="1:14" x14ac:dyDescent="0.25">
      <c r="A1149" s="100">
        <v>61405</v>
      </c>
      <c r="C1149" s="99">
        <v>66106</v>
      </c>
      <c r="D1149" s="98" t="s">
        <v>182</v>
      </c>
      <c r="I1149" s="99">
        <v>56898</v>
      </c>
      <c r="J1149" s="98" t="s">
        <v>205</v>
      </c>
      <c r="K1149" s="99">
        <v>65374</v>
      </c>
      <c r="L1149" s="98" t="s">
        <v>177</v>
      </c>
      <c r="M1149" s="99">
        <v>61405</v>
      </c>
      <c r="N1149" s="98" t="s">
        <v>204</v>
      </c>
    </row>
    <row r="1150" spans="1:14" x14ac:dyDescent="0.25">
      <c r="A1150" s="100">
        <v>61406</v>
      </c>
      <c r="C1150" s="99">
        <v>66112</v>
      </c>
      <c r="D1150" s="98" t="s">
        <v>160</v>
      </c>
      <c r="I1150" s="99">
        <v>56921</v>
      </c>
      <c r="J1150" s="98" t="s">
        <v>209</v>
      </c>
      <c r="K1150" s="99">
        <v>65375</v>
      </c>
      <c r="L1150" s="98" t="s">
        <v>182</v>
      </c>
      <c r="M1150" s="99">
        <v>61406</v>
      </c>
      <c r="N1150" s="98" t="s">
        <v>219</v>
      </c>
    </row>
    <row r="1151" spans="1:14" x14ac:dyDescent="0.25">
      <c r="A1151" s="100">
        <v>61408</v>
      </c>
      <c r="C1151" s="99">
        <v>66138</v>
      </c>
      <c r="D1151" s="98" t="s">
        <v>171</v>
      </c>
      <c r="I1151" s="99">
        <v>56941</v>
      </c>
      <c r="J1151" s="98" t="s">
        <v>211</v>
      </c>
      <c r="K1151" s="99">
        <v>65376</v>
      </c>
      <c r="L1151" s="98" t="s">
        <v>208</v>
      </c>
      <c r="M1151" s="99">
        <v>61408</v>
      </c>
      <c r="N1151" s="98" t="s">
        <v>207</v>
      </c>
    </row>
    <row r="1152" spans="1:14" x14ac:dyDescent="0.25">
      <c r="A1152" s="100">
        <v>61413</v>
      </c>
      <c r="C1152" s="99">
        <v>66198</v>
      </c>
      <c r="D1152" s="98" t="s">
        <v>159</v>
      </c>
      <c r="I1152" s="99">
        <v>56980</v>
      </c>
      <c r="J1152" s="98" t="s">
        <v>161</v>
      </c>
      <c r="K1152" s="99">
        <v>65381</v>
      </c>
      <c r="L1152" s="98" t="s">
        <v>160</v>
      </c>
      <c r="M1152" s="99">
        <v>61413</v>
      </c>
      <c r="N1152" s="98" t="s">
        <v>199</v>
      </c>
    </row>
    <row r="1153" spans="1:14" x14ac:dyDescent="0.25">
      <c r="A1153" s="100">
        <v>61511</v>
      </c>
      <c r="C1153" s="99">
        <v>66199</v>
      </c>
      <c r="D1153" s="98" t="s">
        <v>176</v>
      </c>
      <c r="I1153" s="99">
        <v>56989</v>
      </c>
      <c r="J1153" s="98" t="s">
        <v>164</v>
      </c>
      <c r="K1153" s="99">
        <v>65382</v>
      </c>
      <c r="L1153" s="98" t="s">
        <v>165</v>
      </c>
      <c r="M1153" s="99">
        <v>61511</v>
      </c>
      <c r="N1153" s="98" t="s">
        <v>166</v>
      </c>
    </row>
    <row r="1154" spans="1:14" x14ac:dyDescent="0.25">
      <c r="A1154" s="100">
        <v>61533</v>
      </c>
      <c r="C1154" s="99">
        <v>66200</v>
      </c>
      <c r="D1154" s="98" t="s">
        <v>181</v>
      </c>
      <c r="I1154" s="99">
        <v>57021</v>
      </c>
      <c r="J1154" s="98" t="s">
        <v>168</v>
      </c>
      <c r="K1154" s="99">
        <v>65383</v>
      </c>
      <c r="L1154" s="98" t="s">
        <v>214</v>
      </c>
      <c r="M1154" s="99">
        <v>61533</v>
      </c>
      <c r="N1154" s="98" t="s">
        <v>170</v>
      </c>
    </row>
    <row r="1155" spans="1:14" x14ac:dyDescent="0.25">
      <c r="A1155" s="100">
        <v>61548</v>
      </c>
      <c r="C1155" s="99">
        <v>66201</v>
      </c>
      <c r="D1155" s="98" t="s">
        <v>162</v>
      </c>
      <c r="I1155" s="99">
        <v>57033</v>
      </c>
      <c r="J1155" s="98" t="s">
        <v>173</v>
      </c>
      <c r="K1155" s="99">
        <v>65410</v>
      </c>
      <c r="L1155" s="98" t="s">
        <v>206</v>
      </c>
      <c r="M1155" s="99">
        <v>61548</v>
      </c>
      <c r="N1155" s="98" t="s">
        <v>175</v>
      </c>
    </row>
    <row r="1156" spans="1:14" x14ac:dyDescent="0.25">
      <c r="A1156" s="100">
        <v>61609</v>
      </c>
      <c r="C1156" s="99">
        <v>66226</v>
      </c>
      <c r="D1156" s="98" t="s">
        <v>185</v>
      </c>
      <c r="I1156" s="99">
        <v>57059</v>
      </c>
      <c r="J1156" s="98" t="s">
        <v>178</v>
      </c>
      <c r="K1156" s="99">
        <v>65417</v>
      </c>
      <c r="L1156" s="98" t="s">
        <v>169</v>
      </c>
      <c r="M1156" s="99">
        <v>61609</v>
      </c>
      <c r="N1156" s="98" t="s">
        <v>184</v>
      </c>
    </row>
    <row r="1157" spans="1:14" x14ac:dyDescent="0.25">
      <c r="A1157" s="100">
        <v>61644</v>
      </c>
      <c r="C1157" s="99">
        <v>66271</v>
      </c>
      <c r="D1157" s="98" t="s">
        <v>191</v>
      </c>
      <c r="I1157" s="99">
        <v>57099</v>
      </c>
      <c r="J1157" s="98" t="s">
        <v>183</v>
      </c>
      <c r="K1157" s="99">
        <v>65491</v>
      </c>
      <c r="L1157" s="98" t="s">
        <v>159</v>
      </c>
      <c r="M1157" s="99">
        <v>61644</v>
      </c>
      <c r="N1157" s="98" t="s">
        <v>201</v>
      </c>
    </row>
    <row r="1158" spans="1:14" x14ac:dyDescent="0.25">
      <c r="A1158" s="100">
        <v>61673</v>
      </c>
      <c r="C1158" s="99">
        <v>66327</v>
      </c>
      <c r="D1158" s="98" t="s">
        <v>202</v>
      </c>
      <c r="I1158" s="99">
        <v>57103</v>
      </c>
      <c r="J1158" s="98" t="s">
        <v>187</v>
      </c>
      <c r="K1158" s="99">
        <v>65494</v>
      </c>
      <c r="L1158" s="98" t="s">
        <v>162</v>
      </c>
      <c r="M1158" s="99">
        <v>61673</v>
      </c>
      <c r="N1158" s="98" t="s">
        <v>210</v>
      </c>
    </row>
    <row r="1159" spans="1:14" x14ac:dyDescent="0.25">
      <c r="A1159" s="100">
        <v>61678</v>
      </c>
      <c r="C1159" s="99">
        <v>66390</v>
      </c>
      <c r="D1159" s="98" t="s">
        <v>189</v>
      </c>
      <c r="I1159" s="99">
        <v>57104</v>
      </c>
      <c r="J1159" s="98" t="s">
        <v>190</v>
      </c>
      <c r="K1159" s="99">
        <v>65495</v>
      </c>
      <c r="L1159" s="98" t="s">
        <v>174</v>
      </c>
      <c r="M1159" s="99">
        <v>61678</v>
      </c>
      <c r="N1159" s="98" t="s">
        <v>188</v>
      </c>
    </row>
    <row r="1160" spans="1:14" x14ac:dyDescent="0.25">
      <c r="A1160" s="100">
        <v>61679</v>
      </c>
      <c r="C1160" s="99">
        <v>66470</v>
      </c>
      <c r="D1160" s="98" t="s">
        <v>177</v>
      </c>
      <c r="I1160" s="99">
        <v>57105</v>
      </c>
      <c r="J1160" s="98" t="s">
        <v>194</v>
      </c>
      <c r="K1160" s="99">
        <v>65536</v>
      </c>
      <c r="L1160" s="98" t="s">
        <v>191</v>
      </c>
      <c r="M1160" s="99">
        <v>61679</v>
      </c>
      <c r="N1160" s="98" t="s">
        <v>220</v>
      </c>
    </row>
    <row r="1161" spans="1:14" x14ac:dyDescent="0.25">
      <c r="A1161" s="100">
        <v>61689</v>
      </c>
      <c r="C1161" s="99">
        <v>66471</v>
      </c>
      <c r="D1161" s="98" t="s">
        <v>182</v>
      </c>
      <c r="I1161" s="99">
        <v>57178</v>
      </c>
      <c r="J1161" s="98" t="s">
        <v>196</v>
      </c>
      <c r="K1161" s="99">
        <v>65676</v>
      </c>
      <c r="L1161" s="98" t="s">
        <v>189</v>
      </c>
      <c r="M1161" s="99">
        <v>61689</v>
      </c>
      <c r="N1161" s="98" t="s">
        <v>192</v>
      </c>
    </row>
    <row r="1162" spans="1:14" x14ac:dyDescent="0.25">
      <c r="A1162" s="100">
        <v>61722</v>
      </c>
      <c r="C1162" s="99">
        <v>66477</v>
      </c>
      <c r="D1162" s="98" t="s">
        <v>160</v>
      </c>
      <c r="I1162" s="99">
        <v>57203</v>
      </c>
      <c r="J1162" s="98" t="s">
        <v>198</v>
      </c>
      <c r="K1162" s="99">
        <v>65739</v>
      </c>
      <c r="L1162" s="98" t="s">
        <v>177</v>
      </c>
      <c r="M1162" s="99">
        <v>61722</v>
      </c>
      <c r="N1162" s="98" t="s">
        <v>177</v>
      </c>
    </row>
    <row r="1163" spans="1:14" x14ac:dyDescent="0.25">
      <c r="A1163" s="100">
        <v>61729</v>
      </c>
      <c r="C1163" s="99">
        <v>66502</v>
      </c>
      <c r="D1163" s="98" t="s">
        <v>171</v>
      </c>
      <c r="I1163" s="99">
        <v>57241</v>
      </c>
      <c r="J1163" s="98" t="s">
        <v>200</v>
      </c>
      <c r="K1163" s="99">
        <v>65740</v>
      </c>
      <c r="L1163" s="98" t="s">
        <v>182</v>
      </c>
      <c r="M1163" s="99">
        <v>61729</v>
      </c>
      <c r="N1163" s="98" t="s">
        <v>160</v>
      </c>
    </row>
    <row r="1164" spans="1:14" x14ac:dyDescent="0.25">
      <c r="A1164" s="100">
        <v>61749</v>
      </c>
      <c r="C1164" s="99">
        <v>66583</v>
      </c>
      <c r="D1164" s="98" t="s">
        <v>159</v>
      </c>
      <c r="I1164" s="99">
        <v>57245</v>
      </c>
      <c r="J1164" s="98" t="s">
        <v>203</v>
      </c>
      <c r="K1164" s="99">
        <v>65746</v>
      </c>
      <c r="L1164" s="98" t="s">
        <v>160</v>
      </c>
      <c r="M1164" s="99">
        <v>61749</v>
      </c>
      <c r="N1164" s="98" t="s">
        <v>197</v>
      </c>
    </row>
    <row r="1165" spans="1:14" x14ac:dyDescent="0.25">
      <c r="A1165" s="100">
        <v>61771</v>
      </c>
      <c r="C1165" s="99">
        <v>66584</v>
      </c>
      <c r="D1165" s="98" t="s">
        <v>176</v>
      </c>
      <c r="I1165" s="99">
        <v>57262</v>
      </c>
      <c r="J1165" s="98" t="s">
        <v>205</v>
      </c>
      <c r="K1165" s="99">
        <v>65747</v>
      </c>
      <c r="L1165" s="98" t="s">
        <v>165</v>
      </c>
      <c r="M1165" s="99">
        <v>61771</v>
      </c>
      <c r="N1165" s="98" t="s">
        <v>204</v>
      </c>
    </row>
    <row r="1166" spans="1:14" x14ac:dyDescent="0.25">
      <c r="A1166" s="100">
        <v>61774</v>
      </c>
      <c r="C1166" s="99">
        <v>66585</v>
      </c>
      <c r="D1166" s="98" t="s">
        <v>181</v>
      </c>
      <c r="I1166" s="99">
        <v>57287</v>
      </c>
      <c r="J1166" s="98" t="s">
        <v>209</v>
      </c>
      <c r="K1166" s="99">
        <v>65774</v>
      </c>
      <c r="L1166" s="98" t="s">
        <v>206</v>
      </c>
      <c r="M1166" s="99">
        <v>61774</v>
      </c>
      <c r="N1166" s="98" t="s">
        <v>207</v>
      </c>
    </row>
    <row r="1167" spans="1:14" x14ac:dyDescent="0.25">
      <c r="A1167" s="100">
        <v>61777</v>
      </c>
      <c r="C1167" s="99">
        <v>66586</v>
      </c>
      <c r="D1167" s="98" t="s">
        <v>162</v>
      </c>
      <c r="I1167" s="99">
        <v>57307</v>
      </c>
      <c r="J1167" s="98" t="s">
        <v>211</v>
      </c>
      <c r="K1167" s="99">
        <v>65782</v>
      </c>
      <c r="L1167" s="98" t="s">
        <v>169</v>
      </c>
      <c r="M1167" s="99">
        <v>61777</v>
      </c>
      <c r="N1167" s="98" t="s">
        <v>199</v>
      </c>
    </row>
    <row r="1168" spans="1:14" x14ac:dyDescent="0.25">
      <c r="A1168" s="100">
        <v>61875</v>
      </c>
      <c r="C1168" s="99">
        <v>66591</v>
      </c>
      <c r="D1168" s="98" t="s">
        <v>185</v>
      </c>
      <c r="I1168" s="99">
        <v>57346</v>
      </c>
      <c r="J1168" s="98" t="s">
        <v>161</v>
      </c>
      <c r="K1168" s="99">
        <v>65841</v>
      </c>
      <c r="L1168" s="98" t="s">
        <v>159</v>
      </c>
      <c r="M1168" s="99">
        <v>61875</v>
      </c>
      <c r="N1168" s="98" t="s">
        <v>166</v>
      </c>
    </row>
    <row r="1169" spans="1:14" x14ac:dyDescent="0.25">
      <c r="A1169" s="100">
        <v>61898</v>
      </c>
      <c r="C1169" s="99">
        <v>66635</v>
      </c>
      <c r="D1169" s="98" t="s">
        <v>191</v>
      </c>
      <c r="I1169" s="99">
        <v>57353</v>
      </c>
      <c r="J1169" s="98" t="s">
        <v>164</v>
      </c>
      <c r="K1169" s="99">
        <v>65844</v>
      </c>
      <c r="L1169" s="98" t="s">
        <v>162</v>
      </c>
      <c r="M1169" s="99">
        <v>61898</v>
      </c>
      <c r="N1169" s="98" t="s">
        <v>170</v>
      </c>
    </row>
    <row r="1170" spans="1:14" x14ac:dyDescent="0.25">
      <c r="A1170" s="100">
        <v>61913</v>
      </c>
      <c r="C1170" s="99">
        <v>66691</v>
      </c>
      <c r="D1170" s="98" t="s">
        <v>202</v>
      </c>
      <c r="I1170" s="99">
        <v>57387</v>
      </c>
      <c r="J1170" s="98" t="s">
        <v>168</v>
      </c>
      <c r="K1170" s="99">
        <v>65861</v>
      </c>
      <c r="L1170" s="98" t="s">
        <v>174</v>
      </c>
      <c r="M1170" s="99">
        <v>61913</v>
      </c>
      <c r="N1170" s="98" t="s">
        <v>175</v>
      </c>
    </row>
    <row r="1171" spans="1:14" x14ac:dyDescent="0.25">
      <c r="A1171" s="100">
        <v>61973</v>
      </c>
      <c r="C1171" s="99">
        <v>66754</v>
      </c>
      <c r="D1171" s="98" t="s">
        <v>189</v>
      </c>
      <c r="I1171" s="99">
        <v>57388</v>
      </c>
      <c r="J1171" s="98" t="s">
        <v>212</v>
      </c>
      <c r="K1171" s="99">
        <v>65900</v>
      </c>
      <c r="L1171" s="98" t="s">
        <v>191</v>
      </c>
      <c r="M1171" s="99">
        <v>61973</v>
      </c>
      <c r="N1171" s="98" t="s">
        <v>184</v>
      </c>
    </row>
    <row r="1172" spans="1:14" x14ac:dyDescent="0.25">
      <c r="A1172" s="100">
        <v>62015</v>
      </c>
      <c r="C1172" s="99">
        <v>66835</v>
      </c>
      <c r="D1172" s="98" t="s">
        <v>177</v>
      </c>
      <c r="I1172" s="99">
        <v>57399</v>
      </c>
      <c r="J1172" s="98" t="s">
        <v>173</v>
      </c>
      <c r="K1172" s="99">
        <v>66047</v>
      </c>
      <c r="L1172" s="98" t="s">
        <v>189</v>
      </c>
      <c r="M1172" s="99">
        <v>62015</v>
      </c>
      <c r="N1172" s="98" t="s">
        <v>201</v>
      </c>
    </row>
    <row r="1173" spans="1:14" x14ac:dyDescent="0.25">
      <c r="A1173" s="100">
        <v>62037</v>
      </c>
      <c r="C1173" s="99">
        <v>66836</v>
      </c>
      <c r="D1173" s="98" t="s">
        <v>182</v>
      </c>
      <c r="I1173" s="99">
        <v>57424</v>
      </c>
      <c r="J1173" s="98" t="s">
        <v>178</v>
      </c>
      <c r="K1173" s="99">
        <v>66105</v>
      </c>
      <c r="L1173" s="98" t="s">
        <v>177</v>
      </c>
      <c r="M1173" s="99">
        <v>62037</v>
      </c>
      <c r="N1173" s="98" t="s">
        <v>210</v>
      </c>
    </row>
    <row r="1174" spans="1:14" x14ac:dyDescent="0.25">
      <c r="A1174" s="100">
        <v>62043</v>
      </c>
      <c r="C1174" s="99">
        <v>66838</v>
      </c>
      <c r="D1174" s="98" t="s">
        <v>186</v>
      </c>
      <c r="I1174" s="99">
        <v>57464</v>
      </c>
      <c r="J1174" s="98" t="s">
        <v>183</v>
      </c>
      <c r="K1174" s="99">
        <v>66106</v>
      </c>
      <c r="L1174" s="98" t="s">
        <v>182</v>
      </c>
      <c r="M1174" s="99">
        <v>62043</v>
      </c>
      <c r="N1174" s="98" t="s">
        <v>188</v>
      </c>
    </row>
    <row r="1175" spans="1:14" x14ac:dyDescent="0.25">
      <c r="A1175" s="100">
        <v>62060</v>
      </c>
      <c r="C1175" s="99">
        <v>66842</v>
      </c>
      <c r="D1175" s="98" t="s">
        <v>160</v>
      </c>
      <c r="I1175" s="99">
        <v>57465</v>
      </c>
      <c r="J1175" s="98" t="s">
        <v>212</v>
      </c>
      <c r="K1175" s="99">
        <v>66112</v>
      </c>
      <c r="L1175" s="98" t="s">
        <v>160</v>
      </c>
      <c r="M1175" s="99">
        <v>62060</v>
      </c>
      <c r="N1175" s="98" t="s">
        <v>192</v>
      </c>
    </row>
    <row r="1176" spans="1:14" x14ac:dyDescent="0.25">
      <c r="A1176" s="100">
        <v>62087</v>
      </c>
      <c r="C1176" s="99">
        <v>66867</v>
      </c>
      <c r="D1176" s="98" t="s">
        <v>171</v>
      </c>
      <c r="I1176" s="99">
        <v>57468</v>
      </c>
      <c r="J1176" s="98" t="s">
        <v>187</v>
      </c>
      <c r="K1176" s="99">
        <v>66113</v>
      </c>
      <c r="L1176" s="98" t="s">
        <v>165</v>
      </c>
      <c r="M1176" s="99">
        <v>62087</v>
      </c>
      <c r="N1176" s="98" t="s">
        <v>177</v>
      </c>
    </row>
    <row r="1177" spans="1:14" x14ac:dyDescent="0.25">
      <c r="A1177" s="100">
        <v>62094</v>
      </c>
      <c r="C1177" s="99">
        <v>66933</v>
      </c>
      <c r="D1177" s="98" t="s">
        <v>159</v>
      </c>
      <c r="I1177" s="99">
        <v>57469</v>
      </c>
      <c r="J1177" s="98" t="s">
        <v>190</v>
      </c>
      <c r="K1177" s="99">
        <v>66138</v>
      </c>
      <c r="L1177" s="98" t="s">
        <v>206</v>
      </c>
      <c r="M1177" s="99">
        <v>62094</v>
      </c>
      <c r="N1177" s="98" t="s">
        <v>160</v>
      </c>
    </row>
    <row r="1178" spans="1:14" x14ac:dyDescent="0.25">
      <c r="A1178" s="100">
        <v>62113</v>
      </c>
      <c r="C1178" s="99">
        <v>66934</v>
      </c>
      <c r="D1178" s="98" t="s">
        <v>176</v>
      </c>
      <c r="I1178" s="99">
        <v>57470</v>
      </c>
      <c r="J1178" s="98" t="s">
        <v>194</v>
      </c>
      <c r="K1178" s="99">
        <v>66148</v>
      </c>
      <c r="L1178" s="98" t="s">
        <v>169</v>
      </c>
      <c r="M1178" s="99">
        <v>62113</v>
      </c>
      <c r="N1178" s="98" t="s">
        <v>197</v>
      </c>
    </row>
    <row r="1179" spans="1:14" x14ac:dyDescent="0.25">
      <c r="A1179" s="100">
        <v>62136</v>
      </c>
      <c r="C1179" s="99">
        <v>66935</v>
      </c>
      <c r="D1179" s="98" t="s">
        <v>181</v>
      </c>
      <c r="I1179" s="99">
        <v>57542</v>
      </c>
      <c r="J1179" s="98" t="s">
        <v>196</v>
      </c>
      <c r="K1179" s="99">
        <v>66198</v>
      </c>
      <c r="L1179" s="98" t="s">
        <v>159</v>
      </c>
      <c r="M1179" s="99">
        <v>62136</v>
      </c>
      <c r="N1179" s="98" t="s">
        <v>204</v>
      </c>
    </row>
    <row r="1180" spans="1:14" x14ac:dyDescent="0.25">
      <c r="A1180" s="100">
        <v>62139</v>
      </c>
      <c r="C1180" s="99">
        <v>66936</v>
      </c>
      <c r="D1180" s="98" t="s">
        <v>162</v>
      </c>
      <c r="I1180" s="99">
        <v>57568</v>
      </c>
      <c r="J1180" s="98" t="s">
        <v>198</v>
      </c>
      <c r="K1180" s="99">
        <v>66201</v>
      </c>
      <c r="L1180" s="98" t="s">
        <v>162</v>
      </c>
      <c r="M1180" s="99">
        <v>62139</v>
      </c>
      <c r="N1180" s="98" t="s">
        <v>207</v>
      </c>
    </row>
    <row r="1181" spans="1:14" x14ac:dyDescent="0.25">
      <c r="A1181" s="100">
        <v>62141</v>
      </c>
      <c r="C1181" s="99">
        <v>66956</v>
      </c>
      <c r="D1181" s="98" t="s">
        <v>185</v>
      </c>
      <c r="I1181" s="99">
        <v>57605</v>
      </c>
      <c r="J1181" s="98" t="s">
        <v>200</v>
      </c>
      <c r="K1181" s="99">
        <v>66226</v>
      </c>
      <c r="L1181" s="98" t="s">
        <v>174</v>
      </c>
      <c r="M1181" s="99">
        <v>62141</v>
      </c>
      <c r="N1181" s="98" t="s">
        <v>199</v>
      </c>
    </row>
    <row r="1182" spans="1:14" x14ac:dyDescent="0.25">
      <c r="A1182" s="100">
        <v>62239</v>
      </c>
      <c r="C1182" s="99">
        <v>67006</v>
      </c>
      <c r="D1182" s="98" t="s">
        <v>191</v>
      </c>
      <c r="I1182" s="99">
        <v>57610</v>
      </c>
      <c r="J1182" s="98" t="s">
        <v>203</v>
      </c>
      <c r="K1182" s="99">
        <v>66264</v>
      </c>
      <c r="L1182" s="98" t="s">
        <v>191</v>
      </c>
      <c r="M1182" s="99">
        <v>62239</v>
      </c>
      <c r="N1182" s="98" t="s">
        <v>166</v>
      </c>
    </row>
    <row r="1183" spans="1:14" x14ac:dyDescent="0.25">
      <c r="A1183" s="100">
        <v>62263</v>
      </c>
      <c r="C1183" s="99">
        <v>67055</v>
      </c>
      <c r="D1183" s="98" t="s">
        <v>202</v>
      </c>
      <c r="I1183" s="99">
        <v>57626</v>
      </c>
      <c r="J1183" s="98" t="s">
        <v>205</v>
      </c>
      <c r="K1183" s="99">
        <v>66411</v>
      </c>
      <c r="L1183" s="98" t="s">
        <v>189</v>
      </c>
      <c r="M1183" s="99">
        <v>62263</v>
      </c>
      <c r="N1183" s="98" t="s">
        <v>170</v>
      </c>
    </row>
    <row r="1184" spans="1:14" x14ac:dyDescent="0.25">
      <c r="A1184" s="100">
        <v>62278</v>
      </c>
      <c r="C1184" s="99">
        <v>67118</v>
      </c>
      <c r="D1184" s="98" t="s">
        <v>189</v>
      </c>
      <c r="I1184" s="99">
        <v>57652</v>
      </c>
      <c r="J1184" s="98" t="s">
        <v>209</v>
      </c>
      <c r="K1184" s="99">
        <v>66470</v>
      </c>
      <c r="L1184" s="98" t="s">
        <v>177</v>
      </c>
      <c r="M1184" s="99">
        <v>62278</v>
      </c>
      <c r="N1184" s="98" t="s">
        <v>175</v>
      </c>
    </row>
    <row r="1185" spans="1:14" x14ac:dyDescent="0.25">
      <c r="A1185" s="100">
        <v>62337</v>
      </c>
      <c r="C1185" s="99">
        <v>67200</v>
      </c>
      <c r="D1185" s="98" t="s">
        <v>177</v>
      </c>
      <c r="I1185" s="99">
        <v>57672</v>
      </c>
      <c r="J1185" s="98" t="s">
        <v>211</v>
      </c>
      <c r="K1185" s="99">
        <v>66471</v>
      </c>
      <c r="L1185" s="98" t="s">
        <v>182</v>
      </c>
      <c r="M1185" s="99">
        <v>62337</v>
      </c>
      <c r="N1185" s="98" t="s">
        <v>184</v>
      </c>
    </row>
    <row r="1186" spans="1:14" x14ac:dyDescent="0.25">
      <c r="A1186" s="100">
        <v>62379</v>
      </c>
      <c r="C1186" s="99">
        <v>67201</v>
      </c>
      <c r="D1186" s="98" t="s">
        <v>182</v>
      </c>
      <c r="I1186" s="99">
        <v>57711</v>
      </c>
      <c r="J1186" s="98" t="s">
        <v>161</v>
      </c>
      <c r="K1186" s="99">
        <v>66477</v>
      </c>
      <c r="L1186" s="98" t="s">
        <v>160</v>
      </c>
      <c r="M1186" s="99">
        <v>62379</v>
      </c>
      <c r="N1186" s="98" t="s">
        <v>201</v>
      </c>
    </row>
    <row r="1187" spans="1:14" x14ac:dyDescent="0.25">
      <c r="A1187" s="100">
        <v>62401</v>
      </c>
      <c r="C1187" s="99">
        <v>67202</v>
      </c>
      <c r="D1187" s="98" t="s">
        <v>208</v>
      </c>
      <c r="I1187" s="99">
        <v>57724</v>
      </c>
      <c r="J1187" s="98" t="s">
        <v>164</v>
      </c>
      <c r="K1187" s="99">
        <v>66478</v>
      </c>
      <c r="L1187" s="98" t="s">
        <v>165</v>
      </c>
      <c r="M1187" s="99">
        <v>62401</v>
      </c>
      <c r="N1187" s="98" t="s">
        <v>210</v>
      </c>
    </row>
    <row r="1188" spans="1:14" x14ac:dyDescent="0.25">
      <c r="A1188" s="100">
        <v>62408</v>
      </c>
      <c r="C1188" s="99">
        <v>67203</v>
      </c>
      <c r="D1188" s="98" t="s">
        <v>186</v>
      </c>
      <c r="I1188" s="99">
        <v>57752</v>
      </c>
      <c r="J1188" s="98" t="s">
        <v>168</v>
      </c>
      <c r="K1188" s="99">
        <v>66502</v>
      </c>
      <c r="L1188" s="98" t="s">
        <v>206</v>
      </c>
      <c r="M1188" s="99">
        <v>62408</v>
      </c>
      <c r="N1188" s="98" t="s">
        <v>188</v>
      </c>
    </row>
    <row r="1189" spans="1:14" x14ac:dyDescent="0.25">
      <c r="A1189" s="100">
        <v>62424</v>
      </c>
      <c r="C1189" s="99">
        <v>67207</v>
      </c>
      <c r="D1189" s="98" t="s">
        <v>160</v>
      </c>
      <c r="I1189" s="99">
        <v>57764</v>
      </c>
      <c r="J1189" s="98" t="s">
        <v>173</v>
      </c>
      <c r="K1189" s="99">
        <v>66513</v>
      </c>
      <c r="L1189" s="98" t="s">
        <v>169</v>
      </c>
      <c r="M1189" s="99">
        <v>62424</v>
      </c>
      <c r="N1189" s="98" t="s">
        <v>192</v>
      </c>
    </row>
    <row r="1190" spans="1:14" x14ac:dyDescent="0.25">
      <c r="A1190" s="100">
        <v>62452</v>
      </c>
      <c r="C1190" s="99">
        <v>67209</v>
      </c>
      <c r="D1190" s="98" t="s">
        <v>214</v>
      </c>
      <c r="I1190" s="99">
        <v>57789</v>
      </c>
      <c r="J1190" s="98" t="s">
        <v>178</v>
      </c>
      <c r="K1190" s="99">
        <v>66583</v>
      </c>
      <c r="L1190" s="98" t="s">
        <v>159</v>
      </c>
      <c r="M1190" s="99">
        <v>62452</v>
      </c>
      <c r="N1190" s="98" t="s">
        <v>177</v>
      </c>
    </row>
    <row r="1191" spans="1:14" x14ac:dyDescent="0.25">
      <c r="A1191" s="100">
        <v>62459</v>
      </c>
      <c r="C1191" s="99">
        <v>67232</v>
      </c>
      <c r="D1191" s="98" t="s">
        <v>171</v>
      </c>
      <c r="I1191" s="99">
        <v>57829</v>
      </c>
      <c r="J1191" s="98" t="s">
        <v>183</v>
      </c>
      <c r="K1191" s="99">
        <v>66586</v>
      </c>
      <c r="L1191" s="98" t="s">
        <v>162</v>
      </c>
      <c r="M1191" s="99">
        <v>62459</v>
      </c>
      <c r="N1191" s="98" t="s">
        <v>160</v>
      </c>
    </row>
    <row r="1192" spans="1:14" x14ac:dyDescent="0.25">
      <c r="A1192" s="100">
        <v>62477</v>
      </c>
      <c r="C1192" s="99">
        <v>67290</v>
      </c>
      <c r="D1192" s="98" t="s">
        <v>159</v>
      </c>
      <c r="I1192" s="99">
        <v>57833</v>
      </c>
      <c r="J1192" s="98" t="s">
        <v>187</v>
      </c>
      <c r="K1192" s="99">
        <v>66591</v>
      </c>
      <c r="L1192" s="98" t="s">
        <v>174</v>
      </c>
      <c r="M1192" s="99">
        <v>62477</v>
      </c>
      <c r="N1192" s="98" t="s">
        <v>197</v>
      </c>
    </row>
    <row r="1193" spans="1:14" x14ac:dyDescent="0.25">
      <c r="A1193" s="100">
        <v>62501</v>
      </c>
      <c r="C1193" s="99">
        <v>67291</v>
      </c>
      <c r="D1193" s="98" t="s">
        <v>176</v>
      </c>
      <c r="I1193" s="99">
        <v>57834</v>
      </c>
      <c r="J1193" s="98" t="s">
        <v>190</v>
      </c>
      <c r="K1193" s="99">
        <v>66593</v>
      </c>
      <c r="L1193" s="98" t="s">
        <v>179</v>
      </c>
      <c r="M1193" s="99">
        <v>62501</v>
      </c>
      <c r="N1193" s="98" t="s">
        <v>204</v>
      </c>
    </row>
    <row r="1194" spans="1:14" x14ac:dyDescent="0.25">
      <c r="A1194" s="100">
        <v>62504</v>
      </c>
      <c r="C1194" s="99">
        <v>67292</v>
      </c>
      <c r="D1194" s="98" t="s">
        <v>181</v>
      </c>
      <c r="I1194" s="99">
        <v>57835</v>
      </c>
      <c r="J1194" s="98" t="s">
        <v>194</v>
      </c>
      <c r="K1194" s="99">
        <v>66628</v>
      </c>
      <c r="L1194" s="98" t="s">
        <v>191</v>
      </c>
      <c r="M1194" s="99">
        <v>62504</v>
      </c>
      <c r="N1194" s="98" t="s">
        <v>207</v>
      </c>
    </row>
    <row r="1195" spans="1:14" x14ac:dyDescent="0.25">
      <c r="A1195" s="100">
        <v>62505</v>
      </c>
      <c r="C1195" s="99">
        <v>67293</v>
      </c>
      <c r="D1195" s="98" t="s">
        <v>162</v>
      </c>
      <c r="I1195" s="99">
        <v>57836</v>
      </c>
      <c r="J1195" s="98" t="s">
        <v>212</v>
      </c>
      <c r="K1195" s="99">
        <v>66775</v>
      </c>
      <c r="L1195" s="98" t="s">
        <v>189</v>
      </c>
      <c r="M1195" s="99">
        <v>62505</v>
      </c>
      <c r="N1195" s="98" t="s">
        <v>199</v>
      </c>
    </row>
    <row r="1196" spans="1:14" x14ac:dyDescent="0.25">
      <c r="A1196" s="100">
        <v>62603</v>
      </c>
      <c r="C1196" s="99">
        <v>67322</v>
      </c>
      <c r="D1196" s="98" t="s">
        <v>185</v>
      </c>
      <c r="I1196" s="99">
        <v>57906</v>
      </c>
      <c r="J1196" s="98" t="s">
        <v>196</v>
      </c>
      <c r="K1196" s="99">
        <v>66835</v>
      </c>
      <c r="L1196" s="98" t="s">
        <v>177</v>
      </c>
      <c r="M1196" s="99">
        <v>62603</v>
      </c>
      <c r="N1196" s="98" t="s">
        <v>166</v>
      </c>
    </row>
    <row r="1197" spans="1:14" x14ac:dyDescent="0.25">
      <c r="A1197" s="100">
        <v>62628</v>
      </c>
      <c r="C1197" s="99">
        <v>67370</v>
      </c>
      <c r="D1197" s="98" t="s">
        <v>191</v>
      </c>
      <c r="I1197" s="99">
        <v>57933</v>
      </c>
      <c r="J1197" s="98" t="s">
        <v>198</v>
      </c>
      <c r="K1197" s="99">
        <v>66836</v>
      </c>
      <c r="L1197" s="98" t="s">
        <v>182</v>
      </c>
      <c r="M1197" s="99">
        <v>62628</v>
      </c>
      <c r="N1197" s="98" t="s">
        <v>170</v>
      </c>
    </row>
    <row r="1198" spans="1:14" x14ac:dyDescent="0.25">
      <c r="A1198" s="100">
        <v>62642</v>
      </c>
      <c r="C1198" s="99">
        <v>67426</v>
      </c>
      <c r="D1198" s="98" t="s">
        <v>202</v>
      </c>
      <c r="I1198" s="99">
        <v>57934</v>
      </c>
      <c r="J1198" s="98" t="s">
        <v>212</v>
      </c>
      <c r="K1198" s="99">
        <v>66838</v>
      </c>
      <c r="L1198" s="98" t="s">
        <v>186</v>
      </c>
      <c r="M1198" s="99">
        <v>62642</v>
      </c>
      <c r="N1198" s="98" t="s">
        <v>180</v>
      </c>
    </row>
    <row r="1199" spans="1:14" x14ac:dyDescent="0.25">
      <c r="A1199" s="100">
        <v>62643</v>
      </c>
      <c r="C1199" s="99">
        <v>67482</v>
      </c>
      <c r="D1199" s="98" t="s">
        <v>189</v>
      </c>
      <c r="I1199" s="99">
        <v>57969</v>
      </c>
      <c r="J1199" s="98" t="s">
        <v>200</v>
      </c>
      <c r="K1199" s="99">
        <v>66842</v>
      </c>
      <c r="L1199" s="98" t="s">
        <v>160</v>
      </c>
      <c r="M1199" s="99">
        <v>62643</v>
      </c>
      <c r="N1199" s="98" t="s">
        <v>175</v>
      </c>
    </row>
    <row r="1200" spans="1:14" x14ac:dyDescent="0.25">
      <c r="A1200" s="100">
        <v>62708</v>
      </c>
      <c r="C1200" s="99">
        <v>67566</v>
      </c>
      <c r="D1200" s="98" t="s">
        <v>177</v>
      </c>
      <c r="I1200" s="99">
        <v>57976</v>
      </c>
      <c r="J1200" s="98" t="s">
        <v>203</v>
      </c>
      <c r="K1200" s="99">
        <v>66843</v>
      </c>
      <c r="L1200" s="98" t="s">
        <v>165</v>
      </c>
      <c r="M1200" s="99">
        <v>62708</v>
      </c>
      <c r="N1200" s="98" t="s">
        <v>184</v>
      </c>
    </row>
    <row r="1201" spans="1:14" x14ac:dyDescent="0.25">
      <c r="A1201" s="100">
        <v>62743</v>
      </c>
      <c r="C1201" s="99">
        <v>67567</v>
      </c>
      <c r="D1201" s="98" t="s">
        <v>182</v>
      </c>
      <c r="I1201" s="99">
        <v>57997</v>
      </c>
      <c r="J1201" s="98" t="s">
        <v>205</v>
      </c>
      <c r="K1201" s="99">
        <v>66845</v>
      </c>
      <c r="L1201" s="98" t="s">
        <v>213</v>
      </c>
      <c r="M1201" s="99">
        <v>62743</v>
      </c>
      <c r="N1201" s="98" t="s">
        <v>201</v>
      </c>
    </row>
    <row r="1202" spans="1:14" x14ac:dyDescent="0.25">
      <c r="A1202" s="100">
        <v>62765</v>
      </c>
      <c r="C1202" s="99">
        <v>67573</v>
      </c>
      <c r="D1202" s="98" t="s">
        <v>160</v>
      </c>
      <c r="I1202" s="99">
        <v>58017</v>
      </c>
      <c r="J1202" s="98" t="s">
        <v>209</v>
      </c>
      <c r="K1202" s="99">
        <v>66873</v>
      </c>
      <c r="L1202" s="98" t="s">
        <v>206</v>
      </c>
      <c r="M1202" s="99">
        <v>62765</v>
      </c>
      <c r="N1202" s="98" t="s">
        <v>210</v>
      </c>
    </row>
    <row r="1203" spans="1:14" x14ac:dyDescent="0.25">
      <c r="A1203" s="100">
        <v>62773</v>
      </c>
      <c r="C1203" s="99">
        <v>67598</v>
      </c>
      <c r="D1203" s="98" t="s">
        <v>171</v>
      </c>
      <c r="I1203" s="99">
        <v>58018</v>
      </c>
      <c r="J1203" s="98" t="s">
        <v>212</v>
      </c>
      <c r="K1203" s="99">
        <v>66878</v>
      </c>
      <c r="L1203" s="98" t="s">
        <v>169</v>
      </c>
      <c r="M1203" s="99">
        <v>62773</v>
      </c>
      <c r="N1203" s="98" t="s">
        <v>188</v>
      </c>
    </row>
    <row r="1204" spans="1:14" x14ac:dyDescent="0.25">
      <c r="A1204" s="100">
        <v>62788</v>
      </c>
      <c r="C1204" s="99">
        <v>67675</v>
      </c>
      <c r="D1204" s="98" t="s">
        <v>159</v>
      </c>
      <c r="I1204" s="99">
        <v>58037</v>
      </c>
      <c r="J1204" s="98" t="s">
        <v>211</v>
      </c>
      <c r="K1204" s="99">
        <v>66880</v>
      </c>
      <c r="L1204" s="98" t="s">
        <v>215</v>
      </c>
      <c r="M1204" s="99">
        <v>62788</v>
      </c>
      <c r="N1204" s="98" t="s">
        <v>192</v>
      </c>
    </row>
    <row r="1205" spans="1:14" x14ac:dyDescent="0.25">
      <c r="A1205" s="100">
        <v>62817</v>
      </c>
      <c r="C1205" s="99">
        <v>67676</v>
      </c>
      <c r="D1205" s="98" t="s">
        <v>176</v>
      </c>
      <c r="I1205" s="99">
        <v>58076</v>
      </c>
      <c r="J1205" s="98" t="s">
        <v>161</v>
      </c>
      <c r="K1205" s="99">
        <v>66933</v>
      </c>
      <c r="L1205" s="98" t="s">
        <v>159</v>
      </c>
      <c r="M1205" s="99">
        <v>62817</v>
      </c>
      <c r="N1205" s="98" t="s">
        <v>177</v>
      </c>
    </row>
    <row r="1206" spans="1:14" x14ac:dyDescent="0.25">
      <c r="A1206" s="100">
        <v>62824</v>
      </c>
      <c r="C1206" s="99">
        <v>67677</v>
      </c>
      <c r="D1206" s="98" t="s">
        <v>181</v>
      </c>
      <c r="I1206" s="99">
        <v>58088</v>
      </c>
      <c r="J1206" s="98" t="s">
        <v>164</v>
      </c>
      <c r="K1206" s="99">
        <v>66936</v>
      </c>
      <c r="L1206" s="98" t="s">
        <v>162</v>
      </c>
      <c r="M1206" s="99">
        <v>62824</v>
      </c>
      <c r="N1206" s="98" t="s">
        <v>160</v>
      </c>
    </row>
    <row r="1207" spans="1:14" x14ac:dyDescent="0.25">
      <c r="A1207" s="100">
        <v>62841</v>
      </c>
      <c r="C1207" s="99">
        <v>67678</v>
      </c>
      <c r="D1207" s="98" t="s">
        <v>162</v>
      </c>
      <c r="I1207" s="99">
        <v>58117</v>
      </c>
      <c r="J1207" s="98" t="s">
        <v>168</v>
      </c>
      <c r="K1207" s="99">
        <v>66956</v>
      </c>
      <c r="L1207" s="98" t="s">
        <v>174</v>
      </c>
      <c r="M1207" s="99">
        <v>62841</v>
      </c>
      <c r="N1207" s="98" t="s">
        <v>197</v>
      </c>
    </row>
    <row r="1208" spans="1:14" x14ac:dyDescent="0.25">
      <c r="A1208" s="100">
        <v>62866</v>
      </c>
      <c r="C1208" s="99">
        <v>67687</v>
      </c>
      <c r="D1208" s="98" t="s">
        <v>185</v>
      </c>
      <c r="I1208" s="99">
        <v>58129</v>
      </c>
      <c r="J1208" s="98" t="s">
        <v>173</v>
      </c>
      <c r="K1208" s="99">
        <v>66957</v>
      </c>
      <c r="L1208" s="98" t="s">
        <v>179</v>
      </c>
      <c r="M1208" s="99">
        <v>62866</v>
      </c>
      <c r="N1208" s="98" t="s">
        <v>204</v>
      </c>
    </row>
    <row r="1209" spans="1:14" x14ac:dyDescent="0.25">
      <c r="A1209" s="100">
        <v>62869</v>
      </c>
      <c r="C1209" s="99">
        <v>67734</v>
      </c>
      <c r="D1209" s="98" t="s">
        <v>191</v>
      </c>
      <c r="I1209" s="99">
        <v>58130</v>
      </c>
      <c r="J1209" s="98" t="s">
        <v>212</v>
      </c>
      <c r="K1209" s="99">
        <v>66999</v>
      </c>
      <c r="L1209" s="98" t="s">
        <v>191</v>
      </c>
      <c r="M1209" s="99">
        <v>62869</v>
      </c>
      <c r="N1209" s="98" t="s">
        <v>217</v>
      </c>
    </row>
    <row r="1210" spans="1:14" x14ac:dyDescent="0.25">
      <c r="A1210" s="100">
        <v>62974</v>
      </c>
      <c r="C1210" s="99">
        <v>67790</v>
      </c>
      <c r="D1210" s="98" t="s">
        <v>202</v>
      </c>
      <c r="I1210" s="99">
        <v>58154</v>
      </c>
      <c r="J1210" s="98" t="s">
        <v>178</v>
      </c>
      <c r="K1210" s="99">
        <v>67139</v>
      </c>
      <c r="L1210" s="98" t="s">
        <v>189</v>
      </c>
      <c r="M1210" s="99">
        <v>62974</v>
      </c>
      <c r="N1210" s="98" t="s">
        <v>166</v>
      </c>
    </row>
    <row r="1211" spans="1:14" x14ac:dyDescent="0.25">
      <c r="A1211" s="100">
        <v>62994</v>
      </c>
      <c r="C1211" s="99">
        <v>67846</v>
      </c>
      <c r="D1211" s="98" t="s">
        <v>189</v>
      </c>
      <c r="I1211" s="99">
        <v>58194</v>
      </c>
      <c r="J1211" s="98" t="s">
        <v>183</v>
      </c>
      <c r="K1211" s="99">
        <v>67200</v>
      </c>
      <c r="L1211" s="98" t="s">
        <v>177</v>
      </c>
      <c r="M1211" s="99">
        <v>62994</v>
      </c>
      <c r="N1211" s="98" t="s">
        <v>170</v>
      </c>
    </row>
    <row r="1212" spans="1:14" x14ac:dyDescent="0.25">
      <c r="A1212" s="100">
        <v>62995</v>
      </c>
      <c r="C1212" s="99">
        <v>67931</v>
      </c>
      <c r="D1212" s="98" t="s">
        <v>177</v>
      </c>
      <c r="I1212" s="99">
        <v>58198</v>
      </c>
      <c r="J1212" s="98" t="s">
        <v>187</v>
      </c>
      <c r="K1212" s="99">
        <v>67201</v>
      </c>
      <c r="L1212" s="98" t="s">
        <v>182</v>
      </c>
      <c r="M1212" s="99">
        <v>62995</v>
      </c>
      <c r="N1212" s="98" t="s">
        <v>216</v>
      </c>
    </row>
    <row r="1213" spans="1:14" x14ac:dyDescent="0.25">
      <c r="A1213" s="100">
        <v>63009</v>
      </c>
      <c r="C1213" s="99">
        <v>67932</v>
      </c>
      <c r="D1213" s="98" t="s">
        <v>182</v>
      </c>
      <c r="I1213" s="99">
        <v>58199</v>
      </c>
      <c r="J1213" s="98" t="s">
        <v>190</v>
      </c>
      <c r="K1213" s="99">
        <v>67202</v>
      </c>
      <c r="L1213" s="98" t="s">
        <v>208</v>
      </c>
      <c r="M1213" s="99">
        <v>63009</v>
      </c>
      <c r="N1213" s="98" t="s">
        <v>175</v>
      </c>
    </row>
    <row r="1214" spans="1:14" x14ac:dyDescent="0.25">
      <c r="A1214" s="100">
        <v>63072</v>
      </c>
      <c r="C1214" s="99">
        <v>67938</v>
      </c>
      <c r="D1214" s="98" t="s">
        <v>160</v>
      </c>
      <c r="I1214" s="99">
        <v>58200</v>
      </c>
      <c r="J1214" s="98" t="s">
        <v>194</v>
      </c>
      <c r="K1214" s="99">
        <v>67203</v>
      </c>
      <c r="L1214" s="98" t="s">
        <v>186</v>
      </c>
      <c r="M1214" s="99">
        <v>63072</v>
      </c>
      <c r="N1214" s="98" t="s">
        <v>184</v>
      </c>
    </row>
    <row r="1215" spans="1:14" x14ac:dyDescent="0.25">
      <c r="A1215" s="100">
        <v>63107</v>
      </c>
      <c r="C1215" s="99">
        <v>67965</v>
      </c>
      <c r="D1215" s="98" t="s">
        <v>171</v>
      </c>
      <c r="I1215" s="99">
        <v>58201</v>
      </c>
      <c r="J1215" s="98" t="s">
        <v>212</v>
      </c>
      <c r="K1215" s="99">
        <v>67207</v>
      </c>
      <c r="L1215" s="98" t="s">
        <v>160</v>
      </c>
      <c r="M1215" s="99">
        <v>63107</v>
      </c>
      <c r="N1215" s="98" t="s">
        <v>201</v>
      </c>
    </row>
    <row r="1216" spans="1:14" x14ac:dyDescent="0.25">
      <c r="A1216" s="100">
        <v>63136</v>
      </c>
      <c r="C1216" s="99">
        <v>68025</v>
      </c>
      <c r="D1216" s="98" t="s">
        <v>159</v>
      </c>
      <c r="I1216" s="99">
        <v>58277</v>
      </c>
      <c r="J1216" s="98" t="s">
        <v>196</v>
      </c>
      <c r="K1216" s="99">
        <v>67208</v>
      </c>
      <c r="L1216" s="98" t="s">
        <v>165</v>
      </c>
      <c r="M1216" s="99">
        <v>63136</v>
      </c>
      <c r="N1216" s="98" t="s">
        <v>210</v>
      </c>
    </row>
    <row r="1217" spans="1:14" x14ac:dyDescent="0.25">
      <c r="A1217" s="100">
        <v>63139</v>
      </c>
      <c r="C1217" s="99">
        <v>68026</v>
      </c>
      <c r="D1217" s="98" t="s">
        <v>176</v>
      </c>
      <c r="I1217" s="99">
        <v>58298</v>
      </c>
      <c r="J1217" s="98" t="s">
        <v>198</v>
      </c>
      <c r="K1217" s="99">
        <v>67209</v>
      </c>
      <c r="L1217" s="98" t="s">
        <v>214</v>
      </c>
      <c r="M1217" s="99">
        <v>63139</v>
      </c>
      <c r="N1217" s="98" t="s">
        <v>188</v>
      </c>
    </row>
    <row r="1218" spans="1:14" x14ac:dyDescent="0.25">
      <c r="A1218" s="100">
        <v>63152</v>
      </c>
      <c r="C1218" s="99">
        <v>68027</v>
      </c>
      <c r="D1218" s="98" t="s">
        <v>181</v>
      </c>
      <c r="I1218" s="99">
        <v>58333</v>
      </c>
      <c r="J1218" s="98" t="s">
        <v>200</v>
      </c>
      <c r="K1218" s="99">
        <v>67210</v>
      </c>
      <c r="L1218" s="98" t="s">
        <v>213</v>
      </c>
      <c r="M1218" s="99">
        <v>63152</v>
      </c>
      <c r="N1218" s="98" t="s">
        <v>192</v>
      </c>
    </row>
    <row r="1219" spans="1:14" x14ac:dyDescent="0.25">
      <c r="A1219" s="100">
        <v>63183</v>
      </c>
      <c r="C1219" s="99">
        <v>68028</v>
      </c>
      <c r="D1219" s="98" t="s">
        <v>162</v>
      </c>
      <c r="I1219" s="99">
        <v>58341</v>
      </c>
      <c r="J1219" s="98" t="s">
        <v>203</v>
      </c>
      <c r="K1219" s="99">
        <v>67237</v>
      </c>
      <c r="L1219" s="98" t="s">
        <v>206</v>
      </c>
      <c r="M1219" s="99">
        <v>63183</v>
      </c>
      <c r="N1219" s="98" t="s">
        <v>177</v>
      </c>
    </row>
    <row r="1220" spans="1:14" x14ac:dyDescent="0.25">
      <c r="A1220" s="100">
        <v>63184</v>
      </c>
      <c r="C1220" s="99">
        <v>68052</v>
      </c>
      <c r="D1220" s="98" t="s">
        <v>185</v>
      </c>
      <c r="I1220" s="99">
        <v>58361</v>
      </c>
      <c r="J1220" s="98" t="s">
        <v>205</v>
      </c>
      <c r="K1220" s="99">
        <v>67243</v>
      </c>
      <c r="L1220" s="98" t="s">
        <v>169</v>
      </c>
      <c r="M1220" s="99">
        <v>63184</v>
      </c>
      <c r="N1220" s="98" t="s">
        <v>208</v>
      </c>
    </row>
    <row r="1221" spans="1:14" x14ac:dyDescent="0.25">
      <c r="A1221" s="100">
        <v>63190</v>
      </c>
      <c r="C1221" s="99">
        <v>68098</v>
      </c>
      <c r="D1221" s="98" t="s">
        <v>191</v>
      </c>
      <c r="I1221" s="99">
        <v>58382</v>
      </c>
      <c r="J1221" s="98" t="s">
        <v>209</v>
      </c>
      <c r="K1221" s="99">
        <v>67244</v>
      </c>
      <c r="L1221" s="98" t="s">
        <v>215</v>
      </c>
      <c r="M1221" s="99">
        <v>63190</v>
      </c>
      <c r="N1221" s="98" t="s">
        <v>160</v>
      </c>
    </row>
    <row r="1222" spans="1:14" x14ac:dyDescent="0.25">
      <c r="A1222" s="100">
        <v>63191</v>
      </c>
      <c r="C1222" s="99">
        <v>68154</v>
      </c>
      <c r="D1222" s="98" t="s">
        <v>202</v>
      </c>
      <c r="I1222" s="99">
        <v>58402</v>
      </c>
      <c r="J1222" s="98" t="s">
        <v>211</v>
      </c>
      <c r="K1222" s="99">
        <v>67290</v>
      </c>
      <c r="L1222" s="98" t="s">
        <v>159</v>
      </c>
      <c r="M1222" s="99">
        <v>63191</v>
      </c>
      <c r="N1222" s="98" t="s">
        <v>214</v>
      </c>
    </row>
    <row r="1223" spans="1:14" x14ac:dyDescent="0.25">
      <c r="A1223" s="100">
        <v>63205</v>
      </c>
      <c r="C1223" s="99">
        <v>68217</v>
      </c>
      <c r="D1223" s="98" t="s">
        <v>189</v>
      </c>
      <c r="I1223" s="99">
        <v>58403</v>
      </c>
      <c r="J1223" s="98" t="s">
        <v>212</v>
      </c>
      <c r="K1223" s="99">
        <v>67293</v>
      </c>
      <c r="L1223" s="98" t="s">
        <v>162</v>
      </c>
      <c r="M1223" s="99">
        <v>63205</v>
      </c>
      <c r="N1223" s="98" t="s">
        <v>197</v>
      </c>
    </row>
    <row r="1224" spans="1:14" x14ac:dyDescent="0.25">
      <c r="A1224" s="100">
        <v>63232</v>
      </c>
      <c r="C1224" s="99">
        <v>68296</v>
      </c>
      <c r="D1224" s="98" t="s">
        <v>177</v>
      </c>
      <c r="I1224" s="99">
        <v>58441</v>
      </c>
      <c r="J1224" s="98" t="s">
        <v>161</v>
      </c>
      <c r="K1224" s="99">
        <v>67322</v>
      </c>
      <c r="L1224" s="98" t="s">
        <v>174</v>
      </c>
      <c r="M1224" s="99">
        <v>63232</v>
      </c>
      <c r="N1224" s="98" t="s">
        <v>204</v>
      </c>
    </row>
    <row r="1225" spans="1:14" x14ac:dyDescent="0.25">
      <c r="A1225" s="100">
        <v>63233</v>
      </c>
      <c r="C1225" s="99">
        <v>68297</v>
      </c>
      <c r="D1225" s="98" t="s">
        <v>182</v>
      </c>
      <c r="I1225" s="99">
        <v>58452</v>
      </c>
      <c r="J1225" s="98" t="s">
        <v>164</v>
      </c>
      <c r="K1225" s="99">
        <v>67363</v>
      </c>
      <c r="L1225" s="98" t="s">
        <v>191</v>
      </c>
      <c r="M1225" s="99">
        <v>63233</v>
      </c>
      <c r="N1225" s="98" t="s">
        <v>219</v>
      </c>
    </row>
    <row r="1226" spans="1:14" x14ac:dyDescent="0.25">
      <c r="A1226" s="100">
        <v>63235</v>
      </c>
      <c r="C1226" s="99">
        <v>68303</v>
      </c>
      <c r="D1226" s="98" t="s">
        <v>160</v>
      </c>
      <c r="I1226" s="99">
        <v>58482</v>
      </c>
      <c r="J1226" s="98" t="s">
        <v>168</v>
      </c>
      <c r="K1226" s="99">
        <v>67503</v>
      </c>
      <c r="L1226" s="98" t="s">
        <v>189</v>
      </c>
      <c r="M1226" s="99">
        <v>63235</v>
      </c>
      <c r="N1226" s="98" t="s">
        <v>207</v>
      </c>
    </row>
    <row r="1227" spans="1:14" x14ac:dyDescent="0.25">
      <c r="A1227" s="100">
        <v>63240</v>
      </c>
      <c r="C1227" s="99">
        <v>68329</v>
      </c>
      <c r="D1227" s="98" t="s">
        <v>171</v>
      </c>
      <c r="I1227" s="99">
        <v>58494</v>
      </c>
      <c r="J1227" s="98" t="s">
        <v>173</v>
      </c>
      <c r="K1227" s="99">
        <v>67566</v>
      </c>
      <c r="L1227" s="98" t="s">
        <v>177</v>
      </c>
      <c r="M1227" s="99">
        <v>63240</v>
      </c>
      <c r="N1227" s="98" t="s">
        <v>199</v>
      </c>
    </row>
    <row r="1228" spans="1:14" x14ac:dyDescent="0.25">
      <c r="A1228" s="100">
        <v>63338</v>
      </c>
      <c r="C1228" s="99">
        <v>68410</v>
      </c>
      <c r="D1228" s="98" t="s">
        <v>159</v>
      </c>
      <c r="I1228" s="99">
        <v>58520</v>
      </c>
      <c r="J1228" s="98" t="s">
        <v>178</v>
      </c>
      <c r="K1228" s="99">
        <v>67567</v>
      </c>
      <c r="L1228" s="98" t="s">
        <v>182</v>
      </c>
      <c r="M1228" s="99">
        <v>63338</v>
      </c>
      <c r="N1228" s="98" t="s">
        <v>166</v>
      </c>
    </row>
    <row r="1229" spans="1:14" x14ac:dyDescent="0.25">
      <c r="A1229" s="100">
        <v>63359</v>
      </c>
      <c r="C1229" s="99">
        <v>68411</v>
      </c>
      <c r="D1229" s="98" t="s">
        <v>176</v>
      </c>
      <c r="I1229" s="99">
        <v>58560</v>
      </c>
      <c r="J1229" s="98" t="s">
        <v>183</v>
      </c>
      <c r="K1229" s="99">
        <v>67573</v>
      </c>
      <c r="L1229" s="98" t="s">
        <v>160</v>
      </c>
      <c r="M1229" s="99">
        <v>63359</v>
      </c>
      <c r="N1229" s="98" t="s">
        <v>170</v>
      </c>
    </row>
    <row r="1230" spans="1:14" x14ac:dyDescent="0.25">
      <c r="A1230" s="100">
        <v>63374</v>
      </c>
      <c r="C1230" s="99">
        <v>68412</v>
      </c>
      <c r="D1230" s="98" t="s">
        <v>181</v>
      </c>
      <c r="I1230" s="99">
        <v>58564</v>
      </c>
      <c r="J1230" s="98" t="s">
        <v>187</v>
      </c>
      <c r="K1230" s="99">
        <v>67574</v>
      </c>
      <c r="L1230" s="98" t="s">
        <v>165</v>
      </c>
      <c r="M1230" s="99">
        <v>63374</v>
      </c>
      <c r="N1230" s="98" t="s">
        <v>175</v>
      </c>
    </row>
    <row r="1231" spans="1:14" x14ac:dyDescent="0.25">
      <c r="A1231" s="100">
        <v>63436</v>
      </c>
      <c r="C1231" s="99">
        <v>68413</v>
      </c>
      <c r="D1231" s="98" t="s">
        <v>162</v>
      </c>
      <c r="I1231" s="99">
        <v>58565</v>
      </c>
      <c r="J1231" s="98" t="s">
        <v>190</v>
      </c>
      <c r="K1231" s="99">
        <v>67601</v>
      </c>
      <c r="L1231" s="98" t="s">
        <v>206</v>
      </c>
      <c r="M1231" s="99">
        <v>63436</v>
      </c>
      <c r="N1231" s="98" t="s">
        <v>184</v>
      </c>
    </row>
    <row r="1232" spans="1:14" x14ac:dyDescent="0.25">
      <c r="A1232" s="100">
        <v>63471</v>
      </c>
      <c r="C1232" s="99">
        <v>68417</v>
      </c>
      <c r="D1232" s="98" t="s">
        <v>185</v>
      </c>
      <c r="I1232" s="99">
        <v>58566</v>
      </c>
      <c r="J1232" s="98" t="s">
        <v>194</v>
      </c>
      <c r="K1232" s="99">
        <v>67609</v>
      </c>
      <c r="L1232" s="98" t="s">
        <v>169</v>
      </c>
      <c r="M1232" s="99">
        <v>63471</v>
      </c>
      <c r="N1232" s="98" t="s">
        <v>201</v>
      </c>
    </row>
    <row r="1233" spans="1:14" x14ac:dyDescent="0.25">
      <c r="A1233" s="100">
        <v>63500</v>
      </c>
      <c r="C1233" s="99">
        <v>68462</v>
      </c>
      <c r="D1233" s="98" t="s">
        <v>191</v>
      </c>
      <c r="I1233" s="99">
        <v>58641</v>
      </c>
      <c r="J1233" s="98" t="s">
        <v>196</v>
      </c>
      <c r="K1233" s="99">
        <v>67675</v>
      </c>
      <c r="L1233" s="98" t="s">
        <v>159</v>
      </c>
      <c r="M1233" s="99">
        <v>63500</v>
      </c>
      <c r="N1233" s="98" t="s">
        <v>210</v>
      </c>
    </row>
    <row r="1234" spans="1:14" x14ac:dyDescent="0.25">
      <c r="A1234" s="100">
        <v>63503</v>
      </c>
      <c r="C1234" s="99">
        <v>68518</v>
      </c>
      <c r="D1234" s="98" t="s">
        <v>202</v>
      </c>
      <c r="I1234" s="99">
        <v>58664</v>
      </c>
      <c r="J1234" s="98" t="s">
        <v>198</v>
      </c>
      <c r="K1234" s="99">
        <v>67678</v>
      </c>
      <c r="L1234" s="98" t="s">
        <v>162</v>
      </c>
      <c r="M1234" s="99">
        <v>63503</v>
      </c>
      <c r="N1234" s="98" t="s">
        <v>220</v>
      </c>
    </row>
    <row r="1235" spans="1:14" x14ac:dyDescent="0.25">
      <c r="A1235" s="100">
        <v>63504</v>
      </c>
      <c r="C1235" s="99">
        <v>68581</v>
      </c>
      <c r="D1235" s="98" t="s">
        <v>189</v>
      </c>
      <c r="I1235" s="99">
        <v>58704</v>
      </c>
      <c r="J1235" s="98" t="s">
        <v>200</v>
      </c>
      <c r="K1235" s="99">
        <v>67687</v>
      </c>
      <c r="L1235" s="98" t="s">
        <v>174</v>
      </c>
      <c r="M1235" s="99">
        <v>63504</v>
      </c>
      <c r="N1235" s="98" t="s">
        <v>188</v>
      </c>
    </row>
    <row r="1236" spans="1:14" x14ac:dyDescent="0.25">
      <c r="A1236" s="100">
        <v>63516</v>
      </c>
      <c r="C1236" s="99">
        <v>68661</v>
      </c>
      <c r="D1236" s="98" t="s">
        <v>177</v>
      </c>
      <c r="I1236" s="99">
        <v>58705</v>
      </c>
      <c r="J1236" s="98" t="s">
        <v>218</v>
      </c>
      <c r="K1236" s="99">
        <v>67727</v>
      </c>
      <c r="L1236" s="98" t="s">
        <v>191</v>
      </c>
      <c r="M1236" s="99">
        <v>63516</v>
      </c>
      <c r="N1236" s="98" t="s">
        <v>192</v>
      </c>
    </row>
    <row r="1237" spans="1:14" x14ac:dyDescent="0.25">
      <c r="A1237" s="100">
        <v>63548</v>
      </c>
      <c r="C1237" s="99">
        <v>68662</v>
      </c>
      <c r="D1237" s="98" t="s">
        <v>182</v>
      </c>
      <c r="I1237" s="99">
        <v>58706</v>
      </c>
      <c r="J1237" s="98" t="s">
        <v>203</v>
      </c>
      <c r="K1237" s="99">
        <v>67867</v>
      </c>
      <c r="L1237" s="98" t="s">
        <v>189</v>
      </c>
      <c r="M1237" s="99">
        <v>63548</v>
      </c>
      <c r="N1237" s="98" t="s">
        <v>177</v>
      </c>
    </row>
    <row r="1238" spans="1:14" x14ac:dyDescent="0.25">
      <c r="A1238" s="100">
        <v>63555</v>
      </c>
      <c r="C1238" s="99">
        <v>68668</v>
      </c>
      <c r="D1238" s="98" t="s">
        <v>160</v>
      </c>
      <c r="I1238" s="99">
        <v>58725</v>
      </c>
      <c r="J1238" s="98" t="s">
        <v>205</v>
      </c>
      <c r="K1238" s="99">
        <v>67931</v>
      </c>
      <c r="L1238" s="98" t="s">
        <v>177</v>
      </c>
      <c r="M1238" s="99">
        <v>63555</v>
      </c>
      <c r="N1238" s="98" t="s">
        <v>160</v>
      </c>
    </row>
    <row r="1239" spans="1:14" x14ac:dyDescent="0.25">
      <c r="A1239" s="100">
        <v>63569</v>
      </c>
      <c r="C1239" s="99">
        <v>68693</v>
      </c>
      <c r="D1239" s="98" t="s">
        <v>171</v>
      </c>
      <c r="I1239" s="99">
        <v>58748</v>
      </c>
      <c r="J1239" s="98" t="s">
        <v>209</v>
      </c>
      <c r="K1239" s="99">
        <v>67932</v>
      </c>
      <c r="L1239" s="98" t="s">
        <v>182</v>
      </c>
      <c r="M1239" s="99">
        <v>63569</v>
      </c>
      <c r="N1239" s="98" t="s">
        <v>197</v>
      </c>
    </row>
    <row r="1240" spans="1:14" x14ac:dyDescent="0.25">
      <c r="A1240" s="100">
        <v>63597</v>
      </c>
      <c r="C1240" s="99">
        <v>68767</v>
      </c>
      <c r="D1240" s="98" t="s">
        <v>159</v>
      </c>
      <c r="I1240" s="99">
        <v>58768</v>
      </c>
      <c r="J1240" s="98" t="s">
        <v>211</v>
      </c>
      <c r="K1240" s="99">
        <v>67938</v>
      </c>
      <c r="L1240" s="98" t="s">
        <v>160</v>
      </c>
      <c r="M1240" s="99">
        <v>63597</v>
      </c>
      <c r="N1240" s="98" t="s">
        <v>204</v>
      </c>
    </row>
    <row r="1241" spans="1:14" x14ac:dyDescent="0.25">
      <c r="A1241" s="100">
        <v>63600</v>
      </c>
      <c r="C1241" s="99">
        <v>68768</v>
      </c>
      <c r="D1241" s="98" t="s">
        <v>176</v>
      </c>
      <c r="I1241" s="99">
        <v>58807</v>
      </c>
      <c r="J1241" s="98" t="s">
        <v>161</v>
      </c>
      <c r="K1241" s="99">
        <v>67939</v>
      </c>
      <c r="L1241" s="98" t="s">
        <v>165</v>
      </c>
      <c r="M1241" s="99">
        <v>63600</v>
      </c>
      <c r="N1241" s="98" t="s">
        <v>207</v>
      </c>
    </row>
    <row r="1242" spans="1:14" x14ac:dyDescent="0.25">
      <c r="A1242" s="100">
        <v>63604</v>
      </c>
      <c r="C1242" s="99">
        <v>68769</v>
      </c>
      <c r="D1242" s="98" t="s">
        <v>181</v>
      </c>
      <c r="I1242" s="99">
        <v>58816</v>
      </c>
      <c r="J1242" s="98" t="s">
        <v>164</v>
      </c>
      <c r="K1242" s="99">
        <v>67965</v>
      </c>
      <c r="L1242" s="98" t="s">
        <v>206</v>
      </c>
      <c r="M1242" s="99">
        <v>63604</v>
      </c>
      <c r="N1242" s="98" t="s">
        <v>199</v>
      </c>
    </row>
    <row r="1243" spans="1:14" x14ac:dyDescent="0.25">
      <c r="A1243" s="100">
        <v>63702</v>
      </c>
      <c r="C1243" s="99">
        <v>68770</v>
      </c>
      <c r="D1243" s="98" t="s">
        <v>162</v>
      </c>
      <c r="I1243" s="99">
        <v>58848</v>
      </c>
      <c r="J1243" s="98" t="s">
        <v>168</v>
      </c>
      <c r="K1243" s="99">
        <v>67974</v>
      </c>
      <c r="L1243" s="98" t="s">
        <v>169</v>
      </c>
      <c r="M1243" s="99">
        <v>63702</v>
      </c>
      <c r="N1243" s="98" t="s">
        <v>166</v>
      </c>
    </row>
    <row r="1244" spans="1:14" x14ac:dyDescent="0.25">
      <c r="A1244" s="100">
        <v>63724</v>
      </c>
      <c r="C1244" s="99">
        <v>68783</v>
      </c>
      <c r="D1244" s="98" t="s">
        <v>185</v>
      </c>
      <c r="I1244" s="99">
        <v>58860</v>
      </c>
      <c r="J1244" s="98" t="s">
        <v>173</v>
      </c>
      <c r="K1244" s="99">
        <v>68025</v>
      </c>
      <c r="L1244" s="98" t="s">
        <v>159</v>
      </c>
      <c r="M1244" s="99">
        <v>63724</v>
      </c>
      <c r="N1244" s="98" t="s">
        <v>170</v>
      </c>
    </row>
    <row r="1245" spans="1:14" x14ac:dyDescent="0.25">
      <c r="A1245" s="100">
        <v>63739</v>
      </c>
      <c r="C1245" s="99">
        <v>68833</v>
      </c>
      <c r="D1245" s="98" t="s">
        <v>191</v>
      </c>
      <c r="I1245" s="99">
        <v>58885</v>
      </c>
      <c r="J1245" s="98" t="s">
        <v>178</v>
      </c>
      <c r="K1245" s="99">
        <v>68028</v>
      </c>
      <c r="L1245" s="98" t="s">
        <v>162</v>
      </c>
      <c r="M1245" s="99">
        <v>63739</v>
      </c>
      <c r="N1245" s="98" t="s">
        <v>175</v>
      </c>
    </row>
    <row r="1246" spans="1:14" x14ac:dyDescent="0.25">
      <c r="A1246" s="100">
        <v>63800</v>
      </c>
      <c r="C1246" s="99">
        <v>68882</v>
      </c>
      <c r="D1246" s="98" t="s">
        <v>202</v>
      </c>
      <c r="I1246" s="99">
        <v>58886</v>
      </c>
      <c r="J1246" s="98" t="s">
        <v>212</v>
      </c>
      <c r="K1246" s="99">
        <v>68052</v>
      </c>
      <c r="L1246" s="98" t="s">
        <v>174</v>
      </c>
      <c r="M1246" s="99">
        <v>63800</v>
      </c>
      <c r="N1246" s="98" t="s">
        <v>184</v>
      </c>
    </row>
    <row r="1247" spans="1:14" x14ac:dyDescent="0.25">
      <c r="A1247" s="100">
        <v>63835</v>
      </c>
      <c r="C1247" s="99">
        <v>68945</v>
      </c>
      <c r="D1247" s="98" t="s">
        <v>189</v>
      </c>
      <c r="I1247" s="99">
        <v>58925</v>
      </c>
      <c r="J1247" s="98" t="s">
        <v>183</v>
      </c>
      <c r="K1247" s="99">
        <v>68091</v>
      </c>
      <c r="L1247" s="98" t="s">
        <v>191</v>
      </c>
      <c r="M1247" s="99">
        <v>63835</v>
      </c>
      <c r="N1247" s="98" t="s">
        <v>201</v>
      </c>
    </row>
    <row r="1248" spans="1:14" x14ac:dyDescent="0.25">
      <c r="A1248" s="100">
        <v>63864</v>
      </c>
      <c r="C1248" s="99">
        <v>69027</v>
      </c>
      <c r="D1248" s="98" t="s">
        <v>177</v>
      </c>
      <c r="I1248" s="99">
        <v>58929</v>
      </c>
      <c r="J1248" s="98" t="s">
        <v>187</v>
      </c>
      <c r="K1248" s="99">
        <v>68238</v>
      </c>
      <c r="L1248" s="98" t="s">
        <v>189</v>
      </c>
      <c r="M1248" s="99">
        <v>63864</v>
      </c>
      <c r="N1248" s="98" t="s">
        <v>210</v>
      </c>
    </row>
    <row r="1249" spans="1:14" x14ac:dyDescent="0.25">
      <c r="A1249" s="100">
        <v>63869</v>
      </c>
      <c r="C1249" s="99">
        <v>69028</v>
      </c>
      <c r="D1249" s="98" t="s">
        <v>182</v>
      </c>
      <c r="I1249" s="99">
        <v>58930</v>
      </c>
      <c r="J1249" s="98" t="s">
        <v>190</v>
      </c>
      <c r="K1249" s="99">
        <v>68296</v>
      </c>
      <c r="L1249" s="98" t="s">
        <v>177</v>
      </c>
      <c r="M1249" s="99">
        <v>63869</v>
      </c>
      <c r="N1249" s="98" t="s">
        <v>188</v>
      </c>
    </row>
    <row r="1250" spans="1:14" x14ac:dyDescent="0.25">
      <c r="A1250" s="100">
        <v>63870</v>
      </c>
      <c r="C1250" s="99">
        <v>69029</v>
      </c>
      <c r="D1250" s="98" t="s">
        <v>208</v>
      </c>
      <c r="I1250" s="99">
        <v>58931</v>
      </c>
      <c r="J1250" s="98" t="s">
        <v>194</v>
      </c>
      <c r="K1250" s="99">
        <v>68297</v>
      </c>
      <c r="L1250" s="98" t="s">
        <v>182</v>
      </c>
      <c r="M1250" s="99">
        <v>63870</v>
      </c>
      <c r="N1250" s="98" t="s">
        <v>220</v>
      </c>
    </row>
    <row r="1251" spans="1:14" x14ac:dyDescent="0.25">
      <c r="A1251" s="100">
        <v>63880</v>
      </c>
      <c r="C1251" s="99">
        <v>69030</v>
      </c>
      <c r="D1251" s="98" t="s">
        <v>186</v>
      </c>
      <c r="I1251" s="99">
        <v>59005</v>
      </c>
      <c r="J1251" s="98" t="s">
        <v>196</v>
      </c>
      <c r="K1251" s="99">
        <v>68303</v>
      </c>
      <c r="L1251" s="98" t="s">
        <v>160</v>
      </c>
      <c r="M1251" s="99">
        <v>63880</v>
      </c>
      <c r="N1251" s="98" t="s">
        <v>192</v>
      </c>
    </row>
    <row r="1252" spans="1:14" x14ac:dyDescent="0.25">
      <c r="A1252" s="100">
        <v>63913</v>
      </c>
      <c r="C1252" s="99">
        <v>69034</v>
      </c>
      <c r="D1252" s="98" t="s">
        <v>160</v>
      </c>
      <c r="I1252" s="99">
        <v>59029</v>
      </c>
      <c r="J1252" s="98" t="s">
        <v>198</v>
      </c>
      <c r="K1252" s="99">
        <v>68304</v>
      </c>
      <c r="L1252" s="98" t="s">
        <v>165</v>
      </c>
      <c r="M1252" s="99">
        <v>63913</v>
      </c>
      <c r="N1252" s="98" t="s">
        <v>177</v>
      </c>
    </row>
    <row r="1253" spans="1:14" x14ac:dyDescent="0.25">
      <c r="A1253" s="100">
        <v>63920</v>
      </c>
      <c r="C1253" s="99">
        <v>69036</v>
      </c>
      <c r="D1253" s="98" t="s">
        <v>214</v>
      </c>
      <c r="I1253" s="99">
        <v>59068</v>
      </c>
      <c r="J1253" s="98" t="s">
        <v>200</v>
      </c>
      <c r="K1253" s="99">
        <v>68329</v>
      </c>
      <c r="L1253" s="98" t="s">
        <v>206</v>
      </c>
      <c r="M1253" s="99">
        <v>63920</v>
      </c>
      <c r="N1253" s="98" t="s">
        <v>160</v>
      </c>
    </row>
    <row r="1254" spans="1:14" x14ac:dyDescent="0.25">
      <c r="A1254" s="100">
        <v>63940</v>
      </c>
      <c r="C1254" s="99">
        <v>69059</v>
      </c>
      <c r="D1254" s="98" t="s">
        <v>171</v>
      </c>
      <c r="I1254" s="99">
        <v>59071</v>
      </c>
      <c r="J1254" s="98" t="s">
        <v>203</v>
      </c>
      <c r="K1254" s="99">
        <v>68339</v>
      </c>
      <c r="L1254" s="98" t="s">
        <v>169</v>
      </c>
      <c r="M1254" s="99">
        <v>63940</v>
      </c>
      <c r="N1254" s="98" t="s">
        <v>197</v>
      </c>
    </row>
    <row r="1255" spans="1:14" x14ac:dyDescent="0.25">
      <c r="A1255" s="100">
        <v>63962</v>
      </c>
      <c r="C1255" s="99">
        <v>69124</v>
      </c>
      <c r="D1255" s="98" t="s">
        <v>159</v>
      </c>
      <c r="I1255" s="99">
        <v>59089</v>
      </c>
      <c r="J1255" s="98" t="s">
        <v>205</v>
      </c>
      <c r="K1255" s="99">
        <v>68410</v>
      </c>
      <c r="L1255" s="98" t="s">
        <v>159</v>
      </c>
      <c r="M1255" s="99">
        <v>63962</v>
      </c>
      <c r="N1255" s="98" t="s">
        <v>204</v>
      </c>
    </row>
    <row r="1256" spans="1:14" x14ac:dyDescent="0.25">
      <c r="A1256" s="100">
        <v>63965</v>
      </c>
      <c r="C1256" s="99">
        <v>69125</v>
      </c>
      <c r="D1256" s="98" t="s">
        <v>176</v>
      </c>
      <c r="I1256" s="99">
        <v>59113</v>
      </c>
      <c r="J1256" s="98" t="s">
        <v>209</v>
      </c>
      <c r="K1256" s="99">
        <v>68413</v>
      </c>
      <c r="L1256" s="98" t="s">
        <v>162</v>
      </c>
      <c r="M1256" s="99">
        <v>63965</v>
      </c>
      <c r="N1256" s="98" t="s">
        <v>207</v>
      </c>
    </row>
    <row r="1257" spans="1:14" x14ac:dyDescent="0.25">
      <c r="A1257" s="100">
        <v>63968</v>
      </c>
      <c r="C1257" s="99">
        <v>69126</v>
      </c>
      <c r="D1257" s="98" t="s">
        <v>181</v>
      </c>
      <c r="I1257" s="99">
        <v>59133</v>
      </c>
      <c r="J1257" s="98" t="s">
        <v>211</v>
      </c>
      <c r="K1257" s="99">
        <v>68417</v>
      </c>
      <c r="L1257" s="98" t="s">
        <v>174</v>
      </c>
      <c r="M1257" s="99">
        <v>63968</v>
      </c>
      <c r="N1257" s="98" t="s">
        <v>199</v>
      </c>
    </row>
    <row r="1258" spans="1:14" x14ac:dyDescent="0.25">
      <c r="A1258" s="100">
        <v>64066</v>
      </c>
      <c r="C1258" s="99">
        <v>69127</v>
      </c>
      <c r="D1258" s="98" t="s">
        <v>162</v>
      </c>
      <c r="I1258" s="99">
        <v>59172</v>
      </c>
      <c r="J1258" s="98" t="s">
        <v>161</v>
      </c>
      <c r="K1258" s="99">
        <v>68455</v>
      </c>
      <c r="L1258" s="98" t="s">
        <v>191</v>
      </c>
      <c r="M1258" s="99">
        <v>64066</v>
      </c>
      <c r="N1258" s="98" t="s">
        <v>166</v>
      </c>
    </row>
    <row r="1259" spans="1:14" x14ac:dyDescent="0.25">
      <c r="A1259" s="100">
        <v>64089</v>
      </c>
      <c r="C1259" s="99">
        <v>69148</v>
      </c>
      <c r="D1259" s="98" t="s">
        <v>185</v>
      </c>
      <c r="I1259" s="99">
        <v>59173</v>
      </c>
      <c r="J1259" s="98" t="s">
        <v>212</v>
      </c>
      <c r="K1259" s="99">
        <v>68602</v>
      </c>
      <c r="L1259" s="98" t="s">
        <v>189</v>
      </c>
      <c r="M1259" s="99">
        <v>64089</v>
      </c>
      <c r="N1259" s="98" t="s">
        <v>170</v>
      </c>
    </row>
    <row r="1260" spans="1:14" x14ac:dyDescent="0.25">
      <c r="A1260" s="100">
        <v>64104</v>
      </c>
      <c r="C1260" s="99">
        <v>69197</v>
      </c>
      <c r="D1260" s="98" t="s">
        <v>191</v>
      </c>
      <c r="I1260" s="99">
        <v>59180</v>
      </c>
      <c r="J1260" s="98" t="s">
        <v>164</v>
      </c>
      <c r="K1260" s="99">
        <v>68661</v>
      </c>
      <c r="L1260" s="98" t="s">
        <v>177</v>
      </c>
      <c r="M1260" s="99">
        <v>64104</v>
      </c>
      <c r="N1260" s="98" t="s">
        <v>175</v>
      </c>
    </row>
    <row r="1261" spans="1:14" x14ac:dyDescent="0.25">
      <c r="A1261" s="100">
        <v>64164</v>
      </c>
      <c r="C1261" s="99">
        <v>69246</v>
      </c>
      <c r="D1261" s="98" t="s">
        <v>202</v>
      </c>
      <c r="I1261" s="99">
        <v>59213</v>
      </c>
      <c r="J1261" s="98" t="s">
        <v>168</v>
      </c>
      <c r="K1261" s="99">
        <v>68662</v>
      </c>
      <c r="L1261" s="98" t="s">
        <v>182</v>
      </c>
      <c r="M1261" s="99">
        <v>64164</v>
      </c>
      <c r="N1261" s="98" t="s">
        <v>184</v>
      </c>
    </row>
    <row r="1262" spans="1:14" x14ac:dyDescent="0.25">
      <c r="A1262" s="100">
        <v>64206</v>
      </c>
      <c r="C1262" s="99">
        <v>69309</v>
      </c>
      <c r="D1262" s="98" t="s">
        <v>189</v>
      </c>
      <c r="I1262" s="99">
        <v>59225</v>
      </c>
      <c r="J1262" s="98" t="s">
        <v>173</v>
      </c>
      <c r="K1262" s="99">
        <v>68668</v>
      </c>
      <c r="L1262" s="98" t="s">
        <v>160</v>
      </c>
      <c r="M1262" s="99">
        <v>64206</v>
      </c>
      <c r="N1262" s="98" t="s">
        <v>201</v>
      </c>
    </row>
    <row r="1263" spans="1:14" x14ac:dyDescent="0.25">
      <c r="A1263" s="100">
        <v>64228</v>
      </c>
      <c r="C1263" s="99">
        <v>69392</v>
      </c>
      <c r="D1263" s="98" t="s">
        <v>177</v>
      </c>
      <c r="I1263" s="99">
        <v>59250</v>
      </c>
      <c r="J1263" s="98" t="s">
        <v>178</v>
      </c>
      <c r="K1263" s="99">
        <v>68669</v>
      </c>
      <c r="L1263" s="98" t="s">
        <v>165</v>
      </c>
      <c r="M1263" s="99">
        <v>64228</v>
      </c>
      <c r="N1263" s="98" t="s">
        <v>210</v>
      </c>
    </row>
    <row r="1264" spans="1:14" x14ac:dyDescent="0.25">
      <c r="A1264" s="100">
        <v>64234</v>
      </c>
      <c r="C1264" s="99">
        <v>69393</v>
      </c>
      <c r="D1264" s="98" t="s">
        <v>182</v>
      </c>
      <c r="I1264" s="99">
        <v>59290</v>
      </c>
      <c r="J1264" s="98" t="s">
        <v>183</v>
      </c>
      <c r="K1264" s="99">
        <v>68693</v>
      </c>
      <c r="L1264" s="98" t="s">
        <v>206</v>
      </c>
      <c r="M1264" s="99">
        <v>64234</v>
      </c>
      <c r="N1264" s="98" t="s">
        <v>188</v>
      </c>
    </row>
    <row r="1265" spans="1:14" x14ac:dyDescent="0.25">
      <c r="A1265" s="100">
        <v>64251</v>
      </c>
      <c r="C1265" s="99">
        <v>69394</v>
      </c>
      <c r="D1265" s="98" t="s">
        <v>208</v>
      </c>
      <c r="I1265" s="99">
        <v>59294</v>
      </c>
      <c r="J1265" s="98" t="s">
        <v>187</v>
      </c>
      <c r="K1265" s="99">
        <v>68704</v>
      </c>
      <c r="L1265" s="98" t="s">
        <v>169</v>
      </c>
      <c r="M1265" s="99">
        <v>64251</v>
      </c>
      <c r="N1265" s="98" t="s">
        <v>192</v>
      </c>
    </row>
    <row r="1266" spans="1:14" x14ac:dyDescent="0.25">
      <c r="A1266" s="100">
        <v>64278</v>
      </c>
      <c r="C1266" s="99">
        <v>69399</v>
      </c>
      <c r="D1266" s="98" t="s">
        <v>160</v>
      </c>
      <c r="I1266" s="99">
        <v>59295</v>
      </c>
      <c r="J1266" s="98" t="s">
        <v>190</v>
      </c>
      <c r="K1266" s="99">
        <v>68767</v>
      </c>
      <c r="L1266" s="98" t="s">
        <v>159</v>
      </c>
      <c r="M1266" s="99">
        <v>64278</v>
      </c>
      <c r="N1266" s="98" t="s">
        <v>177</v>
      </c>
    </row>
    <row r="1267" spans="1:14" x14ac:dyDescent="0.25">
      <c r="A1267" s="100">
        <v>64285</v>
      </c>
      <c r="C1267" s="99">
        <v>69400</v>
      </c>
      <c r="D1267" s="98" t="s">
        <v>214</v>
      </c>
      <c r="I1267" s="99">
        <v>59296</v>
      </c>
      <c r="J1267" s="98" t="s">
        <v>194</v>
      </c>
      <c r="K1267" s="99">
        <v>68770</v>
      </c>
      <c r="L1267" s="98" t="s">
        <v>162</v>
      </c>
      <c r="M1267" s="99">
        <v>64285</v>
      </c>
      <c r="N1267" s="98" t="s">
        <v>160</v>
      </c>
    </row>
    <row r="1268" spans="1:14" x14ac:dyDescent="0.25">
      <c r="A1268" s="100">
        <v>64304</v>
      </c>
      <c r="C1268" s="99">
        <v>69424</v>
      </c>
      <c r="D1268" s="98" t="s">
        <v>171</v>
      </c>
      <c r="I1268" s="99">
        <v>59369</v>
      </c>
      <c r="J1268" s="98" t="s">
        <v>196</v>
      </c>
      <c r="K1268" s="99">
        <v>68783</v>
      </c>
      <c r="L1268" s="98" t="s">
        <v>174</v>
      </c>
      <c r="M1268" s="99">
        <v>64304</v>
      </c>
      <c r="N1268" s="98" t="s">
        <v>197</v>
      </c>
    </row>
    <row r="1269" spans="1:14" x14ac:dyDescent="0.25">
      <c r="A1269" s="100">
        <v>64327</v>
      </c>
      <c r="C1269" s="99">
        <v>69502</v>
      </c>
      <c r="D1269" s="98" t="s">
        <v>159</v>
      </c>
      <c r="I1269" s="99">
        <v>59394</v>
      </c>
      <c r="J1269" s="98" t="s">
        <v>198</v>
      </c>
      <c r="K1269" s="99">
        <v>68784</v>
      </c>
      <c r="L1269" s="98" t="s">
        <v>179</v>
      </c>
      <c r="M1269" s="99">
        <v>64327</v>
      </c>
      <c r="N1269" s="98" t="s">
        <v>204</v>
      </c>
    </row>
    <row r="1270" spans="1:14" x14ac:dyDescent="0.25">
      <c r="A1270" s="100">
        <v>64330</v>
      </c>
      <c r="C1270" s="99">
        <v>69503</v>
      </c>
      <c r="D1270" s="98" t="s">
        <v>176</v>
      </c>
      <c r="I1270" s="99">
        <v>59432</v>
      </c>
      <c r="J1270" s="98" t="s">
        <v>200</v>
      </c>
      <c r="K1270" s="99">
        <v>68826</v>
      </c>
      <c r="L1270" s="98" t="s">
        <v>191</v>
      </c>
      <c r="M1270" s="99">
        <v>64330</v>
      </c>
      <c r="N1270" s="98" t="s">
        <v>207</v>
      </c>
    </row>
    <row r="1271" spans="1:14" x14ac:dyDescent="0.25">
      <c r="A1271" s="100">
        <v>64332</v>
      </c>
      <c r="C1271" s="99">
        <v>69504</v>
      </c>
      <c r="D1271" s="98" t="s">
        <v>181</v>
      </c>
      <c r="I1271" s="99">
        <v>59437</v>
      </c>
      <c r="J1271" s="98" t="s">
        <v>203</v>
      </c>
      <c r="K1271" s="99">
        <v>68966</v>
      </c>
      <c r="L1271" s="98" t="s">
        <v>189</v>
      </c>
      <c r="M1271" s="99">
        <v>64332</v>
      </c>
      <c r="N1271" s="98" t="s">
        <v>199</v>
      </c>
    </row>
    <row r="1272" spans="1:14" x14ac:dyDescent="0.25">
      <c r="A1272" s="100">
        <v>64430</v>
      </c>
      <c r="C1272" s="99">
        <v>69505</v>
      </c>
      <c r="D1272" s="98" t="s">
        <v>162</v>
      </c>
      <c r="I1272" s="99">
        <v>59453</v>
      </c>
      <c r="J1272" s="98" t="s">
        <v>205</v>
      </c>
      <c r="K1272" s="99">
        <v>69027</v>
      </c>
      <c r="L1272" s="98" t="s">
        <v>177</v>
      </c>
      <c r="M1272" s="99">
        <v>64430</v>
      </c>
      <c r="N1272" s="98" t="s">
        <v>166</v>
      </c>
    </row>
    <row r="1273" spans="1:14" x14ac:dyDescent="0.25">
      <c r="A1273" s="100">
        <v>64455</v>
      </c>
      <c r="C1273" s="99">
        <v>69513</v>
      </c>
      <c r="D1273" s="98" t="s">
        <v>185</v>
      </c>
      <c r="I1273" s="99">
        <v>59478</v>
      </c>
      <c r="J1273" s="98" t="s">
        <v>209</v>
      </c>
      <c r="K1273" s="99">
        <v>69028</v>
      </c>
      <c r="L1273" s="98" t="s">
        <v>182</v>
      </c>
      <c r="M1273" s="99">
        <v>64455</v>
      </c>
      <c r="N1273" s="98" t="s">
        <v>170</v>
      </c>
    </row>
    <row r="1274" spans="1:14" x14ac:dyDescent="0.25">
      <c r="A1274" s="100">
        <v>64469</v>
      </c>
      <c r="C1274" s="99">
        <v>69561</v>
      </c>
      <c r="D1274" s="98" t="s">
        <v>191</v>
      </c>
      <c r="I1274" s="99">
        <v>59498</v>
      </c>
      <c r="J1274" s="98" t="s">
        <v>211</v>
      </c>
      <c r="K1274" s="99">
        <v>69029</v>
      </c>
      <c r="L1274" s="98" t="s">
        <v>208</v>
      </c>
      <c r="M1274" s="99">
        <v>64469</v>
      </c>
      <c r="N1274" s="98" t="s">
        <v>180</v>
      </c>
    </row>
    <row r="1275" spans="1:14" x14ac:dyDescent="0.25">
      <c r="A1275" s="100">
        <v>64470</v>
      </c>
      <c r="C1275" s="99">
        <v>69617</v>
      </c>
      <c r="D1275" s="98" t="s">
        <v>202</v>
      </c>
      <c r="I1275" s="99">
        <v>59537</v>
      </c>
      <c r="J1275" s="98" t="s">
        <v>161</v>
      </c>
      <c r="K1275" s="99">
        <v>69030</v>
      </c>
      <c r="L1275" s="98" t="s">
        <v>186</v>
      </c>
      <c r="M1275" s="99">
        <v>64470</v>
      </c>
      <c r="N1275" s="98" t="s">
        <v>175</v>
      </c>
    </row>
    <row r="1276" spans="1:14" x14ac:dyDescent="0.25">
      <c r="A1276" s="100">
        <v>64535</v>
      </c>
      <c r="C1276" s="99">
        <v>69673</v>
      </c>
      <c r="D1276" s="98" t="s">
        <v>189</v>
      </c>
      <c r="I1276" s="99">
        <v>59544</v>
      </c>
      <c r="J1276" s="98" t="s">
        <v>164</v>
      </c>
      <c r="K1276" s="99">
        <v>69034</v>
      </c>
      <c r="L1276" s="98" t="s">
        <v>160</v>
      </c>
      <c r="M1276" s="99">
        <v>64535</v>
      </c>
      <c r="N1276" s="98" t="s">
        <v>184</v>
      </c>
    </row>
    <row r="1277" spans="1:14" x14ac:dyDescent="0.25">
      <c r="A1277" s="100">
        <v>64570</v>
      </c>
      <c r="C1277" s="99">
        <v>69757</v>
      </c>
      <c r="D1277" s="98" t="s">
        <v>177</v>
      </c>
      <c r="I1277" s="99">
        <v>59578</v>
      </c>
      <c r="J1277" s="98" t="s">
        <v>168</v>
      </c>
      <c r="K1277" s="99">
        <v>69035</v>
      </c>
      <c r="L1277" s="98" t="s">
        <v>165</v>
      </c>
      <c r="M1277" s="99">
        <v>64570</v>
      </c>
      <c r="N1277" s="98" t="s">
        <v>201</v>
      </c>
    </row>
    <row r="1278" spans="1:14" x14ac:dyDescent="0.25">
      <c r="A1278" s="100">
        <v>64592</v>
      </c>
      <c r="C1278" s="99">
        <v>69758</v>
      </c>
      <c r="D1278" s="98" t="s">
        <v>182</v>
      </c>
      <c r="I1278" s="99">
        <v>59579</v>
      </c>
      <c r="J1278" s="98" t="s">
        <v>212</v>
      </c>
      <c r="K1278" s="99">
        <v>69036</v>
      </c>
      <c r="L1278" s="98" t="s">
        <v>214</v>
      </c>
      <c r="M1278" s="99">
        <v>64592</v>
      </c>
      <c r="N1278" s="98" t="s">
        <v>210</v>
      </c>
    </row>
    <row r="1279" spans="1:14" x14ac:dyDescent="0.25">
      <c r="A1279" s="100">
        <v>64600</v>
      </c>
      <c r="C1279" s="99">
        <v>69764</v>
      </c>
      <c r="D1279" s="98" t="s">
        <v>160</v>
      </c>
      <c r="I1279" s="99">
        <v>59590</v>
      </c>
      <c r="J1279" s="98" t="s">
        <v>173</v>
      </c>
      <c r="K1279" s="99">
        <v>69037</v>
      </c>
      <c r="L1279" s="98" t="s">
        <v>213</v>
      </c>
      <c r="M1279" s="99">
        <v>64600</v>
      </c>
      <c r="N1279" s="98" t="s">
        <v>188</v>
      </c>
    </row>
    <row r="1280" spans="1:14" x14ac:dyDescent="0.25">
      <c r="A1280" s="100">
        <v>64615</v>
      </c>
      <c r="C1280" s="99">
        <v>69789</v>
      </c>
      <c r="D1280" s="98" t="s">
        <v>171</v>
      </c>
      <c r="I1280" s="99">
        <v>59615</v>
      </c>
      <c r="J1280" s="98" t="s">
        <v>178</v>
      </c>
      <c r="K1280" s="99">
        <v>69064</v>
      </c>
      <c r="L1280" s="98" t="s">
        <v>206</v>
      </c>
      <c r="M1280" s="99">
        <v>64615</v>
      </c>
      <c r="N1280" s="98" t="s">
        <v>192</v>
      </c>
    </row>
    <row r="1281" spans="1:14" x14ac:dyDescent="0.25">
      <c r="A1281" s="100">
        <v>64644</v>
      </c>
      <c r="C1281" s="99">
        <v>69859</v>
      </c>
      <c r="D1281" s="98" t="s">
        <v>159</v>
      </c>
      <c r="I1281" s="99">
        <v>59655</v>
      </c>
      <c r="J1281" s="98" t="s">
        <v>183</v>
      </c>
      <c r="K1281" s="99">
        <v>69070</v>
      </c>
      <c r="L1281" s="98" t="s">
        <v>169</v>
      </c>
      <c r="M1281" s="99">
        <v>64644</v>
      </c>
      <c r="N1281" s="98" t="s">
        <v>177</v>
      </c>
    </row>
    <row r="1282" spans="1:14" x14ac:dyDescent="0.25">
      <c r="A1282" s="100">
        <v>64651</v>
      </c>
      <c r="C1282" s="99">
        <v>69860</v>
      </c>
      <c r="D1282" s="98" t="s">
        <v>176</v>
      </c>
      <c r="I1282" s="99">
        <v>59656</v>
      </c>
      <c r="J1282" s="98" t="s">
        <v>212</v>
      </c>
      <c r="K1282" s="99">
        <v>69071</v>
      </c>
      <c r="L1282" s="98" t="s">
        <v>215</v>
      </c>
      <c r="M1282" s="99">
        <v>64651</v>
      </c>
      <c r="N1282" s="98" t="s">
        <v>160</v>
      </c>
    </row>
    <row r="1283" spans="1:14" x14ac:dyDescent="0.25">
      <c r="A1283" s="100">
        <v>64668</v>
      </c>
      <c r="C1283" s="99">
        <v>69861</v>
      </c>
      <c r="D1283" s="98" t="s">
        <v>181</v>
      </c>
      <c r="I1283" s="99">
        <v>59659</v>
      </c>
      <c r="J1283" s="98" t="s">
        <v>187</v>
      </c>
      <c r="K1283" s="99">
        <v>69124</v>
      </c>
      <c r="L1283" s="98" t="s">
        <v>159</v>
      </c>
      <c r="M1283" s="99">
        <v>64668</v>
      </c>
      <c r="N1283" s="98" t="s">
        <v>197</v>
      </c>
    </row>
    <row r="1284" spans="1:14" x14ac:dyDescent="0.25">
      <c r="A1284" s="100">
        <v>64693</v>
      </c>
      <c r="C1284" s="99">
        <v>69862</v>
      </c>
      <c r="D1284" s="98" t="s">
        <v>162</v>
      </c>
      <c r="I1284" s="99">
        <v>59660</v>
      </c>
      <c r="J1284" s="98" t="s">
        <v>190</v>
      </c>
      <c r="K1284" s="99">
        <v>69127</v>
      </c>
      <c r="L1284" s="98" t="s">
        <v>162</v>
      </c>
      <c r="M1284" s="99">
        <v>64693</v>
      </c>
      <c r="N1284" s="98" t="s">
        <v>204</v>
      </c>
    </row>
    <row r="1285" spans="1:14" x14ac:dyDescent="0.25">
      <c r="A1285" s="100">
        <v>64696</v>
      </c>
      <c r="C1285" s="99">
        <v>69878</v>
      </c>
      <c r="D1285" s="98" t="s">
        <v>185</v>
      </c>
      <c r="I1285" s="99">
        <v>59661</v>
      </c>
      <c r="J1285" s="98" t="s">
        <v>194</v>
      </c>
      <c r="K1285" s="99">
        <v>69148</v>
      </c>
      <c r="L1285" s="98" t="s">
        <v>174</v>
      </c>
      <c r="M1285" s="99">
        <v>64696</v>
      </c>
      <c r="N1285" s="98" t="s">
        <v>217</v>
      </c>
    </row>
    <row r="1286" spans="1:14" x14ac:dyDescent="0.25">
      <c r="A1286" s="100">
        <v>64801</v>
      </c>
      <c r="C1286" s="99">
        <v>69925</v>
      </c>
      <c r="D1286" s="98" t="s">
        <v>191</v>
      </c>
      <c r="I1286" s="99">
        <v>59733</v>
      </c>
      <c r="J1286" s="98" t="s">
        <v>196</v>
      </c>
      <c r="K1286" s="99">
        <v>69190</v>
      </c>
      <c r="L1286" s="98" t="s">
        <v>191</v>
      </c>
      <c r="M1286" s="99">
        <v>64801</v>
      </c>
      <c r="N1286" s="98" t="s">
        <v>166</v>
      </c>
    </row>
    <row r="1287" spans="1:14" x14ac:dyDescent="0.25">
      <c r="A1287" s="100">
        <v>64819</v>
      </c>
      <c r="C1287" s="99">
        <v>69981</v>
      </c>
      <c r="D1287" s="98" t="s">
        <v>202</v>
      </c>
      <c r="I1287" s="99">
        <v>59759</v>
      </c>
      <c r="J1287" s="98" t="s">
        <v>198</v>
      </c>
      <c r="K1287" s="99">
        <v>69330</v>
      </c>
      <c r="L1287" s="98" t="s">
        <v>189</v>
      </c>
      <c r="M1287" s="99">
        <v>64819</v>
      </c>
      <c r="N1287" s="98" t="s">
        <v>216</v>
      </c>
    </row>
    <row r="1288" spans="1:14" x14ac:dyDescent="0.25">
      <c r="A1288" s="100">
        <v>64820</v>
      </c>
      <c r="C1288" s="99">
        <v>70037</v>
      </c>
      <c r="D1288" s="98" t="s">
        <v>189</v>
      </c>
      <c r="I1288" s="99">
        <v>59796</v>
      </c>
      <c r="J1288" s="98" t="s">
        <v>200</v>
      </c>
      <c r="K1288" s="99">
        <v>69392</v>
      </c>
      <c r="L1288" s="98" t="s">
        <v>177</v>
      </c>
      <c r="M1288" s="99">
        <v>64820</v>
      </c>
      <c r="N1288" s="98" t="s">
        <v>170</v>
      </c>
    </row>
    <row r="1289" spans="1:14" x14ac:dyDescent="0.25">
      <c r="A1289" s="100">
        <v>64835</v>
      </c>
      <c r="C1289" s="99">
        <v>70122</v>
      </c>
      <c r="D1289" s="98" t="s">
        <v>177</v>
      </c>
      <c r="I1289" s="99">
        <v>59802</v>
      </c>
      <c r="J1289" s="98" t="s">
        <v>203</v>
      </c>
      <c r="K1289" s="99">
        <v>69393</v>
      </c>
      <c r="L1289" s="98" t="s">
        <v>182</v>
      </c>
      <c r="M1289" s="99">
        <v>64835</v>
      </c>
      <c r="N1289" s="98" t="s">
        <v>175</v>
      </c>
    </row>
    <row r="1290" spans="1:14" x14ac:dyDescent="0.25">
      <c r="A1290" s="100">
        <v>64836</v>
      </c>
      <c r="C1290" s="99">
        <v>70123</v>
      </c>
      <c r="D1290" s="98" t="s">
        <v>182</v>
      </c>
      <c r="I1290" s="99">
        <v>59803</v>
      </c>
      <c r="J1290" s="98" t="s">
        <v>212</v>
      </c>
      <c r="K1290" s="99">
        <v>69394</v>
      </c>
      <c r="L1290" s="98" t="s">
        <v>208</v>
      </c>
      <c r="M1290" s="99">
        <v>64836</v>
      </c>
      <c r="N1290" s="98" t="s">
        <v>180</v>
      </c>
    </row>
    <row r="1291" spans="1:14" x14ac:dyDescent="0.25">
      <c r="A1291" s="100">
        <v>64899</v>
      </c>
      <c r="C1291" s="99">
        <v>70129</v>
      </c>
      <c r="D1291" s="98" t="s">
        <v>160</v>
      </c>
      <c r="I1291" s="99">
        <v>59817</v>
      </c>
      <c r="J1291" s="98" t="s">
        <v>205</v>
      </c>
      <c r="K1291" s="99">
        <v>69399</v>
      </c>
      <c r="L1291" s="98" t="s">
        <v>160</v>
      </c>
      <c r="M1291" s="99">
        <v>64899</v>
      </c>
      <c r="N1291" s="98" t="s">
        <v>184</v>
      </c>
    </row>
    <row r="1292" spans="1:14" x14ac:dyDescent="0.25">
      <c r="A1292" s="100">
        <v>64934</v>
      </c>
      <c r="C1292" s="99">
        <v>70156</v>
      </c>
      <c r="D1292" s="98" t="s">
        <v>171</v>
      </c>
      <c r="I1292" s="99">
        <v>59843</v>
      </c>
      <c r="J1292" s="98" t="s">
        <v>209</v>
      </c>
      <c r="K1292" s="99">
        <v>69400</v>
      </c>
      <c r="L1292" s="98" t="s">
        <v>165</v>
      </c>
      <c r="M1292" s="99">
        <v>64934</v>
      </c>
      <c r="N1292" s="98" t="s">
        <v>201</v>
      </c>
    </row>
    <row r="1293" spans="1:14" x14ac:dyDescent="0.25">
      <c r="A1293" s="100">
        <v>64956</v>
      </c>
      <c r="C1293" s="99">
        <v>70216</v>
      </c>
      <c r="D1293" s="98" t="s">
        <v>159</v>
      </c>
      <c r="I1293" s="99">
        <v>59863</v>
      </c>
      <c r="J1293" s="98" t="s">
        <v>211</v>
      </c>
      <c r="K1293" s="99">
        <v>69401</v>
      </c>
      <c r="L1293" s="98" t="s">
        <v>214</v>
      </c>
      <c r="M1293" s="99">
        <v>64956</v>
      </c>
      <c r="N1293" s="98" t="s">
        <v>210</v>
      </c>
    </row>
    <row r="1294" spans="1:14" x14ac:dyDescent="0.25">
      <c r="A1294" s="100">
        <v>64965</v>
      </c>
      <c r="C1294" s="99">
        <v>70217</v>
      </c>
      <c r="D1294" s="98" t="s">
        <v>176</v>
      </c>
      <c r="I1294" s="99">
        <v>59902</v>
      </c>
      <c r="J1294" s="98" t="s">
        <v>161</v>
      </c>
      <c r="K1294" s="99">
        <v>69428</v>
      </c>
      <c r="L1294" s="98" t="s">
        <v>206</v>
      </c>
      <c r="M1294" s="99">
        <v>64965</v>
      </c>
      <c r="N1294" s="98" t="s">
        <v>188</v>
      </c>
    </row>
    <row r="1295" spans="1:14" x14ac:dyDescent="0.25">
      <c r="A1295" s="100">
        <v>64979</v>
      </c>
      <c r="C1295" s="99">
        <v>70218</v>
      </c>
      <c r="D1295" s="98" t="s">
        <v>181</v>
      </c>
      <c r="I1295" s="99">
        <v>59915</v>
      </c>
      <c r="J1295" s="98" t="s">
        <v>164</v>
      </c>
      <c r="K1295" s="99">
        <v>69435</v>
      </c>
      <c r="L1295" s="98" t="s">
        <v>169</v>
      </c>
      <c r="M1295" s="99">
        <v>64979</v>
      </c>
      <c r="N1295" s="98" t="s">
        <v>192</v>
      </c>
    </row>
    <row r="1296" spans="1:14" x14ac:dyDescent="0.25">
      <c r="A1296" s="100">
        <v>65008</v>
      </c>
      <c r="C1296" s="99">
        <v>70219</v>
      </c>
      <c r="D1296" s="98" t="s">
        <v>162</v>
      </c>
      <c r="I1296" s="99">
        <v>59943</v>
      </c>
      <c r="J1296" s="98" t="s">
        <v>168</v>
      </c>
      <c r="K1296" s="99">
        <v>69502</v>
      </c>
      <c r="L1296" s="98" t="s">
        <v>159</v>
      </c>
      <c r="M1296" s="99">
        <v>65008</v>
      </c>
      <c r="N1296" s="98" t="s">
        <v>208</v>
      </c>
    </row>
    <row r="1297" spans="1:14" x14ac:dyDescent="0.25">
      <c r="A1297" s="100">
        <v>65009</v>
      </c>
      <c r="C1297" s="99">
        <v>70244</v>
      </c>
      <c r="D1297" s="98" t="s">
        <v>185</v>
      </c>
      <c r="I1297" s="99">
        <v>59955</v>
      </c>
      <c r="J1297" s="98" t="s">
        <v>173</v>
      </c>
      <c r="K1297" s="99">
        <v>69505</v>
      </c>
      <c r="L1297" s="98" t="s">
        <v>162</v>
      </c>
      <c r="M1297" s="99">
        <v>65009</v>
      </c>
      <c r="N1297" s="98" t="s">
        <v>177</v>
      </c>
    </row>
    <row r="1298" spans="1:14" x14ac:dyDescent="0.25">
      <c r="A1298" s="100">
        <v>65015</v>
      </c>
      <c r="C1298" s="99">
        <v>70289</v>
      </c>
      <c r="D1298" s="98" t="s">
        <v>191</v>
      </c>
      <c r="I1298" s="99">
        <v>59981</v>
      </c>
      <c r="J1298" s="98" t="s">
        <v>178</v>
      </c>
      <c r="K1298" s="99">
        <v>69513</v>
      </c>
      <c r="L1298" s="98" t="s">
        <v>174</v>
      </c>
      <c r="M1298" s="99">
        <v>65015</v>
      </c>
      <c r="N1298" s="98" t="s">
        <v>214</v>
      </c>
    </row>
    <row r="1299" spans="1:14" x14ac:dyDescent="0.25">
      <c r="A1299" s="100">
        <v>65016</v>
      </c>
      <c r="C1299" s="99">
        <v>70345</v>
      </c>
      <c r="D1299" s="98" t="s">
        <v>202</v>
      </c>
      <c r="I1299" s="99">
        <v>60021</v>
      </c>
      <c r="J1299" s="98" t="s">
        <v>183</v>
      </c>
      <c r="K1299" s="99">
        <v>69554</v>
      </c>
      <c r="L1299" s="98" t="s">
        <v>191</v>
      </c>
      <c r="M1299" s="99">
        <v>65016</v>
      </c>
      <c r="N1299" s="98" t="s">
        <v>160</v>
      </c>
    </row>
    <row r="1300" spans="1:14" x14ac:dyDescent="0.25">
      <c r="A1300" s="100">
        <v>65032</v>
      </c>
      <c r="C1300" s="99">
        <v>70408</v>
      </c>
      <c r="D1300" s="98" t="s">
        <v>189</v>
      </c>
      <c r="I1300" s="99">
        <v>60025</v>
      </c>
      <c r="J1300" s="98" t="s">
        <v>187</v>
      </c>
      <c r="K1300" s="99">
        <v>69694</v>
      </c>
      <c r="L1300" s="98" t="s">
        <v>189</v>
      </c>
      <c r="M1300" s="99">
        <v>65032</v>
      </c>
      <c r="N1300" s="98" t="s">
        <v>197</v>
      </c>
    </row>
    <row r="1301" spans="1:14" x14ac:dyDescent="0.25">
      <c r="A1301" s="100">
        <v>65057</v>
      </c>
      <c r="C1301" s="99">
        <v>70488</v>
      </c>
      <c r="D1301" s="98" t="s">
        <v>177</v>
      </c>
      <c r="I1301" s="99">
        <v>60026</v>
      </c>
      <c r="J1301" s="98" t="s">
        <v>190</v>
      </c>
      <c r="K1301" s="99">
        <v>69757</v>
      </c>
      <c r="L1301" s="98" t="s">
        <v>177</v>
      </c>
      <c r="M1301" s="99">
        <v>65057</v>
      </c>
      <c r="N1301" s="98" t="s">
        <v>219</v>
      </c>
    </row>
    <row r="1302" spans="1:14" x14ac:dyDescent="0.25">
      <c r="A1302" s="100">
        <v>65058</v>
      </c>
      <c r="C1302" s="99">
        <v>70489</v>
      </c>
      <c r="D1302" s="98" t="s">
        <v>182</v>
      </c>
      <c r="I1302" s="99">
        <v>60027</v>
      </c>
      <c r="J1302" s="98" t="s">
        <v>194</v>
      </c>
      <c r="K1302" s="99">
        <v>69758</v>
      </c>
      <c r="L1302" s="98" t="s">
        <v>182</v>
      </c>
      <c r="M1302" s="99">
        <v>65058</v>
      </c>
      <c r="N1302" s="98" t="s">
        <v>204</v>
      </c>
    </row>
    <row r="1303" spans="1:14" x14ac:dyDescent="0.25">
      <c r="A1303" s="100">
        <v>65061</v>
      </c>
      <c r="C1303" s="99">
        <v>70495</v>
      </c>
      <c r="D1303" s="98" t="s">
        <v>160</v>
      </c>
      <c r="I1303" s="99">
        <v>60028</v>
      </c>
      <c r="J1303" s="98" t="s">
        <v>212</v>
      </c>
      <c r="K1303" s="99">
        <v>69764</v>
      </c>
      <c r="L1303" s="98" t="s">
        <v>160</v>
      </c>
      <c r="M1303" s="99">
        <v>65061</v>
      </c>
      <c r="N1303" s="98" t="s">
        <v>207</v>
      </c>
    </row>
    <row r="1304" spans="1:14" x14ac:dyDescent="0.25">
      <c r="A1304" s="100">
        <v>65067</v>
      </c>
      <c r="C1304" s="99">
        <v>70520</v>
      </c>
      <c r="D1304" s="98" t="s">
        <v>171</v>
      </c>
      <c r="I1304" s="99">
        <v>60104</v>
      </c>
      <c r="J1304" s="98" t="s">
        <v>196</v>
      </c>
      <c r="K1304" s="99">
        <v>69765</v>
      </c>
      <c r="L1304" s="98" t="s">
        <v>165</v>
      </c>
      <c r="M1304" s="99">
        <v>65067</v>
      </c>
      <c r="N1304" s="98" t="s">
        <v>199</v>
      </c>
    </row>
    <row r="1305" spans="1:14" x14ac:dyDescent="0.25">
      <c r="A1305" s="100">
        <v>65165</v>
      </c>
      <c r="C1305" s="99">
        <v>70594</v>
      </c>
      <c r="D1305" s="98" t="s">
        <v>159</v>
      </c>
      <c r="I1305" s="99">
        <v>60125</v>
      </c>
      <c r="J1305" s="98" t="s">
        <v>198</v>
      </c>
      <c r="K1305" s="99">
        <v>69792</v>
      </c>
      <c r="L1305" s="98" t="s">
        <v>206</v>
      </c>
      <c r="M1305" s="99">
        <v>65165</v>
      </c>
      <c r="N1305" s="98" t="s">
        <v>166</v>
      </c>
    </row>
    <row r="1306" spans="1:14" x14ac:dyDescent="0.25">
      <c r="A1306" s="100">
        <v>65185</v>
      </c>
      <c r="C1306" s="99">
        <v>70595</v>
      </c>
      <c r="D1306" s="98" t="s">
        <v>176</v>
      </c>
      <c r="I1306" s="99">
        <v>60160</v>
      </c>
      <c r="J1306" s="98" t="s">
        <v>200</v>
      </c>
      <c r="K1306" s="99">
        <v>69800</v>
      </c>
      <c r="L1306" s="98" t="s">
        <v>169</v>
      </c>
      <c r="M1306" s="99">
        <v>65185</v>
      </c>
      <c r="N1306" s="98" t="s">
        <v>170</v>
      </c>
    </row>
    <row r="1307" spans="1:14" x14ac:dyDescent="0.25">
      <c r="A1307" s="100">
        <v>65186</v>
      </c>
      <c r="C1307" s="99">
        <v>70596</v>
      </c>
      <c r="D1307" s="98" t="s">
        <v>181</v>
      </c>
      <c r="I1307" s="99">
        <v>60167</v>
      </c>
      <c r="J1307" s="98" t="s">
        <v>203</v>
      </c>
      <c r="K1307" s="99">
        <v>69859</v>
      </c>
      <c r="L1307" s="98" t="s">
        <v>159</v>
      </c>
      <c r="M1307" s="99">
        <v>65186</v>
      </c>
      <c r="N1307" s="98" t="s">
        <v>216</v>
      </c>
    </row>
    <row r="1308" spans="1:14" x14ac:dyDescent="0.25">
      <c r="A1308" s="100">
        <v>65200</v>
      </c>
      <c r="C1308" s="99">
        <v>70597</v>
      </c>
      <c r="D1308" s="98" t="s">
        <v>162</v>
      </c>
      <c r="I1308" s="99">
        <v>60188</v>
      </c>
      <c r="J1308" s="98" t="s">
        <v>205</v>
      </c>
      <c r="K1308" s="99">
        <v>69862</v>
      </c>
      <c r="L1308" s="98" t="s">
        <v>162</v>
      </c>
      <c r="M1308" s="99">
        <v>65200</v>
      </c>
      <c r="N1308" s="98" t="s">
        <v>175</v>
      </c>
    </row>
    <row r="1309" spans="1:14" x14ac:dyDescent="0.25">
      <c r="A1309" s="100">
        <v>65263</v>
      </c>
      <c r="C1309" s="99">
        <v>70609</v>
      </c>
      <c r="D1309" s="98" t="s">
        <v>185</v>
      </c>
      <c r="I1309" s="99">
        <v>60209</v>
      </c>
      <c r="J1309" s="98" t="s">
        <v>209</v>
      </c>
      <c r="K1309" s="99">
        <v>69878</v>
      </c>
      <c r="L1309" s="98" t="s">
        <v>174</v>
      </c>
      <c r="M1309" s="99">
        <v>65263</v>
      </c>
      <c r="N1309" s="98" t="s">
        <v>184</v>
      </c>
    </row>
    <row r="1310" spans="1:14" x14ac:dyDescent="0.25">
      <c r="A1310" s="100">
        <v>65298</v>
      </c>
      <c r="C1310" s="99">
        <v>70653</v>
      </c>
      <c r="D1310" s="98" t="s">
        <v>191</v>
      </c>
      <c r="I1310" s="99">
        <v>60229</v>
      </c>
      <c r="J1310" s="98" t="s">
        <v>211</v>
      </c>
      <c r="K1310" s="99">
        <v>69918</v>
      </c>
      <c r="L1310" s="98" t="s">
        <v>191</v>
      </c>
      <c r="M1310" s="99">
        <v>65298</v>
      </c>
      <c r="N1310" s="98" t="s">
        <v>201</v>
      </c>
    </row>
    <row r="1311" spans="1:14" x14ac:dyDescent="0.25">
      <c r="A1311" s="100">
        <v>65327</v>
      </c>
      <c r="C1311" s="99">
        <v>70709</v>
      </c>
      <c r="D1311" s="98" t="s">
        <v>202</v>
      </c>
      <c r="I1311" s="99">
        <v>60230</v>
      </c>
      <c r="J1311" s="98" t="s">
        <v>212</v>
      </c>
      <c r="K1311" s="99">
        <v>70058</v>
      </c>
      <c r="L1311" s="98" t="s">
        <v>189</v>
      </c>
      <c r="M1311" s="99">
        <v>65327</v>
      </c>
      <c r="N1311" s="98" t="s">
        <v>210</v>
      </c>
    </row>
    <row r="1312" spans="1:14" x14ac:dyDescent="0.25">
      <c r="A1312" s="100">
        <v>65330</v>
      </c>
      <c r="C1312" s="99">
        <v>70772</v>
      </c>
      <c r="D1312" s="98" t="s">
        <v>189</v>
      </c>
      <c r="I1312" s="99">
        <v>60268</v>
      </c>
      <c r="J1312" s="98" t="s">
        <v>161</v>
      </c>
      <c r="K1312" s="99">
        <v>70122</v>
      </c>
      <c r="L1312" s="98" t="s">
        <v>177</v>
      </c>
      <c r="M1312" s="99">
        <v>65330</v>
      </c>
      <c r="N1312" s="98" t="s">
        <v>188</v>
      </c>
    </row>
    <row r="1313" spans="1:14" x14ac:dyDescent="0.25">
      <c r="A1313" s="100">
        <v>65343</v>
      </c>
      <c r="C1313" s="99">
        <v>70853</v>
      </c>
      <c r="D1313" s="98" t="s">
        <v>177</v>
      </c>
      <c r="I1313" s="99">
        <v>60279</v>
      </c>
      <c r="J1313" s="98" t="s">
        <v>164</v>
      </c>
      <c r="K1313" s="99">
        <v>70123</v>
      </c>
      <c r="L1313" s="98" t="s">
        <v>182</v>
      </c>
      <c r="M1313" s="99">
        <v>65343</v>
      </c>
      <c r="N1313" s="98" t="s">
        <v>192</v>
      </c>
    </row>
    <row r="1314" spans="1:14" x14ac:dyDescent="0.25">
      <c r="A1314" s="100">
        <v>65374</v>
      </c>
      <c r="C1314" s="99">
        <v>70854</v>
      </c>
      <c r="D1314" s="98" t="s">
        <v>182</v>
      </c>
      <c r="I1314" s="99">
        <v>60309</v>
      </c>
      <c r="J1314" s="98" t="s">
        <v>168</v>
      </c>
      <c r="K1314" s="99">
        <v>70129</v>
      </c>
      <c r="L1314" s="98" t="s">
        <v>160</v>
      </c>
      <c r="M1314" s="99">
        <v>65374</v>
      </c>
      <c r="N1314" s="98" t="s">
        <v>177</v>
      </c>
    </row>
    <row r="1315" spans="1:14" x14ac:dyDescent="0.25">
      <c r="A1315" s="100">
        <v>65375</v>
      </c>
      <c r="C1315" s="99">
        <v>70856</v>
      </c>
      <c r="D1315" s="98" t="s">
        <v>186</v>
      </c>
      <c r="I1315" s="99">
        <v>60321</v>
      </c>
      <c r="J1315" s="98" t="s">
        <v>173</v>
      </c>
      <c r="K1315" s="99">
        <v>70130</v>
      </c>
      <c r="L1315" s="98" t="s">
        <v>165</v>
      </c>
      <c r="M1315" s="99">
        <v>65375</v>
      </c>
      <c r="N1315" s="98" t="s">
        <v>208</v>
      </c>
    </row>
    <row r="1316" spans="1:14" x14ac:dyDescent="0.25">
      <c r="A1316" s="100">
        <v>65381</v>
      </c>
      <c r="C1316" s="99">
        <v>70860</v>
      </c>
      <c r="D1316" s="98" t="s">
        <v>160</v>
      </c>
      <c r="I1316" s="99">
        <v>60346</v>
      </c>
      <c r="J1316" s="98" t="s">
        <v>178</v>
      </c>
      <c r="K1316" s="99">
        <v>70156</v>
      </c>
      <c r="L1316" s="98" t="s">
        <v>206</v>
      </c>
      <c r="M1316" s="99">
        <v>65381</v>
      </c>
      <c r="N1316" s="98" t="s">
        <v>160</v>
      </c>
    </row>
    <row r="1317" spans="1:14" x14ac:dyDescent="0.25">
      <c r="A1317" s="100">
        <v>65382</v>
      </c>
      <c r="C1317" s="99">
        <v>70885</v>
      </c>
      <c r="D1317" s="98" t="s">
        <v>171</v>
      </c>
      <c r="I1317" s="99">
        <v>60386</v>
      </c>
      <c r="J1317" s="98" t="s">
        <v>183</v>
      </c>
      <c r="K1317" s="99">
        <v>70165</v>
      </c>
      <c r="L1317" s="98" t="s">
        <v>169</v>
      </c>
      <c r="M1317" s="99">
        <v>65382</v>
      </c>
      <c r="N1317" s="98" t="s">
        <v>214</v>
      </c>
    </row>
    <row r="1318" spans="1:14" x14ac:dyDescent="0.25">
      <c r="A1318" s="100">
        <v>65396</v>
      </c>
      <c r="C1318" s="99">
        <v>70951</v>
      </c>
      <c r="D1318" s="98" t="s">
        <v>159</v>
      </c>
      <c r="I1318" s="99">
        <v>60390</v>
      </c>
      <c r="J1318" s="98" t="s">
        <v>187</v>
      </c>
      <c r="K1318" s="99">
        <v>70216</v>
      </c>
      <c r="L1318" s="98" t="s">
        <v>159</v>
      </c>
      <c r="M1318" s="99">
        <v>65396</v>
      </c>
      <c r="N1318" s="98" t="s">
        <v>197</v>
      </c>
    </row>
    <row r="1319" spans="1:14" x14ac:dyDescent="0.25">
      <c r="A1319" s="100">
        <v>65423</v>
      </c>
      <c r="C1319" s="99">
        <v>70952</v>
      </c>
      <c r="D1319" s="98" t="s">
        <v>176</v>
      </c>
      <c r="I1319" s="99">
        <v>60391</v>
      </c>
      <c r="J1319" s="98" t="s">
        <v>190</v>
      </c>
      <c r="K1319" s="99">
        <v>70219</v>
      </c>
      <c r="L1319" s="98" t="s">
        <v>162</v>
      </c>
      <c r="M1319" s="99">
        <v>65423</v>
      </c>
      <c r="N1319" s="98" t="s">
        <v>204</v>
      </c>
    </row>
    <row r="1320" spans="1:14" x14ac:dyDescent="0.25">
      <c r="A1320" s="100">
        <v>65424</v>
      </c>
      <c r="C1320" s="99">
        <v>70953</v>
      </c>
      <c r="D1320" s="98" t="s">
        <v>181</v>
      </c>
      <c r="I1320" s="99">
        <v>60392</v>
      </c>
      <c r="J1320" s="98" t="s">
        <v>194</v>
      </c>
      <c r="K1320" s="99">
        <v>70244</v>
      </c>
      <c r="L1320" s="98" t="s">
        <v>174</v>
      </c>
      <c r="M1320" s="99">
        <v>65424</v>
      </c>
      <c r="N1320" s="98" t="s">
        <v>219</v>
      </c>
    </row>
    <row r="1321" spans="1:14" x14ac:dyDescent="0.25">
      <c r="A1321" s="100">
        <v>65426</v>
      </c>
      <c r="C1321" s="99">
        <v>70954</v>
      </c>
      <c r="D1321" s="98" t="s">
        <v>162</v>
      </c>
      <c r="I1321" s="99">
        <v>60393</v>
      </c>
      <c r="J1321" s="98" t="s">
        <v>212</v>
      </c>
      <c r="K1321" s="99">
        <v>70282</v>
      </c>
      <c r="L1321" s="98" t="s">
        <v>191</v>
      </c>
      <c r="M1321" s="99">
        <v>65426</v>
      </c>
      <c r="N1321" s="98" t="s">
        <v>207</v>
      </c>
    </row>
    <row r="1322" spans="1:14" x14ac:dyDescent="0.25">
      <c r="A1322" s="100">
        <v>65431</v>
      </c>
      <c r="C1322" s="99">
        <v>70974</v>
      </c>
      <c r="D1322" s="98" t="s">
        <v>185</v>
      </c>
      <c r="I1322" s="99">
        <v>60468</v>
      </c>
      <c r="J1322" s="98" t="s">
        <v>196</v>
      </c>
      <c r="K1322" s="99">
        <v>70429</v>
      </c>
      <c r="L1322" s="98" t="s">
        <v>189</v>
      </c>
      <c r="M1322" s="99">
        <v>65431</v>
      </c>
      <c r="N1322" s="98" t="s">
        <v>199</v>
      </c>
    </row>
    <row r="1323" spans="1:14" x14ac:dyDescent="0.25">
      <c r="A1323" s="100">
        <v>65529</v>
      </c>
      <c r="C1323" s="99">
        <v>71024</v>
      </c>
      <c r="D1323" s="98" t="s">
        <v>191</v>
      </c>
      <c r="I1323" s="99">
        <v>60490</v>
      </c>
      <c r="J1323" s="98" t="s">
        <v>198</v>
      </c>
      <c r="K1323" s="99">
        <v>70488</v>
      </c>
      <c r="L1323" s="98" t="s">
        <v>177</v>
      </c>
      <c r="M1323" s="99">
        <v>65529</v>
      </c>
      <c r="N1323" s="98" t="s">
        <v>166</v>
      </c>
    </row>
    <row r="1324" spans="1:14" x14ac:dyDescent="0.25">
      <c r="A1324" s="100">
        <v>65550</v>
      </c>
      <c r="C1324" s="99">
        <v>71073</v>
      </c>
      <c r="D1324" s="98" t="s">
        <v>202</v>
      </c>
      <c r="I1324" s="99">
        <v>60531</v>
      </c>
      <c r="J1324" s="98" t="s">
        <v>200</v>
      </c>
      <c r="K1324" s="99">
        <v>70489</v>
      </c>
      <c r="L1324" s="98" t="s">
        <v>182</v>
      </c>
      <c r="M1324" s="99">
        <v>65550</v>
      </c>
      <c r="N1324" s="98" t="s">
        <v>170</v>
      </c>
    </row>
    <row r="1325" spans="1:14" x14ac:dyDescent="0.25">
      <c r="A1325" s="100">
        <v>65565</v>
      </c>
      <c r="C1325" s="99">
        <v>71136</v>
      </c>
      <c r="D1325" s="98" t="s">
        <v>189</v>
      </c>
      <c r="I1325" s="99">
        <v>60532</v>
      </c>
      <c r="J1325" s="98" t="s">
        <v>203</v>
      </c>
      <c r="K1325" s="99">
        <v>70495</v>
      </c>
      <c r="L1325" s="98" t="s">
        <v>160</v>
      </c>
      <c r="M1325" s="99">
        <v>65565</v>
      </c>
      <c r="N1325" s="98" t="s">
        <v>175</v>
      </c>
    </row>
    <row r="1326" spans="1:14" x14ac:dyDescent="0.25">
      <c r="A1326" s="100">
        <v>65627</v>
      </c>
      <c r="C1326" s="99">
        <v>71218</v>
      </c>
      <c r="D1326" s="98" t="s">
        <v>177</v>
      </c>
      <c r="I1326" s="99">
        <v>60552</v>
      </c>
      <c r="J1326" s="98" t="s">
        <v>205</v>
      </c>
      <c r="K1326" s="99">
        <v>70496</v>
      </c>
      <c r="L1326" s="98" t="s">
        <v>165</v>
      </c>
      <c r="M1326" s="99">
        <v>65627</v>
      </c>
      <c r="N1326" s="98" t="s">
        <v>184</v>
      </c>
    </row>
    <row r="1327" spans="1:14" x14ac:dyDescent="0.25">
      <c r="A1327" s="100">
        <v>65662</v>
      </c>
      <c r="C1327" s="99">
        <v>71219</v>
      </c>
      <c r="D1327" s="98" t="s">
        <v>182</v>
      </c>
      <c r="I1327" s="99">
        <v>60574</v>
      </c>
      <c r="J1327" s="98" t="s">
        <v>209</v>
      </c>
      <c r="K1327" s="99">
        <v>70520</v>
      </c>
      <c r="L1327" s="98" t="s">
        <v>206</v>
      </c>
      <c r="M1327" s="99">
        <v>65662</v>
      </c>
      <c r="N1327" s="98" t="s">
        <v>201</v>
      </c>
    </row>
    <row r="1328" spans="1:14" x14ac:dyDescent="0.25">
      <c r="A1328" s="100">
        <v>65691</v>
      </c>
      <c r="C1328" s="99">
        <v>71220</v>
      </c>
      <c r="D1328" s="98" t="s">
        <v>208</v>
      </c>
      <c r="I1328" s="99">
        <v>60594</v>
      </c>
      <c r="J1328" s="98" t="s">
        <v>211</v>
      </c>
      <c r="K1328" s="99">
        <v>70531</v>
      </c>
      <c r="L1328" s="98" t="s">
        <v>169</v>
      </c>
      <c r="M1328" s="99">
        <v>65691</v>
      </c>
      <c r="N1328" s="98" t="s">
        <v>210</v>
      </c>
    </row>
    <row r="1329" spans="1:14" x14ac:dyDescent="0.25">
      <c r="A1329" s="100">
        <v>65694</v>
      </c>
      <c r="C1329" s="99">
        <v>71221</v>
      </c>
      <c r="D1329" s="98" t="s">
        <v>186</v>
      </c>
      <c r="I1329" s="99">
        <v>60633</v>
      </c>
      <c r="J1329" s="98" t="s">
        <v>161</v>
      </c>
      <c r="K1329" s="99">
        <v>70594</v>
      </c>
      <c r="L1329" s="98" t="s">
        <v>159</v>
      </c>
      <c r="M1329" s="99">
        <v>65694</v>
      </c>
      <c r="N1329" s="98" t="s">
        <v>220</v>
      </c>
    </row>
    <row r="1330" spans="1:14" x14ac:dyDescent="0.25">
      <c r="A1330" s="100">
        <v>65695</v>
      </c>
      <c r="C1330" s="99">
        <v>71225</v>
      </c>
      <c r="D1330" s="98" t="s">
        <v>160</v>
      </c>
      <c r="I1330" s="99">
        <v>60643</v>
      </c>
      <c r="J1330" s="98" t="s">
        <v>164</v>
      </c>
      <c r="K1330" s="99">
        <v>70597</v>
      </c>
      <c r="L1330" s="98" t="s">
        <v>162</v>
      </c>
      <c r="M1330" s="99">
        <v>65695</v>
      </c>
      <c r="N1330" s="98" t="s">
        <v>188</v>
      </c>
    </row>
    <row r="1331" spans="1:14" x14ac:dyDescent="0.25">
      <c r="A1331" s="100">
        <v>65707</v>
      </c>
      <c r="C1331" s="99">
        <v>71227</v>
      </c>
      <c r="D1331" s="98" t="s">
        <v>214</v>
      </c>
      <c r="I1331" s="99">
        <v>60674</v>
      </c>
      <c r="J1331" s="98" t="s">
        <v>168</v>
      </c>
      <c r="K1331" s="99">
        <v>70609</v>
      </c>
      <c r="L1331" s="98" t="s">
        <v>174</v>
      </c>
      <c r="M1331" s="99">
        <v>65707</v>
      </c>
      <c r="N1331" s="98" t="s">
        <v>192</v>
      </c>
    </row>
    <row r="1332" spans="1:14" x14ac:dyDescent="0.25">
      <c r="A1332" s="100">
        <v>65739</v>
      </c>
      <c r="C1332" s="99">
        <v>71250</v>
      </c>
      <c r="D1332" s="98" t="s">
        <v>171</v>
      </c>
      <c r="I1332" s="99">
        <v>60686</v>
      </c>
      <c r="J1332" s="98" t="s">
        <v>173</v>
      </c>
      <c r="K1332" s="99">
        <v>70611</v>
      </c>
      <c r="L1332" s="98" t="s">
        <v>179</v>
      </c>
      <c r="M1332" s="99">
        <v>65739</v>
      </c>
      <c r="N1332" s="98" t="s">
        <v>177</v>
      </c>
    </row>
    <row r="1333" spans="1:14" x14ac:dyDescent="0.25">
      <c r="A1333" s="100">
        <v>65746</v>
      </c>
      <c r="C1333" s="99">
        <v>71336</v>
      </c>
      <c r="D1333" s="98" t="s">
        <v>159</v>
      </c>
      <c r="I1333" s="99">
        <v>60711</v>
      </c>
      <c r="J1333" s="98" t="s">
        <v>178</v>
      </c>
      <c r="K1333" s="99">
        <v>70646</v>
      </c>
      <c r="L1333" s="98" t="s">
        <v>191</v>
      </c>
      <c r="M1333" s="99">
        <v>65746</v>
      </c>
      <c r="N1333" s="98" t="s">
        <v>160</v>
      </c>
    </row>
    <row r="1334" spans="1:14" x14ac:dyDescent="0.25">
      <c r="A1334" s="100">
        <v>65760</v>
      </c>
      <c r="C1334" s="99">
        <v>71337</v>
      </c>
      <c r="D1334" s="98" t="s">
        <v>176</v>
      </c>
      <c r="I1334" s="99">
        <v>60751</v>
      </c>
      <c r="J1334" s="98" t="s">
        <v>183</v>
      </c>
      <c r="K1334" s="99">
        <v>70793</v>
      </c>
      <c r="L1334" s="98" t="s">
        <v>189</v>
      </c>
      <c r="M1334" s="99">
        <v>65760</v>
      </c>
      <c r="N1334" s="98" t="s">
        <v>197</v>
      </c>
    </row>
    <row r="1335" spans="1:14" x14ac:dyDescent="0.25">
      <c r="A1335" s="100">
        <v>65788</v>
      </c>
      <c r="C1335" s="99">
        <v>71338</v>
      </c>
      <c r="D1335" s="98" t="s">
        <v>181</v>
      </c>
      <c r="I1335" s="99">
        <v>60755</v>
      </c>
      <c r="J1335" s="98" t="s">
        <v>187</v>
      </c>
      <c r="K1335" s="99">
        <v>70853</v>
      </c>
      <c r="L1335" s="98" t="s">
        <v>177</v>
      </c>
      <c r="M1335" s="99">
        <v>65788</v>
      </c>
      <c r="N1335" s="98" t="s">
        <v>204</v>
      </c>
    </row>
    <row r="1336" spans="1:14" x14ac:dyDescent="0.25">
      <c r="A1336" s="100">
        <v>65791</v>
      </c>
      <c r="C1336" s="99">
        <v>71339</v>
      </c>
      <c r="D1336" s="98" t="s">
        <v>224</v>
      </c>
      <c r="I1336" s="99">
        <v>60756</v>
      </c>
      <c r="J1336" s="98" t="s">
        <v>190</v>
      </c>
      <c r="K1336" s="99">
        <v>70854</v>
      </c>
      <c r="L1336" s="98" t="s">
        <v>182</v>
      </c>
      <c r="M1336" s="99">
        <v>65791</v>
      </c>
      <c r="N1336" s="98" t="s">
        <v>207</v>
      </c>
    </row>
    <row r="1337" spans="1:14" x14ac:dyDescent="0.25">
      <c r="A1337" s="100">
        <v>65795</v>
      </c>
      <c r="C1337" s="99">
        <v>71388</v>
      </c>
      <c r="D1337" s="98" t="s">
        <v>191</v>
      </c>
      <c r="I1337" s="99">
        <v>60757</v>
      </c>
      <c r="J1337" s="98" t="s">
        <v>194</v>
      </c>
      <c r="K1337" s="99">
        <v>70856</v>
      </c>
      <c r="L1337" s="98" t="s">
        <v>186</v>
      </c>
      <c r="M1337" s="99">
        <v>65795</v>
      </c>
      <c r="N1337" s="98" t="s">
        <v>199</v>
      </c>
    </row>
    <row r="1338" spans="1:14" x14ac:dyDescent="0.25">
      <c r="A1338" s="100">
        <v>65893</v>
      </c>
      <c r="C1338" s="99">
        <v>71437</v>
      </c>
      <c r="D1338" s="98" t="s">
        <v>202</v>
      </c>
      <c r="I1338" s="99">
        <v>60832</v>
      </c>
      <c r="J1338" s="98" t="s">
        <v>196</v>
      </c>
      <c r="K1338" s="99">
        <v>70860</v>
      </c>
      <c r="L1338" s="98" t="s">
        <v>160</v>
      </c>
      <c r="M1338" s="99">
        <v>65893</v>
      </c>
      <c r="N1338" s="98" t="s">
        <v>166</v>
      </c>
    </row>
    <row r="1339" spans="1:14" x14ac:dyDescent="0.25">
      <c r="A1339" s="100">
        <v>65916</v>
      </c>
      <c r="C1339" s="99">
        <v>71500</v>
      </c>
      <c r="D1339" s="98" t="s">
        <v>189</v>
      </c>
      <c r="I1339" s="99">
        <v>60855</v>
      </c>
      <c r="J1339" s="98" t="s">
        <v>198</v>
      </c>
      <c r="K1339" s="99">
        <v>70861</v>
      </c>
      <c r="L1339" s="98" t="s">
        <v>165</v>
      </c>
      <c r="M1339" s="99">
        <v>65916</v>
      </c>
      <c r="N1339" s="98" t="s">
        <v>170</v>
      </c>
    </row>
    <row r="1340" spans="1:14" x14ac:dyDescent="0.25">
      <c r="A1340" s="100">
        <v>65931</v>
      </c>
      <c r="C1340" s="99">
        <v>71583</v>
      </c>
      <c r="D1340" s="98" t="s">
        <v>177</v>
      </c>
      <c r="I1340" s="99">
        <v>60895</v>
      </c>
      <c r="J1340" s="98" t="s">
        <v>200</v>
      </c>
      <c r="K1340" s="99">
        <v>70863</v>
      </c>
      <c r="L1340" s="98" t="s">
        <v>213</v>
      </c>
      <c r="M1340" s="99">
        <v>65931</v>
      </c>
      <c r="N1340" s="98" t="s">
        <v>175</v>
      </c>
    </row>
    <row r="1341" spans="1:14" x14ac:dyDescent="0.25">
      <c r="A1341" s="100">
        <v>65991</v>
      </c>
      <c r="C1341" s="99">
        <v>71584</v>
      </c>
      <c r="D1341" s="98" t="s">
        <v>182</v>
      </c>
      <c r="I1341" s="99">
        <v>60898</v>
      </c>
      <c r="J1341" s="98" t="s">
        <v>203</v>
      </c>
      <c r="K1341" s="99">
        <v>70891</v>
      </c>
      <c r="L1341" s="98" t="s">
        <v>206</v>
      </c>
      <c r="M1341" s="99">
        <v>65991</v>
      </c>
      <c r="N1341" s="98" t="s">
        <v>184</v>
      </c>
    </row>
    <row r="1342" spans="1:14" x14ac:dyDescent="0.25">
      <c r="A1342" s="100">
        <v>66033</v>
      </c>
      <c r="C1342" s="99">
        <v>71585</v>
      </c>
      <c r="D1342" s="98" t="s">
        <v>208</v>
      </c>
      <c r="I1342" s="99">
        <v>60916</v>
      </c>
      <c r="J1342" s="98" t="s">
        <v>205</v>
      </c>
      <c r="K1342" s="99">
        <v>70896</v>
      </c>
      <c r="L1342" s="98" t="s">
        <v>169</v>
      </c>
      <c r="M1342" s="99">
        <v>66033</v>
      </c>
      <c r="N1342" s="98" t="s">
        <v>201</v>
      </c>
    </row>
    <row r="1343" spans="1:14" x14ac:dyDescent="0.25">
      <c r="A1343" s="100">
        <v>66055</v>
      </c>
      <c r="C1343" s="99">
        <v>71590</v>
      </c>
      <c r="D1343" s="98" t="s">
        <v>160</v>
      </c>
      <c r="I1343" s="99">
        <v>60939</v>
      </c>
      <c r="J1343" s="98" t="s">
        <v>209</v>
      </c>
      <c r="K1343" s="99">
        <v>70898</v>
      </c>
      <c r="L1343" s="98" t="s">
        <v>215</v>
      </c>
      <c r="M1343" s="99">
        <v>66055</v>
      </c>
      <c r="N1343" s="98" t="s">
        <v>210</v>
      </c>
    </row>
    <row r="1344" spans="1:14" x14ac:dyDescent="0.25">
      <c r="A1344" s="100">
        <v>66061</v>
      </c>
      <c r="C1344" s="99">
        <v>71591</v>
      </c>
      <c r="D1344" s="98" t="s">
        <v>214</v>
      </c>
      <c r="I1344" s="99">
        <v>60959</v>
      </c>
      <c r="J1344" s="98" t="s">
        <v>211</v>
      </c>
      <c r="K1344" s="99">
        <v>70951</v>
      </c>
      <c r="L1344" s="98" t="s">
        <v>159</v>
      </c>
      <c r="M1344" s="99">
        <v>66061</v>
      </c>
      <c r="N1344" s="98" t="s">
        <v>188</v>
      </c>
    </row>
    <row r="1345" spans="1:14" x14ac:dyDescent="0.25">
      <c r="A1345" s="100">
        <v>66078</v>
      </c>
      <c r="C1345" s="99">
        <v>71615</v>
      </c>
      <c r="D1345" s="98" t="s">
        <v>171</v>
      </c>
      <c r="I1345" s="99">
        <v>60998</v>
      </c>
      <c r="J1345" s="98" t="s">
        <v>161</v>
      </c>
      <c r="K1345" s="99">
        <v>70954</v>
      </c>
      <c r="L1345" s="98" t="s">
        <v>162</v>
      </c>
      <c r="M1345" s="99">
        <v>66078</v>
      </c>
      <c r="N1345" s="98" t="s">
        <v>192</v>
      </c>
    </row>
    <row r="1346" spans="1:14" x14ac:dyDescent="0.25">
      <c r="A1346" s="100">
        <v>66105</v>
      </c>
      <c r="C1346" s="99">
        <v>71693</v>
      </c>
      <c r="D1346" s="98" t="s">
        <v>159</v>
      </c>
      <c r="I1346" s="99">
        <v>61007</v>
      </c>
      <c r="J1346" s="98" t="s">
        <v>164</v>
      </c>
      <c r="K1346" s="99">
        <v>70974</v>
      </c>
      <c r="L1346" s="98" t="s">
        <v>174</v>
      </c>
      <c r="M1346" s="99">
        <v>66105</v>
      </c>
      <c r="N1346" s="98" t="s">
        <v>177</v>
      </c>
    </row>
    <row r="1347" spans="1:14" x14ac:dyDescent="0.25">
      <c r="A1347" s="100">
        <v>66112</v>
      </c>
      <c r="C1347" s="99">
        <v>71694</v>
      </c>
      <c r="D1347" s="98" t="s">
        <v>176</v>
      </c>
      <c r="I1347" s="99">
        <v>61039</v>
      </c>
      <c r="J1347" s="98" t="s">
        <v>168</v>
      </c>
      <c r="K1347" s="99">
        <v>70975</v>
      </c>
      <c r="L1347" s="98" t="s">
        <v>179</v>
      </c>
      <c r="M1347" s="99">
        <v>66112</v>
      </c>
      <c r="N1347" s="98" t="s">
        <v>160</v>
      </c>
    </row>
    <row r="1348" spans="1:14" x14ac:dyDescent="0.25">
      <c r="A1348" s="100">
        <v>66131</v>
      </c>
      <c r="C1348" s="99">
        <v>71695</v>
      </c>
      <c r="D1348" s="98" t="s">
        <v>181</v>
      </c>
      <c r="I1348" s="99">
        <v>61051</v>
      </c>
      <c r="J1348" s="98" t="s">
        <v>173</v>
      </c>
      <c r="K1348" s="99">
        <v>71017</v>
      </c>
      <c r="L1348" s="98" t="s">
        <v>191</v>
      </c>
      <c r="M1348" s="99">
        <v>66131</v>
      </c>
      <c r="N1348" s="98" t="s">
        <v>197</v>
      </c>
    </row>
    <row r="1349" spans="1:14" x14ac:dyDescent="0.25">
      <c r="A1349" s="100">
        <v>66154</v>
      </c>
      <c r="C1349" s="99">
        <v>71696</v>
      </c>
      <c r="D1349" s="98" t="s">
        <v>162</v>
      </c>
      <c r="I1349" s="99">
        <v>61076</v>
      </c>
      <c r="J1349" s="98" t="s">
        <v>178</v>
      </c>
      <c r="K1349" s="99">
        <v>71157</v>
      </c>
      <c r="L1349" s="98" t="s">
        <v>189</v>
      </c>
      <c r="M1349" s="99">
        <v>66154</v>
      </c>
      <c r="N1349" s="98" t="s">
        <v>204</v>
      </c>
    </row>
    <row r="1350" spans="1:14" x14ac:dyDescent="0.25">
      <c r="A1350" s="100">
        <v>66157</v>
      </c>
      <c r="C1350" s="99">
        <v>71705</v>
      </c>
      <c r="D1350" s="98" t="s">
        <v>185</v>
      </c>
      <c r="I1350" s="99">
        <v>61077</v>
      </c>
      <c r="J1350" s="98" t="s">
        <v>212</v>
      </c>
      <c r="K1350" s="99">
        <v>71218</v>
      </c>
      <c r="L1350" s="98" t="s">
        <v>177</v>
      </c>
      <c r="M1350" s="99">
        <v>66157</v>
      </c>
      <c r="N1350" s="98" t="s">
        <v>207</v>
      </c>
    </row>
    <row r="1351" spans="1:14" x14ac:dyDescent="0.25">
      <c r="A1351" s="100">
        <v>66159</v>
      </c>
      <c r="C1351" s="99">
        <v>71752</v>
      </c>
      <c r="D1351" s="98" t="s">
        <v>191</v>
      </c>
      <c r="I1351" s="99">
        <v>61116</v>
      </c>
      <c r="J1351" s="98" t="s">
        <v>183</v>
      </c>
      <c r="K1351" s="99">
        <v>71219</v>
      </c>
      <c r="L1351" s="98" t="s">
        <v>182</v>
      </c>
      <c r="M1351" s="99">
        <v>66159</v>
      </c>
      <c r="N1351" s="98" t="s">
        <v>199</v>
      </c>
    </row>
    <row r="1352" spans="1:14" x14ac:dyDescent="0.25">
      <c r="A1352" s="100">
        <v>66257</v>
      </c>
      <c r="C1352" s="99">
        <v>71808</v>
      </c>
      <c r="D1352" s="98" t="s">
        <v>202</v>
      </c>
      <c r="I1352" s="99">
        <v>61120</v>
      </c>
      <c r="J1352" s="98" t="s">
        <v>187</v>
      </c>
      <c r="K1352" s="99">
        <v>71220</v>
      </c>
      <c r="L1352" s="98" t="s">
        <v>208</v>
      </c>
      <c r="M1352" s="99">
        <v>66257</v>
      </c>
      <c r="N1352" s="98" t="s">
        <v>166</v>
      </c>
    </row>
    <row r="1353" spans="1:14" x14ac:dyDescent="0.25">
      <c r="A1353" s="100">
        <v>66281</v>
      </c>
      <c r="C1353" s="99">
        <v>71864</v>
      </c>
      <c r="D1353" s="98" t="s">
        <v>189</v>
      </c>
      <c r="I1353" s="99">
        <v>61121</v>
      </c>
      <c r="J1353" s="98" t="s">
        <v>190</v>
      </c>
      <c r="K1353" s="99">
        <v>71221</v>
      </c>
      <c r="L1353" s="98" t="s">
        <v>186</v>
      </c>
      <c r="M1353" s="99">
        <v>66281</v>
      </c>
      <c r="N1353" s="98" t="s">
        <v>170</v>
      </c>
    </row>
    <row r="1354" spans="1:14" x14ac:dyDescent="0.25">
      <c r="A1354" s="100">
        <v>66296</v>
      </c>
      <c r="C1354" s="99">
        <v>71949</v>
      </c>
      <c r="D1354" s="98" t="s">
        <v>177</v>
      </c>
      <c r="I1354" s="99">
        <v>61122</v>
      </c>
      <c r="J1354" s="98" t="s">
        <v>194</v>
      </c>
      <c r="K1354" s="99">
        <v>71225</v>
      </c>
      <c r="L1354" s="98" t="s">
        <v>160</v>
      </c>
      <c r="M1354" s="99">
        <v>66296</v>
      </c>
      <c r="N1354" s="98" t="s">
        <v>175</v>
      </c>
    </row>
    <row r="1355" spans="1:14" x14ac:dyDescent="0.25">
      <c r="A1355" s="100">
        <v>66355</v>
      </c>
      <c r="C1355" s="99">
        <v>71950</v>
      </c>
      <c r="D1355" s="98" t="s">
        <v>182</v>
      </c>
      <c r="I1355" s="99">
        <v>61196</v>
      </c>
      <c r="J1355" s="98" t="s">
        <v>196</v>
      </c>
      <c r="K1355" s="99">
        <v>71226</v>
      </c>
      <c r="L1355" s="98" t="s">
        <v>165</v>
      </c>
      <c r="M1355" s="99">
        <v>66355</v>
      </c>
      <c r="N1355" s="98" t="s">
        <v>184</v>
      </c>
    </row>
    <row r="1356" spans="1:14" x14ac:dyDescent="0.25">
      <c r="A1356" s="100">
        <v>66397</v>
      </c>
      <c r="C1356" s="99">
        <v>71956</v>
      </c>
      <c r="D1356" s="98" t="s">
        <v>160</v>
      </c>
      <c r="I1356" s="99">
        <v>61220</v>
      </c>
      <c r="J1356" s="98" t="s">
        <v>198</v>
      </c>
      <c r="K1356" s="99">
        <v>71227</v>
      </c>
      <c r="L1356" s="98" t="s">
        <v>214</v>
      </c>
      <c r="M1356" s="99">
        <v>66397</v>
      </c>
      <c r="N1356" s="98" t="s">
        <v>201</v>
      </c>
    </row>
    <row r="1357" spans="1:14" x14ac:dyDescent="0.25">
      <c r="A1357" s="100">
        <v>66419</v>
      </c>
      <c r="C1357" s="99">
        <v>71983</v>
      </c>
      <c r="D1357" s="98" t="s">
        <v>171</v>
      </c>
      <c r="I1357" s="99">
        <v>61259</v>
      </c>
      <c r="J1357" s="98" t="s">
        <v>200</v>
      </c>
      <c r="K1357" s="99">
        <v>71228</v>
      </c>
      <c r="L1357" s="98" t="s">
        <v>213</v>
      </c>
      <c r="M1357" s="99">
        <v>66419</v>
      </c>
      <c r="N1357" s="98" t="s">
        <v>210</v>
      </c>
    </row>
    <row r="1358" spans="1:14" x14ac:dyDescent="0.25">
      <c r="A1358" s="100">
        <v>66426</v>
      </c>
      <c r="C1358" s="99">
        <v>72043</v>
      </c>
      <c r="D1358" s="98" t="s">
        <v>159</v>
      </c>
      <c r="I1358" s="99">
        <v>61263</v>
      </c>
      <c r="J1358" s="98" t="s">
        <v>203</v>
      </c>
      <c r="K1358" s="99">
        <v>71255</v>
      </c>
      <c r="L1358" s="98" t="s">
        <v>206</v>
      </c>
      <c r="M1358" s="99">
        <v>66426</v>
      </c>
      <c r="N1358" s="98" t="s">
        <v>188</v>
      </c>
    </row>
    <row r="1359" spans="1:14" x14ac:dyDescent="0.25">
      <c r="A1359" s="100">
        <v>66442</v>
      </c>
      <c r="C1359" s="99">
        <v>72044</v>
      </c>
      <c r="D1359" s="98" t="s">
        <v>176</v>
      </c>
      <c r="I1359" s="99">
        <v>61280</v>
      </c>
      <c r="J1359" s="98" t="s">
        <v>205</v>
      </c>
      <c r="K1359" s="99">
        <v>71261</v>
      </c>
      <c r="L1359" s="98" t="s">
        <v>169</v>
      </c>
      <c r="M1359" s="99">
        <v>66442</v>
      </c>
      <c r="N1359" s="98" t="s">
        <v>192</v>
      </c>
    </row>
    <row r="1360" spans="1:14" x14ac:dyDescent="0.25">
      <c r="A1360" s="100">
        <v>66470</v>
      </c>
      <c r="C1360" s="99">
        <v>72045</v>
      </c>
      <c r="D1360" s="98" t="s">
        <v>181</v>
      </c>
      <c r="I1360" s="99">
        <v>61304</v>
      </c>
      <c r="J1360" s="98" t="s">
        <v>209</v>
      </c>
      <c r="K1360" s="99">
        <v>71262</v>
      </c>
      <c r="L1360" s="98" t="s">
        <v>215</v>
      </c>
      <c r="M1360" s="99">
        <v>66470</v>
      </c>
      <c r="N1360" s="98" t="s">
        <v>177</v>
      </c>
    </row>
    <row r="1361" spans="1:14" x14ac:dyDescent="0.25">
      <c r="A1361" s="100">
        <v>66477</v>
      </c>
      <c r="C1361" s="99">
        <v>72046</v>
      </c>
      <c r="D1361" s="98" t="s">
        <v>162</v>
      </c>
      <c r="I1361" s="99">
        <v>61324</v>
      </c>
      <c r="J1361" s="98" t="s">
        <v>211</v>
      </c>
      <c r="K1361" s="99">
        <v>71336</v>
      </c>
      <c r="L1361" s="98" t="s">
        <v>159</v>
      </c>
      <c r="M1361" s="99">
        <v>66477</v>
      </c>
      <c r="N1361" s="98" t="s">
        <v>160</v>
      </c>
    </row>
    <row r="1362" spans="1:14" x14ac:dyDescent="0.25">
      <c r="A1362" s="100">
        <v>66495</v>
      </c>
      <c r="C1362" s="99">
        <v>72070</v>
      </c>
      <c r="D1362" s="98" t="s">
        <v>185</v>
      </c>
      <c r="I1362" s="99">
        <v>61363</v>
      </c>
      <c r="J1362" s="98" t="s">
        <v>161</v>
      </c>
      <c r="K1362" s="99">
        <v>71339</v>
      </c>
      <c r="L1362" s="98" t="s">
        <v>225</v>
      </c>
      <c r="M1362" s="99">
        <v>66495</v>
      </c>
      <c r="N1362" s="98" t="s">
        <v>197</v>
      </c>
    </row>
    <row r="1363" spans="1:14" x14ac:dyDescent="0.25">
      <c r="A1363" s="100">
        <v>66519</v>
      </c>
      <c r="C1363" s="99">
        <v>72116</v>
      </c>
      <c r="D1363" s="98" t="s">
        <v>191</v>
      </c>
      <c r="I1363" s="99">
        <v>61364</v>
      </c>
      <c r="J1363" s="98" t="s">
        <v>212</v>
      </c>
      <c r="K1363" s="99">
        <v>71381</v>
      </c>
      <c r="L1363" s="98" t="s">
        <v>191</v>
      </c>
      <c r="M1363" s="99">
        <v>66519</v>
      </c>
      <c r="N1363" s="98" t="s">
        <v>204</v>
      </c>
    </row>
    <row r="1364" spans="1:14" x14ac:dyDescent="0.25">
      <c r="A1364" s="100">
        <v>66522</v>
      </c>
      <c r="C1364" s="99">
        <v>72172</v>
      </c>
      <c r="D1364" s="98" t="s">
        <v>202</v>
      </c>
      <c r="I1364" s="99">
        <v>61371</v>
      </c>
      <c r="J1364" s="98" t="s">
        <v>164</v>
      </c>
      <c r="K1364" s="99">
        <v>71521</v>
      </c>
      <c r="L1364" s="98" t="s">
        <v>189</v>
      </c>
      <c r="M1364" s="99">
        <v>66522</v>
      </c>
      <c r="N1364" s="98" t="s">
        <v>207</v>
      </c>
    </row>
    <row r="1365" spans="1:14" x14ac:dyDescent="0.25">
      <c r="A1365" s="100">
        <v>66523</v>
      </c>
      <c r="C1365" s="99">
        <v>72235</v>
      </c>
      <c r="D1365" s="98" t="s">
        <v>189</v>
      </c>
      <c r="I1365" s="99">
        <v>61404</v>
      </c>
      <c r="J1365" s="98" t="s">
        <v>168</v>
      </c>
      <c r="K1365" s="99">
        <v>71583</v>
      </c>
      <c r="L1365" s="98" t="s">
        <v>177</v>
      </c>
      <c r="M1365" s="99">
        <v>66523</v>
      </c>
      <c r="N1365" s="98" t="s">
        <v>199</v>
      </c>
    </row>
    <row r="1366" spans="1:14" x14ac:dyDescent="0.25">
      <c r="A1366" s="100">
        <v>66621</v>
      </c>
      <c r="C1366" s="99">
        <v>72314</v>
      </c>
      <c r="D1366" s="98" t="s">
        <v>177</v>
      </c>
      <c r="I1366" s="99">
        <v>61416</v>
      </c>
      <c r="J1366" s="98" t="s">
        <v>173</v>
      </c>
      <c r="K1366" s="99">
        <v>71584</v>
      </c>
      <c r="L1366" s="98" t="s">
        <v>182</v>
      </c>
      <c r="M1366" s="99">
        <v>66621</v>
      </c>
      <c r="N1366" s="98" t="s">
        <v>166</v>
      </c>
    </row>
    <row r="1367" spans="1:14" x14ac:dyDescent="0.25">
      <c r="A1367" s="100">
        <v>66646</v>
      </c>
      <c r="C1367" s="99">
        <v>72315</v>
      </c>
      <c r="D1367" s="98" t="s">
        <v>182</v>
      </c>
      <c r="I1367" s="99">
        <v>61442</v>
      </c>
      <c r="J1367" s="98" t="s">
        <v>178</v>
      </c>
      <c r="K1367" s="99">
        <v>71585</v>
      </c>
      <c r="L1367" s="98" t="s">
        <v>208</v>
      </c>
      <c r="M1367" s="99">
        <v>66646</v>
      </c>
      <c r="N1367" s="98" t="s">
        <v>170</v>
      </c>
    </row>
    <row r="1368" spans="1:14" x14ac:dyDescent="0.25">
      <c r="A1368" s="100">
        <v>66660</v>
      </c>
      <c r="C1368" s="99">
        <v>72321</v>
      </c>
      <c r="D1368" s="98" t="s">
        <v>160</v>
      </c>
      <c r="I1368" s="99">
        <v>61482</v>
      </c>
      <c r="J1368" s="98" t="s">
        <v>183</v>
      </c>
      <c r="K1368" s="99">
        <v>71590</v>
      </c>
      <c r="L1368" s="98" t="s">
        <v>160</v>
      </c>
      <c r="M1368" s="99">
        <v>66660</v>
      </c>
      <c r="N1368" s="98" t="s">
        <v>180</v>
      </c>
    </row>
    <row r="1369" spans="1:14" x14ac:dyDescent="0.25">
      <c r="A1369" s="100">
        <v>66661</v>
      </c>
      <c r="C1369" s="99">
        <v>72347</v>
      </c>
      <c r="D1369" s="98" t="s">
        <v>171</v>
      </c>
      <c r="I1369" s="99">
        <v>61483</v>
      </c>
      <c r="J1369" s="98" t="s">
        <v>212</v>
      </c>
      <c r="K1369" s="99">
        <v>71591</v>
      </c>
      <c r="L1369" s="98" t="s">
        <v>165</v>
      </c>
      <c r="M1369" s="99">
        <v>66661</v>
      </c>
      <c r="N1369" s="98" t="s">
        <v>175</v>
      </c>
    </row>
    <row r="1370" spans="1:14" x14ac:dyDescent="0.25">
      <c r="A1370" s="100">
        <v>66726</v>
      </c>
      <c r="C1370" s="99">
        <v>72428</v>
      </c>
      <c r="D1370" s="98" t="s">
        <v>159</v>
      </c>
      <c r="I1370" s="99">
        <v>61486</v>
      </c>
      <c r="J1370" s="98" t="s">
        <v>187</v>
      </c>
      <c r="K1370" s="99">
        <v>71592</v>
      </c>
      <c r="L1370" s="98" t="s">
        <v>214</v>
      </c>
      <c r="M1370" s="99">
        <v>66726</v>
      </c>
      <c r="N1370" s="98" t="s">
        <v>184</v>
      </c>
    </row>
    <row r="1371" spans="1:14" x14ac:dyDescent="0.25">
      <c r="A1371" s="100">
        <v>66761</v>
      </c>
      <c r="C1371" s="99">
        <v>72429</v>
      </c>
      <c r="D1371" s="98" t="s">
        <v>176</v>
      </c>
      <c r="I1371" s="99">
        <v>61487</v>
      </c>
      <c r="J1371" s="98" t="s">
        <v>190</v>
      </c>
      <c r="K1371" s="99">
        <v>71619</v>
      </c>
      <c r="L1371" s="98" t="s">
        <v>206</v>
      </c>
      <c r="M1371" s="99">
        <v>66761</v>
      </c>
      <c r="N1371" s="98" t="s">
        <v>201</v>
      </c>
    </row>
    <row r="1372" spans="1:14" x14ac:dyDescent="0.25">
      <c r="A1372" s="100">
        <v>66783</v>
      </c>
      <c r="C1372" s="99">
        <v>72430</v>
      </c>
      <c r="D1372" s="98" t="s">
        <v>181</v>
      </c>
      <c r="I1372" s="99">
        <v>61488</v>
      </c>
      <c r="J1372" s="98" t="s">
        <v>194</v>
      </c>
      <c r="K1372" s="99">
        <v>71626</v>
      </c>
      <c r="L1372" s="98" t="s">
        <v>169</v>
      </c>
      <c r="M1372" s="99">
        <v>66783</v>
      </c>
      <c r="N1372" s="98" t="s">
        <v>210</v>
      </c>
    </row>
    <row r="1373" spans="1:14" x14ac:dyDescent="0.25">
      <c r="A1373" s="100">
        <v>66791</v>
      </c>
      <c r="C1373" s="99">
        <v>72431</v>
      </c>
      <c r="D1373" s="98" t="s">
        <v>162</v>
      </c>
      <c r="I1373" s="99">
        <v>61560</v>
      </c>
      <c r="J1373" s="98" t="s">
        <v>196</v>
      </c>
      <c r="K1373" s="99">
        <v>71693</v>
      </c>
      <c r="L1373" s="98" t="s">
        <v>159</v>
      </c>
      <c r="M1373" s="99">
        <v>66791</v>
      </c>
      <c r="N1373" s="98" t="s">
        <v>188</v>
      </c>
    </row>
    <row r="1374" spans="1:14" x14ac:dyDescent="0.25">
      <c r="A1374" s="100">
        <v>66806</v>
      </c>
      <c r="C1374" s="99">
        <v>72435</v>
      </c>
      <c r="D1374" s="98" t="s">
        <v>185</v>
      </c>
      <c r="I1374" s="99">
        <v>61586</v>
      </c>
      <c r="J1374" s="98" t="s">
        <v>198</v>
      </c>
      <c r="K1374" s="99">
        <v>71696</v>
      </c>
      <c r="L1374" s="98" t="s">
        <v>162</v>
      </c>
      <c r="M1374" s="99">
        <v>66806</v>
      </c>
      <c r="N1374" s="98" t="s">
        <v>192</v>
      </c>
    </row>
    <row r="1375" spans="1:14" x14ac:dyDescent="0.25">
      <c r="A1375" s="100">
        <v>66835</v>
      </c>
      <c r="C1375" s="99">
        <v>72480</v>
      </c>
      <c r="D1375" s="98" t="s">
        <v>191</v>
      </c>
      <c r="I1375" s="99">
        <v>61623</v>
      </c>
      <c r="J1375" s="98" t="s">
        <v>200</v>
      </c>
      <c r="K1375" s="99">
        <v>71705</v>
      </c>
      <c r="L1375" s="98" t="s">
        <v>174</v>
      </c>
      <c r="M1375" s="99">
        <v>66835</v>
      </c>
      <c r="N1375" s="98" t="s">
        <v>177</v>
      </c>
    </row>
    <row r="1376" spans="1:14" x14ac:dyDescent="0.25">
      <c r="A1376" s="100">
        <v>66842</v>
      </c>
      <c r="C1376" s="99">
        <v>72536</v>
      </c>
      <c r="D1376" s="98" t="s">
        <v>202</v>
      </c>
      <c r="I1376" s="99">
        <v>61628</v>
      </c>
      <c r="J1376" s="98" t="s">
        <v>203</v>
      </c>
      <c r="K1376" s="99">
        <v>71745</v>
      </c>
      <c r="L1376" s="98" t="s">
        <v>191</v>
      </c>
      <c r="M1376" s="99">
        <v>66842</v>
      </c>
      <c r="N1376" s="98" t="s">
        <v>160</v>
      </c>
    </row>
    <row r="1377" spans="1:14" x14ac:dyDescent="0.25">
      <c r="A1377" s="100">
        <v>66859</v>
      </c>
      <c r="C1377" s="99">
        <v>72599</v>
      </c>
      <c r="D1377" s="98" t="s">
        <v>189</v>
      </c>
      <c r="I1377" s="99">
        <v>61644</v>
      </c>
      <c r="J1377" s="98" t="s">
        <v>205</v>
      </c>
      <c r="K1377" s="99">
        <v>71885</v>
      </c>
      <c r="L1377" s="98" t="s">
        <v>189</v>
      </c>
      <c r="M1377" s="99">
        <v>66859</v>
      </c>
      <c r="N1377" s="98" t="s">
        <v>197</v>
      </c>
    </row>
    <row r="1378" spans="1:14" x14ac:dyDescent="0.25">
      <c r="A1378" s="100">
        <v>66884</v>
      </c>
      <c r="C1378" s="99">
        <v>72679</v>
      </c>
      <c r="D1378" s="98" t="s">
        <v>177</v>
      </c>
      <c r="I1378" s="99">
        <v>61670</v>
      </c>
      <c r="J1378" s="98" t="s">
        <v>209</v>
      </c>
      <c r="K1378" s="99">
        <v>71949</v>
      </c>
      <c r="L1378" s="98" t="s">
        <v>177</v>
      </c>
      <c r="M1378" s="99">
        <v>66884</v>
      </c>
      <c r="N1378" s="98" t="s">
        <v>204</v>
      </c>
    </row>
    <row r="1379" spans="1:14" x14ac:dyDescent="0.25">
      <c r="A1379" s="100">
        <v>66887</v>
      </c>
      <c r="C1379" s="99">
        <v>72680</v>
      </c>
      <c r="D1379" s="98" t="s">
        <v>182</v>
      </c>
      <c r="I1379" s="99">
        <v>61690</v>
      </c>
      <c r="J1379" s="98" t="s">
        <v>211</v>
      </c>
      <c r="K1379" s="99">
        <v>71950</v>
      </c>
      <c r="L1379" s="98" t="s">
        <v>182</v>
      </c>
      <c r="M1379" s="99">
        <v>66887</v>
      </c>
      <c r="N1379" s="98" t="s">
        <v>217</v>
      </c>
    </row>
    <row r="1380" spans="1:14" x14ac:dyDescent="0.25">
      <c r="A1380" s="100">
        <v>66992</v>
      </c>
      <c r="C1380" s="99">
        <v>72686</v>
      </c>
      <c r="D1380" s="98" t="s">
        <v>160</v>
      </c>
      <c r="I1380" s="99">
        <v>61729</v>
      </c>
      <c r="J1380" s="98" t="s">
        <v>161</v>
      </c>
      <c r="K1380" s="99">
        <v>71956</v>
      </c>
      <c r="L1380" s="98" t="s">
        <v>160</v>
      </c>
      <c r="M1380" s="99">
        <v>66992</v>
      </c>
      <c r="N1380" s="98" t="s">
        <v>166</v>
      </c>
    </row>
    <row r="1381" spans="1:14" x14ac:dyDescent="0.25">
      <c r="A1381" s="100">
        <v>67010</v>
      </c>
      <c r="C1381" s="99">
        <v>72711</v>
      </c>
      <c r="D1381" s="98" t="s">
        <v>171</v>
      </c>
      <c r="I1381" s="99">
        <v>61742</v>
      </c>
      <c r="J1381" s="98" t="s">
        <v>164</v>
      </c>
      <c r="K1381" s="99">
        <v>71957</v>
      </c>
      <c r="L1381" s="98" t="s">
        <v>165</v>
      </c>
      <c r="M1381" s="99">
        <v>67010</v>
      </c>
      <c r="N1381" s="98" t="s">
        <v>216</v>
      </c>
    </row>
    <row r="1382" spans="1:14" x14ac:dyDescent="0.25">
      <c r="A1382" s="100">
        <v>67011</v>
      </c>
      <c r="C1382" s="99">
        <v>72785</v>
      </c>
      <c r="D1382" s="98" t="s">
        <v>159</v>
      </c>
      <c r="I1382" s="99">
        <v>61770</v>
      </c>
      <c r="J1382" s="98" t="s">
        <v>168</v>
      </c>
      <c r="K1382" s="99">
        <v>71983</v>
      </c>
      <c r="L1382" s="98" t="s">
        <v>206</v>
      </c>
      <c r="M1382" s="99">
        <v>67011</v>
      </c>
      <c r="N1382" s="98" t="s">
        <v>170</v>
      </c>
    </row>
    <row r="1383" spans="1:14" x14ac:dyDescent="0.25">
      <c r="A1383" s="100">
        <v>67026</v>
      </c>
      <c r="C1383" s="99">
        <v>72786</v>
      </c>
      <c r="D1383" s="98" t="s">
        <v>176</v>
      </c>
      <c r="I1383" s="99">
        <v>61782</v>
      </c>
      <c r="J1383" s="98" t="s">
        <v>173</v>
      </c>
      <c r="K1383" s="99">
        <v>71992</v>
      </c>
      <c r="L1383" s="98" t="s">
        <v>169</v>
      </c>
      <c r="M1383" s="99">
        <v>67026</v>
      </c>
      <c r="N1383" s="98" t="s">
        <v>175</v>
      </c>
    </row>
    <row r="1384" spans="1:14" x14ac:dyDescent="0.25">
      <c r="A1384" s="100">
        <v>67027</v>
      </c>
      <c r="C1384" s="99">
        <v>72787</v>
      </c>
      <c r="D1384" s="98" t="s">
        <v>181</v>
      </c>
      <c r="I1384" s="99">
        <v>61807</v>
      </c>
      <c r="J1384" s="98" t="s">
        <v>178</v>
      </c>
      <c r="K1384" s="99">
        <v>72043</v>
      </c>
      <c r="L1384" s="98" t="s">
        <v>159</v>
      </c>
      <c r="M1384" s="99">
        <v>67027</v>
      </c>
      <c r="N1384" s="98" t="s">
        <v>180</v>
      </c>
    </row>
    <row r="1385" spans="1:14" x14ac:dyDescent="0.25">
      <c r="A1385" s="100">
        <v>67090</v>
      </c>
      <c r="C1385" s="99">
        <v>72788</v>
      </c>
      <c r="D1385" s="98" t="s">
        <v>162</v>
      </c>
      <c r="I1385" s="99">
        <v>61847</v>
      </c>
      <c r="J1385" s="98" t="s">
        <v>183</v>
      </c>
      <c r="K1385" s="99">
        <v>72046</v>
      </c>
      <c r="L1385" s="98" t="s">
        <v>162</v>
      </c>
      <c r="M1385" s="99">
        <v>67090</v>
      </c>
      <c r="N1385" s="98" t="s">
        <v>184</v>
      </c>
    </row>
    <row r="1386" spans="1:14" x14ac:dyDescent="0.25">
      <c r="A1386" s="100">
        <v>67125</v>
      </c>
      <c r="C1386" s="99">
        <v>72800</v>
      </c>
      <c r="D1386" s="98" t="s">
        <v>185</v>
      </c>
      <c r="I1386" s="99">
        <v>61851</v>
      </c>
      <c r="J1386" s="98" t="s">
        <v>187</v>
      </c>
      <c r="K1386" s="99">
        <v>72070</v>
      </c>
      <c r="L1386" s="98" t="s">
        <v>174</v>
      </c>
      <c r="M1386" s="99">
        <v>67125</v>
      </c>
      <c r="N1386" s="98" t="s">
        <v>201</v>
      </c>
    </row>
    <row r="1387" spans="1:14" x14ac:dyDescent="0.25">
      <c r="A1387" s="100">
        <v>67147</v>
      </c>
      <c r="C1387" s="99">
        <v>72844</v>
      </c>
      <c r="D1387" s="98" t="s">
        <v>191</v>
      </c>
      <c r="I1387" s="99">
        <v>61852</v>
      </c>
      <c r="J1387" s="98" t="s">
        <v>190</v>
      </c>
      <c r="K1387" s="99">
        <v>72109</v>
      </c>
      <c r="L1387" s="98" t="s">
        <v>191</v>
      </c>
      <c r="M1387" s="99">
        <v>67147</v>
      </c>
      <c r="N1387" s="98" t="s">
        <v>210</v>
      </c>
    </row>
    <row r="1388" spans="1:14" x14ac:dyDescent="0.25">
      <c r="A1388" s="100">
        <v>67156</v>
      </c>
      <c r="C1388" s="99">
        <v>72900</v>
      </c>
      <c r="D1388" s="98" t="s">
        <v>202</v>
      </c>
      <c r="I1388" s="99">
        <v>61853</v>
      </c>
      <c r="J1388" s="98" t="s">
        <v>194</v>
      </c>
      <c r="K1388" s="99">
        <v>72256</v>
      </c>
      <c r="L1388" s="98" t="s">
        <v>189</v>
      </c>
      <c r="M1388" s="99">
        <v>67156</v>
      </c>
      <c r="N1388" s="98" t="s">
        <v>188</v>
      </c>
    </row>
    <row r="1389" spans="1:14" x14ac:dyDescent="0.25">
      <c r="A1389" s="100">
        <v>67170</v>
      </c>
      <c r="C1389" s="99">
        <v>72963</v>
      </c>
      <c r="D1389" s="98" t="s">
        <v>189</v>
      </c>
      <c r="I1389" s="99">
        <v>61854</v>
      </c>
      <c r="J1389" s="98" t="s">
        <v>212</v>
      </c>
      <c r="K1389" s="99">
        <v>72314</v>
      </c>
      <c r="L1389" s="98" t="s">
        <v>177</v>
      </c>
      <c r="M1389" s="99">
        <v>67170</v>
      </c>
      <c r="N1389" s="98" t="s">
        <v>192</v>
      </c>
    </row>
    <row r="1390" spans="1:14" x14ac:dyDescent="0.25">
      <c r="A1390" s="100">
        <v>67199</v>
      </c>
      <c r="C1390" s="99">
        <v>73044</v>
      </c>
      <c r="D1390" s="98" t="s">
        <v>177</v>
      </c>
      <c r="I1390" s="99">
        <v>61924</v>
      </c>
      <c r="J1390" s="98" t="s">
        <v>196</v>
      </c>
      <c r="K1390" s="99">
        <v>72315</v>
      </c>
      <c r="L1390" s="98" t="s">
        <v>182</v>
      </c>
      <c r="M1390" s="99">
        <v>67199</v>
      </c>
      <c r="N1390" s="98" t="s">
        <v>208</v>
      </c>
    </row>
    <row r="1391" spans="1:14" x14ac:dyDescent="0.25">
      <c r="A1391" s="100">
        <v>67200</v>
      </c>
      <c r="C1391" s="99">
        <v>73045</v>
      </c>
      <c r="D1391" s="98" t="s">
        <v>182</v>
      </c>
      <c r="I1391" s="99">
        <v>61951</v>
      </c>
      <c r="J1391" s="98" t="s">
        <v>198</v>
      </c>
      <c r="K1391" s="99">
        <v>72321</v>
      </c>
      <c r="L1391" s="98" t="s">
        <v>160</v>
      </c>
      <c r="M1391" s="99">
        <v>67200</v>
      </c>
      <c r="N1391" s="98" t="s">
        <v>177</v>
      </c>
    </row>
    <row r="1392" spans="1:14" x14ac:dyDescent="0.25">
      <c r="A1392" s="100">
        <v>67206</v>
      </c>
      <c r="C1392" s="99">
        <v>73047</v>
      </c>
      <c r="D1392" s="98" t="s">
        <v>186</v>
      </c>
      <c r="I1392" s="99">
        <v>61952</v>
      </c>
      <c r="J1392" s="98" t="s">
        <v>212</v>
      </c>
      <c r="K1392" s="99">
        <v>72322</v>
      </c>
      <c r="L1392" s="98" t="s">
        <v>165</v>
      </c>
      <c r="M1392" s="99">
        <v>67206</v>
      </c>
      <c r="N1392" s="98" t="s">
        <v>214</v>
      </c>
    </row>
    <row r="1393" spans="1:14" x14ac:dyDescent="0.25">
      <c r="A1393" s="100">
        <v>67207</v>
      </c>
      <c r="I1393" s="99">
        <v>61987</v>
      </c>
      <c r="J1393" s="98" t="s">
        <v>200</v>
      </c>
      <c r="K1393" s="99">
        <v>72347</v>
      </c>
      <c r="L1393" s="98" t="s">
        <v>206</v>
      </c>
      <c r="M1393" s="99">
        <v>67207</v>
      </c>
      <c r="N1393" s="98" t="s">
        <v>160</v>
      </c>
    </row>
    <row r="1394" spans="1:14" x14ac:dyDescent="0.25">
      <c r="A1394" s="100">
        <v>67223</v>
      </c>
      <c r="I1394" s="99">
        <v>61993</v>
      </c>
      <c r="J1394" s="98" t="s">
        <v>203</v>
      </c>
      <c r="K1394" s="99">
        <v>72357</v>
      </c>
      <c r="L1394" s="98" t="s">
        <v>169</v>
      </c>
      <c r="M1394" s="99">
        <v>67223</v>
      </c>
      <c r="N1394" s="98" t="s">
        <v>197</v>
      </c>
    </row>
    <row r="1395" spans="1:14" x14ac:dyDescent="0.25">
      <c r="A1395" s="100">
        <v>67248</v>
      </c>
      <c r="I1395" s="99">
        <v>61994</v>
      </c>
      <c r="J1395" s="98" t="s">
        <v>212</v>
      </c>
      <c r="K1395" s="99">
        <v>72428</v>
      </c>
      <c r="L1395" s="98" t="s">
        <v>159</v>
      </c>
      <c r="M1395" s="99">
        <v>67248</v>
      </c>
      <c r="N1395" s="98" t="s">
        <v>219</v>
      </c>
    </row>
    <row r="1396" spans="1:14" x14ac:dyDescent="0.25">
      <c r="A1396" s="100">
        <v>67249</v>
      </c>
      <c r="I1396" s="99">
        <v>62015</v>
      </c>
      <c r="J1396" s="98" t="s">
        <v>205</v>
      </c>
      <c r="K1396" s="99">
        <v>72431</v>
      </c>
      <c r="L1396" s="98" t="s">
        <v>162</v>
      </c>
      <c r="M1396" s="99">
        <v>67249</v>
      </c>
      <c r="N1396" s="98" t="s">
        <v>204</v>
      </c>
    </row>
    <row r="1397" spans="1:14" x14ac:dyDescent="0.25">
      <c r="A1397" s="100">
        <v>67252</v>
      </c>
      <c r="I1397" s="99">
        <v>62035</v>
      </c>
      <c r="J1397" s="98" t="s">
        <v>209</v>
      </c>
      <c r="K1397" s="99">
        <v>72435</v>
      </c>
      <c r="L1397" s="98" t="s">
        <v>174</v>
      </c>
      <c r="M1397" s="99">
        <v>67252</v>
      </c>
      <c r="N1397" s="98" t="s">
        <v>207</v>
      </c>
    </row>
    <row r="1398" spans="1:14" x14ac:dyDescent="0.25">
      <c r="A1398" s="100">
        <v>67258</v>
      </c>
      <c r="I1398" s="99">
        <v>62036</v>
      </c>
      <c r="J1398" s="98" t="s">
        <v>212</v>
      </c>
      <c r="K1398" s="99">
        <v>72473</v>
      </c>
      <c r="L1398" s="98" t="s">
        <v>191</v>
      </c>
      <c r="M1398" s="99">
        <v>67258</v>
      </c>
      <c r="N1398" s="98" t="s">
        <v>199</v>
      </c>
    </row>
    <row r="1399" spans="1:14" x14ac:dyDescent="0.25">
      <c r="A1399" s="100">
        <v>67356</v>
      </c>
      <c r="I1399" s="99">
        <v>62055</v>
      </c>
      <c r="J1399" s="98" t="s">
        <v>211</v>
      </c>
      <c r="K1399" s="99">
        <v>72620</v>
      </c>
      <c r="L1399" s="98" t="s">
        <v>189</v>
      </c>
      <c r="M1399" s="99">
        <v>67356</v>
      </c>
      <c r="N1399" s="98" t="s">
        <v>166</v>
      </c>
    </row>
    <row r="1400" spans="1:14" x14ac:dyDescent="0.25">
      <c r="A1400" s="100">
        <v>67377</v>
      </c>
      <c r="I1400" s="99">
        <v>62094</v>
      </c>
      <c r="J1400" s="98" t="s">
        <v>161</v>
      </c>
      <c r="K1400" s="99">
        <v>72679</v>
      </c>
      <c r="L1400" s="98" t="s">
        <v>177</v>
      </c>
      <c r="M1400" s="99">
        <v>67377</v>
      </c>
      <c r="N1400" s="98" t="s">
        <v>170</v>
      </c>
    </row>
    <row r="1401" spans="1:14" x14ac:dyDescent="0.25">
      <c r="A1401" s="100">
        <v>67392</v>
      </c>
      <c r="I1401" s="99">
        <v>62106</v>
      </c>
      <c r="J1401" s="98" t="s">
        <v>164</v>
      </c>
      <c r="K1401" s="99">
        <v>72680</v>
      </c>
      <c r="L1401" s="98" t="s">
        <v>182</v>
      </c>
      <c r="M1401" s="99">
        <v>67392</v>
      </c>
      <c r="N1401" s="98" t="s">
        <v>175</v>
      </c>
    </row>
    <row r="1402" spans="1:14" x14ac:dyDescent="0.25">
      <c r="A1402" s="100">
        <v>67454</v>
      </c>
      <c r="I1402" s="99">
        <v>62135</v>
      </c>
      <c r="J1402" s="98" t="s">
        <v>168</v>
      </c>
      <c r="K1402" s="99">
        <v>72686</v>
      </c>
      <c r="L1402" s="98" t="s">
        <v>160</v>
      </c>
      <c r="M1402" s="99">
        <v>67454</v>
      </c>
      <c r="N1402" s="98" t="s">
        <v>184</v>
      </c>
    </row>
    <row r="1403" spans="1:14" x14ac:dyDescent="0.25">
      <c r="A1403" s="100">
        <v>67489</v>
      </c>
      <c r="I1403" s="99">
        <v>62147</v>
      </c>
      <c r="J1403" s="98" t="s">
        <v>173</v>
      </c>
      <c r="K1403" s="99">
        <v>72687</v>
      </c>
      <c r="L1403" s="98" t="s">
        <v>165</v>
      </c>
      <c r="M1403" s="99">
        <v>67489</v>
      </c>
      <c r="N1403" s="98" t="s">
        <v>201</v>
      </c>
    </row>
    <row r="1404" spans="1:14" x14ac:dyDescent="0.25">
      <c r="A1404" s="100">
        <v>67518</v>
      </c>
      <c r="I1404" s="99">
        <v>62148</v>
      </c>
      <c r="J1404" s="98" t="s">
        <v>212</v>
      </c>
      <c r="K1404" s="99">
        <v>72711</v>
      </c>
      <c r="L1404" s="98" t="s">
        <v>206</v>
      </c>
      <c r="M1404" s="99">
        <v>67518</v>
      </c>
      <c r="N1404" s="98" t="s">
        <v>210</v>
      </c>
    </row>
    <row r="1405" spans="1:14" x14ac:dyDescent="0.25">
      <c r="A1405" s="100">
        <v>67521</v>
      </c>
      <c r="I1405" s="99">
        <v>62172</v>
      </c>
      <c r="J1405" s="98" t="s">
        <v>178</v>
      </c>
      <c r="K1405" s="99">
        <v>72722</v>
      </c>
      <c r="L1405" s="98" t="s">
        <v>169</v>
      </c>
      <c r="M1405" s="99">
        <v>67521</v>
      </c>
      <c r="N1405" s="98" t="s">
        <v>220</v>
      </c>
    </row>
    <row r="1406" spans="1:14" x14ac:dyDescent="0.25">
      <c r="A1406" s="100">
        <v>67522</v>
      </c>
      <c r="I1406" s="99">
        <v>62212</v>
      </c>
      <c r="J1406" s="98" t="s">
        <v>183</v>
      </c>
      <c r="K1406" s="99">
        <v>72785</v>
      </c>
      <c r="L1406" s="98" t="s">
        <v>159</v>
      </c>
      <c r="M1406" s="99">
        <v>67522</v>
      </c>
      <c r="N1406" s="98" t="s">
        <v>188</v>
      </c>
    </row>
    <row r="1407" spans="1:14" x14ac:dyDescent="0.25">
      <c r="A1407" s="100">
        <v>67534</v>
      </c>
      <c r="I1407" s="99">
        <v>62216</v>
      </c>
      <c r="J1407" s="98" t="s">
        <v>187</v>
      </c>
      <c r="K1407" s="99">
        <v>72788</v>
      </c>
      <c r="L1407" s="98" t="s">
        <v>162</v>
      </c>
      <c r="M1407" s="99">
        <v>67534</v>
      </c>
      <c r="N1407" s="98" t="s">
        <v>192</v>
      </c>
    </row>
    <row r="1408" spans="1:14" x14ac:dyDescent="0.25">
      <c r="A1408" s="100">
        <v>67566</v>
      </c>
      <c r="I1408" s="99">
        <v>62217</v>
      </c>
      <c r="J1408" s="98" t="s">
        <v>190</v>
      </c>
      <c r="K1408" s="99">
        <v>72800</v>
      </c>
      <c r="L1408" s="98" t="s">
        <v>174</v>
      </c>
      <c r="M1408" s="99">
        <v>67566</v>
      </c>
      <c r="N1408" s="98" t="s">
        <v>177</v>
      </c>
    </row>
    <row r="1409" spans="1:14" x14ac:dyDescent="0.25">
      <c r="A1409" s="100">
        <v>67573</v>
      </c>
      <c r="I1409" s="99">
        <v>62218</v>
      </c>
      <c r="J1409" s="98" t="s">
        <v>194</v>
      </c>
      <c r="K1409" s="99">
        <v>72802</v>
      </c>
      <c r="L1409" s="98" t="s">
        <v>179</v>
      </c>
      <c r="M1409" s="99">
        <v>67573</v>
      </c>
      <c r="N1409" s="98" t="s">
        <v>160</v>
      </c>
    </row>
    <row r="1410" spans="1:14" x14ac:dyDescent="0.25">
      <c r="A1410" s="100">
        <v>67587</v>
      </c>
      <c r="I1410" s="99">
        <v>62219</v>
      </c>
      <c r="J1410" s="98" t="s">
        <v>212</v>
      </c>
      <c r="K1410" s="99">
        <v>72837</v>
      </c>
      <c r="L1410" s="98" t="s">
        <v>191</v>
      </c>
      <c r="M1410" s="99">
        <v>67587</v>
      </c>
      <c r="N1410" s="98" t="s">
        <v>197</v>
      </c>
    </row>
    <row r="1411" spans="1:14" x14ac:dyDescent="0.25">
      <c r="A1411" s="100">
        <v>67615</v>
      </c>
      <c r="I1411" s="99">
        <v>62295</v>
      </c>
      <c r="J1411" s="98" t="s">
        <v>196</v>
      </c>
      <c r="K1411" s="99">
        <v>72984</v>
      </c>
      <c r="L1411" s="98" t="s">
        <v>189</v>
      </c>
      <c r="M1411" s="99">
        <v>67615</v>
      </c>
      <c r="N1411" s="98" t="s">
        <v>204</v>
      </c>
    </row>
    <row r="1412" spans="1:14" x14ac:dyDescent="0.25">
      <c r="A1412" s="100">
        <v>67618</v>
      </c>
      <c r="I1412" s="99">
        <v>62316</v>
      </c>
      <c r="J1412" s="98" t="s">
        <v>198</v>
      </c>
      <c r="K1412" s="99">
        <v>73044</v>
      </c>
      <c r="L1412" s="98" t="s">
        <v>177</v>
      </c>
      <c r="M1412" s="99">
        <v>67618</v>
      </c>
      <c r="N1412" s="98" t="s">
        <v>207</v>
      </c>
    </row>
    <row r="1413" spans="1:14" x14ac:dyDescent="0.25">
      <c r="A1413" s="100">
        <v>67622</v>
      </c>
      <c r="I1413" s="99">
        <v>62351</v>
      </c>
      <c r="J1413" s="98" t="s">
        <v>200</v>
      </c>
      <c r="K1413" s="99">
        <v>73045</v>
      </c>
      <c r="L1413" s="98" t="s">
        <v>182</v>
      </c>
      <c r="M1413" s="99">
        <v>67622</v>
      </c>
      <c r="N1413" s="98" t="s">
        <v>199</v>
      </c>
    </row>
    <row r="1414" spans="1:14" x14ac:dyDescent="0.25">
      <c r="A1414" s="100">
        <v>67720</v>
      </c>
      <c r="I1414" s="99">
        <v>62359</v>
      </c>
      <c r="J1414" s="98" t="s">
        <v>203</v>
      </c>
      <c r="K1414" s="99">
        <v>73047</v>
      </c>
      <c r="L1414" s="98" t="s">
        <v>186</v>
      </c>
      <c r="M1414" s="99">
        <v>67720</v>
      </c>
      <c r="N1414" s="98" t="s">
        <v>166</v>
      </c>
    </row>
    <row r="1415" spans="1:14" x14ac:dyDescent="0.25">
      <c r="A1415" s="100">
        <v>67742</v>
      </c>
      <c r="I1415" s="99">
        <v>62379</v>
      </c>
      <c r="J1415" s="98" t="s">
        <v>205</v>
      </c>
      <c r="M1415" s="99">
        <v>67742</v>
      </c>
      <c r="N1415" s="98" t="s">
        <v>170</v>
      </c>
    </row>
    <row r="1416" spans="1:14" x14ac:dyDescent="0.25">
      <c r="A1416" s="100">
        <v>67757</v>
      </c>
      <c r="I1416" s="99">
        <v>62400</v>
      </c>
      <c r="J1416" s="98" t="s">
        <v>209</v>
      </c>
      <c r="M1416" s="99">
        <v>67757</v>
      </c>
      <c r="N1416" s="98" t="s">
        <v>175</v>
      </c>
    </row>
    <row r="1417" spans="1:14" x14ac:dyDescent="0.25">
      <c r="A1417" s="100">
        <v>67818</v>
      </c>
      <c r="I1417" s="99">
        <v>62420</v>
      </c>
      <c r="J1417" s="98" t="s">
        <v>211</v>
      </c>
      <c r="M1417" s="99">
        <v>67818</v>
      </c>
      <c r="N1417" s="98" t="s">
        <v>184</v>
      </c>
    </row>
    <row r="1418" spans="1:14" x14ac:dyDescent="0.25">
      <c r="A1418" s="100">
        <v>67853</v>
      </c>
      <c r="I1418" s="99">
        <v>62421</v>
      </c>
      <c r="J1418" s="98" t="s">
        <v>212</v>
      </c>
      <c r="M1418" s="99">
        <v>67853</v>
      </c>
      <c r="N1418" s="98" t="s">
        <v>201</v>
      </c>
    </row>
    <row r="1419" spans="1:14" x14ac:dyDescent="0.25">
      <c r="A1419" s="100">
        <v>67882</v>
      </c>
      <c r="I1419" s="99">
        <v>62459</v>
      </c>
      <c r="J1419" s="98" t="s">
        <v>161</v>
      </c>
      <c r="M1419" s="99">
        <v>67882</v>
      </c>
      <c r="N1419" s="98" t="s">
        <v>210</v>
      </c>
    </row>
    <row r="1420" spans="1:14" x14ac:dyDescent="0.25">
      <c r="A1420" s="100">
        <v>67887</v>
      </c>
      <c r="I1420" s="99">
        <v>62470</v>
      </c>
      <c r="J1420" s="98" t="s">
        <v>164</v>
      </c>
      <c r="M1420" s="99">
        <v>67887</v>
      </c>
      <c r="N1420" s="98" t="s">
        <v>188</v>
      </c>
    </row>
    <row r="1421" spans="1:14" x14ac:dyDescent="0.25">
      <c r="A1421" s="100">
        <v>67888</v>
      </c>
      <c r="I1421" s="99">
        <v>62500</v>
      </c>
      <c r="J1421" s="98" t="s">
        <v>168</v>
      </c>
      <c r="M1421" s="99">
        <v>67888</v>
      </c>
      <c r="N1421" s="98" t="s">
        <v>220</v>
      </c>
    </row>
    <row r="1422" spans="1:14" x14ac:dyDescent="0.25">
      <c r="A1422" s="100">
        <v>67898</v>
      </c>
      <c r="I1422" s="99">
        <v>62512</v>
      </c>
      <c r="J1422" s="98" t="s">
        <v>173</v>
      </c>
      <c r="M1422" s="99">
        <v>67898</v>
      </c>
      <c r="N1422" s="98" t="s">
        <v>192</v>
      </c>
    </row>
    <row r="1423" spans="1:14" x14ac:dyDescent="0.25">
      <c r="A1423" s="100">
        <v>67931</v>
      </c>
      <c r="I1423" s="99">
        <v>62537</v>
      </c>
      <c r="J1423" s="98" t="s">
        <v>178</v>
      </c>
      <c r="M1423" s="99">
        <v>67931</v>
      </c>
      <c r="N1423" s="98" t="s">
        <v>177</v>
      </c>
    </row>
    <row r="1424" spans="1:14" x14ac:dyDescent="0.25">
      <c r="A1424" s="100">
        <v>67938</v>
      </c>
      <c r="I1424" s="99">
        <v>62577</v>
      </c>
      <c r="J1424" s="98" t="s">
        <v>183</v>
      </c>
      <c r="M1424" s="99">
        <v>67938</v>
      </c>
      <c r="N1424" s="98" t="s">
        <v>160</v>
      </c>
    </row>
    <row r="1425" spans="1:14" x14ac:dyDescent="0.25">
      <c r="A1425" s="100">
        <v>67958</v>
      </c>
      <c r="I1425" s="99">
        <v>62581</v>
      </c>
      <c r="J1425" s="98" t="s">
        <v>187</v>
      </c>
      <c r="M1425" s="99">
        <v>67958</v>
      </c>
      <c r="N1425" s="98" t="s">
        <v>197</v>
      </c>
    </row>
    <row r="1426" spans="1:14" x14ac:dyDescent="0.25">
      <c r="A1426" s="100">
        <v>67980</v>
      </c>
      <c r="I1426" s="99">
        <v>62582</v>
      </c>
      <c r="J1426" s="98" t="s">
        <v>190</v>
      </c>
      <c r="M1426" s="99">
        <v>67980</v>
      </c>
      <c r="N1426" s="98" t="s">
        <v>204</v>
      </c>
    </row>
    <row r="1427" spans="1:14" x14ac:dyDescent="0.25">
      <c r="A1427" s="100">
        <v>67983</v>
      </c>
      <c r="I1427" s="99">
        <v>62583</v>
      </c>
      <c r="J1427" s="98" t="s">
        <v>194</v>
      </c>
      <c r="M1427" s="99">
        <v>67983</v>
      </c>
      <c r="N1427" s="98" t="s">
        <v>207</v>
      </c>
    </row>
    <row r="1428" spans="1:14" x14ac:dyDescent="0.25">
      <c r="A1428" s="100">
        <v>67986</v>
      </c>
      <c r="I1428" s="99">
        <v>62584</v>
      </c>
      <c r="J1428" s="98" t="s">
        <v>212</v>
      </c>
      <c r="M1428" s="99">
        <v>67986</v>
      </c>
      <c r="N1428" s="98" t="s">
        <v>199</v>
      </c>
    </row>
    <row r="1429" spans="1:14" x14ac:dyDescent="0.25">
      <c r="A1429" s="100">
        <v>68084</v>
      </c>
      <c r="I1429" s="99">
        <v>62659</v>
      </c>
      <c r="J1429" s="98" t="s">
        <v>196</v>
      </c>
      <c r="M1429" s="99">
        <v>68084</v>
      </c>
      <c r="N1429" s="98" t="s">
        <v>166</v>
      </c>
    </row>
    <row r="1430" spans="1:14" x14ac:dyDescent="0.25">
      <c r="A1430" s="100">
        <v>68107</v>
      </c>
      <c r="I1430" s="99">
        <v>62681</v>
      </c>
      <c r="J1430" s="98" t="s">
        <v>198</v>
      </c>
      <c r="M1430" s="99">
        <v>68107</v>
      </c>
      <c r="N1430" s="98" t="s">
        <v>170</v>
      </c>
    </row>
    <row r="1431" spans="1:14" x14ac:dyDescent="0.25">
      <c r="A1431" s="100">
        <v>68122</v>
      </c>
      <c r="I1431" s="99">
        <v>62722</v>
      </c>
      <c r="J1431" s="98" t="s">
        <v>200</v>
      </c>
      <c r="M1431" s="99">
        <v>68122</v>
      </c>
      <c r="N1431" s="98" t="s">
        <v>175</v>
      </c>
    </row>
    <row r="1432" spans="1:14" x14ac:dyDescent="0.25">
      <c r="A1432" s="100">
        <v>68182</v>
      </c>
      <c r="I1432" s="99">
        <v>62723</v>
      </c>
      <c r="J1432" s="98" t="s">
        <v>218</v>
      </c>
      <c r="M1432" s="99">
        <v>68182</v>
      </c>
      <c r="N1432" s="98" t="s">
        <v>184</v>
      </c>
    </row>
    <row r="1433" spans="1:14" x14ac:dyDescent="0.25">
      <c r="A1433" s="100">
        <v>68224</v>
      </c>
      <c r="I1433" s="99">
        <v>62724</v>
      </c>
      <c r="J1433" s="98" t="s">
        <v>203</v>
      </c>
      <c r="M1433" s="99">
        <v>68224</v>
      </c>
      <c r="N1433" s="98" t="s">
        <v>201</v>
      </c>
    </row>
    <row r="1434" spans="1:14" x14ac:dyDescent="0.25">
      <c r="A1434" s="100">
        <v>68246</v>
      </c>
      <c r="I1434" s="99">
        <v>62743</v>
      </c>
      <c r="J1434" s="98" t="s">
        <v>205</v>
      </c>
      <c r="M1434" s="99">
        <v>68246</v>
      </c>
      <c r="N1434" s="98" t="s">
        <v>210</v>
      </c>
    </row>
    <row r="1435" spans="1:14" x14ac:dyDescent="0.25">
      <c r="A1435" s="100">
        <v>68252</v>
      </c>
      <c r="I1435" s="99">
        <v>62765</v>
      </c>
      <c r="J1435" s="98" t="s">
        <v>209</v>
      </c>
      <c r="M1435" s="99">
        <v>68252</v>
      </c>
      <c r="N1435" s="98" t="s">
        <v>188</v>
      </c>
    </row>
    <row r="1436" spans="1:14" x14ac:dyDescent="0.25">
      <c r="A1436" s="100">
        <v>68269</v>
      </c>
      <c r="I1436" s="99">
        <v>62785</v>
      </c>
      <c r="J1436" s="98" t="s">
        <v>211</v>
      </c>
      <c r="M1436" s="99">
        <v>68269</v>
      </c>
      <c r="N1436" s="98" t="s">
        <v>192</v>
      </c>
    </row>
    <row r="1437" spans="1:14" x14ac:dyDescent="0.25">
      <c r="A1437" s="100">
        <v>68296</v>
      </c>
      <c r="I1437" s="99">
        <v>62824</v>
      </c>
      <c r="J1437" s="98" t="s">
        <v>161</v>
      </c>
      <c r="M1437" s="99">
        <v>68296</v>
      </c>
      <c r="N1437" s="98" t="s">
        <v>177</v>
      </c>
    </row>
    <row r="1438" spans="1:14" x14ac:dyDescent="0.25">
      <c r="A1438" s="100">
        <v>68303</v>
      </c>
      <c r="I1438" s="99">
        <v>62834</v>
      </c>
      <c r="J1438" s="98" t="s">
        <v>164</v>
      </c>
      <c r="M1438" s="99">
        <v>68303</v>
      </c>
      <c r="N1438" s="98" t="s">
        <v>160</v>
      </c>
    </row>
    <row r="1439" spans="1:14" x14ac:dyDescent="0.25">
      <c r="A1439" s="100">
        <v>68322</v>
      </c>
      <c r="I1439" s="99">
        <v>62865</v>
      </c>
      <c r="J1439" s="98" t="s">
        <v>168</v>
      </c>
      <c r="M1439" s="99">
        <v>68322</v>
      </c>
      <c r="N1439" s="98" t="s">
        <v>197</v>
      </c>
    </row>
    <row r="1440" spans="1:14" x14ac:dyDescent="0.25">
      <c r="A1440" s="100">
        <v>68345</v>
      </c>
      <c r="I1440" s="99">
        <v>62877</v>
      </c>
      <c r="J1440" s="98" t="s">
        <v>173</v>
      </c>
      <c r="M1440" s="99">
        <v>68345</v>
      </c>
      <c r="N1440" s="98" t="s">
        <v>204</v>
      </c>
    </row>
    <row r="1441" spans="1:14" x14ac:dyDescent="0.25">
      <c r="A1441" s="100">
        <v>68348</v>
      </c>
      <c r="I1441" s="99">
        <v>62903</v>
      </c>
      <c r="J1441" s="98" t="s">
        <v>178</v>
      </c>
      <c r="M1441" s="99">
        <v>68348</v>
      </c>
      <c r="N1441" s="98" t="s">
        <v>207</v>
      </c>
    </row>
    <row r="1442" spans="1:14" x14ac:dyDescent="0.25">
      <c r="A1442" s="100">
        <v>68350</v>
      </c>
      <c r="I1442" s="99">
        <v>62904</v>
      </c>
      <c r="J1442" s="98" t="s">
        <v>212</v>
      </c>
      <c r="M1442" s="99">
        <v>68350</v>
      </c>
      <c r="N1442" s="98" t="s">
        <v>199</v>
      </c>
    </row>
    <row r="1443" spans="1:14" x14ac:dyDescent="0.25">
      <c r="A1443" s="100">
        <v>68448</v>
      </c>
      <c r="I1443" s="99">
        <v>62943</v>
      </c>
      <c r="J1443" s="98" t="s">
        <v>183</v>
      </c>
      <c r="M1443" s="99">
        <v>68448</v>
      </c>
      <c r="N1443" s="98" t="s">
        <v>166</v>
      </c>
    </row>
    <row r="1444" spans="1:14" x14ac:dyDescent="0.25">
      <c r="A1444" s="100">
        <v>68472</v>
      </c>
      <c r="I1444" s="99">
        <v>62947</v>
      </c>
      <c r="J1444" s="98" t="s">
        <v>187</v>
      </c>
      <c r="M1444" s="99">
        <v>68472</v>
      </c>
      <c r="N1444" s="98" t="s">
        <v>170</v>
      </c>
    </row>
    <row r="1445" spans="1:14" x14ac:dyDescent="0.25">
      <c r="A1445" s="100">
        <v>68487</v>
      </c>
      <c r="I1445" s="99">
        <v>62948</v>
      </c>
      <c r="J1445" s="98" t="s">
        <v>190</v>
      </c>
      <c r="M1445" s="99">
        <v>68487</v>
      </c>
      <c r="N1445" s="98" t="s">
        <v>175</v>
      </c>
    </row>
    <row r="1446" spans="1:14" x14ac:dyDescent="0.25">
      <c r="A1446" s="100">
        <v>68546</v>
      </c>
      <c r="I1446" s="99">
        <v>62949</v>
      </c>
      <c r="J1446" s="98" t="s">
        <v>194</v>
      </c>
      <c r="M1446" s="99">
        <v>68546</v>
      </c>
      <c r="N1446" s="98" t="s">
        <v>184</v>
      </c>
    </row>
    <row r="1447" spans="1:14" x14ac:dyDescent="0.25">
      <c r="A1447" s="100">
        <v>68588</v>
      </c>
      <c r="I1447" s="99">
        <v>63023</v>
      </c>
      <c r="J1447" s="98" t="s">
        <v>196</v>
      </c>
      <c r="M1447" s="99">
        <v>68588</v>
      </c>
      <c r="N1447" s="98" t="s">
        <v>201</v>
      </c>
    </row>
    <row r="1448" spans="1:14" x14ac:dyDescent="0.25">
      <c r="A1448" s="100">
        <v>68610</v>
      </c>
      <c r="I1448" s="99">
        <v>63047</v>
      </c>
      <c r="J1448" s="98" t="s">
        <v>198</v>
      </c>
      <c r="M1448" s="99">
        <v>68610</v>
      </c>
      <c r="N1448" s="98" t="s">
        <v>210</v>
      </c>
    </row>
    <row r="1449" spans="1:14" x14ac:dyDescent="0.25">
      <c r="A1449" s="100">
        <v>68617</v>
      </c>
      <c r="I1449" s="99">
        <v>63086</v>
      </c>
      <c r="J1449" s="98" t="s">
        <v>200</v>
      </c>
      <c r="M1449" s="99">
        <v>68617</v>
      </c>
      <c r="N1449" s="98" t="s">
        <v>188</v>
      </c>
    </row>
    <row r="1450" spans="1:14" x14ac:dyDescent="0.25">
      <c r="A1450" s="100">
        <v>68633</v>
      </c>
      <c r="I1450" s="99">
        <v>63089</v>
      </c>
      <c r="J1450" s="98" t="s">
        <v>203</v>
      </c>
      <c r="M1450" s="99">
        <v>68633</v>
      </c>
      <c r="N1450" s="98" t="s">
        <v>192</v>
      </c>
    </row>
    <row r="1451" spans="1:14" x14ac:dyDescent="0.25">
      <c r="A1451" s="100">
        <v>68661</v>
      </c>
      <c r="I1451" s="99">
        <v>63107</v>
      </c>
      <c r="J1451" s="98" t="s">
        <v>205</v>
      </c>
      <c r="M1451" s="99">
        <v>68661</v>
      </c>
      <c r="N1451" s="98" t="s">
        <v>177</v>
      </c>
    </row>
    <row r="1452" spans="1:14" x14ac:dyDescent="0.25">
      <c r="A1452" s="100">
        <v>68668</v>
      </c>
      <c r="I1452" s="99">
        <v>63131</v>
      </c>
      <c r="J1452" s="98" t="s">
        <v>209</v>
      </c>
      <c r="M1452" s="99">
        <v>68668</v>
      </c>
      <c r="N1452" s="98" t="s">
        <v>160</v>
      </c>
    </row>
    <row r="1453" spans="1:14" x14ac:dyDescent="0.25">
      <c r="A1453" s="100">
        <v>68686</v>
      </c>
      <c r="I1453" s="99">
        <v>63151</v>
      </c>
      <c r="J1453" s="98" t="s">
        <v>211</v>
      </c>
      <c r="M1453" s="99">
        <v>68686</v>
      </c>
      <c r="N1453" s="98" t="s">
        <v>197</v>
      </c>
    </row>
    <row r="1454" spans="1:14" x14ac:dyDescent="0.25">
      <c r="A1454" s="100">
        <v>68710</v>
      </c>
      <c r="I1454" s="99">
        <v>63190</v>
      </c>
      <c r="J1454" s="98" t="s">
        <v>161</v>
      </c>
      <c r="M1454" s="99">
        <v>68710</v>
      </c>
      <c r="N1454" s="98" t="s">
        <v>204</v>
      </c>
    </row>
    <row r="1455" spans="1:14" x14ac:dyDescent="0.25">
      <c r="A1455" s="100">
        <v>68713</v>
      </c>
      <c r="I1455" s="99">
        <v>63191</v>
      </c>
      <c r="J1455" s="98" t="s">
        <v>212</v>
      </c>
      <c r="M1455" s="99">
        <v>68713</v>
      </c>
      <c r="N1455" s="98" t="s">
        <v>207</v>
      </c>
    </row>
    <row r="1456" spans="1:14" x14ac:dyDescent="0.25">
      <c r="A1456" s="100">
        <v>68714</v>
      </c>
      <c r="I1456" s="99">
        <v>63198</v>
      </c>
      <c r="J1456" s="98" t="s">
        <v>164</v>
      </c>
      <c r="M1456" s="99">
        <v>68714</v>
      </c>
      <c r="N1456" s="98" t="s">
        <v>199</v>
      </c>
    </row>
    <row r="1457" spans="1:14" x14ac:dyDescent="0.25">
      <c r="A1457" s="100">
        <v>68819</v>
      </c>
      <c r="I1457" s="99">
        <v>63231</v>
      </c>
      <c r="J1457" s="98" t="s">
        <v>168</v>
      </c>
      <c r="M1457" s="99">
        <v>68819</v>
      </c>
      <c r="N1457" s="98" t="s">
        <v>166</v>
      </c>
    </row>
    <row r="1458" spans="1:14" x14ac:dyDescent="0.25">
      <c r="A1458" s="100">
        <v>68837</v>
      </c>
      <c r="I1458" s="99">
        <v>63243</v>
      </c>
      <c r="J1458" s="98" t="s">
        <v>173</v>
      </c>
      <c r="M1458" s="99">
        <v>68837</v>
      </c>
      <c r="N1458" s="98" t="s">
        <v>216</v>
      </c>
    </row>
    <row r="1459" spans="1:14" x14ac:dyDescent="0.25">
      <c r="A1459" s="100">
        <v>68838</v>
      </c>
      <c r="I1459" s="99">
        <v>63268</v>
      </c>
      <c r="J1459" s="98" t="s">
        <v>178</v>
      </c>
      <c r="M1459" s="99">
        <v>68838</v>
      </c>
      <c r="N1459" s="98" t="s">
        <v>170</v>
      </c>
    </row>
    <row r="1460" spans="1:14" x14ac:dyDescent="0.25">
      <c r="A1460" s="100">
        <v>68853</v>
      </c>
      <c r="I1460" s="99">
        <v>63308</v>
      </c>
      <c r="J1460" s="98" t="s">
        <v>183</v>
      </c>
      <c r="M1460" s="99">
        <v>68853</v>
      </c>
      <c r="N1460" s="98" t="s">
        <v>175</v>
      </c>
    </row>
    <row r="1461" spans="1:14" x14ac:dyDescent="0.25">
      <c r="A1461" s="100">
        <v>68854</v>
      </c>
      <c r="I1461" s="99">
        <v>63312</v>
      </c>
      <c r="J1461" s="98" t="s">
        <v>187</v>
      </c>
      <c r="M1461" s="99">
        <v>68854</v>
      </c>
      <c r="N1461" s="98" t="s">
        <v>180</v>
      </c>
    </row>
    <row r="1462" spans="1:14" x14ac:dyDescent="0.25">
      <c r="A1462" s="100">
        <v>68917</v>
      </c>
      <c r="I1462" s="99">
        <v>63313</v>
      </c>
      <c r="J1462" s="98" t="s">
        <v>190</v>
      </c>
      <c r="M1462" s="99">
        <v>68917</v>
      </c>
      <c r="N1462" s="98" t="s">
        <v>184</v>
      </c>
    </row>
    <row r="1463" spans="1:14" x14ac:dyDescent="0.25">
      <c r="A1463" s="100">
        <v>68952</v>
      </c>
      <c r="I1463" s="99">
        <v>63314</v>
      </c>
      <c r="J1463" s="98" t="s">
        <v>194</v>
      </c>
      <c r="M1463" s="99">
        <v>68952</v>
      </c>
      <c r="N1463" s="98" t="s">
        <v>201</v>
      </c>
    </row>
    <row r="1464" spans="1:14" x14ac:dyDescent="0.25">
      <c r="A1464" s="100">
        <v>68974</v>
      </c>
      <c r="I1464" s="99">
        <v>63387</v>
      </c>
      <c r="J1464" s="98" t="s">
        <v>196</v>
      </c>
      <c r="M1464" s="99">
        <v>68974</v>
      </c>
      <c r="N1464" s="98" t="s">
        <v>210</v>
      </c>
    </row>
    <row r="1465" spans="1:14" x14ac:dyDescent="0.25">
      <c r="A1465" s="100">
        <v>68983</v>
      </c>
      <c r="I1465" s="99">
        <v>63412</v>
      </c>
      <c r="J1465" s="98" t="s">
        <v>198</v>
      </c>
      <c r="M1465" s="99">
        <v>68983</v>
      </c>
      <c r="N1465" s="98" t="s">
        <v>188</v>
      </c>
    </row>
    <row r="1466" spans="1:14" x14ac:dyDescent="0.25">
      <c r="A1466" s="100">
        <v>68997</v>
      </c>
      <c r="I1466" s="99">
        <v>63450</v>
      </c>
      <c r="J1466" s="98" t="s">
        <v>200</v>
      </c>
      <c r="M1466" s="99">
        <v>68997</v>
      </c>
      <c r="N1466" s="98" t="s">
        <v>192</v>
      </c>
    </row>
    <row r="1467" spans="1:14" x14ac:dyDescent="0.25">
      <c r="A1467" s="100">
        <v>69026</v>
      </c>
      <c r="I1467" s="99">
        <v>63454</v>
      </c>
      <c r="J1467" s="98" t="s">
        <v>203</v>
      </c>
      <c r="M1467" s="99">
        <v>69026</v>
      </c>
      <c r="N1467" s="98" t="s">
        <v>208</v>
      </c>
    </row>
    <row r="1468" spans="1:14" x14ac:dyDescent="0.25">
      <c r="A1468" s="100">
        <v>69027</v>
      </c>
      <c r="I1468" s="99">
        <v>63471</v>
      </c>
      <c r="J1468" s="98" t="s">
        <v>205</v>
      </c>
      <c r="M1468" s="99">
        <v>69027</v>
      </c>
      <c r="N1468" s="98" t="s">
        <v>177</v>
      </c>
    </row>
    <row r="1469" spans="1:14" x14ac:dyDescent="0.25">
      <c r="A1469" s="100">
        <v>69033</v>
      </c>
      <c r="I1469" s="99">
        <v>63496</v>
      </c>
      <c r="J1469" s="98" t="s">
        <v>209</v>
      </c>
      <c r="M1469" s="99">
        <v>69033</v>
      </c>
      <c r="N1469" s="98" t="s">
        <v>214</v>
      </c>
    </row>
    <row r="1470" spans="1:14" x14ac:dyDescent="0.25">
      <c r="A1470" s="100">
        <v>69034</v>
      </c>
      <c r="I1470" s="99">
        <v>63516</v>
      </c>
      <c r="J1470" s="98" t="s">
        <v>211</v>
      </c>
      <c r="M1470" s="99">
        <v>69034</v>
      </c>
      <c r="N1470" s="98" t="s">
        <v>160</v>
      </c>
    </row>
    <row r="1471" spans="1:14" x14ac:dyDescent="0.25">
      <c r="A1471" s="100">
        <v>69050</v>
      </c>
      <c r="I1471" s="99">
        <v>63555</v>
      </c>
      <c r="J1471" s="98" t="s">
        <v>161</v>
      </c>
      <c r="M1471" s="99">
        <v>69050</v>
      </c>
      <c r="N1471" s="98" t="s">
        <v>197</v>
      </c>
    </row>
    <row r="1472" spans="1:14" x14ac:dyDescent="0.25">
      <c r="A1472" s="100">
        <v>69075</v>
      </c>
      <c r="I1472" s="99">
        <v>63562</v>
      </c>
      <c r="J1472" s="98" t="s">
        <v>164</v>
      </c>
      <c r="M1472" s="99">
        <v>69075</v>
      </c>
      <c r="N1472" s="98" t="s">
        <v>219</v>
      </c>
    </row>
    <row r="1473" spans="1:14" x14ac:dyDescent="0.25">
      <c r="A1473" s="100">
        <v>69076</v>
      </c>
      <c r="I1473" s="99">
        <v>63596</v>
      </c>
      <c r="J1473" s="98" t="s">
        <v>168</v>
      </c>
      <c r="M1473" s="99">
        <v>69076</v>
      </c>
      <c r="N1473" s="98" t="s">
        <v>204</v>
      </c>
    </row>
    <row r="1474" spans="1:14" x14ac:dyDescent="0.25">
      <c r="A1474" s="100">
        <v>69079</v>
      </c>
      <c r="I1474" s="99">
        <v>63597</v>
      </c>
      <c r="J1474" s="98" t="s">
        <v>212</v>
      </c>
      <c r="M1474" s="99">
        <v>69079</v>
      </c>
      <c r="N1474" s="98" t="s">
        <v>207</v>
      </c>
    </row>
    <row r="1475" spans="1:14" x14ac:dyDescent="0.25">
      <c r="A1475" s="100">
        <v>69085</v>
      </c>
      <c r="I1475" s="99">
        <v>63608</v>
      </c>
      <c r="J1475" s="98" t="s">
        <v>173</v>
      </c>
      <c r="M1475" s="99">
        <v>69085</v>
      </c>
      <c r="N1475" s="98" t="s">
        <v>199</v>
      </c>
    </row>
    <row r="1476" spans="1:14" x14ac:dyDescent="0.25">
      <c r="A1476" s="100">
        <v>69183</v>
      </c>
      <c r="I1476" s="99">
        <v>63633</v>
      </c>
      <c r="J1476" s="98" t="s">
        <v>178</v>
      </c>
      <c r="M1476" s="99">
        <v>69183</v>
      </c>
      <c r="N1476" s="98" t="s">
        <v>166</v>
      </c>
    </row>
    <row r="1477" spans="1:14" x14ac:dyDescent="0.25">
      <c r="A1477" s="100">
        <v>69203</v>
      </c>
      <c r="I1477" s="99">
        <v>63673</v>
      </c>
      <c r="J1477" s="98" t="s">
        <v>183</v>
      </c>
      <c r="M1477" s="99">
        <v>69203</v>
      </c>
      <c r="N1477" s="98" t="s">
        <v>170</v>
      </c>
    </row>
    <row r="1478" spans="1:14" x14ac:dyDescent="0.25">
      <c r="A1478" s="100">
        <v>69204</v>
      </c>
      <c r="I1478" s="99">
        <v>63674</v>
      </c>
      <c r="J1478" s="98" t="s">
        <v>212</v>
      </c>
      <c r="M1478" s="99">
        <v>69204</v>
      </c>
      <c r="N1478" s="98" t="s">
        <v>216</v>
      </c>
    </row>
    <row r="1479" spans="1:14" x14ac:dyDescent="0.25">
      <c r="A1479" s="100">
        <v>69218</v>
      </c>
      <c r="I1479" s="99">
        <v>63677</v>
      </c>
      <c r="J1479" s="98" t="s">
        <v>187</v>
      </c>
      <c r="M1479" s="99">
        <v>69218</v>
      </c>
      <c r="N1479" s="98" t="s">
        <v>175</v>
      </c>
    </row>
    <row r="1480" spans="1:14" x14ac:dyDescent="0.25">
      <c r="A1480" s="100">
        <v>69281</v>
      </c>
      <c r="I1480" s="99">
        <v>63678</v>
      </c>
      <c r="J1480" s="98" t="s">
        <v>190</v>
      </c>
      <c r="M1480" s="99">
        <v>69281</v>
      </c>
      <c r="N1480" s="98" t="s">
        <v>184</v>
      </c>
    </row>
    <row r="1481" spans="1:14" x14ac:dyDescent="0.25">
      <c r="A1481" s="100">
        <v>69316</v>
      </c>
      <c r="I1481" s="99">
        <v>63679</v>
      </c>
      <c r="J1481" s="98" t="s">
        <v>194</v>
      </c>
      <c r="M1481" s="99">
        <v>69316</v>
      </c>
      <c r="N1481" s="98" t="s">
        <v>201</v>
      </c>
    </row>
    <row r="1482" spans="1:14" x14ac:dyDescent="0.25">
      <c r="A1482" s="100">
        <v>69345</v>
      </c>
      <c r="I1482" s="99">
        <v>63751</v>
      </c>
      <c r="J1482" s="98" t="s">
        <v>196</v>
      </c>
      <c r="M1482" s="99">
        <v>69345</v>
      </c>
      <c r="N1482" s="98" t="s">
        <v>210</v>
      </c>
    </row>
    <row r="1483" spans="1:14" x14ac:dyDescent="0.25">
      <c r="A1483" s="100">
        <v>69348</v>
      </c>
      <c r="I1483" s="99">
        <v>63777</v>
      </c>
      <c r="J1483" s="98" t="s">
        <v>198</v>
      </c>
      <c r="M1483" s="99">
        <v>69348</v>
      </c>
      <c r="N1483" s="98" t="s">
        <v>188</v>
      </c>
    </row>
    <row r="1484" spans="1:14" x14ac:dyDescent="0.25">
      <c r="A1484" s="100">
        <v>69361</v>
      </c>
      <c r="I1484" s="99">
        <v>63814</v>
      </c>
      <c r="J1484" s="98" t="s">
        <v>200</v>
      </c>
      <c r="M1484" s="99">
        <v>69361</v>
      </c>
      <c r="N1484" s="98" t="s">
        <v>192</v>
      </c>
    </row>
    <row r="1485" spans="1:14" x14ac:dyDescent="0.25">
      <c r="A1485" s="100">
        <v>69392</v>
      </c>
      <c r="I1485" s="99">
        <v>63820</v>
      </c>
      <c r="J1485" s="98" t="s">
        <v>203</v>
      </c>
      <c r="M1485" s="99">
        <v>69392</v>
      </c>
      <c r="N1485" s="98" t="s">
        <v>177</v>
      </c>
    </row>
    <row r="1486" spans="1:14" x14ac:dyDescent="0.25">
      <c r="A1486" s="100">
        <v>69393</v>
      </c>
      <c r="I1486" s="99">
        <v>63821</v>
      </c>
      <c r="J1486" s="98" t="s">
        <v>212</v>
      </c>
      <c r="M1486" s="99">
        <v>69393</v>
      </c>
      <c r="N1486" s="98" t="s">
        <v>208</v>
      </c>
    </row>
    <row r="1487" spans="1:14" x14ac:dyDescent="0.25">
      <c r="A1487" s="100">
        <v>69399</v>
      </c>
      <c r="I1487" s="99">
        <v>63835</v>
      </c>
      <c r="J1487" s="98" t="s">
        <v>205</v>
      </c>
      <c r="M1487" s="99">
        <v>69399</v>
      </c>
      <c r="N1487" s="98" t="s">
        <v>160</v>
      </c>
    </row>
    <row r="1488" spans="1:14" x14ac:dyDescent="0.25">
      <c r="A1488" s="100">
        <v>69400</v>
      </c>
      <c r="I1488" s="99">
        <v>63861</v>
      </c>
      <c r="J1488" s="98" t="s">
        <v>209</v>
      </c>
      <c r="M1488" s="99">
        <v>69400</v>
      </c>
      <c r="N1488" s="98" t="s">
        <v>214</v>
      </c>
    </row>
    <row r="1489" spans="1:14" x14ac:dyDescent="0.25">
      <c r="A1489" s="100">
        <v>69414</v>
      </c>
      <c r="I1489" s="99">
        <v>63881</v>
      </c>
      <c r="J1489" s="98" t="s">
        <v>211</v>
      </c>
      <c r="M1489" s="99">
        <v>69414</v>
      </c>
      <c r="N1489" s="98" t="s">
        <v>197</v>
      </c>
    </row>
    <row r="1490" spans="1:14" x14ac:dyDescent="0.25">
      <c r="A1490" s="100">
        <v>69441</v>
      </c>
      <c r="I1490" s="99">
        <v>63920</v>
      </c>
      <c r="J1490" s="98" t="s">
        <v>161</v>
      </c>
      <c r="M1490" s="99">
        <v>69441</v>
      </c>
      <c r="N1490" s="98" t="s">
        <v>204</v>
      </c>
    </row>
    <row r="1491" spans="1:14" x14ac:dyDescent="0.25">
      <c r="A1491" s="100">
        <v>69442</v>
      </c>
      <c r="I1491" s="99">
        <v>63933</v>
      </c>
      <c r="J1491" s="98" t="s">
        <v>164</v>
      </c>
      <c r="M1491" s="99">
        <v>69442</v>
      </c>
      <c r="N1491" s="98" t="s">
        <v>219</v>
      </c>
    </row>
    <row r="1492" spans="1:14" x14ac:dyDescent="0.25">
      <c r="A1492" s="100">
        <v>69444</v>
      </c>
      <c r="I1492" s="99">
        <v>63961</v>
      </c>
      <c r="J1492" s="98" t="s">
        <v>168</v>
      </c>
      <c r="M1492" s="99">
        <v>69444</v>
      </c>
      <c r="N1492" s="98" t="s">
        <v>207</v>
      </c>
    </row>
    <row r="1493" spans="1:14" x14ac:dyDescent="0.25">
      <c r="A1493" s="100">
        <v>69449</v>
      </c>
      <c r="I1493" s="99">
        <v>63973</v>
      </c>
      <c r="J1493" s="98" t="s">
        <v>173</v>
      </c>
      <c r="M1493" s="99">
        <v>69449</v>
      </c>
      <c r="N1493" s="98" t="s">
        <v>199</v>
      </c>
    </row>
    <row r="1494" spans="1:14" x14ac:dyDescent="0.25">
      <c r="A1494" s="100">
        <v>69547</v>
      </c>
      <c r="I1494" s="99">
        <v>63998</v>
      </c>
      <c r="J1494" s="98" t="s">
        <v>178</v>
      </c>
      <c r="M1494" s="99">
        <v>69547</v>
      </c>
      <c r="N1494" s="98" t="s">
        <v>166</v>
      </c>
    </row>
    <row r="1495" spans="1:14" x14ac:dyDescent="0.25">
      <c r="A1495" s="100">
        <v>69568</v>
      </c>
      <c r="I1495" s="99">
        <v>64038</v>
      </c>
      <c r="J1495" s="98" t="s">
        <v>183</v>
      </c>
      <c r="M1495" s="99">
        <v>69568</v>
      </c>
      <c r="N1495" s="98" t="s">
        <v>170</v>
      </c>
    </row>
    <row r="1496" spans="1:14" x14ac:dyDescent="0.25">
      <c r="A1496" s="100">
        <v>69583</v>
      </c>
      <c r="I1496" s="99">
        <v>64042</v>
      </c>
      <c r="J1496" s="98" t="s">
        <v>187</v>
      </c>
      <c r="M1496" s="99">
        <v>69583</v>
      </c>
      <c r="N1496" s="98" t="s">
        <v>175</v>
      </c>
    </row>
    <row r="1497" spans="1:14" x14ac:dyDescent="0.25">
      <c r="A1497" s="100">
        <v>69645</v>
      </c>
      <c r="I1497" s="99">
        <v>64043</v>
      </c>
      <c r="J1497" s="98" t="s">
        <v>190</v>
      </c>
      <c r="M1497" s="99">
        <v>69645</v>
      </c>
      <c r="N1497" s="98" t="s">
        <v>184</v>
      </c>
    </row>
    <row r="1498" spans="1:14" x14ac:dyDescent="0.25">
      <c r="A1498" s="100">
        <v>69680</v>
      </c>
      <c r="I1498" s="99">
        <v>64044</v>
      </c>
      <c r="J1498" s="98" t="s">
        <v>194</v>
      </c>
      <c r="M1498" s="99">
        <v>69680</v>
      </c>
      <c r="N1498" s="98" t="s">
        <v>201</v>
      </c>
    </row>
    <row r="1499" spans="1:14" x14ac:dyDescent="0.25">
      <c r="A1499" s="100">
        <v>69709</v>
      </c>
      <c r="I1499" s="99">
        <v>64045</v>
      </c>
      <c r="J1499" s="98" t="s">
        <v>212</v>
      </c>
      <c r="M1499" s="99">
        <v>69709</v>
      </c>
      <c r="N1499" s="98" t="s">
        <v>210</v>
      </c>
    </row>
    <row r="1500" spans="1:14" x14ac:dyDescent="0.25">
      <c r="A1500" s="100">
        <v>69712</v>
      </c>
      <c r="I1500" s="99">
        <v>64115</v>
      </c>
      <c r="J1500" s="98" t="s">
        <v>196</v>
      </c>
      <c r="M1500" s="99">
        <v>69712</v>
      </c>
      <c r="N1500" s="98" t="s">
        <v>220</v>
      </c>
    </row>
    <row r="1501" spans="1:14" x14ac:dyDescent="0.25">
      <c r="A1501" s="100">
        <v>69713</v>
      </c>
      <c r="I1501" s="99">
        <v>64142</v>
      </c>
      <c r="J1501" s="98" t="s">
        <v>198</v>
      </c>
      <c r="M1501" s="99">
        <v>69713</v>
      </c>
      <c r="N1501" s="98" t="s">
        <v>188</v>
      </c>
    </row>
    <row r="1502" spans="1:14" x14ac:dyDescent="0.25">
      <c r="A1502" s="100">
        <v>69725</v>
      </c>
      <c r="I1502" s="99">
        <v>64143</v>
      </c>
      <c r="J1502" s="98" t="s">
        <v>212</v>
      </c>
      <c r="M1502" s="99">
        <v>69725</v>
      </c>
      <c r="N1502" s="98" t="s">
        <v>192</v>
      </c>
    </row>
    <row r="1503" spans="1:14" x14ac:dyDescent="0.25">
      <c r="A1503" s="100">
        <v>69757</v>
      </c>
      <c r="I1503" s="99">
        <v>64178</v>
      </c>
      <c r="J1503" s="98" t="s">
        <v>200</v>
      </c>
      <c r="M1503" s="99">
        <v>69757</v>
      </c>
      <c r="N1503" s="98" t="s">
        <v>177</v>
      </c>
    </row>
    <row r="1504" spans="1:14" x14ac:dyDescent="0.25">
      <c r="A1504" s="100">
        <v>69764</v>
      </c>
      <c r="I1504" s="99">
        <v>64185</v>
      </c>
      <c r="J1504" s="98" t="s">
        <v>203</v>
      </c>
      <c r="M1504" s="99">
        <v>69764</v>
      </c>
      <c r="N1504" s="98" t="s">
        <v>160</v>
      </c>
    </row>
    <row r="1505" spans="1:14" x14ac:dyDescent="0.25">
      <c r="A1505" s="100">
        <v>69778</v>
      </c>
      <c r="I1505" s="99">
        <v>64206</v>
      </c>
      <c r="J1505" s="98" t="s">
        <v>205</v>
      </c>
      <c r="M1505" s="99">
        <v>69778</v>
      </c>
      <c r="N1505" s="98" t="s">
        <v>197</v>
      </c>
    </row>
    <row r="1506" spans="1:14" x14ac:dyDescent="0.25">
      <c r="A1506" s="100">
        <v>69806</v>
      </c>
      <c r="I1506" s="99">
        <v>64226</v>
      </c>
      <c r="J1506" s="98" t="s">
        <v>209</v>
      </c>
      <c r="M1506" s="99">
        <v>69806</v>
      </c>
      <c r="N1506" s="98" t="s">
        <v>204</v>
      </c>
    </row>
    <row r="1507" spans="1:14" x14ac:dyDescent="0.25">
      <c r="A1507" s="100">
        <v>69809</v>
      </c>
      <c r="I1507" s="99">
        <v>64227</v>
      </c>
      <c r="J1507" s="98" t="s">
        <v>212</v>
      </c>
      <c r="M1507" s="99">
        <v>69809</v>
      </c>
      <c r="N1507" s="98" t="s">
        <v>207</v>
      </c>
    </row>
    <row r="1508" spans="1:14" x14ac:dyDescent="0.25">
      <c r="A1508" s="100">
        <v>69813</v>
      </c>
      <c r="I1508" s="99">
        <v>64246</v>
      </c>
      <c r="J1508" s="98" t="s">
        <v>211</v>
      </c>
      <c r="M1508" s="99">
        <v>69813</v>
      </c>
      <c r="N1508" s="98" t="s">
        <v>199</v>
      </c>
    </row>
    <row r="1509" spans="1:14" x14ac:dyDescent="0.25">
      <c r="A1509" s="100">
        <v>69911</v>
      </c>
      <c r="I1509" s="99">
        <v>64285</v>
      </c>
      <c r="J1509" s="98" t="s">
        <v>161</v>
      </c>
      <c r="M1509" s="99">
        <v>69911</v>
      </c>
      <c r="N1509" s="98" t="s">
        <v>166</v>
      </c>
    </row>
    <row r="1510" spans="1:14" x14ac:dyDescent="0.25">
      <c r="A1510" s="100">
        <v>69933</v>
      </c>
      <c r="I1510" s="99">
        <v>64297</v>
      </c>
      <c r="J1510" s="98" t="s">
        <v>164</v>
      </c>
      <c r="M1510" s="99">
        <v>69933</v>
      </c>
      <c r="N1510" s="98" t="s">
        <v>170</v>
      </c>
    </row>
    <row r="1511" spans="1:14" x14ac:dyDescent="0.25">
      <c r="A1511" s="100">
        <v>69948</v>
      </c>
      <c r="I1511" s="99">
        <v>64326</v>
      </c>
      <c r="J1511" s="98" t="s">
        <v>168</v>
      </c>
      <c r="M1511" s="99">
        <v>69948</v>
      </c>
      <c r="N1511" s="98" t="s">
        <v>175</v>
      </c>
    </row>
    <row r="1512" spans="1:14" x14ac:dyDescent="0.25">
      <c r="A1512" s="100">
        <v>70009</v>
      </c>
      <c r="I1512" s="99">
        <v>64338</v>
      </c>
      <c r="J1512" s="98" t="s">
        <v>173</v>
      </c>
      <c r="M1512" s="99">
        <v>70009</v>
      </c>
      <c r="N1512" s="98" t="s">
        <v>184</v>
      </c>
    </row>
    <row r="1513" spans="1:14" x14ac:dyDescent="0.25">
      <c r="A1513" s="100">
        <v>70044</v>
      </c>
      <c r="I1513" s="99">
        <v>64339</v>
      </c>
      <c r="J1513" s="98" t="s">
        <v>212</v>
      </c>
      <c r="M1513" s="99">
        <v>70044</v>
      </c>
      <c r="N1513" s="98" t="s">
        <v>201</v>
      </c>
    </row>
    <row r="1514" spans="1:14" x14ac:dyDescent="0.25">
      <c r="A1514" s="100">
        <v>70073</v>
      </c>
      <c r="I1514" s="99">
        <v>64364</v>
      </c>
      <c r="J1514" s="98" t="s">
        <v>178</v>
      </c>
      <c r="M1514" s="99">
        <v>70073</v>
      </c>
      <c r="N1514" s="98" t="s">
        <v>210</v>
      </c>
    </row>
    <row r="1515" spans="1:14" x14ac:dyDescent="0.25">
      <c r="A1515" s="100">
        <v>70078</v>
      </c>
      <c r="I1515" s="99">
        <v>64404</v>
      </c>
      <c r="J1515" s="98" t="s">
        <v>183</v>
      </c>
      <c r="M1515" s="99">
        <v>70078</v>
      </c>
      <c r="N1515" s="98" t="s">
        <v>188</v>
      </c>
    </row>
    <row r="1516" spans="1:14" x14ac:dyDescent="0.25">
      <c r="A1516" s="100">
        <v>70079</v>
      </c>
      <c r="I1516" s="99">
        <v>64408</v>
      </c>
      <c r="J1516" s="98" t="s">
        <v>187</v>
      </c>
      <c r="M1516" s="99">
        <v>70079</v>
      </c>
      <c r="N1516" s="98" t="s">
        <v>220</v>
      </c>
    </row>
    <row r="1517" spans="1:14" x14ac:dyDescent="0.25">
      <c r="A1517" s="100">
        <v>70089</v>
      </c>
      <c r="I1517" s="99">
        <v>64409</v>
      </c>
      <c r="J1517" s="98" t="s">
        <v>190</v>
      </c>
      <c r="M1517" s="99">
        <v>70089</v>
      </c>
      <c r="N1517" s="98" t="s">
        <v>192</v>
      </c>
    </row>
    <row r="1518" spans="1:14" x14ac:dyDescent="0.25">
      <c r="A1518" s="100">
        <v>70122</v>
      </c>
      <c r="I1518" s="99">
        <v>64410</v>
      </c>
      <c r="J1518" s="98" t="s">
        <v>194</v>
      </c>
      <c r="M1518" s="99">
        <v>70122</v>
      </c>
      <c r="N1518" s="98" t="s">
        <v>177</v>
      </c>
    </row>
    <row r="1519" spans="1:14" x14ac:dyDescent="0.25">
      <c r="A1519" s="100">
        <v>70129</v>
      </c>
      <c r="I1519" s="99">
        <v>64411</v>
      </c>
      <c r="J1519" s="98" t="s">
        <v>212</v>
      </c>
      <c r="M1519" s="99">
        <v>70129</v>
      </c>
      <c r="N1519" s="98" t="s">
        <v>160</v>
      </c>
    </row>
    <row r="1520" spans="1:14" x14ac:dyDescent="0.25">
      <c r="A1520" s="100">
        <v>70149</v>
      </c>
      <c r="I1520" s="99">
        <v>64486</v>
      </c>
      <c r="J1520" s="98" t="s">
        <v>196</v>
      </c>
      <c r="M1520" s="99">
        <v>70149</v>
      </c>
      <c r="N1520" s="98" t="s">
        <v>197</v>
      </c>
    </row>
    <row r="1521" spans="1:14" x14ac:dyDescent="0.25">
      <c r="A1521" s="100">
        <v>70171</v>
      </c>
      <c r="I1521" s="99">
        <v>64508</v>
      </c>
      <c r="J1521" s="98" t="s">
        <v>198</v>
      </c>
      <c r="M1521" s="99">
        <v>70171</v>
      </c>
      <c r="N1521" s="98" t="s">
        <v>204</v>
      </c>
    </row>
    <row r="1522" spans="1:14" x14ac:dyDescent="0.25">
      <c r="A1522" s="100">
        <v>70174</v>
      </c>
      <c r="I1522" s="99">
        <v>64549</v>
      </c>
      <c r="J1522" s="98" t="s">
        <v>200</v>
      </c>
      <c r="M1522" s="99">
        <v>70174</v>
      </c>
      <c r="N1522" s="98" t="s">
        <v>207</v>
      </c>
    </row>
    <row r="1523" spans="1:14" x14ac:dyDescent="0.25">
      <c r="A1523" s="100">
        <v>70177</v>
      </c>
      <c r="I1523" s="99">
        <v>64550</v>
      </c>
      <c r="J1523" s="98" t="s">
        <v>203</v>
      </c>
      <c r="M1523" s="99">
        <v>70177</v>
      </c>
      <c r="N1523" s="98" t="s">
        <v>199</v>
      </c>
    </row>
    <row r="1524" spans="1:14" x14ac:dyDescent="0.25">
      <c r="A1524" s="100">
        <v>70275</v>
      </c>
      <c r="I1524" s="99">
        <v>64570</v>
      </c>
      <c r="J1524" s="98" t="s">
        <v>205</v>
      </c>
      <c r="M1524" s="99">
        <v>70275</v>
      </c>
      <c r="N1524" s="98" t="s">
        <v>166</v>
      </c>
    </row>
    <row r="1525" spans="1:14" x14ac:dyDescent="0.25">
      <c r="A1525" s="100">
        <v>70299</v>
      </c>
      <c r="I1525" s="99">
        <v>64592</v>
      </c>
      <c r="J1525" s="98" t="s">
        <v>209</v>
      </c>
      <c r="M1525" s="99">
        <v>70299</v>
      </c>
      <c r="N1525" s="98" t="s">
        <v>170</v>
      </c>
    </row>
    <row r="1526" spans="1:14" x14ac:dyDescent="0.25">
      <c r="A1526" s="100">
        <v>70314</v>
      </c>
      <c r="I1526" s="99">
        <v>64612</v>
      </c>
      <c r="J1526" s="98" t="s">
        <v>211</v>
      </c>
      <c r="M1526" s="99">
        <v>70314</v>
      </c>
      <c r="N1526" s="98" t="s">
        <v>175</v>
      </c>
    </row>
    <row r="1527" spans="1:14" x14ac:dyDescent="0.25">
      <c r="A1527" s="100">
        <v>70373</v>
      </c>
      <c r="I1527" s="99">
        <v>64651</v>
      </c>
      <c r="J1527" s="98" t="s">
        <v>161</v>
      </c>
      <c r="M1527" s="99">
        <v>70373</v>
      </c>
      <c r="N1527" s="98" t="s">
        <v>184</v>
      </c>
    </row>
    <row r="1528" spans="1:14" x14ac:dyDescent="0.25">
      <c r="A1528" s="100">
        <v>70415</v>
      </c>
      <c r="I1528" s="99">
        <v>64661</v>
      </c>
      <c r="J1528" s="98" t="s">
        <v>164</v>
      </c>
      <c r="M1528" s="99">
        <v>70415</v>
      </c>
      <c r="N1528" s="98" t="s">
        <v>201</v>
      </c>
    </row>
    <row r="1529" spans="1:14" x14ac:dyDescent="0.25">
      <c r="A1529" s="100">
        <v>70437</v>
      </c>
      <c r="I1529" s="99">
        <v>64692</v>
      </c>
      <c r="J1529" s="98" t="s">
        <v>168</v>
      </c>
      <c r="M1529" s="99">
        <v>70437</v>
      </c>
      <c r="N1529" s="98" t="s">
        <v>210</v>
      </c>
    </row>
    <row r="1530" spans="1:14" x14ac:dyDescent="0.25">
      <c r="A1530" s="100">
        <v>70444</v>
      </c>
      <c r="I1530" s="99">
        <v>64704</v>
      </c>
      <c r="J1530" s="98" t="s">
        <v>173</v>
      </c>
      <c r="M1530" s="99">
        <v>70444</v>
      </c>
      <c r="N1530" s="98" t="s">
        <v>188</v>
      </c>
    </row>
    <row r="1531" spans="1:14" x14ac:dyDescent="0.25">
      <c r="A1531" s="100">
        <v>70460</v>
      </c>
      <c r="I1531" s="99">
        <v>64729</v>
      </c>
      <c r="J1531" s="98" t="s">
        <v>178</v>
      </c>
      <c r="M1531" s="99">
        <v>70460</v>
      </c>
      <c r="N1531" s="98" t="s">
        <v>192</v>
      </c>
    </row>
    <row r="1532" spans="1:14" x14ac:dyDescent="0.25">
      <c r="A1532" s="100">
        <v>70488</v>
      </c>
      <c r="I1532" s="99">
        <v>64769</v>
      </c>
      <c r="J1532" s="98" t="s">
        <v>183</v>
      </c>
      <c r="M1532" s="99">
        <v>70488</v>
      </c>
      <c r="N1532" s="98" t="s">
        <v>177</v>
      </c>
    </row>
    <row r="1533" spans="1:14" x14ac:dyDescent="0.25">
      <c r="A1533" s="100">
        <v>70495</v>
      </c>
      <c r="I1533" s="99">
        <v>64773</v>
      </c>
      <c r="J1533" s="98" t="s">
        <v>187</v>
      </c>
      <c r="M1533" s="99">
        <v>70495</v>
      </c>
      <c r="N1533" s="98" t="s">
        <v>160</v>
      </c>
    </row>
    <row r="1534" spans="1:14" x14ac:dyDescent="0.25">
      <c r="A1534" s="100">
        <v>70513</v>
      </c>
      <c r="I1534" s="99">
        <v>64774</v>
      </c>
      <c r="J1534" s="98" t="s">
        <v>190</v>
      </c>
      <c r="M1534" s="99">
        <v>70513</v>
      </c>
      <c r="N1534" s="98" t="s">
        <v>197</v>
      </c>
    </row>
    <row r="1535" spans="1:14" x14ac:dyDescent="0.25">
      <c r="A1535" s="100">
        <v>70537</v>
      </c>
      <c r="I1535" s="99">
        <v>64775</v>
      </c>
      <c r="J1535" s="98" t="s">
        <v>194</v>
      </c>
      <c r="M1535" s="99">
        <v>70537</v>
      </c>
      <c r="N1535" s="98" t="s">
        <v>204</v>
      </c>
    </row>
    <row r="1536" spans="1:14" x14ac:dyDescent="0.25">
      <c r="A1536" s="100">
        <v>70540</v>
      </c>
      <c r="I1536" s="99">
        <v>64850</v>
      </c>
      <c r="J1536" s="98" t="s">
        <v>196</v>
      </c>
      <c r="M1536" s="99">
        <v>70540</v>
      </c>
      <c r="N1536" s="98" t="s">
        <v>207</v>
      </c>
    </row>
    <row r="1537" spans="1:14" x14ac:dyDescent="0.25">
      <c r="A1537" s="100">
        <v>70541</v>
      </c>
      <c r="I1537" s="99">
        <v>64873</v>
      </c>
      <c r="J1537" s="98" t="s">
        <v>198</v>
      </c>
      <c r="M1537" s="99">
        <v>70541</v>
      </c>
      <c r="N1537" s="98" t="s">
        <v>199</v>
      </c>
    </row>
    <row r="1538" spans="1:14" x14ac:dyDescent="0.25">
      <c r="A1538" s="100">
        <v>70639</v>
      </c>
      <c r="I1538" s="99">
        <v>64913</v>
      </c>
      <c r="J1538" s="98" t="s">
        <v>200</v>
      </c>
      <c r="M1538" s="99">
        <v>70639</v>
      </c>
      <c r="N1538" s="98" t="s">
        <v>166</v>
      </c>
    </row>
    <row r="1539" spans="1:14" x14ac:dyDescent="0.25">
      <c r="A1539" s="100">
        <v>70664</v>
      </c>
      <c r="I1539" s="99">
        <v>64914</v>
      </c>
      <c r="J1539" s="98" t="s">
        <v>218</v>
      </c>
      <c r="M1539" s="99">
        <v>70664</v>
      </c>
      <c r="N1539" s="98" t="s">
        <v>170</v>
      </c>
    </row>
    <row r="1540" spans="1:14" x14ac:dyDescent="0.25">
      <c r="A1540" s="100">
        <v>70678</v>
      </c>
      <c r="I1540" s="99">
        <v>64915</v>
      </c>
      <c r="J1540" s="98" t="s">
        <v>203</v>
      </c>
      <c r="M1540" s="99">
        <v>70678</v>
      </c>
      <c r="N1540" s="98" t="s">
        <v>180</v>
      </c>
    </row>
    <row r="1541" spans="1:14" x14ac:dyDescent="0.25">
      <c r="A1541" s="100">
        <v>70679</v>
      </c>
      <c r="I1541" s="99">
        <v>64934</v>
      </c>
      <c r="J1541" s="98" t="s">
        <v>205</v>
      </c>
      <c r="M1541" s="99">
        <v>70679</v>
      </c>
      <c r="N1541" s="98" t="s">
        <v>175</v>
      </c>
    </row>
    <row r="1542" spans="1:14" x14ac:dyDescent="0.25">
      <c r="A1542" s="100">
        <v>70744</v>
      </c>
      <c r="I1542" s="99">
        <v>64957</v>
      </c>
      <c r="J1542" s="98" t="s">
        <v>209</v>
      </c>
      <c r="M1542" s="99">
        <v>70744</v>
      </c>
      <c r="N1542" s="98" t="s">
        <v>184</v>
      </c>
    </row>
    <row r="1543" spans="1:14" x14ac:dyDescent="0.25">
      <c r="A1543" s="100">
        <v>70779</v>
      </c>
      <c r="I1543" s="99">
        <v>64977</v>
      </c>
      <c r="J1543" s="98" t="s">
        <v>211</v>
      </c>
      <c r="M1543" s="99">
        <v>70779</v>
      </c>
      <c r="N1543" s="98" t="s">
        <v>201</v>
      </c>
    </row>
    <row r="1544" spans="1:14" x14ac:dyDescent="0.25">
      <c r="A1544" s="100">
        <v>70801</v>
      </c>
      <c r="I1544" s="99">
        <v>65016</v>
      </c>
      <c r="J1544" s="98" t="s">
        <v>161</v>
      </c>
      <c r="M1544" s="99">
        <v>70801</v>
      </c>
      <c r="N1544" s="98" t="s">
        <v>210</v>
      </c>
    </row>
    <row r="1545" spans="1:14" x14ac:dyDescent="0.25">
      <c r="A1545" s="100">
        <v>70809</v>
      </c>
      <c r="I1545" s="99">
        <v>65025</v>
      </c>
      <c r="J1545" s="98" t="s">
        <v>164</v>
      </c>
      <c r="M1545" s="99">
        <v>70809</v>
      </c>
      <c r="N1545" s="98" t="s">
        <v>188</v>
      </c>
    </row>
    <row r="1546" spans="1:14" x14ac:dyDescent="0.25">
      <c r="A1546" s="100">
        <v>70824</v>
      </c>
      <c r="I1546" s="99">
        <v>65057</v>
      </c>
      <c r="J1546" s="98" t="s">
        <v>168</v>
      </c>
      <c r="M1546" s="99">
        <v>70824</v>
      </c>
      <c r="N1546" s="98" t="s">
        <v>192</v>
      </c>
    </row>
    <row r="1547" spans="1:14" x14ac:dyDescent="0.25">
      <c r="A1547" s="100">
        <v>70853</v>
      </c>
      <c r="I1547" s="99">
        <v>65069</v>
      </c>
      <c r="J1547" s="98" t="s">
        <v>173</v>
      </c>
      <c r="M1547" s="99">
        <v>70853</v>
      </c>
      <c r="N1547" s="98" t="s">
        <v>177</v>
      </c>
    </row>
    <row r="1548" spans="1:14" x14ac:dyDescent="0.25">
      <c r="A1548" s="100">
        <v>70860</v>
      </c>
      <c r="I1548" s="99">
        <v>65094</v>
      </c>
      <c r="J1548" s="98" t="s">
        <v>178</v>
      </c>
      <c r="M1548" s="99">
        <v>70860</v>
      </c>
      <c r="N1548" s="98" t="s">
        <v>160</v>
      </c>
    </row>
    <row r="1549" spans="1:14" x14ac:dyDescent="0.25">
      <c r="A1549" s="100">
        <v>70877</v>
      </c>
      <c r="I1549" s="99">
        <v>65095</v>
      </c>
      <c r="J1549" s="98" t="s">
        <v>212</v>
      </c>
      <c r="M1549" s="99">
        <v>70877</v>
      </c>
      <c r="N1549" s="98" t="s">
        <v>197</v>
      </c>
    </row>
    <row r="1550" spans="1:14" x14ac:dyDescent="0.25">
      <c r="A1550" s="100">
        <v>70902</v>
      </c>
      <c r="I1550" s="99">
        <v>65134</v>
      </c>
      <c r="J1550" s="98" t="s">
        <v>183</v>
      </c>
      <c r="M1550" s="99">
        <v>70902</v>
      </c>
      <c r="N1550" s="98" t="s">
        <v>204</v>
      </c>
    </row>
    <row r="1551" spans="1:14" x14ac:dyDescent="0.25">
      <c r="A1551" s="100">
        <v>70905</v>
      </c>
      <c r="I1551" s="99">
        <v>65138</v>
      </c>
      <c r="J1551" s="98" t="s">
        <v>187</v>
      </c>
      <c r="M1551" s="99">
        <v>70905</v>
      </c>
      <c r="N1551" s="98" t="s">
        <v>217</v>
      </c>
    </row>
    <row r="1552" spans="1:14" x14ac:dyDescent="0.25">
      <c r="A1552" s="100">
        <v>71010</v>
      </c>
      <c r="I1552" s="99">
        <v>65139</v>
      </c>
      <c r="J1552" s="98" t="s">
        <v>190</v>
      </c>
      <c r="M1552" s="99">
        <v>71010</v>
      </c>
      <c r="N1552" s="98" t="s">
        <v>166</v>
      </c>
    </row>
    <row r="1553" spans="1:14" x14ac:dyDescent="0.25">
      <c r="A1553" s="100">
        <v>71028</v>
      </c>
      <c r="I1553" s="99">
        <v>65140</v>
      </c>
      <c r="J1553" s="98" t="s">
        <v>194</v>
      </c>
      <c r="M1553" s="99">
        <v>71028</v>
      </c>
      <c r="N1553" s="98" t="s">
        <v>216</v>
      </c>
    </row>
    <row r="1554" spans="1:14" x14ac:dyDescent="0.25">
      <c r="A1554" s="100">
        <v>71029</v>
      </c>
      <c r="I1554" s="99">
        <v>65214</v>
      </c>
      <c r="J1554" s="98" t="s">
        <v>196</v>
      </c>
      <c r="M1554" s="99">
        <v>71029</v>
      </c>
      <c r="N1554" s="98" t="s">
        <v>170</v>
      </c>
    </row>
    <row r="1555" spans="1:14" x14ac:dyDescent="0.25">
      <c r="A1555" s="100">
        <v>71044</v>
      </c>
      <c r="I1555" s="99">
        <v>65238</v>
      </c>
      <c r="J1555" s="98" t="s">
        <v>198</v>
      </c>
      <c r="M1555" s="99">
        <v>71044</v>
      </c>
      <c r="N1555" s="98" t="s">
        <v>175</v>
      </c>
    </row>
    <row r="1556" spans="1:14" x14ac:dyDescent="0.25">
      <c r="A1556" s="100">
        <v>71045</v>
      </c>
      <c r="I1556" s="99">
        <v>65277</v>
      </c>
      <c r="J1556" s="98" t="s">
        <v>200</v>
      </c>
      <c r="M1556" s="99">
        <v>71045</v>
      </c>
      <c r="N1556" s="98" t="s">
        <v>180</v>
      </c>
    </row>
    <row r="1557" spans="1:14" x14ac:dyDescent="0.25">
      <c r="A1557" s="100">
        <v>71108</v>
      </c>
      <c r="I1557" s="99">
        <v>65280</v>
      </c>
      <c r="J1557" s="98" t="s">
        <v>203</v>
      </c>
      <c r="M1557" s="99">
        <v>71108</v>
      </c>
      <c r="N1557" s="98" t="s">
        <v>184</v>
      </c>
    </row>
    <row r="1558" spans="1:14" x14ac:dyDescent="0.25">
      <c r="A1558" s="100">
        <v>71143</v>
      </c>
      <c r="I1558" s="99">
        <v>65298</v>
      </c>
      <c r="J1558" s="98" t="s">
        <v>205</v>
      </c>
      <c r="M1558" s="99">
        <v>71143</v>
      </c>
      <c r="N1558" s="98" t="s">
        <v>201</v>
      </c>
    </row>
    <row r="1559" spans="1:14" x14ac:dyDescent="0.25">
      <c r="A1559" s="100">
        <v>71165</v>
      </c>
      <c r="I1559" s="99">
        <v>65322</v>
      </c>
      <c r="J1559" s="98" t="s">
        <v>209</v>
      </c>
      <c r="M1559" s="99">
        <v>71165</v>
      </c>
      <c r="N1559" s="98" t="s">
        <v>210</v>
      </c>
    </row>
    <row r="1560" spans="1:14" x14ac:dyDescent="0.25">
      <c r="A1560" s="100">
        <v>71174</v>
      </c>
      <c r="I1560" s="99">
        <v>65342</v>
      </c>
      <c r="J1560" s="98" t="s">
        <v>211</v>
      </c>
      <c r="M1560" s="99">
        <v>71174</v>
      </c>
      <c r="N1560" s="98" t="s">
        <v>188</v>
      </c>
    </row>
    <row r="1561" spans="1:14" x14ac:dyDescent="0.25">
      <c r="A1561" s="100">
        <v>71188</v>
      </c>
      <c r="I1561" s="99">
        <v>65381</v>
      </c>
      <c r="J1561" s="98" t="s">
        <v>161</v>
      </c>
      <c r="M1561" s="99">
        <v>71188</v>
      </c>
      <c r="N1561" s="98" t="s">
        <v>192</v>
      </c>
    </row>
    <row r="1562" spans="1:14" x14ac:dyDescent="0.25">
      <c r="A1562" s="100">
        <v>71217</v>
      </c>
      <c r="I1562" s="99">
        <v>65382</v>
      </c>
      <c r="J1562" s="98" t="s">
        <v>212</v>
      </c>
      <c r="M1562" s="99">
        <v>71217</v>
      </c>
      <c r="N1562" s="98" t="s">
        <v>208</v>
      </c>
    </row>
    <row r="1563" spans="1:14" x14ac:dyDescent="0.25">
      <c r="A1563" s="100">
        <v>71218</v>
      </c>
      <c r="I1563" s="99">
        <v>65389</v>
      </c>
      <c r="J1563" s="98" t="s">
        <v>164</v>
      </c>
      <c r="M1563" s="99">
        <v>71218</v>
      </c>
      <c r="N1563" s="98" t="s">
        <v>177</v>
      </c>
    </row>
    <row r="1564" spans="1:14" x14ac:dyDescent="0.25">
      <c r="A1564" s="100">
        <v>71224</v>
      </c>
      <c r="I1564" s="99">
        <v>65422</v>
      </c>
      <c r="J1564" s="98" t="s">
        <v>168</v>
      </c>
      <c r="M1564" s="99">
        <v>71224</v>
      </c>
      <c r="N1564" s="98" t="s">
        <v>214</v>
      </c>
    </row>
    <row r="1565" spans="1:14" x14ac:dyDescent="0.25">
      <c r="A1565" s="100">
        <v>71225</v>
      </c>
      <c r="I1565" s="99">
        <v>65434</v>
      </c>
      <c r="J1565" s="98" t="s">
        <v>173</v>
      </c>
      <c r="M1565" s="99">
        <v>71225</v>
      </c>
      <c r="N1565" s="98" t="s">
        <v>160</v>
      </c>
    </row>
    <row r="1566" spans="1:14" x14ac:dyDescent="0.25">
      <c r="A1566" s="100">
        <v>71241</v>
      </c>
      <c r="I1566" s="99">
        <v>65459</v>
      </c>
      <c r="J1566" s="98" t="s">
        <v>178</v>
      </c>
      <c r="M1566" s="99">
        <v>71241</v>
      </c>
      <c r="N1566" s="98" t="s">
        <v>197</v>
      </c>
    </row>
    <row r="1567" spans="1:14" x14ac:dyDescent="0.25">
      <c r="A1567" s="100">
        <v>71266</v>
      </c>
      <c r="I1567" s="99">
        <v>65499</v>
      </c>
      <c r="J1567" s="98" t="s">
        <v>183</v>
      </c>
      <c r="M1567" s="99">
        <v>71266</v>
      </c>
      <c r="N1567" s="98" t="s">
        <v>219</v>
      </c>
    </row>
    <row r="1568" spans="1:14" x14ac:dyDescent="0.25">
      <c r="A1568" s="100">
        <v>71267</v>
      </c>
      <c r="I1568" s="99">
        <v>65503</v>
      </c>
      <c r="J1568" s="98" t="s">
        <v>187</v>
      </c>
      <c r="M1568" s="99">
        <v>71267</v>
      </c>
      <c r="N1568" s="98" t="s">
        <v>204</v>
      </c>
    </row>
    <row r="1569" spans="1:14" x14ac:dyDescent="0.25">
      <c r="A1569" s="100">
        <v>71270</v>
      </c>
      <c r="I1569" s="99">
        <v>65504</v>
      </c>
      <c r="J1569" s="98" t="s">
        <v>190</v>
      </c>
      <c r="M1569" s="99">
        <v>71270</v>
      </c>
      <c r="N1569" s="98" t="s">
        <v>207</v>
      </c>
    </row>
    <row r="1570" spans="1:14" x14ac:dyDescent="0.25">
      <c r="A1570" s="100">
        <v>71276</v>
      </c>
      <c r="I1570" s="99">
        <v>65505</v>
      </c>
      <c r="J1570" s="98" t="s">
        <v>194</v>
      </c>
      <c r="M1570" s="99">
        <v>71276</v>
      </c>
      <c r="N1570" s="98" t="s">
        <v>199</v>
      </c>
    </row>
    <row r="1571" spans="1:14" x14ac:dyDescent="0.25">
      <c r="A1571" s="100">
        <v>71374</v>
      </c>
      <c r="I1571" s="99">
        <v>65578</v>
      </c>
      <c r="J1571" s="98" t="s">
        <v>196</v>
      </c>
      <c r="M1571" s="99">
        <v>71374</v>
      </c>
      <c r="N1571" s="98" t="s">
        <v>166</v>
      </c>
    </row>
    <row r="1572" spans="1:14" x14ac:dyDescent="0.25">
      <c r="A1572" s="100">
        <v>71394</v>
      </c>
      <c r="I1572" s="99">
        <v>65603</v>
      </c>
      <c r="J1572" s="98" t="s">
        <v>198</v>
      </c>
      <c r="M1572" s="99">
        <v>71394</v>
      </c>
      <c r="N1572" s="98" t="s">
        <v>170</v>
      </c>
    </row>
    <row r="1573" spans="1:14" x14ac:dyDescent="0.25">
      <c r="A1573" s="100">
        <v>71395</v>
      </c>
      <c r="I1573" s="99">
        <v>65641</v>
      </c>
      <c r="J1573" s="98" t="s">
        <v>200</v>
      </c>
      <c r="M1573" s="99">
        <v>71395</v>
      </c>
      <c r="N1573" s="98" t="s">
        <v>216</v>
      </c>
    </row>
    <row r="1574" spans="1:14" x14ac:dyDescent="0.25">
      <c r="A1574" s="100">
        <v>71409</v>
      </c>
      <c r="I1574" s="99">
        <v>65646</v>
      </c>
      <c r="J1574" s="98" t="s">
        <v>203</v>
      </c>
      <c r="M1574" s="99">
        <v>71409</v>
      </c>
      <c r="N1574" s="98" t="s">
        <v>175</v>
      </c>
    </row>
    <row r="1575" spans="1:14" x14ac:dyDescent="0.25">
      <c r="A1575" s="100">
        <v>71472</v>
      </c>
      <c r="I1575" s="99">
        <v>65662</v>
      </c>
      <c r="J1575" s="98" t="s">
        <v>205</v>
      </c>
      <c r="M1575" s="99">
        <v>71472</v>
      </c>
      <c r="N1575" s="98" t="s">
        <v>184</v>
      </c>
    </row>
    <row r="1576" spans="1:14" x14ac:dyDescent="0.25">
      <c r="A1576" s="100">
        <v>71507</v>
      </c>
      <c r="I1576" s="99">
        <v>65687</v>
      </c>
      <c r="J1576" s="98" t="s">
        <v>209</v>
      </c>
      <c r="M1576" s="99">
        <v>71507</v>
      </c>
      <c r="N1576" s="98" t="s">
        <v>201</v>
      </c>
    </row>
    <row r="1577" spans="1:14" x14ac:dyDescent="0.25">
      <c r="A1577" s="100">
        <v>71536</v>
      </c>
      <c r="I1577" s="99">
        <v>65707</v>
      </c>
      <c r="J1577" s="98" t="s">
        <v>211</v>
      </c>
      <c r="M1577" s="99">
        <v>71536</v>
      </c>
      <c r="N1577" s="98" t="s">
        <v>210</v>
      </c>
    </row>
    <row r="1578" spans="1:14" x14ac:dyDescent="0.25">
      <c r="A1578" s="100">
        <v>71539</v>
      </c>
      <c r="I1578" s="99">
        <v>65746</v>
      </c>
      <c r="J1578" s="98" t="s">
        <v>161</v>
      </c>
      <c r="M1578" s="99">
        <v>71539</v>
      </c>
      <c r="N1578" s="98" t="s">
        <v>188</v>
      </c>
    </row>
    <row r="1579" spans="1:14" x14ac:dyDescent="0.25">
      <c r="A1579" s="100">
        <v>71552</v>
      </c>
      <c r="I1579" s="99">
        <v>65753</v>
      </c>
      <c r="J1579" s="98" t="s">
        <v>164</v>
      </c>
      <c r="M1579" s="99">
        <v>71552</v>
      </c>
      <c r="N1579" s="98" t="s">
        <v>192</v>
      </c>
    </row>
    <row r="1580" spans="1:14" x14ac:dyDescent="0.25">
      <c r="A1580" s="100">
        <v>71583</v>
      </c>
      <c r="I1580" s="99">
        <v>65787</v>
      </c>
      <c r="J1580" s="98" t="s">
        <v>168</v>
      </c>
      <c r="M1580" s="99">
        <v>71583</v>
      </c>
      <c r="N1580" s="98" t="s">
        <v>177</v>
      </c>
    </row>
    <row r="1581" spans="1:14" x14ac:dyDescent="0.25">
      <c r="A1581" s="100">
        <v>71584</v>
      </c>
      <c r="I1581" s="99">
        <v>65788</v>
      </c>
      <c r="J1581" s="98" t="s">
        <v>212</v>
      </c>
      <c r="M1581" s="99">
        <v>71584</v>
      </c>
      <c r="N1581" s="98" t="s">
        <v>208</v>
      </c>
    </row>
    <row r="1582" spans="1:14" x14ac:dyDescent="0.25">
      <c r="A1582" s="100">
        <v>71590</v>
      </c>
      <c r="I1582" s="99">
        <v>65799</v>
      </c>
      <c r="J1582" s="98" t="s">
        <v>173</v>
      </c>
      <c r="M1582" s="99">
        <v>71590</v>
      </c>
      <c r="N1582" s="98" t="s">
        <v>160</v>
      </c>
    </row>
    <row r="1583" spans="1:14" x14ac:dyDescent="0.25">
      <c r="A1583" s="100">
        <v>71591</v>
      </c>
      <c r="I1583" s="99">
        <v>65825</v>
      </c>
      <c r="J1583" s="98" t="s">
        <v>178</v>
      </c>
      <c r="M1583" s="99">
        <v>71591</v>
      </c>
      <c r="N1583" s="98" t="s">
        <v>214</v>
      </c>
    </row>
    <row r="1584" spans="1:14" x14ac:dyDescent="0.25">
      <c r="A1584" s="100">
        <v>71605</v>
      </c>
      <c r="I1584" s="99">
        <v>65865</v>
      </c>
      <c r="J1584" s="98" t="s">
        <v>183</v>
      </c>
      <c r="M1584" s="99">
        <v>71605</v>
      </c>
      <c r="N1584" s="98" t="s">
        <v>197</v>
      </c>
    </row>
    <row r="1585" spans="1:14" x14ac:dyDescent="0.25">
      <c r="A1585" s="100">
        <v>71632</v>
      </c>
      <c r="I1585" s="99">
        <v>65869</v>
      </c>
      <c r="J1585" s="98" t="s">
        <v>187</v>
      </c>
      <c r="M1585" s="99">
        <v>71632</v>
      </c>
      <c r="N1585" s="98" t="s">
        <v>204</v>
      </c>
    </row>
    <row r="1586" spans="1:14" x14ac:dyDescent="0.25">
      <c r="A1586" s="100">
        <v>71633</v>
      </c>
      <c r="I1586" s="99">
        <v>65870</v>
      </c>
      <c r="J1586" s="98" t="s">
        <v>190</v>
      </c>
      <c r="M1586" s="99">
        <v>71633</v>
      </c>
      <c r="N1586" s="98" t="s">
        <v>219</v>
      </c>
    </row>
    <row r="1587" spans="1:14" x14ac:dyDescent="0.25">
      <c r="A1587" s="100">
        <v>71635</v>
      </c>
      <c r="I1587" s="99">
        <v>65871</v>
      </c>
      <c r="J1587" s="98" t="s">
        <v>194</v>
      </c>
      <c r="M1587" s="99">
        <v>71635</v>
      </c>
      <c r="N1587" s="98" t="s">
        <v>207</v>
      </c>
    </row>
    <row r="1588" spans="1:14" x14ac:dyDescent="0.25">
      <c r="A1588" s="100">
        <v>71640</v>
      </c>
      <c r="I1588" s="99">
        <v>65872</v>
      </c>
      <c r="J1588" s="98" t="s">
        <v>212</v>
      </c>
      <c r="M1588" s="99">
        <v>71640</v>
      </c>
      <c r="N1588" s="98" t="s">
        <v>199</v>
      </c>
    </row>
    <row r="1589" spans="1:14" x14ac:dyDescent="0.25">
      <c r="A1589" s="100">
        <v>71738</v>
      </c>
      <c r="I1589" s="99">
        <v>65942</v>
      </c>
      <c r="J1589" s="98" t="s">
        <v>196</v>
      </c>
      <c r="M1589" s="99">
        <v>71738</v>
      </c>
      <c r="N1589" s="98" t="s">
        <v>166</v>
      </c>
    </row>
    <row r="1590" spans="1:14" x14ac:dyDescent="0.25">
      <c r="A1590" s="100">
        <v>71760</v>
      </c>
      <c r="I1590" s="99">
        <v>65969</v>
      </c>
      <c r="J1590" s="98" t="s">
        <v>198</v>
      </c>
      <c r="M1590" s="99">
        <v>71760</v>
      </c>
      <c r="N1590" s="98" t="s">
        <v>170</v>
      </c>
    </row>
    <row r="1591" spans="1:14" x14ac:dyDescent="0.25">
      <c r="A1591" s="100">
        <v>71775</v>
      </c>
      <c r="I1591" s="99">
        <v>65970</v>
      </c>
      <c r="J1591" s="98" t="s">
        <v>212</v>
      </c>
      <c r="M1591" s="99">
        <v>71775</v>
      </c>
      <c r="N1591" s="98" t="s">
        <v>175</v>
      </c>
    </row>
    <row r="1592" spans="1:14" x14ac:dyDescent="0.25">
      <c r="A1592" s="100">
        <v>71836</v>
      </c>
      <c r="I1592" s="99">
        <v>66005</v>
      </c>
      <c r="J1592" s="98" t="s">
        <v>200</v>
      </c>
      <c r="M1592" s="99">
        <v>71836</v>
      </c>
      <c r="N1592" s="98" t="s">
        <v>184</v>
      </c>
    </row>
    <row r="1593" spans="1:14" x14ac:dyDescent="0.25">
      <c r="A1593" s="100">
        <v>71871</v>
      </c>
      <c r="I1593" s="99">
        <v>66011</v>
      </c>
      <c r="J1593" s="98" t="s">
        <v>203</v>
      </c>
      <c r="M1593" s="99">
        <v>71871</v>
      </c>
      <c r="N1593" s="98" t="s">
        <v>201</v>
      </c>
    </row>
    <row r="1594" spans="1:14" x14ac:dyDescent="0.25">
      <c r="A1594" s="100">
        <v>71900</v>
      </c>
      <c r="I1594" s="99">
        <v>66012</v>
      </c>
      <c r="J1594" s="98" t="s">
        <v>212</v>
      </c>
      <c r="M1594" s="99">
        <v>71900</v>
      </c>
      <c r="N1594" s="98" t="s">
        <v>210</v>
      </c>
    </row>
    <row r="1595" spans="1:14" x14ac:dyDescent="0.25">
      <c r="A1595" s="100">
        <v>71905</v>
      </c>
      <c r="I1595" s="99">
        <v>66033</v>
      </c>
      <c r="J1595" s="98" t="s">
        <v>205</v>
      </c>
      <c r="M1595" s="99">
        <v>71905</v>
      </c>
      <c r="N1595" s="98" t="s">
        <v>188</v>
      </c>
    </row>
    <row r="1596" spans="1:14" x14ac:dyDescent="0.25">
      <c r="A1596" s="100">
        <v>71906</v>
      </c>
      <c r="I1596" s="99">
        <v>66053</v>
      </c>
      <c r="J1596" s="98" t="s">
        <v>209</v>
      </c>
      <c r="M1596" s="99">
        <v>71906</v>
      </c>
      <c r="N1596" s="98" t="s">
        <v>220</v>
      </c>
    </row>
    <row r="1597" spans="1:14" x14ac:dyDescent="0.25">
      <c r="A1597" s="100">
        <v>71916</v>
      </c>
      <c r="I1597" s="99">
        <v>66054</v>
      </c>
      <c r="J1597" s="98" t="s">
        <v>212</v>
      </c>
      <c r="M1597" s="99">
        <v>71916</v>
      </c>
      <c r="N1597" s="98" t="s">
        <v>192</v>
      </c>
    </row>
    <row r="1598" spans="1:14" x14ac:dyDescent="0.25">
      <c r="A1598" s="100">
        <v>71949</v>
      </c>
      <c r="I1598" s="99">
        <v>66073</v>
      </c>
      <c r="J1598" s="98" t="s">
        <v>211</v>
      </c>
      <c r="M1598" s="99">
        <v>71949</v>
      </c>
      <c r="N1598" s="98" t="s">
        <v>177</v>
      </c>
    </row>
    <row r="1599" spans="1:14" x14ac:dyDescent="0.25">
      <c r="A1599" s="100">
        <v>71956</v>
      </c>
      <c r="I1599" s="99">
        <v>66112</v>
      </c>
      <c r="J1599" s="98" t="s">
        <v>161</v>
      </c>
      <c r="M1599" s="99">
        <v>71956</v>
      </c>
      <c r="N1599" s="98" t="s">
        <v>160</v>
      </c>
    </row>
    <row r="1600" spans="1:14" x14ac:dyDescent="0.25">
      <c r="A1600" s="100">
        <v>71976</v>
      </c>
      <c r="I1600" s="99">
        <v>66124</v>
      </c>
      <c r="J1600" s="98" t="s">
        <v>164</v>
      </c>
      <c r="M1600" s="99">
        <v>71976</v>
      </c>
      <c r="N1600" s="98" t="s">
        <v>197</v>
      </c>
    </row>
    <row r="1601" spans="1:14" x14ac:dyDescent="0.25">
      <c r="A1601" s="100">
        <v>71998</v>
      </c>
      <c r="I1601" s="99">
        <v>66153</v>
      </c>
      <c r="J1601" s="98" t="s">
        <v>168</v>
      </c>
      <c r="M1601" s="99">
        <v>71998</v>
      </c>
      <c r="N1601" s="98" t="s">
        <v>204</v>
      </c>
    </row>
    <row r="1602" spans="1:14" x14ac:dyDescent="0.25">
      <c r="A1602" s="100">
        <v>72001</v>
      </c>
      <c r="I1602" s="99">
        <v>66165</v>
      </c>
      <c r="J1602" s="98" t="s">
        <v>173</v>
      </c>
      <c r="M1602" s="99">
        <v>72001</v>
      </c>
      <c r="N1602" s="98" t="s">
        <v>207</v>
      </c>
    </row>
    <row r="1603" spans="1:14" x14ac:dyDescent="0.25">
      <c r="A1603" s="100">
        <v>72004</v>
      </c>
      <c r="I1603" s="99">
        <v>66166</v>
      </c>
      <c r="J1603" s="98" t="s">
        <v>212</v>
      </c>
      <c r="M1603" s="99">
        <v>72004</v>
      </c>
      <c r="N1603" s="98" t="s">
        <v>199</v>
      </c>
    </row>
    <row r="1604" spans="1:14" x14ac:dyDescent="0.25">
      <c r="A1604" s="100">
        <v>72102</v>
      </c>
      <c r="I1604" s="99">
        <v>66190</v>
      </c>
      <c r="J1604" s="98" t="s">
        <v>178</v>
      </c>
      <c r="M1604" s="99">
        <v>72102</v>
      </c>
      <c r="N1604" s="98" t="s">
        <v>166</v>
      </c>
    </row>
    <row r="1605" spans="1:14" x14ac:dyDescent="0.25">
      <c r="A1605" s="100">
        <v>72125</v>
      </c>
      <c r="I1605" s="99">
        <v>66230</v>
      </c>
      <c r="J1605" s="98" t="s">
        <v>183</v>
      </c>
      <c r="M1605" s="99">
        <v>72125</v>
      </c>
      <c r="N1605" s="98" t="s">
        <v>170</v>
      </c>
    </row>
    <row r="1606" spans="1:14" x14ac:dyDescent="0.25">
      <c r="A1606" s="100">
        <v>72140</v>
      </c>
      <c r="I1606" s="99">
        <v>66234</v>
      </c>
      <c r="J1606" s="98" t="s">
        <v>187</v>
      </c>
      <c r="M1606" s="99">
        <v>72140</v>
      </c>
      <c r="N1606" s="98" t="s">
        <v>175</v>
      </c>
    </row>
    <row r="1607" spans="1:14" x14ac:dyDescent="0.25">
      <c r="A1607" s="100">
        <v>72200</v>
      </c>
      <c r="I1607" s="99">
        <v>66235</v>
      </c>
      <c r="J1607" s="98" t="s">
        <v>190</v>
      </c>
      <c r="M1607" s="99">
        <v>72200</v>
      </c>
      <c r="N1607" s="98" t="s">
        <v>184</v>
      </c>
    </row>
    <row r="1608" spans="1:14" x14ac:dyDescent="0.25">
      <c r="A1608" s="100">
        <v>72242</v>
      </c>
      <c r="I1608" s="99">
        <v>66236</v>
      </c>
      <c r="J1608" s="98" t="s">
        <v>194</v>
      </c>
      <c r="M1608" s="99">
        <v>72242</v>
      </c>
      <c r="N1608" s="98" t="s">
        <v>201</v>
      </c>
    </row>
    <row r="1609" spans="1:14" x14ac:dyDescent="0.25">
      <c r="A1609" s="100">
        <v>72264</v>
      </c>
      <c r="I1609" s="99">
        <v>66237</v>
      </c>
      <c r="J1609" s="98" t="s">
        <v>212</v>
      </c>
      <c r="M1609" s="99">
        <v>72264</v>
      </c>
      <c r="N1609" s="98" t="s">
        <v>210</v>
      </c>
    </row>
    <row r="1610" spans="1:14" x14ac:dyDescent="0.25">
      <c r="A1610" s="100">
        <v>72270</v>
      </c>
      <c r="I1610" s="99">
        <v>66313</v>
      </c>
      <c r="J1610" s="98" t="s">
        <v>196</v>
      </c>
      <c r="M1610" s="99">
        <v>72270</v>
      </c>
      <c r="N1610" s="98" t="s">
        <v>188</v>
      </c>
    </row>
    <row r="1611" spans="1:14" x14ac:dyDescent="0.25">
      <c r="A1611" s="100">
        <v>72287</v>
      </c>
      <c r="I1611" s="99">
        <v>66334</v>
      </c>
      <c r="J1611" s="98" t="s">
        <v>198</v>
      </c>
      <c r="M1611" s="99">
        <v>72287</v>
      </c>
      <c r="N1611" s="98" t="s">
        <v>192</v>
      </c>
    </row>
    <row r="1612" spans="1:14" x14ac:dyDescent="0.25">
      <c r="A1612" s="100">
        <v>72314</v>
      </c>
      <c r="I1612" s="99">
        <v>66369</v>
      </c>
      <c r="J1612" s="98" t="s">
        <v>200</v>
      </c>
      <c r="M1612" s="99">
        <v>72314</v>
      </c>
      <c r="N1612" s="98" t="s">
        <v>177</v>
      </c>
    </row>
    <row r="1613" spans="1:14" x14ac:dyDescent="0.25">
      <c r="A1613" s="100">
        <v>72321</v>
      </c>
      <c r="I1613" s="99">
        <v>66376</v>
      </c>
      <c r="J1613" s="98" t="s">
        <v>203</v>
      </c>
      <c r="M1613" s="99">
        <v>72321</v>
      </c>
      <c r="N1613" s="98" t="s">
        <v>160</v>
      </c>
    </row>
    <row r="1614" spans="1:14" x14ac:dyDescent="0.25">
      <c r="A1614" s="100">
        <v>72340</v>
      </c>
      <c r="I1614" s="99">
        <v>66397</v>
      </c>
      <c r="J1614" s="98" t="s">
        <v>205</v>
      </c>
      <c r="M1614" s="99">
        <v>72340</v>
      </c>
      <c r="N1614" s="98" t="s">
        <v>197</v>
      </c>
    </row>
    <row r="1615" spans="1:14" x14ac:dyDescent="0.25">
      <c r="A1615" s="100">
        <v>72363</v>
      </c>
      <c r="I1615" s="99">
        <v>66418</v>
      </c>
      <c r="J1615" s="98" t="s">
        <v>209</v>
      </c>
      <c r="M1615" s="99">
        <v>72363</v>
      </c>
      <c r="N1615" s="98" t="s">
        <v>204</v>
      </c>
    </row>
    <row r="1616" spans="1:14" x14ac:dyDescent="0.25">
      <c r="A1616" s="100">
        <v>72366</v>
      </c>
      <c r="I1616" s="99">
        <v>66438</v>
      </c>
      <c r="J1616" s="98" t="s">
        <v>211</v>
      </c>
      <c r="M1616" s="99">
        <v>72366</v>
      </c>
      <c r="N1616" s="98" t="s">
        <v>207</v>
      </c>
    </row>
    <row r="1617" spans="1:14" x14ac:dyDescent="0.25">
      <c r="A1617" s="100">
        <v>72368</v>
      </c>
      <c r="I1617" s="99">
        <v>66439</v>
      </c>
      <c r="J1617" s="98" t="s">
        <v>212</v>
      </c>
      <c r="M1617" s="99">
        <v>72368</v>
      </c>
      <c r="N1617" s="98" t="s">
        <v>199</v>
      </c>
    </row>
    <row r="1618" spans="1:14" x14ac:dyDescent="0.25">
      <c r="A1618" s="100">
        <v>72466</v>
      </c>
      <c r="I1618" s="99">
        <v>66477</v>
      </c>
      <c r="J1618" s="98" t="s">
        <v>161</v>
      </c>
      <c r="M1618" s="99">
        <v>72466</v>
      </c>
      <c r="N1618" s="98" t="s">
        <v>166</v>
      </c>
    </row>
    <row r="1619" spans="1:14" x14ac:dyDescent="0.25">
      <c r="A1619" s="100">
        <v>72490</v>
      </c>
      <c r="I1619" s="99">
        <v>66488</v>
      </c>
      <c r="J1619" s="98" t="s">
        <v>164</v>
      </c>
      <c r="M1619" s="99">
        <v>72490</v>
      </c>
      <c r="N1619" s="98" t="s">
        <v>170</v>
      </c>
    </row>
    <row r="1620" spans="1:14" x14ac:dyDescent="0.25">
      <c r="A1620" s="100">
        <v>72505</v>
      </c>
      <c r="I1620" s="99">
        <v>66518</v>
      </c>
      <c r="J1620" s="98" t="s">
        <v>168</v>
      </c>
      <c r="M1620" s="99">
        <v>72505</v>
      </c>
      <c r="N1620" s="98" t="s">
        <v>175</v>
      </c>
    </row>
    <row r="1621" spans="1:14" x14ac:dyDescent="0.25">
      <c r="A1621" s="100">
        <v>72564</v>
      </c>
      <c r="I1621" s="99">
        <v>66530</v>
      </c>
      <c r="J1621" s="98" t="s">
        <v>173</v>
      </c>
      <c r="M1621" s="99">
        <v>72564</v>
      </c>
      <c r="N1621" s="98" t="s">
        <v>184</v>
      </c>
    </row>
    <row r="1622" spans="1:14" x14ac:dyDescent="0.25">
      <c r="A1622" s="100">
        <v>72606</v>
      </c>
      <c r="I1622" s="99">
        <v>66555</v>
      </c>
      <c r="J1622" s="98" t="s">
        <v>178</v>
      </c>
      <c r="M1622" s="99">
        <v>72606</v>
      </c>
      <c r="N1622" s="98" t="s">
        <v>201</v>
      </c>
    </row>
    <row r="1623" spans="1:14" x14ac:dyDescent="0.25">
      <c r="A1623" s="100">
        <v>72628</v>
      </c>
      <c r="I1623" s="99">
        <v>66595</v>
      </c>
      <c r="J1623" s="98" t="s">
        <v>183</v>
      </c>
      <c r="M1623" s="99">
        <v>72628</v>
      </c>
      <c r="N1623" s="98" t="s">
        <v>210</v>
      </c>
    </row>
    <row r="1624" spans="1:14" x14ac:dyDescent="0.25">
      <c r="A1624" s="100">
        <v>72635</v>
      </c>
      <c r="I1624" s="99">
        <v>66599</v>
      </c>
      <c r="J1624" s="98" t="s">
        <v>187</v>
      </c>
      <c r="M1624" s="99">
        <v>72635</v>
      </c>
      <c r="N1624" s="98" t="s">
        <v>188</v>
      </c>
    </row>
    <row r="1625" spans="1:14" x14ac:dyDescent="0.25">
      <c r="A1625" s="100">
        <v>72651</v>
      </c>
      <c r="I1625" s="99">
        <v>66600</v>
      </c>
      <c r="J1625" s="98" t="s">
        <v>190</v>
      </c>
      <c r="M1625" s="99">
        <v>72651</v>
      </c>
      <c r="N1625" s="98" t="s">
        <v>192</v>
      </c>
    </row>
    <row r="1626" spans="1:14" x14ac:dyDescent="0.25">
      <c r="A1626" s="100">
        <v>72679</v>
      </c>
      <c r="I1626" s="99">
        <v>66601</v>
      </c>
      <c r="J1626" s="98" t="s">
        <v>194</v>
      </c>
      <c r="M1626" s="99">
        <v>72679</v>
      </c>
      <c r="N1626" s="98" t="s">
        <v>177</v>
      </c>
    </row>
    <row r="1627" spans="1:14" x14ac:dyDescent="0.25">
      <c r="A1627" s="100">
        <v>72686</v>
      </c>
      <c r="I1627" s="99">
        <v>66602</v>
      </c>
      <c r="J1627" s="98" t="s">
        <v>212</v>
      </c>
      <c r="M1627" s="99">
        <v>72686</v>
      </c>
      <c r="N1627" s="98" t="s">
        <v>160</v>
      </c>
    </row>
    <row r="1628" spans="1:14" x14ac:dyDescent="0.25">
      <c r="A1628" s="100">
        <v>72704</v>
      </c>
      <c r="I1628" s="99">
        <v>66677</v>
      </c>
      <c r="J1628" s="98" t="s">
        <v>196</v>
      </c>
      <c r="M1628" s="99">
        <v>72704</v>
      </c>
      <c r="N1628" s="98" t="s">
        <v>197</v>
      </c>
    </row>
    <row r="1629" spans="1:14" x14ac:dyDescent="0.25">
      <c r="A1629" s="100">
        <v>72728</v>
      </c>
      <c r="I1629" s="99">
        <v>66699</v>
      </c>
      <c r="J1629" s="98" t="s">
        <v>198</v>
      </c>
      <c r="M1629" s="99">
        <v>72728</v>
      </c>
      <c r="N1629" s="98" t="s">
        <v>204</v>
      </c>
    </row>
    <row r="1630" spans="1:14" x14ac:dyDescent="0.25">
      <c r="A1630" s="100">
        <v>72731</v>
      </c>
      <c r="I1630" s="99">
        <v>66740</v>
      </c>
      <c r="J1630" s="98" t="s">
        <v>200</v>
      </c>
      <c r="M1630" s="99">
        <v>72731</v>
      </c>
      <c r="N1630" s="98" t="s">
        <v>207</v>
      </c>
    </row>
    <row r="1631" spans="1:14" x14ac:dyDescent="0.25">
      <c r="A1631" s="100">
        <v>72732</v>
      </c>
      <c r="I1631" s="99">
        <v>66741</v>
      </c>
      <c r="J1631" s="98" t="s">
        <v>203</v>
      </c>
      <c r="M1631" s="99">
        <v>72732</v>
      </c>
      <c r="N1631" s="98" t="s">
        <v>199</v>
      </c>
    </row>
    <row r="1632" spans="1:14" x14ac:dyDescent="0.25">
      <c r="A1632" s="100">
        <v>72830</v>
      </c>
      <c r="I1632" s="99">
        <v>66761</v>
      </c>
      <c r="J1632" s="98" t="s">
        <v>205</v>
      </c>
      <c r="M1632" s="99">
        <v>72830</v>
      </c>
      <c r="N1632" s="98" t="s">
        <v>166</v>
      </c>
    </row>
    <row r="1633" spans="1:14" x14ac:dyDescent="0.25">
      <c r="A1633" s="100">
        <v>72855</v>
      </c>
      <c r="I1633" s="99">
        <v>66783</v>
      </c>
      <c r="J1633" s="98" t="s">
        <v>209</v>
      </c>
      <c r="M1633" s="99">
        <v>72855</v>
      </c>
      <c r="N1633" s="98" t="s">
        <v>170</v>
      </c>
    </row>
    <row r="1634" spans="1:14" x14ac:dyDescent="0.25">
      <c r="A1634" s="100">
        <v>72869</v>
      </c>
      <c r="I1634" s="99">
        <v>66803</v>
      </c>
      <c r="J1634" s="98" t="s">
        <v>211</v>
      </c>
      <c r="M1634" s="99">
        <v>72869</v>
      </c>
      <c r="N1634" s="98" t="s">
        <v>180</v>
      </c>
    </row>
    <row r="1635" spans="1:14" x14ac:dyDescent="0.25">
      <c r="A1635" s="100">
        <v>72870</v>
      </c>
      <c r="I1635" s="99">
        <v>66842</v>
      </c>
      <c r="J1635" s="98" t="s">
        <v>161</v>
      </c>
      <c r="M1635" s="99">
        <v>72870</v>
      </c>
      <c r="N1635" s="98" t="s">
        <v>175</v>
      </c>
    </row>
    <row r="1636" spans="1:14" x14ac:dyDescent="0.25">
      <c r="A1636" s="100">
        <v>72935</v>
      </c>
      <c r="I1636" s="99">
        <v>66852</v>
      </c>
      <c r="J1636" s="98" t="s">
        <v>164</v>
      </c>
      <c r="M1636" s="99">
        <v>72935</v>
      </c>
      <c r="N1636" s="98" t="s">
        <v>184</v>
      </c>
    </row>
    <row r="1637" spans="1:14" x14ac:dyDescent="0.25">
      <c r="A1637" s="100">
        <v>72970</v>
      </c>
      <c r="I1637" s="99">
        <v>66883</v>
      </c>
      <c r="J1637" s="98" t="s">
        <v>168</v>
      </c>
      <c r="M1637" s="99">
        <v>72970</v>
      </c>
      <c r="N1637" s="98" t="s">
        <v>201</v>
      </c>
    </row>
    <row r="1638" spans="1:14" x14ac:dyDescent="0.25">
      <c r="A1638" s="100">
        <v>72992</v>
      </c>
      <c r="I1638" s="99">
        <v>66895</v>
      </c>
      <c r="J1638" s="98" t="s">
        <v>173</v>
      </c>
      <c r="M1638" s="99">
        <v>72992</v>
      </c>
      <c r="N1638" s="98" t="s">
        <v>210</v>
      </c>
    </row>
    <row r="1639" spans="1:14" x14ac:dyDescent="0.25">
      <c r="A1639" s="100">
        <v>73000</v>
      </c>
      <c r="I1639" s="99">
        <v>66920</v>
      </c>
      <c r="J1639" s="98" t="s">
        <v>178</v>
      </c>
      <c r="M1639" s="99">
        <v>73000</v>
      </c>
      <c r="N1639" s="98" t="s">
        <v>188</v>
      </c>
    </row>
    <row r="1640" spans="1:14" x14ac:dyDescent="0.25">
      <c r="A1640" s="100">
        <v>73015</v>
      </c>
      <c r="I1640" s="99">
        <v>66960</v>
      </c>
      <c r="J1640" s="98" t="s">
        <v>183</v>
      </c>
      <c r="M1640" s="99">
        <v>73015</v>
      </c>
      <c r="N1640" s="98" t="s">
        <v>192</v>
      </c>
    </row>
    <row r="1641" spans="1:14" x14ac:dyDescent="0.25">
      <c r="A1641" s="100">
        <v>73044</v>
      </c>
      <c r="I1641" s="99">
        <v>66964</v>
      </c>
      <c r="J1641" s="98" t="s">
        <v>187</v>
      </c>
      <c r="M1641" s="99">
        <v>73044</v>
      </c>
      <c r="N1641" s="98" t="s">
        <v>177</v>
      </c>
    </row>
    <row r="1642" spans="1:14" x14ac:dyDescent="0.25">
      <c r="I1642" s="99">
        <v>66965</v>
      </c>
      <c r="J1642" s="98" t="s">
        <v>190</v>
      </c>
    </row>
    <row r="1643" spans="1:14" x14ac:dyDescent="0.25">
      <c r="I1643" s="99">
        <v>66966</v>
      </c>
      <c r="J1643" s="98" t="s">
        <v>194</v>
      </c>
    </row>
    <row r="1644" spans="1:14" x14ac:dyDescent="0.25">
      <c r="I1644" s="99">
        <v>67041</v>
      </c>
      <c r="J1644" s="98" t="s">
        <v>196</v>
      </c>
    </row>
    <row r="1645" spans="1:14" x14ac:dyDescent="0.25">
      <c r="I1645" s="99">
        <v>67064</v>
      </c>
      <c r="J1645" s="98" t="s">
        <v>198</v>
      </c>
    </row>
    <row r="1646" spans="1:14" x14ac:dyDescent="0.25">
      <c r="I1646" s="99">
        <v>67104</v>
      </c>
      <c r="J1646" s="98" t="s">
        <v>200</v>
      </c>
    </row>
    <row r="1647" spans="1:14" x14ac:dyDescent="0.25">
      <c r="I1647" s="99">
        <v>67107</v>
      </c>
      <c r="J1647" s="98" t="s">
        <v>203</v>
      </c>
    </row>
    <row r="1648" spans="1:14" x14ac:dyDescent="0.25">
      <c r="I1648" s="99">
        <v>67125</v>
      </c>
      <c r="J1648" s="98" t="s">
        <v>205</v>
      </c>
    </row>
    <row r="1649" spans="9:10" x14ac:dyDescent="0.25">
      <c r="I1649" s="99">
        <v>67148</v>
      </c>
      <c r="J1649" s="98" t="s">
        <v>209</v>
      </c>
    </row>
    <row r="1650" spans="9:10" x14ac:dyDescent="0.25">
      <c r="I1650" s="99">
        <v>67168</v>
      </c>
      <c r="J1650" s="98" t="s">
        <v>211</v>
      </c>
    </row>
    <row r="1651" spans="9:10" x14ac:dyDescent="0.25">
      <c r="I1651" s="99">
        <v>67207</v>
      </c>
      <c r="J1651" s="98" t="s">
        <v>161</v>
      </c>
    </row>
    <row r="1652" spans="9:10" x14ac:dyDescent="0.25">
      <c r="I1652" s="99">
        <v>67216</v>
      </c>
      <c r="J1652" s="98" t="s">
        <v>164</v>
      </c>
    </row>
    <row r="1653" spans="9:10" x14ac:dyDescent="0.25">
      <c r="I1653" s="99">
        <v>67248</v>
      </c>
      <c r="J1653" s="98" t="s">
        <v>168</v>
      </c>
    </row>
    <row r="1654" spans="9:10" x14ac:dyDescent="0.25">
      <c r="I1654" s="99">
        <v>67260</v>
      </c>
      <c r="J1654" s="98" t="s">
        <v>173</v>
      </c>
    </row>
    <row r="1655" spans="9:10" x14ac:dyDescent="0.25">
      <c r="I1655" s="99">
        <v>67286</v>
      </c>
      <c r="J1655" s="98" t="s">
        <v>178</v>
      </c>
    </row>
    <row r="1656" spans="9:10" x14ac:dyDescent="0.25">
      <c r="I1656" s="99">
        <v>67326</v>
      </c>
      <c r="J1656" s="98" t="s">
        <v>183</v>
      </c>
    </row>
    <row r="1657" spans="9:10" x14ac:dyDescent="0.25">
      <c r="I1657" s="99">
        <v>67330</v>
      </c>
      <c r="J1657" s="98" t="s">
        <v>187</v>
      </c>
    </row>
    <row r="1658" spans="9:10" x14ac:dyDescent="0.25">
      <c r="I1658" s="99">
        <v>67331</v>
      </c>
      <c r="J1658" s="98" t="s">
        <v>190</v>
      </c>
    </row>
    <row r="1659" spans="9:10" x14ac:dyDescent="0.25">
      <c r="I1659" s="99">
        <v>67332</v>
      </c>
      <c r="J1659" s="98" t="s">
        <v>194</v>
      </c>
    </row>
    <row r="1660" spans="9:10" x14ac:dyDescent="0.25">
      <c r="I1660" s="99">
        <v>67405</v>
      </c>
      <c r="J1660" s="98" t="s">
        <v>196</v>
      </c>
    </row>
    <row r="1661" spans="9:10" x14ac:dyDescent="0.25">
      <c r="I1661" s="99">
        <v>67430</v>
      </c>
      <c r="J1661" s="98" t="s">
        <v>198</v>
      </c>
    </row>
    <row r="1662" spans="9:10" x14ac:dyDescent="0.25">
      <c r="I1662" s="99">
        <v>67468</v>
      </c>
      <c r="J1662" s="98" t="s">
        <v>200</v>
      </c>
    </row>
    <row r="1663" spans="9:10" x14ac:dyDescent="0.25">
      <c r="I1663" s="99">
        <v>67472</v>
      </c>
      <c r="J1663" s="98" t="s">
        <v>203</v>
      </c>
    </row>
    <row r="1664" spans="9:10" x14ac:dyDescent="0.25">
      <c r="I1664" s="99">
        <v>67489</v>
      </c>
      <c r="J1664" s="98" t="s">
        <v>205</v>
      </c>
    </row>
    <row r="1665" spans="9:10" x14ac:dyDescent="0.25">
      <c r="I1665" s="99">
        <v>67514</v>
      </c>
      <c r="J1665" s="98" t="s">
        <v>209</v>
      </c>
    </row>
    <row r="1666" spans="9:10" x14ac:dyDescent="0.25">
      <c r="I1666" s="99">
        <v>67534</v>
      </c>
      <c r="J1666" s="98" t="s">
        <v>211</v>
      </c>
    </row>
    <row r="1667" spans="9:10" x14ac:dyDescent="0.25">
      <c r="I1667" s="99">
        <v>67573</v>
      </c>
      <c r="J1667" s="98" t="s">
        <v>161</v>
      </c>
    </row>
    <row r="1668" spans="9:10" x14ac:dyDescent="0.25">
      <c r="I1668" s="99">
        <v>67580</v>
      </c>
      <c r="J1668" s="98" t="s">
        <v>164</v>
      </c>
    </row>
    <row r="1669" spans="9:10" x14ac:dyDescent="0.25">
      <c r="I1669" s="99">
        <v>67614</v>
      </c>
      <c r="J1669" s="98" t="s">
        <v>168</v>
      </c>
    </row>
    <row r="1670" spans="9:10" x14ac:dyDescent="0.25">
      <c r="I1670" s="99">
        <v>67615</v>
      </c>
      <c r="J1670" s="98" t="s">
        <v>212</v>
      </c>
    </row>
    <row r="1671" spans="9:10" x14ac:dyDescent="0.25">
      <c r="I1671" s="99">
        <v>67626</v>
      </c>
      <c r="J1671" s="98" t="s">
        <v>173</v>
      </c>
    </row>
    <row r="1672" spans="9:10" x14ac:dyDescent="0.25">
      <c r="I1672" s="99">
        <v>67651</v>
      </c>
      <c r="J1672" s="98" t="s">
        <v>178</v>
      </c>
    </row>
    <row r="1673" spans="9:10" x14ac:dyDescent="0.25">
      <c r="I1673" s="99">
        <v>67691</v>
      </c>
      <c r="J1673" s="98" t="s">
        <v>183</v>
      </c>
    </row>
    <row r="1674" spans="9:10" x14ac:dyDescent="0.25">
      <c r="I1674" s="99">
        <v>67692</v>
      </c>
      <c r="J1674" s="98" t="s">
        <v>212</v>
      </c>
    </row>
    <row r="1675" spans="9:10" x14ac:dyDescent="0.25">
      <c r="I1675" s="99">
        <v>67695</v>
      </c>
      <c r="J1675" s="98" t="s">
        <v>187</v>
      </c>
    </row>
    <row r="1676" spans="9:10" x14ac:dyDescent="0.25">
      <c r="I1676" s="99">
        <v>67696</v>
      </c>
      <c r="J1676" s="98" t="s">
        <v>190</v>
      </c>
    </row>
    <row r="1677" spans="9:10" x14ac:dyDescent="0.25">
      <c r="I1677" s="99">
        <v>67697</v>
      </c>
      <c r="J1677" s="98" t="s">
        <v>194</v>
      </c>
    </row>
    <row r="1678" spans="9:10" x14ac:dyDescent="0.25">
      <c r="I1678" s="99">
        <v>67769</v>
      </c>
      <c r="J1678" s="98" t="s">
        <v>196</v>
      </c>
    </row>
    <row r="1679" spans="9:10" x14ac:dyDescent="0.25">
      <c r="I1679" s="99">
        <v>67795</v>
      </c>
      <c r="J1679" s="98" t="s">
        <v>198</v>
      </c>
    </row>
    <row r="1680" spans="9:10" x14ac:dyDescent="0.25">
      <c r="I1680" s="99">
        <v>67832</v>
      </c>
      <c r="J1680" s="98" t="s">
        <v>200</v>
      </c>
    </row>
    <row r="1681" spans="9:10" x14ac:dyDescent="0.25">
      <c r="I1681" s="99">
        <v>67837</v>
      </c>
      <c r="J1681" s="98" t="s">
        <v>203</v>
      </c>
    </row>
    <row r="1682" spans="9:10" x14ac:dyDescent="0.25">
      <c r="I1682" s="99">
        <v>67853</v>
      </c>
      <c r="J1682" s="98" t="s">
        <v>205</v>
      </c>
    </row>
    <row r="1683" spans="9:10" x14ac:dyDescent="0.25">
      <c r="I1683" s="99">
        <v>67879</v>
      </c>
      <c r="J1683" s="98" t="s">
        <v>209</v>
      </c>
    </row>
    <row r="1684" spans="9:10" x14ac:dyDescent="0.25">
      <c r="I1684" s="99">
        <v>67899</v>
      </c>
      <c r="J1684" s="98" t="s">
        <v>211</v>
      </c>
    </row>
    <row r="1685" spans="9:10" x14ac:dyDescent="0.25">
      <c r="I1685" s="99">
        <v>67938</v>
      </c>
      <c r="J1685" s="98" t="s">
        <v>161</v>
      </c>
    </row>
    <row r="1686" spans="9:10" x14ac:dyDescent="0.25">
      <c r="I1686" s="99">
        <v>67951</v>
      </c>
      <c r="J1686" s="98" t="s">
        <v>164</v>
      </c>
    </row>
    <row r="1687" spans="9:10" x14ac:dyDescent="0.25">
      <c r="I1687" s="99">
        <v>67979</v>
      </c>
      <c r="J1687" s="98" t="s">
        <v>168</v>
      </c>
    </row>
    <row r="1688" spans="9:10" x14ac:dyDescent="0.25">
      <c r="I1688" s="99">
        <v>67991</v>
      </c>
      <c r="J1688" s="98" t="s">
        <v>173</v>
      </c>
    </row>
    <row r="1689" spans="9:10" x14ac:dyDescent="0.25">
      <c r="I1689" s="99">
        <v>68016</v>
      </c>
      <c r="J1689" s="98" t="s">
        <v>178</v>
      </c>
    </row>
    <row r="1690" spans="9:10" x14ac:dyDescent="0.25">
      <c r="I1690" s="99">
        <v>68056</v>
      </c>
      <c r="J1690" s="98" t="s">
        <v>183</v>
      </c>
    </row>
    <row r="1691" spans="9:10" x14ac:dyDescent="0.25">
      <c r="I1691" s="99">
        <v>68060</v>
      </c>
      <c r="J1691" s="98" t="s">
        <v>187</v>
      </c>
    </row>
    <row r="1692" spans="9:10" x14ac:dyDescent="0.25">
      <c r="I1692" s="99">
        <v>68061</v>
      </c>
      <c r="J1692" s="98" t="s">
        <v>190</v>
      </c>
    </row>
    <row r="1693" spans="9:10" x14ac:dyDescent="0.25">
      <c r="I1693" s="99">
        <v>68062</v>
      </c>
      <c r="J1693" s="98" t="s">
        <v>194</v>
      </c>
    </row>
    <row r="1694" spans="9:10" x14ac:dyDescent="0.25">
      <c r="I1694" s="99">
        <v>68063</v>
      </c>
      <c r="J1694" s="98" t="s">
        <v>212</v>
      </c>
    </row>
    <row r="1695" spans="9:10" x14ac:dyDescent="0.25">
      <c r="I1695" s="99">
        <v>68133</v>
      </c>
      <c r="J1695" s="98" t="s">
        <v>196</v>
      </c>
    </row>
    <row r="1696" spans="9:10" x14ac:dyDescent="0.25">
      <c r="I1696" s="99">
        <v>68160</v>
      </c>
      <c r="J1696" s="98" t="s">
        <v>198</v>
      </c>
    </row>
    <row r="1697" spans="9:10" x14ac:dyDescent="0.25">
      <c r="I1697" s="99">
        <v>68161</v>
      </c>
      <c r="J1697" s="98" t="s">
        <v>212</v>
      </c>
    </row>
    <row r="1698" spans="9:10" x14ac:dyDescent="0.25">
      <c r="I1698" s="99">
        <v>68196</v>
      </c>
      <c r="J1698" s="98" t="s">
        <v>200</v>
      </c>
    </row>
    <row r="1699" spans="9:10" x14ac:dyDescent="0.25">
      <c r="I1699" s="99">
        <v>68202</v>
      </c>
      <c r="J1699" s="98" t="s">
        <v>203</v>
      </c>
    </row>
    <row r="1700" spans="9:10" x14ac:dyDescent="0.25">
      <c r="I1700" s="99">
        <v>68203</v>
      </c>
      <c r="J1700" s="98" t="s">
        <v>212</v>
      </c>
    </row>
    <row r="1701" spans="9:10" x14ac:dyDescent="0.25">
      <c r="I1701" s="99">
        <v>68224</v>
      </c>
      <c r="J1701" s="98" t="s">
        <v>205</v>
      </c>
    </row>
    <row r="1702" spans="9:10" x14ac:dyDescent="0.25">
      <c r="I1702" s="99">
        <v>68244</v>
      </c>
      <c r="J1702" s="98" t="s">
        <v>209</v>
      </c>
    </row>
    <row r="1703" spans="9:10" x14ac:dyDescent="0.25">
      <c r="I1703" s="99">
        <v>68245</v>
      </c>
      <c r="J1703" s="98" t="s">
        <v>212</v>
      </c>
    </row>
    <row r="1704" spans="9:10" x14ac:dyDescent="0.25">
      <c r="I1704" s="99">
        <v>68264</v>
      </c>
      <c r="J1704" s="98" t="s">
        <v>211</v>
      </c>
    </row>
    <row r="1705" spans="9:10" x14ac:dyDescent="0.25">
      <c r="I1705" s="99">
        <v>68303</v>
      </c>
      <c r="J1705" s="98" t="s">
        <v>161</v>
      </c>
    </row>
    <row r="1706" spans="9:10" x14ac:dyDescent="0.25">
      <c r="I1706" s="99">
        <v>68315</v>
      </c>
      <c r="J1706" s="98" t="s">
        <v>164</v>
      </c>
    </row>
    <row r="1707" spans="9:10" x14ac:dyDescent="0.25">
      <c r="I1707" s="99">
        <v>68344</v>
      </c>
      <c r="J1707" s="98" t="s">
        <v>168</v>
      </c>
    </row>
    <row r="1708" spans="9:10" x14ac:dyDescent="0.25">
      <c r="I1708" s="99">
        <v>68356</v>
      </c>
      <c r="J1708" s="98" t="s">
        <v>173</v>
      </c>
    </row>
    <row r="1709" spans="9:10" x14ac:dyDescent="0.25">
      <c r="I1709" s="99">
        <v>68357</v>
      </c>
      <c r="J1709" s="98" t="s">
        <v>212</v>
      </c>
    </row>
    <row r="1710" spans="9:10" x14ac:dyDescent="0.25">
      <c r="I1710" s="99">
        <v>68381</v>
      </c>
      <c r="J1710" s="98" t="s">
        <v>178</v>
      </c>
    </row>
    <row r="1711" spans="9:10" x14ac:dyDescent="0.25">
      <c r="I1711" s="99">
        <v>68421</v>
      </c>
      <c r="J1711" s="98" t="s">
        <v>183</v>
      </c>
    </row>
    <row r="1712" spans="9:10" x14ac:dyDescent="0.25">
      <c r="I1712" s="99">
        <v>68425</v>
      </c>
      <c r="J1712" s="98" t="s">
        <v>187</v>
      </c>
    </row>
    <row r="1713" spans="9:10" x14ac:dyDescent="0.25">
      <c r="I1713" s="99">
        <v>68426</v>
      </c>
      <c r="J1713" s="98" t="s">
        <v>190</v>
      </c>
    </row>
    <row r="1714" spans="9:10" x14ac:dyDescent="0.25">
      <c r="I1714" s="99">
        <v>68427</v>
      </c>
      <c r="J1714" s="98" t="s">
        <v>194</v>
      </c>
    </row>
    <row r="1715" spans="9:10" x14ac:dyDescent="0.25">
      <c r="I1715" s="99">
        <v>68428</v>
      </c>
      <c r="J1715" s="98" t="s">
        <v>212</v>
      </c>
    </row>
    <row r="1716" spans="9:10" x14ac:dyDescent="0.25">
      <c r="I1716" s="99">
        <v>68504</v>
      </c>
      <c r="J1716" s="98" t="s">
        <v>196</v>
      </c>
    </row>
    <row r="1717" spans="9:10" x14ac:dyDescent="0.25">
      <c r="I1717" s="99">
        <v>68525</v>
      </c>
      <c r="J1717" s="98" t="s">
        <v>198</v>
      </c>
    </row>
    <row r="1718" spans="9:10" x14ac:dyDescent="0.25">
      <c r="I1718" s="99">
        <v>68560</v>
      </c>
      <c r="J1718" s="98" t="s">
        <v>200</v>
      </c>
    </row>
    <row r="1719" spans="9:10" x14ac:dyDescent="0.25">
      <c r="I1719" s="99">
        <v>68568</v>
      </c>
      <c r="J1719" s="98" t="s">
        <v>203</v>
      </c>
    </row>
    <row r="1720" spans="9:10" x14ac:dyDescent="0.25">
      <c r="I1720" s="99">
        <v>68588</v>
      </c>
      <c r="J1720" s="98" t="s">
        <v>205</v>
      </c>
    </row>
    <row r="1721" spans="9:10" x14ac:dyDescent="0.25">
      <c r="I1721" s="99">
        <v>68609</v>
      </c>
      <c r="J1721" s="98" t="s">
        <v>209</v>
      </c>
    </row>
    <row r="1722" spans="9:10" x14ac:dyDescent="0.25">
      <c r="I1722" s="99">
        <v>68629</v>
      </c>
      <c r="J1722" s="98" t="s">
        <v>211</v>
      </c>
    </row>
    <row r="1723" spans="9:10" x14ac:dyDescent="0.25">
      <c r="I1723" s="99">
        <v>68630</v>
      </c>
      <c r="J1723" s="98" t="s">
        <v>212</v>
      </c>
    </row>
    <row r="1724" spans="9:10" x14ac:dyDescent="0.25">
      <c r="I1724" s="99">
        <v>68668</v>
      </c>
      <c r="J1724" s="98" t="s">
        <v>161</v>
      </c>
    </row>
    <row r="1725" spans="9:10" x14ac:dyDescent="0.25">
      <c r="I1725" s="99">
        <v>68679</v>
      </c>
      <c r="J1725" s="98" t="s">
        <v>164</v>
      </c>
    </row>
    <row r="1726" spans="9:10" x14ac:dyDescent="0.25">
      <c r="I1726" s="99">
        <v>68709</v>
      </c>
      <c r="J1726" s="98" t="s">
        <v>168</v>
      </c>
    </row>
    <row r="1727" spans="9:10" x14ac:dyDescent="0.25">
      <c r="I1727" s="99">
        <v>68721</v>
      </c>
      <c r="J1727" s="98" t="s">
        <v>173</v>
      </c>
    </row>
    <row r="1728" spans="9:10" x14ac:dyDescent="0.25">
      <c r="I1728" s="99">
        <v>68747</v>
      </c>
      <c r="J1728" s="98" t="s">
        <v>178</v>
      </c>
    </row>
    <row r="1729" spans="9:10" x14ac:dyDescent="0.25">
      <c r="I1729" s="99">
        <v>68787</v>
      </c>
      <c r="J1729" s="98" t="s">
        <v>183</v>
      </c>
    </row>
    <row r="1730" spans="9:10" x14ac:dyDescent="0.25">
      <c r="I1730" s="99">
        <v>68791</v>
      </c>
      <c r="J1730" s="98" t="s">
        <v>187</v>
      </c>
    </row>
    <row r="1731" spans="9:10" x14ac:dyDescent="0.25">
      <c r="I1731" s="99">
        <v>68792</v>
      </c>
      <c r="J1731" s="98" t="s">
        <v>190</v>
      </c>
    </row>
    <row r="1732" spans="9:10" x14ac:dyDescent="0.25">
      <c r="I1732" s="99">
        <v>68793</v>
      </c>
      <c r="J1732" s="98" t="s">
        <v>194</v>
      </c>
    </row>
    <row r="1733" spans="9:10" x14ac:dyDescent="0.25">
      <c r="I1733" s="99">
        <v>68868</v>
      </c>
      <c r="J1733" s="98" t="s">
        <v>196</v>
      </c>
    </row>
    <row r="1734" spans="9:10" x14ac:dyDescent="0.25">
      <c r="I1734" s="99">
        <v>68891</v>
      </c>
      <c r="J1734" s="98" t="s">
        <v>198</v>
      </c>
    </row>
    <row r="1735" spans="9:10" x14ac:dyDescent="0.25">
      <c r="I1735" s="99">
        <v>68931</v>
      </c>
      <c r="J1735" s="98" t="s">
        <v>200</v>
      </c>
    </row>
    <row r="1736" spans="9:10" x14ac:dyDescent="0.25">
      <c r="I1736" s="99">
        <v>68932</v>
      </c>
      <c r="J1736" s="98" t="s">
        <v>218</v>
      </c>
    </row>
    <row r="1737" spans="9:10" x14ac:dyDescent="0.25">
      <c r="I1737" s="99">
        <v>68933</v>
      </c>
      <c r="J1737" s="98" t="s">
        <v>203</v>
      </c>
    </row>
    <row r="1738" spans="9:10" x14ac:dyDescent="0.25">
      <c r="I1738" s="99">
        <v>68952</v>
      </c>
      <c r="J1738" s="98" t="s">
        <v>205</v>
      </c>
    </row>
    <row r="1739" spans="9:10" x14ac:dyDescent="0.25">
      <c r="I1739" s="99">
        <v>68975</v>
      </c>
      <c r="J1739" s="98" t="s">
        <v>209</v>
      </c>
    </row>
    <row r="1740" spans="9:10" x14ac:dyDescent="0.25">
      <c r="I1740" s="99">
        <v>68995</v>
      </c>
      <c r="J1740" s="98" t="s">
        <v>211</v>
      </c>
    </row>
    <row r="1741" spans="9:10" x14ac:dyDescent="0.25">
      <c r="I1741" s="99">
        <v>69034</v>
      </c>
      <c r="J1741" s="98" t="s">
        <v>161</v>
      </c>
    </row>
    <row r="1742" spans="9:10" x14ac:dyDescent="0.25">
      <c r="I1742" s="99">
        <v>69043</v>
      </c>
      <c r="J1742" s="98" t="s">
        <v>164</v>
      </c>
    </row>
    <row r="1743" spans="9:10" x14ac:dyDescent="0.25">
      <c r="I1743" s="99">
        <v>69075</v>
      </c>
      <c r="J1743" s="98" t="s">
        <v>168</v>
      </c>
    </row>
    <row r="1744" spans="9:10" x14ac:dyDescent="0.25">
      <c r="I1744" s="99">
        <v>69087</v>
      </c>
      <c r="J1744" s="98" t="s">
        <v>173</v>
      </c>
    </row>
    <row r="1745" spans="9:10" x14ac:dyDescent="0.25">
      <c r="I1745" s="99">
        <v>69112</v>
      </c>
      <c r="J1745" s="98" t="s">
        <v>178</v>
      </c>
    </row>
    <row r="1746" spans="9:10" x14ac:dyDescent="0.25">
      <c r="I1746" s="99">
        <v>69113</v>
      </c>
      <c r="J1746" s="98" t="s">
        <v>212</v>
      </c>
    </row>
    <row r="1747" spans="9:10" x14ac:dyDescent="0.25">
      <c r="I1747" s="99">
        <v>69152</v>
      </c>
      <c r="J1747" s="98" t="s">
        <v>183</v>
      </c>
    </row>
    <row r="1748" spans="9:10" x14ac:dyDescent="0.25">
      <c r="I1748" s="99">
        <v>69156</v>
      </c>
      <c r="J1748" s="98" t="s">
        <v>187</v>
      </c>
    </row>
    <row r="1749" spans="9:10" x14ac:dyDescent="0.25">
      <c r="I1749" s="99">
        <v>69157</v>
      </c>
      <c r="J1749" s="98" t="s">
        <v>190</v>
      </c>
    </row>
    <row r="1750" spans="9:10" x14ac:dyDescent="0.25">
      <c r="I1750" s="99">
        <v>69158</v>
      </c>
      <c r="J1750" s="98" t="s">
        <v>194</v>
      </c>
    </row>
    <row r="1751" spans="9:10" x14ac:dyDescent="0.25">
      <c r="I1751" s="99">
        <v>69232</v>
      </c>
      <c r="J1751" s="98" t="s">
        <v>196</v>
      </c>
    </row>
    <row r="1752" spans="9:10" x14ac:dyDescent="0.25">
      <c r="I1752" s="99">
        <v>69256</v>
      </c>
      <c r="J1752" s="98" t="s">
        <v>198</v>
      </c>
    </row>
    <row r="1753" spans="9:10" x14ac:dyDescent="0.25">
      <c r="I1753" s="99">
        <v>69295</v>
      </c>
      <c r="J1753" s="98" t="s">
        <v>200</v>
      </c>
    </row>
    <row r="1754" spans="9:10" x14ac:dyDescent="0.25">
      <c r="I1754" s="99">
        <v>69298</v>
      </c>
      <c r="J1754" s="98" t="s">
        <v>203</v>
      </c>
    </row>
    <row r="1755" spans="9:10" x14ac:dyDescent="0.25">
      <c r="I1755" s="99">
        <v>69316</v>
      </c>
      <c r="J1755" s="98" t="s">
        <v>205</v>
      </c>
    </row>
    <row r="1756" spans="9:10" x14ac:dyDescent="0.25">
      <c r="I1756" s="99">
        <v>69340</v>
      </c>
      <c r="J1756" s="98" t="s">
        <v>209</v>
      </c>
    </row>
    <row r="1757" spans="9:10" x14ac:dyDescent="0.25">
      <c r="I1757" s="99">
        <v>69360</v>
      </c>
      <c r="J1757" s="98" t="s">
        <v>211</v>
      </c>
    </row>
    <row r="1758" spans="9:10" x14ac:dyDescent="0.25">
      <c r="I1758" s="99">
        <v>69399</v>
      </c>
      <c r="J1758" s="98" t="s">
        <v>161</v>
      </c>
    </row>
    <row r="1759" spans="9:10" x14ac:dyDescent="0.25">
      <c r="I1759" s="99">
        <v>69400</v>
      </c>
      <c r="J1759" s="98" t="s">
        <v>212</v>
      </c>
    </row>
    <row r="1760" spans="9:10" x14ac:dyDescent="0.25">
      <c r="I1760" s="99">
        <v>69407</v>
      </c>
      <c r="J1760" s="98" t="s">
        <v>164</v>
      </c>
    </row>
    <row r="1761" spans="9:10" x14ac:dyDescent="0.25">
      <c r="I1761" s="99">
        <v>69440</v>
      </c>
      <c r="J1761" s="98" t="s">
        <v>168</v>
      </c>
    </row>
    <row r="1762" spans="9:10" x14ac:dyDescent="0.25">
      <c r="I1762" s="99">
        <v>69452</v>
      </c>
      <c r="J1762" s="98" t="s">
        <v>173</v>
      </c>
    </row>
    <row r="1763" spans="9:10" x14ac:dyDescent="0.25">
      <c r="I1763" s="99">
        <v>69477</v>
      </c>
      <c r="J1763" s="98" t="s">
        <v>178</v>
      </c>
    </row>
    <row r="1764" spans="9:10" x14ac:dyDescent="0.25">
      <c r="I1764" s="99">
        <v>69517</v>
      </c>
      <c r="J1764" s="98" t="s">
        <v>183</v>
      </c>
    </row>
    <row r="1765" spans="9:10" x14ac:dyDescent="0.25">
      <c r="I1765" s="99">
        <v>69521</v>
      </c>
      <c r="J1765" s="98" t="s">
        <v>187</v>
      </c>
    </row>
    <row r="1766" spans="9:10" x14ac:dyDescent="0.25">
      <c r="I1766" s="99">
        <v>69522</v>
      </c>
      <c r="J1766" s="98" t="s">
        <v>190</v>
      </c>
    </row>
    <row r="1767" spans="9:10" x14ac:dyDescent="0.25">
      <c r="I1767" s="99">
        <v>69523</v>
      </c>
      <c r="J1767" s="98" t="s">
        <v>194</v>
      </c>
    </row>
    <row r="1768" spans="9:10" x14ac:dyDescent="0.25">
      <c r="I1768" s="99">
        <v>69596</v>
      </c>
      <c r="J1768" s="98" t="s">
        <v>196</v>
      </c>
    </row>
    <row r="1769" spans="9:10" x14ac:dyDescent="0.25">
      <c r="I1769" s="99">
        <v>69621</v>
      </c>
      <c r="J1769" s="98" t="s">
        <v>198</v>
      </c>
    </row>
    <row r="1770" spans="9:10" x14ac:dyDescent="0.25">
      <c r="I1770" s="99">
        <v>69659</v>
      </c>
      <c r="J1770" s="98" t="s">
        <v>200</v>
      </c>
    </row>
    <row r="1771" spans="9:10" x14ac:dyDescent="0.25">
      <c r="I1771" s="99">
        <v>69663</v>
      </c>
      <c r="J1771" s="98" t="s">
        <v>203</v>
      </c>
    </row>
    <row r="1772" spans="9:10" x14ac:dyDescent="0.25">
      <c r="I1772" s="99">
        <v>69680</v>
      </c>
      <c r="J1772" s="98" t="s">
        <v>205</v>
      </c>
    </row>
    <row r="1773" spans="9:10" x14ac:dyDescent="0.25">
      <c r="I1773" s="99">
        <v>69705</v>
      </c>
      <c r="J1773" s="98" t="s">
        <v>209</v>
      </c>
    </row>
    <row r="1774" spans="9:10" x14ac:dyDescent="0.25">
      <c r="I1774" s="99">
        <v>69725</v>
      </c>
      <c r="J1774" s="98" t="s">
        <v>211</v>
      </c>
    </row>
    <row r="1775" spans="9:10" x14ac:dyDescent="0.25">
      <c r="I1775" s="99">
        <v>69764</v>
      </c>
      <c r="J1775" s="98" t="s">
        <v>161</v>
      </c>
    </row>
    <row r="1776" spans="9:10" x14ac:dyDescent="0.25">
      <c r="I1776" s="99">
        <v>69771</v>
      </c>
      <c r="J1776" s="98" t="s">
        <v>164</v>
      </c>
    </row>
    <row r="1777" spans="9:10" x14ac:dyDescent="0.25">
      <c r="I1777" s="99">
        <v>69805</v>
      </c>
      <c r="J1777" s="98" t="s">
        <v>168</v>
      </c>
    </row>
    <row r="1778" spans="9:10" x14ac:dyDescent="0.25">
      <c r="I1778" s="99">
        <v>69806</v>
      </c>
      <c r="J1778" s="98" t="s">
        <v>212</v>
      </c>
    </row>
    <row r="1779" spans="9:10" x14ac:dyDescent="0.25">
      <c r="I1779" s="99">
        <v>69817</v>
      </c>
      <c r="J1779" s="98" t="s">
        <v>173</v>
      </c>
    </row>
    <row r="1780" spans="9:10" x14ac:dyDescent="0.25">
      <c r="I1780" s="99">
        <v>69842</v>
      </c>
      <c r="J1780" s="98" t="s">
        <v>178</v>
      </c>
    </row>
    <row r="1781" spans="9:10" x14ac:dyDescent="0.25">
      <c r="I1781" s="99">
        <v>69882</v>
      </c>
      <c r="J1781" s="98" t="s">
        <v>183</v>
      </c>
    </row>
    <row r="1782" spans="9:10" x14ac:dyDescent="0.25">
      <c r="I1782" s="99">
        <v>69883</v>
      </c>
      <c r="J1782" s="98" t="s">
        <v>212</v>
      </c>
    </row>
    <row r="1783" spans="9:10" x14ac:dyDescent="0.25">
      <c r="I1783" s="99">
        <v>69886</v>
      </c>
      <c r="J1783" s="98" t="s">
        <v>187</v>
      </c>
    </row>
    <row r="1784" spans="9:10" x14ac:dyDescent="0.25">
      <c r="I1784" s="99">
        <v>69887</v>
      </c>
      <c r="J1784" s="98" t="s">
        <v>190</v>
      </c>
    </row>
    <row r="1785" spans="9:10" x14ac:dyDescent="0.25">
      <c r="I1785" s="99">
        <v>69888</v>
      </c>
      <c r="J1785" s="98" t="s">
        <v>194</v>
      </c>
    </row>
    <row r="1786" spans="9:10" x14ac:dyDescent="0.25">
      <c r="I1786" s="99">
        <v>69960</v>
      </c>
      <c r="J1786" s="98" t="s">
        <v>196</v>
      </c>
    </row>
    <row r="1787" spans="9:10" x14ac:dyDescent="0.25">
      <c r="I1787" s="99">
        <v>69986</v>
      </c>
      <c r="J1787" s="98" t="s">
        <v>198</v>
      </c>
    </row>
    <row r="1788" spans="9:10" x14ac:dyDescent="0.25">
      <c r="I1788" s="99">
        <v>70023</v>
      </c>
      <c r="J1788" s="98" t="s">
        <v>200</v>
      </c>
    </row>
    <row r="1789" spans="9:10" x14ac:dyDescent="0.25">
      <c r="I1789" s="99">
        <v>70029</v>
      </c>
      <c r="J1789" s="98" t="s">
        <v>203</v>
      </c>
    </row>
    <row r="1790" spans="9:10" x14ac:dyDescent="0.25">
      <c r="I1790" s="99">
        <v>70030</v>
      </c>
      <c r="J1790" s="98" t="s">
        <v>212</v>
      </c>
    </row>
    <row r="1791" spans="9:10" x14ac:dyDescent="0.25">
      <c r="I1791" s="99">
        <v>70044</v>
      </c>
      <c r="J1791" s="98" t="s">
        <v>205</v>
      </c>
    </row>
    <row r="1792" spans="9:10" x14ac:dyDescent="0.25">
      <c r="I1792" s="99">
        <v>70070</v>
      </c>
      <c r="J1792" s="98" t="s">
        <v>209</v>
      </c>
    </row>
    <row r="1793" spans="9:10" x14ac:dyDescent="0.25">
      <c r="I1793" s="99">
        <v>70090</v>
      </c>
      <c r="J1793" s="98" t="s">
        <v>211</v>
      </c>
    </row>
    <row r="1794" spans="9:10" x14ac:dyDescent="0.25">
      <c r="I1794" s="99">
        <v>70129</v>
      </c>
      <c r="J1794" s="98" t="s">
        <v>161</v>
      </c>
    </row>
    <row r="1795" spans="9:10" x14ac:dyDescent="0.25">
      <c r="I1795" s="99">
        <v>70142</v>
      </c>
      <c r="J1795" s="98" t="s">
        <v>164</v>
      </c>
    </row>
    <row r="1796" spans="9:10" x14ac:dyDescent="0.25">
      <c r="I1796" s="99">
        <v>70170</v>
      </c>
      <c r="J1796" s="98" t="s">
        <v>168</v>
      </c>
    </row>
    <row r="1797" spans="9:10" x14ac:dyDescent="0.25">
      <c r="I1797" s="99">
        <v>70182</v>
      </c>
      <c r="J1797" s="98" t="s">
        <v>173</v>
      </c>
    </row>
    <row r="1798" spans="9:10" x14ac:dyDescent="0.25">
      <c r="I1798" s="99">
        <v>70207</v>
      </c>
      <c r="J1798" s="98" t="s">
        <v>178</v>
      </c>
    </row>
    <row r="1799" spans="9:10" x14ac:dyDescent="0.25">
      <c r="I1799" s="99">
        <v>70248</v>
      </c>
      <c r="J1799" s="98" t="s">
        <v>183</v>
      </c>
    </row>
    <row r="1800" spans="9:10" x14ac:dyDescent="0.25">
      <c r="I1800" s="99">
        <v>70252</v>
      </c>
      <c r="J1800" s="98" t="s">
        <v>187</v>
      </c>
    </row>
    <row r="1801" spans="9:10" x14ac:dyDescent="0.25">
      <c r="I1801" s="99">
        <v>70253</v>
      </c>
      <c r="J1801" s="98" t="s">
        <v>190</v>
      </c>
    </row>
    <row r="1802" spans="9:10" x14ac:dyDescent="0.25">
      <c r="I1802" s="99">
        <v>70254</v>
      </c>
      <c r="J1802" s="98" t="s">
        <v>194</v>
      </c>
    </row>
    <row r="1803" spans="9:10" x14ac:dyDescent="0.25">
      <c r="I1803" s="99">
        <v>70255</v>
      </c>
      <c r="J1803" s="98" t="s">
        <v>212</v>
      </c>
    </row>
    <row r="1804" spans="9:10" x14ac:dyDescent="0.25">
      <c r="I1804" s="99">
        <v>70331</v>
      </c>
      <c r="J1804" s="98" t="s">
        <v>196</v>
      </c>
    </row>
    <row r="1805" spans="9:10" x14ac:dyDescent="0.25">
      <c r="I1805" s="99">
        <v>70352</v>
      </c>
      <c r="J1805" s="98" t="s">
        <v>198</v>
      </c>
    </row>
    <row r="1806" spans="9:10" x14ac:dyDescent="0.25">
      <c r="I1806" s="99">
        <v>70387</v>
      </c>
      <c r="J1806" s="98" t="s">
        <v>200</v>
      </c>
    </row>
    <row r="1807" spans="9:10" x14ac:dyDescent="0.25">
      <c r="I1807" s="99">
        <v>70394</v>
      </c>
      <c r="J1807" s="98" t="s">
        <v>203</v>
      </c>
    </row>
    <row r="1808" spans="9:10" x14ac:dyDescent="0.25">
      <c r="I1808" s="99">
        <v>70415</v>
      </c>
      <c r="J1808" s="98" t="s">
        <v>205</v>
      </c>
    </row>
    <row r="1809" spans="9:10" x14ac:dyDescent="0.25">
      <c r="I1809" s="99">
        <v>70436</v>
      </c>
      <c r="J1809" s="98" t="s">
        <v>209</v>
      </c>
    </row>
    <row r="1810" spans="9:10" x14ac:dyDescent="0.25">
      <c r="I1810" s="99">
        <v>70456</v>
      </c>
      <c r="J1810" s="98" t="s">
        <v>211</v>
      </c>
    </row>
    <row r="1811" spans="9:10" x14ac:dyDescent="0.25">
      <c r="I1811" s="99">
        <v>70457</v>
      </c>
      <c r="J1811" s="98" t="s">
        <v>212</v>
      </c>
    </row>
    <row r="1812" spans="9:10" x14ac:dyDescent="0.25">
      <c r="I1812" s="99">
        <v>70495</v>
      </c>
      <c r="J1812" s="98" t="s">
        <v>161</v>
      </c>
    </row>
    <row r="1813" spans="9:10" x14ac:dyDescent="0.25">
      <c r="I1813" s="99">
        <v>70506</v>
      </c>
      <c r="J1813" s="98" t="s">
        <v>164</v>
      </c>
    </row>
    <row r="1814" spans="9:10" x14ac:dyDescent="0.25">
      <c r="I1814" s="99">
        <v>70536</v>
      </c>
      <c r="J1814" s="98" t="s">
        <v>168</v>
      </c>
    </row>
    <row r="1815" spans="9:10" x14ac:dyDescent="0.25">
      <c r="I1815" s="99">
        <v>70548</v>
      </c>
      <c r="J1815" s="98" t="s">
        <v>173</v>
      </c>
    </row>
    <row r="1816" spans="9:10" x14ac:dyDescent="0.25">
      <c r="I1816" s="99">
        <v>70573</v>
      </c>
      <c r="J1816" s="98" t="s">
        <v>178</v>
      </c>
    </row>
    <row r="1817" spans="9:10" x14ac:dyDescent="0.25">
      <c r="I1817" s="99">
        <v>70613</v>
      </c>
      <c r="J1817" s="98" t="s">
        <v>183</v>
      </c>
    </row>
    <row r="1818" spans="9:10" x14ac:dyDescent="0.25">
      <c r="I1818" s="99">
        <v>70617</v>
      </c>
      <c r="J1818" s="98" t="s">
        <v>187</v>
      </c>
    </row>
    <row r="1819" spans="9:10" x14ac:dyDescent="0.25">
      <c r="I1819" s="99">
        <v>70618</v>
      </c>
      <c r="J1819" s="98" t="s">
        <v>190</v>
      </c>
    </row>
    <row r="1820" spans="9:10" x14ac:dyDescent="0.25">
      <c r="I1820" s="99">
        <v>70619</v>
      </c>
      <c r="J1820" s="98" t="s">
        <v>194</v>
      </c>
    </row>
    <row r="1821" spans="9:10" x14ac:dyDescent="0.25">
      <c r="I1821" s="99">
        <v>70620</v>
      </c>
      <c r="J1821" s="98" t="s">
        <v>212</v>
      </c>
    </row>
    <row r="1822" spans="9:10" x14ac:dyDescent="0.25">
      <c r="I1822" s="99">
        <v>70695</v>
      </c>
      <c r="J1822" s="98" t="s">
        <v>196</v>
      </c>
    </row>
    <row r="1823" spans="9:10" x14ac:dyDescent="0.25">
      <c r="I1823" s="99">
        <v>70717</v>
      </c>
      <c r="J1823" s="98" t="s">
        <v>198</v>
      </c>
    </row>
    <row r="1824" spans="9:10" x14ac:dyDescent="0.25">
      <c r="I1824" s="99">
        <v>70758</v>
      </c>
      <c r="J1824" s="98" t="s">
        <v>200</v>
      </c>
    </row>
    <row r="1825" spans="9:10" x14ac:dyDescent="0.25">
      <c r="I1825" s="99">
        <v>70759</v>
      </c>
      <c r="J1825" s="98" t="s">
        <v>203</v>
      </c>
    </row>
    <row r="1826" spans="9:10" x14ac:dyDescent="0.25">
      <c r="I1826" s="99">
        <v>70779</v>
      </c>
      <c r="J1826" s="98" t="s">
        <v>205</v>
      </c>
    </row>
    <row r="1827" spans="9:10" x14ac:dyDescent="0.25">
      <c r="I1827" s="99">
        <v>70801</v>
      </c>
      <c r="J1827" s="98" t="s">
        <v>209</v>
      </c>
    </row>
    <row r="1828" spans="9:10" x14ac:dyDescent="0.25">
      <c r="I1828" s="99">
        <v>70821</v>
      </c>
      <c r="J1828" s="98" t="s">
        <v>211</v>
      </c>
    </row>
    <row r="1829" spans="9:10" x14ac:dyDescent="0.25">
      <c r="I1829" s="99">
        <v>70860</v>
      </c>
      <c r="J1829" s="98" t="s">
        <v>161</v>
      </c>
    </row>
    <row r="1830" spans="9:10" x14ac:dyDescent="0.25">
      <c r="I1830" s="99">
        <v>70870</v>
      </c>
      <c r="J1830" s="98" t="s">
        <v>164</v>
      </c>
    </row>
    <row r="1831" spans="9:10" x14ac:dyDescent="0.25">
      <c r="I1831" s="99">
        <v>70901</v>
      </c>
      <c r="J1831" s="98" t="s">
        <v>168</v>
      </c>
    </row>
    <row r="1832" spans="9:10" x14ac:dyDescent="0.25">
      <c r="I1832" s="99">
        <v>70913</v>
      </c>
      <c r="J1832" s="98" t="s">
        <v>173</v>
      </c>
    </row>
    <row r="1833" spans="9:10" x14ac:dyDescent="0.25">
      <c r="I1833" s="99">
        <v>70938</v>
      </c>
      <c r="J1833" s="98" t="s">
        <v>178</v>
      </c>
    </row>
    <row r="1834" spans="9:10" x14ac:dyDescent="0.25">
      <c r="I1834" s="99">
        <v>70978</v>
      </c>
      <c r="J1834" s="98" t="s">
        <v>183</v>
      </c>
    </row>
    <row r="1835" spans="9:10" x14ac:dyDescent="0.25">
      <c r="I1835" s="99">
        <v>70982</v>
      </c>
      <c r="J1835" s="98" t="s">
        <v>187</v>
      </c>
    </row>
    <row r="1836" spans="9:10" x14ac:dyDescent="0.25">
      <c r="I1836" s="99">
        <v>70983</v>
      </c>
      <c r="J1836" s="98" t="s">
        <v>190</v>
      </c>
    </row>
    <row r="1837" spans="9:10" x14ac:dyDescent="0.25">
      <c r="I1837" s="99">
        <v>70984</v>
      </c>
      <c r="J1837" s="98" t="s">
        <v>194</v>
      </c>
    </row>
    <row r="1838" spans="9:10" x14ac:dyDescent="0.25">
      <c r="I1838" s="99">
        <v>71059</v>
      </c>
      <c r="J1838" s="98" t="s">
        <v>196</v>
      </c>
    </row>
    <row r="1839" spans="9:10" x14ac:dyDescent="0.25">
      <c r="I1839" s="99">
        <v>71082</v>
      </c>
      <c r="J1839" s="98" t="s">
        <v>198</v>
      </c>
    </row>
    <row r="1840" spans="9:10" x14ac:dyDescent="0.25">
      <c r="I1840" s="99">
        <v>71122</v>
      </c>
      <c r="J1840" s="98" t="s">
        <v>200</v>
      </c>
    </row>
    <row r="1841" spans="9:10" x14ac:dyDescent="0.25">
      <c r="I1841" s="99">
        <v>71123</v>
      </c>
      <c r="J1841" s="98" t="s">
        <v>218</v>
      </c>
    </row>
    <row r="1842" spans="9:10" x14ac:dyDescent="0.25">
      <c r="I1842" s="99">
        <v>71124</v>
      </c>
      <c r="J1842" s="98" t="s">
        <v>203</v>
      </c>
    </row>
    <row r="1843" spans="9:10" x14ac:dyDescent="0.25">
      <c r="I1843" s="99">
        <v>71143</v>
      </c>
      <c r="J1843" s="98" t="s">
        <v>205</v>
      </c>
    </row>
    <row r="1844" spans="9:10" x14ac:dyDescent="0.25">
      <c r="I1844" s="99">
        <v>71166</v>
      </c>
      <c r="J1844" s="98" t="s">
        <v>209</v>
      </c>
    </row>
    <row r="1845" spans="9:10" x14ac:dyDescent="0.25">
      <c r="I1845" s="99">
        <v>71186</v>
      </c>
      <c r="J1845" s="98" t="s">
        <v>211</v>
      </c>
    </row>
    <row r="1846" spans="9:10" x14ac:dyDescent="0.25">
      <c r="I1846" s="99">
        <v>71225</v>
      </c>
      <c r="J1846" s="98" t="s">
        <v>161</v>
      </c>
    </row>
    <row r="1847" spans="9:10" x14ac:dyDescent="0.25">
      <c r="I1847" s="99">
        <v>71234</v>
      </c>
      <c r="J1847" s="98" t="s">
        <v>164</v>
      </c>
    </row>
    <row r="1848" spans="9:10" x14ac:dyDescent="0.25">
      <c r="I1848" s="99">
        <v>71266</v>
      </c>
      <c r="J1848" s="98" t="s">
        <v>168</v>
      </c>
    </row>
    <row r="1849" spans="9:10" x14ac:dyDescent="0.25">
      <c r="I1849" s="99">
        <v>71278</v>
      </c>
      <c r="J1849" s="98" t="s">
        <v>173</v>
      </c>
    </row>
    <row r="1850" spans="9:10" x14ac:dyDescent="0.25">
      <c r="I1850" s="99">
        <v>71303</v>
      </c>
      <c r="J1850" s="98" t="s">
        <v>178</v>
      </c>
    </row>
    <row r="1851" spans="9:10" x14ac:dyDescent="0.25">
      <c r="I1851" s="99">
        <v>71304</v>
      </c>
      <c r="J1851" s="98" t="s">
        <v>212</v>
      </c>
    </row>
    <row r="1852" spans="9:10" x14ac:dyDescent="0.25">
      <c r="I1852" s="99">
        <v>71343</v>
      </c>
      <c r="J1852" s="98" t="s">
        <v>183</v>
      </c>
    </row>
    <row r="1853" spans="9:10" x14ac:dyDescent="0.25">
      <c r="I1853" s="99">
        <v>71347</v>
      </c>
      <c r="J1853" s="98" t="s">
        <v>187</v>
      </c>
    </row>
    <row r="1854" spans="9:10" x14ac:dyDescent="0.25">
      <c r="I1854" s="99">
        <v>71348</v>
      </c>
      <c r="J1854" s="98" t="s">
        <v>190</v>
      </c>
    </row>
    <row r="1855" spans="9:10" x14ac:dyDescent="0.25">
      <c r="I1855" s="99">
        <v>71349</v>
      </c>
      <c r="J1855" s="98" t="s">
        <v>194</v>
      </c>
    </row>
    <row r="1856" spans="9:10" x14ac:dyDescent="0.25">
      <c r="I1856" s="99">
        <v>71423</v>
      </c>
      <c r="J1856" s="98" t="s">
        <v>196</v>
      </c>
    </row>
    <row r="1857" spans="9:10" x14ac:dyDescent="0.25">
      <c r="I1857" s="99">
        <v>71447</v>
      </c>
      <c r="J1857" s="98" t="s">
        <v>198</v>
      </c>
    </row>
    <row r="1858" spans="9:10" x14ac:dyDescent="0.25">
      <c r="I1858" s="99">
        <v>71486</v>
      </c>
      <c r="J1858" s="98" t="s">
        <v>200</v>
      </c>
    </row>
    <row r="1859" spans="9:10" x14ac:dyDescent="0.25">
      <c r="I1859" s="99">
        <v>71490</v>
      </c>
      <c r="J1859" s="98" t="s">
        <v>203</v>
      </c>
    </row>
    <row r="1860" spans="9:10" x14ac:dyDescent="0.25">
      <c r="I1860" s="99">
        <v>71507</v>
      </c>
      <c r="J1860" s="98" t="s">
        <v>205</v>
      </c>
    </row>
    <row r="1861" spans="9:10" x14ac:dyDescent="0.25">
      <c r="I1861" s="99">
        <v>71531</v>
      </c>
      <c r="J1861" s="98" t="s">
        <v>209</v>
      </c>
    </row>
    <row r="1862" spans="9:10" x14ac:dyDescent="0.25">
      <c r="I1862" s="99">
        <v>71551</v>
      </c>
      <c r="J1862" s="98" t="s">
        <v>211</v>
      </c>
    </row>
    <row r="1863" spans="9:10" x14ac:dyDescent="0.25">
      <c r="I1863" s="99">
        <v>71590</v>
      </c>
      <c r="J1863" s="98" t="s">
        <v>161</v>
      </c>
    </row>
    <row r="1864" spans="9:10" x14ac:dyDescent="0.25">
      <c r="I1864" s="99">
        <v>71591</v>
      </c>
      <c r="J1864" s="98" t="s">
        <v>212</v>
      </c>
    </row>
    <row r="1865" spans="9:10" x14ac:dyDescent="0.25">
      <c r="I1865" s="99">
        <v>71598</v>
      </c>
      <c r="J1865" s="98" t="s">
        <v>164</v>
      </c>
    </row>
    <row r="1866" spans="9:10" x14ac:dyDescent="0.25">
      <c r="I1866" s="99">
        <v>71631</v>
      </c>
      <c r="J1866" s="98" t="s">
        <v>168</v>
      </c>
    </row>
    <row r="1867" spans="9:10" x14ac:dyDescent="0.25">
      <c r="I1867" s="99">
        <v>71643</v>
      </c>
      <c r="J1867" s="98" t="s">
        <v>173</v>
      </c>
    </row>
    <row r="1868" spans="9:10" x14ac:dyDescent="0.25">
      <c r="I1868" s="99">
        <v>71668</v>
      </c>
      <c r="J1868" s="98" t="s">
        <v>178</v>
      </c>
    </row>
    <row r="1869" spans="9:10" x14ac:dyDescent="0.25">
      <c r="I1869" s="99">
        <v>71709</v>
      </c>
      <c r="J1869" s="98" t="s">
        <v>183</v>
      </c>
    </row>
    <row r="1870" spans="9:10" x14ac:dyDescent="0.25">
      <c r="I1870" s="99">
        <v>71710</v>
      </c>
      <c r="J1870" s="98" t="s">
        <v>212</v>
      </c>
    </row>
    <row r="1871" spans="9:10" x14ac:dyDescent="0.25">
      <c r="I1871" s="99">
        <v>71713</v>
      </c>
      <c r="J1871" s="98" t="s">
        <v>187</v>
      </c>
    </row>
    <row r="1872" spans="9:10" x14ac:dyDescent="0.25">
      <c r="I1872" s="99">
        <v>71714</v>
      </c>
      <c r="J1872" s="98" t="s">
        <v>190</v>
      </c>
    </row>
    <row r="1873" spans="9:10" x14ac:dyDescent="0.25">
      <c r="I1873" s="99">
        <v>71715</v>
      </c>
      <c r="J1873" s="98" t="s">
        <v>194</v>
      </c>
    </row>
    <row r="1874" spans="9:10" x14ac:dyDescent="0.25">
      <c r="I1874" s="99">
        <v>71787</v>
      </c>
      <c r="J1874" s="98" t="s">
        <v>196</v>
      </c>
    </row>
    <row r="1875" spans="9:10" x14ac:dyDescent="0.25">
      <c r="I1875" s="99">
        <v>71813</v>
      </c>
      <c r="J1875" s="98" t="s">
        <v>198</v>
      </c>
    </row>
    <row r="1876" spans="9:10" x14ac:dyDescent="0.25">
      <c r="I1876" s="99">
        <v>71850</v>
      </c>
      <c r="J1876" s="98" t="s">
        <v>200</v>
      </c>
    </row>
    <row r="1877" spans="9:10" x14ac:dyDescent="0.25">
      <c r="I1877" s="99">
        <v>71855</v>
      </c>
      <c r="J1877" s="98" t="s">
        <v>203</v>
      </c>
    </row>
    <row r="1878" spans="9:10" x14ac:dyDescent="0.25">
      <c r="I1878" s="99">
        <v>71871</v>
      </c>
      <c r="J1878" s="98" t="s">
        <v>205</v>
      </c>
    </row>
    <row r="1879" spans="9:10" x14ac:dyDescent="0.25">
      <c r="I1879" s="99">
        <v>71897</v>
      </c>
      <c r="J1879" s="98" t="s">
        <v>209</v>
      </c>
    </row>
    <row r="1880" spans="9:10" x14ac:dyDescent="0.25">
      <c r="I1880" s="99">
        <v>71917</v>
      </c>
      <c r="J1880" s="98" t="s">
        <v>211</v>
      </c>
    </row>
    <row r="1881" spans="9:10" x14ac:dyDescent="0.25">
      <c r="I1881" s="99">
        <v>71956</v>
      </c>
      <c r="J1881" s="98" t="s">
        <v>161</v>
      </c>
    </row>
    <row r="1882" spans="9:10" x14ac:dyDescent="0.25">
      <c r="I1882" s="99">
        <v>71969</v>
      </c>
      <c r="J1882" s="98" t="s">
        <v>164</v>
      </c>
    </row>
    <row r="1883" spans="9:10" x14ac:dyDescent="0.25">
      <c r="I1883" s="99">
        <v>71997</v>
      </c>
      <c r="J1883" s="98" t="s">
        <v>168</v>
      </c>
    </row>
    <row r="1884" spans="9:10" x14ac:dyDescent="0.25">
      <c r="I1884" s="99">
        <v>72009</v>
      </c>
      <c r="J1884" s="98" t="s">
        <v>173</v>
      </c>
    </row>
    <row r="1885" spans="9:10" x14ac:dyDescent="0.25">
      <c r="I1885" s="99">
        <v>72034</v>
      </c>
      <c r="J1885" s="98" t="s">
        <v>178</v>
      </c>
    </row>
    <row r="1886" spans="9:10" x14ac:dyDescent="0.25">
      <c r="I1886" s="99">
        <v>72074</v>
      </c>
      <c r="J1886" s="98" t="s">
        <v>183</v>
      </c>
    </row>
    <row r="1887" spans="9:10" x14ac:dyDescent="0.25">
      <c r="I1887" s="99">
        <v>72078</v>
      </c>
      <c r="J1887" s="98" t="s">
        <v>187</v>
      </c>
    </row>
    <row r="1888" spans="9:10" x14ac:dyDescent="0.25">
      <c r="I1888" s="99">
        <v>72079</v>
      </c>
      <c r="J1888" s="98" t="s">
        <v>190</v>
      </c>
    </row>
    <row r="1889" spans="9:10" x14ac:dyDescent="0.25">
      <c r="I1889" s="99">
        <v>72080</v>
      </c>
      <c r="J1889" s="98" t="s">
        <v>194</v>
      </c>
    </row>
    <row r="1890" spans="9:10" x14ac:dyDescent="0.25">
      <c r="I1890" s="99">
        <v>72081</v>
      </c>
      <c r="J1890" s="98" t="s">
        <v>212</v>
      </c>
    </row>
    <row r="1891" spans="9:10" x14ac:dyDescent="0.25">
      <c r="I1891" s="99">
        <v>72151</v>
      </c>
      <c r="J1891" s="98" t="s">
        <v>196</v>
      </c>
    </row>
    <row r="1892" spans="9:10" x14ac:dyDescent="0.25">
      <c r="I1892" s="99">
        <v>72178</v>
      </c>
      <c r="J1892" s="98" t="s">
        <v>198</v>
      </c>
    </row>
    <row r="1893" spans="9:10" x14ac:dyDescent="0.25">
      <c r="I1893" s="99">
        <v>72179</v>
      </c>
      <c r="J1893" s="98" t="s">
        <v>212</v>
      </c>
    </row>
    <row r="1894" spans="9:10" x14ac:dyDescent="0.25">
      <c r="I1894" s="99">
        <v>72214</v>
      </c>
      <c r="J1894" s="98" t="s">
        <v>200</v>
      </c>
    </row>
    <row r="1895" spans="9:10" x14ac:dyDescent="0.25">
      <c r="I1895" s="99">
        <v>72220</v>
      </c>
      <c r="J1895" s="98" t="s">
        <v>203</v>
      </c>
    </row>
    <row r="1896" spans="9:10" x14ac:dyDescent="0.25">
      <c r="I1896" s="99">
        <v>72221</v>
      </c>
      <c r="J1896" s="98" t="s">
        <v>212</v>
      </c>
    </row>
    <row r="1897" spans="9:10" x14ac:dyDescent="0.25">
      <c r="I1897" s="99">
        <v>72242</v>
      </c>
      <c r="J1897" s="98" t="s">
        <v>205</v>
      </c>
    </row>
    <row r="1898" spans="9:10" x14ac:dyDescent="0.25">
      <c r="I1898" s="99">
        <v>72262</v>
      </c>
      <c r="J1898" s="98" t="s">
        <v>209</v>
      </c>
    </row>
    <row r="1899" spans="9:10" x14ac:dyDescent="0.25">
      <c r="I1899" s="99">
        <v>72263</v>
      </c>
      <c r="J1899" s="98" t="s">
        <v>212</v>
      </c>
    </row>
    <row r="1900" spans="9:10" x14ac:dyDescent="0.25">
      <c r="I1900" s="99">
        <v>72282</v>
      </c>
      <c r="J1900" s="98" t="s">
        <v>211</v>
      </c>
    </row>
    <row r="1901" spans="9:10" x14ac:dyDescent="0.25">
      <c r="I1901" s="99">
        <v>72321</v>
      </c>
      <c r="J1901" s="98" t="s">
        <v>161</v>
      </c>
    </row>
    <row r="1902" spans="9:10" x14ac:dyDescent="0.25">
      <c r="I1902" s="99">
        <v>72333</v>
      </c>
      <c r="J1902" s="98" t="s">
        <v>164</v>
      </c>
    </row>
    <row r="1903" spans="9:10" x14ac:dyDescent="0.25">
      <c r="I1903" s="99">
        <v>72362</v>
      </c>
      <c r="J1903" s="98" t="s">
        <v>168</v>
      </c>
    </row>
    <row r="1904" spans="9:10" x14ac:dyDescent="0.25">
      <c r="I1904" s="99">
        <v>72374</v>
      </c>
      <c r="J1904" s="98" t="s">
        <v>173</v>
      </c>
    </row>
    <row r="1905" spans="9:10" x14ac:dyDescent="0.25">
      <c r="I1905" s="99">
        <v>72375</v>
      </c>
      <c r="J1905" s="98" t="s">
        <v>212</v>
      </c>
    </row>
    <row r="1906" spans="9:10" x14ac:dyDescent="0.25">
      <c r="I1906" s="99">
        <v>72399</v>
      </c>
      <c r="J1906" s="98" t="s">
        <v>178</v>
      </c>
    </row>
    <row r="1907" spans="9:10" x14ac:dyDescent="0.25">
      <c r="I1907" s="99">
        <v>72439</v>
      </c>
      <c r="J1907" s="98" t="s">
        <v>183</v>
      </c>
    </row>
    <row r="1908" spans="9:10" x14ac:dyDescent="0.25">
      <c r="I1908" s="99">
        <v>72443</v>
      </c>
      <c r="J1908" s="98" t="s">
        <v>187</v>
      </c>
    </row>
    <row r="1909" spans="9:10" x14ac:dyDescent="0.25">
      <c r="I1909" s="99">
        <v>72444</v>
      </c>
      <c r="J1909" s="98" t="s">
        <v>190</v>
      </c>
    </row>
    <row r="1910" spans="9:10" x14ac:dyDescent="0.25">
      <c r="I1910" s="99">
        <v>72445</v>
      </c>
      <c r="J1910" s="98" t="s">
        <v>194</v>
      </c>
    </row>
    <row r="1911" spans="9:10" x14ac:dyDescent="0.25">
      <c r="I1911" s="99">
        <v>72446</v>
      </c>
      <c r="J1911" s="98" t="s">
        <v>212</v>
      </c>
    </row>
    <row r="1912" spans="9:10" x14ac:dyDescent="0.25">
      <c r="I1912" s="99">
        <v>72522</v>
      </c>
      <c r="J1912" s="98" t="s">
        <v>196</v>
      </c>
    </row>
    <row r="1913" spans="9:10" x14ac:dyDescent="0.25">
      <c r="I1913" s="99">
        <v>72543</v>
      </c>
      <c r="J1913" s="98" t="s">
        <v>198</v>
      </c>
    </row>
    <row r="1914" spans="9:10" x14ac:dyDescent="0.25">
      <c r="I1914" s="99">
        <v>72578</v>
      </c>
      <c r="J1914" s="98" t="s">
        <v>200</v>
      </c>
    </row>
    <row r="1915" spans="9:10" x14ac:dyDescent="0.25">
      <c r="I1915" s="99">
        <v>72585</v>
      </c>
      <c r="J1915" s="98" t="s">
        <v>203</v>
      </c>
    </row>
    <row r="1916" spans="9:10" x14ac:dyDescent="0.25">
      <c r="I1916" s="99">
        <v>72606</v>
      </c>
      <c r="J1916" s="98" t="s">
        <v>205</v>
      </c>
    </row>
    <row r="1917" spans="9:10" x14ac:dyDescent="0.25">
      <c r="I1917" s="99">
        <v>72627</v>
      </c>
      <c r="J1917" s="98" t="s">
        <v>209</v>
      </c>
    </row>
    <row r="1918" spans="9:10" x14ac:dyDescent="0.25">
      <c r="I1918" s="99">
        <v>72647</v>
      </c>
      <c r="J1918" s="98" t="s">
        <v>211</v>
      </c>
    </row>
    <row r="1919" spans="9:10" x14ac:dyDescent="0.25">
      <c r="I1919" s="99">
        <v>72648</v>
      </c>
      <c r="J1919" s="98" t="s">
        <v>212</v>
      </c>
    </row>
    <row r="1920" spans="9:10" x14ac:dyDescent="0.25">
      <c r="I1920" s="99">
        <v>72686</v>
      </c>
      <c r="J1920" s="98" t="s">
        <v>161</v>
      </c>
    </row>
    <row r="1921" spans="9:10" x14ac:dyDescent="0.25">
      <c r="I1921" s="99">
        <v>72697</v>
      </c>
      <c r="J1921" s="98" t="s">
        <v>164</v>
      </c>
    </row>
    <row r="1922" spans="9:10" x14ac:dyDescent="0.25">
      <c r="I1922" s="99">
        <v>72727</v>
      </c>
      <c r="J1922" s="98" t="s">
        <v>168</v>
      </c>
    </row>
    <row r="1923" spans="9:10" x14ac:dyDescent="0.25">
      <c r="I1923" s="99">
        <v>72739</v>
      </c>
      <c r="J1923" s="98" t="s">
        <v>173</v>
      </c>
    </row>
    <row r="1924" spans="9:10" x14ac:dyDescent="0.25">
      <c r="I1924" s="99">
        <v>72764</v>
      </c>
      <c r="J1924" s="98" t="s">
        <v>178</v>
      </c>
    </row>
    <row r="1925" spans="9:10" x14ac:dyDescent="0.25">
      <c r="I1925" s="99">
        <v>72804</v>
      </c>
      <c r="J1925" s="98" t="s">
        <v>183</v>
      </c>
    </row>
    <row r="1926" spans="9:10" x14ac:dyDescent="0.25">
      <c r="I1926" s="99">
        <v>72808</v>
      </c>
      <c r="J1926" s="98" t="s">
        <v>187</v>
      </c>
    </row>
    <row r="1927" spans="9:10" x14ac:dyDescent="0.25">
      <c r="I1927" s="99">
        <v>72809</v>
      </c>
      <c r="J1927" s="98" t="s">
        <v>190</v>
      </c>
    </row>
    <row r="1928" spans="9:10" x14ac:dyDescent="0.25">
      <c r="I1928" s="99">
        <v>72810</v>
      </c>
      <c r="J1928" s="98" t="s">
        <v>194</v>
      </c>
    </row>
    <row r="1929" spans="9:10" x14ac:dyDescent="0.25">
      <c r="I1929" s="99">
        <v>72811</v>
      </c>
      <c r="J1929" s="98" t="s">
        <v>212</v>
      </c>
    </row>
    <row r="1930" spans="9:10" x14ac:dyDescent="0.25">
      <c r="I1930" s="99">
        <v>72886</v>
      </c>
      <c r="J1930" s="98" t="s">
        <v>196</v>
      </c>
    </row>
    <row r="1931" spans="9:10" x14ac:dyDescent="0.25">
      <c r="I1931" s="99">
        <v>72908</v>
      </c>
      <c r="J1931" s="98" t="s">
        <v>198</v>
      </c>
    </row>
    <row r="1932" spans="9:10" x14ac:dyDescent="0.25">
      <c r="I1932" s="99">
        <v>72949</v>
      </c>
      <c r="J1932" s="98" t="s">
        <v>200</v>
      </c>
    </row>
    <row r="1933" spans="9:10" x14ac:dyDescent="0.25">
      <c r="I1933" s="99">
        <v>72950</v>
      </c>
      <c r="J1933" s="98" t="s">
        <v>218</v>
      </c>
    </row>
    <row r="1934" spans="9:10" x14ac:dyDescent="0.25">
      <c r="I1934" s="99">
        <v>72951</v>
      </c>
      <c r="J1934" s="98" t="s">
        <v>203</v>
      </c>
    </row>
    <row r="1935" spans="9:10" x14ac:dyDescent="0.25">
      <c r="I1935" s="99">
        <v>72970</v>
      </c>
      <c r="J1935" s="98" t="s">
        <v>205</v>
      </c>
    </row>
    <row r="1936" spans="9:10" x14ac:dyDescent="0.25">
      <c r="I1936" s="99">
        <v>72992</v>
      </c>
      <c r="J1936" s="98" t="s">
        <v>209</v>
      </c>
    </row>
    <row r="1937" spans="9:10" x14ac:dyDescent="0.25">
      <c r="I1937" s="99">
        <v>73012</v>
      </c>
      <c r="J1937" s="98" t="s">
        <v>211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vt:i4>
      </vt:variant>
    </vt:vector>
  </HeadingPairs>
  <TitlesOfParts>
    <vt:vector size="45" baseType="lpstr">
      <vt:lpstr>Methodology</vt:lpstr>
      <vt:lpstr>UserInput</vt:lpstr>
      <vt:lpstr>Calculations</vt:lpstr>
      <vt:lpstr>Results</vt:lpstr>
      <vt:lpstr>DataValidation</vt:lpstr>
      <vt:lpstr>Holidays</vt:lpstr>
      <vt:lpstr>AccruedInterest</vt:lpstr>
      <vt:lpstr>BusinessDayConvention</vt:lpstr>
      <vt:lpstr>CCY</vt:lpstr>
      <vt:lpstr>CleanOrDirtyQuotes</vt:lpstr>
      <vt:lpstr>CouponPremium</vt:lpstr>
      <vt:lpstr>CouponPremiumBPS</vt:lpstr>
      <vt:lpstr>Calculations!CurrentTenor</vt:lpstr>
      <vt:lpstr>DataFieldToUseForSolve</vt:lpstr>
      <vt:lpstr>Calculations!DayCountBasisIndexCoupon</vt:lpstr>
      <vt:lpstr>DayCountBasisIndexDate2YearFrac</vt:lpstr>
      <vt:lpstr>EndDate</vt:lpstr>
      <vt:lpstr>Calculations!FirstCouponEndDate</vt:lpstr>
      <vt:lpstr>Calculations!FlatHazardRateDifference</vt:lpstr>
      <vt:lpstr>Holidays_AUD</vt:lpstr>
      <vt:lpstr>Holidays_EUR</vt:lpstr>
      <vt:lpstr>Holidays_GBP</vt:lpstr>
      <vt:lpstr>Holidays_JPY</vt:lpstr>
      <vt:lpstr>Holidays_NZD</vt:lpstr>
      <vt:lpstr>Holidays_USD</vt:lpstr>
      <vt:lpstr>Calculations!Index</vt:lpstr>
      <vt:lpstr>Calculations!LastCouponStartDate</vt:lpstr>
      <vt:lpstr>LossGivenDefault</vt:lpstr>
      <vt:lpstr>NbTenors</vt:lpstr>
      <vt:lpstr>Calculations!Notional</vt:lpstr>
      <vt:lpstr>ParSpread</vt:lpstr>
      <vt:lpstr>Calculations!ParSpreadLegPVDifference</vt:lpstr>
      <vt:lpstr>PaymentFrequency</vt:lpstr>
      <vt:lpstr>Calculations!PaymentOffset</vt:lpstr>
      <vt:lpstr>Calculations!PiecewiseHazardRateDifference</vt:lpstr>
      <vt:lpstr>QuotedSpread</vt:lpstr>
      <vt:lpstr>Calculations!QuotedSpreadInput</vt:lpstr>
      <vt:lpstr>Calculations!QuotedSpreadLegPVDifference</vt:lpstr>
      <vt:lpstr>RecoveryRate</vt:lpstr>
      <vt:lpstr>RollDay</vt:lpstr>
      <vt:lpstr>Calculations!RollUserSpecifiedDates</vt:lpstr>
      <vt:lpstr>StartDate</vt:lpstr>
      <vt:lpstr>Calculations!StubType</vt:lpstr>
      <vt:lpstr>Calculations!Upfront_Fee_Applied</vt:lpstr>
      <vt:lpstr>ValueDate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2024-09-19T07:33:09Z</dcterms:created>
  <dcterms:modified xsi:type="dcterms:W3CDTF">2024-11-12T00:09:35Z</dcterms:modified>
</cp:coreProperties>
</file>