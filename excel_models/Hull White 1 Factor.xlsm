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inance_calcs\frm\excel_models\"/>
    </mc:Choice>
  </mc:AlternateContent>
  <xr:revisionPtr revIDLastSave="0" documentId="13_ncr:1_{6F9DCA19-75C6-4CFC-B21B-43611765A700}" xr6:coauthVersionLast="47" xr6:coauthVersionMax="47" xr10:uidLastSave="{00000000-0000-0000-0000-000000000000}"/>
  <bookViews>
    <workbookView xWindow="28680" yWindow="0" windowWidth="29040" windowHeight="15720" activeTab="3" xr2:uid="{ACCF6C7A-DFD5-4A1D-A32C-2AF79D4E42D5}"/>
  </bookViews>
  <sheets>
    <sheet name="HestonFit" sheetId="3" r:id="rId1"/>
    <sheet name="CapFloor Prices" sheetId="5" r:id="rId2"/>
    <sheet name="YC" sheetId="6" r:id="rId3"/>
    <sheet name="Sheet4" sheetId="7" r:id="rId4"/>
    <sheet name="DataValidation" sheetId="2" r:id="rId5"/>
  </sheets>
  <functionGroups builtInGroupCount="19"/>
  <definedNames>
    <definedName name="bond_prices">tbl_zero_rates[[#Headers],[idx]]</definedName>
    <definedName name="dt">Sheet4!$L$6</definedName>
    <definedName name="max_tau">Sheet4!$L$5</definedName>
    <definedName name="mean_reversion_rate">Sheet4!$H$7</definedName>
    <definedName name="min_tau">Sheet4!$L$4</definedName>
    <definedName name="Rho">HestonFit!$G$18</definedName>
    <definedName name="S0">#REF!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HestonFit!#REF!</definedName>
    <definedName name="solver_typ" localSheetId="0" hidden="1">1</definedName>
    <definedName name="solver_val" localSheetId="0" hidden="1">0</definedName>
    <definedName name="solver_ver" localSheetId="0" hidden="1">3</definedName>
    <definedName name="SpotDate">#REF!</definedName>
    <definedName name="Theta">HestonFit!$G$17</definedName>
    <definedName name="ValuationDate">#REF!</definedName>
    <definedName name="Vol_of_Vol">HestonFit!$G$16</definedName>
    <definedName name="volalitity">Sheet4!$H$8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7" l="1"/>
  <c r="L4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H6" i="7"/>
  <c r="G27" i="3" a="1"/>
  <c r="G27" i="3" s="1"/>
  <c r="G25" i="3" a="1"/>
  <c r="G25" i="3" s="1"/>
  <c r="G28" i="3"/>
  <c r="H26" i="3"/>
  <c r="G26" i="3"/>
  <c r="G23" i="3"/>
  <c r="G17" i="3"/>
  <c r="G16" i="3"/>
  <c r="G10" i="3"/>
  <c r="G6" i="3"/>
  <c r="G5" i="3"/>
  <c r="G4" i="3"/>
  <c r="K11" i="7" a="1"/>
  <c r="K11" i="7" l="1"/>
  <c r="M11" i="7" s="1" a="1"/>
  <c r="M11" i="7" s="1"/>
  <c r="Q11" i="7" a="1"/>
  <c r="O11" i="7" a="1"/>
  <c r="Q11" i="7" l="1"/>
  <c r="U11" i="7" a="1"/>
  <c r="U11" i="7" s="1"/>
  <c r="L11" i="7" a="1"/>
  <c r="L11" i="7" s="1"/>
  <c r="M8" i="7" a="1"/>
  <c r="M8" i="7" s="1"/>
  <c r="O11" i="7"/>
  <c r="S11" i="7" s="1" a="1"/>
  <c r="S11" i="7" s="1"/>
  <c r="P11" i="7" a="1"/>
  <c r="P11" i="7" l="1"/>
  <c r="T11" i="7" s="1" a="1"/>
  <c r="T11" i="7" s="1"/>
  <c r="W11" i="7" a="1"/>
  <c r="W11" i="7" s="1"/>
  <c r="AD11" i="7" a="1"/>
  <c r="AD11" i="7" s="1"/>
  <c r="AF11" i="7" s="1" a="1"/>
  <c r="AF11" i="7" s="1"/>
  <c r="L8" i="7" a="1"/>
  <c r="L8" i="7" s="1"/>
  <c r="AC11" i="7" l="1" a="1"/>
  <c r="AC11" i="7" s="1"/>
  <c r="AE11" i="7" s="1" a="1"/>
  <c r="AE11" i="7" s="1"/>
  <c r="AG11" i="7" l="1" a="1"/>
  <c r="AG11" i="7" s="1"/>
  <c r="AH11" i="7" s="1" a="1"/>
  <c r="AH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Shasa Foster</author>
  </authors>
  <commentList>
    <comment ref="F11" authorId="0" shapeId="0" xr:uid="{74AEDF21-9B49-4D55-841A-0771A597D25D}">
      <text>
        <r>
          <rPr>
            <sz val="10"/>
            <color indexed="81"/>
            <rFont val="Arial"/>
            <family val="2"/>
            <scheme val="major"/>
          </rPr>
          <t>Mean reversion to long run variance. 
As the influence of mean reversion is compensated by a the volatility of variance this parameter is usually preset.</t>
        </r>
      </text>
    </comment>
    <comment ref="F12" authorId="0" shapeId="0" xr:uid="{942B99D7-67C1-4F16-973B-59A5E1279BB6}">
      <text>
        <r>
          <rPr>
            <sz val="9"/>
            <color indexed="81"/>
            <rFont val="Tahoma"/>
            <family val="2"/>
          </rPr>
          <t>Market price of volatility risk. 
Set to zero as we are using option prices.</t>
        </r>
      </text>
    </comment>
    <comment ref="F17" authorId="0" shapeId="0" xr:uid="{14FABE3B-C875-4B03-9CCA-D9230D42CF4F}">
      <text>
        <r>
          <rPr>
            <sz val="10"/>
            <color indexed="81"/>
            <rFont val="Arial"/>
            <family val="2"/>
            <scheme val="major"/>
          </rPr>
          <t>Long run variance</t>
        </r>
      </text>
    </comment>
    <comment ref="F18" authorId="0" shapeId="0" xr:uid="{16794799-5946-4E13-BC4F-22B0EE6AA4DA}">
      <text>
        <r>
          <rPr>
            <sz val="10"/>
            <color indexed="81"/>
            <rFont val="Arial"/>
            <family val="2"/>
            <scheme val="major"/>
          </rPr>
          <t>Correlation between spot price and volatility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<sst xmlns="http://schemas.openxmlformats.org/spreadsheetml/2006/main" count="106" uniqueCount="94">
  <si>
    <t>Legend</t>
  </si>
  <si>
    <t>User input</t>
  </si>
  <si>
    <t>Valuation Date</t>
  </si>
  <si>
    <t>[Date]</t>
  </si>
  <si>
    <t>FOR/DOM</t>
  </si>
  <si>
    <t>Delta Spot Regular</t>
  </si>
  <si>
    <t>Delta Forward Regular</t>
  </si>
  <si>
    <t>Delta</t>
  </si>
  <si>
    <t>r_d</t>
  </si>
  <si>
    <t>r_f</t>
  </si>
  <si>
    <t>10_Δcall</t>
  </si>
  <si>
    <t>25_Δcall</t>
  </si>
  <si>
    <t>50_Δ</t>
  </si>
  <si>
    <t>10_Δput</t>
  </si>
  <si>
    <t>25_Δput</t>
  </si>
  <si>
    <t>tau</t>
  </si>
  <si>
    <t>S0</t>
  </si>
  <si>
    <t>Domestic Interest Rate</t>
  </si>
  <si>
    <t>Foreign Interest Rate</t>
  </si>
  <si>
    <t>[%]</t>
  </si>
  <si>
    <t>Expiry Date</t>
  </si>
  <si>
    <t>Years to expiry</t>
  </si>
  <si>
    <t>Market Volatility</t>
  </si>
  <si>
    <t>mu</t>
  </si>
  <si>
    <t>x</t>
  </si>
  <si>
    <t>Equation (11) from Heston, 1993</t>
  </si>
  <si>
    <t>Kappa</t>
  </si>
  <si>
    <t>Initial Variance</t>
  </si>
  <si>
    <t>Lambda</t>
  </si>
  <si>
    <t>Preset Heston Parameters</t>
  </si>
  <si>
    <t>Solved Heston Parameters</t>
  </si>
  <si>
    <t>[Years]</t>
  </si>
  <si>
    <t>Theta</t>
  </si>
  <si>
    <t>Rho</t>
  </si>
  <si>
    <t>Vol of Vol</t>
  </si>
  <si>
    <t>Initial Guess</t>
  </si>
  <si>
    <t>Solved</t>
  </si>
  <si>
    <t>a</t>
  </si>
  <si>
    <t>u</t>
  </si>
  <si>
    <t>b</t>
  </si>
  <si>
    <t>σ</t>
  </si>
  <si>
    <t>Integral</t>
  </si>
  <si>
    <t>φ</t>
  </si>
  <si>
    <t>d</t>
  </si>
  <si>
    <t>u (array)</t>
  </si>
  <si>
    <t>b (array)</t>
  </si>
  <si>
    <t>O/N</t>
  </si>
  <si>
    <t>T/N</t>
  </si>
  <si>
    <t>1W</t>
  </si>
  <si>
    <t>3M</t>
  </si>
  <si>
    <t>1Y</t>
  </si>
  <si>
    <t>2Y</t>
  </si>
  <si>
    <t>3Y</t>
  </si>
  <si>
    <t>4Y</t>
  </si>
  <si>
    <t>5Y</t>
  </si>
  <si>
    <t>7Y</t>
  </si>
  <si>
    <t>10Y</t>
  </si>
  <si>
    <t>12Y</t>
  </si>
  <si>
    <t>15Y</t>
  </si>
  <si>
    <t>20Y</t>
  </si>
  <si>
    <t>25Y</t>
  </si>
  <si>
    <t>30Y</t>
  </si>
  <si>
    <t>Tenor</t>
  </si>
  <si>
    <t>Date</t>
  </si>
  <si>
    <t>Discount Factor</t>
  </si>
  <si>
    <t>CCZR</t>
  </si>
  <si>
    <t>nacc</t>
  </si>
  <si>
    <t>BBSW_3M</t>
  </si>
  <si>
    <t>Curve</t>
  </si>
  <si>
    <t>idx</t>
  </si>
  <si>
    <t>initial_zero_rate</t>
  </si>
  <si>
    <t>discount_factor</t>
  </si>
  <si>
    <t>mean reversion rate, α</t>
  </si>
  <si>
    <t>volalitity, σ</t>
  </si>
  <si>
    <t>Can be calibrated with cap/floor/swaption prices</t>
  </si>
  <si>
    <t>term structure of instantaneous forward rates, θ</t>
  </si>
  <si>
    <t>min_tau</t>
  </si>
  <si>
    <t>max_tau</t>
  </si>
  <si>
    <t>dt</t>
  </si>
  <si>
    <t>checks</t>
  </si>
  <si>
    <t>t</t>
  </si>
  <si>
    <t>t + dt</t>
  </si>
  <si>
    <t>t - dt</t>
  </si>
  <si>
    <t>df (t)</t>
  </si>
  <si>
    <t>df (t + dt)</t>
  </si>
  <si>
    <t>df (t - dt)</t>
  </si>
  <si>
    <t>nacc (t)</t>
  </si>
  <si>
    <t>nacc (t + dt)</t>
  </si>
  <si>
    <t>nacc (t - dt)</t>
  </si>
  <si>
    <t>dr_dt (t+dt)</t>
  </si>
  <si>
    <t>dr_dt (t-dt)</t>
  </si>
  <si>
    <t>f(t+dt)</t>
  </si>
  <si>
    <t>f(t-dt)</t>
  </si>
  <si>
    <t>dfdt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</si>
</sst>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-* #,##0.00_-;\-* #,##0.00_-;_-* &quot;-&quot;??_-;_-@_-"/>
    <numFmt numFmtId="164" formatCode="_-* #,##0.0000_-;\-* #,##0.0000_-;_-* &quot;-&quot;??_-;_-@_-"/>
    <numFmt numFmtId="165" formatCode="d\-mmm\-yy_-;;"/>
    <numFmt numFmtId="166" formatCode="0.000%"/>
    <numFmt numFmtId="167" formatCode="_-* #,##0.000_-;\-* #,##0.000_-;_-* &quot;-&quot;??_-;_-@_-"/>
    <numFmt numFmtId="172" formatCode="d\-mmm\-yyyy;;"/>
    <numFmt numFmtId="173" formatCode="0.0%"/>
    <numFmt numFmtId="174" formatCode="0.0000%"/>
    <numFmt numFmtId="175" formatCode="0.00000%"/>
    <numFmt numFmtId="178" formatCode="#,##0_-;\(#,##0\)_-;\-_-"/>
    <numFmt numFmtId="179" formatCode="_-* #,##0.00000_-;\-* #,##0.00000_-;_-* &quot;-&quot;??_-;_-@_-"/>
    <numFmt numFmtId="181" formatCode="_-* #,##0.000000_-;\-* #,##0.000000_-;_-* &quot;-&quot;??_-;_-@_-"/>
    <numFmt numFmtId="183" formatCode="_-* #,##0_-;\-* #,##0_-;_-* &quot;-&quot;??_-;_-@_-"/>
  </numFmts>
  <fonts count="8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sz val="10"/>
      <color theme="4"/>
      <name val="Arial"/>
      <family val="2"/>
    </font>
    <font>
      <sz val="9"/>
      <color indexed="81"/>
      <name val="Tahoma"/>
      <family val="2"/>
    </font>
    <font>
      <sz val="10"/>
      <color indexed="81"/>
      <name val="Arial"/>
      <family val="2"/>
      <scheme val="major"/>
    </font>
    <font>
      <u/>
      <sz val="10"/>
      <color theme="1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2" borderId="0" xfId="0" applyFont="1" applyFill="1"/>
    <xf numFmtId="0" fontId="3" fillId="2" borderId="0" xfId="0" applyFont="1" applyFill="1"/>
    <xf numFmtId="165" fontId="3" fillId="2" borderId="0" xfId="0" applyNumberFormat="1" applyFont="1" applyFill="1"/>
    <xf numFmtId="166" fontId="0" fillId="0" borderId="0" xfId="2" applyNumberFormat="1" applyFont="1"/>
    <xf numFmtId="164" fontId="3" fillId="2" borderId="0" xfId="1" applyNumberFormat="1" applyFont="1" applyFill="1"/>
    <xf numFmtId="166" fontId="3" fillId="2" borderId="0" xfId="2" applyNumberFormat="1" applyFont="1" applyFill="1"/>
    <xf numFmtId="10" fontId="3" fillId="2" borderId="0" xfId="2" applyNumberFormat="1" applyFont="1" applyFill="1"/>
    <xf numFmtId="9" fontId="3" fillId="2" borderId="0" xfId="0" applyNumberFormat="1" applyFont="1" applyFill="1"/>
    <xf numFmtId="0" fontId="0" fillId="0" borderId="0" xfId="0" applyAlignment="1">
      <alignment horizontal="centerContinuous"/>
    </xf>
    <xf numFmtId="0" fontId="6" fillId="0" borderId="0" xfId="0" applyFont="1" applyAlignment="1">
      <alignment horizontal="centerContinuous"/>
    </xf>
    <xf numFmtId="166" fontId="7" fillId="0" borderId="0" xfId="2" applyNumberFormat="1" applyFont="1" applyFill="1"/>
    <xf numFmtId="0" fontId="7" fillId="0" borderId="0" xfId="0" applyFont="1"/>
    <xf numFmtId="164" fontId="0" fillId="0" borderId="0" xfId="1" applyNumberFormat="1" applyFont="1" applyFill="1"/>
    <xf numFmtId="166" fontId="0" fillId="0" borderId="0" xfId="2" applyNumberFormat="1" applyFont="1" applyFill="1"/>
    <xf numFmtId="167" fontId="0" fillId="0" borderId="0" xfId="1" applyNumberFormat="1" applyFont="1" applyFill="1"/>
    <xf numFmtId="0" fontId="7" fillId="3" borderId="0" xfId="0" applyFont="1" applyFill="1"/>
    <xf numFmtId="166" fontId="0" fillId="0" borderId="0" xfId="0" applyNumberFormat="1"/>
    <xf numFmtId="17" fontId="0" fillId="0" borderId="0" xfId="0" applyNumberFormat="1"/>
    <xf numFmtId="172" fontId="0" fillId="0" borderId="0" xfId="0" applyNumberFormat="1"/>
    <xf numFmtId="10" fontId="0" fillId="0" borderId="0" xfId="2" applyNumberFormat="1" applyFont="1"/>
    <xf numFmtId="43" fontId="0" fillId="0" borderId="0" xfId="1" applyFont="1"/>
    <xf numFmtId="165" fontId="0" fillId="0" borderId="0" xfId="0" applyNumberFormat="1"/>
    <xf numFmtId="178" fontId="0" fillId="0" borderId="0" xfId="1" applyNumberFormat="1" applyFont="1"/>
    <xf numFmtId="173" fontId="2" fillId="2" borderId="0" xfId="2" applyNumberFormat="1" applyFont="1" applyFill="1"/>
    <xf numFmtId="10" fontId="2" fillId="2" borderId="0" xfId="2" applyNumberFormat="1" applyFont="1" applyFill="1"/>
    <xf numFmtId="179" fontId="0" fillId="0" borderId="0" xfId="1" applyNumberFormat="1" applyFont="1"/>
    <xf numFmtId="174" fontId="0" fillId="0" borderId="0" xfId="2" applyNumberFormat="1" applyFont="1"/>
    <xf numFmtId="175" fontId="0" fillId="0" borderId="0" xfId="2" applyNumberFormat="1" applyFont="1"/>
    <xf numFmtId="181" fontId="0" fillId="0" borderId="0" xfId="1" applyNumberFormat="1" applyFont="1"/>
    <xf numFmtId="43" fontId="0" fillId="0" borderId="0" xfId="0" applyNumberFormat="1"/>
    <xf numFmtId="183" fontId="1" fillId="0" borderId="0" xfId="1" applyNumberFormat="1" applyFont="1" applyFill="1" applyBorder="1" applyAlignment="1">
      <alignment horizontal="center" vertical="center"/>
    </xf>
    <xf numFmtId="11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2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4" formatCode="_-* #,##0.0000_-;\-* #,##0.00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4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78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3" formatCode="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6" formatCode="0.0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numFmt numFmtId="164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295275</xdr:colOff>
      <xdr:row>0</xdr:row>
      <xdr:rowOff>28575</xdr:rowOff>
    </xdr:from>
    <xdr:to>
      <xdr:col>17</xdr:col>
      <xdr:colOff>135769</xdr:colOff>
      <xdr:row>36</xdr:row>
      <xdr:rowOff>74804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672135B-F710-E114-0FA8-F410C374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14875" y="28575"/>
          <a:ext cx="5936494" cy="58755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1295400</xdr:colOff>
      <xdr:row>14</xdr:row>
      <xdr:rowOff>0</xdr:rowOff>
    </xdr:from>
    <xdr:to>
      <xdr:col>9</xdr:col>
      <xdr:colOff>385126</xdr:colOff>
      <xdr:row>18</xdr:row>
      <xdr:rowOff>121987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CB0B826-423F-9845-2E4A-451FE129B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86425" y="2266950"/>
          <a:ext cx="3642676" cy="76968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B3435B-4291-4C51-9CE4-871E846CD03D}" name="Table2" displayName="Table2" ref="R20:Y26" totalsRowShown="0" dataDxfId="21">
  <autoFilter ref="R20:Y26" xr:uid="{33B3435B-4291-4C51-9CE4-871E846CD03D}"/>
  <tableColumns count="8">
    <tableColumn id="1" xr3:uid="{B4E86822-E82A-4150-805E-B358DD4EE9AE}" name="tau" dataDxfId="20" dataCellStyle="Comma"/>
    <tableColumn id="2" xr3:uid="{47844C48-4BDC-4268-AE00-F9970599C563}" name="r_d" dataDxfId="19" dataCellStyle="Percent"/>
    <tableColumn id="3" xr3:uid="{CDD0F094-C542-44C7-9D23-F89E9A2EC1F1}" name="r_f" dataDxfId="18" dataCellStyle="Percent"/>
    <tableColumn id="4" xr3:uid="{3E692CA1-4E4E-4EF7-A8D0-C3A36739DF99}" name="10_Δcall" dataDxfId="17" dataCellStyle="Percent"/>
    <tableColumn id="5" xr3:uid="{3298CAD3-5700-4838-BB7C-8486C88F3F6F}" name="25_Δcall" dataDxfId="16" dataCellStyle="Percent"/>
    <tableColumn id="6" xr3:uid="{E06DC333-45E9-4416-BDEB-EBF708F0A4F1}" name="50_Δ" dataDxfId="15" dataCellStyle="Percent"/>
    <tableColumn id="7" xr3:uid="{E583E9C4-E70F-4934-A354-4D22284426C0}" name="25_Δput" dataDxfId="14" dataCellStyle="Percent"/>
    <tableColumn id="8" xr3:uid="{3F7A9E0D-9FAF-4AA5-B6C2-C0DF05914E8D}" name="10_Δput" dataDxfId="13" dataCellStyle="Percent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E5321F-5E8D-4EC2-8AF1-043B7DE63C30}" name="DeltaVolatilityTable" displayName="DeltaVolatilityTable" ref="B14:C19" totalsRowShown="0" dataDxfId="12">
  <autoFilter ref="B14:C19" xr:uid="{B2E5321F-5E8D-4EC2-8AF1-043B7DE63C30}"/>
  <tableColumns count="2">
    <tableColumn id="1" xr3:uid="{AA1BD6A1-19F5-4004-ADB0-521127B1D026}" name="Delta" dataDxfId="11"/>
    <tableColumn id="2" xr3:uid="{AD294466-53A3-428B-95B9-BA231E8BEDDD}" name="Market Volatility" dataDxfId="10" dataCellStyle="Percent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909616-B034-4D9C-8111-2500C9C6F3E3}" name="tbl_zero_rates" displayName="tbl_zero_rates" ref="B6:E84" totalsRowShown="0">
  <autoFilter ref="B6:E84" xr:uid="{18909616-B034-4D9C-8111-2500C9C6F3E3}"/>
  <tableColumns count="4">
    <tableColumn id="4" xr3:uid="{86CF3805-C8BA-4E53-8CFD-A0F858A22876}" name="idx" dataDxfId="9" dataCellStyle="Comma"/>
    <tableColumn id="1" xr3:uid="{83FA3634-B215-47B1-B3E7-02E3E84A468A}" name="tau" dataDxfId="8" dataCellStyle="Comma"/>
    <tableColumn id="2" xr3:uid="{9525CB04-AADC-41CF-8ED6-32AD89C48017}" name="nacc" dataDxfId="7" dataCellStyle="Percent"/>
    <tableColumn id="3" xr3:uid="{05EC1E2C-3734-4E5B-BC6B-B00604CA1333}" name="discount_factor" dataDxfId="6" dataCellStyle="Comma">
      <calculatedColumnFormula>EXP(-tbl_zero_rates[[#This Row],[nacc]]*tbl_zero_rates[[#This Row],[tau]])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432D3-6680-43C6-B562-B2026691DF8B}">
  <sheetPr codeName="Sheet1"/>
  <dimension ref="B2:Y29"/>
  <sheetViews>
    <sheetView workbookViewId="0">
      <selection activeCell="B2" sqref="B2:D4"/>
    </sheetView>
  </sheetViews>
  <sheetFormatPr defaultRowHeight="12.75" x14ac:dyDescent="0.2"/>
  <cols>
    <col min="2" max="2" width="20.28515625" bestFit="1" customWidth="1"/>
    <col min="3" max="3" width="18.140625" bestFit="1" customWidth="1"/>
    <col min="4" max="4" width="9.7109375" bestFit="1" customWidth="1"/>
    <col min="5" max="5" width="10.85546875" bestFit="1" customWidth="1"/>
    <col min="6" max="6" width="13.7109375" bestFit="1" customWidth="1"/>
    <col min="7" max="7" width="12" bestFit="1" customWidth="1"/>
    <col min="8" max="8" width="9.7109375" bestFit="1" customWidth="1"/>
    <col min="9" max="9" width="28.28515625" bestFit="1" customWidth="1"/>
    <col min="10" max="13" width="7.28515625" bestFit="1" customWidth="1"/>
    <col min="14" max="14" width="6.28515625" bestFit="1" customWidth="1"/>
    <col min="15" max="16" width="10.85546875" bestFit="1" customWidth="1"/>
    <col min="17" max="17" width="7.5703125" bestFit="1" customWidth="1"/>
    <col min="18" max="18" width="7.7109375" bestFit="1" customWidth="1"/>
    <col min="19" max="19" width="7.28515625" bestFit="1" customWidth="1"/>
    <col min="20" max="20" width="6.28515625" bestFit="1" customWidth="1"/>
    <col min="21" max="22" width="10.85546875" bestFit="1" customWidth="1"/>
    <col min="23" max="23" width="7.5703125" bestFit="1" customWidth="1"/>
    <col min="24" max="25" width="10.42578125" bestFit="1" customWidth="1"/>
  </cols>
  <sheetData>
    <row r="2" spans="2:9" x14ac:dyDescent="0.2">
      <c r="B2" t="s">
        <v>0</v>
      </c>
      <c r="C2" s="1" t="s">
        <v>1</v>
      </c>
    </row>
    <row r="4" spans="2:9" x14ac:dyDescent="0.2">
      <c r="B4" t="s">
        <v>2</v>
      </c>
      <c r="C4" s="3">
        <v>45107</v>
      </c>
      <c r="D4" t="s">
        <v>3</v>
      </c>
      <c r="F4" t="s">
        <v>21</v>
      </c>
      <c r="G4" s="13">
        <f>YEARFRAC(C4,C9,1)</f>
        <v>2.0009124087591244</v>
      </c>
      <c r="H4" t="s">
        <v>31</v>
      </c>
    </row>
    <row r="5" spans="2:9" x14ac:dyDescent="0.2">
      <c r="B5" t="s">
        <v>16</v>
      </c>
      <c r="C5" s="2">
        <v>1.2779</v>
      </c>
      <c r="D5" t="s">
        <v>4</v>
      </c>
      <c r="F5" t="s">
        <v>23</v>
      </c>
      <c r="G5" s="14">
        <f>C7-C8</f>
        <v>-3.1900000000000001E-3</v>
      </c>
      <c r="H5" t="s">
        <v>19</v>
      </c>
    </row>
    <row r="6" spans="2:9" x14ac:dyDescent="0.2">
      <c r="F6" t="s">
        <v>24</v>
      </c>
      <c r="G6" s="15">
        <f>LN(C5)</f>
        <v>0.24521810563252058</v>
      </c>
      <c r="H6" t="s">
        <v>4</v>
      </c>
      <c r="I6" t="s">
        <v>25</v>
      </c>
    </row>
    <row r="7" spans="2:9" x14ac:dyDescent="0.2">
      <c r="B7" t="s">
        <v>17</v>
      </c>
      <c r="C7" s="6">
        <v>1.0800000000000001E-2</v>
      </c>
      <c r="D7" t="s">
        <v>19</v>
      </c>
    </row>
    <row r="8" spans="2:9" x14ac:dyDescent="0.2">
      <c r="B8" t="s">
        <v>18</v>
      </c>
      <c r="C8" s="6">
        <v>1.3990000000000001E-2</v>
      </c>
      <c r="D8" t="s">
        <v>19</v>
      </c>
    </row>
    <row r="9" spans="2:9" x14ac:dyDescent="0.2">
      <c r="B9" t="s">
        <v>20</v>
      </c>
      <c r="C9" s="3">
        <v>45838</v>
      </c>
      <c r="D9" t="s">
        <v>3</v>
      </c>
      <c r="F9" s="10" t="s">
        <v>29</v>
      </c>
      <c r="G9" s="9"/>
    </row>
    <row r="10" spans="2:9" x14ac:dyDescent="0.2">
      <c r="F10" t="s">
        <v>27</v>
      </c>
      <c r="G10" s="11">
        <f>_xlfn.XLOOKUP(50%,DeltaVolatilityTable[Delta],DeltaVolatilityTable[Market Volatility])^2</f>
        <v>1.48206276E-2</v>
      </c>
      <c r="H10" t="s">
        <v>19</v>
      </c>
    </row>
    <row r="11" spans="2:9" x14ac:dyDescent="0.2">
      <c r="F11" t="s">
        <v>26</v>
      </c>
      <c r="G11" s="12">
        <v>1.5</v>
      </c>
    </row>
    <row r="12" spans="2:9" x14ac:dyDescent="0.2">
      <c r="F12" t="s">
        <v>28</v>
      </c>
      <c r="G12" s="12">
        <v>0</v>
      </c>
    </row>
    <row r="14" spans="2:9" x14ac:dyDescent="0.2">
      <c r="B14" t="s">
        <v>7</v>
      </c>
      <c r="C14" t="s">
        <v>22</v>
      </c>
      <c r="F14" s="10" t="s">
        <v>30</v>
      </c>
      <c r="G14" s="9"/>
    </row>
    <row r="15" spans="2:9" x14ac:dyDescent="0.2">
      <c r="B15" s="8">
        <v>0.1</v>
      </c>
      <c r="C15" s="7">
        <v>0.12139</v>
      </c>
      <c r="G15" t="s">
        <v>35</v>
      </c>
      <c r="H15" t="s">
        <v>36</v>
      </c>
    </row>
    <row r="16" spans="2:9" x14ac:dyDescent="0.2">
      <c r="B16" s="8">
        <v>0.25</v>
      </c>
      <c r="C16" s="7">
        <v>0.11784</v>
      </c>
      <c r="F16" t="s">
        <v>34</v>
      </c>
      <c r="G16" s="4">
        <f>2*SQRT(G10)</f>
        <v>0.24348</v>
      </c>
    </row>
    <row r="17" spans="2:25" x14ac:dyDescent="0.2">
      <c r="B17" s="8">
        <v>0.5</v>
      </c>
      <c r="C17" s="7">
        <v>0.12174</v>
      </c>
      <c r="F17" t="s">
        <v>32</v>
      </c>
      <c r="G17" s="4">
        <f>2*G10</f>
        <v>2.9641255200000001E-2</v>
      </c>
    </row>
    <row r="18" spans="2:25" x14ac:dyDescent="0.2">
      <c r="B18" s="8">
        <v>-0.25</v>
      </c>
      <c r="C18" s="7">
        <v>0.13284000000000001</v>
      </c>
      <c r="F18" t="s">
        <v>33</v>
      </c>
      <c r="G18">
        <v>0</v>
      </c>
    </row>
    <row r="19" spans="2:25" x14ac:dyDescent="0.2">
      <c r="B19" s="8">
        <v>-0.1</v>
      </c>
      <c r="C19" s="7">
        <v>0.14763999999999999</v>
      </c>
    </row>
    <row r="20" spans="2:25" x14ac:dyDescent="0.2">
      <c r="F20" t="s">
        <v>41</v>
      </c>
      <c r="R20" t="s">
        <v>15</v>
      </c>
      <c r="S20" t="s">
        <v>8</v>
      </c>
      <c r="T20" t="s">
        <v>9</v>
      </c>
      <c r="U20" t="s">
        <v>10</v>
      </c>
      <c r="V20" t="s">
        <v>11</v>
      </c>
      <c r="W20" t="s">
        <v>12</v>
      </c>
      <c r="X20" t="s">
        <v>14</v>
      </c>
      <c r="Y20" t="s">
        <v>13</v>
      </c>
    </row>
    <row r="21" spans="2:25" x14ac:dyDescent="0.2">
      <c r="F21" t="s">
        <v>42</v>
      </c>
      <c r="G21" s="16"/>
      <c r="R21" s="5">
        <v>1.91781E-2</v>
      </c>
      <c r="S21" s="6">
        <v>3.1099999999999999E-3</v>
      </c>
      <c r="T21" s="7">
        <v>5.7999999999999996E-3</v>
      </c>
      <c r="U21" s="7">
        <v>0.13947999999999999</v>
      </c>
      <c r="V21" s="7">
        <v>0.13192000000000001</v>
      </c>
      <c r="W21" s="7">
        <v>0.13350000000000001</v>
      </c>
      <c r="X21" s="7">
        <v>0.14041999999999999</v>
      </c>
      <c r="Y21" s="7">
        <v>0.15435499999999999</v>
      </c>
    </row>
    <row r="22" spans="2:25" x14ac:dyDescent="0.2">
      <c r="R22" s="5">
        <v>8.3333299999999999E-2</v>
      </c>
      <c r="S22" s="6">
        <v>3.2875000000000001E-3</v>
      </c>
      <c r="T22" s="7">
        <v>6.3099999999999996E-3</v>
      </c>
      <c r="U22" s="7">
        <v>0.1245</v>
      </c>
      <c r="V22" s="7">
        <v>0.12249</v>
      </c>
      <c r="W22" s="7">
        <v>0.127</v>
      </c>
      <c r="X22" s="7">
        <v>0.13749</v>
      </c>
      <c r="Y22" s="7">
        <v>0.15225</v>
      </c>
    </row>
    <row r="23" spans="2:25" x14ac:dyDescent="0.2">
      <c r="F23" t="s">
        <v>37</v>
      </c>
      <c r="G23">
        <f>G11*G17</f>
        <v>4.4461882800000005E-2</v>
      </c>
      <c r="R23" s="5">
        <v>0.25</v>
      </c>
      <c r="S23" s="6">
        <v>4.9781000000000001E-3</v>
      </c>
      <c r="T23" s="7">
        <v>8.8400000000000006E-3</v>
      </c>
      <c r="U23" s="7">
        <v>0.126885</v>
      </c>
      <c r="V23" s="7">
        <v>0.123945</v>
      </c>
      <c r="W23" s="7">
        <v>0.130495</v>
      </c>
      <c r="X23" s="7">
        <v>0.14544499999999999</v>
      </c>
      <c r="Y23" s="7">
        <v>0.16666</v>
      </c>
    </row>
    <row r="24" spans="2:25" x14ac:dyDescent="0.2">
      <c r="F24" t="s">
        <v>38</v>
      </c>
      <c r="G24">
        <v>0.5</v>
      </c>
      <c r="H24">
        <v>-0.5</v>
      </c>
      <c r="R24" s="5">
        <v>0.5</v>
      </c>
      <c r="S24" s="6">
        <v>7.0074999999999998E-3</v>
      </c>
      <c r="T24" s="7">
        <v>1.1310000000000001E-2</v>
      </c>
      <c r="U24" s="7">
        <v>0.13688</v>
      </c>
      <c r="V24" s="7">
        <v>0.12898999999999999</v>
      </c>
      <c r="W24" s="7">
        <v>0.13550000000000001</v>
      </c>
      <c r="X24" s="7">
        <v>0.15298999999999999</v>
      </c>
      <c r="Y24" s="7">
        <v>0.18127499999999999</v>
      </c>
    </row>
    <row r="25" spans="2:25" x14ac:dyDescent="0.2">
      <c r="F25" t="s">
        <v>44</v>
      </c>
      <c r="G25" cm="1">
        <f t="array" ref="G25:H25">G24:H24</f>
        <v>0.5</v>
      </c>
      <c r="H25">
        <v>-0.5</v>
      </c>
      <c r="R25" s="5">
        <v>1</v>
      </c>
      <c r="S25" s="6">
        <v>1.0800000000000001E-2</v>
      </c>
      <c r="T25" s="7">
        <v>1.3990000000000001E-2</v>
      </c>
      <c r="U25" s="7">
        <v>0.13670499999999999</v>
      </c>
      <c r="V25" s="7">
        <v>0.12667999999999999</v>
      </c>
      <c r="W25" s="7">
        <v>0.13186999999999999</v>
      </c>
      <c r="X25" s="7">
        <v>0.14718000000000001</v>
      </c>
      <c r="Y25" s="7">
        <v>0.172705</v>
      </c>
    </row>
    <row r="26" spans="2:25" x14ac:dyDescent="0.2">
      <c r="F26" t="s">
        <v>39</v>
      </c>
      <c r="G26">
        <f>G11+G12-G18*G16</f>
        <v>1.5</v>
      </c>
      <c r="H26">
        <f>G11+G12</f>
        <v>1.5</v>
      </c>
      <c r="R26" s="5">
        <v>2</v>
      </c>
      <c r="S26" s="6">
        <v>1.0800000000000001E-2</v>
      </c>
      <c r="T26" s="7">
        <v>1.3990000000000001E-2</v>
      </c>
      <c r="U26" s="7">
        <v>0.12139</v>
      </c>
      <c r="V26" s="7">
        <v>0.11784</v>
      </c>
      <c r="W26" s="7">
        <v>0.12174</v>
      </c>
      <c r="X26" s="7">
        <v>0.13284000000000001</v>
      </c>
      <c r="Y26" s="7">
        <v>0.14763999999999999</v>
      </c>
    </row>
    <row r="27" spans="2:25" x14ac:dyDescent="0.2">
      <c r="F27" t="s">
        <v>45</v>
      </c>
      <c r="G27" cm="1">
        <f t="array" ref="G27:H27">G26:H26</f>
        <v>1.5</v>
      </c>
      <c r="H27">
        <v>1.5</v>
      </c>
    </row>
    <row r="28" spans="2:25" x14ac:dyDescent="0.2">
      <c r="F28" t="s">
        <v>40</v>
      </c>
      <c r="G28" s="17">
        <f>G16</f>
        <v>0.24348</v>
      </c>
    </row>
    <row r="29" spans="2:25" x14ac:dyDescent="0.2">
      <c r="F29" t="s">
        <v>43</v>
      </c>
    </row>
  </sheetData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E6D86A-E604-45C1-A4A4-C106D84AB3CC}">
  <sheetPr codeName="Sheet2"/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E4DC-8B4F-40B3-A8A4-C45C9078EBE5}">
  <sheetPr codeName="Sheet3"/>
  <dimension ref="B2:E29"/>
  <sheetViews>
    <sheetView workbookViewId="0">
      <selection activeCell="C2" sqref="C2"/>
    </sheetView>
  </sheetViews>
  <sheetFormatPr defaultRowHeight="12.75" x14ac:dyDescent="0.2"/>
  <cols>
    <col min="2" max="2" width="10.28515625" bestFit="1" customWidth="1"/>
    <col min="3" max="3" width="11.42578125" bestFit="1" customWidth="1"/>
    <col min="4" max="4" width="14.28515625" bestFit="1" customWidth="1"/>
    <col min="5" max="5" width="6.28515625" bestFit="1" customWidth="1"/>
  </cols>
  <sheetData>
    <row r="2" spans="2:5" x14ac:dyDescent="0.2">
      <c r="B2" t="s">
        <v>63</v>
      </c>
      <c r="C2" s="22">
        <v>45107</v>
      </c>
    </row>
    <row r="3" spans="2:5" x14ac:dyDescent="0.2">
      <c r="B3" t="s">
        <v>68</v>
      </c>
      <c r="C3" t="s">
        <v>67</v>
      </c>
    </row>
    <row r="5" spans="2:5" x14ac:dyDescent="0.2">
      <c r="B5" t="s">
        <v>62</v>
      </c>
      <c r="C5" t="s">
        <v>63</v>
      </c>
      <c r="D5" t="s">
        <v>64</v>
      </c>
      <c r="E5" t="s">
        <v>65</v>
      </c>
    </row>
    <row r="6" spans="2:5" x14ac:dyDescent="0.2">
      <c r="B6" t="s">
        <v>46</v>
      </c>
      <c r="C6" s="19">
        <v>45110</v>
      </c>
      <c r="D6">
        <v>0.99965999999999999</v>
      </c>
      <c r="E6" s="20">
        <v>4.1432999999999998E-2</v>
      </c>
    </row>
    <row r="7" spans="2:5" x14ac:dyDescent="0.2">
      <c r="B7" t="s">
        <v>47</v>
      </c>
      <c r="C7" s="19">
        <v>45111</v>
      </c>
      <c r="D7">
        <v>0.99955000000000005</v>
      </c>
      <c r="E7" s="20">
        <v>4.1434100000000001E-2</v>
      </c>
    </row>
    <row r="8" spans="2:5" x14ac:dyDescent="0.2">
      <c r="B8" t="s">
        <v>48</v>
      </c>
      <c r="C8" s="19">
        <v>45117</v>
      </c>
      <c r="D8">
        <v>0.99887000000000004</v>
      </c>
      <c r="E8" s="20">
        <v>4.1426400000000002E-2</v>
      </c>
    </row>
    <row r="9" spans="2:5" x14ac:dyDescent="0.2">
      <c r="B9" t="s">
        <v>49</v>
      </c>
      <c r="C9" s="19">
        <v>45202</v>
      </c>
      <c r="D9">
        <v>0.98882000000000003</v>
      </c>
      <c r="E9" s="20">
        <v>4.3212200000000006E-2</v>
      </c>
    </row>
    <row r="10" spans="2:5" x14ac:dyDescent="0.2">
      <c r="B10" s="18">
        <v>45170</v>
      </c>
      <c r="C10" s="19">
        <v>45268</v>
      </c>
      <c r="D10">
        <v>0.98060999999999998</v>
      </c>
      <c r="E10" s="20">
        <v>4.4383800000000001E-2</v>
      </c>
    </row>
    <row r="11" spans="2:5" x14ac:dyDescent="0.2">
      <c r="B11" s="18">
        <v>45261</v>
      </c>
      <c r="C11" s="19">
        <v>45359</v>
      </c>
      <c r="D11">
        <v>0.96921000000000002</v>
      </c>
      <c r="E11" s="20">
        <v>4.53012E-2</v>
      </c>
    </row>
    <row r="12" spans="2:5" x14ac:dyDescent="0.2">
      <c r="B12" s="18">
        <v>45352</v>
      </c>
      <c r="C12" s="19">
        <v>45454</v>
      </c>
      <c r="D12">
        <v>0.95745000000000002</v>
      </c>
      <c r="E12" s="20">
        <v>4.57423E-2</v>
      </c>
    </row>
    <row r="13" spans="2:5" x14ac:dyDescent="0.2">
      <c r="B13" s="18">
        <v>45444</v>
      </c>
      <c r="C13" s="19">
        <v>45551</v>
      </c>
      <c r="D13">
        <v>0.94572999999999996</v>
      </c>
      <c r="E13" s="20">
        <v>4.5869099999999996E-2</v>
      </c>
    </row>
    <row r="14" spans="2:5" x14ac:dyDescent="0.2">
      <c r="B14" s="18">
        <v>45536</v>
      </c>
      <c r="C14" s="19">
        <v>45639</v>
      </c>
      <c r="D14">
        <v>0.93554999999999999</v>
      </c>
      <c r="E14" s="20">
        <v>4.5708900000000004E-2</v>
      </c>
    </row>
    <row r="15" spans="2:5" x14ac:dyDescent="0.2">
      <c r="B15" s="18">
        <v>45627</v>
      </c>
      <c r="C15" s="19">
        <v>45729</v>
      </c>
      <c r="D15">
        <v>0.92564000000000002</v>
      </c>
      <c r="E15" s="20">
        <v>4.5341399999999997E-2</v>
      </c>
    </row>
    <row r="16" spans="2:5" x14ac:dyDescent="0.2">
      <c r="B16" s="18">
        <v>45717</v>
      </c>
      <c r="C16" s="19">
        <v>45824</v>
      </c>
      <c r="D16">
        <v>0.91568000000000005</v>
      </c>
      <c r="E16" s="20">
        <v>4.4842599999999996E-2</v>
      </c>
    </row>
    <row r="17" spans="2:5" x14ac:dyDescent="0.2">
      <c r="B17" s="18">
        <v>45809</v>
      </c>
      <c r="C17" s="19">
        <v>45915</v>
      </c>
      <c r="D17">
        <v>0.90654000000000001</v>
      </c>
      <c r="E17" s="20">
        <v>4.4325099999999999E-2</v>
      </c>
    </row>
    <row r="18" spans="2:5" x14ac:dyDescent="0.2">
      <c r="B18" t="s">
        <v>50</v>
      </c>
      <c r="C18" s="19">
        <v>45476</v>
      </c>
      <c r="D18">
        <v>0.95477999999999996</v>
      </c>
      <c r="E18" s="20">
        <v>4.5776899999999995E-2</v>
      </c>
    </row>
    <row r="19" spans="2:5" x14ac:dyDescent="0.2">
      <c r="B19" t="s">
        <v>51</v>
      </c>
      <c r="C19" s="19">
        <v>45841</v>
      </c>
      <c r="D19">
        <v>0.91396999999999995</v>
      </c>
      <c r="E19" s="20">
        <v>4.4736200000000004E-2</v>
      </c>
    </row>
    <row r="20" spans="2:5" x14ac:dyDescent="0.2">
      <c r="B20" t="s">
        <v>52</v>
      </c>
      <c r="C20" s="19">
        <v>46206</v>
      </c>
      <c r="D20">
        <v>0.87880000000000003</v>
      </c>
      <c r="E20" s="20">
        <v>4.2908499999999995E-2</v>
      </c>
    </row>
    <row r="21" spans="2:5" x14ac:dyDescent="0.2">
      <c r="B21" t="s">
        <v>53</v>
      </c>
      <c r="C21" s="19">
        <v>46573</v>
      </c>
      <c r="D21">
        <v>0.84538999999999997</v>
      </c>
      <c r="E21" s="20">
        <v>4.1816600000000002E-2</v>
      </c>
    </row>
    <row r="22" spans="2:5" x14ac:dyDescent="0.2">
      <c r="B22" t="s">
        <v>54</v>
      </c>
      <c r="C22" s="19">
        <v>46937</v>
      </c>
      <c r="D22">
        <v>0.81203000000000003</v>
      </c>
      <c r="E22" s="20">
        <v>4.15296E-2</v>
      </c>
    </row>
    <row r="23" spans="2:5" x14ac:dyDescent="0.2">
      <c r="B23" t="s">
        <v>55</v>
      </c>
      <c r="C23" s="19">
        <v>47667</v>
      </c>
      <c r="D23">
        <v>0.74543999999999999</v>
      </c>
      <c r="E23" s="20">
        <v>4.1886599999999996E-2</v>
      </c>
    </row>
    <row r="24" spans="2:5" x14ac:dyDescent="0.2">
      <c r="B24" t="s">
        <v>56</v>
      </c>
      <c r="C24" s="19">
        <v>48764</v>
      </c>
      <c r="D24">
        <v>0.65088000000000001</v>
      </c>
      <c r="E24" s="20">
        <v>4.2860599999999999E-2</v>
      </c>
    </row>
    <row r="25" spans="2:5" x14ac:dyDescent="0.2">
      <c r="B25" t="s">
        <v>57</v>
      </c>
      <c r="C25" s="19">
        <v>49493</v>
      </c>
      <c r="D25">
        <v>0.59301999999999999</v>
      </c>
      <c r="E25" s="20">
        <v>4.3484299999999997E-2</v>
      </c>
    </row>
    <row r="26" spans="2:5" x14ac:dyDescent="0.2">
      <c r="B26" t="s">
        <v>58</v>
      </c>
      <c r="C26" s="19">
        <v>50591</v>
      </c>
      <c r="D26">
        <v>0.51749000000000001</v>
      </c>
      <c r="E26" s="20">
        <v>4.3846299999999998E-2</v>
      </c>
    </row>
    <row r="27" spans="2:5" x14ac:dyDescent="0.2">
      <c r="B27" t="s">
        <v>59</v>
      </c>
      <c r="C27" s="19">
        <v>52415</v>
      </c>
      <c r="D27">
        <v>0.42360999999999999</v>
      </c>
      <c r="E27" s="20">
        <v>4.2900400000000005E-2</v>
      </c>
    </row>
    <row r="28" spans="2:5" x14ac:dyDescent="0.2">
      <c r="B28" t="s">
        <v>60</v>
      </c>
      <c r="C28" s="19">
        <v>54242</v>
      </c>
      <c r="D28">
        <v>0.36266999999999999</v>
      </c>
      <c r="E28" s="20">
        <v>4.0525700000000005E-2</v>
      </c>
    </row>
    <row r="29" spans="2:5" x14ac:dyDescent="0.2">
      <c r="B29" t="s">
        <v>61</v>
      </c>
      <c r="C29" s="19">
        <v>56068</v>
      </c>
      <c r="D29">
        <v>0.31646999999999997</v>
      </c>
      <c r="E29" s="20">
        <v>3.8312900000000004E-2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8DB8F-0EAA-4C08-9983-590AA022AB90}">
  <sheetPr codeName="Sheet4"/>
  <dimension ref="B2:AH110"/>
  <sheetViews>
    <sheetView tabSelected="1" topLeftCell="F1" workbookViewId="0">
      <selection activeCell="K6" sqref="K6"/>
    </sheetView>
  </sheetViews>
  <sheetFormatPr defaultRowHeight="12.75" x14ac:dyDescent="0.2"/>
  <cols>
    <col min="2" max="2" width="13.28515625" bestFit="1" customWidth="1"/>
    <col min="3" max="3" width="9.5703125" bestFit="1" customWidth="1"/>
    <col min="4" max="4" width="7.5703125" bestFit="1" customWidth="1"/>
    <col min="5" max="5" width="17.140625" bestFit="1" customWidth="1"/>
    <col min="7" max="7" width="19.7109375" bestFit="1" customWidth="1"/>
    <col min="8" max="8" width="7.28515625" bestFit="1" customWidth="1"/>
    <col min="9" max="9" width="41.28515625" bestFit="1" customWidth="1"/>
    <col min="11" max="11" width="8.7109375" bestFit="1" customWidth="1"/>
    <col min="12" max="12" width="12" bestFit="1" customWidth="1"/>
    <col min="13" max="13" width="9.7109375" bestFit="1" customWidth="1"/>
    <col min="14" max="14" width="3.5703125" customWidth="1"/>
    <col min="15" max="16" width="8.7109375" style="29" bestFit="1" customWidth="1"/>
    <col min="17" max="17" width="8.7109375" bestFit="1" customWidth="1"/>
    <col min="18" max="18" width="3.5703125" customWidth="1"/>
    <col min="19" max="19" width="9.28515625" style="27" bestFit="1" customWidth="1"/>
    <col min="20" max="20" width="11.140625" style="27" bestFit="1" customWidth="1"/>
    <col min="21" max="21" width="10.5703125" style="27" bestFit="1" customWidth="1"/>
    <col min="22" max="22" width="3.5703125" customWidth="1"/>
    <col min="23" max="23" width="8.7109375" bestFit="1" customWidth="1"/>
    <col min="24" max="28" width="3.5703125" customWidth="1"/>
    <col min="29" max="29" width="10.140625" bestFit="1" customWidth="1"/>
    <col min="30" max="30" width="9.5703125" bestFit="1" customWidth="1"/>
    <col min="31" max="32" width="8.28515625" style="27" bestFit="1" customWidth="1"/>
    <col min="33" max="33" width="9.28515625" bestFit="1" customWidth="1"/>
    <col min="34" max="34" width="12.5703125" bestFit="1" customWidth="1"/>
  </cols>
  <sheetData>
    <row r="2" spans="2:34" x14ac:dyDescent="0.2">
      <c r="B2" t="s">
        <v>0</v>
      </c>
      <c r="C2" s="1" t="s">
        <v>1</v>
      </c>
    </row>
    <row r="4" spans="2:34" x14ac:dyDescent="0.2">
      <c r="B4" t="s">
        <v>2</v>
      </c>
      <c r="C4" s="3">
        <v>45107</v>
      </c>
      <c r="D4" t="s">
        <v>3</v>
      </c>
      <c r="K4" t="s">
        <v>76</v>
      </c>
      <c r="L4">
        <f>MIN(tbl_zero_rates[tau])</f>
        <v>3.9682540000000001E-3</v>
      </c>
    </row>
    <row r="5" spans="2:34" x14ac:dyDescent="0.2">
      <c r="K5" t="s">
        <v>77</v>
      </c>
      <c r="L5">
        <f>MAX(tbl_zero_rates[tau])</f>
        <v>7.0740556249999997</v>
      </c>
    </row>
    <row r="6" spans="2:34" x14ac:dyDescent="0.2">
      <c r="B6" t="s">
        <v>69</v>
      </c>
      <c r="C6" t="s">
        <v>15</v>
      </c>
      <c r="D6" t="s">
        <v>66</v>
      </c>
      <c r="E6" t="s">
        <v>71</v>
      </c>
      <c r="G6" t="s">
        <v>70</v>
      </c>
      <c r="H6" s="14">
        <f>_xlfn.XLOOKUP(1,tbl_zero_rates[idx],tbl_zero_rates[nacc])</f>
        <v>1.5110682E-2</v>
      </c>
      <c r="K6" t="s">
        <v>78</v>
      </c>
      <c r="L6" s="32">
        <v>1.0000000000000001E-5</v>
      </c>
    </row>
    <row r="7" spans="2:34" x14ac:dyDescent="0.2">
      <c r="B7" s="23">
        <v>0</v>
      </c>
      <c r="C7" s="5">
        <v>3.9682540000000001E-3</v>
      </c>
      <c r="D7" s="7">
        <v>1.110682E-2</v>
      </c>
      <c r="E7" s="13">
        <f>EXP(-tbl_zero_rates[[#This Row],[nacc]]*tbl_zero_rates[[#This Row],[tau]])</f>
        <v>0.99995592628838226</v>
      </c>
      <c r="G7" t="s">
        <v>72</v>
      </c>
      <c r="H7" s="24">
        <v>0.19</v>
      </c>
      <c r="I7" t="s">
        <v>74</v>
      </c>
    </row>
    <row r="8" spans="2:34" x14ac:dyDescent="0.2">
      <c r="B8" s="23">
        <v>1</v>
      </c>
      <c r="C8" s="5">
        <v>0.34794520499999998</v>
      </c>
      <c r="D8" s="7">
        <v>1.5110682E-2</v>
      </c>
      <c r="E8" s="13">
        <f>EXP(-tbl_zero_rates[[#This Row],[nacc]]*tbl_zero_rates[[#This Row],[tau]])</f>
        <v>0.99475610811094528</v>
      </c>
      <c r="G8" t="s">
        <v>73</v>
      </c>
      <c r="H8" s="25">
        <v>1.9599999999999999E-2</v>
      </c>
      <c r="I8" t="s">
        <v>74</v>
      </c>
      <c r="K8" t="s">
        <v>79</v>
      </c>
      <c r="L8" s="31" t="b" cm="1">
        <f t="array" ref="L8">AND(_xlfn.ANCHORARRAY(L11)&gt;0)</f>
        <v>1</v>
      </c>
      <c r="M8" s="31" t="b" cm="1">
        <f t="array" ref="M8">AND(_xlfn.ANCHORARRAY(M11)&gt;0)</f>
        <v>1</v>
      </c>
    </row>
    <row r="9" spans="2:34" x14ac:dyDescent="0.2">
      <c r="B9" s="23">
        <v>2</v>
      </c>
      <c r="C9" s="5">
        <v>0.43644665799999999</v>
      </c>
      <c r="D9" s="7">
        <v>1.6120621000000002E-2</v>
      </c>
      <c r="E9" s="13">
        <f>EXP(-tbl_zero_rates[[#This Row],[nacc]]*tbl_zero_rates[[#This Row],[tau]])</f>
        <v>0.99298890207221002</v>
      </c>
    </row>
    <row r="10" spans="2:34" x14ac:dyDescent="0.2">
      <c r="B10" s="23">
        <v>3</v>
      </c>
      <c r="C10" s="5">
        <v>0.52494811100000005</v>
      </c>
      <c r="D10" s="7">
        <v>1.7109843999999999E-2</v>
      </c>
      <c r="E10" s="13">
        <f>EXP(-tbl_zero_rates[[#This Row],[nacc]]*tbl_zero_rates[[#This Row],[tau]])</f>
        <v>0.99105843540834726</v>
      </c>
      <c r="K10" t="s">
        <v>80</v>
      </c>
      <c r="L10" s="29" t="s">
        <v>81</v>
      </c>
      <c r="M10" s="29" t="s">
        <v>82</v>
      </c>
      <c r="O10" t="s">
        <v>83</v>
      </c>
      <c r="P10" t="s">
        <v>84</v>
      </c>
      <c r="Q10" t="s">
        <v>85</v>
      </c>
      <c r="S10" s="27" t="s">
        <v>86</v>
      </c>
      <c r="T10" s="27" t="s">
        <v>87</v>
      </c>
      <c r="U10" s="27" t="s">
        <v>88</v>
      </c>
      <c r="AC10" s="27" t="s">
        <v>89</v>
      </c>
      <c r="AD10" s="27" t="s">
        <v>90</v>
      </c>
      <c r="AE10" s="27" t="s">
        <v>91</v>
      </c>
      <c r="AF10" s="27" t="s">
        <v>92</v>
      </c>
      <c r="AG10" s="27" t="s">
        <v>93</v>
      </c>
    </row>
    <row r="11" spans="2:34" x14ac:dyDescent="0.2">
      <c r="B11" s="23">
        <v>4</v>
      </c>
      <c r="C11" s="5">
        <v>0.61344956399999995</v>
      </c>
      <c r="D11" s="7">
        <v>1.8078586000000001E-2</v>
      </c>
      <c r="E11" s="13">
        <f>EXP(-tbl_zero_rates[[#This Row],[nacc]]*tbl_zero_rates[[#This Row],[tau]])</f>
        <v>0.98897096997279477</v>
      </c>
      <c r="K11" s="26" cm="1">
        <f t="array" ref="K11:K110">TRANSPOSE(LinearSpace(min_tau,max_tau,100))</f>
        <v>3.9682540000000001E-3</v>
      </c>
      <c r="L11" s="29" cm="1">
        <f t="array" ref="L11:L110">_xlfn.ANCHORARRAY(K11)+dt</f>
        <v>3.9782539999999996E-3</v>
      </c>
      <c r="M11" s="29" cm="1">
        <f t="array" ref="M11:M110">_xlfn.ANCHORARRAY(K11)-dt</f>
        <v>3.9582540000000005E-3</v>
      </c>
      <c r="N11" s="26"/>
      <c r="O11" s="26" cm="1">
        <f t="array" ref="O11:O110">Linterp(tbl_zero_rates[tau],tbl_zero_rates[discount_factor],_xlfn.ANCHORARRAY(K11),,TRUE)</f>
        <v>0.99995592628838226</v>
      </c>
      <c r="P11" s="26" cm="1">
        <f t="array" ref="P11:P110">Linterp(tbl_zero_rates[tau],tbl_zero_rates[discount_factor],_xlfn.ANCHORARRAY(L11),1,TRUE)</f>
        <v>0.99995577472635255</v>
      </c>
      <c r="Q11" s="26" cm="1">
        <f t="array" ref="Q11:Q110">Linterp(tbl_zero_rates[tau],tbl_zero_rates[discount_factor],_xlfn.ANCHORARRAY(M11),1,TRUE)</f>
        <v>0.99995607785043483</v>
      </c>
      <c r="R11" s="26"/>
      <c r="S11" s="28" cm="1">
        <f t="array" ref="S11:S110">-LN(_xlfn.ANCHORARRAY(O11))/_xlfn.ANCHORARRAY(K11)</f>
        <v>1.1106820000007301E-2</v>
      </c>
      <c r="T11" s="28" cm="1">
        <f t="array" ref="T11:T110">-LN(_xlfn.ANCHORARRAY(P11))/_xlfn.ANCHORARRAY(L11)</f>
        <v>1.1117000476514439E-2</v>
      </c>
      <c r="U11" s="28" cm="1">
        <f t="array" ref="U11:U110">-LN(_xlfn.ANCHORARRAY(Q11))/_xlfn.ANCHORARRAY(M11)</f>
        <v>1.1096588084297762E-2</v>
      </c>
      <c r="V11" s="26"/>
      <c r="W11" s="20" cm="1">
        <f t="array" ref="W11:W110">(_xlfn.ANCHORARRAY(S11)-_xlfn.ANCHORARRAY(U11))/dt</f>
        <v>1.0231915709538879</v>
      </c>
      <c r="X11" s="26"/>
      <c r="Y11" s="26"/>
      <c r="Z11" s="26"/>
      <c r="AA11" s="26"/>
      <c r="AB11" s="26"/>
      <c r="AC11" s="4" cm="1">
        <f t="array" ref="AC11:AC110">(_xlfn.ANCHORARRAY(T11)-_xlfn.ANCHORARRAY(S11))/dt</f>
        <v>1.0180476507137826</v>
      </c>
      <c r="AD11" s="20" cm="1">
        <f t="array" ref="AD11:AD110">(_xlfn.ANCHORARRAY(U11)-_xlfn.ANCHORARRAY(S11))/dt</f>
        <v>-1.0231915709538879</v>
      </c>
      <c r="AE11" s="27" cm="1">
        <f t="array" ref="AE11:AE110">_xlfn.ANCHORARRAY(T11)+_xlfn.ANCHORARRAY(L11)*_xlfn.ANCHORARRAY(AC11)</f>
        <v>1.5167052615157148E-2</v>
      </c>
      <c r="AF11" s="27" cm="1">
        <f t="array" ref="AF11:AF110">_xlfn.ANCHORARRAY(U11)+_xlfn.ANCHORARRAY(M11)*_xlfn.ANCHORARRAY(AD11)</f>
        <v>7.0465359558032513E-3</v>
      </c>
      <c r="AG11" s="21" cm="1">
        <f t="array" ref="AG11:AG110">(_xlfn.ANCHORARRAY(AF11)-_xlfn.ANCHORARRAY(AE11))/(2*dt)</f>
        <v>-406.02583296769473</v>
      </c>
      <c r="AH11" s="30" cm="1">
        <f t="array" ref="AH11:AH110">_xlfn.ANCHORARRAY(AG11)+mean_reversion_rate</f>
        <v>-405.83583296769473</v>
      </c>
    </row>
    <row r="12" spans="2:34" x14ac:dyDescent="0.2">
      <c r="B12" s="23">
        <v>5</v>
      </c>
      <c r="C12" s="5">
        <v>0.70195101699999995</v>
      </c>
      <c r="D12" s="7">
        <v>1.9027079999999998E-2</v>
      </c>
      <c r="E12" s="13">
        <f>EXP(-tbl_zero_rates[[#This Row],[nacc]]*tbl_zero_rates[[#This Row],[tau]])</f>
        <v>0.98673271849072741</v>
      </c>
      <c r="I12" t="s">
        <v>75</v>
      </c>
      <c r="K12" s="26">
        <v>7.5383277949494953E-2</v>
      </c>
      <c r="L12" s="29">
        <v>7.539327794949495E-2</v>
      </c>
      <c r="M12" s="29">
        <v>7.5373277949494957E-2</v>
      </c>
      <c r="N12" s="26"/>
      <c r="O12" s="26">
        <v>0.99887413119706425</v>
      </c>
      <c r="P12" s="26">
        <v>0.99887397979900083</v>
      </c>
      <c r="Q12" s="26">
        <v>0.99887428259515054</v>
      </c>
      <c r="R12" s="26"/>
      <c r="S12" s="28">
        <v>1.4943673185491429E-2</v>
      </c>
      <c r="T12" s="28">
        <v>1.4943701463735739E-2</v>
      </c>
      <c r="U12" s="28">
        <v>1.4943644899744622E-2</v>
      </c>
      <c r="V12" s="26"/>
      <c r="W12" s="20">
        <v>2.8285746807299446E-3</v>
      </c>
      <c r="X12" s="26"/>
      <c r="Y12" s="26"/>
      <c r="Z12" s="26"/>
      <c r="AA12" s="26"/>
      <c r="AB12" s="26"/>
      <c r="AC12" s="4">
        <v>2.8278244310411811E-3</v>
      </c>
      <c r="AD12" s="20">
        <v>-2.8285746807299446E-3</v>
      </c>
      <c r="AE12" s="27">
        <v>1.5156900417057599E-2</v>
      </c>
      <c r="AF12" s="27">
        <v>1.4730445954133059E-2</v>
      </c>
      <c r="AG12" s="21">
        <v>-21.32272314622702</v>
      </c>
      <c r="AH12">
        <v>-21.132723146227018</v>
      </c>
    </row>
    <row r="13" spans="2:34" x14ac:dyDescent="0.2">
      <c r="B13" s="23">
        <v>6</v>
      </c>
      <c r="C13" s="5">
        <v>0.79045246899999999</v>
      </c>
      <c r="D13" s="7">
        <v>1.9955561E-2</v>
      </c>
      <c r="E13" s="13">
        <f>EXP(-tbl_zero_rates[[#This Row],[nacc]]*tbl_zero_rates[[#This Row],[tau]])</f>
        <v>0.98434983428795031</v>
      </c>
      <c r="K13" s="26">
        <v>0.1467983018989899</v>
      </c>
      <c r="L13" s="29">
        <v>0.14680830189898991</v>
      </c>
      <c r="M13" s="29">
        <v>0.14678830189898989</v>
      </c>
      <c r="N13" s="26"/>
      <c r="O13" s="26">
        <v>0.99779350643794673</v>
      </c>
      <c r="P13" s="26">
        <v>0.99779335520367218</v>
      </c>
      <c r="Q13" s="26">
        <v>0.99779365767224404</v>
      </c>
      <c r="R13" s="26"/>
      <c r="S13" s="28">
        <v>1.5047391060996463E-2</v>
      </c>
      <c r="T13" s="28">
        <v>1.5047398518414011E-2</v>
      </c>
      <c r="U13" s="28">
        <v>1.5047383602563946E-2</v>
      </c>
      <c r="V13" s="26"/>
      <c r="W13" s="20">
        <v>7.4584325174265043E-4</v>
      </c>
      <c r="X13" s="26"/>
      <c r="Y13" s="26"/>
      <c r="Z13" s="26"/>
      <c r="AA13" s="26"/>
      <c r="AB13" s="26"/>
      <c r="AC13" s="4">
        <v>7.457417548067945E-4</v>
      </c>
      <c r="AD13" s="20">
        <v>-7.4584325174265043E-4</v>
      </c>
      <c r="AE13" s="27">
        <v>1.5156879599092369E-2</v>
      </c>
      <c r="AF13" s="27">
        <v>1.4937902538157822E-2</v>
      </c>
      <c r="AG13" s="21">
        <v>-10.948853046727386</v>
      </c>
      <c r="AH13">
        <v>-10.758853046727387</v>
      </c>
    </row>
    <row r="14" spans="2:34" x14ac:dyDescent="0.2">
      <c r="B14" s="23">
        <v>7</v>
      </c>
      <c r="C14" s="5">
        <v>0.878953922</v>
      </c>
      <c r="D14" s="7">
        <v>2.0864262000000001E-2</v>
      </c>
      <c r="E14" s="13">
        <f>EXP(-tbl_zero_rates[[#This Row],[nacc]]*tbl_zero_rates[[#This Row],[tau]])</f>
        <v>0.98182840628410462</v>
      </c>
      <c r="K14" s="26">
        <v>0.21821332584848485</v>
      </c>
      <c r="L14" s="29">
        <v>0.21822332584848486</v>
      </c>
      <c r="M14" s="29">
        <v>0.21820332584848484</v>
      </c>
      <c r="N14" s="26"/>
      <c r="O14" s="26">
        <v>0.99671405074491415</v>
      </c>
      <c r="P14" s="26">
        <v>0.99671389967425139</v>
      </c>
      <c r="Q14" s="26">
        <v>0.99671420181559989</v>
      </c>
      <c r="R14" s="26"/>
      <c r="S14" s="28">
        <v>1.5083221106697105E-2</v>
      </c>
      <c r="T14" s="28">
        <v>1.5083224481727079E-2</v>
      </c>
      <c r="U14" s="28">
        <v>1.5083217731357399E-2</v>
      </c>
      <c r="V14" s="26"/>
      <c r="W14" s="20">
        <v>3.3753397056524021E-4</v>
      </c>
      <c r="X14" s="26"/>
      <c r="Y14" s="26"/>
      <c r="Z14" s="26"/>
      <c r="AA14" s="26"/>
      <c r="AB14" s="26"/>
      <c r="AC14" s="4">
        <v>3.3750299742452134E-4</v>
      </c>
      <c r="AD14" s="20">
        <v>-3.3753397056524021E-4</v>
      </c>
      <c r="AE14" s="27">
        <v>1.5156875508308892E-2</v>
      </c>
      <c r="AF14" s="27">
        <v>1.5009566696393219E-2</v>
      </c>
      <c r="AG14" s="21">
        <v>-7.3654405957836175</v>
      </c>
      <c r="AH14">
        <v>-7.1754405957836171</v>
      </c>
    </row>
    <row r="15" spans="2:34" x14ac:dyDescent="0.2">
      <c r="B15" s="23">
        <v>8</v>
      </c>
      <c r="C15" s="5">
        <v>0.96745537500000001</v>
      </c>
      <c r="D15" s="7">
        <v>2.1753418E-2</v>
      </c>
      <c r="E15" s="13">
        <f>EXP(-tbl_zero_rates[[#This Row],[nacc]]*tbl_zero_rates[[#This Row],[tau]])</f>
        <v>0.97917444914276508</v>
      </c>
      <c r="K15" s="26">
        <v>0.2896283497979798</v>
      </c>
      <c r="L15" s="29">
        <v>0.28963834979797981</v>
      </c>
      <c r="M15" s="29">
        <v>0.28961834979797979</v>
      </c>
      <c r="N15" s="26"/>
      <c r="O15" s="26">
        <v>0.99563576285322108</v>
      </c>
      <c r="P15" s="26">
        <v>0.99563561194599304</v>
      </c>
      <c r="Q15" s="26">
        <v>0.995635913760472</v>
      </c>
      <c r="R15" s="26"/>
      <c r="S15" s="28">
        <v>1.510138158673756E-2</v>
      </c>
      <c r="T15" s="28">
        <v>1.5101383502593869E-2</v>
      </c>
      <c r="U15" s="28">
        <v>1.5101379670748954E-2</v>
      </c>
      <c r="V15" s="26"/>
      <c r="W15" s="20">
        <v>1.9159886056191453E-4</v>
      </c>
      <c r="X15" s="26"/>
      <c r="Y15" s="26"/>
      <c r="Z15" s="26"/>
      <c r="AA15" s="26"/>
      <c r="AB15" s="26"/>
      <c r="AC15" s="4">
        <v>1.9158563086679734E-4</v>
      </c>
      <c r="AD15" s="20">
        <v>-1.9159886056191453E-4</v>
      </c>
      <c r="AE15" s="27">
        <v>1.5156874048563133E-2</v>
      </c>
      <c r="AF15" s="27">
        <v>1.5045889124929839E-2</v>
      </c>
      <c r="AG15" s="21">
        <v>-5.5492461816647287</v>
      </c>
      <c r="AH15">
        <v>-5.3592461816647283</v>
      </c>
    </row>
    <row r="16" spans="2:34" x14ac:dyDescent="0.2">
      <c r="B16" s="23">
        <v>9</v>
      </c>
      <c r="C16" s="5">
        <v>1.055956828</v>
      </c>
      <c r="D16" s="7">
        <v>2.2623263000000001E-2</v>
      </c>
      <c r="E16" s="13">
        <f>EXP(-tbl_zero_rates[[#This Row],[nacc]]*tbl_zero_rates[[#This Row],[tau]])</f>
        <v>0.97639389891223038</v>
      </c>
      <c r="K16" s="26">
        <v>0.36104337374747475</v>
      </c>
      <c r="L16" s="29">
        <v>0.36105337374747476</v>
      </c>
      <c r="M16" s="29">
        <v>0.36103337374747474</v>
      </c>
      <c r="N16" s="26"/>
      <c r="O16" s="26">
        <v>0.99449436438693717</v>
      </c>
      <c r="P16" s="26">
        <v>0.99449416458094575</v>
      </c>
      <c r="Q16" s="26">
        <v>0.99449456419296867</v>
      </c>
      <c r="R16" s="26"/>
      <c r="S16" s="28">
        <v>1.5291369087368053E-2</v>
      </c>
      <c r="T16" s="28">
        <v>1.5291502027462933E-2</v>
      </c>
      <c r="U16" s="28">
        <v>1.529123613990893E-2</v>
      </c>
      <c r="V16" s="26"/>
      <c r="W16" s="20">
        <v>1.3294745912321991E-2</v>
      </c>
      <c r="X16" s="26"/>
      <c r="Y16" s="26"/>
      <c r="Z16" s="26"/>
      <c r="AA16" s="26"/>
      <c r="AB16" s="26"/>
      <c r="AC16" s="4">
        <v>1.3294009488032386E-2</v>
      </c>
      <c r="AD16" s="20">
        <v>-1.3294745912321991E-2</v>
      </c>
      <c r="AE16" s="27">
        <v>2.0091349003747965E-2</v>
      </c>
      <c r="AF16" s="27">
        <v>1.0491389170067873E-2</v>
      </c>
      <c r="AG16" s="21">
        <v>-479.99799168400455</v>
      </c>
      <c r="AH16">
        <v>-479.80799168400455</v>
      </c>
    </row>
    <row r="17" spans="2:34" x14ac:dyDescent="0.2">
      <c r="B17" s="23">
        <v>10</v>
      </c>
      <c r="C17" s="5">
        <v>1.1444582809999999</v>
      </c>
      <c r="D17" s="7">
        <v>2.347403E-2</v>
      </c>
      <c r="E17" s="13">
        <f>EXP(-tbl_zero_rates[[#This Row],[nacc]]*tbl_zero_rates[[#This Row],[tau]])</f>
        <v>0.97349260741308896</v>
      </c>
      <c r="K17" s="26">
        <v>0.4324583976969697</v>
      </c>
      <c r="L17" s="29">
        <v>0.43246839769696971</v>
      </c>
      <c r="M17" s="29">
        <v>0.43244839769696969</v>
      </c>
      <c r="N17" s="26"/>
      <c r="O17" s="26">
        <v>0.993068472467319</v>
      </c>
      <c r="P17" s="26">
        <v>0.99306827294780653</v>
      </c>
      <c r="Q17" s="26">
        <v>0.99306867198687154</v>
      </c>
      <c r="R17" s="26"/>
      <c r="S17" s="28">
        <v>1.6084002988289662E-2</v>
      </c>
      <c r="T17" s="28">
        <v>1.6084095647385711E-2</v>
      </c>
      <c r="U17" s="28">
        <v>1.6083910324908305E-2</v>
      </c>
      <c r="V17" s="26"/>
      <c r="W17" s="20">
        <v>9.2663381356938856E-3</v>
      </c>
      <c r="X17" s="26"/>
      <c r="Y17" s="26"/>
      <c r="Z17" s="26"/>
      <c r="AA17" s="26"/>
      <c r="AB17" s="26"/>
      <c r="AC17" s="4">
        <v>9.2659096048719469E-3</v>
      </c>
      <c r="AD17" s="20">
        <v>-9.2663381356938856E-3</v>
      </c>
      <c r="AE17" s="27">
        <v>2.0091308727409642E-2</v>
      </c>
      <c r="AF17" s="27">
        <v>1.2076697245609159E-2</v>
      </c>
      <c r="AG17" s="21">
        <v>-400.73057409002411</v>
      </c>
      <c r="AH17">
        <v>-400.54057409002411</v>
      </c>
    </row>
    <row r="18" spans="2:34" x14ac:dyDescent="0.2">
      <c r="B18" s="23">
        <v>11</v>
      </c>
      <c r="C18" s="5">
        <v>1.232959734</v>
      </c>
      <c r="D18" s="7">
        <v>2.4305955000000001E-2</v>
      </c>
      <c r="E18" s="13">
        <f>EXP(-tbl_zero_rates[[#This Row],[nacc]]*tbl_zero_rates[[#This Row],[tau]])</f>
        <v>0.97047633227968599</v>
      </c>
      <c r="K18" s="26">
        <v>0.50387342164646465</v>
      </c>
      <c r="L18" s="29">
        <v>0.5038834216464646</v>
      </c>
      <c r="M18" s="29">
        <v>0.50386342164646469</v>
      </c>
      <c r="N18" s="26"/>
      <c r="O18" s="26">
        <v>0.99151779319370315</v>
      </c>
      <c r="P18" s="26">
        <v>0.99151757517664618</v>
      </c>
      <c r="Q18" s="26">
        <v>0.99151801121080818</v>
      </c>
      <c r="R18" s="26"/>
      <c r="S18" s="28">
        <v>1.6905804285222099E-2</v>
      </c>
      <c r="T18" s="28">
        <v>1.6905905150068828E-2</v>
      </c>
      <c r="U18" s="28">
        <v>1.6905703416371442E-2</v>
      </c>
      <c r="V18" s="26"/>
      <c r="W18" s="20">
        <v>1.0086885065749285E-2</v>
      </c>
      <c r="X18" s="26"/>
      <c r="Y18" s="26"/>
      <c r="Z18" s="26"/>
      <c r="AA18" s="26"/>
      <c r="AB18" s="26"/>
      <c r="AC18" s="4">
        <v>1.0086484672836016E-2</v>
      </c>
      <c r="AD18" s="20">
        <v>-1.0086885065749285E-2</v>
      </c>
      <c r="AE18" s="27">
        <v>2.198831755940206E-2</v>
      </c>
      <c r="AF18" s="27">
        <v>1.1823290993388382E-2</v>
      </c>
      <c r="AG18" s="21">
        <v>-508.25132830068384</v>
      </c>
      <c r="AH18">
        <v>-508.06132830068384</v>
      </c>
    </row>
    <row r="19" spans="2:34" x14ac:dyDescent="0.2">
      <c r="B19" s="23">
        <v>12</v>
      </c>
      <c r="C19" s="5">
        <v>1.3214611869999999</v>
      </c>
      <c r="D19" s="7">
        <v>2.5119269999999999E-2</v>
      </c>
      <c r="E19" s="13">
        <f>EXP(-tbl_zero_rates[[#This Row],[nacc]]*tbl_zero_rates[[#This Row],[tau]])</f>
        <v>0.96735073954600093</v>
      </c>
      <c r="K19" s="26">
        <v>0.5752884455959596</v>
      </c>
      <c r="L19" s="29">
        <v>0.57529844559595955</v>
      </c>
      <c r="M19" s="29">
        <v>0.57527844559595964</v>
      </c>
      <c r="N19" s="26"/>
      <c r="O19" s="26">
        <v>0.98987052862877201</v>
      </c>
      <c r="P19" s="26">
        <v>0.98987029279513372</v>
      </c>
      <c r="Q19" s="26">
        <v>0.98987076446246658</v>
      </c>
      <c r="R19" s="26"/>
      <c r="S19" s="28">
        <v>1.7697424042910203E-2</v>
      </c>
      <c r="T19" s="28">
        <v>1.7697530548920093E-2</v>
      </c>
      <c r="U19" s="28">
        <v>1.7697317533197369E-2</v>
      </c>
      <c r="V19" s="26"/>
      <c r="W19" s="20">
        <v>1.0650971283415743E-2</v>
      </c>
      <c r="X19" s="26"/>
      <c r="Y19" s="26"/>
      <c r="Z19" s="26"/>
      <c r="AA19" s="26"/>
      <c r="AB19" s="26"/>
      <c r="AC19" s="4">
        <v>1.0650600988995616E-2</v>
      </c>
      <c r="AD19" s="20">
        <v>-1.0650971283415743E-2</v>
      </c>
      <c r="AE19" s="27">
        <v>2.382480474255206E-2</v>
      </c>
      <c r="AF19" s="27">
        <v>1.1570043329186756E-2</v>
      </c>
      <c r="AG19" s="21">
        <v>-612.7380706682651</v>
      </c>
      <c r="AH19">
        <v>-612.54807066826504</v>
      </c>
    </row>
    <row r="20" spans="2:34" x14ac:dyDescent="0.2">
      <c r="B20" s="23">
        <v>13</v>
      </c>
      <c r="C20" s="5">
        <v>1.40996264</v>
      </c>
      <c r="D20" s="7">
        <v>2.591421E-2</v>
      </c>
      <c r="E20" s="13">
        <f>EXP(-tbl_zero_rates[[#This Row],[nacc]]*tbl_zero_rates[[#This Row],[tau]])</f>
        <v>0.96412139107752881</v>
      </c>
      <c r="K20" s="26">
        <v>0.64670346954545455</v>
      </c>
      <c r="L20" s="29">
        <v>0.6467134695454545</v>
      </c>
      <c r="M20" s="29">
        <v>0.64669346954545459</v>
      </c>
      <c r="N20" s="26"/>
      <c r="O20" s="26">
        <v>0.98812936518523431</v>
      </c>
      <c r="P20" s="26">
        <v>0.98812911220848898</v>
      </c>
      <c r="Q20" s="26">
        <v>0.98812961816204437</v>
      </c>
      <c r="R20" s="26"/>
      <c r="S20" s="28">
        <v>1.8465423406164531E-2</v>
      </c>
      <c r="T20" s="28">
        <v>1.846553375119004E-2</v>
      </c>
      <c r="U20" s="28">
        <v>1.8465313057726491E-2</v>
      </c>
      <c r="V20" s="26"/>
      <c r="W20" s="20">
        <v>1.1034843803991999E-2</v>
      </c>
      <c r="X20" s="26"/>
      <c r="Y20" s="26"/>
      <c r="Z20" s="26"/>
      <c r="AA20" s="26"/>
      <c r="AB20" s="26"/>
      <c r="AC20" s="4">
        <v>1.1034502550924528E-2</v>
      </c>
      <c r="AD20" s="20">
        <v>-1.1034843803991999E-2</v>
      </c>
      <c r="AE20" s="27">
        <v>2.560169518060661E-2</v>
      </c>
      <c r="AF20" s="27">
        <v>1.1329151632230743E-2</v>
      </c>
      <c r="AG20" s="21">
        <v>-713.62717741879328</v>
      </c>
      <c r="AH20">
        <v>-713.43717741879323</v>
      </c>
    </row>
    <row r="21" spans="2:34" x14ac:dyDescent="0.2">
      <c r="B21" s="23">
        <v>14</v>
      </c>
      <c r="C21" s="5">
        <v>1.4984640929999999</v>
      </c>
      <c r="D21" s="7">
        <v>2.6691009000000002E-2</v>
      </c>
      <c r="E21" s="13">
        <f>EXP(-tbl_zero_rates[[#This Row],[nacc]]*tbl_zero_rates[[#This Row],[tau]])</f>
        <v>0.96079374485102731</v>
      </c>
      <c r="K21" s="26">
        <v>0.71811849349494949</v>
      </c>
      <c r="L21" s="29">
        <v>0.71812849349494945</v>
      </c>
      <c r="M21" s="29">
        <v>0.71810849349494954</v>
      </c>
      <c r="N21" s="26"/>
      <c r="O21" s="26">
        <v>0.98629698213790684</v>
      </c>
      <c r="P21" s="26">
        <v>0.9862967126833202</v>
      </c>
      <c r="Q21" s="26">
        <v>0.98629725159256709</v>
      </c>
      <c r="R21" s="26"/>
      <c r="S21" s="28">
        <v>1.9213780083581069E-2</v>
      </c>
      <c r="T21" s="28">
        <v>1.9213892960961709E-2</v>
      </c>
      <c r="U21" s="28">
        <v>1.9213667203056697E-2</v>
      </c>
      <c r="V21" s="26"/>
      <c r="W21" s="20">
        <v>1.1288052437219418E-2</v>
      </c>
      <c r="X21" s="26"/>
      <c r="Y21" s="26"/>
      <c r="Z21" s="26"/>
      <c r="AA21" s="26"/>
      <c r="AB21" s="26"/>
      <c r="AC21" s="4">
        <v>1.1287738064039153E-2</v>
      </c>
      <c r="AD21" s="20">
        <v>-1.1288052437219418E-2</v>
      </c>
      <c r="AE21" s="27">
        <v>2.7319939291855742E-2</v>
      </c>
      <c r="AF21" s="27">
        <v>1.1107620872873066E-2</v>
      </c>
      <c r="AG21" s="21">
        <v>-810.61592094913385</v>
      </c>
      <c r="AH21">
        <v>-810.4259209491338</v>
      </c>
    </row>
    <row r="22" spans="2:34" x14ac:dyDescent="0.2">
      <c r="B22" s="23">
        <v>15</v>
      </c>
      <c r="C22" s="5">
        <v>1.586965545</v>
      </c>
      <c r="D22" s="7">
        <v>2.7449902000000002E-2</v>
      </c>
      <c r="E22" s="13">
        <f>EXP(-tbl_zero_rates[[#This Row],[nacc]]*tbl_zero_rates[[#This Row],[tau]])</f>
        <v>0.95737314850053312</v>
      </c>
      <c r="K22" s="26">
        <v>0.78953351744444444</v>
      </c>
      <c r="L22" s="29">
        <v>0.7895435174444444</v>
      </c>
      <c r="M22" s="29">
        <v>0.78952351744444449</v>
      </c>
      <c r="N22" s="26"/>
      <c r="O22" s="26">
        <v>0.98437454728839557</v>
      </c>
      <c r="P22" s="26">
        <v>0.9843742783590147</v>
      </c>
      <c r="Q22" s="26">
        <v>0.98437481621784995</v>
      </c>
      <c r="R22" s="26"/>
      <c r="S22" s="28">
        <v>1.994698960561354E-2</v>
      </c>
      <c r="T22" s="28">
        <v>1.9947082986619763E-2</v>
      </c>
      <c r="U22" s="28">
        <v>1.9946896222241783E-2</v>
      </c>
      <c r="V22" s="26"/>
      <c r="W22" s="20">
        <v>9.3383371757571609E-3</v>
      </c>
      <c r="X22" s="26"/>
      <c r="Y22" s="26"/>
      <c r="Z22" s="26"/>
      <c r="AA22" s="26"/>
      <c r="AB22" s="26"/>
      <c r="AC22" s="4">
        <v>9.3381006222720275E-3</v>
      </c>
      <c r="AD22" s="20">
        <v>-9.3383371757571609E-3</v>
      </c>
      <c r="AE22" s="27">
        <v>2.7319919798178573E-2</v>
      </c>
      <c r="AF22" s="27">
        <v>1.2574059408155768E-2</v>
      </c>
      <c r="AG22" s="21">
        <v>-737.29301950114018</v>
      </c>
      <c r="AH22">
        <v>-737.10301950114012</v>
      </c>
    </row>
    <row r="23" spans="2:34" x14ac:dyDescent="0.2">
      <c r="B23" s="23">
        <v>16</v>
      </c>
      <c r="C23" s="5">
        <v>1.6754669980000001</v>
      </c>
      <c r="D23" s="7">
        <v>2.8191121E-2</v>
      </c>
      <c r="E23" s="13">
        <f>EXP(-tbl_zero_rates[[#This Row],[nacc]]*tbl_zero_rates[[#This Row],[tau]])</f>
        <v>0.95386484176248276</v>
      </c>
      <c r="K23" s="26">
        <v>0.86094854139393939</v>
      </c>
      <c r="L23" s="29">
        <v>0.86095854139393935</v>
      </c>
      <c r="M23" s="29">
        <v>0.86093854139393944</v>
      </c>
      <c r="N23" s="26"/>
      <c r="O23" s="26">
        <v>0.98234086009973531</v>
      </c>
      <c r="P23" s="26">
        <v>0.9823405754140272</v>
      </c>
      <c r="Q23" s="26">
        <v>0.98234114478552592</v>
      </c>
      <c r="R23" s="26"/>
      <c r="S23" s="28">
        <v>2.069452697178378E-2</v>
      </c>
      <c r="T23" s="28">
        <v>2.0694623211213389E-2</v>
      </c>
      <c r="U23" s="28">
        <v>2.0694430730118497E-2</v>
      </c>
      <c r="V23" s="26"/>
      <c r="W23" s="20">
        <v>9.6241665283047784E-3</v>
      </c>
      <c r="X23" s="26"/>
      <c r="Y23" s="26"/>
      <c r="Z23" s="26"/>
      <c r="AA23" s="26"/>
      <c r="AB23" s="26"/>
      <c r="AC23" s="4">
        <v>9.6239429609595861E-3</v>
      </c>
      <c r="AD23" s="20">
        <v>-9.6241665283047784E-3</v>
      </c>
      <c r="AE23" s="27">
        <v>2.8980439105339623E-2</v>
      </c>
      <c r="AF23" s="27">
        <v>1.2408614837107406E-2</v>
      </c>
      <c r="AG23" s="21">
        <v>-828.59121341161074</v>
      </c>
      <c r="AH23">
        <v>-828.40121341161068</v>
      </c>
    </row>
    <row r="24" spans="2:34" x14ac:dyDescent="0.2">
      <c r="B24" s="23">
        <v>17</v>
      </c>
      <c r="C24" s="5">
        <v>1.763968451</v>
      </c>
      <c r="D24" s="7">
        <v>2.8914901999999999E-2</v>
      </c>
      <c r="E24" s="13">
        <f>EXP(-tbl_zero_rates[[#This Row],[nacc]]*tbl_zero_rates[[#This Row],[tau]])</f>
        <v>0.9502739430106617</v>
      </c>
      <c r="K24" s="26">
        <v>0.93236356534343434</v>
      </c>
      <c r="L24" s="29">
        <v>0.9323735653434343</v>
      </c>
      <c r="M24" s="29">
        <v>0.93235356534343439</v>
      </c>
      <c r="N24" s="26"/>
      <c r="O24" s="26">
        <v>0.9802259132464135</v>
      </c>
      <c r="P24" s="26">
        <v>0.98022561345330039</v>
      </c>
      <c r="Q24" s="26">
        <v>0.98022621303961832</v>
      </c>
      <c r="R24" s="26"/>
      <c r="S24" s="28">
        <v>2.1421053873810287E-2</v>
      </c>
      <c r="T24" s="28">
        <v>2.1421152150239157E-2</v>
      </c>
      <c r="U24" s="28">
        <v>2.1420955595273267E-2</v>
      </c>
      <c r="V24" s="26"/>
      <c r="W24" s="20">
        <v>9.8278537020296541E-3</v>
      </c>
      <c r="X24" s="26"/>
      <c r="Y24" s="26"/>
      <c r="Z24" s="26"/>
      <c r="AA24" s="26"/>
      <c r="AB24" s="26"/>
      <c r="AC24" s="4">
        <v>9.8276428869836785E-3</v>
      </c>
      <c r="AD24" s="20">
        <v>-9.8278537020296541E-3</v>
      </c>
      <c r="AE24" s="27">
        <v>3.0584186587698171E-2</v>
      </c>
      <c r="AF24" s="27">
        <v>1.2257921156512247E-2</v>
      </c>
      <c r="AG24" s="21">
        <v>-916.31327155929603</v>
      </c>
      <c r="AH24">
        <v>-916.12327155929597</v>
      </c>
    </row>
    <row r="25" spans="2:34" x14ac:dyDescent="0.2">
      <c r="B25" s="23">
        <v>18</v>
      </c>
      <c r="C25" s="5">
        <v>1.8524699039999999</v>
      </c>
      <c r="D25" s="7">
        <v>2.9621478E-2</v>
      </c>
      <c r="E25" s="13">
        <f>EXP(-tbl_zero_rates[[#This Row],[nacc]]*tbl_zero_rates[[#This Row],[tau]])</f>
        <v>0.94660545716756184</v>
      </c>
      <c r="K25" s="26">
        <v>1.0037785892929292</v>
      </c>
      <c r="L25" s="29">
        <v>1.0037885892929292</v>
      </c>
      <c r="M25" s="29">
        <v>1.0037685892929291</v>
      </c>
      <c r="N25" s="26"/>
      <c r="O25" s="26">
        <v>0.97803228489330951</v>
      </c>
      <c r="P25" s="26">
        <v>0.97803197063211678</v>
      </c>
      <c r="Q25" s="26">
        <v>0.97803259915460317</v>
      </c>
      <c r="R25" s="26"/>
      <c r="S25" s="28">
        <v>2.2128982019300518E-2</v>
      </c>
      <c r="T25" s="28">
        <v>2.2129081671845172E-2</v>
      </c>
      <c r="U25" s="28">
        <v>2.2128882364770359E-2</v>
      </c>
      <c r="V25" s="26"/>
      <c r="W25" s="20">
        <v>9.965453015917114E-3</v>
      </c>
      <c r="X25" s="26"/>
      <c r="Y25" s="26"/>
      <c r="Z25" s="26"/>
      <c r="AA25" s="26"/>
      <c r="AB25" s="26"/>
      <c r="AC25" s="4">
        <v>9.9652544653661135E-3</v>
      </c>
      <c r="AD25" s="20">
        <v>-9.965453015917114E-3</v>
      </c>
      <c r="AE25" s="27">
        <v>3.2132090393580087E-2</v>
      </c>
      <c r="AF25" s="27">
        <v>1.2125873649318272E-2</v>
      </c>
      <c r="AG25" s="21">
        <v>-1000.3108372130907</v>
      </c>
      <c r="AH25">
        <v>-1000.1208372130907</v>
      </c>
    </row>
    <row r="26" spans="2:34" x14ac:dyDescent="0.2">
      <c r="B26" s="23">
        <v>19</v>
      </c>
      <c r="C26" s="5">
        <v>1.940971357</v>
      </c>
      <c r="D26" s="7">
        <v>3.0311083999999999E-2</v>
      </c>
      <c r="E26" s="13">
        <f>EXP(-tbl_zero_rates[[#This Row],[nacc]]*tbl_zero_rates[[#This Row],[tau]])</f>
        <v>0.94286426539596846</v>
      </c>
      <c r="K26" s="26">
        <v>1.0751936132424242</v>
      </c>
      <c r="L26" s="29">
        <v>1.0752036132424243</v>
      </c>
      <c r="M26" s="29">
        <v>1.0751836132424242</v>
      </c>
      <c r="N26" s="26"/>
      <c r="O26" s="26">
        <v>0.9757625360253902</v>
      </c>
      <c r="P26" s="26">
        <v>0.97576220792555413</v>
      </c>
      <c r="Q26" s="26">
        <v>0.97576286412533664</v>
      </c>
      <c r="R26" s="26"/>
      <c r="S26" s="28">
        <v>2.2820099675596329E-2</v>
      </c>
      <c r="T26" s="28">
        <v>2.2820200167013877E-2</v>
      </c>
      <c r="U26" s="28">
        <v>2.2819999182309463E-2</v>
      </c>
      <c r="V26" s="26"/>
      <c r="W26" s="20">
        <v>1.0049328686562164E-2</v>
      </c>
      <c r="X26" s="26"/>
      <c r="Y26" s="26"/>
      <c r="Z26" s="26"/>
      <c r="AA26" s="26"/>
      <c r="AB26" s="26"/>
      <c r="AC26" s="4">
        <v>1.0049141754842061E-2</v>
      </c>
      <c r="AD26" s="20">
        <v>-1.0049328686562164E-2</v>
      </c>
      <c r="AE26" s="27">
        <v>3.3625073691805382E-2</v>
      </c>
      <c r="AF26" s="27">
        <v>1.201512565443081E-2</v>
      </c>
      <c r="AG26" s="21">
        <v>-1080.4974018687285</v>
      </c>
      <c r="AH26">
        <v>-1080.3074018687284</v>
      </c>
    </row>
    <row r="27" spans="2:34" x14ac:dyDescent="0.2">
      <c r="B27" s="23">
        <v>20</v>
      </c>
      <c r="C27" s="5">
        <v>2.0294728100000001</v>
      </c>
      <c r="D27" s="7">
        <v>3.0983953000000002E-2</v>
      </c>
      <c r="E27" s="13">
        <f>EXP(-tbl_zero_rates[[#This Row],[nacc]]*tbl_zero_rates[[#This Row],[tau]])</f>
        <v>0.93905512994591189</v>
      </c>
      <c r="K27" s="26">
        <v>1.1466086371919191</v>
      </c>
      <c r="L27" s="29">
        <v>1.1466186371919191</v>
      </c>
      <c r="M27" s="29">
        <v>1.146598637191919</v>
      </c>
      <c r="N27" s="26"/>
      <c r="O27" s="26">
        <v>0.9734192087306146</v>
      </c>
      <c r="P27" s="26">
        <v>0.97341886741087058</v>
      </c>
      <c r="Q27" s="26">
        <v>0.97341955005047831</v>
      </c>
      <c r="R27" s="26"/>
      <c r="S27" s="28">
        <v>2.3495765911793351E-2</v>
      </c>
      <c r="T27" s="28">
        <v>2.349586680186453E-2</v>
      </c>
      <c r="U27" s="28">
        <v>2.3495665019962354E-2</v>
      </c>
      <c r="V27" s="26"/>
      <c r="W27" s="20">
        <v>1.0089183099734611E-2</v>
      </c>
      <c r="X27" s="26"/>
      <c r="Y27" s="26"/>
      <c r="Z27" s="26"/>
      <c r="AA27" s="26"/>
      <c r="AB27" s="26"/>
      <c r="AC27" s="4">
        <v>1.0089007117936033E-2</v>
      </c>
      <c r="AD27" s="20">
        <v>-1.0089183099734611E-2</v>
      </c>
      <c r="AE27" s="27">
        <v>3.5064110394051919E-2</v>
      </c>
      <c r="AF27" s="27">
        <v>1.1927421427426907E-2</v>
      </c>
      <c r="AG27" s="21">
        <v>-1156.8344483312505</v>
      </c>
      <c r="AH27">
        <v>-1156.6444483312505</v>
      </c>
    </row>
    <row r="28" spans="2:34" x14ac:dyDescent="0.2">
      <c r="B28" s="23">
        <v>21</v>
      </c>
      <c r="C28" s="5">
        <v>2.1179742629999998</v>
      </c>
      <c r="D28" s="7">
        <v>3.1640319E-2</v>
      </c>
      <c r="E28" s="13">
        <f>EXP(-tbl_zero_rates[[#This Row],[nacc]]*tbl_zero_rates[[#This Row],[tau]])</f>
        <v>0.9351826872788257</v>
      </c>
      <c r="K28" s="26">
        <v>1.2180236611414141</v>
      </c>
      <c r="L28" s="29">
        <v>1.2180336611414142</v>
      </c>
      <c r="M28" s="29">
        <v>1.2180136611414141</v>
      </c>
      <c r="N28" s="26"/>
      <c r="O28" s="26">
        <v>0.97098472190139695</v>
      </c>
      <c r="P28" s="26">
        <v>0.97098438143528143</v>
      </c>
      <c r="Q28" s="26">
        <v>0.97098506236763182</v>
      </c>
      <c r="R28" s="26"/>
      <c r="S28" s="28">
        <v>2.417403384684343E-2</v>
      </c>
      <c r="T28" s="28">
        <v>2.4174123253039734E-2</v>
      </c>
      <c r="U28" s="28">
        <v>2.4173944439179085E-2</v>
      </c>
      <c r="V28" s="26"/>
      <c r="W28" s="20">
        <v>8.9407664344981486E-3</v>
      </c>
      <c r="X28" s="26"/>
      <c r="Y28" s="26"/>
      <c r="Z28" s="26"/>
      <c r="AA28" s="26"/>
      <c r="AB28" s="26"/>
      <c r="AC28" s="4">
        <v>8.9406196304014918E-3</v>
      </c>
      <c r="AD28" s="20">
        <v>-8.9407664344981486E-3</v>
      </c>
      <c r="AE28" s="27">
        <v>3.506409891433046E-2</v>
      </c>
      <c r="AF28" s="27">
        <v>1.3283968780885728E-2</v>
      </c>
      <c r="AG28" s="21">
        <v>-1089.0065066722366</v>
      </c>
      <c r="AH28">
        <v>-1088.8165066722365</v>
      </c>
    </row>
    <row r="29" spans="2:34" x14ac:dyDescent="0.2">
      <c r="B29" s="23">
        <v>22</v>
      </c>
      <c r="C29" s="5">
        <v>2.2064757159999999</v>
      </c>
      <c r="D29" s="7">
        <v>3.2280416999999999E-2</v>
      </c>
      <c r="E29" s="13">
        <f>EXP(-tbl_zero_rates[[#This Row],[nacc]]*tbl_zero_rates[[#This Row],[tau]])</f>
        <v>0.93125144630269574</v>
      </c>
      <c r="K29" s="26">
        <v>1.289438685090909</v>
      </c>
      <c r="L29" s="29">
        <v>1.289448685090909</v>
      </c>
      <c r="M29" s="29">
        <v>1.2894286850909089</v>
      </c>
      <c r="N29" s="26"/>
      <c r="O29" s="26">
        <v>0.96848050958319476</v>
      </c>
      <c r="P29" s="26">
        <v>0.96848015657226905</v>
      </c>
      <c r="Q29" s="26">
        <v>0.96848086259424915</v>
      </c>
      <c r="R29" s="26"/>
      <c r="S29" s="28">
        <v>2.4837877939601242E-2</v>
      </c>
      <c r="T29" s="28">
        <v>2.483796799441396E-2</v>
      </c>
      <c r="U29" s="28">
        <v>2.4837787883391707E-2</v>
      </c>
      <c r="V29" s="26"/>
      <c r="W29" s="20">
        <v>9.0056209534755682E-3</v>
      </c>
      <c r="X29" s="26"/>
      <c r="Y29" s="26"/>
      <c r="Z29" s="26"/>
      <c r="AA29" s="26"/>
      <c r="AB29" s="26"/>
      <c r="AC29" s="4">
        <v>9.0054812718065591E-3</v>
      </c>
      <c r="AD29" s="20">
        <v>-9.0056209534755682E-3</v>
      </c>
      <c r="AE29" s="27">
        <v>3.6450073978955735E-2</v>
      </c>
      <c r="AF29" s="27">
        <v>1.3225681898924568E-2</v>
      </c>
      <c r="AG29" s="21">
        <v>-1161.2196040015581</v>
      </c>
      <c r="AH29">
        <v>-1161.029604001558</v>
      </c>
    </row>
    <row r="30" spans="2:34" x14ac:dyDescent="0.2">
      <c r="B30" s="23">
        <v>23</v>
      </c>
      <c r="C30" s="5">
        <v>2.294977169</v>
      </c>
      <c r="D30" s="7">
        <v>3.290448E-2</v>
      </c>
      <c r="E30" s="13">
        <f>EXP(-tbl_zero_rates[[#This Row],[nacc]]*tbl_zero_rates[[#This Row],[tau]])</f>
        <v>0.92726579329259351</v>
      </c>
      <c r="K30" s="26">
        <v>1.360853709040404</v>
      </c>
      <c r="L30" s="29">
        <v>1.3608637090404041</v>
      </c>
      <c r="M30" s="29">
        <v>1.360843709040404</v>
      </c>
      <c r="N30" s="26"/>
      <c r="O30" s="26">
        <v>0.96591200372499619</v>
      </c>
      <c r="P30" s="26">
        <v>0.96591163876610753</v>
      </c>
      <c r="Q30" s="26">
        <v>0.96591236868402264</v>
      </c>
      <c r="R30" s="26"/>
      <c r="S30" s="28">
        <v>2.5485871215151116E-2</v>
      </c>
      <c r="T30" s="28">
        <v>2.5485961584237757E-2</v>
      </c>
      <c r="U30" s="28">
        <v>2.548578084473643E-2</v>
      </c>
      <c r="V30" s="26"/>
      <c r="W30" s="20">
        <v>9.0370414686236078E-3</v>
      </c>
      <c r="X30" s="26"/>
      <c r="Y30" s="26"/>
      <c r="Z30" s="26"/>
      <c r="AA30" s="26"/>
      <c r="AB30" s="26"/>
      <c r="AC30" s="4">
        <v>9.0369086640923468E-3</v>
      </c>
      <c r="AD30" s="20">
        <v>-9.0370414686236078E-3</v>
      </c>
      <c r="AE30" s="27">
        <v>3.778396262711383E-2</v>
      </c>
      <c r="AF30" s="27">
        <v>1.318777981382274E-2</v>
      </c>
      <c r="AG30" s="21">
        <v>-1229.8091406645542</v>
      </c>
      <c r="AH30">
        <v>-1229.6191406645542</v>
      </c>
    </row>
    <row r="31" spans="2:34" x14ac:dyDescent="0.2">
      <c r="B31" s="23">
        <v>24</v>
      </c>
      <c r="C31" s="5">
        <v>2.3834786210000001</v>
      </c>
      <c r="D31" s="7">
        <v>3.3512743999999997E-2</v>
      </c>
      <c r="E31" s="13">
        <f>EXP(-tbl_zero_rates[[#This Row],[nacc]]*tbl_zero_rates[[#This Row],[tau]])</f>
        <v>0.92322998082819152</v>
      </c>
      <c r="K31" s="26">
        <v>1.4322687329898989</v>
      </c>
      <c r="L31" s="29">
        <v>1.4322787329898989</v>
      </c>
      <c r="M31" s="29">
        <v>1.4322587329898988</v>
      </c>
      <c r="N31" s="26"/>
      <c r="O31" s="26">
        <v>0.96328159933050039</v>
      </c>
      <c r="P31" s="26">
        <v>0.96328122300922825</v>
      </c>
      <c r="Q31" s="26">
        <v>0.96328197565191964</v>
      </c>
      <c r="R31" s="26"/>
      <c r="S31" s="28">
        <v>2.6119044730430745E-2</v>
      </c>
      <c r="T31" s="28">
        <v>2.6119135128706714E-2</v>
      </c>
      <c r="U31" s="28">
        <v>2.6118954330892404E-2</v>
      </c>
      <c r="V31" s="26"/>
      <c r="W31" s="20">
        <v>9.0399538341112695E-3</v>
      </c>
      <c r="X31" s="26"/>
      <c r="Y31" s="26"/>
      <c r="Z31" s="26"/>
      <c r="AA31" s="26"/>
      <c r="AB31" s="26"/>
      <c r="AC31" s="4">
        <v>9.0398275968961439E-3</v>
      </c>
      <c r="AD31" s="20">
        <v>-9.0399538341112695E-3</v>
      </c>
      <c r="AE31" s="27">
        <v>3.9066687945636246E-2</v>
      </c>
      <c r="AF31" s="27">
        <v>1.3171401506161019E-2</v>
      </c>
      <c r="AG31" s="21">
        <v>-1294.7643219737613</v>
      </c>
      <c r="AH31">
        <v>-1294.5743219737612</v>
      </c>
    </row>
    <row r="32" spans="2:34" x14ac:dyDescent="0.2">
      <c r="B32" s="23">
        <v>25</v>
      </c>
      <c r="C32" s="5">
        <v>2.4719800740000002</v>
      </c>
      <c r="D32" s="7">
        <v>3.4105441E-2</v>
      </c>
      <c r="E32" s="13">
        <f>EXP(-tbl_zero_rates[[#This Row],[nacc]]*tbl_zero_rates[[#This Row],[tau]])</f>
        <v>0.91914814192753658</v>
      </c>
      <c r="K32" s="26">
        <v>1.5036837569393939</v>
      </c>
      <c r="L32" s="29">
        <v>1.503693756939394</v>
      </c>
      <c r="M32" s="29">
        <v>1.5036737569393939</v>
      </c>
      <c r="N32" s="26"/>
      <c r="O32" s="26">
        <v>0.96059166522438</v>
      </c>
      <c r="P32" s="26">
        <v>0.9605912781145286</v>
      </c>
      <c r="Q32" s="26">
        <v>0.96059205233438738</v>
      </c>
      <c r="R32" s="26"/>
      <c r="S32" s="28">
        <v>2.6738246149530208E-2</v>
      </c>
      <c r="T32" s="28">
        <v>2.6738336333237495E-2</v>
      </c>
      <c r="U32" s="28">
        <v>2.6738155964623422E-2</v>
      </c>
      <c r="V32" s="26"/>
      <c r="W32" s="20">
        <v>9.0184906785528707E-3</v>
      </c>
      <c r="X32" s="26"/>
      <c r="Y32" s="26"/>
      <c r="Z32" s="26"/>
      <c r="AA32" s="26"/>
      <c r="AB32" s="26"/>
      <c r="AC32" s="4">
        <v>9.0183707286695114E-3</v>
      </c>
      <c r="AD32" s="20">
        <v>-9.0184906785528707E-3</v>
      </c>
      <c r="AE32" s="27">
        <v>4.0299204095702812E-2</v>
      </c>
      <c r="AF32" s="27">
        <v>1.3177288204080925E-2</v>
      </c>
      <c r="AG32" s="21">
        <v>-1356.0957945810942</v>
      </c>
      <c r="AH32">
        <v>-1355.9057945810941</v>
      </c>
    </row>
    <row r="33" spans="2:34" x14ac:dyDescent="0.2">
      <c r="B33" s="23">
        <v>26</v>
      </c>
      <c r="C33" s="5">
        <v>2.5604815269999999</v>
      </c>
      <c r="D33" s="7">
        <v>3.4682804999999997E-2</v>
      </c>
      <c r="E33" s="13">
        <f>EXP(-tbl_zero_rates[[#This Row],[nacc]]*tbl_zero_rates[[#This Row],[tau]])</f>
        <v>0.91502427728467228</v>
      </c>
      <c r="K33" s="26">
        <v>1.5750987808888888</v>
      </c>
      <c r="L33" s="29">
        <v>1.5751087808888888</v>
      </c>
      <c r="M33" s="29">
        <v>1.5750887808888887</v>
      </c>
      <c r="N33" s="26"/>
      <c r="O33" s="26">
        <v>0.95783109305330472</v>
      </c>
      <c r="P33" s="26">
        <v>0.95783070705593931</v>
      </c>
      <c r="Q33" s="26">
        <v>0.95783147905082577</v>
      </c>
      <c r="R33" s="26"/>
      <c r="S33" s="28">
        <v>2.7353096283064652E-2</v>
      </c>
      <c r="T33" s="28">
        <v>2.7353178474325193E-2</v>
      </c>
      <c r="U33" s="28">
        <v>2.7353014090760401E-2</v>
      </c>
      <c r="V33" s="26"/>
      <c r="W33" s="20">
        <v>8.2192304250855441E-3</v>
      </c>
      <c r="X33" s="26"/>
      <c r="Y33" s="26"/>
      <c r="Z33" s="26"/>
      <c r="AA33" s="26"/>
      <c r="AB33" s="26"/>
      <c r="AC33" s="4">
        <v>8.2191260540598332E-3</v>
      </c>
      <c r="AD33" s="20">
        <v>-8.2192304250855441E-3</v>
      </c>
      <c r="AE33" s="27">
        <v>4.0299196093307482E-2</v>
      </c>
      <c r="AF33" s="27">
        <v>1.4406996460667549E-2</v>
      </c>
      <c r="AG33" s="21">
        <v>-1294.6099816319966</v>
      </c>
      <c r="AH33">
        <v>-1294.4199816319965</v>
      </c>
    </row>
    <row r="34" spans="2:34" x14ac:dyDescent="0.2">
      <c r="B34" s="23">
        <v>27</v>
      </c>
      <c r="C34" s="5">
        <v>2.64898298</v>
      </c>
      <c r="D34" s="7">
        <v>3.5245072000000002E-2</v>
      </c>
      <c r="E34" s="13">
        <f>EXP(-tbl_zero_rates[[#This Row],[nacc]]*tbl_zero_rates[[#This Row],[tau]])</f>
        <v>0.91086225433810009</v>
      </c>
      <c r="K34" s="26">
        <v>1.6465138048383838</v>
      </c>
      <c r="L34" s="29">
        <v>1.6465238048383839</v>
      </c>
      <c r="M34" s="29">
        <v>1.6465038048383838</v>
      </c>
      <c r="N34" s="26"/>
      <c r="O34" s="26">
        <v>0.95501116477160164</v>
      </c>
      <c r="P34" s="26">
        <v>0.95501076861104839</v>
      </c>
      <c r="Q34" s="26">
        <v>0.95501156093231909</v>
      </c>
      <c r="R34" s="26"/>
      <c r="S34" s="28">
        <v>2.7957401616773507E-2</v>
      </c>
      <c r="T34" s="28">
        <v>2.7957483758935246E-2</v>
      </c>
      <c r="U34" s="28">
        <v>2.7957319473614073E-2</v>
      </c>
      <c r="V34" s="26"/>
      <c r="W34" s="20">
        <v>8.2143159434167057E-3</v>
      </c>
      <c r="X34" s="26"/>
      <c r="Y34" s="26"/>
      <c r="Z34" s="26"/>
      <c r="AA34" s="26"/>
      <c r="AB34" s="26"/>
      <c r="AC34" s="4">
        <v>8.2142161739184871E-3</v>
      </c>
      <c r="AD34" s="20">
        <v>-8.2143159434167057E-3</v>
      </c>
      <c r="AE34" s="27">
        <v>4.1482386227380506E-2</v>
      </c>
      <c r="AF34" s="27">
        <v>1.4432417018633868E-2</v>
      </c>
      <c r="AG34" s="21">
        <v>-1352.4984604373317</v>
      </c>
      <c r="AH34">
        <v>-1352.3084604373316</v>
      </c>
    </row>
    <row r="35" spans="2:34" x14ac:dyDescent="0.2">
      <c r="B35" s="23">
        <v>28</v>
      </c>
      <c r="C35" s="5">
        <v>2.7374844330000001</v>
      </c>
      <c r="D35" s="7">
        <v>3.5792474999999997E-2</v>
      </c>
      <c r="E35" s="13">
        <f>EXP(-tbl_zero_rates[[#This Row],[nacc]]*tbl_zero_rates[[#This Row],[tau]])</f>
        <v>0.90666581914150302</v>
      </c>
      <c r="K35" s="26">
        <v>1.7179288287878787</v>
      </c>
      <c r="L35" s="29">
        <v>1.7179388287878787</v>
      </c>
      <c r="M35" s="29">
        <v>1.7179188287878786</v>
      </c>
      <c r="N35" s="26"/>
      <c r="O35" s="26">
        <v>0.95214028562416297</v>
      </c>
      <c r="P35" s="26">
        <v>0.95213987984894588</v>
      </c>
      <c r="Q35" s="26">
        <v>0.95214069139955304</v>
      </c>
      <c r="R35" s="26"/>
      <c r="S35" s="28">
        <v>2.8547687992821563E-2</v>
      </c>
      <c r="T35" s="28">
        <v>2.8547769890314122E-2</v>
      </c>
      <c r="U35" s="28">
        <v>2.8547606094375524E-2</v>
      </c>
      <c r="V35" s="26"/>
      <c r="W35" s="20">
        <v>8.1898446038786155E-3</v>
      </c>
      <c r="X35" s="26"/>
      <c r="Y35" s="26"/>
      <c r="Z35" s="26"/>
      <c r="AA35" s="26"/>
      <c r="AB35" s="26"/>
      <c r="AC35" s="4">
        <v>8.1897492558435925E-3</v>
      </c>
      <c r="AD35" s="20">
        <v>-8.1898446038786155E-3</v>
      </c>
      <c r="AE35" s="27">
        <v>4.2617258134964461E-2</v>
      </c>
      <c r="AF35" s="27">
        <v>1.4478117844525646E-2</v>
      </c>
      <c r="AG35" s="21">
        <v>-1406.9570145219407</v>
      </c>
      <c r="AH35">
        <v>-1406.7670145219406</v>
      </c>
    </row>
    <row r="36" spans="2:34" x14ac:dyDescent="0.2">
      <c r="B36" s="23">
        <v>29</v>
      </c>
      <c r="C36" s="5">
        <v>2.8259858859999998</v>
      </c>
      <c r="D36" s="7">
        <v>3.6325246999999998E-2</v>
      </c>
      <c r="E36" s="13">
        <f>EXP(-tbl_zero_rates[[#This Row],[nacc]]*tbl_zero_rates[[#This Row],[tau]])</f>
        <v>0.90243859007588312</v>
      </c>
      <c r="K36" s="26">
        <v>1.7893438527373737</v>
      </c>
      <c r="L36" s="29">
        <v>1.7893538527373738</v>
      </c>
      <c r="M36" s="29">
        <v>1.7893338527373737</v>
      </c>
      <c r="N36" s="26"/>
      <c r="O36" s="26">
        <v>0.9492206524016269</v>
      </c>
      <c r="P36" s="26">
        <v>0.9492202375485197</v>
      </c>
      <c r="Q36" s="26">
        <v>0.9492210672549154</v>
      </c>
      <c r="R36" s="26"/>
      <c r="S36" s="28">
        <v>2.9124640792264619E-2</v>
      </c>
      <c r="T36" s="28">
        <v>2.9124722274027584E-2</v>
      </c>
      <c r="U36" s="28">
        <v>2.912455930959091E-2</v>
      </c>
      <c r="V36" s="26"/>
      <c r="W36" s="20">
        <v>8.1482673709026843E-3</v>
      </c>
      <c r="X36" s="26"/>
      <c r="Y36" s="26"/>
      <c r="Z36" s="26"/>
      <c r="AA36" s="26"/>
      <c r="AB36" s="26"/>
      <c r="AC36" s="4">
        <v>8.1481762965324167E-3</v>
      </c>
      <c r="AD36" s="20">
        <v>-8.1482673709026843E-3</v>
      </c>
      <c r="AE36" s="27">
        <v>4.3704692923011212E-2</v>
      </c>
      <c r="AF36" s="27">
        <v>1.4544588661679379E-2</v>
      </c>
      <c r="AG36" s="21">
        <v>-1458.0052130665915</v>
      </c>
      <c r="AH36">
        <v>-1457.8152130665915</v>
      </c>
    </row>
    <row r="37" spans="2:34" x14ac:dyDescent="0.2">
      <c r="B37" s="23">
        <v>30</v>
      </c>
      <c r="C37" s="5">
        <v>2.9144873389999999</v>
      </c>
      <c r="D37" s="7">
        <v>3.6843623999999998E-2</v>
      </c>
      <c r="E37" s="13">
        <f>EXP(-tbl_zero_rates[[#This Row],[nacc]]*tbl_zero_rates[[#This Row],[tau]])</f>
        <v>0.8981840504966877</v>
      </c>
      <c r="K37" s="26">
        <v>1.8607588766868686</v>
      </c>
      <c r="L37" s="29">
        <v>1.8607688766868686</v>
      </c>
      <c r="M37" s="29">
        <v>1.8607488766868685</v>
      </c>
      <c r="N37" s="26"/>
      <c r="O37" s="26">
        <v>0.94625443109756235</v>
      </c>
      <c r="P37" s="26">
        <v>0.946254007690571</v>
      </c>
      <c r="Q37" s="26">
        <v>0.946254854504743</v>
      </c>
      <c r="R37" s="26"/>
      <c r="S37" s="28">
        <v>2.9688850143686298E-2</v>
      </c>
      <c r="T37" s="28">
        <v>2.968893106042779E-2</v>
      </c>
      <c r="U37" s="28">
        <v>2.9688769226075183E-2</v>
      </c>
      <c r="V37" s="26"/>
      <c r="W37" s="20">
        <v>8.0917611115088883E-3</v>
      </c>
      <c r="X37" s="26"/>
      <c r="Y37" s="26"/>
      <c r="Z37" s="26"/>
      <c r="AA37" s="26"/>
      <c r="AB37" s="26"/>
      <c r="AC37" s="4">
        <v>8.0916741491271482E-3</v>
      </c>
      <c r="AD37" s="20">
        <v>-8.0917611115088883E-3</v>
      </c>
      <c r="AE37" s="27">
        <v>4.4745666477415284E-2</v>
      </c>
      <c r="AF37" s="27">
        <v>1.4632033827416532E-2</v>
      </c>
      <c r="AG37" s="21">
        <v>-1505.6816324999375</v>
      </c>
      <c r="AH37">
        <v>-1505.4916324999374</v>
      </c>
    </row>
    <row r="38" spans="2:34" x14ac:dyDescent="0.2">
      <c r="B38" s="23">
        <v>31</v>
      </c>
      <c r="C38" s="5">
        <v>3.002988792</v>
      </c>
      <c r="D38" s="7">
        <v>3.7347839000000001E-2</v>
      </c>
      <c r="E38" s="13">
        <f>EXP(-tbl_zero_rates[[#This Row],[nacc]]*tbl_zero_rates[[#This Row],[tau]])</f>
        <v>0.89390556451434611</v>
      </c>
      <c r="K38" s="26">
        <v>1.9321739006363636</v>
      </c>
      <c r="L38" s="29">
        <v>1.9321839006363637</v>
      </c>
      <c r="M38" s="29">
        <v>1.9321639006363636</v>
      </c>
      <c r="N38" s="26"/>
      <c r="O38" s="26">
        <v>0.94323549446445687</v>
      </c>
      <c r="P38" s="26">
        <v>0.94323507240830617</v>
      </c>
      <c r="Q38" s="26">
        <v>0.94323591652079641</v>
      </c>
      <c r="R38" s="26"/>
      <c r="S38" s="28">
        <v>3.0245361707878029E-2</v>
      </c>
      <c r="T38" s="28">
        <v>3.0245436753653113E-2</v>
      </c>
      <c r="U38" s="28">
        <v>3.0245286661326143E-2</v>
      </c>
      <c r="V38" s="26"/>
      <c r="W38" s="20">
        <v>7.5046551886032145E-3</v>
      </c>
      <c r="X38" s="26"/>
      <c r="Y38" s="26"/>
      <c r="Z38" s="26"/>
      <c r="AA38" s="26"/>
      <c r="AB38" s="26"/>
      <c r="AC38" s="4">
        <v>7.5045775083798496E-3</v>
      </c>
      <c r="AD38" s="20">
        <v>-7.5046551886032145E-3</v>
      </c>
      <c r="AE38" s="27">
        <v>4.4745660596422418E-2</v>
      </c>
      <c r="AF38" s="27">
        <v>1.5745062819183631E-2</v>
      </c>
      <c r="AG38" s="21">
        <v>-1450.0298888619393</v>
      </c>
      <c r="AH38">
        <v>-1449.8398888619392</v>
      </c>
    </row>
    <row r="39" spans="2:34" x14ac:dyDescent="0.2">
      <c r="B39" s="23">
        <v>32</v>
      </c>
      <c r="C39" s="5">
        <v>3.0914902450000001</v>
      </c>
      <c r="D39" s="7">
        <v>3.7838126E-2</v>
      </c>
      <c r="E39" s="13">
        <f>EXP(-tbl_zero_rates[[#This Row],[nacc]]*tbl_zero_rates[[#This Row],[tau]])</f>
        <v>0.88960636783985059</v>
      </c>
      <c r="K39" s="26">
        <v>2.0035889245858587</v>
      </c>
      <c r="L39" s="29">
        <v>2.0035989245858588</v>
      </c>
      <c r="M39" s="29">
        <v>2.0035789245858586</v>
      </c>
      <c r="N39" s="26"/>
      <c r="O39" s="26">
        <v>0.94016758701915537</v>
      </c>
      <c r="P39" s="26">
        <v>0.94016715697726638</v>
      </c>
      <c r="Q39" s="26">
        <v>0.9401680170612412</v>
      </c>
      <c r="R39" s="26"/>
      <c r="S39" s="28">
        <v>3.0793310338658352E-2</v>
      </c>
      <c r="T39" s="28">
        <v>3.0793384942822775E-2</v>
      </c>
      <c r="U39" s="28">
        <v>3.079323573374915E-2</v>
      </c>
      <c r="V39" s="26"/>
      <c r="W39" s="20">
        <v>7.4604909201803063E-3</v>
      </c>
      <c r="X39" s="26"/>
      <c r="Y39" s="26"/>
      <c r="Z39" s="26"/>
      <c r="AA39" s="26"/>
      <c r="AB39" s="26"/>
      <c r="AC39" s="4">
        <v>7.4604164422564781E-3</v>
      </c>
      <c r="AD39" s="20">
        <v>-7.4604909201803063E-3</v>
      </c>
      <c r="AE39" s="27">
        <v>4.5741067303490514E-2</v>
      </c>
      <c r="AF39" s="27">
        <v>1.5845553359011728E-2</v>
      </c>
      <c r="AG39" s="21">
        <v>-1494.7756972239392</v>
      </c>
      <c r="AH39">
        <v>-1494.5856972239392</v>
      </c>
    </row>
    <row r="40" spans="2:34" x14ac:dyDescent="0.2">
      <c r="B40" s="23">
        <v>33</v>
      </c>
      <c r="C40" s="5">
        <v>3.1799916970000002</v>
      </c>
      <c r="D40" s="7">
        <v>3.8314718999999997E-2</v>
      </c>
      <c r="E40" s="13">
        <f>EXP(-tbl_zero_rates[[#This Row],[nacc]]*tbl_zero_rates[[#This Row],[tau]])</f>
        <v>0.88528957129138375</v>
      </c>
      <c r="K40" s="26">
        <v>2.0750039485353535</v>
      </c>
      <c r="L40" s="29">
        <v>2.0750139485353536</v>
      </c>
      <c r="M40" s="29">
        <v>2.0749939485353535</v>
      </c>
      <c r="N40" s="26"/>
      <c r="O40" s="26">
        <v>0.93706088475037608</v>
      </c>
      <c r="P40" s="26">
        <v>0.93706044721998871</v>
      </c>
      <c r="Q40" s="26">
        <v>0.93706132228096783</v>
      </c>
      <c r="R40" s="26"/>
      <c r="S40" s="28">
        <v>3.1328624946342427E-2</v>
      </c>
      <c r="T40" s="28">
        <v>3.1328698985188738E-2</v>
      </c>
      <c r="U40" s="28">
        <v>3.1328550906782437E-2</v>
      </c>
      <c r="V40" s="26"/>
      <c r="W40" s="20">
        <v>7.4039559989913508E-3</v>
      </c>
      <c r="X40" s="26"/>
      <c r="Y40" s="26"/>
      <c r="Z40" s="26"/>
      <c r="AA40" s="26"/>
      <c r="AB40" s="26"/>
      <c r="AC40" s="4">
        <v>7.4038846310797704E-3</v>
      </c>
      <c r="AD40" s="20">
        <v>-7.4039559989913508E-3</v>
      </c>
      <c r="AE40" s="27">
        <v>4.6691862868025791E-2</v>
      </c>
      <c r="AF40" s="27">
        <v>1.5965387013653357E-2</v>
      </c>
      <c r="AG40" s="21">
        <v>-1536.3237927186215</v>
      </c>
      <c r="AH40">
        <v>-1536.1337927186214</v>
      </c>
    </row>
    <row r="41" spans="2:34" x14ac:dyDescent="0.2">
      <c r="B41" s="23">
        <v>34</v>
      </c>
      <c r="C41" s="5">
        <v>3.2684931499999998</v>
      </c>
      <c r="D41" s="7">
        <v>3.8777853000000001E-2</v>
      </c>
      <c r="E41" s="13">
        <f>EXP(-tbl_zero_rates[[#This Row],[nacc]]*tbl_zero_rates[[#This Row],[tau]])</f>
        <v>0.88095815890624962</v>
      </c>
      <c r="K41" s="26">
        <v>2.1464189724848484</v>
      </c>
      <c r="L41" s="29">
        <v>2.1464289724848484</v>
      </c>
      <c r="M41" s="29">
        <v>2.1464089724848483</v>
      </c>
      <c r="N41" s="26"/>
      <c r="O41" s="26">
        <v>0.93391736479641563</v>
      </c>
      <c r="P41" s="26">
        <v>0.93391692026180317</v>
      </c>
      <c r="Q41" s="26">
        <v>0.93391780933123969</v>
      </c>
      <c r="R41" s="26"/>
      <c r="S41" s="28">
        <v>3.1851805293301082E-2</v>
      </c>
      <c r="T41" s="28">
        <v>3.1851878657618203E-2</v>
      </c>
      <c r="U41" s="28">
        <v>3.1851731928300354E-2</v>
      </c>
      <c r="V41" s="26"/>
      <c r="W41" s="20">
        <v>7.3365000727299004E-3</v>
      </c>
      <c r="X41" s="26"/>
      <c r="Y41" s="26"/>
      <c r="Z41" s="26"/>
      <c r="AA41" s="26"/>
      <c r="AB41" s="26"/>
      <c r="AC41" s="4">
        <v>7.3364317121349379E-3</v>
      </c>
      <c r="AD41" s="20">
        <v>-7.3365000727299004E-3</v>
      </c>
      <c r="AE41" s="27">
        <v>4.7599008239201254E-2</v>
      </c>
      <c r="AF41" s="27">
        <v>1.6104602345557155E-2</v>
      </c>
      <c r="AG41" s="21">
        <v>-1574.7202946822049</v>
      </c>
      <c r="AH41">
        <v>-1574.5302946822048</v>
      </c>
    </row>
    <row r="42" spans="2:34" x14ac:dyDescent="0.2">
      <c r="B42" s="23">
        <v>35</v>
      </c>
      <c r="C42" s="5">
        <v>3.356994603</v>
      </c>
      <c r="D42" s="7">
        <v>3.9227761E-2</v>
      </c>
      <c r="E42" s="13">
        <f>EXP(-tbl_zero_rates[[#This Row],[nacc]]*tbl_zero_rates[[#This Row],[tau]])</f>
        <v>0.87661499790632424</v>
      </c>
      <c r="K42" s="26">
        <v>2.2178339964343432</v>
      </c>
      <c r="L42" s="29">
        <v>2.2178439964343433</v>
      </c>
      <c r="M42" s="29">
        <v>2.2178239964343431</v>
      </c>
      <c r="N42" s="26"/>
      <c r="O42" s="26">
        <v>0.93073897072341416</v>
      </c>
      <c r="P42" s="26">
        <v>0.93073851965652743</v>
      </c>
      <c r="Q42" s="26">
        <v>0.93073942179051949</v>
      </c>
      <c r="R42" s="26"/>
      <c r="S42" s="28">
        <v>3.2363295131985138E-2</v>
      </c>
      <c r="T42" s="28">
        <v>3.2363367725115451E-2</v>
      </c>
      <c r="U42" s="28">
        <v>3.2363222538200197E-2</v>
      </c>
      <c r="V42" s="26"/>
      <c r="W42" s="20">
        <v>7.2593784941621378E-3</v>
      </c>
      <c r="X42" s="26"/>
      <c r="Y42" s="26"/>
      <c r="Z42" s="26"/>
      <c r="AA42" s="26"/>
      <c r="AB42" s="26"/>
      <c r="AC42" s="4">
        <v>7.2593130312492695E-3</v>
      </c>
      <c r="AD42" s="20">
        <v>-7.2593784941621378E-3</v>
      </c>
      <c r="AE42" s="27">
        <v>4.8463391549709238E-2</v>
      </c>
      <c r="AF42" s="27">
        <v>1.6263198714648E-2</v>
      </c>
      <c r="AG42" s="21">
        <v>-1610.0096417530617</v>
      </c>
      <c r="AH42">
        <v>-1609.8196417530617</v>
      </c>
    </row>
    <row r="43" spans="2:34" x14ac:dyDescent="0.2">
      <c r="B43" s="23">
        <v>36</v>
      </c>
      <c r="C43" s="5">
        <v>3.4454960560000001</v>
      </c>
      <c r="D43" s="7">
        <v>3.9664677000000002E-2</v>
      </c>
      <c r="E43" s="13">
        <f>EXP(-tbl_zero_rates[[#This Row],[nacc]]*tbl_zero_rates[[#This Row],[tau]])</f>
        <v>0.87226283154540485</v>
      </c>
      <c r="K43" s="26">
        <v>2.2892490203838385</v>
      </c>
      <c r="L43" s="29">
        <v>2.2892590203838385</v>
      </c>
      <c r="M43" s="29">
        <v>2.2892390203838384</v>
      </c>
      <c r="N43" s="26"/>
      <c r="O43" s="26">
        <v>0.92752324273275255</v>
      </c>
      <c r="P43" s="26">
        <v>0.92752279322431386</v>
      </c>
      <c r="Q43" s="26">
        <v>0.92752369224140896</v>
      </c>
      <c r="R43" s="26"/>
      <c r="S43" s="28">
        <v>3.2865548743045682E-2</v>
      </c>
      <c r="T43" s="28">
        <v>3.286561687762584E-2</v>
      </c>
      <c r="U43" s="28">
        <v>3.2865480607870312E-2</v>
      </c>
      <c r="V43" s="26"/>
      <c r="W43" s="20">
        <v>6.8135175369798953E-3</v>
      </c>
      <c r="X43" s="26"/>
      <c r="Y43" s="26"/>
      <c r="Z43" s="26"/>
      <c r="AA43" s="26"/>
      <c r="AB43" s="26"/>
      <c r="AC43" s="4">
        <v>6.813458015841877E-3</v>
      </c>
      <c r="AD43" s="20">
        <v>-6.8135175369798953E-3</v>
      </c>
      <c r="AE43" s="27">
        <v>4.8463387100398429E-2</v>
      </c>
      <c r="AF43" s="27">
        <v>1.7267710396146354E-2</v>
      </c>
      <c r="AG43" s="21">
        <v>-1559.7838352126037</v>
      </c>
      <c r="AH43">
        <v>-1559.5938352126036</v>
      </c>
    </row>
    <row r="44" spans="2:34" x14ac:dyDescent="0.2">
      <c r="B44" s="23">
        <v>37</v>
      </c>
      <c r="C44" s="5">
        <v>3.5339975090000002</v>
      </c>
      <c r="D44" s="7">
        <v>4.0088836000000003E-2</v>
      </c>
      <c r="E44" s="13">
        <f>EXP(-tbl_zero_rates[[#This Row],[nacc]]*tbl_zero_rates[[#This Row],[tau]])</f>
        <v>0.86790428029306799</v>
      </c>
      <c r="K44" s="26">
        <v>2.3606640443333333</v>
      </c>
      <c r="L44" s="29">
        <v>2.3606740443333334</v>
      </c>
      <c r="M44" s="29">
        <v>2.3606540443333333</v>
      </c>
      <c r="N44" s="26"/>
      <c r="O44" s="26">
        <v>0.92426867973208182</v>
      </c>
      <c r="P44" s="26">
        <v>0.92426822419755716</v>
      </c>
      <c r="Q44" s="26">
        <v>0.92426913526683097</v>
      </c>
      <c r="R44" s="26"/>
      <c r="S44" s="28">
        <v>3.3360304218920889E-2</v>
      </c>
      <c r="T44" s="28">
        <v>3.336037168121999E-2</v>
      </c>
      <c r="U44" s="28">
        <v>3.3360236756050252E-2</v>
      </c>
      <c r="V44" s="26"/>
      <c r="W44" s="20">
        <v>6.7462870637080554E-3</v>
      </c>
      <c r="X44" s="26"/>
      <c r="Y44" s="26"/>
      <c r="Z44" s="26"/>
      <c r="AA44" s="26"/>
      <c r="AB44" s="26"/>
      <c r="AC44" s="4">
        <v>6.7462299101206371E-3</v>
      </c>
      <c r="AD44" s="20">
        <v>-6.7462870637080554E-3</v>
      </c>
      <c r="AE44" s="27">
        <v>4.9286021527146978E-2</v>
      </c>
      <c r="AF44" s="27">
        <v>1.7434586914874182E-2</v>
      </c>
      <c r="AG44" s="21">
        <v>-1592.5717306136398</v>
      </c>
      <c r="AH44">
        <v>-1592.3817306136398</v>
      </c>
    </row>
    <row r="45" spans="2:34" x14ac:dyDescent="0.2">
      <c r="B45" s="23">
        <v>38</v>
      </c>
      <c r="C45" s="5">
        <v>3.6224989619999999</v>
      </c>
      <c r="D45" s="7">
        <v>4.0500471000000003E-2</v>
      </c>
      <c r="E45" s="13">
        <f>EXP(-tbl_zero_rates[[#This Row],[nacc]]*tbl_zero_rates[[#This Row],[tau]])</f>
        <v>0.86354185247371729</v>
      </c>
      <c r="K45" s="26">
        <v>2.4320790682828282</v>
      </c>
      <c r="L45" s="29">
        <v>2.4320890682828282</v>
      </c>
      <c r="M45" s="29">
        <v>2.4320690682828281</v>
      </c>
      <c r="N45" s="26"/>
      <c r="O45" s="26">
        <v>0.92098620593888203</v>
      </c>
      <c r="P45" s="26">
        <v>0.9209857448226455</v>
      </c>
      <c r="Q45" s="26">
        <v>0.92098666705534926</v>
      </c>
      <c r="R45" s="26"/>
      <c r="S45" s="28">
        <v>3.3843562562364919E-2</v>
      </c>
      <c r="T45" s="28">
        <v>3.3843629270897777E-2</v>
      </c>
      <c r="U45" s="28">
        <v>3.384349585328357E-2</v>
      </c>
      <c r="V45" s="26"/>
      <c r="W45" s="20">
        <v>6.6709081349147761E-3</v>
      </c>
      <c r="X45" s="26"/>
      <c r="Y45" s="26"/>
      <c r="Z45" s="26"/>
      <c r="AA45" s="26"/>
      <c r="AB45" s="26"/>
      <c r="AC45" s="4">
        <v>6.6708532857340233E-3</v>
      </c>
      <c r="AD45" s="20">
        <v>-6.6709081349147761E-3</v>
      </c>
      <c r="AE45" s="27">
        <v>5.0067738623250077E-2</v>
      </c>
      <c r="AF45" s="27">
        <v>1.7619386521001052E-2</v>
      </c>
      <c r="AG45" s="21">
        <v>-1622.4176051124514</v>
      </c>
      <c r="AH45">
        <v>-1622.2276051124513</v>
      </c>
    </row>
    <row r="46" spans="2:34" x14ac:dyDescent="0.2">
      <c r="B46" s="23">
        <v>39</v>
      </c>
      <c r="C46" s="5">
        <v>3.711000415</v>
      </c>
      <c r="D46" s="7">
        <v>4.0899816999999998E-2</v>
      </c>
      <c r="E46" s="13">
        <f>EXP(-tbl_zero_rates[[#This Row],[nacc]]*tbl_zero_rates[[#This Row],[tau]])</f>
        <v>0.85917793376518403</v>
      </c>
      <c r="K46" s="26">
        <v>2.503494092232323</v>
      </c>
      <c r="L46" s="29">
        <v>2.5035040922323231</v>
      </c>
      <c r="M46" s="29">
        <v>2.5034840922323229</v>
      </c>
      <c r="N46" s="26"/>
      <c r="O46" s="26">
        <v>0.91767757019538754</v>
      </c>
      <c r="P46" s="26">
        <v>0.91767710392849799</v>
      </c>
      <c r="Q46" s="26">
        <v>0.917678036462514</v>
      </c>
      <c r="R46" s="26"/>
      <c r="S46" s="28">
        <v>3.4315711408361683E-2</v>
      </c>
      <c r="T46" s="28">
        <v>3.4315777291008161E-2</v>
      </c>
      <c r="U46" s="28">
        <v>3.4315645525188877E-2</v>
      </c>
      <c r="V46" s="26"/>
      <c r="W46" s="20">
        <v>6.5883172806202586E-3</v>
      </c>
      <c r="X46" s="26"/>
      <c r="Y46" s="26"/>
      <c r="Z46" s="26"/>
      <c r="AA46" s="26"/>
      <c r="AB46" s="26"/>
      <c r="AC46" s="4">
        <v>6.5882646477222187E-3</v>
      </c>
      <c r="AD46" s="20">
        <v>-6.5883172806202586E-3</v>
      </c>
      <c r="AE46" s="27">
        <v>5.0809524797290284E-2</v>
      </c>
      <c r="AF46" s="27">
        <v>1.7821898018576744E-2</v>
      </c>
      <c r="AG46" s="21">
        <v>-1649.3813389356771</v>
      </c>
      <c r="AH46">
        <v>-1649.1913389356771</v>
      </c>
    </row>
    <row r="47" spans="2:34" x14ac:dyDescent="0.2">
      <c r="B47" s="23">
        <v>40</v>
      </c>
      <c r="C47" s="5">
        <v>3.7995018680000001</v>
      </c>
      <c r="D47" s="7">
        <v>4.1287108000000003E-2</v>
      </c>
      <c r="E47" s="13">
        <f>EXP(-tbl_zero_rates[[#This Row],[nacc]]*tbl_zero_rates[[#This Row],[tau]])</f>
        <v>0.85481479805541183</v>
      </c>
      <c r="K47" s="26">
        <v>2.5749091161818183</v>
      </c>
      <c r="L47" s="29">
        <v>2.5749191161818183</v>
      </c>
      <c r="M47" s="29">
        <v>2.5748991161818182</v>
      </c>
      <c r="N47" s="26"/>
      <c r="O47" s="26">
        <v>0.91434448529470536</v>
      </c>
      <c r="P47" s="26">
        <v>0.91434401429485401</v>
      </c>
      <c r="Q47" s="26">
        <v>0.91434495629479939</v>
      </c>
      <c r="R47" s="26"/>
      <c r="S47" s="28">
        <v>3.4777103161337967E-2</v>
      </c>
      <c r="T47" s="28">
        <v>3.4777168154476935E-2</v>
      </c>
      <c r="U47" s="28">
        <v>3.4777038167694146E-2</v>
      </c>
      <c r="V47" s="26"/>
      <c r="W47" s="20">
        <v>6.4993643821009686E-3</v>
      </c>
      <c r="X47" s="26"/>
      <c r="Y47" s="26"/>
      <c r="Z47" s="26"/>
      <c r="AA47" s="26"/>
      <c r="AB47" s="26"/>
      <c r="AC47" s="4">
        <v>6.4993138967905919E-3</v>
      </c>
      <c r="AD47" s="20">
        <v>-6.4993643821009686E-3</v>
      </c>
      <c r="AE47" s="27">
        <v>5.1512375749389175E-2</v>
      </c>
      <c r="AF47" s="27">
        <v>1.8041830564478775E-2</v>
      </c>
      <c r="AG47" s="21">
        <v>-1673.5272592455196</v>
      </c>
      <c r="AH47">
        <v>-1673.3372592455196</v>
      </c>
    </row>
    <row r="48" spans="2:34" x14ac:dyDescent="0.2">
      <c r="B48" s="23">
        <v>41</v>
      </c>
      <c r="C48" s="5">
        <v>3.8880033209999998</v>
      </c>
      <c r="D48" s="7">
        <v>4.1662577999999999E-2</v>
      </c>
      <c r="E48" s="13">
        <f>EXP(-tbl_zero_rates[[#This Row],[nacc]]*tbl_zero_rates[[#This Row],[tau]])</f>
        <v>0.85045460621688518</v>
      </c>
      <c r="K48" s="26">
        <v>2.6463241401313131</v>
      </c>
      <c r="L48" s="29">
        <v>2.6463341401313132</v>
      </c>
      <c r="M48" s="29">
        <v>2.6463141401313131</v>
      </c>
      <c r="N48" s="26"/>
      <c r="O48" s="26">
        <v>0.91098701729566711</v>
      </c>
      <c r="P48" s="26">
        <v>0.91098654802532464</v>
      </c>
      <c r="Q48" s="26">
        <v>0.91098748656625128</v>
      </c>
      <c r="R48" s="26"/>
      <c r="S48" s="28">
        <v>3.5228727825710036E-2</v>
      </c>
      <c r="T48" s="28">
        <v>3.5228789358313521E-2</v>
      </c>
      <c r="U48" s="28">
        <v>3.5228666292641514E-2</v>
      </c>
      <c r="V48" s="26"/>
      <c r="W48" s="20">
        <v>6.1533068522467973E-3</v>
      </c>
      <c r="X48" s="26"/>
      <c r="Y48" s="26"/>
      <c r="Z48" s="26"/>
      <c r="AA48" s="26"/>
      <c r="AB48" s="26"/>
      <c r="AC48" s="4">
        <v>6.1532603484737427E-3</v>
      </c>
      <c r="AD48" s="20">
        <v>-6.1533068522467973E-3</v>
      </c>
      <c r="AE48" s="27">
        <v>5.1512372291595887E-2</v>
      </c>
      <c r="AF48" s="27">
        <v>1.8945083360973915E-2</v>
      </c>
      <c r="AG48" s="21">
        <v>-1628.3644465310983</v>
      </c>
      <c r="AH48">
        <v>-1628.1744465310983</v>
      </c>
    </row>
    <row r="49" spans="2:34" x14ac:dyDescent="0.2">
      <c r="B49" s="23">
        <v>42</v>
      </c>
      <c r="C49" s="5">
        <v>3.9765047729999998</v>
      </c>
      <c r="D49" s="7">
        <v>4.2026460000000002E-2</v>
      </c>
      <c r="E49" s="13">
        <f>EXP(-tbl_zero_rates[[#This Row],[nacc]]*tbl_zero_rates[[#This Row],[tau]])</f>
        <v>0.84609941134253419</v>
      </c>
      <c r="K49" s="26">
        <v>2.717739164080808</v>
      </c>
      <c r="L49" s="29">
        <v>2.717749164080808</v>
      </c>
      <c r="M49" s="29">
        <v>2.7177291640808079</v>
      </c>
      <c r="N49" s="26"/>
      <c r="O49" s="26">
        <v>0.90760039334924936</v>
      </c>
      <c r="P49" s="26">
        <v>0.90759991979000187</v>
      </c>
      <c r="Q49" s="26">
        <v>0.90760086690874409</v>
      </c>
      <c r="R49" s="26"/>
      <c r="S49" s="28">
        <v>3.5673435465390972E-2</v>
      </c>
      <c r="T49" s="28">
        <v>3.5673496190800805E-2</v>
      </c>
      <c r="U49" s="28">
        <v>3.5673374739534192E-2</v>
      </c>
      <c r="V49" s="26"/>
      <c r="W49" s="20">
        <v>6.0725856780574619E-3</v>
      </c>
      <c r="X49" s="26"/>
      <c r="Y49" s="26"/>
      <c r="Z49" s="26"/>
      <c r="AA49" s="26"/>
      <c r="AB49" s="26"/>
      <c r="AC49" s="4">
        <v>6.072540983254048E-3</v>
      </c>
      <c r="AD49" s="20">
        <v>-6.0725856780574619E-3</v>
      </c>
      <c r="AE49" s="27">
        <v>5.2177139371885943E-2</v>
      </c>
      <c r="AF49" s="27">
        <v>1.9169731540897999E-2</v>
      </c>
      <c r="AG49" s="21">
        <v>-1650.3703915493973</v>
      </c>
      <c r="AH49">
        <v>-1650.1803915493972</v>
      </c>
    </row>
    <row r="50" spans="2:34" x14ac:dyDescent="0.2">
      <c r="B50" s="23">
        <v>43</v>
      </c>
      <c r="C50" s="5">
        <v>4.0650062260000004</v>
      </c>
      <c r="D50" s="7">
        <v>4.2378989999999998E-2</v>
      </c>
      <c r="E50" s="13">
        <f>EXP(-tbl_zero_rates[[#This Row],[nacc]]*tbl_zero_rates[[#This Row],[tau]])</f>
        <v>0.84175114708663912</v>
      </c>
      <c r="K50" s="26">
        <v>2.7891541880303028</v>
      </c>
      <c r="L50" s="29">
        <v>2.7891641880303029</v>
      </c>
      <c r="M50" s="29">
        <v>2.7891441880303027</v>
      </c>
      <c r="N50" s="26"/>
      <c r="O50" s="26">
        <v>0.9041954386450185</v>
      </c>
      <c r="P50" s="26">
        <v>0.90419496118750464</v>
      </c>
      <c r="Q50" s="26">
        <v>0.90419591610278438</v>
      </c>
      <c r="R50" s="26"/>
      <c r="S50" s="28">
        <v>3.6107630477062225E-2</v>
      </c>
      <c r="T50" s="28">
        <v>3.6107690341103893E-2</v>
      </c>
      <c r="U50" s="28">
        <v>3.610757061259133E-2</v>
      </c>
      <c r="V50" s="26"/>
      <c r="W50" s="20">
        <v>5.9864470894344093E-3</v>
      </c>
      <c r="X50" s="26"/>
      <c r="Y50" s="26"/>
      <c r="Z50" s="26"/>
      <c r="AA50" s="26"/>
      <c r="AB50" s="26"/>
      <c r="AC50" s="4">
        <v>5.9864041668244985E-3</v>
      </c>
      <c r="AD50" s="20">
        <v>-5.9864470894344093E-3</v>
      </c>
      <c r="AE50" s="27">
        <v>5.2804754458286168E-2</v>
      </c>
      <c r="AF50" s="27">
        <v>1.9410506506144426E-2</v>
      </c>
      <c r="AG50" s="21">
        <v>-1669.712397607087</v>
      </c>
      <c r="AH50">
        <v>-1669.522397607087</v>
      </c>
    </row>
    <row r="51" spans="2:34" x14ac:dyDescent="0.2">
      <c r="B51" s="23">
        <v>44</v>
      </c>
      <c r="C51" s="5">
        <v>4.1535076789999996</v>
      </c>
      <c r="D51" s="7">
        <v>4.2720399999999999E-2</v>
      </c>
      <c r="E51" s="13">
        <f>EXP(-tbl_zero_rates[[#This Row],[nacc]]*tbl_zero_rates[[#This Row],[tau]])</f>
        <v>0.83741165329522027</v>
      </c>
      <c r="K51" s="26">
        <v>2.8605692119797981</v>
      </c>
      <c r="L51" s="29">
        <v>2.8605792119797981</v>
      </c>
      <c r="M51" s="29">
        <v>2.860559211979798</v>
      </c>
      <c r="N51" s="26"/>
      <c r="O51" s="26">
        <v>0.9007736686013541</v>
      </c>
      <c r="P51" s="26">
        <v>0.90077318762266867</v>
      </c>
      <c r="Q51" s="26">
        <v>0.90077414958029633</v>
      </c>
      <c r="R51" s="26"/>
      <c r="S51" s="28">
        <v>3.6531628989325056E-2</v>
      </c>
      <c r="T51" s="28">
        <v>3.65316879443797E-2</v>
      </c>
      <c r="U51" s="28">
        <v>3.6531570033858221E-2</v>
      </c>
      <c r="V51" s="26"/>
      <c r="W51" s="20">
        <v>5.8955466834820216E-3</v>
      </c>
      <c r="X51" s="26"/>
      <c r="Y51" s="26"/>
      <c r="Z51" s="26"/>
      <c r="AA51" s="26"/>
      <c r="AB51" s="26"/>
      <c r="AC51" s="4">
        <v>5.8955054643705642E-3</v>
      </c>
      <c r="AD51" s="20">
        <v>-5.8955466834820216E-3</v>
      </c>
      <c r="AE51" s="27">
        <v>5.3396248319871442E-2</v>
      </c>
      <c r="AF51" s="27">
        <v>1.9667009658766776E-2</v>
      </c>
      <c r="AG51" s="21">
        <v>-1686.4619330552332</v>
      </c>
      <c r="AH51">
        <v>-1686.2719330552331</v>
      </c>
    </row>
    <row r="52" spans="2:34" x14ac:dyDescent="0.2">
      <c r="B52" s="23">
        <v>45</v>
      </c>
      <c r="C52" s="5">
        <v>4.2420091319999997</v>
      </c>
      <c r="D52" s="7">
        <v>4.3050924999999997E-2</v>
      </c>
      <c r="E52" s="13">
        <f>EXP(-tbl_zero_rates[[#This Row],[nacc]]*tbl_zero_rates[[#This Row],[tau]])</f>
        <v>0.83308265421399852</v>
      </c>
      <c r="K52" s="26">
        <v>2.9319842359292929</v>
      </c>
      <c r="L52" s="29">
        <v>2.931994235929293</v>
      </c>
      <c r="M52" s="29">
        <v>2.9319742359292928</v>
      </c>
      <c r="N52" s="26"/>
      <c r="O52" s="26">
        <v>0.89733656512299964</v>
      </c>
      <c r="P52" s="26">
        <v>0.89733608098847073</v>
      </c>
      <c r="Q52" s="26">
        <v>0.89733704925778968</v>
      </c>
      <c r="R52" s="26"/>
      <c r="S52" s="28">
        <v>3.6945722291415448E-2</v>
      </c>
      <c r="T52" s="28">
        <v>3.6945780295222851E-2</v>
      </c>
      <c r="U52" s="28">
        <v>3.6945664287212417E-2</v>
      </c>
      <c r="V52" s="26"/>
      <c r="W52" s="20">
        <v>5.8004203030981296E-3</v>
      </c>
      <c r="X52" s="26"/>
      <c r="Y52" s="26"/>
      <c r="Z52" s="26"/>
      <c r="AA52" s="26"/>
      <c r="AB52" s="26"/>
      <c r="AC52" s="4">
        <v>5.8003807403006471E-3</v>
      </c>
      <c r="AD52" s="20">
        <v>-5.8004203030981296E-3</v>
      </c>
      <c r="AE52" s="27">
        <v>5.3952463191979633E-2</v>
      </c>
      <c r="AF52" s="27">
        <v>1.9938981400967521E-2</v>
      </c>
      <c r="AG52" s="21">
        <v>-1700.6740895506057</v>
      </c>
      <c r="AH52">
        <v>-1700.4840895506056</v>
      </c>
    </row>
    <row r="53" spans="2:34" x14ac:dyDescent="0.2">
      <c r="B53" s="23">
        <v>46</v>
      </c>
      <c r="C53" s="5">
        <v>4.3305105849999999</v>
      </c>
      <c r="D53" s="7">
        <v>4.3370800000000001E-2</v>
      </c>
      <c r="E53" s="13">
        <f>EXP(-tbl_zero_rates[[#This Row],[nacc]]*tbl_zero_rates[[#This Row],[tau]])</f>
        <v>0.82876577043557653</v>
      </c>
      <c r="K53" s="26">
        <v>3.0033992598787878</v>
      </c>
      <c r="L53" s="29">
        <v>3.0034092598787878</v>
      </c>
      <c r="M53" s="29">
        <v>3.0033892598787877</v>
      </c>
      <c r="N53" s="26"/>
      <c r="O53" s="26">
        <v>0.8938855770504549</v>
      </c>
      <c r="P53" s="26">
        <v>0.89388509011259631</v>
      </c>
      <c r="Q53" s="26">
        <v>0.89388606398857862</v>
      </c>
      <c r="R53" s="26"/>
      <c r="S53" s="28">
        <v>3.7350179636457009E-2</v>
      </c>
      <c r="T53" s="28">
        <v>3.7350236652094464E-2</v>
      </c>
      <c r="U53" s="28">
        <v>3.7350122620439928E-2</v>
      </c>
      <c r="V53" s="26"/>
      <c r="W53" s="20">
        <v>5.7016017081246142E-3</v>
      </c>
      <c r="X53" s="26"/>
      <c r="Y53" s="26"/>
      <c r="Z53" s="26"/>
      <c r="AA53" s="26"/>
      <c r="AB53" s="26"/>
      <c r="AC53" s="4">
        <v>5.7015637454360659E-3</v>
      </c>
      <c r="AD53" s="20">
        <v>-5.7016017081246142E-3</v>
      </c>
      <c r="AE53" s="27">
        <v>5.4474366000926325E-2</v>
      </c>
      <c r="AF53" s="27">
        <v>2.0225993286151912E-2</v>
      </c>
      <c r="AG53" s="21">
        <v>-1712.4186357387205</v>
      </c>
      <c r="AH53">
        <v>-1712.2286357387204</v>
      </c>
    </row>
    <row r="54" spans="2:34" x14ac:dyDescent="0.2">
      <c r="B54" s="23">
        <v>47</v>
      </c>
      <c r="C54" s="5">
        <v>4.419012038</v>
      </c>
      <c r="D54" s="7">
        <v>4.3680257E-2</v>
      </c>
      <c r="E54" s="13">
        <f>EXP(-tbl_zero_rates[[#This Row],[nacc]]*tbl_zero_rates[[#This Row],[tau]])</f>
        <v>0.82446253184178298</v>
      </c>
      <c r="K54" s="26">
        <v>3.0748142838282826</v>
      </c>
      <c r="L54" s="29">
        <v>3.0748242838282827</v>
      </c>
      <c r="M54" s="29">
        <v>3.0748042838282825</v>
      </c>
      <c r="N54" s="26"/>
      <c r="O54" s="26">
        <v>0.89041486362831834</v>
      </c>
      <c r="P54" s="26">
        <v>0.8904143785811065</v>
      </c>
      <c r="Q54" s="26">
        <v>0.89041534867579442</v>
      </c>
      <c r="R54" s="26"/>
      <c r="S54" s="28">
        <v>3.7747901252822978E-2</v>
      </c>
      <c r="T54" s="28">
        <v>3.7747955650753319E-2</v>
      </c>
      <c r="U54" s="28">
        <v>3.7747846854538802E-2</v>
      </c>
      <c r="V54" s="26"/>
      <c r="W54" s="20">
        <v>5.4398284175805047E-3</v>
      </c>
      <c r="X54" s="26"/>
      <c r="Y54" s="26"/>
      <c r="Z54" s="26"/>
      <c r="AA54" s="26"/>
      <c r="AB54" s="26"/>
      <c r="AC54" s="4">
        <v>5.4397930340788206E-3</v>
      </c>
      <c r="AD54" s="20">
        <v>-5.4398284175805047E-3</v>
      </c>
      <c r="AE54" s="27">
        <v>5.4474363370938805E-2</v>
      </c>
      <c r="AF54" s="27">
        <v>2.1021439132871439E-2</v>
      </c>
      <c r="AG54" s="21">
        <v>-1672.6462119033681</v>
      </c>
      <c r="AH54">
        <v>-1672.4562119033681</v>
      </c>
    </row>
    <row r="55" spans="2:34" x14ac:dyDescent="0.2">
      <c r="B55" s="23">
        <v>48</v>
      </c>
      <c r="C55" s="5">
        <v>4.5075134910000001</v>
      </c>
      <c r="D55" s="7">
        <v>4.3979532000000002E-2</v>
      </c>
      <c r="E55" s="13">
        <f>EXP(-tbl_zero_rates[[#This Row],[nacc]]*tbl_zero_rates[[#This Row],[tau]])</f>
        <v>0.82017435455655741</v>
      </c>
      <c r="K55" s="26">
        <v>3.1462293077777779</v>
      </c>
      <c r="L55" s="29">
        <v>3.1462393077777779</v>
      </c>
      <c r="M55" s="29">
        <v>3.1462193077777778</v>
      </c>
      <c r="N55" s="26"/>
      <c r="O55" s="26">
        <v>0.88693390772224256</v>
      </c>
      <c r="P55" s="26">
        <v>0.8869334202383391</v>
      </c>
      <c r="Q55" s="26">
        <v>0.88693439520641393</v>
      </c>
      <c r="R55" s="26"/>
      <c r="S55" s="28">
        <v>3.8136066974809965E-2</v>
      </c>
      <c r="T55" s="28">
        <v>3.813612045697809E-2</v>
      </c>
      <c r="U55" s="28">
        <v>3.8136013492301876E-2</v>
      </c>
      <c r="V55" s="26"/>
      <c r="W55" s="20">
        <v>5.3482508088897865E-3</v>
      </c>
      <c r="X55" s="26"/>
      <c r="Y55" s="26"/>
      <c r="Z55" s="26"/>
      <c r="AA55" s="26"/>
      <c r="AB55" s="26"/>
      <c r="AC55" s="4">
        <v>5.3482168124729937E-3</v>
      </c>
      <c r="AD55" s="20">
        <v>-5.3482508088897865E-3</v>
      </c>
      <c r="AE55" s="27">
        <v>5.4962890418898597E-2</v>
      </c>
      <c r="AF55" s="27">
        <v>2.1309243534534714E-2</v>
      </c>
      <c r="AG55" s="21">
        <v>-1682.682344218194</v>
      </c>
      <c r="AH55">
        <v>-1682.4923442181939</v>
      </c>
    </row>
    <row r="56" spans="2:34" x14ac:dyDescent="0.2">
      <c r="B56" s="23">
        <v>49</v>
      </c>
      <c r="C56" s="5">
        <v>4.5960149440000002</v>
      </c>
      <c r="D56" s="7">
        <v>4.4268858000000001E-2</v>
      </c>
      <c r="E56" s="13">
        <f>EXP(-tbl_zero_rates[[#This Row],[nacc]]*tbl_zero_rates[[#This Row],[tau]])</f>
        <v>0.81590256815174322</v>
      </c>
      <c r="K56" s="26">
        <v>3.2176443317272727</v>
      </c>
      <c r="L56" s="29">
        <v>3.2176543317272728</v>
      </c>
      <c r="M56" s="29">
        <v>3.2176343317272726</v>
      </c>
      <c r="N56" s="26"/>
      <c r="O56" s="26">
        <v>0.88344419020040399</v>
      </c>
      <c r="P56" s="26">
        <v>0.8834437006049447</v>
      </c>
      <c r="Q56" s="26">
        <v>0.88344467979613461</v>
      </c>
      <c r="R56" s="26"/>
      <c r="S56" s="28">
        <v>3.8514871573027791E-2</v>
      </c>
      <c r="T56" s="28">
        <v>3.8514924108471647E-2</v>
      </c>
      <c r="U56" s="28">
        <v>3.851481903725739E-2</v>
      </c>
      <c r="V56" s="26"/>
      <c r="W56" s="20">
        <v>5.2535770400652382E-3</v>
      </c>
      <c r="X56" s="26"/>
      <c r="Y56" s="26"/>
      <c r="Z56" s="26"/>
      <c r="AA56" s="26"/>
      <c r="AB56" s="26"/>
      <c r="AC56" s="4">
        <v>5.2535443856305264E-3</v>
      </c>
      <c r="AD56" s="20">
        <v>-5.2535770400652382E-3</v>
      </c>
      <c r="AE56" s="27">
        <v>5.5419013957817204E-2</v>
      </c>
      <c r="AF56" s="27">
        <v>2.1610729188769336E-2</v>
      </c>
      <c r="AG56" s="21">
        <v>-1690.4142384523932</v>
      </c>
      <c r="AH56">
        <v>-1690.2242384523931</v>
      </c>
    </row>
    <row r="57" spans="2:34" x14ac:dyDescent="0.2">
      <c r="B57" s="23">
        <v>50</v>
      </c>
      <c r="C57" s="5">
        <v>4.6845163970000003</v>
      </c>
      <c r="D57" s="7">
        <v>4.4548469E-2</v>
      </c>
      <c r="E57" s="13">
        <f>EXP(-tbl_zero_rates[[#This Row],[nacc]]*tbl_zero_rates[[#This Row],[tau]])</f>
        <v>0.81164840326974574</v>
      </c>
      <c r="K57" s="26">
        <v>3.2890593556767675</v>
      </c>
      <c r="L57" s="29">
        <v>3.2890693556767676</v>
      </c>
      <c r="M57" s="29">
        <v>3.2890493556767675</v>
      </c>
      <c r="N57" s="26"/>
      <c r="O57" s="26">
        <v>0.8799469681617037</v>
      </c>
      <c r="P57" s="26">
        <v>0.879946476768241</v>
      </c>
      <c r="Q57" s="26">
        <v>0.87994745955544096</v>
      </c>
      <c r="R57" s="26"/>
      <c r="S57" s="28">
        <v>3.8884563319804652E-2</v>
      </c>
      <c r="T57" s="28">
        <v>3.8884614881453179E-2</v>
      </c>
      <c r="U57" s="28">
        <v>3.8884511757842521E-2</v>
      </c>
      <c r="V57" s="26"/>
      <c r="W57" s="20">
        <v>5.1561962130519667E-3</v>
      </c>
      <c r="X57" s="26"/>
      <c r="Y57" s="26"/>
      <c r="Z57" s="26"/>
      <c r="AA57" s="26"/>
      <c r="AB57" s="26"/>
      <c r="AC57" s="4">
        <v>5.156164852720968E-3</v>
      </c>
      <c r="AD57" s="20">
        <v>-5.1561962130519667E-3</v>
      </c>
      <c r="AE57" s="27">
        <v>5.5843598691355328E-2</v>
      </c>
      <c r="AF57" s="27">
        <v>2.1925527925560961E-2</v>
      </c>
      <c r="AG57" s="21">
        <v>-1695.9035382897182</v>
      </c>
      <c r="AH57">
        <v>-1695.7135382897181</v>
      </c>
    </row>
    <row r="58" spans="2:34" x14ac:dyDescent="0.2">
      <c r="B58" s="23">
        <v>51</v>
      </c>
      <c r="C58" s="5">
        <v>4.7730178490000004</v>
      </c>
      <c r="D58" s="7">
        <v>4.48186E-2</v>
      </c>
      <c r="E58" s="13">
        <f>EXP(-tbl_zero_rates[[#This Row],[nacc]]*tbl_zero_rates[[#This Row],[tau]])</f>
        <v>0.80741299342812534</v>
      </c>
      <c r="K58" s="26">
        <v>3.3604743796262624</v>
      </c>
      <c r="L58" s="29">
        <v>3.3604843796262625</v>
      </c>
      <c r="M58" s="29">
        <v>3.3604643796262623</v>
      </c>
      <c r="N58" s="26"/>
      <c r="O58" s="26">
        <v>0.87644346625189651</v>
      </c>
      <c r="P58" s="26">
        <v>0.87644297336157251</v>
      </c>
      <c r="Q58" s="26">
        <v>0.87644395914249773</v>
      </c>
      <c r="R58" s="26"/>
      <c r="S58" s="28">
        <v>3.9245374679237541E-2</v>
      </c>
      <c r="T58" s="28">
        <v>3.9245425243942617E-2</v>
      </c>
      <c r="U58" s="28">
        <v>3.9245324114231511E-2</v>
      </c>
      <c r="V58" s="26"/>
      <c r="W58" s="20">
        <v>5.0565006029512638E-3</v>
      </c>
      <c r="X58" s="26"/>
      <c r="Y58" s="26"/>
      <c r="Z58" s="26"/>
      <c r="AA58" s="26"/>
      <c r="AB58" s="26"/>
      <c r="AC58" s="4">
        <v>5.0564705075806238E-3</v>
      </c>
      <c r="AD58" s="20">
        <v>-5.0565006029512638E-3</v>
      </c>
      <c r="AE58" s="27">
        <v>5.623761540070818E-2</v>
      </c>
      <c r="AF58" s="27">
        <v>2.2253133952455071E-2</v>
      </c>
      <c r="AG58" s="21">
        <v>-1699.2240724126555</v>
      </c>
      <c r="AH58">
        <v>-1699.0340724126554</v>
      </c>
    </row>
    <row r="59" spans="2:34" x14ac:dyDescent="0.2">
      <c r="B59" s="23">
        <v>52</v>
      </c>
      <c r="C59" s="5">
        <v>4.8615193019999996</v>
      </c>
      <c r="D59" s="7">
        <v>4.5079484000000003E-2</v>
      </c>
      <c r="E59" s="13">
        <f>EXP(-tbl_zero_rates[[#This Row],[nacc]]*tbl_zero_rates[[#This Row],[tau]])</f>
        <v>0.80319738836287791</v>
      </c>
      <c r="K59" s="26">
        <v>3.4318894035757577</v>
      </c>
      <c r="L59" s="29">
        <v>3.4318994035757577</v>
      </c>
      <c r="M59" s="29">
        <v>3.4318794035757576</v>
      </c>
      <c r="N59" s="26"/>
      <c r="O59" s="26">
        <v>0.87293054686057059</v>
      </c>
      <c r="P59" s="26">
        <v>0.8729300559458264</v>
      </c>
      <c r="Q59" s="26">
        <v>0.872931037775591</v>
      </c>
      <c r="R59" s="26"/>
      <c r="S59" s="28">
        <v>3.9598969310169881E-2</v>
      </c>
      <c r="T59" s="28">
        <v>3.959901779234714E-2</v>
      </c>
      <c r="U59" s="28">
        <v>3.9598920827710028E-2</v>
      </c>
      <c r="V59" s="26"/>
      <c r="W59" s="20">
        <v>4.8482459852339232E-3</v>
      </c>
      <c r="X59" s="26"/>
      <c r="Y59" s="26"/>
      <c r="Z59" s="26"/>
      <c r="AA59" s="26"/>
      <c r="AB59" s="26"/>
      <c r="AC59" s="4">
        <v>4.8482177258946102E-3</v>
      </c>
      <c r="AD59" s="20">
        <v>-4.8482459852339232E-3</v>
      </c>
      <c r="AE59" s="27">
        <v>5.623761331425027E-2</v>
      </c>
      <c r="AF59" s="27">
        <v>2.2960325287516872E-2</v>
      </c>
      <c r="AG59" s="21">
        <v>-1663.8644013366697</v>
      </c>
      <c r="AH59">
        <v>-1663.6744013366697</v>
      </c>
    </row>
    <row r="60" spans="2:34" x14ac:dyDescent="0.2">
      <c r="B60" s="23">
        <v>53</v>
      </c>
      <c r="C60" s="5">
        <v>4.9500207549999997</v>
      </c>
      <c r="D60" s="7">
        <v>4.5331356000000003E-2</v>
      </c>
      <c r="E60" s="13">
        <f>EXP(-tbl_zero_rates[[#This Row],[nacc]]*tbl_zero_rates[[#This Row],[tau]])</f>
        <v>0.79900254095473167</v>
      </c>
      <c r="K60" s="26">
        <v>3.5033044275252525</v>
      </c>
      <c r="L60" s="29">
        <v>3.5033144275252526</v>
      </c>
      <c r="M60" s="29">
        <v>3.5032944275252524</v>
      </c>
      <c r="N60" s="26"/>
      <c r="O60" s="26">
        <v>0.86941339179211785</v>
      </c>
      <c r="P60" s="26">
        <v>0.86941289968697211</v>
      </c>
      <c r="Q60" s="26">
        <v>0.86941388389754204</v>
      </c>
      <c r="R60" s="26"/>
      <c r="S60" s="28">
        <v>3.9944161277851435E-2</v>
      </c>
      <c r="T60" s="28">
        <v>3.9944208826621377E-2</v>
      </c>
      <c r="U60" s="28">
        <v>3.9944113728810071E-2</v>
      </c>
      <c r="V60" s="26"/>
      <c r="W60" s="20">
        <v>4.7549041364003397E-3</v>
      </c>
      <c r="X60" s="26"/>
      <c r="Y60" s="26"/>
      <c r="Z60" s="26"/>
      <c r="AA60" s="26"/>
      <c r="AB60" s="26"/>
      <c r="AC60" s="4">
        <v>4.7548769942229452E-3</v>
      </c>
      <c r="AD60" s="20">
        <v>-4.7549041364003397E-3</v>
      </c>
      <c r="AE60" s="27">
        <v>5.6602038001590527E-2</v>
      </c>
      <c r="AF60" s="27">
        <v>2.3286284564341987E-2</v>
      </c>
      <c r="AG60" s="21">
        <v>-1665.7876718624268</v>
      </c>
      <c r="AH60">
        <v>-1665.5976718624268</v>
      </c>
    </row>
    <row r="61" spans="2:34" x14ac:dyDescent="0.2">
      <c r="B61" s="23">
        <v>54</v>
      </c>
      <c r="C61" s="5">
        <v>5.0385222079999998</v>
      </c>
      <c r="D61" s="7">
        <v>4.5574450000000002E-2</v>
      </c>
      <c r="E61" s="13">
        <f>EXP(-tbl_zero_rates[[#This Row],[nacc]]*tbl_zero_rates[[#This Row],[tau]])</f>
        <v>0.79482932060320199</v>
      </c>
      <c r="K61" s="26">
        <v>3.5747194514747473</v>
      </c>
      <c r="L61" s="29">
        <v>3.5747294514747474</v>
      </c>
      <c r="M61" s="29">
        <v>3.5747094514747473</v>
      </c>
      <c r="N61" s="26"/>
      <c r="O61" s="26">
        <v>0.86589427724339119</v>
      </c>
      <c r="P61" s="26">
        <v>0.86589378422340069</v>
      </c>
      <c r="Q61" s="26">
        <v>0.86589477026366235</v>
      </c>
      <c r="R61" s="26"/>
      <c r="S61" s="28">
        <v>4.0280772108694247E-2</v>
      </c>
      <c r="T61" s="28">
        <v>4.0280818704975768E-2</v>
      </c>
      <c r="U61" s="28">
        <v>4.0280725512152053E-2</v>
      </c>
      <c r="V61" s="26"/>
      <c r="W61" s="20">
        <v>4.6596542194188295E-3</v>
      </c>
      <c r="X61" s="26"/>
      <c r="Y61" s="26"/>
      <c r="Z61" s="26"/>
      <c r="AA61" s="26"/>
      <c r="AB61" s="26"/>
      <c r="AC61" s="4">
        <v>4.6596281520761007E-3</v>
      </c>
      <c r="AD61" s="20">
        <v>-4.6596542194188295E-3</v>
      </c>
      <c r="AE61" s="27">
        <v>5.6937728693123059E-2</v>
      </c>
      <c r="AF61" s="27">
        <v>2.3623815533391379E-2</v>
      </c>
      <c r="AG61" s="21">
        <v>-1665.6956579865839</v>
      </c>
      <c r="AH61">
        <v>-1665.5056579865839</v>
      </c>
    </row>
    <row r="62" spans="2:34" x14ac:dyDescent="0.2">
      <c r="B62" s="23">
        <v>55</v>
      </c>
      <c r="C62" s="5">
        <v>5.127023661</v>
      </c>
      <c r="D62" s="7">
        <v>4.5808999000000003E-2</v>
      </c>
      <c r="E62" s="13">
        <f>EXP(-tbl_zero_rates[[#This Row],[nacc]]*tbl_zero_rates[[#This Row],[tau]])</f>
        <v>0.79067851550655899</v>
      </c>
      <c r="K62" s="26">
        <v>3.6461344754242422</v>
      </c>
      <c r="L62" s="29">
        <v>3.6461444754242422</v>
      </c>
      <c r="M62" s="29">
        <v>3.6461244754242421</v>
      </c>
      <c r="N62" s="26"/>
      <c r="O62" s="26">
        <v>0.86237424412468111</v>
      </c>
      <c r="P62" s="26">
        <v>0.86237375045303222</v>
      </c>
      <c r="Q62" s="26">
        <v>0.86237473779661256</v>
      </c>
      <c r="R62" s="26"/>
      <c r="S62" s="28">
        <v>4.0609019118317428E-2</v>
      </c>
      <c r="T62" s="28">
        <v>4.0609064746340788E-2</v>
      </c>
      <c r="U62" s="28">
        <v>4.0608973490043804E-2</v>
      </c>
      <c r="V62" s="26"/>
      <c r="W62" s="20">
        <v>4.5628273624698235E-3</v>
      </c>
      <c r="X62" s="26"/>
      <c r="Y62" s="26"/>
      <c r="Z62" s="26"/>
      <c r="AA62" s="26"/>
      <c r="AB62" s="26"/>
      <c r="AC62" s="4">
        <v>4.5628023359611802E-3</v>
      </c>
      <c r="AD62" s="20">
        <v>-4.5628273624698235E-3</v>
      </c>
      <c r="AE62" s="27">
        <v>5.7245701276058478E-2</v>
      </c>
      <c r="AF62" s="27">
        <v>2.3972336966607142E-2</v>
      </c>
      <c r="AG62" s="21">
        <v>-1663.6682154725668</v>
      </c>
      <c r="AH62">
        <v>-1663.4782154725667</v>
      </c>
    </row>
    <row r="63" spans="2:34" x14ac:dyDescent="0.2">
      <c r="B63" s="23">
        <v>56</v>
      </c>
      <c r="C63" s="5">
        <v>5.2155251140000001</v>
      </c>
      <c r="D63" s="7">
        <v>4.6035237E-2</v>
      </c>
      <c r="E63" s="13">
        <f>EXP(-tbl_zero_rates[[#This Row],[nacc]]*tbl_zero_rates[[#This Row],[tau]])</f>
        <v>0.78655082667327902</v>
      </c>
      <c r="K63" s="26">
        <v>3.7175494993737375</v>
      </c>
      <c r="L63" s="29">
        <v>3.7175594993737375</v>
      </c>
      <c r="M63" s="29">
        <v>3.7175394993737374</v>
      </c>
      <c r="N63" s="26"/>
      <c r="O63" s="26">
        <v>0.85885430123307982</v>
      </c>
      <c r="P63" s="26">
        <v>0.85885380716175563</v>
      </c>
      <c r="Q63" s="26">
        <v>0.85885479530468833</v>
      </c>
      <c r="R63" s="26"/>
      <c r="S63" s="28">
        <v>4.0929108222107845E-2</v>
      </c>
      <c r="T63" s="28">
        <v>4.0929152868871263E-2</v>
      </c>
      <c r="U63" s="28">
        <v>4.0929063575104209E-2</v>
      </c>
      <c r="V63" s="26"/>
      <c r="W63" s="20">
        <v>4.4647003635822635E-3</v>
      </c>
      <c r="X63" s="26"/>
      <c r="Y63" s="26"/>
      <c r="Z63" s="26"/>
      <c r="AA63" s="26"/>
      <c r="AB63" s="26"/>
      <c r="AC63" s="4">
        <v>4.4646763418254576E-3</v>
      </c>
      <c r="AD63" s="20">
        <v>-4.4647003635822635E-3</v>
      </c>
      <c r="AE63" s="27">
        <v>5.7526852815053681E-2</v>
      </c>
      <c r="AF63" s="27">
        <v>2.4331363620618857E-2</v>
      </c>
      <c r="AG63" s="21">
        <v>-1659.7744597217411</v>
      </c>
      <c r="AH63">
        <v>-1659.584459721741</v>
      </c>
    </row>
    <row r="64" spans="2:34" x14ac:dyDescent="0.2">
      <c r="B64" s="23">
        <v>57</v>
      </c>
      <c r="C64" s="5">
        <v>5.3040265670000002</v>
      </c>
      <c r="D64" s="7">
        <v>4.62534E-2</v>
      </c>
      <c r="E64" s="13">
        <f>EXP(-tbl_zero_rates[[#This Row],[nacc]]*tbl_zero_rates[[#This Row],[tau]])</f>
        <v>0.78244686547940279</v>
      </c>
      <c r="K64" s="26">
        <v>3.7889645233232323</v>
      </c>
      <c r="L64" s="29">
        <v>3.7889745233232324</v>
      </c>
      <c r="M64" s="29">
        <v>3.7889545233232322</v>
      </c>
      <c r="N64" s="26"/>
      <c r="O64" s="26">
        <v>0.85533312660804683</v>
      </c>
      <c r="P64" s="26">
        <v>0.85533263456234132</v>
      </c>
      <c r="Q64" s="26">
        <v>0.85533361865403534</v>
      </c>
      <c r="R64" s="26"/>
      <c r="S64" s="28">
        <v>4.1241944389432406E-2</v>
      </c>
      <c r="T64" s="28">
        <v>4.1241987369039924E-2</v>
      </c>
      <c r="U64" s="28">
        <v>4.124190140959804E-2</v>
      </c>
      <c r="V64" s="26"/>
      <c r="W64" s="20">
        <v>4.2979834365131087E-3</v>
      </c>
      <c r="X64" s="26"/>
      <c r="Y64" s="26"/>
      <c r="Z64" s="26"/>
      <c r="AA64" s="26"/>
      <c r="AB64" s="26"/>
      <c r="AC64" s="4">
        <v>4.297960751881158E-3</v>
      </c>
      <c r="AD64" s="20">
        <v>-4.2979834365131087E-3</v>
      </c>
      <c r="AE64" s="27">
        <v>5.7526851160160791E-2</v>
      </c>
      <c r="AF64" s="27">
        <v>2.4957037626653366E-2</v>
      </c>
      <c r="AG64" s="21">
        <v>-1628.4906766753709</v>
      </c>
      <c r="AH64">
        <v>-1628.3006766753708</v>
      </c>
    </row>
    <row r="65" spans="2:34" x14ac:dyDescent="0.2">
      <c r="B65" s="23">
        <v>58</v>
      </c>
      <c r="C65" s="5">
        <v>5.3925280200000003</v>
      </c>
      <c r="D65" s="7">
        <v>4.646372E-2</v>
      </c>
      <c r="E65" s="13">
        <f>EXP(-tbl_zero_rates[[#This Row],[nacc]]*tbl_zero_rates[[#This Row],[tau]])</f>
        <v>0.77836718030974061</v>
      </c>
      <c r="K65" s="26">
        <v>3.8603795472727271</v>
      </c>
      <c r="L65" s="29">
        <v>3.8603895472727272</v>
      </c>
      <c r="M65" s="29">
        <v>3.8603695472727271</v>
      </c>
      <c r="N65" s="26"/>
      <c r="O65" s="26">
        <v>0.85181315091539533</v>
      </c>
      <c r="P65" s="26">
        <v>0.85181265872021805</v>
      </c>
      <c r="Q65" s="26">
        <v>0.85181364311085705</v>
      </c>
      <c r="R65" s="26"/>
      <c r="S65" s="28">
        <v>4.1547231477442305E-2</v>
      </c>
      <c r="T65" s="28">
        <v>4.1547273532380018E-2</v>
      </c>
      <c r="U65" s="28">
        <v>4.154718942228669E-2</v>
      </c>
      <c r="V65" s="26"/>
      <c r="W65" s="20">
        <v>4.2055155614895146E-3</v>
      </c>
      <c r="X65" s="26"/>
      <c r="Y65" s="26"/>
      <c r="Z65" s="26"/>
      <c r="AA65" s="26"/>
      <c r="AB65" s="26"/>
      <c r="AC65" s="4">
        <v>4.2054937712809881E-3</v>
      </c>
      <c r="AD65" s="20">
        <v>-4.2055155614895146E-3</v>
      </c>
      <c r="AE65" s="27">
        <v>5.7782117728153705E-2</v>
      </c>
      <c r="AF65" s="27">
        <v>2.5312345218131003E-2</v>
      </c>
      <c r="AG65" s="21">
        <v>-1623.4886255011347</v>
      </c>
      <c r="AH65">
        <v>-1623.2986255011347</v>
      </c>
    </row>
    <row r="66" spans="2:34" x14ac:dyDescent="0.2">
      <c r="B66" s="23">
        <v>59</v>
      </c>
      <c r="C66" s="5">
        <v>5.4810294730000004</v>
      </c>
      <c r="D66" s="7">
        <v>4.6666433E-2</v>
      </c>
      <c r="E66" s="13">
        <f>EXP(-tbl_zero_rates[[#This Row],[nacc]]*tbl_zero_rates[[#This Row],[tau]])</f>
        <v>0.77431222545469791</v>
      </c>
      <c r="K66" s="26">
        <v>3.931794571222222</v>
      </c>
      <c r="L66" s="29">
        <v>3.931804571222222</v>
      </c>
      <c r="M66" s="29">
        <v>3.9317845712222219</v>
      </c>
      <c r="N66" s="26"/>
      <c r="O66" s="26">
        <v>0.84829682501750747</v>
      </c>
      <c r="P66" s="26">
        <v>0.84829633290073203</v>
      </c>
      <c r="Q66" s="26">
        <v>0.84829731713456835</v>
      </c>
      <c r="R66" s="26"/>
      <c r="S66" s="28">
        <v>4.1844677272482055E-2</v>
      </c>
      <c r="T66" s="28">
        <v>4.1844718392715391E-2</v>
      </c>
      <c r="U66" s="28">
        <v>4.1844636152039559E-2</v>
      </c>
      <c r="V66" s="26"/>
      <c r="W66" s="20">
        <v>4.1120442495490295E-3</v>
      </c>
      <c r="X66" s="26"/>
      <c r="Y66" s="26"/>
      <c r="Z66" s="26"/>
      <c r="AA66" s="26"/>
      <c r="AB66" s="26"/>
      <c r="AC66" s="4">
        <v>4.1120233336411349E-3</v>
      </c>
      <c r="AD66" s="20">
        <v>-4.1120442495490295E-3</v>
      </c>
      <c r="AE66" s="27">
        <v>5.8012390532898042E-2</v>
      </c>
      <c r="AF66" s="27">
        <v>2.5676964015479625E-2</v>
      </c>
      <c r="AG66" s="21">
        <v>-1616.7713258709205</v>
      </c>
      <c r="AH66">
        <v>-1616.5813258709204</v>
      </c>
    </row>
    <row r="67" spans="2:34" x14ac:dyDescent="0.2">
      <c r="B67" s="23">
        <v>60</v>
      </c>
      <c r="C67" s="5">
        <v>5.5695309249999996</v>
      </c>
      <c r="D67" s="7">
        <v>4.6861771000000003E-2</v>
      </c>
      <c r="E67" s="13">
        <f>EXP(-tbl_zero_rates[[#This Row],[nacc]]*tbl_zero_rates[[#This Row],[tau]])</f>
        <v>0.77028239641080665</v>
      </c>
      <c r="K67" s="26">
        <v>4.0032095951717173</v>
      </c>
      <c r="L67" s="29">
        <v>4.0032195951717169</v>
      </c>
      <c r="M67" s="29">
        <v>4.0031995951717176</v>
      </c>
      <c r="N67" s="26"/>
      <c r="O67" s="26">
        <v>0.84478498571779936</v>
      </c>
      <c r="P67" s="26">
        <v>0.84478449389511767</v>
      </c>
      <c r="Q67" s="26">
        <v>0.84478547754076727</v>
      </c>
      <c r="R67" s="26"/>
      <c r="S67" s="28">
        <v>4.2134476041260416E-2</v>
      </c>
      <c r="T67" s="28">
        <v>4.2134516219477475E-2</v>
      </c>
      <c r="U67" s="28">
        <v>4.2134435862842656E-2</v>
      </c>
      <c r="V67" s="26"/>
      <c r="W67" s="20">
        <v>4.0178417759495488E-3</v>
      </c>
      <c r="X67" s="26"/>
      <c r="Y67" s="26"/>
      <c r="Z67" s="26"/>
      <c r="AA67" s="26"/>
      <c r="AB67" s="26"/>
      <c r="AC67" s="4">
        <v>4.0178217058928212E-3</v>
      </c>
      <c r="AD67" s="20">
        <v>-4.0178417759495488E-3</v>
      </c>
      <c r="AE67" s="27">
        <v>5.8218738802413871E-2</v>
      </c>
      <c r="AF67" s="27">
        <v>2.6050213291897408E-2</v>
      </c>
      <c r="AG67" s="21">
        <v>-1608.4262755258233</v>
      </c>
      <c r="AH67">
        <v>-1608.2362755258232</v>
      </c>
    </row>
    <row r="68" spans="2:34" x14ac:dyDescent="0.2">
      <c r="B68" s="23">
        <v>61</v>
      </c>
      <c r="C68" s="5">
        <v>5.6580323779999997</v>
      </c>
      <c r="D68" s="7">
        <v>4.7049968999999997E-2</v>
      </c>
      <c r="E68" s="13">
        <f>EXP(-tbl_zero_rates[[#This Row],[nacc]]*tbl_zero_rates[[#This Row],[tau]])</f>
        <v>0.76627800215688302</v>
      </c>
      <c r="K68" s="26">
        <v>4.0746246191212121</v>
      </c>
      <c r="L68" s="29">
        <v>4.0746346191212117</v>
      </c>
      <c r="M68" s="29">
        <v>4.0746146191212125</v>
      </c>
      <c r="N68" s="26"/>
      <c r="O68" s="26">
        <v>0.84127844110711225</v>
      </c>
      <c r="P68" s="26">
        <v>0.84127794978482906</v>
      </c>
      <c r="Q68" s="26">
        <v>0.84127893242968232</v>
      </c>
      <c r="R68" s="26"/>
      <c r="S68" s="28">
        <v>4.2416812982605079E-2</v>
      </c>
      <c r="T68" s="28">
        <v>4.2416852213281286E-2</v>
      </c>
      <c r="U68" s="28">
        <v>4.2416773751736324E-2</v>
      </c>
      <c r="V68" s="26"/>
      <c r="W68" s="20">
        <v>3.923086875495807E-3</v>
      </c>
      <c r="X68" s="26"/>
      <c r="Y68" s="26"/>
      <c r="Z68" s="26"/>
      <c r="AA68" s="26"/>
      <c r="AB68" s="26"/>
      <c r="AC68" s="4">
        <v>3.9230676207591131E-3</v>
      </c>
      <c r="AD68" s="20">
        <v>-3.923086875495807E-3</v>
      </c>
      <c r="AE68" s="27">
        <v>5.8401919353979856E-2</v>
      </c>
      <c r="AF68" s="27">
        <v>2.643170661675855E-2</v>
      </c>
      <c r="AG68" s="21">
        <v>-1598.5106368610654</v>
      </c>
      <c r="AH68">
        <v>-1598.3206368610654</v>
      </c>
    </row>
    <row r="69" spans="2:34" x14ac:dyDescent="0.2">
      <c r="B69" s="23">
        <v>62</v>
      </c>
      <c r="C69" s="5">
        <v>5.7465338309999998</v>
      </c>
      <c r="D69" s="7">
        <v>4.7231262000000003E-2</v>
      </c>
      <c r="E69" s="13">
        <f>EXP(-tbl_zero_rates[[#This Row],[nacc]]*tbl_zero_rates[[#This Row],[tau]])</f>
        <v>0.76229927964519983</v>
      </c>
      <c r="K69" s="26">
        <v>4.1460396430707069</v>
      </c>
      <c r="L69" s="29">
        <v>4.1460496430707066</v>
      </c>
      <c r="M69" s="29">
        <v>4.1460296430707073</v>
      </c>
      <c r="N69" s="26"/>
      <c r="O69" s="26">
        <v>0.83777696781918909</v>
      </c>
      <c r="P69" s="26">
        <v>0.83777647854183157</v>
      </c>
      <c r="Q69" s="26">
        <v>0.83777745709683238</v>
      </c>
      <c r="R69" s="26"/>
      <c r="S69" s="28">
        <v>4.2692153801934779E-2</v>
      </c>
      <c r="T69" s="28">
        <v>4.2692191692765016E-2</v>
      </c>
      <c r="U69" s="28">
        <v>4.2692115910921757E-2</v>
      </c>
      <c r="V69" s="26"/>
      <c r="W69" s="20">
        <v>3.7891013021651427E-3</v>
      </c>
      <c r="X69" s="26"/>
      <c r="Y69" s="26"/>
      <c r="Z69" s="26"/>
      <c r="AA69" s="26"/>
      <c r="AB69" s="26"/>
      <c r="AC69" s="4">
        <v>3.7890830237308211E-3</v>
      </c>
      <c r="AD69" s="20">
        <v>-3.7891013021651427E-3</v>
      </c>
      <c r="AE69" s="27">
        <v>5.8401918010869462E-2</v>
      </c>
      <c r="AF69" s="27">
        <v>2.6982389591547258E-2</v>
      </c>
      <c r="AG69" s="21">
        <v>-1570.97642096611</v>
      </c>
      <c r="AH69">
        <v>-1570.78642096611</v>
      </c>
    </row>
    <row r="70" spans="2:34" x14ac:dyDescent="0.2">
      <c r="B70" s="23">
        <v>63</v>
      </c>
      <c r="C70" s="5">
        <v>5.8350352839999999</v>
      </c>
      <c r="D70" s="7">
        <v>4.7405883000000003E-2</v>
      </c>
      <c r="E70" s="13">
        <f>EXP(-tbl_zero_rates[[#This Row],[nacc]]*tbl_zero_rates[[#This Row],[tau]])</f>
        <v>0.75834640430000411</v>
      </c>
      <c r="K70" s="26">
        <v>4.2174546670202018</v>
      </c>
      <c r="L70" s="29">
        <v>4.2174646670202014</v>
      </c>
      <c r="M70" s="29">
        <v>4.2174446670202022</v>
      </c>
      <c r="N70" s="26"/>
      <c r="O70" s="26">
        <v>0.83428147404791275</v>
      </c>
      <c r="P70" s="26">
        <v>0.83428098546808382</v>
      </c>
      <c r="Q70" s="26">
        <v>0.83428196262802778</v>
      </c>
      <c r="R70" s="26"/>
      <c r="S70" s="28">
        <v>4.2960612267333345E-2</v>
      </c>
      <c r="T70" s="28">
        <v>4.2960649261960415E-2</v>
      </c>
      <c r="U70" s="28">
        <v>4.2960575272530846E-2</v>
      </c>
      <c r="V70" s="26"/>
      <c r="W70" s="20">
        <v>3.6994802499190622E-3</v>
      </c>
      <c r="X70" s="26"/>
      <c r="Y70" s="26"/>
      <c r="Z70" s="26"/>
      <c r="AA70" s="26"/>
      <c r="AB70" s="26"/>
      <c r="AC70" s="4">
        <v>3.6994627070074944E-3</v>
      </c>
      <c r="AD70" s="20">
        <v>-3.6994802499190622E-3</v>
      </c>
      <c r="AE70" s="27">
        <v>5.8563002515723432E-2</v>
      </c>
      <c r="AF70" s="27">
        <v>2.7358222021763134E-2</v>
      </c>
      <c r="AG70" s="21">
        <v>-1560.2390246980146</v>
      </c>
      <c r="AH70">
        <v>-1560.0490246980146</v>
      </c>
    </row>
    <row r="71" spans="2:34" x14ac:dyDescent="0.2">
      <c r="B71" s="23">
        <v>64</v>
      </c>
      <c r="C71" s="5">
        <v>5.9235367370000001</v>
      </c>
      <c r="D71" s="7">
        <v>4.7574064999999999E-2</v>
      </c>
      <c r="E71" s="13">
        <f>EXP(-tbl_zero_rates[[#This Row],[nacc]]*tbl_zero_rates[[#This Row],[tau]])</f>
        <v>0.75441948331579922</v>
      </c>
      <c r="K71" s="26">
        <v>4.2888696909696966</v>
      </c>
      <c r="L71" s="29">
        <v>4.2888796909696962</v>
      </c>
      <c r="M71" s="29">
        <v>4.288859690969697</v>
      </c>
      <c r="N71" s="26"/>
      <c r="O71" s="26">
        <v>0.830794117561092</v>
      </c>
      <c r="P71" s="26">
        <v>0.830793629861038</v>
      </c>
      <c r="Q71" s="26">
        <v>0.83079460526143234</v>
      </c>
      <c r="R71" s="26"/>
      <c r="S71" s="28">
        <v>4.3221939768143335E-2</v>
      </c>
      <c r="T71" s="28">
        <v>4.3221975863711841E-2</v>
      </c>
      <c r="U71" s="28">
        <v>4.3221903672406498E-2</v>
      </c>
      <c r="V71" s="26"/>
      <c r="W71" s="20">
        <v>3.609573683699407E-3</v>
      </c>
      <c r="X71" s="26"/>
      <c r="Y71" s="26"/>
      <c r="Z71" s="26"/>
      <c r="AA71" s="26"/>
      <c r="AB71" s="26"/>
      <c r="AC71" s="4">
        <v>3.6095568506366855E-3</v>
      </c>
      <c r="AD71" s="20">
        <v>-3.609573683699407E-3</v>
      </c>
      <c r="AE71" s="27">
        <v>5.8702930933808059E-2</v>
      </c>
      <c r="AF71" s="27">
        <v>2.7740948598803106E-2</v>
      </c>
      <c r="AG71" s="21">
        <v>-1548.0991167502475</v>
      </c>
      <c r="AH71">
        <v>-1547.9091167502474</v>
      </c>
    </row>
    <row r="72" spans="2:34" x14ac:dyDescent="0.2">
      <c r="B72" s="23">
        <v>65</v>
      </c>
      <c r="C72" s="5">
        <v>6.0120381900000002</v>
      </c>
      <c r="D72" s="7">
        <v>4.7736044999999998E-2</v>
      </c>
      <c r="E72" s="13">
        <f>EXP(-tbl_zero_rates[[#This Row],[nacc]]*tbl_zero_rates[[#This Row],[tau]])</f>
        <v>0.75051853932694224</v>
      </c>
      <c r="K72" s="26">
        <v>4.3602847149191915</v>
      </c>
      <c r="L72" s="29">
        <v>4.3602947149191911</v>
      </c>
      <c r="M72" s="29">
        <v>4.3602747149191918</v>
      </c>
      <c r="N72" s="26"/>
      <c r="O72" s="26">
        <v>0.82731555073163932</v>
      </c>
      <c r="P72" s="26">
        <v>0.82731506408443778</v>
      </c>
      <c r="Q72" s="26">
        <v>0.82731603737912696</v>
      </c>
      <c r="R72" s="26"/>
      <c r="S72" s="28">
        <v>4.3476311385358304E-2</v>
      </c>
      <c r="T72" s="28">
        <v>4.3476346580563902E-2</v>
      </c>
      <c r="U72" s="28">
        <v>4.3476276189991316E-2</v>
      </c>
      <c r="V72" s="26"/>
      <c r="W72" s="20">
        <v>3.5195366988871597E-3</v>
      </c>
      <c r="X72" s="26"/>
      <c r="Y72" s="26"/>
      <c r="Z72" s="26"/>
      <c r="AA72" s="26"/>
      <c r="AB72" s="26"/>
      <c r="AC72" s="4">
        <v>3.5195205597138286E-3</v>
      </c>
      <c r="AD72" s="20">
        <v>-3.5195366988871597E-3</v>
      </c>
      <c r="AE72" s="27">
        <v>5.8822493476133539E-2</v>
      </c>
      <c r="AF72" s="27">
        <v>2.8130129313603473E-2</v>
      </c>
      <c r="AG72" s="21">
        <v>-1534.6182081265031</v>
      </c>
      <c r="AH72">
        <v>-1534.428208126503</v>
      </c>
    </row>
    <row r="73" spans="2:34" x14ac:dyDescent="0.2">
      <c r="B73" s="23">
        <v>66</v>
      </c>
      <c r="C73" s="5">
        <v>6.1005396430000003</v>
      </c>
      <c r="D73" s="7">
        <v>4.7892054000000003E-2</v>
      </c>
      <c r="E73" s="13">
        <f>EXP(-tbl_zero_rates[[#This Row],[nacc]]*tbl_zero_rates[[#This Row],[tau]])</f>
        <v>0.74664355678710803</v>
      </c>
      <c r="K73" s="26">
        <v>4.4316997388686872</v>
      </c>
      <c r="L73" s="29">
        <v>4.4317097388686868</v>
      </c>
      <c r="M73" s="29">
        <v>4.4316897388686876</v>
      </c>
      <c r="N73" s="26"/>
      <c r="O73" s="26">
        <v>0.82384639835821949</v>
      </c>
      <c r="P73" s="26">
        <v>0.82384591292509957</v>
      </c>
      <c r="Q73" s="26">
        <v>0.82384688379162541</v>
      </c>
      <c r="R73" s="26"/>
      <c r="S73" s="28">
        <v>4.372389548621175E-2</v>
      </c>
      <c r="T73" s="28">
        <v>4.3723929781986852E-2</v>
      </c>
      <c r="U73" s="28">
        <v>4.3723861190281883E-2</v>
      </c>
      <c r="V73" s="26"/>
      <c r="W73" s="20">
        <v>3.4295929866867687E-3</v>
      </c>
      <c r="X73" s="26"/>
      <c r="Y73" s="26"/>
      <c r="Z73" s="26"/>
      <c r="AA73" s="26"/>
      <c r="AB73" s="26"/>
      <c r="AC73" s="4">
        <v>3.4295775101778054E-3</v>
      </c>
      <c r="AD73" s="20">
        <v>-3.4295929866867687E-3</v>
      </c>
      <c r="AE73" s="27">
        <v>5.8922821834046853E-2</v>
      </c>
      <c r="AF73" s="27">
        <v>2.8524969142686117E-2</v>
      </c>
      <c r="AG73" s="21">
        <v>-1519.8926345680366</v>
      </c>
      <c r="AH73">
        <v>-1519.7026345680365</v>
      </c>
    </row>
    <row r="74" spans="2:34" x14ac:dyDescent="0.2">
      <c r="B74" s="23">
        <v>67</v>
      </c>
      <c r="C74" s="5">
        <v>6.1890410960000004</v>
      </c>
      <c r="D74" s="7">
        <v>4.8042328000000002E-2</v>
      </c>
      <c r="E74" s="13">
        <f>EXP(-tbl_zero_rates[[#This Row],[nacc]]*tbl_zero_rates[[#This Row],[tau]])</f>
        <v>0.74279443434232606</v>
      </c>
      <c r="K74" s="26">
        <v>4.503114762818182</v>
      </c>
      <c r="L74" s="29">
        <v>4.5031247628181816</v>
      </c>
      <c r="M74" s="29">
        <v>4.5031047628181824</v>
      </c>
      <c r="N74" s="26"/>
      <c r="O74" s="26">
        <v>0.82038695926491823</v>
      </c>
      <c r="P74" s="26">
        <v>0.82038647587019564</v>
      </c>
      <c r="Q74" s="26">
        <v>0.82038744265992558</v>
      </c>
      <c r="R74" s="26"/>
      <c r="S74" s="28">
        <v>4.3964935143662606E-2</v>
      </c>
      <c r="T74" s="28">
        <v>4.3964968360269259E-2</v>
      </c>
      <c r="U74" s="28">
        <v>4.3964901926908433E-2</v>
      </c>
      <c r="V74" s="26"/>
      <c r="W74" s="20">
        <v>3.3216754173615022E-3</v>
      </c>
      <c r="X74" s="26"/>
      <c r="Y74" s="26"/>
      <c r="Z74" s="26"/>
      <c r="AA74" s="26"/>
      <c r="AB74" s="26"/>
      <c r="AC74" s="4">
        <v>3.3216606652730625E-3</v>
      </c>
      <c r="AD74" s="20">
        <v>-3.3216754173615022E-3</v>
      </c>
      <c r="AE74" s="27">
        <v>5.89228207557395E-2</v>
      </c>
      <c r="AF74" s="27">
        <v>2.9007049534451778E-2</v>
      </c>
      <c r="AG74" s="21">
        <v>-1495.7885610643859</v>
      </c>
      <c r="AH74">
        <v>-1495.5985610643859</v>
      </c>
    </row>
    <row r="75" spans="2:34" x14ac:dyDescent="0.2">
      <c r="B75" s="23">
        <v>68</v>
      </c>
      <c r="C75" s="5">
        <v>6.2775425489999996</v>
      </c>
      <c r="D75" s="7">
        <v>4.8187101000000003E-2</v>
      </c>
      <c r="E75" s="13">
        <f>EXP(-tbl_zero_rates[[#This Row],[nacc]]*tbl_zero_rates[[#This Row],[tau]])</f>
        <v>0.73897101787030384</v>
      </c>
      <c r="K75" s="26">
        <v>4.5745297867676769</v>
      </c>
      <c r="L75" s="29">
        <v>4.5745397867676765</v>
      </c>
      <c r="M75" s="29">
        <v>4.5745197867676772</v>
      </c>
      <c r="N75" s="26"/>
      <c r="O75" s="26">
        <v>0.81693756383973926</v>
      </c>
      <c r="P75" s="26">
        <v>0.81693708180856095</v>
      </c>
      <c r="Q75" s="26">
        <v>0.816938045871202</v>
      </c>
      <c r="R75" s="26"/>
      <c r="S75" s="28">
        <v>4.4199648426389043E-2</v>
      </c>
      <c r="T75" s="28">
        <v>4.4199680790349367E-2</v>
      </c>
      <c r="U75" s="28">
        <v>4.4199616062287214E-2</v>
      </c>
      <c r="V75" s="26"/>
      <c r="W75" s="20">
        <v>3.2364101829052134E-3</v>
      </c>
      <c r="X75" s="26"/>
      <c r="Y75" s="26"/>
      <c r="Z75" s="26"/>
      <c r="AA75" s="26"/>
      <c r="AB75" s="26"/>
      <c r="AC75" s="4">
        <v>3.2363960324188752E-3</v>
      </c>
      <c r="AD75" s="20">
        <v>-3.2364101829052134E-3</v>
      </c>
      <c r="AE75" s="27">
        <v>5.9004703206386566E-2</v>
      </c>
      <c r="AF75" s="27">
        <v>2.9394593642490918E-2</v>
      </c>
      <c r="AG75" s="21">
        <v>-1480.5054781947822</v>
      </c>
      <c r="AH75">
        <v>-1480.3154781947821</v>
      </c>
    </row>
    <row r="76" spans="2:34" x14ac:dyDescent="0.2">
      <c r="B76" s="23">
        <v>69</v>
      </c>
      <c r="C76" s="5">
        <v>6.3660440009999997</v>
      </c>
      <c r="D76" s="7">
        <v>4.8326606000000001E-2</v>
      </c>
      <c r="E76" s="13">
        <f>EXP(-tbl_zero_rates[[#This Row],[nacc]]*tbl_zero_rates[[#This Row],[tau]])</f>
        <v>0.73517309785212037</v>
      </c>
      <c r="K76" s="26">
        <v>4.6459448107171717</v>
      </c>
      <c r="L76" s="29">
        <v>4.6459548107171713</v>
      </c>
      <c r="M76" s="29">
        <v>4.6459348107171721</v>
      </c>
      <c r="N76" s="26"/>
      <c r="O76" s="26">
        <v>0.81349976201373664</v>
      </c>
      <c r="P76" s="26">
        <v>0.8134992814869465</v>
      </c>
      <c r="Q76" s="26">
        <v>0.81350024254081066</v>
      </c>
      <c r="R76" s="26"/>
      <c r="S76" s="28">
        <v>4.4427915801552198E-2</v>
      </c>
      <c r="T76" s="28">
        <v>4.4427947315369982E-2</v>
      </c>
      <c r="U76" s="28">
        <v>4.4427884287598751E-2</v>
      </c>
      <c r="V76" s="26"/>
      <c r="W76" s="20">
        <v>3.1513953446804517E-3</v>
      </c>
      <c r="X76" s="26"/>
      <c r="Y76" s="26"/>
      <c r="Z76" s="26"/>
      <c r="AA76" s="26"/>
      <c r="AB76" s="26"/>
      <c r="AC76" s="4">
        <v>3.1513817784489802E-3</v>
      </c>
      <c r="AD76" s="20">
        <v>-3.1513953446804517E-3</v>
      </c>
      <c r="AE76" s="27">
        <v>5.9069124649361454E-2</v>
      </c>
      <c r="AF76" s="27">
        <v>2.9786706953415801E-2</v>
      </c>
      <c r="AG76" s="21">
        <v>-1464.1208847972825</v>
      </c>
      <c r="AH76">
        <v>-1463.9308847972825</v>
      </c>
    </row>
    <row r="77" spans="2:34" x14ac:dyDescent="0.2">
      <c r="B77" s="23">
        <v>70</v>
      </c>
      <c r="C77" s="5">
        <v>6.4545454539999998</v>
      </c>
      <c r="D77" s="7">
        <v>4.8461076999999998E-2</v>
      </c>
      <c r="E77" s="13">
        <f>EXP(-tbl_zero_rates[[#This Row],[nacc]]*tbl_zero_rates[[#This Row],[tau]])</f>
        <v>0.73140040155374952</v>
      </c>
      <c r="K77" s="26">
        <v>4.7173598346666665</v>
      </c>
      <c r="L77" s="29">
        <v>4.7173698346666662</v>
      </c>
      <c r="M77" s="29">
        <v>4.7173498346666669</v>
      </c>
      <c r="N77" s="26"/>
      <c r="O77" s="26">
        <v>0.81007402997785127</v>
      </c>
      <c r="P77" s="26">
        <v>0.81007355108616819</v>
      </c>
      <c r="Q77" s="26">
        <v>0.81007450886981758</v>
      </c>
      <c r="R77" s="26"/>
      <c r="S77" s="28">
        <v>4.4649899062114543E-2</v>
      </c>
      <c r="T77" s="28">
        <v>4.4649929729935658E-2</v>
      </c>
      <c r="U77" s="28">
        <v>4.4649868394163378E-2</v>
      </c>
      <c r="V77" s="26"/>
      <c r="W77" s="20">
        <v>3.0667951164686786E-3</v>
      </c>
      <c r="X77" s="26"/>
      <c r="Y77" s="26"/>
      <c r="Z77" s="26"/>
      <c r="AA77" s="26"/>
      <c r="AB77" s="26"/>
      <c r="AC77" s="4">
        <v>3.0667821115937239E-3</v>
      </c>
      <c r="AD77" s="20">
        <v>-3.0667951164686786E-3</v>
      </c>
      <c r="AE77" s="27">
        <v>5.9117075152663234E-2</v>
      </c>
      <c r="AF77" s="27">
        <v>3.0182722958533317E-2</v>
      </c>
      <c r="AG77" s="21">
        <v>-1446.7176097064958</v>
      </c>
      <c r="AH77">
        <v>-1446.5276097064957</v>
      </c>
    </row>
    <row r="78" spans="2:34" x14ac:dyDescent="0.2">
      <c r="B78" s="23">
        <v>71</v>
      </c>
      <c r="C78" s="5">
        <v>6.5430469069999999</v>
      </c>
      <c r="D78" s="7">
        <v>4.8590750000000002E-2</v>
      </c>
      <c r="E78" s="13">
        <f>EXP(-tbl_zero_rates[[#This Row],[nacc]]*tbl_zero_rates[[#This Row],[tau]])</f>
        <v>0.72765258980300029</v>
      </c>
      <c r="K78" s="26">
        <v>4.7887748586161614</v>
      </c>
      <c r="L78" s="29">
        <v>4.788784858616161</v>
      </c>
      <c r="M78" s="29">
        <v>4.7887648586161617</v>
      </c>
      <c r="N78" s="26"/>
      <c r="O78" s="26">
        <v>0.80666082140665885</v>
      </c>
      <c r="P78" s="26">
        <v>0.80666034427213051</v>
      </c>
      <c r="Q78" s="26">
        <v>0.80666129854146928</v>
      </c>
      <c r="R78" s="26"/>
      <c r="S78" s="28">
        <v>4.4865753989100199E-2</v>
      </c>
      <c r="T78" s="28">
        <v>4.4865783816292283E-2</v>
      </c>
      <c r="U78" s="28">
        <v>4.4865724161783568E-2</v>
      </c>
      <c r="V78" s="26"/>
      <c r="W78" s="20">
        <v>2.9827316630481877E-3</v>
      </c>
      <c r="X78" s="26"/>
      <c r="Y78" s="26"/>
      <c r="Z78" s="26"/>
      <c r="AA78" s="26"/>
      <c r="AB78" s="26"/>
      <c r="AC78" s="4">
        <v>2.9827192084275196E-3</v>
      </c>
      <c r="AD78" s="20">
        <v>-2.9827316630481877E-3</v>
      </c>
      <c r="AE78" s="27">
        <v>5.9149384399113568E-2</v>
      </c>
      <c r="AF78" s="27">
        <v>3.0582123591096664E-2</v>
      </c>
      <c r="AG78" s="21">
        <v>-1428.3630404008452</v>
      </c>
      <c r="AH78">
        <v>-1428.1730404008451</v>
      </c>
    </row>
    <row r="79" spans="2:34" x14ac:dyDescent="0.2">
      <c r="B79" s="23">
        <v>72</v>
      </c>
      <c r="C79" s="5">
        <v>6.63154836</v>
      </c>
      <c r="D79" s="7">
        <v>4.8715857000000001E-2</v>
      </c>
      <c r="E79" s="13">
        <f>EXP(-tbl_zero_rates[[#This Row],[nacc]]*tbl_zero_rates[[#This Row],[tau]])</f>
        <v>0.72392928675501744</v>
      </c>
      <c r="K79" s="26">
        <v>4.8601898825656562</v>
      </c>
      <c r="L79" s="29">
        <v>4.8601998825656558</v>
      </c>
      <c r="M79" s="29">
        <v>4.8601798825656566</v>
      </c>
      <c r="N79" s="26"/>
      <c r="O79" s="26">
        <v>0.80326054971176009</v>
      </c>
      <c r="P79" s="26">
        <v>0.80326007458847004</v>
      </c>
      <c r="Q79" s="26">
        <v>0.80326102483533124</v>
      </c>
      <c r="R79" s="26"/>
      <c r="S79" s="28">
        <v>4.5075635434446072E-2</v>
      </c>
      <c r="T79" s="28">
        <v>4.5075664391524918E-2</v>
      </c>
      <c r="U79" s="28">
        <v>4.5075606477248044E-2</v>
      </c>
      <c r="V79" s="26"/>
      <c r="W79" s="20">
        <v>2.8957198028312088E-3</v>
      </c>
      <c r="X79" s="26"/>
      <c r="Y79" s="26"/>
      <c r="Z79" s="26"/>
      <c r="AA79" s="26"/>
      <c r="AB79" s="26"/>
      <c r="AC79" s="4">
        <v>2.8957078845870394E-3</v>
      </c>
      <c r="AD79" s="20">
        <v>-2.8957198028312088E-3</v>
      </c>
      <c r="AE79" s="27">
        <v>5.9149383512139289E-2</v>
      </c>
      <c r="AF79" s="27">
        <v>3.1001887345980812E-2</v>
      </c>
      <c r="AG79" s="21">
        <v>-1407.3748083079238</v>
      </c>
      <c r="AH79">
        <v>-1407.1848083079237</v>
      </c>
    </row>
    <row r="80" spans="2:34" x14ac:dyDescent="0.2">
      <c r="B80" s="23">
        <v>73</v>
      </c>
      <c r="C80" s="5">
        <v>6.7200498130000001</v>
      </c>
      <c r="D80" s="7">
        <v>4.8836632999999997E-2</v>
      </c>
      <c r="E80" s="13">
        <f>EXP(-tbl_zero_rates[[#This Row],[nacc]]*tbl_zero_rates[[#This Row],[tau]])</f>
        <v>0.72023004831296178</v>
      </c>
      <c r="K80" s="26">
        <v>4.931604906515151</v>
      </c>
      <c r="L80" s="29">
        <v>4.9316149065151507</v>
      </c>
      <c r="M80" s="29">
        <v>4.9315949065151514</v>
      </c>
      <c r="N80" s="26"/>
      <c r="O80" s="26">
        <v>0.79987361799673462</v>
      </c>
      <c r="P80" s="26">
        <v>0.79987314473510951</v>
      </c>
      <c r="Q80" s="26">
        <v>0.79987409125863984</v>
      </c>
      <c r="R80" s="26"/>
      <c r="S80" s="28">
        <v>4.5279689985515209E-2</v>
      </c>
      <c r="T80" s="28">
        <v>4.5279718145414115E-2</v>
      </c>
      <c r="U80" s="28">
        <v>4.5279661825502075E-2</v>
      </c>
      <c r="V80" s="26"/>
      <c r="W80" s="20">
        <v>2.8160013133826651E-3</v>
      </c>
      <c r="X80" s="26"/>
      <c r="Y80" s="26"/>
      <c r="Z80" s="26"/>
      <c r="AA80" s="26"/>
      <c r="AB80" s="26"/>
      <c r="AC80" s="4">
        <v>2.8159898905755205E-3</v>
      </c>
      <c r="AD80" s="20">
        <v>-2.8160013133826651E-3</v>
      </c>
      <c r="AE80" s="27">
        <v>5.9167095866372324E-2</v>
      </c>
      <c r="AF80" s="27">
        <v>3.1392284091684146E-2</v>
      </c>
      <c r="AG80" s="21">
        <v>-1388.7405887344089</v>
      </c>
      <c r="AH80">
        <v>-1388.5505887344088</v>
      </c>
    </row>
    <row r="81" spans="2:34" x14ac:dyDescent="0.2">
      <c r="B81" s="23">
        <v>74</v>
      </c>
      <c r="C81" s="5">
        <v>6.8085512660000003</v>
      </c>
      <c r="D81" s="7">
        <v>4.8953310999999999E-2</v>
      </c>
      <c r="E81" s="13">
        <f>EXP(-tbl_zero_rates[[#This Row],[nacc]]*tbl_zero_rates[[#This Row],[tau]])</f>
        <v>0.71655438737320964</v>
      </c>
      <c r="K81" s="26">
        <v>5.0030199304646468</v>
      </c>
      <c r="L81" s="29">
        <v>5.0030299304646464</v>
      </c>
      <c r="M81" s="29">
        <v>5.0030099304646471</v>
      </c>
      <c r="N81" s="26"/>
      <c r="O81" s="26">
        <v>0.79650077963556187</v>
      </c>
      <c r="P81" s="26">
        <v>0.7965003083376927</v>
      </c>
      <c r="Q81" s="26">
        <v>0.79650125093370994</v>
      </c>
      <c r="R81" s="26"/>
      <c r="S81" s="28">
        <v>4.5477966102078271E-2</v>
      </c>
      <c r="T81" s="28">
        <v>4.5477993471694123E-2</v>
      </c>
      <c r="U81" s="28">
        <v>4.5477938732353007E-2</v>
      </c>
      <c r="V81" s="26"/>
      <c r="W81" s="20">
        <v>2.7369725263959306E-3</v>
      </c>
      <c r="X81" s="26"/>
      <c r="Y81" s="26"/>
      <c r="Z81" s="26"/>
      <c r="AA81" s="26"/>
      <c r="AB81" s="26"/>
      <c r="AC81" s="4">
        <v>2.7369615851480229E-3</v>
      </c>
      <c r="AD81" s="20">
        <v>-2.7369725263959306E-3</v>
      </c>
      <c r="AE81" s="27">
        <v>5.9171094200721641E-2</v>
      </c>
      <c r="AF81" s="27">
        <v>3.1784838003385253E-2</v>
      </c>
      <c r="AG81" s="21">
        <v>-1369.3128098668192</v>
      </c>
      <c r="AH81">
        <v>-1369.1228098668191</v>
      </c>
    </row>
    <row r="82" spans="2:34" x14ac:dyDescent="0.2">
      <c r="B82" s="23">
        <v>75</v>
      </c>
      <c r="C82" s="5">
        <v>6.8970527190000004</v>
      </c>
      <c r="D82" s="7">
        <v>4.9066127000000001E-2</v>
      </c>
      <c r="E82" s="13">
        <f>EXP(-tbl_zero_rates[[#This Row],[nacc]]*tbl_zero_rates[[#This Row],[tau]])</f>
        <v>0.71290175104310294</v>
      </c>
      <c r="K82" s="26">
        <v>5.0744349544141416</v>
      </c>
      <c r="L82" s="29">
        <v>5.0744449544141412</v>
      </c>
      <c r="M82" s="29">
        <v>5.074424954414142</v>
      </c>
      <c r="N82" s="26"/>
      <c r="O82" s="26">
        <v>0.79314235686442491</v>
      </c>
      <c r="P82" s="26">
        <v>0.7931418876238584</v>
      </c>
      <c r="Q82" s="26">
        <v>0.79314282610526909</v>
      </c>
      <c r="R82" s="26"/>
      <c r="S82" s="28">
        <v>4.5670613317039331E-2</v>
      </c>
      <c r="T82" s="28">
        <v>4.5670639904413508E-2</v>
      </c>
      <c r="U82" s="28">
        <v>4.5670586729560349E-2</v>
      </c>
      <c r="V82" s="26"/>
      <c r="W82" s="20">
        <v>2.6587478982320607E-3</v>
      </c>
      <c r="X82" s="26"/>
      <c r="Y82" s="26"/>
      <c r="Z82" s="26"/>
      <c r="AA82" s="26"/>
      <c r="AB82" s="26"/>
      <c r="AC82" s="4">
        <v>2.6587374177267083E-3</v>
      </c>
      <c r="AD82" s="20">
        <v>-2.6587478982320607E-3</v>
      </c>
      <c r="AE82" s="27">
        <v>5.9162256578908889E-2</v>
      </c>
      <c r="AF82" s="27">
        <v>3.2178970047275428E-2</v>
      </c>
      <c r="AG82" s="21">
        <v>-1349.1643265816729</v>
      </c>
      <c r="AH82">
        <v>-1348.9743265816728</v>
      </c>
    </row>
    <row r="83" spans="2:34" x14ac:dyDescent="0.2">
      <c r="B83" s="23">
        <v>76</v>
      </c>
      <c r="C83" s="5">
        <v>6.9855541719999996</v>
      </c>
      <c r="D83" s="7">
        <v>4.9175313999999998E-2</v>
      </c>
      <c r="E83" s="13">
        <f>EXP(-tbl_zero_rates[[#This Row],[nacc]]*tbl_zero_rates[[#This Row],[tau]])</f>
        <v>0.70927155118731056</v>
      </c>
      <c r="K83" s="26">
        <v>5.1458499783636364</v>
      </c>
      <c r="L83" s="29">
        <v>5.1458599783636361</v>
      </c>
      <c r="M83" s="29">
        <v>5.1458399783636368</v>
      </c>
      <c r="N83" s="26"/>
      <c r="O83" s="26">
        <v>0.78979865008705796</v>
      </c>
      <c r="P83" s="26">
        <v>0.78979818298804727</v>
      </c>
      <c r="Q83" s="26">
        <v>0.78979911718634488</v>
      </c>
      <c r="R83" s="26"/>
      <c r="S83" s="28">
        <v>4.5857776714538584E-2</v>
      </c>
      <c r="T83" s="28">
        <v>4.5857802529021448E-2</v>
      </c>
      <c r="U83" s="28">
        <v>4.5857750899955391E-2</v>
      </c>
      <c r="V83" s="26"/>
      <c r="W83" s="20">
        <v>2.5814583193284335E-3</v>
      </c>
      <c r="X83" s="26"/>
      <c r="Y83" s="26"/>
      <c r="Z83" s="26"/>
      <c r="AA83" s="26"/>
      <c r="AB83" s="26"/>
      <c r="AC83" s="4">
        <v>2.5814482863817378E-3</v>
      </c>
      <c r="AD83" s="20">
        <v>-2.5814583193284335E-3</v>
      </c>
      <c r="AE83" s="27">
        <v>5.9141573952128622E-2</v>
      </c>
      <c r="AF83" s="27">
        <v>3.2573979477875735E-2</v>
      </c>
      <c r="AG83" s="21">
        <v>-1328.3797237126441</v>
      </c>
      <c r="AH83">
        <v>-1328.1897237126441</v>
      </c>
    </row>
    <row r="84" spans="2:34" x14ac:dyDescent="0.2">
      <c r="B84" s="23">
        <v>77</v>
      </c>
      <c r="C84" s="5">
        <v>7.0740556249999997</v>
      </c>
      <c r="D84" s="7">
        <v>4.9281105999999998E-2</v>
      </c>
      <c r="E84" s="13">
        <f>EXP(-tbl_zero_rates[[#This Row],[nacc]]*tbl_zero_rates[[#This Row],[tau]])</f>
        <v>0.70566314639367211</v>
      </c>
      <c r="K84" s="26">
        <v>5.2172650023131313</v>
      </c>
      <c r="L84" s="29">
        <v>5.2172750023131309</v>
      </c>
      <c r="M84" s="29">
        <v>5.2172550023131317</v>
      </c>
      <c r="N84" s="26"/>
      <c r="O84" s="26">
        <v>0.7864699380662743</v>
      </c>
      <c r="P84" s="26">
        <v>0.78646947318342486</v>
      </c>
      <c r="Q84" s="26">
        <v>0.78647040294939852</v>
      </c>
      <c r="R84" s="26"/>
      <c r="S84" s="28">
        <v>4.6039597284843178E-2</v>
      </c>
      <c r="T84" s="28">
        <v>4.6039622337154626E-2</v>
      </c>
      <c r="U84" s="28">
        <v>4.6039572232435703E-2</v>
      </c>
      <c r="V84" s="26"/>
      <c r="W84" s="20">
        <v>2.5052407474912552E-3</v>
      </c>
      <c r="X84" s="26"/>
      <c r="Y84" s="26"/>
      <c r="Z84" s="26"/>
      <c r="AA84" s="26"/>
      <c r="AB84" s="26"/>
      <c r="AC84" s="4">
        <v>2.5052311447559816E-3</v>
      </c>
      <c r="AD84" s="20">
        <v>-2.5052407474912552E-3</v>
      </c>
      <c r="AE84" s="27">
        <v>5.9110102163706317E-2</v>
      </c>
      <c r="AF84" s="27">
        <v>3.2969092410588263E-2</v>
      </c>
      <c r="AG84" s="21">
        <v>-1307.0504876559025</v>
      </c>
      <c r="AH84">
        <v>-1306.8604876559025</v>
      </c>
    </row>
    <row r="85" spans="2:34" x14ac:dyDescent="0.2">
      <c r="K85" s="26">
        <v>5.2886800262626261</v>
      </c>
      <c r="L85" s="29">
        <v>5.2886900262626257</v>
      </c>
      <c r="M85" s="29">
        <v>5.2886700262626265</v>
      </c>
      <c r="N85" s="26"/>
      <c r="O85" s="26">
        <v>0.78315697261114037</v>
      </c>
      <c r="P85" s="26">
        <v>0.78315650968658668</v>
      </c>
      <c r="Q85" s="26">
        <v>0.78315743553596762</v>
      </c>
      <c r="R85" s="26"/>
      <c r="S85" s="28">
        <v>4.6216092861334844E-2</v>
      </c>
      <c r="T85" s="28">
        <v>4.6216117241633554E-2</v>
      </c>
      <c r="U85" s="28">
        <v>4.621606848094395E-2</v>
      </c>
      <c r="V85" s="26"/>
      <c r="W85" s="20">
        <v>2.4380390893641302E-3</v>
      </c>
      <c r="X85" s="26"/>
      <c r="Y85" s="26"/>
      <c r="Z85" s="26"/>
      <c r="AA85" s="26"/>
      <c r="AB85" s="26"/>
      <c r="AC85" s="4">
        <v>2.4380298710435788E-3</v>
      </c>
      <c r="AD85" s="20">
        <v>-2.4380390893641302E-3</v>
      </c>
      <c r="AE85" s="27">
        <v>5.9110101504352086E-2</v>
      </c>
      <c r="AF85" s="27">
        <v>3.3322084226167246E-2</v>
      </c>
      <c r="AG85" s="21">
        <v>-1289.4008639092419</v>
      </c>
      <c r="AH85">
        <v>-1289.2108639092419</v>
      </c>
    </row>
    <row r="86" spans="2:34" x14ac:dyDescent="0.2">
      <c r="K86" s="26">
        <v>5.360095050212121</v>
      </c>
      <c r="L86" s="29">
        <v>5.3601050502121206</v>
      </c>
      <c r="M86" s="29">
        <v>5.3600850502121213</v>
      </c>
      <c r="N86" s="26"/>
      <c r="O86" s="26">
        <v>0.77985978008597334</v>
      </c>
      <c r="P86" s="26">
        <v>0.77985931943450104</v>
      </c>
      <c r="Q86" s="26">
        <v>0.77986024073771776</v>
      </c>
      <c r="R86" s="26"/>
      <c r="S86" s="28">
        <v>4.6387450642244116E-2</v>
      </c>
      <c r="T86" s="28">
        <v>4.6387474300486717E-2</v>
      </c>
      <c r="U86" s="28">
        <v>4.6387426983913245E-2</v>
      </c>
      <c r="V86" s="26"/>
      <c r="W86" s="20">
        <v>2.3658330870757194E-3</v>
      </c>
      <c r="X86" s="26"/>
      <c r="Y86" s="26"/>
      <c r="Z86" s="26"/>
      <c r="AA86" s="26"/>
      <c r="AB86" s="26"/>
      <c r="AC86" s="4">
        <v>2.3658242601087842E-3</v>
      </c>
      <c r="AD86" s="20">
        <v>-2.3658330870757194E-3</v>
      </c>
      <c r="AE86" s="27">
        <v>5.9068540865010163E-2</v>
      </c>
      <c r="AF86" s="27">
        <v>3.3706360422581488E-2</v>
      </c>
      <c r="AG86" s="21">
        <v>-1268.1090221214336</v>
      </c>
      <c r="AH86">
        <v>-1267.9190221214335</v>
      </c>
    </row>
    <row r="87" spans="2:34" x14ac:dyDescent="0.2">
      <c r="K87" s="26">
        <v>5.4315100741616158</v>
      </c>
      <c r="L87" s="29">
        <v>5.4315200741616154</v>
      </c>
      <c r="M87" s="29">
        <v>5.4315000741616162</v>
      </c>
      <c r="N87" s="26"/>
      <c r="O87" s="26">
        <v>0.77657849242145849</v>
      </c>
      <c r="P87" s="26">
        <v>0.77657803410015636</v>
      </c>
      <c r="Q87" s="26">
        <v>0.77657895074303107</v>
      </c>
      <c r="R87" s="26"/>
      <c r="S87" s="28">
        <v>4.6553822630169155E-2</v>
      </c>
      <c r="T87" s="28">
        <v>4.6553845578112513E-2</v>
      </c>
      <c r="U87" s="28">
        <v>4.6553799682141302E-2</v>
      </c>
      <c r="V87" s="26"/>
      <c r="W87" s="20">
        <v>2.2948027852964792E-3</v>
      </c>
      <c r="X87" s="26"/>
      <c r="Y87" s="26"/>
      <c r="Z87" s="26"/>
      <c r="AA87" s="26"/>
      <c r="AB87" s="26"/>
      <c r="AC87" s="4">
        <v>2.2947943358053724E-3</v>
      </c>
      <c r="AD87" s="20">
        <v>-2.2948027852964792E-3</v>
      </c>
      <c r="AE87" s="27">
        <v>5.9018067079111766E-2</v>
      </c>
      <c r="AF87" s="27">
        <v>3.4089578183617193E-2</v>
      </c>
      <c r="AG87" s="21">
        <v>-1246.4244447747285</v>
      </c>
      <c r="AH87">
        <v>-1246.2344447747284</v>
      </c>
    </row>
    <row r="88" spans="2:34" x14ac:dyDescent="0.2">
      <c r="K88" s="26">
        <v>5.5029250981111106</v>
      </c>
      <c r="L88" s="29">
        <v>5.5029350981111103</v>
      </c>
      <c r="M88" s="29">
        <v>5.502915098111111</v>
      </c>
      <c r="N88" s="26"/>
      <c r="O88" s="26">
        <v>0.77331327060925792</v>
      </c>
      <c r="P88" s="26">
        <v>0.773312814668912</v>
      </c>
      <c r="Q88" s="26">
        <v>0.77331372654987252</v>
      </c>
      <c r="R88" s="26"/>
      <c r="S88" s="28">
        <v>4.6715345370109622E-2</v>
      </c>
      <c r="T88" s="28">
        <v>4.6715367620063029E-2</v>
      </c>
      <c r="U88" s="28">
        <v>4.6715323120075369E-2</v>
      </c>
      <c r="V88" s="26"/>
      <c r="W88" s="20">
        <v>2.225003425254668E-3</v>
      </c>
      <c r="X88" s="26"/>
      <c r="Y88" s="26"/>
      <c r="Z88" s="26"/>
      <c r="AA88" s="26"/>
      <c r="AB88" s="26"/>
      <c r="AC88" s="4">
        <v>2.2249953407493805E-3</v>
      </c>
      <c r="AD88" s="20">
        <v>-2.225003425254668E-3</v>
      </c>
      <c r="AE88" s="27">
        <v>5.8959372573806484E-2</v>
      </c>
      <c r="AF88" s="27">
        <v>3.4471318177892521E-2</v>
      </c>
      <c r="AG88" s="21">
        <v>-1224.402719795698</v>
      </c>
      <c r="AH88">
        <v>-1224.2127197956979</v>
      </c>
    </row>
    <row r="89" spans="2:34" x14ac:dyDescent="0.2">
      <c r="K89" s="26">
        <v>5.5743401220606064</v>
      </c>
      <c r="L89" s="29">
        <v>5.574350122060606</v>
      </c>
      <c r="M89" s="29">
        <v>5.5743301220606067</v>
      </c>
      <c r="N89" s="26"/>
      <c r="O89" s="26">
        <v>0.77006425967203984</v>
      </c>
      <c r="P89" s="26">
        <v>0.77006380615395409</v>
      </c>
      <c r="Q89" s="26">
        <v>0.7700647131903926</v>
      </c>
      <c r="R89" s="26"/>
      <c r="S89" s="28">
        <v>4.6872151281718261E-2</v>
      </c>
      <c r="T89" s="28">
        <v>4.6872172847288389E-2</v>
      </c>
      <c r="U89" s="28">
        <v>4.6872129716070771E-2</v>
      </c>
      <c r="V89" s="26"/>
      <c r="W89" s="20">
        <v>2.1565647490007223E-3</v>
      </c>
      <c r="X89" s="26"/>
      <c r="Y89" s="26"/>
      <c r="Z89" s="26"/>
      <c r="AA89" s="26"/>
      <c r="AB89" s="26"/>
      <c r="AC89" s="4">
        <v>2.1565570128279088E-3</v>
      </c>
      <c r="AD89" s="20">
        <v>-2.1565647490007223E-3</v>
      </c>
      <c r="AE89" s="27">
        <v>5.8893576694976302E-2</v>
      </c>
      <c r="AF89" s="27">
        <v>3.4850725875541971E-2</v>
      </c>
      <c r="AG89" s="21">
        <v>-1202.1425409717165</v>
      </c>
      <c r="AH89">
        <v>-1201.9525409717164</v>
      </c>
    </row>
    <row r="90" spans="2:34" x14ac:dyDescent="0.2">
      <c r="K90" s="26">
        <v>5.6457551460101012</v>
      </c>
      <c r="L90" s="29">
        <v>5.6457651460101008</v>
      </c>
      <c r="M90" s="29">
        <v>5.6457451460101016</v>
      </c>
      <c r="N90" s="26"/>
      <c r="O90" s="26">
        <v>0.76683225969674584</v>
      </c>
      <c r="P90" s="26">
        <v>0.76683180808209916</v>
      </c>
      <c r="Q90" s="26">
        <v>0.76683271131165842</v>
      </c>
      <c r="R90" s="26"/>
      <c r="S90" s="28">
        <v>4.7024213994563094E-2</v>
      </c>
      <c r="T90" s="28">
        <v>4.7024235018004276E-2</v>
      </c>
      <c r="U90" s="28">
        <v>4.7024192971047464E-2</v>
      </c>
      <c r="V90" s="26"/>
      <c r="W90" s="20">
        <v>2.1023515629770007E-3</v>
      </c>
      <c r="X90" s="26"/>
      <c r="Y90" s="26"/>
      <c r="Z90" s="26"/>
      <c r="AA90" s="26"/>
      <c r="AB90" s="26"/>
      <c r="AC90" s="4">
        <v>2.1023441182377312E-3</v>
      </c>
      <c r="AD90" s="20">
        <v>-2.1023515629770007E-3</v>
      </c>
      <c r="AE90" s="27">
        <v>5.8893576165670196E-2</v>
      </c>
      <c r="AF90" s="27">
        <v>3.5154851839163309E-2</v>
      </c>
      <c r="AG90" s="21">
        <v>-1186.9362163253443</v>
      </c>
      <c r="AH90">
        <v>-1186.7462163253442</v>
      </c>
    </row>
    <row r="91" spans="2:34" x14ac:dyDescent="0.2">
      <c r="K91" s="26">
        <v>5.717170169959596</v>
      </c>
      <c r="L91" s="29">
        <v>5.7171801699595957</v>
      </c>
      <c r="M91" s="29">
        <v>5.7171601699595964</v>
      </c>
      <c r="N91" s="26"/>
      <c r="O91" s="26">
        <v>0.76361707402814649</v>
      </c>
      <c r="P91" s="26">
        <v>0.7636166248565055</v>
      </c>
      <c r="Q91" s="26">
        <v>0.76361752320005161</v>
      </c>
      <c r="R91" s="26"/>
      <c r="S91" s="28">
        <v>4.7171733471646785E-2</v>
      </c>
      <c r="T91" s="28">
        <v>4.7171753848589917E-2</v>
      </c>
      <c r="U91" s="28">
        <v>4.7171713094632382E-2</v>
      </c>
      <c r="V91" s="26"/>
      <c r="W91" s="20">
        <v>2.0377014402217508E-3</v>
      </c>
      <c r="X91" s="26"/>
      <c r="Y91" s="26"/>
      <c r="Z91" s="26"/>
      <c r="AA91" s="26"/>
      <c r="AB91" s="26"/>
      <c r="AC91" s="4">
        <v>2.0376943132838221E-3</v>
      </c>
      <c r="AD91" s="20">
        <v>-2.0377014402217508E-3</v>
      </c>
      <c r="AE91" s="27">
        <v>5.8821619368935624E-2</v>
      </c>
      <c r="AF91" s="27">
        <v>3.5521847582327279E-2</v>
      </c>
      <c r="AG91" s="21">
        <v>-1164.9885893304172</v>
      </c>
      <c r="AH91">
        <v>-1164.7985893304171</v>
      </c>
    </row>
    <row r="92" spans="2:34" x14ac:dyDescent="0.2">
      <c r="K92" s="26">
        <v>5.7885851939090909</v>
      </c>
      <c r="L92" s="29">
        <v>5.7885951939090905</v>
      </c>
      <c r="M92" s="29">
        <v>5.7885751939090913</v>
      </c>
      <c r="N92" s="26"/>
      <c r="O92" s="26">
        <v>0.76041851288665718</v>
      </c>
      <c r="P92" s="26">
        <v>0.76041806618433283</v>
      </c>
      <c r="Q92" s="26">
        <v>0.76041895958924388</v>
      </c>
      <c r="R92" s="26"/>
      <c r="S92" s="28">
        <v>4.7314898760554176E-2</v>
      </c>
      <c r="T92" s="28">
        <v>4.7314918505225803E-2</v>
      </c>
      <c r="U92" s="28">
        <v>4.7314879015814347E-2</v>
      </c>
      <c r="V92" s="26"/>
      <c r="W92" s="20">
        <v>1.9744739829241631E-3</v>
      </c>
      <c r="X92" s="26"/>
      <c r="Y92" s="26"/>
      <c r="Z92" s="26"/>
      <c r="AA92" s="26"/>
      <c r="AB92" s="26"/>
      <c r="AC92" s="4">
        <v>1.9744671626853449E-3</v>
      </c>
      <c r="AD92" s="20">
        <v>-1.9744739829241631E-3</v>
      </c>
      <c r="AE92" s="27">
        <v>5.8744309633677508E-2</v>
      </c>
      <c r="AF92" s="27">
        <v>3.588548789724065E-2</v>
      </c>
      <c r="AG92" s="21">
        <v>-1142.9410868218429</v>
      </c>
      <c r="AH92">
        <v>-1142.7510868218428</v>
      </c>
    </row>
    <row r="93" spans="2:34" x14ac:dyDescent="0.2">
      <c r="K93" s="26">
        <v>5.8600002178585857</v>
      </c>
      <c r="L93" s="29">
        <v>5.8600102178585853</v>
      </c>
      <c r="M93" s="29">
        <v>5.8599902178585861</v>
      </c>
      <c r="N93" s="26"/>
      <c r="O93" s="26">
        <v>0.75723661358492866</v>
      </c>
      <c r="P93" s="26">
        <v>0.7572361693706775</v>
      </c>
      <c r="Q93" s="26">
        <v>0.7572370577994405</v>
      </c>
      <c r="R93" s="26"/>
      <c r="S93" s="28">
        <v>4.7453839003772681E-2</v>
      </c>
      <c r="T93" s="28">
        <v>4.7453858131249263E-2</v>
      </c>
      <c r="U93" s="28">
        <v>4.7453819876230798E-2</v>
      </c>
      <c r="V93" s="26"/>
      <c r="W93" s="20">
        <v>1.9127541883712238E-3</v>
      </c>
      <c r="X93" s="26"/>
      <c r="Y93" s="26"/>
      <c r="Z93" s="26"/>
      <c r="AA93" s="26"/>
      <c r="AB93" s="26"/>
      <c r="AC93" s="4">
        <v>1.9127476581781708E-3</v>
      </c>
      <c r="AD93" s="20">
        <v>-1.9127541883712238E-3</v>
      </c>
      <c r="AE93" s="27">
        <v>5.8662578952358421E-2</v>
      </c>
      <c r="AF93" s="27">
        <v>3.6245099043207385E-2</v>
      </c>
      <c r="AG93" s="21">
        <v>-1120.8739954575517</v>
      </c>
      <c r="AH93">
        <v>-1120.6839954575516</v>
      </c>
    </row>
    <row r="94" spans="2:34" x14ac:dyDescent="0.2">
      <c r="K94" s="26">
        <v>5.9314152418080806</v>
      </c>
      <c r="L94" s="29">
        <v>5.9314252418080802</v>
      </c>
      <c r="M94" s="29">
        <v>5.9314052418080809</v>
      </c>
      <c r="N94" s="26"/>
      <c r="O94" s="26">
        <v>0.7540713960330071</v>
      </c>
      <c r="P94" s="26">
        <v>0.75407095431611582</v>
      </c>
      <c r="Q94" s="26">
        <v>0.75407183775015718</v>
      </c>
      <c r="R94" s="26"/>
      <c r="S94" s="28">
        <v>4.7588680652203834E-2</v>
      </c>
      <c r="T94" s="28">
        <v>4.7588699178833516E-2</v>
      </c>
      <c r="U94" s="28">
        <v>4.7588662125511674E-2</v>
      </c>
      <c r="V94" s="26"/>
      <c r="W94" s="20">
        <v>1.8526692159570588E-3</v>
      </c>
      <c r="X94" s="26"/>
      <c r="Y94" s="26"/>
      <c r="Z94" s="26"/>
      <c r="AA94" s="26"/>
      <c r="AB94" s="26"/>
      <c r="AC94" s="4">
        <v>1.8526629681769877E-3</v>
      </c>
      <c r="AD94" s="20">
        <v>-1.8526692159570588E-3</v>
      </c>
      <c r="AE94" s="27">
        <v>5.8577631072841578E-2</v>
      </c>
      <c r="AF94" s="27">
        <v>3.659973022664751E-2</v>
      </c>
      <c r="AG94" s="21">
        <v>-1098.8950423097033</v>
      </c>
      <c r="AH94">
        <v>-1098.7050423097032</v>
      </c>
    </row>
    <row r="95" spans="2:34" x14ac:dyDescent="0.2">
      <c r="K95" s="26">
        <v>6.0028302657575754</v>
      </c>
      <c r="L95" s="29">
        <v>6.002840265757575</v>
      </c>
      <c r="M95" s="29">
        <v>6.0028202657575758</v>
      </c>
      <c r="N95" s="26"/>
      <c r="O95" s="26">
        <v>0.75092346187311698</v>
      </c>
      <c r="P95" s="26">
        <v>0.75092302200020977</v>
      </c>
      <c r="Q95" s="26">
        <v>0.75092390174628187</v>
      </c>
      <c r="R95" s="26"/>
      <c r="S95" s="28">
        <v>4.7719414789213203E-2</v>
      </c>
      <c r="T95" s="28">
        <v>4.7719432877646809E-2</v>
      </c>
      <c r="U95" s="28">
        <v>4.7719396700719327E-2</v>
      </c>
      <c r="V95" s="26"/>
      <c r="W95" s="20">
        <v>1.8088493876355913E-3</v>
      </c>
      <c r="X95" s="26"/>
      <c r="Y95" s="26"/>
      <c r="Z95" s="26"/>
      <c r="AA95" s="26"/>
      <c r="AB95" s="26"/>
      <c r="AC95" s="4">
        <v>1.8088433605123464E-3</v>
      </c>
      <c r="AD95" s="20">
        <v>-1.8088493876355913E-3</v>
      </c>
      <c r="AE95" s="27">
        <v>5.8577630636578566E-2</v>
      </c>
      <c r="AF95" s="27">
        <v>3.686119893891722E-2</v>
      </c>
      <c r="AG95" s="21">
        <v>-1085.8215848830673</v>
      </c>
      <c r="AH95">
        <v>-1085.6315848830673</v>
      </c>
    </row>
    <row r="96" spans="2:34" x14ac:dyDescent="0.2">
      <c r="K96" s="26">
        <v>6.0742452897070702</v>
      </c>
      <c r="L96" s="29">
        <v>6.0742552897070698</v>
      </c>
      <c r="M96" s="29">
        <v>6.0742352897070706</v>
      </c>
      <c r="N96" s="26"/>
      <c r="O96" s="26">
        <v>0.74779274539547969</v>
      </c>
      <c r="P96" s="26">
        <v>0.74779230801176211</v>
      </c>
      <c r="Q96" s="26">
        <v>0.74779318277945306</v>
      </c>
      <c r="R96" s="26"/>
      <c r="S96" s="28">
        <v>4.7846177407705942E-2</v>
      </c>
      <c r="T96" s="28">
        <v>4.7846194930520732E-2</v>
      </c>
      <c r="U96" s="28">
        <v>4.7846159884833483E-2</v>
      </c>
      <c r="V96" s="26"/>
      <c r="W96" s="20">
        <v>1.7522872458597403E-3</v>
      </c>
      <c r="X96" s="26"/>
      <c r="Y96" s="26"/>
      <c r="Z96" s="26"/>
      <c r="AA96" s="26"/>
      <c r="AB96" s="26"/>
      <c r="AC96" s="4">
        <v>1.7522814789450167E-3</v>
      </c>
      <c r="AD96" s="20">
        <v>-1.7522872458597403E-3</v>
      </c>
      <c r="AE96" s="27">
        <v>5.8489999973058225E-2</v>
      </c>
      <c r="AF96" s="27">
        <v>3.7202354858328637E-2</v>
      </c>
      <c r="AG96" s="21">
        <v>-1064.3822557364792</v>
      </c>
      <c r="AH96">
        <v>-1064.1922557364792</v>
      </c>
    </row>
    <row r="97" spans="11:34" x14ac:dyDescent="0.2">
      <c r="K97" s="26">
        <v>6.145660313656566</v>
      </c>
      <c r="L97" s="29">
        <v>6.1456703136565656</v>
      </c>
      <c r="M97" s="29">
        <v>6.1456503136565663</v>
      </c>
      <c r="N97" s="26"/>
      <c r="O97" s="26">
        <v>0.74467867398195864</v>
      </c>
      <c r="P97" s="26">
        <v>0.74467823908271635</v>
      </c>
      <c r="Q97" s="26">
        <v>0.74467910888145483</v>
      </c>
      <c r="R97" s="26"/>
      <c r="S97" s="28">
        <v>4.7969208952171494E-2</v>
      </c>
      <c r="T97" s="28">
        <v>4.7969225926291E-2</v>
      </c>
      <c r="U97" s="28">
        <v>4.7969191977996775E-2</v>
      </c>
      <c r="V97" s="26"/>
      <c r="W97" s="20">
        <v>1.6974174718575872E-3</v>
      </c>
      <c r="X97" s="26"/>
      <c r="Y97" s="26"/>
      <c r="Z97" s="26"/>
      <c r="AA97" s="26"/>
      <c r="AB97" s="26"/>
      <c r="AC97" s="4">
        <v>1.6974119505797078E-3</v>
      </c>
      <c r="AD97" s="20">
        <v>-1.6974174718575872E-3</v>
      </c>
      <c r="AE97" s="27">
        <v>5.8400960161014592E-2</v>
      </c>
      <c r="AF97" s="27">
        <v>3.753745775966906E-2</v>
      </c>
      <c r="AG97" s="21">
        <v>-1043.1751200672766</v>
      </c>
      <c r="AH97">
        <v>-1042.9851200672765</v>
      </c>
    </row>
    <row r="98" spans="11:34" x14ac:dyDescent="0.2">
      <c r="K98" s="26">
        <v>6.2170753376060608</v>
      </c>
      <c r="L98" s="29">
        <v>6.2170853376060604</v>
      </c>
      <c r="M98" s="29">
        <v>6.2170653376060612</v>
      </c>
      <c r="N98" s="26"/>
      <c r="O98" s="26">
        <v>0.74158117057427209</v>
      </c>
      <c r="P98" s="26">
        <v>0.7415807381488001</v>
      </c>
      <c r="Q98" s="26">
        <v>0.7415816029999962</v>
      </c>
      <c r="R98" s="26"/>
      <c r="S98" s="28">
        <v>4.8088633173933595E-2</v>
      </c>
      <c r="T98" s="28">
        <v>4.8088649616789318E-2</v>
      </c>
      <c r="U98" s="28">
        <v>4.8088616731024984E-2</v>
      </c>
      <c r="V98" s="26"/>
      <c r="W98" s="20">
        <v>1.6442908611080662E-3</v>
      </c>
      <c r="X98" s="26"/>
      <c r="Y98" s="26"/>
      <c r="Z98" s="26"/>
      <c r="AA98" s="26"/>
      <c r="AB98" s="26"/>
      <c r="AC98" s="4">
        <v>1.6442855722831327E-3</v>
      </c>
      <c r="AD98" s="20">
        <v>-1.6442908611080662E-3</v>
      </c>
      <c r="AE98" s="27">
        <v>5.8311313339067972E-2</v>
      </c>
      <c r="AF98" s="27">
        <v>3.7865953013487608E-2</v>
      </c>
      <c r="AG98" s="21">
        <v>-1022.2680162790181</v>
      </c>
      <c r="AH98">
        <v>-1022.078016279018</v>
      </c>
    </row>
    <row r="99" spans="11:34" x14ac:dyDescent="0.2">
      <c r="K99" s="26">
        <v>6.2884903615555556</v>
      </c>
      <c r="L99" s="29">
        <v>6.2885003615555553</v>
      </c>
      <c r="M99" s="29">
        <v>6.288480361555556</v>
      </c>
      <c r="N99" s="26"/>
      <c r="O99" s="26">
        <v>0.73850014595531788</v>
      </c>
      <c r="P99" s="26">
        <v>0.73849971598656938</v>
      </c>
      <c r="Q99" s="26">
        <v>0.73850057592431673</v>
      </c>
      <c r="R99" s="26"/>
      <c r="S99" s="28">
        <v>4.8204570881810897E-2</v>
      </c>
      <c r="T99" s="28">
        <v>4.8204586811422555E-2</v>
      </c>
      <c r="U99" s="28">
        <v>4.8204554952148579E-2</v>
      </c>
      <c r="V99" s="26"/>
      <c r="W99" s="20">
        <v>1.5929662318392432E-3</v>
      </c>
      <c r="X99" s="26"/>
      <c r="Y99" s="26"/>
      <c r="Z99" s="26"/>
      <c r="AA99" s="26"/>
      <c r="AB99" s="26"/>
      <c r="AC99" s="4">
        <v>1.592961165752804E-3</v>
      </c>
      <c r="AD99" s="20">
        <v>-1.5929662318392432E-3</v>
      </c>
      <c r="AE99" s="27">
        <v>5.8221923678203023E-2</v>
      </c>
      <c r="AF99" s="27">
        <v>3.8187218086606342E-2</v>
      </c>
      <c r="AG99" s="21">
        <v>-1001.735279579834</v>
      </c>
      <c r="AH99">
        <v>-1001.545279579834</v>
      </c>
    </row>
    <row r="100" spans="11:34" x14ac:dyDescent="0.2">
      <c r="K100" s="26">
        <v>6.3599053855050505</v>
      </c>
      <c r="L100" s="29">
        <v>6.3599153855050501</v>
      </c>
      <c r="M100" s="29">
        <v>6.3598953855050508</v>
      </c>
      <c r="N100" s="26"/>
      <c r="O100" s="26">
        <v>0.73543589707753854</v>
      </c>
      <c r="P100" s="26">
        <v>0.73543546889285361</v>
      </c>
      <c r="Q100" s="26">
        <v>0.73543632526247271</v>
      </c>
      <c r="R100" s="26"/>
      <c r="S100" s="28">
        <v>4.8317055000574892E-2</v>
      </c>
      <c r="T100" s="28">
        <v>4.831707057444995E-2</v>
      </c>
      <c r="U100" s="28">
        <v>4.831703942665088E-2</v>
      </c>
      <c r="V100" s="26"/>
      <c r="W100" s="20">
        <v>1.5573924011524907E-3</v>
      </c>
      <c r="X100" s="26"/>
      <c r="Y100" s="26"/>
      <c r="Z100" s="26"/>
      <c r="AA100" s="26"/>
      <c r="AB100" s="26"/>
      <c r="AC100" s="4">
        <v>1.5573875057628415E-3</v>
      </c>
      <c r="AD100" s="20">
        <v>-1.5573924011524907E-3</v>
      </c>
      <c r="AE100" s="27">
        <v>5.8221923333544381E-2</v>
      </c>
      <c r="AF100" s="27">
        <v>3.841218668114052E-2</v>
      </c>
      <c r="AG100" s="21">
        <v>-990.48683262019301</v>
      </c>
      <c r="AH100">
        <v>-990.29683262019296</v>
      </c>
    </row>
    <row r="101" spans="11:34" x14ac:dyDescent="0.2">
      <c r="K101" s="26">
        <v>6.4313204094545453</v>
      </c>
      <c r="L101" s="29">
        <v>6.4313304094545449</v>
      </c>
      <c r="M101" s="29">
        <v>6.4313104094545457</v>
      </c>
      <c r="N101" s="26"/>
      <c r="O101" s="26">
        <v>0.73238857580206052</v>
      </c>
      <c r="P101" s="26">
        <v>0.73238815003701818</v>
      </c>
      <c r="Q101" s="26">
        <v>0.73238900156735043</v>
      </c>
      <c r="R101" s="26"/>
      <c r="S101" s="28">
        <v>4.8426146542117819E-2</v>
      </c>
      <c r="T101" s="28">
        <v>4.8426161636403453E-2</v>
      </c>
      <c r="U101" s="28">
        <v>4.8426131447785216E-2</v>
      </c>
      <c r="V101" s="26"/>
      <c r="W101" s="20">
        <v>1.509433260327153E-3</v>
      </c>
      <c r="X101" s="26"/>
      <c r="Y101" s="26"/>
      <c r="Z101" s="26"/>
      <c r="AA101" s="26"/>
      <c r="AB101" s="26"/>
      <c r="AC101" s="4">
        <v>1.5094285633898694E-3</v>
      </c>
      <c r="AD101" s="20">
        <v>-1.509433260327153E-3</v>
      </c>
      <c r="AE101" s="27">
        <v>5.8133795457032011E-2</v>
      </c>
      <c r="AF101" s="27">
        <v>3.8718497608266282E-2</v>
      </c>
      <c r="AG101" s="21">
        <v>-970.76489243828644</v>
      </c>
      <c r="AH101">
        <v>-970.57489243828638</v>
      </c>
    </row>
    <row r="102" spans="11:34" x14ac:dyDescent="0.2">
      <c r="K102" s="26">
        <v>6.5027354334040401</v>
      </c>
      <c r="L102" s="29">
        <v>6.5027454334040398</v>
      </c>
      <c r="M102" s="29">
        <v>6.5027254334040405</v>
      </c>
      <c r="N102" s="26"/>
      <c r="O102" s="26">
        <v>0.7293572908598801</v>
      </c>
      <c r="P102" s="26">
        <v>0.72935686748269057</v>
      </c>
      <c r="Q102" s="26">
        <v>0.72935771423731555</v>
      </c>
      <c r="R102" s="26"/>
      <c r="S102" s="28">
        <v>4.8532123035259139E-2</v>
      </c>
      <c r="T102" s="28">
        <v>4.8532137668887337E-2</v>
      </c>
      <c r="U102" s="28">
        <v>4.8532108401585894E-2</v>
      </c>
      <c r="V102" s="26"/>
      <c r="W102" s="20">
        <v>1.4633673245389998E-3</v>
      </c>
      <c r="X102" s="26"/>
      <c r="Y102" s="26"/>
      <c r="Z102" s="26"/>
      <c r="AA102" s="26"/>
      <c r="AB102" s="26"/>
      <c r="AC102" s="4">
        <v>1.4633628198090773E-3</v>
      </c>
      <c r="AD102" s="20">
        <v>-1.4633673245389998E-3</v>
      </c>
      <c r="AE102" s="27">
        <v>5.8048013562814076E-2</v>
      </c>
      <c r="AF102" s="27">
        <v>3.9016232481893717E-2</v>
      </c>
      <c r="AG102" s="21">
        <v>-951.58905404601785</v>
      </c>
      <c r="AH102">
        <v>-951.3990540460178</v>
      </c>
    </row>
    <row r="103" spans="11:34" x14ac:dyDescent="0.2">
      <c r="K103" s="26">
        <v>6.574150457353535</v>
      </c>
      <c r="L103" s="29">
        <v>6.5741604573535346</v>
      </c>
      <c r="M103" s="29">
        <v>6.5741404573535354</v>
      </c>
      <c r="N103" s="26"/>
      <c r="O103" s="26">
        <v>0.72634186958351132</v>
      </c>
      <c r="P103" s="26">
        <v>0.72634144855806071</v>
      </c>
      <c r="Q103" s="26">
        <v>0.72634229060920619</v>
      </c>
      <c r="R103" s="26"/>
      <c r="S103" s="28">
        <v>4.8635102333672429E-2</v>
      </c>
      <c r="T103" s="28">
        <v>4.8635116525758755E-2</v>
      </c>
      <c r="U103" s="28">
        <v>4.8635088141542882E-2</v>
      </c>
      <c r="V103" s="26"/>
      <c r="W103" s="20">
        <v>1.4192129547951902E-3</v>
      </c>
      <c r="X103" s="26"/>
      <c r="Y103" s="26"/>
      <c r="Z103" s="26"/>
      <c r="AA103" s="26"/>
      <c r="AB103" s="26"/>
      <c r="AC103" s="4">
        <v>1.4192086325581774E-3</v>
      </c>
      <c r="AD103" s="20">
        <v>-1.4192129547951902E-3</v>
      </c>
      <c r="AE103" s="27">
        <v>5.7965221798657506E-2</v>
      </c>
      <c r="AF103" s="27">
        <v>3.930498283782357E-2</v>
      </c>
      <c r="AG103" s="21">
        <v>-933.01194804169677</v>
      </c>
      <c r="AH103">
        <v>-932.82194804169671</v>
      </c>
    </row>
    <row r="104" spans="11:34" x14ac:dyDescent="0.2">
      <c r="K104" s="26">
        <v>6.6455654813030298</v>
      </c>
      <c r="L104" s="29">
        <v>6.6455754813030294</v>
      </c>
      <c r="M104" s="29">
        <v>6.6455554813030302</v>
      </c>
      <c r="N104" s="26"/>
      <c r="O104" s="26">
        <v>0.72334212662972797</v>
      </c>
      <c r="P104" s="26">
        <v>0.72334170791195895</v>
      </c>
      <c r="Q104" s="26">
        <v>0.72334254534773923</v>
      </c>
      <c r="R104" s="26"/>
      <c r="S104" s="28">
        <v>4.8735200257957433E-2</v>
      </c>
      <c r="T104" s="28">
        <v>4.8735214028566148E-2</v>
      </c>
      <c r="U104" s="28">
        <v>4.8735186487307298E-2</v>
      </c>
      <c r="V104" s="26"/>
      <c r="W104" s="20">
        <v>1.3770650134081739E-3</v>
      </c>
      <c r="X104" s="26"/>
      <c r="Y104" s="26"/>
      <c r="Z104" s="26"/>
      <c r="AA104" s="26"/>
      <c r="AB104" s="26"/>
      <c r="AC104" s="4">
        <v>1.3770608715824027E-3</v>
      </c>
      <c r="AD104" s="20">
        <v>-1.3770650134081739E-3</v>
      </c>
      <c r="AE104" s="27">
        <v>5.7886575993015943E-2</v>
      </c>
      <c r="AF104" s="27">
        <v>3.9583824539341977E-2</v>
      </c>
      <c r="AG104" s="21">
        <v>-915.13757268369818</v>
      </c>
      <c r="AH104">
        <v>-914.94757268369813</v>
      </c>
    </row>
    <row r="105" spans="11:34" x14ac:dyDescent="0.2">
      <c r="K105" s="26">
        <v>6.7169805052525255</v>
      </c>
      <c r="L105" s="29">
        <v>6.7169905052525252</v>
      </c>
      <c r="M105" s="29">
        <v>6.7169705052525259</v>
      </c>
      <c r="N105" s="26"/>
      <c r="O105" s="26">
        <v>0.72035802415972117</v>
      </c>
      <c r="P105" s="26">
        <v>0.72035760716934605</v>
      </c>
      <c r="Q105" s="26">
        <v>0.72035844115033765</v>
      </c>
      <c r="R105" s="26"/>
      <c r="S105" s="28">
        <v>4.8832497657070255E-2</v>
      </c>
      <c r="T105" s="28">
        <v>4.883251113641722E-2</v>
      </c>
      <c r="U105" s="28">
        <v>4.8832484177683162E-2</v>
      </c>
      <c r="V105" s="26"/>
      <c r="W105" s="20">
        <v>1.3479387092618642E-3</v>
      </c>
      <c r="X105" s="26"/>
      <c r="Y105" s="26"/>
      <c r="Z105" s="26"/>
      <c r="AA105" s="26"/>
      <c r="AB105" s="26"/>
      <c r="AC105" s="4">
        <v>1.3479346964995196E-3</v>
      </c>
      <c r="AD105" s="20">
        <v>-1.3479387092618642E-3</v>
      </c>
      <c r="AE105" s="27">
        <v>5.7886575694504935E-2</v>
      </c>
      <c r="AF105" s="27">
        <v>3.9778419624683065E-2</v>
      </c>
      <c r="AG105" s="21">
        <v>-905.40780349109343</v>
      </c>
      <c r="AH105">
        <v>-905.21780349109338</v>
      </c>
    </row>
    <row r="106" spans="11:34" x14ac:dyDescent="0.2">
      <c r="K106" s="26">
        <v>6.7883955292020204</v>
      </c>
      <c r="L106" s="29">
        <v>6.78840552920202</v>
      </c>
      <c r="M106" s="29">
        <v>6.7883855292020208</v>
      </c>
      <c r="N106" s="26"/>
      <c r="O106" s="26">
        <v>0.71738984661269423</v>
      </c>
      <c r="P106" s="26">
        <v>0.71738943186930648</v>
      </c>
      <c r="Q106" s="26">
        <v>0.71739026135632178</v>
      </c>
      <c r="R106" s="26"/>
      <c r="S106" s="28">
        <v>4.8927005739476746E-2</v>
      </c>
      <c r="T106" s="28">
        <v>4.892701882921198E-2</v>
      </c>
      <c r="U106" s="28">
        <v>4.892699264970294E-2</v>
      </c>
      <c r="V106" s="26"/>
      <c r="W106" s="20">
        <v>1.3089773806540528E-3</v>
      </c>
      <c r="X106" s="26"/>
      <c r="Y106" s="26"/>
      <c r="Z106" s="26"/>
      <c r="AA106" s="26"/>
      <c r="AB106" s="26"/>
      <c r="AC106" s="4">
        <v>1.3089735233229316E-3</v>
      </c>
      <c r="AD106" s="20">
        <v>-1.3089773806540528E-3</v>
      </c>
      <c r="AE106" s="27">
        <v>5.7812861932516418E-2</v>
      </c>
      <c r="AF106" s="27">
        <v>4.0041149540818201E-2</v>
      </c>
      <c r="AG106" s="21">
        <v>-888.58561958491077</v>
      </c>
      <c r="AH106">
        <v>-888.39561958491072</v>
      </c>
    </row>
    <row r="107" spans="11:34" x14ac:dyDescent="0.2">
      <c r="K107" s="26">
        <v>6.8598105531515152</v>
      </c>
      <c r="L107" s="29">
        <v>6.8598205531515148</v>
      </c>
      <c r="M107" s="29">
        <v>6.8598005531515156</v>
      </c>
      <c r="N107" s="26"/>
      <c r="O107" s="26">
        <v>0.71443653702182364</v>
      </c>
      <c r="P107" s="26">
        <v>0.71443612446889759</v>
      </c>
      <c r="Q107" s="26">
        <v>0.71443694957498793</v>
      </c>
      <c r="R107" s="26"/>
      <c r="S107" s="28">
        <v>4.9019007810002256E-2</v>
      </c>
      <c r="T107" s="28">
        <v>4.9019020530780354E-2</v>
      </c>
      <c r="U107" s="28">
        <v>4.901899508918707E-2</v>
      </c>
      <c r="V107" s="26"/>
      <c r="W107" s="20">
        <v>1.2720815185940371E-3</v>
      </c>
      <c r="X107" s="26"/>
      <c r="Y107" s="26"/>
      <c r="Z107" s="26"/>
      <c r="AA107" s="26"/>
      <c r="AB107" s="26"/>
      <c r="AC107" s="4">
        <v>1.2720778097552454E-3</v>
      </c>
      <c r="AD107" s="20">
        <v>-1.2720815185940371E-3</v>
      </c>
      <c r="AE107" s="27">
        <v>5.774524603534735E-2</v>
      </c>
      <c r="AF107" s="27">
        <v>4.0292769584281879E-2</v>
      </c>
      <c r="AG107" s="21">
        <v>-872.6238225532735</v>
      </c>
      <c r="AH107">
        <v>-872.43382255327344</v>
      </c>
    </row>
    <row r="108" spans="11:34" x14ac:dyDescent="0.2">
      <c r="K108" s="26">
        <v>6.9312255771010101</v>
      </c>
      <c r="L108" s="29">
        <v>6.9312355771010097</v>
      </c>
      <c r="M108" s="29">
        <v>6.9312155771010104</v>
      </c>
      <c r="N108" s="26"/>
      <c r="O108" s="26">
        <v>0.71149783364236874</v>
      </c>
      <c r="P108" s="26">
        <v>0.71149742321906839</v>
      </c>
      <c r="Q108" s="26">
        <v>0.71149824406590589</v>
      </c>
      <c r="R108" s="26"/>
      <c r="S108" s="28">
        <v>4.9108617580808589E-2</v>
      </c>
      <c r="T108" s="28">
        <v>4.9108629953501945E-2</v>
      </c>
      <c r="U108" s="28">
        <v>4.9108605208079505E-2</v>
      </c>
      <c r="V108" s="26"/>
      <c r="W108" s="20">
        <v>1.237272908433118E-3</v>
      </c>
      <c r="X108" s="26"/>
      <c r="Y108" s="26"/>
      <c r="Z108" s="26"/>
      <c r="AA108" s="26"/>
      <c r="AB108" s="26"/>
      <c r="AC108" s="4">
        <v>1.2372693355966469E-3</v>
      </c>
      <c r="AD108" s="20">
        <v>-1.237272908433118E-3</v>
      </c>
      <c r="AE108" s="27">
        <v>5.7684435190845554E-2</v>
      </c>
      <c r="AF108" s="27">
        <v>4.0532799952022802E-2</v>
      </c>
      <c r="AG108" s="21">
        <v>-857.58176194113753</v>
      </c>
      <c r="AH108">
        <v>-857.39176194113747</v>
      </c>
    </row>
    <row r="109" spans="11:34" x14ac:dyDescent="0.2">
      <c r="K109" s="26">
        <v>7.0026406010505049</v>
      </c>
      <c r="L109" s="29">
        <v>7.0026506010505045</v>
      </c>
      <c r="M109" s="29">
        <v>7.0026306010505053</v>
      </c>
      <c r="N109" s="26"/>
      <c r="O109" s="26">
        <v>0.70857346438381186</v>
      </c>
      <c r="P109" s="26">
        <v>0.70857305602291432</v>
      </c>
      <c r="Q109" s="26">
        <v>0.70857387274494488</v>
      </c>
      <c r="R109" s="26"/>
      <c r="S109" s="28">
        <v>4.9195946904458998E-2</v>
      </c>
      <c r="T109" s="28">
        <v>4.9195958950586795E-2</v>
      </c>
      <c r="U109" s="28">
        <v>4.9195934858296778E-2</v>
      </c>
      <c r="V109" s="26"/>
      <c r="W109" s="20">
        <v>1.2046162220502588E-3</v>
      </c>
      <c r="X109" s="26"/>
      <c r="Y109" s="26"/>
      <c r="Z109" s="26"/>
      <c r="AA109" s="26"/>
      <c r="AB109" s="26"/>
      <c r="AC109" s="4">
        <v>1.204612779664993E-3</v>
      </c>
      <c r="AD109" s="20">
        <v>-1.2046162220502588E-3</v>
      </c>
      <c r="AE109" s="27">
        <v>5.7631441356140976E-2</v>
      </c>
      <c r="AF109" s="27">
        <v>4.0760452439245781E-2</v>
      </c>
      <c r="AG109" s="21">
        <v>-843.5494458447597</v>
      </c>
      <c r="AH109">
        <v>-843.35944584475965</v>
      </c>
    </row>
    <row r="110" spans="11:34" x14ac:dyDescent="0.2">
      <c r="K110" s="26">
        <v>7.0740556249999997</v>
      </c>
      <c r="L110" s="29">
        <v>7.0740656249999994</v>
      </c>
      <c r="M110" s="29">
        <v>7.0740456250000001</v>
      </c>
      <c r="N110" s="26"/>
      <c r="O110" s="26">
        <v>0.70566314639367211</v>
      </c>
      <c r="P110" s="26">
        <v>0.70566273971003191</v>
      </c>
      <c r="Q110" s="26">
        <v>0.7056635530775468</v>
      </c>
      <c r="R110" s="26"/>
      <c r="S110" s="28">
        <v>4.9281105999999984E-2</v>
      </c>
      <c r="T110" s="28">
        <v>4.9281117804136049E-2</v>
      </c>
      <c r="U110" s="28">
        <v>4.9281094195830537E-2</v>
      </c>
      <c r="V110" s="26"/>
      <c r="W110" s="20">
        <v>1.1804169447460211E-3</v>
      </c>
      <c r="X110" s="26"/>
      <c r="Y110" s="26"/>
      <c r="Z110" s="26"/>
      <c r="AA110" s="26"/>
      <c r="AB110" s="26"/>
      <c r="AC110" s="4">
        <v>1.1804136064441639E-3</v>
      </c>
      <c r="AD110" s="20">
        <v>-1.1804169447460211E-3</v>
      </c>
      <c r="AE110" s="27">
        <v>5.7631441120764987E-2</v>
      </c>
      <c r="AF110" s="27">
        <v>4.0930770872174081E-2</v>
      </c>
      <c r="AG110" s="21">
        <v>-835.03351242954523</v>
      </c>
      <c r="AH110">
        <v>-834.84351242954517</v>
      </c>
    </row>
  </sheetData>
  <conditionalFormatting sqref="L8:M8">
    <cfRule type="cellIs" priority="1" operator="equal">
      <formula>""</formula>
    </cfRule>
    <cfRule type="containsBlanks" priority="2">
      <formula>LEN(TRIM(L8))=0</formula>
    </cfRule>
    <cfRule type="cellIs" dxfId="5" priority="8" operator="equal">
      <formula>"PASS"</formula>
    </cfRule>
  </conditionalFormatting>
  <conditionalFormatting sqref="L8:M8">
    <cfRule type="cellIs" dxfId="4" priority="4" operator="equal">
      <formula>"FAIL"</formula>
    </cfRule>
  </conditionalFormatting>
  <conditionalFormatting sqref="L8:M8">
    <cfRule type="containsText" dxfId="3" priority="5" operator="containsText" text="No">
      <formula>NOT(ISERROR(SEARCH("No",L8)))</formula>
    </cfRule>
  </conditionalFormatting>
  <conditionalFormatting sqref="L8:M8">
    <cfRule type="cellIs" dxfId="2" priority="3" operator="equal">
      <formula>FALSE</formula>
    </cfRule>
    <cfRule type="cellIs" dxfId="1" priority="6" operator="equal">
      <formula>TRUE</formula>
    </cfRule>
    <cfRule type="containsText" dxfId="0" priority="7" operator="containsText" text="Yes">
      <formula>NOT(ISERROR(SEARCH("Yes",L8)))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FDB40-BBCC-43DA-BA02-65F609977426}">
  <sheetPr codeName="Sheet5"/>
  <dimension ref="A1:A2"/>
  <sheetViews>
    <sheetView workbookViewId="0">
      <selection activeCell="A2" sqref="A2"/>
    </sheetView>
  </sheetViews>
  <sheetFormatPr defaultRowHeight="12.75" x14ac:dyDescent="0.2"/>
  <cols>
    <col min="1" max="1" width="19.5703125" bestFit="1" customWidth="1"/>
  </cols>
  <sheetData>
    <row r="1" spans="1:1" x14ac:dyDescent="0.2">
      <c r="A1" t="s">
        <v>5</v>
      </c>
    </row>
    <row r="2" spans="1:1" x14ac:dyDescent="0.2">
      <c r="A2" t="s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HestonFit</vt:lpstr>
      <vt:lpstr>CapFloor Prices</vt:lpstr>
      <vt:lpstr>YC</vt:lpstr>
      <vt:lpstr>Sheet4</vt:lpstr>
      <vt:lpstr>DataValidation</vt:lpstr>
      <vt:lpstr>bond_prices</vt:lpstr>
      <vt:lpstr>dt</vt:lpstr>
      <vt:lpstr>max_tau</vt:lpstr>
      <vt:lpstr>mean_reversion_rate</vt:lpstr>
      <vt:lpstr>min_tau</vt:lpstr>
      <vt:lpstr>Rho</vt:lpstr>
      <vt:lpstr>Theta</vt:lpstr>
      <vt:lpstr>Vol_of_Vol</vt:lpstr>
      <vt:lpstr>volalitity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Shasa Foster</dc:creator>
  <cp:lastModifiedBy>Shasa Foster</cp:lastModifiedBy>
  <dcterms:created xsi:type="dcterms:W3CDTF">2024-05-11T03:35:05Z</dcterms:created>
  <dcterms:modified xsi:type="dcterms:W3CDTF">2024-05-19T08:29:46Z</dcterms:modified>
</cp:coreProperties>
</file>