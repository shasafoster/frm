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shasa\Documents\finance_calcs\frm\excel_models\"/>
    </mc:Choice>
  </mc:AlternateContent>
  <xr:revisionPtr revIDLastSave="0" documentId="13_ncr:1_{D33089BB-CF14-4904-84E7-47B20830D07E}" xr6:coauthVersionLast="47" xr6:coauthVersionMax="47" xr10:uidLastSave="{00000000-0000-0000-0000-000000000000}"/>
  <bookViews>
    <workbookView xWindow="-120" yWindow="-120" windowWidth="29040" windowHeight="15720" xr2:uid="{ACCF6C7A-DFD5-4A1D-A32C-2AF79D4E42D5}"/>
  </bookViews>
  <sheets>
    <sheet name="Hull White 1 Factor" sheetId="7" r:id="rId1"/>
  </sheets>
  <functionGroups builtInGroupCount="19"/>
  <definedNames>
    <definedName name="bond_prices">tbl_zero_rates[[#Headers],[idx]]</definedName>
    <definedName name="dt">'Hull White 1 Factor'!$H$12</definedName>
    <definedName name="max_tau">'Hull White 1 Factor'!$H$11</definedName>
    <definedName name="mean_reversion_rate">'Hull White 1 Factor'!$H$7</definedName>
    <definedName name="min_tau">'Hull White 1 Factor'!$H$10</definedName>
    <definedName name="Rho">#REF!</definedName>
    <definedName name="S0">#REF!</definedName>
    <definedName name="SpotDate">#REF!</definedName>
    <definedName name="Theta">#REF!</definedName>
    <definedName name="ValuationDate">#REF!</definedName>
    <definedName name="Vol_of_Vol">#REF!</definedName>
    <definedName name="volalitity">'Hull White 1 Factor'!$H$8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 i="7" l="1"/>
  <c r="AH7" i="7" a="1"/>
  <c r="AH7" i="7" l="1"/>
  <c r="H11" i="7"/>
  <c r="H10"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H6" i="7"/>
  <c r="J7" i="7" a="1"/>
  <c r="L8" i="7" a="1"/>
  <c r="L37" i="7" a="1"/>
  <c r="K44" i="7" a="1"/>
  <c r="L92" i="7" a="1"/>
  <c r="K38" i="7" a="1"/>
  <c r="K70" i="7" a="1"/>
  <c r="K102" i="7" a="1"/>
  <c r="K36" i="7" a="1"/>
  <c r="L10" i="7" a="1"/>
  <c r="L42" i="7" a="1"/>
  <c r="L74" i="7" a="1"/>
  <c r="L106" i="7" a="1"/>
  <c r="K32" i="7" a="1"/>
  <c r="L104" i="7" a="1"/>
  <c r="K39" i="7" a="1"/>
  <c r="K71" i="7" a="1"/>
  <c r="K103" i="7" a="1"/>
  <c r="K40" i="7" a="1"/>
  <c r="K52" i="7" a="1"/>
  <c r="L85" i="7" a="1"/>
  <c r="L53" i="7" a="1"/>
  <c r="L21" i="7" a="1"/>
  <c r="K92" i="7" a="1"/>
  <c r="L35" i="7" a="1"/>
  <c r="K49" i="7" a="1"/>
  <c r="L24" i="7" a="1"/>
  <c r="K55" i="7" a="1"/>
  <c r="K8" i="7" a="1"/>
  <c r="K68" i="7" a="1"/>
  <c r="K10" i="7" a="1"/>
  <c r="K42" i="7" a="1"/>
  <c r="K74" i="7" a="1"/>
  <c r="K106" i="7" a="1"/>
  <c r="K60" i="7" a="1"/>
  <c r="L14" i="7" a="1"/>
  <c r="L46" i="7" a="1"/>
  <c r="L78" i="7" a="1"/>
  <c r="L11" i="7" a="1"/>
  <c r="K56" i="7" a="1"/>
  <c r="K11" i="7" a="1"/>
  <c r="K43" i="7" a="1"/>
  <c r="K75" i="7" a="1"/>
  <c r="L15" i="7" a="1"/>
  <c r="K64" i="7" a="1"/>
  <c r="L68" i="7" a="1"/>
  <c r="L81" i="7" a="1"/>
  <c r="L49" i="7" a="1"/>
  <c r="L17" i="7" a="1"/>
  <c r="K72" i="7" a="1"/>
  <c r="L19" i="7" a="1"/>
  <c r="K77" i="7" a="1"/>
  <c r="K45" i="7" a="1"/>
  <c r="K13" i="7" a="1"/>
  <c r="K9" i="7" a="1"/>
  <c r="L16" i="7" a="1"/>
  <c r="L59" i="7" a="1"/>
  <c r="L90" i="7" a="1"/>
  <c r="L55" i="7" a="1"/>
  <c r="L69" i="7" a="1"/>
  <c r="K33" i="7" a="1"/>
  <c r="K80" i="7" a="1"/>
  <c r="K14" i="7" a="1"/>
  <c r="K46" i="7" a="1"/>
  <c r="K78" i="7" a="1"/>
  <c r="L23" i="7" a="1"/>
  <c r="K84" i="7" a="1"/>
  <c r="L18" i="7" a="1"/>
  <c r="L50" i="7" a="1"/>
  <c r="L82" i="7" a="1"/>
  <c r="L31" i="7" a="1"/>
  <c r="K76" i="7" a="1"/>
  <c r="K15" i="7" a="1"/>
  <c r="K47" i="7" a="1"/>
  <c r="K79" i="7" a="1"/>
  <c r="L27" i="7" a="1"/>
  <c r="K88" i="7" a="1"/>
  <c r="L100" i="7" a="1"/>
  <c r="L77" i="7" a="1"/>
  <c r="L45" i="7" a="1"/>
  <c r="L13" i="7" a="1"/>
  <c r="K48" i="7" a="1"/>
  <c r="K105" i="7" a="1"/>
  <c r="K73" i="7" a="1"/>
  <c r="K41" i="7" a="1"/>
  <c r="K22" i="7" a="1"/>
  <c r="L26" i="7" a="1"/>
  <c r="K23" i="7" a="1"/>
  <c r="L101" i="7" a="1"/>
  <c r="K65" i="7" a="1"/>
  <c r="K100" i="7" a="1"/>
  <c r="K18" i="7" a="1"/>
  <c r="K50" i="7" a="1"/>
  <c r="K82" i="7" a="1"/>
  <c r="L43" i="7" a="1"/>
  <c r="K104" i="7" a="1"/>
  <c r="L22" i="7" a="1"/>
  <c r="L54" i="7" a="1"/>
  <c r="L86" i="7" a="1"/>
  <c r="L47" i="7" a="1"/>
  <c r="K96" i="7" a="1"/>
  <c r="K19" i="7" a="1"/>
  <c r="K51" i="7" a="1"/>
  <c r="K83" i="7" a="1"/>
  <c r="L39" i="7" a="1"/>
  <c r="L12" i="7" a="1"/>
  <c r="L105" i="7" a="1"/>
  <c r="L73" i="7" a="1"/>
  <c r="L41" i="7" a="1"/>
  <c r="L9" i="7" a="1"/>
  <c r="K28" i="7" a="1"/>
  <c r="K101" i="7" a="1"/>
  <c r="K69" i="7" a="1"/>
  <c r="K37" i="7" a="1"/>
  <c r="K54" i="7" a="1"/>
  <c r="L58" i="7" a="1"/>
  <c r="K87" i="7" a="1"/>
  <c r="L84" i="7" a="1"/>
  <c r="L63" i="7" a="1"/>
  <c r="L36" i="7" a="1"/>
  <c r="K26" i="7" a="1"/>
  <c r="K58" i="7" a="1"/>
  <c r="K90" i="7" a="1"/>
  <c r="L79" i="7" a="1"/>
  <c r="L44" i="7" a="1"/>
  <c r="L30" i="7" a="1"/>
  <c r="L62" i="7" a="1"/>
  <c r="L94" i="7" a="1"/>
  <c r="L83" i="7" a="1"/>
  <c r="L32" i="7" a="1"/>
  <c r="K27" i="7" a="1"/>
  <c r="K59" i="7" a="1"/>
  <c r="K91" i="7" a="1"/>
  <c r="L75" i="7" a="1"/>
  <c r="L48" i="7" a="1"/>
  <c r="L97" i="7" a="1"/>
  <c r="L65" i="7" a="1"/>
  <c r="L33" i="7" a="1"/>
  <c r="L60" i="7" a="1"/>
  <c r="L91" i="7" a="1"/>
  <c r="K93" i="7" a="1"/>
  <c r="K61" i="7" a="1"/>
  <c r="K29" i="7" a="1"/>
  <c r="K25" i="7" a="1"/>
  <c r="K21" i="7" a="1"/>
  <c r="L87" i="7" a="1"/>
  <c r="L56" i="7" a="1"/>
  <c r="K30" i="7" a="1"/>
  <c r="K62" i="7" a="1"/>
  <c r="K94" i="7" a="1"/>
  <c r="L99" i="7" a="1"/>
  <c r="L64" i="7" a="1"/>
  <c r="L34" i="7" a="1"/>
  <c r="L66" i="7" a="1"/>
  <c r="L98" i="7" a="1"/>
  <c r="L103" i="7" a="1"/>
  <c r="L52" i="7" a="1"/>
  <c r="K31" i="7" a="1"/>
  <c r="K63" i="7" a="1"/>
  <c r="K95" i="7" a="1"/>
  <c r="L95" i="7" a="1"/>
  <c r="L72" i="7" a="1"/>
  <c r="L93" i="7" a="1"/>
  <c r="L61" i="7" a="1"/>
  <c r="L29" i="7" a="1"/>
  <c r="L40" i="7" a="1"/>
  <c r="L71" i="7" a="1"/>
  <c r="K89" i="7" a="1"/>
  <c r="K57" i="7" a="1"/>
  <c r="K53" i="7" a="1"/>
  <c r="K17" i="7" a="1"/>
  <c r="K86" i="7" a="1"/>
  <c r="L67" i="7" a="1"/>
  <c r="L28" i="7" a="1"/>
  <c r="K97" i="7" a="1"/>
  <c r="K81" i="7" a="1"/>
  <c r="K85" i="7" a="1"/>
  <c r="L51" i="7" a="1"/>
  <c r="L20" i="7" a="1"/>
  <c r="L25" i="7" a="1"/>
  <c r="L57" i="7" a="1"/>
  <c r="L89" i="7" a="1"/>
  <c r="L96" i="7" a="1"/>
  <c r="K20" i="7" a="1"/>
  <c r="K99" i="7" a="1"/>
  <c r="K67" i="7" a="1"/>
  <c r="K35" i="7" a="1"/>
  <c r="L80" i="7" a="1"/>
  <c r="K12" i="7" a="1"/>
  <c r="L102" i="7" a="1"/>
  <c r="L70" i="7" a="1"/>
  <c r="L38" i="7" a="1"/>
  <c r="L88" i="7" a="1"/>
  <c r="K16" i="7" a="1"/>
  <c r="K98" i="7" a="1"/>
  <c r="K66" i="7" a="1"/>
  <c r="K34" i="7" a="1"/>
  <c r="L76" i="7" a="1"/>
  <c r="K24" i="7" a="1"/>
  <c r="J7" i="7" l="1"/>
  <c r="AF7" i="7" s="1" a="1"/>
  <c r="AF7" i="7" s="1"/>
  <c r="K9" i="7"/>
  <c r="K13" i="7"/>
  <c r="K17" i="7"/>
  <c r="K21" i="7"/>
  <c r="K25" i="7"/>
  <c r="K29" i="7"/>
  <c r="K33" i="7"/>
  <c r="K37" i="7"/>
  <c r="K41" i="7"/>
  <c r="K45" i="7"/>
  <c r="K49" i="7"/>
  <c r="K53" i="7"/>
  <c r="K57" i="7"/>
  <c r="K61" i="7"/>
  <c r="K65" i="7"/>
  <c r="K69" i="7"/>
  <c r="K73" i="7"/>
  <c r="K77" i="7"/>
  <c r="K81" i="7"/>
  <c r="K85" i="7"/>
  <c r="K89" i="7"/>
  <c r="K93" i="7"/>
  <c r="K97" i="7"/>
  <c r="K101" i="7"/>
  <c r="K105" i="7"/>
  <c r="L19" i="7"/>
  <c r="L35" i="7"/>
  <c r="L51" i="7"/>
  <c r="L71" i="7"/>
  <c r="L91" i="7"/>
  <c r="K8" i="7"/>
  <c r="K28" i="7"/>
  <c r="K48" i="7"/>
  <c r="K72" i="7"/>
  <c r="K92" i="7"/>
  <c r="L20" i="7"/>
  <c r="L40" i="7"/>
  <c r="L60" i="7"/>
  <c r="L84" i="7"/>
  <c r="L9" i="7"/>
  <c r="L13" i="7"/>
  <c r="L17" i="7"/>
  <c r="L21" i="7"/>
  <c r="L25" i="7"/>
  <c r="L29" i="7"/>
  <c r="L33" i="7"/>
  <c r="L37" i="7"/>
  <c r="L41" i="7"/>
  <c r="L45" i="7"/>
  <c r="L49" i="7"/>
  <c r="L53" i="7"/>
  <c r="L57" i="7"/>
  <c r="L61" i="7"/>
  <c r="L65" i="7"/>
  <c r="L69" i="7"/>
  <c r="L73" i="7"/>
  <c r="L77" i="7"/>
  <c r="L81" i="7"/>
  <c r="L85" i="7"/>
  <c r="L89" i="7"/>
  <c r="L93" i="7"/>
  <c r="L97" i="7"/>
  <c r="L101" i="7"/>
  <c r="L105" i="7"/>
  <c r="L100" i="7"/>
  <c r="L68" i="7"/>
  <c r="K52" i="7"/>
  <c r="L96" i="7"/>
  <c r="L72" i="7"/>
  <c r="L48" i="7"/>
  <c r="L28" i="7"/>
  <c r="L12" i="7"/>
  <c r="K88" i="7"/>
  <c r="K64" i="7"/>
  <c r="K40" i="7"/>
  <c r="K20" i="7"/>
  <c r="M20" i="7" s="1"/>
  <c r="L95" i="7"/>
  <c r="L75" i="7"/>
  <c r="L55" i="7"/>
  <c r="L39" i="7"/>
  <c r="L27" i="7"/>
  <c r="L15" i="7"/>
  <c r="K103" i="7"/>
  <c r="K99" i="7"/>
  <c r="K95" i="7"/>
  <c r="M95" i="7" s="1"/>
  <c r="K91" i="7"/>
  <c r="M91" i="7" s="1"/>
  <c r="K87" i="7"/>
  <c r="K83" i="7"/>
  <c r="K79" i="7"/>
  <c r="K75" i="7"/>
  <c r="K71" i="7"/>
  <c r="K67" i="7"/>
  <c r="K63" i="7"/>
  <c r="K59" i="7"/>
  <c r="K55" i="7"/>
  <c r="K51" i="7"/>
  <c r="K47" i="7"/>
  <c r="K43" i="7"/>
  <c r="K39" i="7"/>
  <c r="K35" i="7"/>
  <c r="M35" i="7" s="1"/>
  <c r="K31" i="7"/>
  <c r="K27" i="7"/>
  <c r="K23" i="7"/>
  <c r="K19" i="7"/>
  <c r="K15" i="7"/>
  <c r="K11" i="7"/>
  <c r="L104" i="7"/>
  <c r="L80" i="7"/>
  <c r="L52" i="7"/>
  <c r="L32" i="7"/>
  <c r="L8" i="7"/>
  <c r="K96" i="7"/>
  <c r="K76" i="7"/>
  <c r="K56" i="7"/>
  <c r="K32" i="7"/>
  <c r="K12" i="7"/>
  <c r="L103" i="7"/>
  <c r="L83" i="7"/>
  <c r="L67" i="7"/>
  <c r="L47" i="7"/>
  <c r="L31" i="7"/>
  <c r="L11" i="7"/>
  <c r="L106" i="7"/>
  <c r="L102" i="7"/>
  <c r="L98" i="7"/>
  <c r="L94" i="7"/>
  <c r="L90" i="7"/>
  <c r="L86" i="7"/>
  <c r="L82" i="7"/>
  <c r="L78" i="7"/>
  <c r="L74" i="7"/>
  <c r="L70" i="7"/>
  <c r="L66" i="7"/>
  <c r="L62" i="7"/>
  <c r="L58" i="7"/>
  <c r="L54" i="7"/>
  <c r="L50" i="7"/>
  <c r="L46" i="7"/>
  <c r="L42" i="7"/>
  <c r="L38" i="7"/>
  <c r="L34" i="7"/>
  <c r="L30" i="7"/>
  <c r="L26" i="7"/>
  <c r="L22" i="7"/>
  <c r="L18" i="7"/>
  <c r="L14" i="7"/>
  <c r="L10" i="7"/>
  <c r="L88" i="7"/>
  <c r="L64" i="7"/>
  <c r="L44" i="7"/>
  <c r="L24" i="7"/>
  <c r="K104" i="7"/>
  <c r="M104" i="7" s="1"/>
  <c r="K84" i="7"/>
  <c r="K60" i="7"/>
  <c r="K36" i="7"/>
  <c r="K16" i="7"/>
  <c r="L99" i="7"/>
  <c r="L79" i="7"/>
  <c r="L59" i="7"/>
  <c r="L43" i="7"/>
  <c r="L23" i="7"/>
  <c r="K106" i="7"/>
  <c r="M106" i="7" s="1"/>
  <c r="K102" i="7"/>
  <c r="K98" i="7"/>
  <c r="K94" i="7"/>
  <c r="K90" i="7"/>
  <c r="K86" i="7"/>
  <c r="K82" i="7"/>
  <c r="K78" i="7"/>
  <c r="K74" i="7"/>
  <c r="M74" i="7" s="1"/>
  <c r="K70" i="7"/>
  <c r="K66" i="7"/>
  <c r="K62" i="7"/>
  <c r="K58" i="7"/>
  <c r="K54" i="7"/>
  <c r="K50" i="7"/>
  <c r="K46" i="7"/>
  <c r="K42" i="7"/>
  <c r="M42" i="7" s="1"/>
  <c r="K38" i="7"/>
  <c r="K34" i="7"/>
  <c r="K30" i="7"/>
  <c r="K26" i="7"/>
  <c r="K22" i="7"/>
  <c r="K18" i="7"/>
  <c r="K14" i="7"/>
  <c r="K10" i="7"/>
  <c r="M10" i="7" s="1"/>
  <c r="L92" i="7"/>
  <c r="L76" i="7"/>
  <c r="L56" i="7"/>
  <c r="L36" i="7"/>
  <c r="L16" i="7"/>
  <c r="K100" i="7"/>
  <c r="K80" i="7"/>
  <c r="K68" i="7"/>
  <c r="M68" i="7" s="1"/>
  <c r="K44" i="7"/>
  <c r="K24" i="7"/>
  <c r="L87" i="7"/>
  <c r="L63" i="7"/>
  <c r="K7" i="7" a="1"/>
  <c r="L7" i="7" a="1"/>
  <c r="M80" i="7" l="1"/>
  <c r="M84" i="7"/>
  <c r="AE7" i="7" a="1"/>
  <c r="AE7" i="7" s="1"/>
  <c r="AG7" i="7" s="1" a="1"/>
  <c r="AG7" i="7" s="1"/>
  <c r="M96" i="7"/>
  <c r="M51" i="7"/>
  <c r="O7" i="7" a="1"/>
  <c r="O7" i="7" s="1"/>
  <c r="M38" i="7"/>
  <c r="M70" i="7"/>
  <c r="M102" i="7"/>
  <c r="M58" i="7"/>
  <c r="M90" i="7"/>
  <c r="M59" i="7"/>
  <c r="M24" i="7"/>
  <c r="M26" i="7"/>
  <c r="M78" i="7"/>
  <c r="M15" i="7"/>
  <c r="M82" i="7"/>
  <c r="M34" i="7"/>
  <c r="M66" i="7"/>
  <c r="M98" i="7"/>
  <c r="M71" i="7"/>
  <c r="M103" i="7"/>
  <c r="M14" i="7"/>
  <c r="M46" i="7"/>
  <c r="M18" i="7"/>
  <c r="M50" i="7"/>
  <c r="M19" i="7"/>
  <c r="M83" i="7"/>
  <c r="T7" i="7" a="1"/>
  <c r="M27" i="7"/>
  <c r="M93" i="7"/>
  <c r="M61" i="7"/>
  <c r="M29" i="7"/>
  <c r="M55" i="7"/>
  <c r="M40" i="7"/>
  <c r="M100" i="7"/>
  <c r="M28" i="7"/>
  <c r="M101" i="7"/>
  <c r="M69" i="7"/>
  <c r="M37" i="7"/>
  <c r="K7" i="7"/>
  <c r="L7" i="7"/>
  <c r="M22" i="7"/>
  <c r="M54" i="7"/>
  <c r="M86" i="7"/>
  <c r="M23" i="7"/>
  <c r="M87" i="7"/>
  <c r="M8" i="7"/>
  <c r="M97" i="7"/>
  <c r="M65" i="7"/>
  <c r="M33" i="7"/>
  <c r="M30" i="7"/>
  <c r="M62" i="7"/>
  <c r="M94" i="7"/>
  <c r="M31" i="7"/>
  <c r="M63" i="7"/>
  <c r="M89" i="7"/>
  <c r="M57" i="7"/>
  <c r="M25" i="7"/>
  <c r="M16" i="7"/>
  <c r="M12" i="7"/>
  <c r="M67" i="7"/>
  <c r="M99" i="7"/>
  <c r="M85" i="7"/>
  <c r="M53" i="7"/>
  <c r="M21" i="7"/>
  <c r="M44" i="7"/>
  <c r="M36" i="7"/>
  <c r="M32" i="7"/>
  <c r="M39" i="7"/>
  <c r="M52" i="7"/>
  <c r="M92" i="7"/>
  <c r="M81" i="7"/>
  <c r="M49" i="7"/>
  <c r="M17" i="7"/>
  <c r="M60" i="7"/>
  <c r="M56" i="7"/>
  <c r="M11" i="7"/>
  <c r="M43" i="7"/>
  <c r="M75" i="7"/>
  <c r="M64" i="7"/>
  <c r="M72" i="7"/>
  <c r="M77" i="7"/>
  <c r="M45" i="7"/>
  <c r="M13" i="7"/>
  <c r="M76" i="7"/>
  <c r="M47" i="7"/>
  <c r="M79" i="7"/>
  <c r="M88" i="7"/>
  <c r="M48" i="7"/>
  <c r="M105" i="7"/>
  <c r="M73" i="7"/>
  <c r="M41" i="7"/>
  <c r="M9" i="7"/>
  <c r="Q83" i="7" a="1"/>
  <c r="Q49" i="7" a="1"/>
  <c r="Q31" i="7" a="1"/>
  <c r="Q79" i="7" a="1"/>
  <c r="Q61" i="7" a="1"/>
  <c r="P29" i="7" a="1"/>
  <c r="P61" i="7" a="1"/>
  <c r="P93" i="7" a="1"/>
  <c r="V68" i="7" a="1"/>
  <c r="V37" i="7" a="1"/>
  <c r="V60" i="7" a="1"/>
  <c r="V65" i="7" a="1"/>
  <c r="V48" i="7" a="1"/>
  <c r="V16" i="7" a="1"/>
  <c r="V22" i="7" a="1"/>
  <c r="V106" i="7" a="1"/>
  <c r="V39" i="7" a="1"/>
  <c r="V100" i="7" a="1"/>
  <c r="V90" i="7" a="1"/>
  <c r="V50" i="7" a="1"/>
  <c r="U103" i="7" a="1"/>
  <c r="U71" i="7" a="1"/>
  <c r="U39" i="7" a="1"/>
  <c r="U101" i="7" a="1"/>
  <c r="U66" i="7" a="1"/>
  <c r="U18" i="7" a="1"/>
  <c r="U33" i="7" a="1"/>
  <c r="U62" i="7" a="1"/>
  <c r="U41" i="7" a="1"/>
  <c r="U84" i="7" a="1"/>
  <c r="V71" i="7" a="1"/>
  <c r="P39" i="7" a="1"/>
  <c r="Q101" i="7" a="1"/>
  <c r="Q98" i="7" a="1"/>
  <c r="P70" i="7" a="1"/>
  <c r="P52" i="7" a="1"/>
  <c r="Q64" i="7" a="1"/>
  <c r="Q66" i="7" a="1"/>
  <c r="U95" i="7" a="1"/>
  <c r="U46" i="7" a="1"/>
  <c r="P96" i="7" a="1"/>
  <c r="P24" i="7" a="1"/>
  <c r="Q59" i="7" a="1"/>
  <c r="U82" i="7" a="1"/>
  <c r="P27" i="7" a="1"/>
  <c r="Q48" i="7" a="1"/>
  <c r="Q91" i="7" a="1"/>
  <c r="Q69" i="7" a="1"/>
  <c r="Q35" i="7" a="1"/>
  <c r="Q87" i="7" a="1"/>
  <c r="Q85" i="7" a="1"/>
  <c r="P33" i="7" a="1"/>
  <c r="P65" i="7" a="1"/>
  <c r="P97" i="7" a="1"/>
  <c r="V99" i="7" a="1"/>
  <c r="V29" i="7" a="1"/>
  <c r="V95" i="7" a="1"/>
  <c r="V61" i="7" a="1"/>
  <c r="V44" i="7" a="1"/>
  <c r="V12" i="7" a="1"/>
  <c r="V18" i="7" a="1"/>
  <c r="V98" i="7" a="1"/>
  <c r="V35" i="7" a="1"/>
  <c r="V80" i="7" a="1"/>
  <c r="V82" i="7" a="1"/>
  <c r="U97" i="7" a="1"/>
  <c r="U99" i="7" a="1"/>
  <c r="U67" i="7" a="1"/>
  <c r="U35" i="7" a="1"/>
  <c r="U25" i="7" a="1"/>
  <c r="U58" i="7" a="1"/>
  <c r="U14" i="7" a="1"/>
  <c r="U13" i="7" a="1"/>
  <c r="U54" i="7" a="1"/>
  <c r="U29" i="7" a="1"/>
  <c r="U48" i="7" a="1"/>
  <c r="V67" i="7" a="1"/>
  <c r="P75" i="7" a="1"/>
  <c r="Q32" i="7" a="1"/>
  <c r="Q106" i="7" a="1"/>
  <c r="U31" i="7" a="1"/>
  <c r="U44" i="7" a="1"/>
  <c r="P79" i="7" a="1"/>
  <c r="Q36" i="7" a="1"/>
  <c r="U64" i="7" a="1"/>
  <c r="P92" i="7" a="1"/>
  <c r="Q50" i="7" a="1"/>
  <c r="Q99" i="7" a="1"/>
  <c r="Q89" i="7" a="1"/>
  <c r="Q43" i="7" a="1"/>
  <c r="Q95" i="7" a="1"/>
  <c r="Q105" i="7" a="1"/>
  <c r="P37" i="7" a="1"/>
  <c r="P69" i="7" a="1"/>
  <c r="P101" i="7" a="1"/>
  <c r="V101" i="7" a="1"/>
  <c r="V25" i="7" a="1"/>
  <c r="V105" i="7" a="1"/>
  <c r="V53" i="7" a="1"/>
  <c r="V40" i="7" a="1"/>
  <c r="V8" i="7" a="1"/>
  <c r="V14" i="7" a="1"/>
  <c r="V63" i="7" a="1"/>
  <c r="V31" i="7" a="1"/>
  <c r="U81" i="7" a="1"/>
  <c r="U63" i="7" a="1"/>
  <c r="U10" i="7" a="1"/>
  <c r="U76" i="7" a="1"/>
  <c r="P66" i="7" a="1"/>
  <c r="P47" i="7" a="1"/>
  <c r="P88" i="7" a="1"/>
  <c r="Q73" i="7" a="1"/>
  <c r="U34" i="7" a="1"/>
  <c r="P30" i="7" a="1"/>
  <c r="P68" i="7" a="1"/>
  <c r="Q14" i="7" a="1"/>
  <c r="Q84" i="7" a="1"/>
  <c r="Q11" i="7" a="1"/>
  <c r="Q47" i="7" a="1"/>
  <c r="Q103" i="7" a="1"/>
  <c r="P9" i="7" a="1"/>
  <c r="P41" i="7" a="1"/>
  <c r="P73" i="7" a="1"/>
  <c r="P105" i="7" a="1"/>
  <c r="V89" i="7" a="1"/>
  <c r="V21" i="7" a="1"/>
  <c r="V97" i="7" a="1"/>
  <c r="V49" i="7" a="1"/>
  <c r="V36" i="7" a="1"/>
  <c r="V46" i="7" a="1"/>
  <c r="V10" i="7" a="1"/>
  <c r="V59" i="7" a="1"/>
  <c r="V27" i="7" a="1"/>
  <c r="V91" i="7" a="1"/>
  <c r="V70" i="7" a="1"/>
  <c r="U69" i="7" a="1"/>
  <c r="U91" i="7" a="1"/>
  <c r="U59" i="7" a="1"/>
  <c r="U27" i="7" a="1"/>
  <c r="U21" i="7" a="1"/>
  <c r="U42" i="7" a="1"/>
  <c r="U105" i="7" a="1"/>
  <c r="U98" i="7" a="1"/>
  <c r="U30" i="7" a="1"/>
  <c r="U104" i="7" a="1"/>
  <c r="U72" i="7" a="1"/>
  <c r="U40" i="7" a="1"/>
  <c r="U8" i="7" a="1"/>
  <c r="P18" i="7" a="1"/>
  <c r="P74" i="7" a="1"/>
  <c r="P10" i="7" a="1"/>
  <c r="P86" i="7" a="1"/>
  <c r="P19" i="7" a="1"/>
  <c r="P51" i="7" a="1"/>
  <c r="P83" i="7" a="1"/>
  <c r="P28" i="7" a="1"/>
  <c r="P60" i="7" a="1"/>
  <c r="P100" i="7" a="1"/>
  <c r="Q102" i="7" a="1"/>
  <c r="Q8" i="7" a="1"/>
  <c r="Q40" i="7" a="1"/>
  <c r="Q72" i="7" a="1"/>
  <c r="Q93" i="7" a="1"/>
  <c r="Q38" i="7" a="1"/>
  <c r="Q74" i="7" a="1"/>
  <c r="P45" i="7" a="1"/>
  <c r="V81" i="7" a="1"/>
  <c r="V93" i="7" a="1"/>
  <c r="V32" i="7" a="1"/>
  <c r="V42" i="7" a="1"/>
  <c r="V55" i="7" a="1"/>
  <c r="V23" i="7" a="1"/>
  <c r="V66" i="7" a="1"/>
  <c r="U61" i="7" a="1"/>
  <c r="U87" i="7" a="1"/>
  <c r="U23" i="7" a="1"/>
  <c r="U38" i="7" a="1"/>
  <c r="U85" i="7" a="1"/>
  <c r="U89" i="7" a="1"/>
  <c r="U68" i="7" a="1"/>
  <c r="V96" i="7" a="1"/>
  <c r="P82" i="7" a="1"/>
  <c r="P22" i="7" a="1"/>
  <c r="P23" i="7" a="1"/>
  <c r="P95" i="7" a="1"/>
  <c r="P64" i="7" a="1"/>
  <c r="Q13" i="7" a="1"/>
  <c r="Q12" i="7" a="1"/>
  <c r="Q80" i="7" a="1"/>
  <c r="Q42" i="7" a="1"/>
  <c r="Q78" i="7" a="1"/>
  <c r="U32" i="7" a="1"/>
  <c r="P106" i="7" a="1"/>
  <c r="Q16" i="7" a="1"/>
  <c r="Q92" i="7" a="1"/>
  <c r="Q15" i="7" a="1"/>
  <c r="Q51" i="7" a="1"/>
  <c r="Q76" i="7" a="1"/>
  <c r="P13" i="7" a="1"/>
  <c r="P77" i="7" a="1"/>
  <c r="V86" i="7" a="1"/>
  <c r="V17" i="7" a="1"/>
  <c r="V41" i="7" a="1"/>
  <c r="V104" i="7" a="1"/>
  <c r="V83" i="7" a="1"/>
  <c r="U55" i="7" a="1"/>
  <c r="U102" i="7" a="1"/>
  <c r="U90" i="7" a="1"/>
  <c r="U100" i="7" a="1"/>
  <c r="U36" i="7" a="1"/>
  <c r="P26" i="7" a="1"/>
  <c r="P98" i="7" a="1"/>
  <c r="P55" i="7" a="1"/>
  <c r="P32" i="7" a="1"/>
  <c r="Q17" i="7" a="1"/>
  <c r="Q44" i="7" a="1"/>
  <c r="Q10" i="7" a="1"/>
  <c r="U73" i="7" a="1"/>
  <c r="P59" i="7" a="1"/>
  <c r="Q88" i="7" a="1"/>
  <c r="Q100" i="7" a="1"/>
  <c r="Q19" i="7" a="1"/>
  <c r="Q55" i="7" a="1"/>
  <c r="Q96" i="7" a="1"/>
  <c r="P17" i="7" a="1"/>
  <c r="P49" i="7" a="1"/>
  <c r="P81" i="7" a="1"/>
  <c r="V74" i="7" a="1"/>
  <c r="V69" i="7" a="1"/>
  <c r="V9" i="7" a="1"/>
  <c r="V85" i="7" a="1"/>
  <c r="V33" i="7" a="1"/>
  <c r="V28" i="7" a="1"/>
  <c r="V38" i="7" a="1"/>
  <c r="V72" i="7" a="1"/>
  <c r="V51" i="7" a="1"/>
  <c r="V19" i="7" a="1"/>
  <c r="V79" i="7" a="1"/>
  <c r="V62" i="7" a="1"/>
  <c r="U49" i="7" a="1"/>
  <c r="U83" i="7" a="1"/>
  <c r="U51" i="7" a="1"/>
  <c r="U19" i="7" a="1"/>
  <c r="U94" i="7" a="1"/>
  <c r="V84" i="7" a="1"/>
  <c r="P36" i="7" a="1"/>
  <c r="Q82" i="7" a="1"/>
  <c r="Q71" i="7" a="1"/>
  <c r="Q25" i="7" a="1"/>
  <c r="Q23" i="7" a="1"/>
  <c r="Q63" i="7" a="1"/>
  <c r="Q9" i="7" a="1"/>
  <c r="P21" i="7" a="1"/>
  <c r="P53" i="7" a="1"/>
  <c r="P85" i="7" a="1"/>
  <c r="V30" i="7" a="1"/>
  <c r="V57" i="7" a="1"/>
  <c r="V92" i="7" a="1"/>
  <c r="V77" i="7" a="1"/>
  <c r="V13" i="7" a="1"/>
  <c r="V24" i="7" a="1"/>
  <c r="V34" i="7" a="1"/>
  <c r="V103" i="7" a="1"/>
  <c r="V47" i="7" a="1"/>
  <c r="V15" i="7" a="1"/>
  <c r="V102" i="7" a="1"/>
  <c r="V58" i="7" a="1"/>
  <c r="U37" i="7" a="1"/>
  <c r="U79" i="7" a="1"/>
  <c r="U47" i="7" a="1"/>
  <c r="U15" i="7" a="1"/>
  <c r="U86" i="7" a="1"/>
  <c r="U26" i="7" a="1"/>
  <c r="U57" i="7" a="1"/>
  <c r="U74" i="7" a="1"/>
  <c r="U65" i="7" a="1"/>
  <c r="U92" i="7" a="1"/>
  <c r="U60" i="7" a="1"/>
  <c r="U28" i="7" a="1"/>
  <c r="V56" i="7" a="1"/>
  <c r="P38" i="7" a="1"/>
  <c r="P94" i="7" a="1"/>
  <c r="P42" i="7" a="1"/>
  <c r="P91" i="7" a="1"/>
  <c r="P31" i="7" a="1"/>
  <c r="P63" i="7" a="1"/>
  <c r="P8" i="7" a="1"/>
  <c r="P40" i="7" a="1"/>
  <c r="P72" i="7" a="1"/>
  <c r="Q65" i="7" a="1"/>
  <c r="Q57" i="7" a="1"/>
  <c r="Q20" i="7" a="1"/>
  <c r="Q52" i="7" a="1"/>
  <c r="Q104" i="7" a="1"/>
  <c r="Q18" i="7" a="1"/>
  <c r="Q54" i="7" a="1"/>
  <c r="Q86" i="7" a="1"/>
  <c r="U20" i="7" a="1"/>
  <c r="P54" i="7" a="1"/>
  <c r="P62" i="7" a="1"/>
  <c r="P71" i="7" a="1"/>
  <c r="P48" i="7" a="1"/>
  <c r="Q97" i="7" a="1"/>
  <c r="Q60" i="7" a="1"/>
  <c r="Q26" i="7" a="1"/>
  <c r="U80" i="7" a="1"/>
  <c r="P99" i="7" a="1"/>
  <c r="P43" i="7" a="1"/>
  <c r="P84" i="7" a="1"/>
  <c r="Q39" i="7" a="1"/>
  <c r="Q30" i="7" a="1"/>
  <c r="V64" i="7" a="1"/>
  <c r="U50" i="7" a="1"/>
  <c r="U17" i="7" a="1"/>
  <c r="P14" i="7" a="1"/>
  <c r="P15" i="7" a="1"/>
  <c r="Q90" i="7" a="1"/>
  <c r="Q34" i="7" a="1"/>
  <c r="U77" i="7" a="1"/>
  <c r="P34" i="7" a="1"/>
  <c r="Q45" i="7" a="1"/>
  <c r="Q75" i="7" a="1"/>
  <c r="Q29" i="7" a="1"/>
  <c r="Q27" i="7" a="1"/>
  <c r="Q67" i="7" a="1"/>
  <c r="Q33" i="7" a="1"/>
  <c r="P25" i="7" a="1"/>
  <c r="P57" i="7" a="1"/>
  <c r="P89" i="7" a="1"/>
  <c r="V88" i="7" a="1"/>
  <c r="V45" i="7" a="1"/>
  <c r="V76" i="7" a="1"/>
  <c r="V73" i="7" a="1"/>
  <c r="V52" i="7" a="1"/>
  <c r="V20" i="7" a="1"/>
  <c r="V26" i="7" a="1"/>
  <c r="V87" i="7" a="1"/>
  <c r="V43" i="7" a="1"/>
  <c r="V11" i="7" a="1"/>
  <c r="V94" i="7" a="1"/>
  <c r="V54" i="7" a="1"/>
  <c r="U9" i="7" a="1"/>
  <c r="U75" i="7" a="1"/>
  <c r="U43" i="7" a="1"/>
  <c r="U11" i="7" a="1"/>
  <c r="U78" i="7" a="1"/>
  <c r="U22" i="7" a="1"/>
  <c r="U45" i="7" a="1"/>
  <c r="U70" i="7" a="1"/>
  <c r="U53" i="7" a="1"/>
  <c r="U88" i="7" a="1"/>
  <c r="U56" i="7" a="1"/>
  <c r="U24" i="7" a="1"/>
  <c r="V75" i="7" a="1"/>
  <c r="P46" i="7" a="1"/>
  <c r="P102" i="7" a="1"/>
  <c r="P50" i="7" a="1"/>
  <c r="P103" i="7" a="1"/>
  <c r="P35" i="7" a="1"/>
  <c r="P67" i="7" a="1"/>
  <c r="P12" i="7" a="1"/>
  <c r="P44" i="7" a="1"/>
  <c r="P76" i="7" a="1"/>
  <c r="Q81" i="7" a="1"/>
  <c r="Q77" i="7" a="1"/>
  <c r="Q24" i="7" a="1"/>
  <c r="Q56" i="7" a="1"/>
  <c r="Q21" i="7" a="1"/>
  <c r="Q22" i="7" a="1"/>
  <c r="Q58" i="7" a="1"/>
  <c r="Q94" i="7" a="1"/>
  <c r="U52" i="7" a="1"/>
  <c r="P87" i="7" a="1"/>
  <c r="P104" i="7" a="1"/>
  <c r="P16" i="7" a="1"/>
  <c r="P80" i="7" a="1"/>
  <c r="Q28" i="7" a="1"/>
  <c r="Q41" i="7" a="1"/>
  <c r="Q62" i="7" a="1"/>
  <c r="U16" i="7" a="1"/>
  <c r="P58" i="7" a="1"/>
  <c r="P11" i="7" a="1"/>
  <c r="P20" i="7" a="1"/>
  <c r="Q46" i="7" a="1"/>
  <c r="Q53" i="7" a="1"/>
  <c r="V78" i="7" a="1"/>
  <c r="U93" i="7" a="1"/>
  <c r="U106" i="7" a="1"/>
  <c r="U12" i="7" a="1"/>
  <c r="P78" i="7" a="1"/>
  <c r="P56" i="7" a="1"/>
  <c r="Q68" i="7" a="1"/>
  <c r="Q70" i="7" a="1"/>
  <c r="U96" i="7" a="1"/>
  <c r="P90" i="7" a="1"/>
  <c r="Q37" i="7" a="1"/>
  <c r="Q106" i="7" l="1"/>
  <c r="Q98" i="7"/>
  <c r="Q94" i="7"/>
  <c r="Q86" i="7"/>
  <c r="Q82" i="7"/>
  <c r="Q78" i="7"/>
  <c r="Q74" i="7"/>
  <c r="Q70" i="7"/>
  <c r="Q66" i="7"/>
  <c r="Q62" i="7"/>
  <c r="Q58" i="7"/>
  <c r="Q54" i="7"/>
  <c r="Q50" i="7"/>
  <c r="Q42" i="7"/>
  <c r="Q38" i="7"/>
  <c r="Q34" i="7"/>
  <c r="Q30" i="7"/>
  <c r="Q26" i="7"/>
  <c r="Q22" i="7"/>
  <c r="Q18" i="7"/>
  <c r="Q14" i="7"/>
  <c r="Q10" i="7"/>
  <c r="Q93" i="7"/>
  <c r="Q73" i="7"/>
  <c r="Q53" i="7"/>
  <c r="Q41" i="7"/>
  <c r="Q21" i="7"/>
  <c r="Q104" i="7"/>
  <c r="Q88" i="7"/>
  <c r="Q80" i="7"/>
  <c r="Q72" i="7"/>
  <c r="Q68" i="7"/>
  <c r="Q64" i="7"/>
  <c r="Q60" i="7"/>
  <c r="Q56" i="7"/>
  <c r="Q52" i="7"/>
  <c r="Q48" i="7"/>
  <c r="Q44" i="7"/>
  <c r="Q40" i="7"/>
  <c r="Q36" i="7"/>
  <c r="Q32" i="7"/>
  <c r="Q28" i="7"/>
  <c r="Q24" i="7"/>
  <c r="Q20" i="7"/>
  <c r="Q16" i="7"/>
  <c r="Q12" i="7"/>
  <c r="Q8" i="7"/>
  <c r="Q59" i="7"/>
  <c r="Q39" i="7"/>
  <c r="Q97" i="7"/>
  <c r="Q77" i="7"/>
  <c r="Q57" i="7"/>
  <c r="Q45" i="7"/>
  <c r="Q17" i="7"/>
  <c r="Q102" i="7"/>
  <c r="Q90" i="7"/>
  <c r="Q46" i="7"/>
  <c r="Q101" i="7"/>
  <c r="Q81" i="7"/>
  <c r="Q65" i="7"/>
  <c r="Q37" i="7"/>
  <c r="Q13" i="7"/>
  <c r="P100" i="7"/>
  <c r="P88" i="7"/>
  <c r="P84" i="7"/>
  <c r="P80" i="7"/>
  <c r="P76" i="7"/>
  <c r="P72" i="7"/>
  <c r="P68" i="7"/>
  <c r="P64" i="7"/>
  <c r="P60" i="7"/>
  <c r="P56" i="7"/>
  <c r="P52" i="7"/>
  <c r="P48" i="7"/>
  <c r="P44" i="7"/>
  <c r="P40" i="7"/>
  <c r="P36" i="7"/>
  <c r="P32" i="7"/>
  <c r="P28" i="7"/>
  <c r="P24" i="7"/>
  <c r="P20" i="7"/>
  <c r="P16" i="7"/>
  <c r="P12" i="7"/>
  <c r="P8" i="7"/>
  <c r="P92" i="7"/>
  <c r="P95" i="7"/>
  <c r="P83" i="7"/>
  <c r="P79" i="7"/>
  <c r="P75" i="7"/>
  <c r="P71" i="7"/>
  <c r="P67" i="7"/>
  <c r="P63" i="7"/>
  <c r="P59" i="7"/>
  <c r="P55" i="7"/>
  <c r="P51" i="7"/>
  <c r="P47" i="7"/>
  <c r="P43" i="7"/>
  <c r="P39" i="7"/>
  <c r="R39" i="7" s="1"/>
  <c r="P35" i="7"/>
  <c r="P31" i="7"/>
  <c r="P27" i="7"/>
  <c r="P23" i="7"/>
  <c r="P19" i="7"/>
  <c r="P15" i="7"/>
  <c r="P11" i="7"/>
  <c r="P104" i="7"/>
  <c r="P103" i="7"/>
  <c r="P91" i="7"/>
  <c r="P106" i="7"/>
  <c r="P98" i="7"/>
  <c r="P86" i="7"/>
  <c r="P78" i="7"/>
  <c r="P70" i="7"/>
  <c r="P62" i="7"/>
  <c r="R62" i="7" s="1"/>
  <c r="P50" i="7"/>
  <c r="P42" i="7"/>
  <c r="P34" i="7"/>
  <c r="P22" i="7"/>
  <c r="P10" i="7"/>
  <c r="P96" i="7"/>
  <c r="P99" i="7"/>
  <c r="P87" i="7"/>
  <c r="P102" i="7"/>
  <c r="P94" i="7"/>
  <c r="P90" i="7"/>
  <c r="P82" i="7"/>
  <c r="P74" i="7"/>
  <c r="R74" i="7" s="1"/>
  <c r="P66" i="7"/>
  <c r="P58" i="7"/>
  <c r="P54" i="7"/>
  <c r="P46" i="7"/>
  <c r="R46" i="7" s="1"/>
  <c r="P38" i="7"/>
  <c r="P30" i="7"/>
  <c r="P26" i="7"/>
  <c r="P18" i="7"/>
  <c r="P14" i="7"/>
  <c r="V67" i="7"/>
  <c r="V71" i="7"/>
  <c r="V75" i="7"/>
  <c r="V56" i="7"/>
  <c r="V84" i="7"/>
  <c r="V96" i="7"/>
  <c r="U8" i="7"/>
  <c r="U12" i="7"/>
  <c r="U16" i="7"/>
  <c r="U20" i="7"/>
  <c r="U24" i="7"/>
  <c r="U28" i="7"/>
  <c r="U32" i="7"/>
  <c r="U36" i="7"/>
  <c r="U40" i="7"/>
  <c r="U44" i="7"/>
  <c r="U48" i="7"/>
  <c r="U52" i="7"/>
  <c r="U56" i="7"/>
  <c r="U60" i="7"/>
  <c r="U64" i="7"/>
  <c r="U68" i="7"/>
  <c r="U72" i="7"/>
  <c r="U76" i="7"/>
  <c r="U80" i="7"/>
  <c r="U84" i="7"/>
  <c r="U88" i="7"/>
  <c r="U92" i="7"/>
  <c r="U96" i="7"/>
  <c r="U100" i="7"/>
  <c r="U104" i="7"/>
  <c r="U17" i="7"/>
  <c r="U29" i="7"/>
  <c r="U41" i="7"/>
  <c r="U53" i="7"/>
  <c r="U65" i="7"/>
  <c r="U77" i="7"/>
  <c r="U89" i="7"/>
  <c r="U30" i="7"/>
  <c r="U46" i="7"/>
  <c r="U54" i="7"/>
  <c r="U62" i="7"/>
  <c r="U70" i="7"/>
  <c r="U74" i="7"/>
  <c r="U82" i="7"/>
  <c r="U90" i="7"/>
  <c r="U98" i="7"/>
  <c r="U106" i="7"/>
  <c r="U13" i="7"/>
  <c r="U33" i="7"/>
  <c r="U45" i="7"/>
  <c r="U57" i="7"/>
  <c r="U73" i="7"/>
  <c r="U85" i="7"/>
  <c r="U105" i="7"/>
  <c r="U10" i="7"/>
  <c r="U14" i="7"/>
  <c r="U18" i="7"/>
  <c r="W18" i="7" s="1"/>
  <c r="U22" i="7"/>
  <c r="U26" i="7"/>
  <c r="U34" i="7"/>
  <c r="U38" i="7"/>
  <c r="U42" i="7"/>
  <c r="U50" i="7"/>
  <c r="U58" i="7"/>
  <c r="U66" i="7"/>
  <c r="U78" i="7"/>
  <c r="U86" i="7"/>
  <c r="U94" i="7"/>
  <c r="U102" i="7"/>
  <c r="U21" i="7"/>
  <c r="U93" i="7"/>
  <c r="U25" i="7"/>
  <c r="U101" i="7"/>
  <c r="U11" i="7"/>
  <c r="U15" i="7"/>
  <c r="U19" i="7"/>
  <c r="U23" i="7"/>
  <c r="U27" i="7"/>
  <c r="U31" i="7"/>
  <c r="U35" i="7"/>
  <c r="U39" i="7"/>
  <c r="U43" i="7"/>
  <c r="U47" i="7"/>
  <c r="U51" i="7"/>
  <c r="U55" i="7"/>
  <c r="U59" i="7"/>
  <c r="U63" i="7"/>
  <c r="U67" i="7"/>
  <c r="W67" i="7" s="1"/>
  <c r="U71" i="7"/>
  <c r="W71" i="7" s="1"/>
  <c r="U75" i="7"/>
  <c r="U79" i="7"/>
  <c r="U83" i="7"/>
  <c r="U87" i="7"/>
  <c r="U91" i="7"/>
  <c r="U95" i="7"/>
  <c r="U99" i="7"/>
  <c r="U103" i="7"/>
  <c r="W103" i="7" s="1"/>
  <c r="U9" i="7"/>
  <c r="U37" i="7"/>
  <c r="U49" i="7"/>
  <c r="U61" i="7"/>
  <c r="U69" i="7"/>
  <c r="U81" i="7"/>
  <c r="U97" i="7"/>
  <c r="V50" i="7"/>
  <c r="V54" i="7"/>
  <c r="V58" i="7"/>
  <c r="V62" i="7"/>
  <c r="V66" i="7"/>
  <c r="V70" i="7"/>
  <c r="V78" i="7"/>
  <c r="V82" i="7"/>
  <c r="V90" i="7"/>
  <c r="V94" i="7"/>
  <c r="V102" i="7"/>
  <c r="V79" i="7"/>
  <c r="V83" i="7"/>
  <c r="V91" i="7"/>
  <c r="V64" i="7"/>
  <c r="V80" i="7"/>
  <c r="V100" i="7"/>
  <c r="V11" i="7"/>
  <c r="V15" i="7"/>
  <c r="V19" i="7"/>
  <c r="V23" i="7"/>
  <c r="V27" i="7"/>
  <c r="V31" i="7"/>
  <c r="V35" i="7"/>
  <c r="V39" i="7"/>
  <c r="V43" i="7"/>
  <c r="V47" i="7"/>
  <c r="V51" i="7"/>
  <c r="V55" i="7"/>
  <c r="V59" i="7"/>
  <c r="V63" i="7"/>
  <c r="V98" i="7"/>
  <c r="V106" i="7"/>
  <c r="V87" i="7"/>
  <c r="V103" i="7"/>
  <c r="V72" i="7"/>
  <c r="V104" i="7"/>
  <c r="V10" i="7"/>
  <c r="V14" i="7"/>
  <c r="V18" i="7"/>
  <c r="V22" i="7"/>
  <c r="V26" i="7"/>
  <c r="V34" i="7"/>
  <c r="V38" i="7"/>
  <c r="V42" i="7"/>
  <c r="V46" i="7"/>
  <c r="V8" i="7"/>
  <c r="V12" i="7"/>
  <c r="V16" i="7"/>
  <c r="V20" i="7"/>
  <c r="V24" i="7"/>
  <c r="V28" i="7"/>
  <c r="V32" i="7"/>
  <c r="V36" i="7"/>
  <c r="V40" i="7"/>
  <c r="V44" i="7"/>
  <c r="V48" i="7"/>
  <c r="V52" i="7"/>
  <c r="V13" i="7"/>
  <c r="V33" i="7"/>
  <c r="V41" i="7"/>
  <c r="V49" i="7"/>
  <c r="V53" i="7"/>
  <c r="V61" i="7"/>
  <c r="V65" i="7"/>
  <c r="V73" i="7"/>
  <c r="V77" i="7"/>
  <c r="V85" i="7"/>
  <c r="V93" i="7"/>
  <c r="V97" i="7"/>
  <c r="V105" i="7"/>
  <c r="V95" i="7"/>
  <c r="V60" i="7"/>
  <c r="V76" i="7"/>
  <c r="V92" i="7"/>
  <c r="V9" i="7"/>
  <c r="V17" i="7"/>
  <c r="V21" i="7"/>
  <c r="V25" i="7"/>
  <c r="V29" i="7"/>
  <c r="V37" i="7"/>
  <c r="V45" i="7"/>
  <c r="V57" i="7"/>
  <c r="V69" i="7"/>
  <c r="V81" i="7"/>
  <c r="V89" i="7"/>
  <c r="V101" i="7"/>
  <c r="V99" i="7"/>
  <c r="V68" i="7"/>
  <c r="V88" i="7"/>
  <c r="V30" i="7"/>
  <c r="V74" i="7"/>
  <c r="V86" i="7"/>
  <c r="P105" i="7"/>
  <c r="P101" i="7"/>
  <c r="P97" i="7"/>
  <c r="P93" i="7"/>
  <c r="P89" i="7"/>
  <c r="P85" i="7"/>
  <c r="P81" i="7"/>
  <c r="P77" i="7"/>
  <c r="P73" i="7"/>
  <c r="P69" i="7"/>
  <c r="P65" i="7"/>
  <c r="P61" i="7"/>
  <c r="P57" i="7"/>
  <c r="R57" i="7" s="1"/>
  <c r="P53" i="7"/>
  <c r="P49" i="7"/>
  <c r="P45" i="7"/>
  <c r="R45" i="7" s="1"/>
  <c r="P41" i="7"/>
  <c r="P37" i="7"/>
  <c r="R37" i="7" s="1"/>
  <c r="P33" i="7"/>
  <c r="P29" i="7"/>
  <c r="P25" i="7"/>
  <c r="R25" i="7" s="1"/>
  <c r="P21" i="7"/>
  <c r="P17" i="7"/>
  <c r="P13" i="7"/>
  <c r="R13" i="7" s="1"/>
  <c r="P9" i="7"/>
  <c r="Q105" i="7"/>
  <c r="Q85" i="7"/>
  <c r="Q61" i="7"/>
  <c r="Q33" i="7"/>
  <c r="Q9" i="7"/>
  <c r="Q96" i="7"/>
  <c r="Q76" i="7"/>
  <c r="Q103" i="7"/>
  <c r="Q95" i="7"/>
  <c r="Q87" i="7"/>
  <c r="Q79" i="7"/>
  <c r="Q67" i="7"/>
  <c r="Q63" i="7"/>
  <c r="Q55" i="7"/>
  <c r="Q51" i="7"/>
  <c r="Q47" i="7"/>
  <c r="Q43" i="7"/>
  <c r="Q35" i="7"/>
  <c r="Q31" i="7"/>
  <c r="Q27" i="7"/>
  <c r="Q23" i="7"/>
  <c r="Q19" i="7"/>
  <c r="Q15" i="7"/>
  <c r="Q11" i="7"/>
  <c r="Q89" i="7"/>
  <c r="Q69" i="7"/>
  <c r="Q49" i="7"/>
  <c r="Q29" i="7"/>
  <c r="Q25" i="7"/>
  <c r="Q100" i="7"/>
  <c r="Q92" i="7"/>
  <c r="Q84" i="7"/>
  <c r="Q99" i="7"/>
  <c r="Q91" i="7"/>
  <c r="Q83" i="7"/>
  <c r="Q75" i="7"/>
  <c r="Q71" i="7"/>
  <c r="T7" i="7"/>
  <c r="M7" i="7"/>
  <c r="Q7" i="7" a="1"/>
  <c r="U7" i="7" a="1"/>
  <c r="P7" i="7" a="1"/>
  <c r="V7" i="7" a="1"/>
  <c r="W33" i="7" l="1"/>
  <c r="W75" i="7"/>
  <c r="W56" i="7"/>
  <c r="R32" i="7"/>
  <c r="R65" i="7"/>
  <c r="R64" i="7"/>
  <c r="R69" i="7"/>
  <c r="R53" i="7"/>
  <c r="W95" i="7"/>
  <c r="R93" i="7"/>
  <c r="W44" i="7"/>
  <c r="R20" i="7"/>
  <c r="W9" i="7"/>
  <c r="R16" i="7"/>
  <c r="W62" i="7"/>
  <c r="Y62" i="7" s="1"/>
  <c r="Z62" i="7" s="1"/>
  <c r="W84" i="7"/>
  <c r="R41" i="7"/>
  <c r="W81" i="7"/>
  <c r="W93" i="7"/>
  <c r="W17" i="7"/>
  <c r="W12" i="7"/>
  <c r="R102" i="7"/>
  <c r="W70" i="7"/>
  <c r="R52" i="7"/>
  <c r="W66" i="7"/>
  <c r="W69" i="7"/>
  <c r="W79" i="7"/>
  <c r="R89" i="7"/>
  <c r="W78" i="7"/>
  <c r="W22" i="7"/>
  <c r="W53" i="7"/>
  <c r="W24" i="7"/>
  <c r="R50" i="7"/>
  <c r="R103" i="7"/>
  <c r="Y103" i="7" s="1"/>
  <c r="Z103" i="7" s="1"/>
  <c r="R35" i="7"/>
  <c r="R76" i="7"/>
  <c r="W41" i="7"/>
  <c r="R14" i="7"/>
  <c r="R88" i="7"/>
  <c r="R18" i="7"/>
  <c r="Y18" i="7" s="1"/>
  <c r="Z18" i="7" s="1"/>
  <c r="R86" i="7"/>
  <c r="R82" i="7"/>
  <c r="R54" i="7"/>
  <c r="R104" i="7"/>
  <c r="R17" i="7"/>
  <c r="R48" i="7"/>
  <c r="W10" i="7"/>
  <c r="W46" i="7"/>
  <c r="Y46" i="7" s="1"/>
  <c r="Z46" i="7" s="1"/>
  <c r="R96" i="7"/>
  <c r="R15" i="7"/>
  <c r="R47" i="7"/>
  <c r="R21" i="7"/>
  <c r="R85" i="7"/>
  <c r="R38" i="7"/>
  <c r="R8" i="7"/>
  <c r="R40" i="7"/>
  <c r="R87" i="7"/>
  <c r="R71" i="7"/>
  <c r="Y71" i="7" s="1"/>
  <c r="Z71" i="7" s="1"/>
  <c r="R80" i="7"/>
  <c r="W101" i="7"/>
  <c r="R105" i="7"/>
  <c r="W91" i="7"/>
  <c r="W59" i="7"/>
  <c r="W27" i="7"/>
  <c r="W21" i="7"/>
  <c r="W42" i="7"/>
  <c r="W105" i="7"/>
  <c r="W98" i="7"/>
  <c r="W30" i="7"/>
  <c r="W104" i="7"/>
  <c r="W72" i="7"/>
  <c r="W40" i="7"/>
  <c r="W8" i="7"/>
  <c r="R19" i="7"/>
  <c r="R51" i="7"/>
  <c r="R83" i="7"/>
  <c r="R100" i="7"/>
  <c r="W43" i="7"/>
  <c r="W88" i="7"/>
  <c r="R29" i="7"/>
  <c r="W31" i="7"/>
  <c r="R9" i="7"/>
  <c r="R77" i="7"/>
  <c r="W61" i="7"/>
  <c r="W87" i="7"/>
  <c r="W55" i="7"/>
  <c r="W23" i="7"/>
  <c r="W102" i="7"/>
  <c r="W38" i="7"/>
  <c r="W85" i="7"/>
  <c r="W90" i="7"/>
  <c r="W89" i="7"/>
  <c r="W100" i="7"/>
  <c r="W68" i="7"/>
  <c r="W36" i="7"/>
  <c r="R26" i="7"/>
  <c r="R22" i="7"/>
  <c r="R98" i="7"/>
  <c r="R23" i="7"/>
  <c r="R55" i="7"/>
  <c r="R95" i="7"/>
  <c r="R61" i="7"/>
  <c r="W39" i="7"/>
  <c r="Y39" i="7" s="1"/>
  <c r="Z39" i="7" s="1"/>
  <c r="W52" i="7"/>
  <c r="W50" i="7"/>
  <c r="W76" i="7"/>
  <c r="R79" i="7"/>
  <c r="R49" i="7"/>
  <c r="W49" i="7"/>
  <c r="W83" i="7"/>
  <c r="W51" i="7"/>
  <c r="W19" i="7"/>
  <c r="W94" i="7"/>
  <c r="W34" i="7"/>
  <c r="W73" i="7"/>
  <c r="W82" i="7"/>
  <c r="W77" i="7"/>
  <c r="W64" i="7"/>
  <c r="Y64" i="7" s="1"/>
  <c r="Z64" i="7" s="1"/>
  <c r="W32" i="7"/>
  <c r="R27" i="7"/>
  <c r="Y27" i="7" s="1"/>
  <c r="Z27" i="7" s="1"/>
  <c r="R92" i="7"/>
  <c r="W20" i="7"/>
  <c r="W63" i="7"/>
  <c r="W106" i="7"/>
  <c r="W37" i="7"/>
  <c r="Y37" i="7" s="1"/>
  <c r="Z37" i="7" s="1"/>
  <c r="W47" i="7"/>
  <c r="W15" i="7"/>
  <c r="W86" i="7"/>
  <c r="W26" i="7"/>
  <c r="W57" i="7"/>
  <c r="Y57" i="7" s="1"/>
  <c r="Z57" i="7" s="1"/>
  <c r="W74" i="7"/>
  <c r="Y74" i="7" s="1"/>
  <c r="Z74" i="7" s="1"/>
  <c r="W65" i="7"/>
  <c r="W92" i="7"/>
  <c r="W60" i="7"/>
  <c r="W28" i="7"/>
  <c r="R94" i="7"/>
  <c r="R91" i="7"/>
  <c r="R31" i="7"/>
  <c r="R63" i="7"/>
  <c r="W11" i="7"/>
  <c r="W45" i="7"/>
  <c r="Y45" i="7" s="1"/>
  <c r="Z45" i="7" s="1"/>
  <c r="R67" i="7"/>
  <c r="Y67" i="7" s="1"/>
  <c r="Z67" i="7" s="1"/>
  <c r="R33" i="7"/>
  <c r="Y33" i="7" s="1"/>
  <c r="Z33" i="7" s="1"/>
  <c r="W97" i="7"/>
  <c r="W99" i="7"/>
  <c r="W35" i="7"/>
  <c r="W25" i="7"/>
  <c r="Y25" i="7" s="1"/>
  <c r="Z25" i="7" s="1"/>
  <c r="W58" i="7"/>
  <c r="W14" i="7"/>
  <c r="W13" i="7"/>
  <c r="Y13" i="7" s="1"/>
  <c r="Z13" i="7" s="1"/>
  <c r="W54" i="7"/>
  <c r="W29" i="7"/>
  <c r="W80" i="7"/>
  <c r="W48" i="7"/>
  <c r="W16" i="7"/>
  <c r="R58" i="7"/>
  <c r="R99" i="7"/>
  <c r="R11" i="7"/>
  <c r="R43" i="7"/>
  <c r="R75" i="7"/>
  <c r="Y75" i="7" s="1"/>
  <c r="Z75" i="7" s="1"/>
  <c r="R84" i="7"/>
  <c r="R101" i="7"/>
  <c r="R66" i="7"/>
  <c r="R78" i="7"/>
  <c r="R24" i="7"/>
  <c r="R56" i="7"/>
  <c r="R81" i="7"/>
  <c r="W96" i="7"/>
  <c r="R30" i="7"/>
  <c r="R106" i="7"/>
  <c r="P7" i="7"/>
  <c r="Q7" i="7"/>
  <c r="V7" i="7"/>
  <c r="U7" i="7"/>
  <c r="R73" i="7"/>
  <c r="Y73" i="7" s="1"/>
  <c r="Z73" i="7" s="1"/>
  <c r="R10" i="7"/>
  <c r="R28" i="7"/>
  <c r="R60" i="7"/>
  <c r="R90" i="7"/>
  <c r="R34" i="7"/>
  <c r="R59" i="7"/>
  <c r="R36" i="7"/>
  <c r="R68" i="7"/>
  <c r="R42" i="7"/>
  <c r="R72" i="7"/>
  <c r="R12" i="7"/>
  <c r="R44" i="7"/>
  <c r="Y44" i="7" s="1"/>
  <c r="Z44" i="7" s="1"/>
  <c r="R97" i="7"/>
  <c r="R70" i="7"/>
  <c r="AC25" i="7" l="1"/>
  <c r="AC75" i="7"/>
  <c r="AC46" i="7"/>
  <c r="AC73" i="7"/>
  <c r="AC39" i="7"/>
  <c r="AC62" i="7"/>
  <c r="AC13" i="7"/>
  <c r="AC67" i="7"/>
  <c r="AC64" i="7"/>
  <c r="AC27" i="7"/>
  <c r="AC18" i="7"/>
  <c r="AC33" i="7"/>
  <c r="AC45" i="7"/>
  <c r="AC37" i="7"/>
  <c r="AC44" i="7"/>
  <c r="AC74" i="7"/>
  <c r="AC57" i="7"/>
  <c r="AC71" i="7"/>
  <c r="AC103" i="7"/>
  <c r="Y56" i="7"/>
  <c r="Z56" i="7" s="1"/>
  <c r="Y65" i="7"/>
  <c r="Z65" i="7" s="1"/>
  <c r="Y32" i="7"/>
  <c r="Z32" i="7" s="1"/>
  <c r="Y58" i="7"/>
  <c r="Z58" i="7" s="1"/>
  <c r="Y69" i="7"/>
  <c r="Z69" i="7" s="1"/>
  <c r="Y106" i="7"/>
  <c r="Z106" i="7" s="1"/>
  <c r="Y20" i="7"/>
  <c r="Z20" i="7" s="1"/>
  <c r="Y53" i="7"/>
  <c r="Z53" i="7" s="1"/>
  <c r="Y94" i="7"/>
  <c r="Z94" i="7" s="1"/>
  <c r="Y95" i="7"/>
  <c r="Z95" i="7" s="1"/>
  <c r="Y93" i="7"/>
  <c r="Z93" i="7" s="1"/>
  <c r="Y15" i="7"/>
  <c r="Z15" i="7" s="1"/>
  <c r="Y102" i="7"/>
  <c r="Z102" i="7" s="1"/>
  <c r="Y84" i="7"/>
  <c r="Z84" i="7" s="1"/>
  <c r="Y16" i="7"/>
  <c r="Z16" i="7" s="1"/>
  <c r="Y47" i="7"/>
  <c r="Z47" i="7" s="1"/>
  <c r="Y48" i="7"/>
  <c r="Z48" i="7" s="1"/>
  <c r="Y70" i="7"/>
  <c r="Z70" i="7" s="1"/>
  <c r="Y54" i="7"/>
  <c r="Z54" i="7" s="1"/>
  <c r="Y22" i="7"/>
  <c r="Z22" i="7" s="1"/>
  <c r="Y41" i="7"/>
  <c r="Z41" i="7" s="1"/>
  <c r="Y76" i="7"/>
  <c r="Z76" i="7" s="1"/>
  <c r="Y9" i="7"/>
  <c r="Z9" i="7" s="1"/>
  <c r="Y12" i="7"/>
  <c r="Z12" i="7" s="1"/>
  <c r="Y23" i="7"/>
  <c r="Z23" i="7" s="1"/>
  <c r="Y78" i="7"/>
  <c r="Z78" i="7" s="1"/>
  <c r="Y30" i="7"/>
  <c r="Z30" i="7" s="1"/>
  <c r="Y80" i="7"/>
  <c r="Z80" i="7" s="1"/>
  <c r="Y42" i="7"/>
  <c r="Z42" i="7" s="1"/>
  <c r="Y104" i="7"/>
  <c r="Z104" i="7" s="1"/>
  <c r="Y97" i="7"/>
  <c r="Z97" i="7" s="1"/>
  <c r="Y89" i="7"/>
  <c r="Z89" i="7" s="1"/>
  <c r="Y17" i="7"/>
  <c r="Z17" i="7" s="1"/>
  <c r="Y55" i="7"/>
  <c r="Z55" i="7" s="1"/>
  <c r="Y8" i="7"/>
  <c r="Z8" i="7" s="1"/>
  <c r="Y96" i="7"/>
  <c r="Z96" i="7" s="1"/>
  <c r="Y81" i="7"/>
  <c r="Z81" i="7" s="1"/>
  <c r="Y14" i="7"/>
  <c r="Z14" i="7" s="1"/>
  <c r="Y88" i="7"/>
  <c r="Z88" i="7" s="1"/>
  <c r="Y66" i="7"/>
  <c r="Z66" i="7" s="1"/>
  <c r="Y36" i="7"/>
  <c r="Z36" i="7" s="1"/>
  <c r="Y60" i="7"/>
  <c r="Z60" i="7" s="1"/>
  <c r="Y35" i="7"/>
  <c r="Z35" i="7" s="1"/>
  <c r="Y52" i="7"/>
  <c r="Z52" i="7" s="1"/>
  <c r="Y82" i="7"/>
  <c r="Z82" i="7" s="1"/>
  <c r="Y79" i="7"/>
  <c r="Z79" i="7" s="1"/>
  <c r="Y10" i="7"/>
  <c r="Z10" i="7" s="1"/>
  <c r="Y49" i="7"/>
  <c r="Z49" i="7" s="1"/>
  <c r="Y72" i="7"/>
  <c r="Z72" i="7" s="1"/>
  <c r="Y68" i="7"/>
  <c r="Z68" i="7" s="1"/>
  <c r="Y24" i="7"/>
  <c r="Z24" i="7" s="1"/>
  <c r="Y11" i="7"/>
  <c r="Z11" i="7" s="1"/>
  <c r="Y86" i="7"/>
  <c r="Z86" i="7" s="1"/>
  <c r="Y92" i="7"/>
  <c r="Z92" i="7" s="1"/>
  <c r="Y50" i="7"/>
  <c r="Z50" i="7" s="1"/>
  <c r="Y38" i="7"/>
  <c r="Z38" i="7" s="1"/>
  <c r="Y26" i="7"/>
  <c r="Z26" i="7" s="1"/>
  <c r="Y90" i="7"/>
  <c r="Z90" i="7" s="1"/>
  <c r="Y43" i="7"/>
  <c r="Z43" i="7" s="1"/>
  <c r="Y91" i="7"/>
  <c r="Z91" i="7" s="1"/>
  <c r="Y98" i="7"/>
  <c r="Z98" i="7" s="1"/>
  <c r="Y85" i="7"/>
  <c r="Z85" i="7" s="1"/>
  <c r="Y19" i="7"/>
  <c r="Z19" i="7" s="1"/>
  <c r="Y21" i="7"/>
  <c r="Z21" i="7" s="1"/>
  <c r="Y99" i="7"/>
  <c r="Z99" i="7" s="1"/>
  <c r="Y40" i="7"/>
  <c r="Z40" i="7" s="1"/>
  <c r="Y87" i="7"/>
  <c r="Z87" i="7" s="1"/>
  <c r="Y100" i="7"/>
  <c r="Z100" i="7" s="1"/>
  <c r="Y77" i="7"/>
  <c r="Z77" i="7" s="1"/>
  <c r="Y101" i="7"/>
  <c r="Z101" i="7" s="1"/>
  <c r="Y63" i="7"/>
  <c r="Z63" i="7" s="1"/>
  <c r="Y29" i="7"/>
  <c r="Z29" i="7" s="1"/>
  <c r="Y59" i="7"/>
  <c r="Z59" i="7" s="1"/>
  <c r="Y31" i="7"/>
  <c r="Z31" i="7" s="1"/>
  <c r="Y105" i="7"/>
  <c r="Z105" i="7" s="1"/>
  <c r="Y28" i="7"/>
  <c r="Z28" i="7" s="1"/>
  <c r="W7" i="7"/>
  <c r="Y61" i="7"/>
  <c r="Z61" i="7" s="1"/>
  <c r="Y34" i="7"/>
  <c r="Z34" i="7" s="1"/>
  <c r="Y83" i="7"/>
  <c r="Z83" i="7" s="1"/>
  <c r="Y51" i="7"/>
  <c r="Z51" i="7" s="1"/>
  <c r="R7" i="7"/>
  <c r="AC51" i="7" l="1"/>
  <c r="AC83" i="7"/>
  <c r="AC34" i="7"/>
  <c r="AC61" i="7"/>
  <c r="AC28" i="7"/>
  <c r="AC105" i="7"/>
  <c r="AC31" i="7"/>
  <c r="AC59" i="7"/>
  <c r="AC29" i="7"/>
  <c r="AC63" i="7"/>
  <c r="AC101" i="7"/>
  <c r="AC77" i="7"/>
  <c r="AC100" i="7"/>
  <c r="AC87" i="7"/>
  <c r="AC40" i="7"/>
  <c r="AC99" i="7"/>
  <c r="AC21" i="7"/>
  <c r="AC19" i="7"/>
  <c r="AC85" i="7"/>
  <c r="AC98" i="7"/>
  <c r="AC91" i="7"/>
  <c r="AC43" i="7"/>
  <c r="AC90" i="7"/>
  <c r="AC26" i="7"/>
  <c r="AC38" i="7"/>
  <c r="AC50" i="7"/>
  <c r="AC92" i="7"/>
  <c r="AC86" i="7"/>
  <c r="AC11" i="7"/>
  <c r="AC24" i="7"/>
  <c r="AC68" i="7"/>
  <c r="AC72" i="7"/>
  <c r="AC49" i="7"/>
  <c r="AC10" i="7"/>
  <c r="AC79" i="7"/>
  <c r="AC82" i="7"/>
  <c r="AC52" i="7"/>
  <c r="AC35" i="7"/>
  <c r="AC60" i="7"/>
  <c r="AC36" i="7"/>
  <c r="AC66" i="7"/>
  <c r="AC88" i="7"/>
  <c r="AC14" i="7"/>
  <c r="AC81" i="7"/>
  <c r="AC96" i="7"/>
  <c r="AC8" i="7"/>
  <c r="AC55" i="7"/>
  <c r="AC17" i="7"/>
  <c r="AC89" i="7"/>
  <c r="AC97" i="7"/>
  <c r="AC104" i="7"/>
  <c r="AC42" i="7"/>
  <c r="AC80" i="7"/>
  <c r="AC30" i="7"/>
  <c r="AC78" i="7"/>
  <c r="AC23" i="7"/>
  <c r="AC12" i="7"/>
  <c r="AC9" i="7"/>
  <c r="AC76" i="7"/>
  <c r="AC41" i="7"/>
  <c r="AC22" i="7"/>
  <c r="AC54" i="7"/>
  <c r="AC70" i="7"/>
  <c r="AC48" i="7"/>
  <c r="AC47" i="7"/>
  <c r="AC16" i="7"/>
  <c r="AC84" i="7"/>
  <c r="AC102" i="7"/>
  <c r="AC15" i="7"/>
  <c r="AC93" i="7"/>
  <c r="AC95" i="7"/>
  <c r="AC94" i="7"/>
  <c r="AC53" i="7"/>
  <c r="AC20" i="7"/>
  <c r="AC106" i="7"/>
  <c r="AC69" i="7"/>
  <c r="AC58" i="7"/>
  <c r="AC32" i="7"/>
  <c r="AC65" i="7"/>
  <c r="AC56" i="7"/>
  <c r="Y7" i="7"/>
  <c r="Z7" i="7" s="1"/>
  <c r="AC7"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<sst xmlns="http://schemas.openxmlformats.org/spreadsheetml/2006/main" count="36" uniqueCount="36">
  <si>
    <t>Legend</t>
  </si>
  <si>
    <t>User input</t>
  </si>
  <si>
    <t>Valuation Date</t>
  </si>
  <si>
    <t>[Date]</t>
  </si>
  <si>
    <t>tau</t>
  </si>
  <si>
    <t>nacc</t>
  </si>
  <si>
    <t>idx</t>
  </si>
  <si>
    <t>initial_zero_rate</t>
  </si>
  <si>
    <t>discount_factor</t>
  </si>
  <si>
    <t>mean reversion rate, α</t>
  </si>
  <si>
    <t>volalitity, σ</t>
  </si>
  <si>
    <t>min_tau</t>
  </si>
  <si>
    <t>max_tau</t>
  </si>
  <si>
    <t>dt</t>
  </si>
  <si>
    <t>t</t>
  </si>
  <si>
    <t>cczr(t)</t>
  </si>
  <si>
    <t>δcczr(t)/δt</t>
  </si>
  <si>
    <t>n</t>
  </si>
  <si>
    <t>t+dt</t>
  </si>
  <si>
    <t>cczr(t+dt)</t>
  </si>
  <si>
    <t>δcczr(t+dt)/δt</t>
  </si>
  <si>
    <t>fwd(t)</t>
  </si>
  <si>
    <t>fwd(t+dt)</t>
  </si>
  <si>
    <t>t-dt</t>
  </si>
  <si>
    <t>cczr(t-dt)</t>
  </si>
  <si>
    <t>δcczr(t-dt)/δt</t>
  </si>
  <si>
    <t>fwd(t-dt)</t>
  </si>
  <si>
    <t>δfwd/δt</t>
  </si>
  <si>
    <t>θ(t)</t>
  </si>
  <si>
    <t>θ(t) py</t>
  </si>
  <si>
    <t>diff</t>
  </si>
  <si>
    <t>t=0</t>
  </si>
  <si>
    <t>T=t</t>
  </si>
  <si>
    <t>B(t,T)</t>
  </si>
  <si>
    <t>A(t,T)</t>
  </si>
  <si>
    <t>Exact ZCB(t,T)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</si>
</sst>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0000_-;\-* #,##0.0000_-;_-* &quot;-&quot;??_-;_-@_-"/>
    <numFmt numFmtId="165" formatCode="d\-mmm\-yy_-;;"/>
    <numFmt numFmtId="166" formatCode="0.000%"/>
    <numFmt numFmtId="169" formatCode="0.0%"/>
    <numFmt numFmtId="170" formatCode="0.0000%"/>
    <numFmt numFmtId="171" formatCode="#,##0_-;\(#,##0\)_-;\-_-"/>
    <numFmt numFmtId="172" formatCode="_-* #,##0.00000_-;\-* #,##0.00000_-;_-* &quot;-&quot;??_-;_-@_-"/>
    <numFmt numFmtId="173" formatCode="_-* #,##0.000000_-;\-* #,##0.000000_-;_-* &quot;-&quot;??_-;_-@_-"/>
  </numFmts>
  <fonts count="5" x14ac:knownFonts="1">
    <font>
      <sz val="10"/>
      <color theme="1"/>
      <name val="Arial"/>
      <family val="2"/>
    </font>
    <font>
      <sz val="10"/>
      <color theme="1"/>
      <name val="Arial"/>
      <family val="2"/>
    </font>
    <font>
      <sz val="10"/>
      <color rgb="FF0070C0"/>
      <name val="Arial"/>
      <family val="2"/>
    </font>
    <font>
      <sz val="10"/>
      <color theme="4"/>
      <name val="Arial"/>
      <family val="2"/>
    </font>
    <font>
      <sz val="10"/>
      <color theme="0"/>
      <name val="Arial"/>
      <family val="2"/>
    </font>
  </fonts>
  <fills count="4">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s>
  <borders count="2">
    <border>
      <left/>
      <right/>
      <top/>
      <bottom/>
      <diagonal/>
    </border>
    <border>
      <left/>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5">
    <xf numFmtId="0" fontId="0" fillId="0" borderId="0" xfId="0"/>
    <xf numFmtId="0" fontId="2" fillId="2" borderId="0" xfId="0" applyFont="1" applyFill="1"/>
    <xf numFmtId="165" fontId="3" fillId="2" borderId="0" xfId="0" applyNumberFormat="1" applyFont="1" applyFill="1"/>
    <xf numFmtId="166" fontId="0" fillId="0" borderId="0" xfId="2" applyNumberFormat="1" applyFont="1"/>
    <xf numFmtId="164" fontId="3" fillId="2" borderId="0" xfId="1" applyNumberFormat="1" applyFont="1" applyFill="1"/>
    <xf numFmtId="10" fontId="3" fillId="2" borderId="0" xfId="2" applyNumberFormat="1" applyFont="1" applyFill="1"/>
    <xf numFmtId="164" fontId="0" fillId="0" borderId="0" xfId="1" applyNumberFormat="1" applyFont="1" applyFill="1"/>
    <xf numFmtId="166" fontId="0" fillId="0" borderId="0" xfId="2" applyNumberFormat="1" applyFont="1" applyFill="1"/>
    <xf numFmtId="43" fontId="0" fillId="0" borderId="0" xfId="1" applyFont="1"/>
    <xf numFmtId="171" fontId="0" fillId="0" borderId="0" xfId="1" applyNumberFormat="1" applyFont="1"/>
    <xf numFmtId="169" fontId="2" fillId="2" borderId="0" xfId="2" applyNumberFormat="1" applyFont="1" applyFill="1"/>
    <xf numFmtId="10" fontId="2" fillId="2" borderId="0" xfId="2" applyNumberFormat="1" applyFont="1" applyFill="1"/>
    <xf numFmtId="172" fontId="0" fillId="0" borderId="0" xfId="1" applyNumberFormat="1" applyFont="1"/>
    <xf numFmtId="170" fontId="0" fillId="0" borderId="0" xfId="2" applyNumberFormat="1" applyFont="1"/>
    <xf numFmtId="173" fontId="0" fillId="0" borderId="0" xfId="1" applyNumberFormat="1" applyFont="1"/>
    <xf numFmtId="164" fontId="0" fillId="0" borderId="0" xfId="1" applyNumberFormat="1" applyFont="1"/>
    <xf numFmtId="0" fontId="0" fillId="0" borderId="1" xfId="0" applyBorder="1"/>
    <xf numFmtId="166" fontId="0" fillId="0" borderId="1" xfId="2" applyNumberFormat="1" applyFont="1" applyBorder="1"/>
    <xf numFmtId="0" fontId="4" fillId="0" borderId="0" xfId="0" applyFont="1"/>
    <xf numFmtId="166" fontId="0" fillId="0" borderId="0" xfId="2" applyNumberFormat="1" applyFont="1" applyFill="1" applyBorder="1"/>
    <xf numFmtId="166" fontId="0" fillId="0" borderId="1" xfId="2" applyNumberFormat="1" applyFont="1" applyFill="1" applyBorder="1"/>
    <xf numFmtId="170" fontId="0" fillId="0" borderId="1" xfId="2" applyNumberFormat="1" applyFont="1" applyBorder="1"/>
    <xf numFmtId="11" fontId="2" fillId="2" borderId="0" xfId="2" applyNumberFormat="1" applyFont="1" applyFill="1"/>
    <xf numFmtId="0" fontId="2" fillId="2" borderId="0" xfId="2" applyNumberFormat="1" applyFont="1" applyFill="1"/>
    <xf numFmtId="164" fontId="0" fillId="3" borderId="0" xfId="1" applyNumberFormat="1" applyFont="1" applyFill="1"/>
  </cellXfs>
  <cellStyles count="3">
    <cellStyle name="Comma" xfId="1" builtinId="3"/>
    <cellStyle name="Normal" xfId="0" builtinId="0"/>
    <cellStyle name="Percent" xfId="2" builtinId="5"/>
  </cellStyles>
  <dxfs count="5">
    <dxf>
      <numFmt numFmtId="164" formatCode="_-* #,##0.0000_-;\-* #,##0.0000_-;_-* &quot;-&quot;??_-;_-@_-"/>
      <fill>
        <patternFill patternType="none">
          <fgColor indexed="64"/>
          <bgColor auto="1"/>
        </patternFill>
      </fill>
    </dxf>
    <dxf>
      <font>
        <b val="0"/>
        <i val="0"/>
        <strike val="0"/>
        <condense val="0"/>
        <extend val="0"/>
        <outline val="0"/>
        <shadow val="0"/>
        <u val="none"/>
        <vertAlign val="baseline"/>
        <sz val="10"/>
        <color theme="4"/>
        <name val="Arial"/>
        <family val="2"/>
        <scheme val="none"/>
      </font>
      <numFmt numFmtId="14" formatCode="0.00%"/>
      <fill>
        <patternFill patternType="solid">
          <fgColor indexed="64"/>
          <bgColor theme="7" tint="0.79998168889431442"/>
        </patternFill>
      </fill>
    </dxf>
    <dxf>
      <font>
        <b val="0"/>
        <i val="0"/>
        <strike val="0"/>
        <condense val="0"/>
        <extend val="0"/>
        <outline val="0"/>
        <shadow val="0"/>
        <u val="none"/>
        <vertAlign val="baseline"/>
        <sz val="10"/>
        <color theme="4"/>
        <name val="Arial"/>
        <family val="2"/>
        <scheme val="none"/>
      </font>
      <numFmt numFmtId="164" formatCode="_-* #,##0.0000_-;\-* #,##0.0000_-;_-* &quot;-&quot;??_-;_-@_-"/>
      <fill>
        <patternFill patternType="solid">
          <fgColor indexed="64"/>
          <bgColor theme="7" tint="0.79998168889431442"/>
        </patternFill>
      </fill>
    </dxf>
    <dxf>
      <font>
        <b val="0"/>
        <i val="0"/>
        <strike val="0"/>
        <condense val="0"/>
        <extend val="0"/>
        <outline val="0"/>
        <shadow val="0"/>
        <u val="none"/>
        <vertAlign val="baseline"/>
        <sz val="10"/>
        <color theme="1"/>
        <name val="Arial"/>
        <family val="2"/>
        <scheme val="none"/>
      </font>
      <numFmt numFmtId="171" formatCode="#,##0_-;\(#,##0\)_-;\-_-"/>
    </dxf>
    <dxf>
      <font>
        <strike val="0"/>
        <outline val="0"/>
        <shadow val="0"/>
        <u val="none"/>
        <vertAlign val="baseline"/>
        <sz val="10"/>
        <color theme="0"/>
        <name val="Arial"/>
        <family val="2"/>
        <scheme val="none"/>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238126</xdr:colOff>
      <xdr:row>0</xdr:row>
      <xdr:rowOff>47626</xdr:rowOff>
    </xdr:from>
    <xdr:to>
      <xdr:col>8</xdr:col>
      <xdr:colOff>409576</xdr:colOff>
      <xdr:row>3</xdr:row>
      <xdr:rowOff>141481</xdr:rowOff>
    </xdr:to>
    <xdr:pic>
      <xdr:nvPicPr>
        <xdr:cNvPr id="2" name="Picture 1">
          <a:extLst>
            <a:ext uri="{FF2B5EF4-FFF2-40B4-BE49-F238E27FC236}">
              <a16:creationId xmlns:a16="http://schemas.microsoft.com/office/drawing/2014/main" id="{5CB0B826-423F-9845-2E4A-451FE129B92D}"/>
            </a:ext>
          </a:extLst>
        </xdr:cNvPr>
        <xdr:cNvPicPr>
          <a:picLocks noChangeAspect="1"/>
        </xdr:cNvPicPr>
      </xdr:nvPicPr>
      <xdr:blipFill>
        <a:blip xmlns:r="http://schemas.openxmlformats.org/officeDocument/2006/relationships" r:embed="rId1"/>
        <a:stretch>
          <a:fillRect/>
        </a:stretch>
      </xdr:blipFill>
      <xdr:spPr>
        <a:xfrm>
          <a:off x="4019551" y="47626"/>
          <a:ext cx="2743200" cy="579630"/>
        </a:xfrm>
        <a:prstGeom prst="rect">
          <a:avLst/>
        </a:prstGeom>
      </xdr:spPr>
    </xdr:pic>
    <xdr:clientData/>
  </xdr:twoCellAnchor>
  <xdr:twoCellAnchor>
    <xdr:from>
      <xdr:col>10</xdr:col>
      <xdr:colOff>47625</xdr:colOff>
      <xdr:row>0</xdr:row>
      <xdr:rowOff>133350</xdr:rowOff>
    </xdr:from>
    <xdr:to>
      <xdr:col>21</xdr:col>
      <xdr:colOff>257175</xdr:colOff>
      <xdr:row>3</xdr:row>
      <xdr:rowOff>76200</xdr:rowOff>
    </xdr:to>
    <xdr:sp macro="" textlink="">
      <xdr:nvSpPr>
        <xdr:cNvPr id="3" name="TextBox 2">
          <a:extLst>
            <a:ext uri="{FF2B5EF4-FFF2-40B4-BE49-F238E27FC236}">
              <a16:creationId xmlns:a16="http://schemas.microsoft.com/office/drawing/2014/main" id="{56A4AEE4-C878-3001-D2CA-F8F6E8BA38BF}"/>
            </a:ext>
          </a:extLst>
        </xdr:cNvPr>
        <xdr:cNvSpPr txBox="1"/>
      </xdr:nvSpPr>
      <xdr:spPr>
        <a:xfrm>
          <a:off x="7543800" y="133350"/>
          <a:ext cx="6086475"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050"/>
            <a:t>The VBA</a:t>
          </a:r>
          <a:r>
            <a:rPr lang="en-NZ" sz="1050" baseline="0"/>
            <a:t> cubic spline function is not perfect - see how a plot of  θ(t) is not smooth in comparison to the python calculated θ(t) using scipy.interpolate.splev/splrep. May be due to method or precison. </a:t>
          </a:r>
          <a:endParaRPr lang="en-NZ" sz="1050"/>
        </a:p>
      </xdr:txBody>
    </xdr:sp>
    <xdr:clientData/>
  </xdr:twoCellAnchor>
  <xdr:twoCellAnchor>
    <xdr:from>
      <xdr:col>35</xdr:col>
      <xdr:colOff>0</xdr:colOff>
      <xdr:row>8</xdr:row>
      <xdr:rowOff>0</xdr:rowOff>
    </xdr:from>
    <xdr:to>
      <xdr:col>39</xdr:col>
      <xdr:colOff>457200</xdr:colOff>
      <xdr:row>10</xdr:row>
      <xdr:rowOff>85725</xdr:rowOff>
    </xdr:to>
    <mc:AlternateContent xmlns:mc="http://schemas.openxmlformats.org/markup-compatibility/2006">
      <mc:Choice xmlns:a14="http://schemas.microsoft.com/office/drawing/2010/main" Requires="a14">
        <xdr:sp macro="" textlink="">
          <xdr:nvSpPr>
            <xdr:cNvPr id="4" name="TextBox 3">
              <a:extLst>
                <a:ext uri="{FF2B5EF4-FFF2-40B4-BE49-F238E27FC236}">
                  <a16:creationId xmlns:a16="http://schemas.microsoft.com/office/drawing/2014/main" id="{A29363E4-F982-4AB9-96CF-6EA9AF55CD18}"/>
                </a:ext>
              </a:extLst>
            </xdr:cNvPr>
            <xdr:cNvSpPr txBox="1"/>
          </xdr:nvSpPr>
          <xdr:spPr>
            <a:xfrm>
              <a:off x="18592800" y="1295400"/>
              <a:ext cx="2847975" cy="409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14:m>
                <m:oMathPara xmlns:m="http://schemas.openxmlformats.org/officeDocument/2006/math">
                  <m:oMathParaPr>
                    <m:jc m:val="centerGroup"/>
                  </m:oMathParaPr>
                  <m:oMath xmlns:m="http://schemas.openxmlformats.org/officeDocument/2006/math">
                    <m:r>
                      <a:rPr lang="en-AU" sz="1000" b="0" i="1">
                        <a:latin typeface="Cambria Math" panose="02040503050406030204" pitchFamily="18" charset="0"/>
                      </a:rPr>
                      <m:t>𝐵</m:t>
                    </m:r>
                    <m:d>
                      <m:dPr>
                        <m:ctrlPr>
                          <a:rPr lang="en-AU" sz="1000" b="0" i="1">
                            <a:latin typeface="Cambria Math" panose="02040503050406030204" pitchFamily="18" charset="0"/>
                          </a:rPr>
                        </m:ctrlPr>
                      </m:dPr>
                      <m:e>
                        <m:r>
                          <a:rPr lang="en-AU" sz="1000" b="0" i="1">
                            <a:latin typeface="Cambria Math" panose="02040503050406030204" pitchFamily="18" charset="0"/>
                          </a:rPr>
                          <m:t>𝑡</m:t>
                        </m:r>
                        <m:r>
                          <a:rPr lang="en-AU" sz="1000" b="0" i="1">
                            <a:latin typeface="Cambria Math" panose="02040503050406030204" pitchFamily="18" charset="0"/>
                          </a:rPr>
                          <m:t>,</m:t>
                        </m:r>
                        <m:r>
                          <a:rPr lang="en-AU" sz="1000" b="0" i="1">
                            <a:latin typeface="Cambria Math" panose="02040503050406030204" pitchFamily="18" charset="0"/>
                          </a:rPr>
                          <m:t>𝑇</m:t>
                        </m:r>
                      </m:e>
                    </m:d>
                    <m:r>
                      <a:rPr lang="en-AU" sz="1000" b="0" i="1">
                        <a:latin typeface="Cambria Math" panose="02040503050406030204" pitchFamily="18" charset="0"/>
                      </a:rPr>
                      <m:t>=</m:t>
                    </m:r>
                    <m:f>
                      <m:fPr>
                        <m:ctrlPr>
                          <a:rPr lang="en-AU" sz="1000" b="0" i="1">
                            <a:latin typeface="Cambria Math" panose="02040503050406030204" pitchFamily="18" charset="0"/>
                          </a:rPr>
                        </m:ctrlPr>
                      </m:fPr>
                      <m:num>
                        <m:r>
                          <a:rPr lang="en-AU" sz="1000" b="0" i="1">
                            <a:latin typeface="Cambria Math" panose="02040503050406030204" pitchFamily="18" charset="0"/>
                          </a:rPr>
                          <m:t>1−</m:t>
                        </m:r>
                        <m:sSup>
                          <m:sSupPr>
                            <m:ctrlPr>
                              <a:rPr lang="en-AU" sz="1000" b="0" i="1">
                                <a:latin typeface="Cambria Math" panose="02040503050406030204" pitchFamily="18" charset="0"/>
                              </a:rPr>
                            </m:ctrlPr>
                          </m:sSupPr>
                          <m:e>
                            <m:r>
                              <a:rPr lang="en-AU" sz="1000" b="0" i="1">
                                <a:latin typeface="Cambria Math" panose="02040503050406030204" pitchFamily="18" charset="0"/>
                              </a:rPr>
                              <m:t>𝑒</m:t>
                            </m:r>
                          </m:e>
                          <m:sup>
                            <m:r>
                              <a:rPr lang="en-AU" sz="1000" b="0" i="1">
                                <a:latin typeface="Cambria Math" panose="02040503050406030204" pitchFamily="18" charset="0"/>
                              </a:rPr>
                              <m:t>−</m:t>
                            </m:r>
                            <m:r>
                              <a:rPr lang="en-AU" sz="1000" b="0" i="1">
                                <a:latin typeface="Cambria Math" panose="02040503050406030204" pitchFamily="18" charset="0"/>
                              </a:rPr>
                              <m:t>𝛼</m:t>
                            </m:r>
                            <m:r>
                              <a:rPr lang="en-AU" sz="1000" b="0" i="1">
                                <a:latin typeface="Cambria Math" panose="02040503050406030204" pitchFamily="18" charset="0"/>
                              </a:rPr>
                              <m:t>(</m:t>
                            </m:r>
                            <m:r>
                              <a:rPr lang="en-AU" sz="1000" b="0" i="1">
                                <a:latin typeface="Cambria Math" panose="02040503050406030204" pitchFamily="18" charset="0"/>
                              </a:rPr>
                              <m:t>𝑇</m:t>
                            </m:r>
                            <m:r>
                              <a:rPr lang="en-AU" sz="1000" b="0" i="1">
                                <a:latin typeface="Cambria Math" panose="02040503050406030204" pitchFamily="18" charset="0"/>
                              </a:rPr>
                              <m:t>−</m:t>
                            </m:r>
                            <m:r>
                              <a:rPr lang="en-AU" sz="1000" b="0" i="1">
                                <a:latin typeface="Cambria Math" panose="02040503050406030204" pitchFamily="18" charset="0"/>
                              </a:rPr>
                              <m:t>𝑡</m:t>
                            </m:r>
                            <m:r>
                              <a:rPr lang="en-AU" sz="1000" b="0" i="1">
                                <a:latin typeface="Cambria Math" panose="02040503050406030204" pitchFamily="18" charset="0"/>
                              </a:rPr>
                              <m:t>)</m:t>
                            </m:r>
                          </m:sup>
                        </m:sSup>
                      </m:num>
                      <m:den>
                        <m:r>
                          <a:rPr lang="en-AU" sz="1000" b="0" i="1">
                            <a:latin typeface="Cambria Math" panose="02040503050406030204" pitchFamily="18" charset="0"/>
                          </a:rPr>
                          <m:t>𝛼</m:t>
                        </m:r>
                      </m:den>
                    </m:f>
                  </m:oMath>
                </m:oMathPara>
              </a14:m>
              <a:endParaRPr lang="en-NZ" sz="1000"/>
            </a:p>
          </xdr:txBody>
        </xdr:sp>
      </mc:Choice>
      <mc:Fallback>
        <xdr:sp macro="" textlink="">
          <xdr:nvSpPr>
            <xdr:cNvPr id="4" name="TextBox 3">
              <a:extLst>
                <a:ext uri="{FF2B5EF4-FFF2-40B4-BE49-F238E27FC236}">
                  <a16:creationId xmlns:a16="http://schemas.microsoft.com/office/drawing/2014/main" id="{A29363E4-F982-4AB9-96CF-6EA9AF55CD18}"/>
                </a:ext>
              </a:extLst>
            </xdr:cNvPr>
            <xdr:cNvSpPr txBox="1"/>
          </xdr:nvSpPr>
          <xdr:spPr>
            <a:xfrm>
              <a:off x="18592800" y="1295400"/>
              <a:ext cx="2847975" cy="409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r>
                <a:rPr lang="en-AU" sz="1000" b="0" i="0">
                  <a:latin typeface="Cambria Math" panose="02040503050406030204" pitchFamily="18" charset="0"/>
                </a:rPr>
                <a:t>𝐵(𝑡,𝑇)=(1−𝑒^(−𝛼(𝑇−𝑡)))/𝛼</a:t>
              </a:r>
              <a:endParaRPr lang="en-NZ" sz="1000"/>
            </a:p>
          </xdr:txBody>
        </xdr:sp>
      </mc:Fallback>
    </mc:AlternateContent>
    <xdr:clientData/>
  </xdr:twoCellAnchor>
  <xdr:twoCellAnchor>
    <xdr:from>
      <xdr:col>14</xdr:col>
      <xdr:colOff>171450</xdr:colOff>
      <xdr:row>13</xdr:row>
      <xdr:rowOff>133350</xdr:rowOff>
    </xdr:from>
    <xdr:to>
      <xdr:col>25</xdr:col>
      <xdr:colOff>228600</xdr:colOff>
      <xdr:row>34</xdr:row>
      <xdr:rowOff>85725</xdr:rowOff>
    </xdr:to>
    <xdr:sp macro="" textlink="">
      <xdr:nvSpPr>
        <xdr:cNvPr id="5" name="TextBox 4">
          <a:extLst>
            <a:ext uri="{FF2B5EF4-FFF2-40B4-BE49-F238E27FC236}">
              <a16:creationId xmlns:a16="http://schemas.microsoft.com/office/drawing/2014/main" id="{51A2384B-7C39-5F21-E56E-F0E043100268}"/>
            </a:ext>
          </a:extLst>
        </xdr:cNvPr>
        <xdr:cNvSpPr txBox="1"/>
      </xdr:nvSpPr>
      <xdr:spPr>
        <a:xfrm>
          <a:off x="9601200" y="2238375"/>
          <a:ext cx="6029325" cy="3352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100"/>
            <a:t>Too much effect to be done</a:t>
          </a:r>
          <a:r>
            <a:rPr lang="en-NZ" sz="1100" baseline="0"/>
            <a:t> </a:t>
          </a:r>
          <a:r>
            <a:rPr lang="en-NZ" sz="1100"/>
            <a:t>in excel</a:t>
          </a:r>
          <a:r>
            <a:rPr lang="en-NZ" sz="1100" baseline="0"/>
            <a:t> (under this method at least). </a:t>
          </a:r>
        </a:p>
        <a:p>
          <a:endParaRPr lang="en-NZ" sz="1100" baseline="0"/>
        </a:p>
        <a:p>
          <a:r>
            <a:rPr lang="en-NZ" sz="1100" u="sng" baseline="0"/>
            <a:t>Issues:</a:t>
          </a:r>
        </a:p>
        <a:p>
          <a:endParaRPr lang="en-NZ" sz="1100" baseline="0"/>
        </a:p>
        <a:p>
          <a:pPr marL="0" marR="0" lvl="0" indent="0" defTabSz="914400" eaLnBrk="1" fontAlgn="auto" latinLnBrk="0" hangingPunct="1">
            <a:lnSpc>
              <a:spcPct val="100000"/>
            </a:lnSpc>
            <a:spcBef>
              <a:spcPts val="0"/>
            </a:spcBef>
            <a:spcAft>
              <a:spcPts val="0"/>
            </a:spcAft>
            <a:buClrTx/>
            <a:buSzTx/>
            <a:buFontTx/>
            <a:buNone/>
            <a:tabLst/>
            <a:defRPr/>
          </a:pPr>
          <a:r>
            <a:rPr lang="en-NZ" sz="1100" baseline="0"/>
            <a:t>1. </a:t>
          </a:r>
          <a:r>
            <a:rPr lang="en-NZ" sz="1100">
              <a:solidFill>
                <a:schemeClr val="dk1"/>
              </a:solidFill>
              <a:effectLst/>
              <a:latin typeface="+mn-lt"/>
              <a:ea typeface="+mn-ea"/>
              <a:cs typeface="+mn-cs"/>
            </a:rPr>
            <a:t>The VBA</a:t>
          </a:r>
          <a:r>
            <a:rPr lang="en-NZ" sz="1100" baseline="0">
              <a:solidFill>
                <a:schemeClr val="dk1"/>
              </a:solidFill>
              <a:effectLst/>
              <a:latin typeface="+mn-lt"/>
              <a:ea typeface="+mn-ea"/>
              <a:cs typeface="+mn-cs"/>
            </a:rPr>
            <a:t> cubic spline function is not perfect - see how a plot of  θ(t) is not smooth in comparison to the python calculated θ(t) using scipy.interpolate.splev/splrep. May be due to method or precison. </a:t>
          </a:r>
          <a:endParaRPr lang="en-NZ">
            <a:effectLst/>
          </a:endParaRPr>
        </a:p>
        <a:p>
          <a:endParaRPr lang="en-NZ" sz="1100" baseline="0"/>
        </a:p>
        <a:p>
          <a:r>
            <a:rPr lang="en-NZ" sz="1100" baseline="0"/>
            <a:t>2. Calculation of A(t,T) requries an integration function over θ(t) and B(t,T), which are both functions of t. So we need to define these as VBA functions. The key motivation of building this model in excel was for clarity / to show working. VBA functions do not help this. </a:t>
          </a:r>
        </a:p>
        <a:p>
          <a:endParaRPr lang="en-NZ" sz="1100" baseline="0"/>
        </a:p>
        <a:p>
          <a:r>
            <a:rPr lang="en-NZ" sz="1100" baseline="0"/>
            <a:t>3rd party VBA functions from https://excel-works.com/manual/integration can be used to do the integration. </a:t>
          </a:r>
        </a:p>
        <a:p>
          <a:endParaRPr lang="en-NZ" sz="1100" baseline="0"/>
        </a:p>
        <a:p>
          <a:r>
            <a:rPr lang="en-NZ" sz="1100" u="sng" baseline="0"/>
            <a:t>Solutions:</a:t>
          </a:r>
        </a:p>
        <a:p>
          <a:r>
            <a:rPr lang="en-NZ" sz="1100" u="none" baseline="0"/>
            <a:t>Just use python</a:t>
          </a:r>
        </a:p>
        <a:p>
          <a:endParaRPr lang="en-NZ" sz="1100" u="none" baseline="0"/>
        </a:p>
        <a:p>
          <a:r>
            <a:rPr lang="en-NZ" sz="1100" u="none" baseline="0"/>
            <a:t>When python can be easily called from excel (similar to how a VBA function is called) that could make it 'low-friction' enough to have an excel workbook companion to python code. </a:t>
          </a:r>
        </a:p>
        <a:p>
          <a:endParaRPr lang="en-NZ" sz="1100" baseline="0"/>
        </a:p>
        <a:p>
          <a:endParaRPr lang="en-NZ"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909616-B034-4D9C-8111-2500C9C6F3E3}" name="tbl_zero_rates" displayName="tbl_zero_rates" ref="B6:E84" totalsRowShown="0" headerRowDxfId="4">
  <autoFilter ref="B6:E84" xr:uid="{18909616-B034-4D9C-8111-2500C9C6F3E3}"/>
  <tableColumns count="4">
    <tableColumn id="4" xr3:uid="{86CF3805-C8BA-4E53-8CFD-A0F858A22876}" name="idx" dataDxfId="3" dataCellStyle="Comma"/>
    <tableColumn id="1" xr3:uid="{83FA3634-B215-47B1-B3E7-02E3E84A468A}" name="tau" dataDxfId="2" dataCellStyle="Comma"/>
    <tableColumn id="2" xr3:uid="{9525CB04-AADC-41CF-8ED6-32AD89C48017}" name="nacc" dataDxfId="1" dataCellStyle="Percent"/>
    <tableColumn id="3" xr3:uid="{05EC1E2C-3734-4E5B-BC6B-B00604CA1333}" name="discount_factor" dataDxfId="0" dataCellStyle="Comma">
      <calculatedColumnFormula>EXP(-tbl_zero_rates[[#This Row],[nacc]]*tbl_zero_rates[[#This Row],[tau]])</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8DB8F-0EAA-4C08-9983-590AA022AB90}">
  <sheetPr codeName="Sheet4"/>
  <dimension ref="B2:AL107"/>
  <sheetViews>
    <sheetView tabSelected="1" topLeftCell="F1" workbookViewId="0">
      <selection activeCell="X5" sqref="X5"/>
    </sheetView>
  </sheetViews>
  <sheetFormatPr defaultRowHeight="12.75" outlineLevelCol="1" x14ac:dyDescent="0.2"/>
  <cols>
    <col min="2" max="2" width="13.28515625" bestFit="1" customWidth="1"/>
    <col min="3" max="3" width="9.5703125" bestFit="1" customWidth="1"/>
    <col min="4" max="4" width="7.5703125" bestFit="1" customWidth="1"/>
    <col min="5" max="5" width="17.140625" bestFit="1" customWidth="1"/>
    <col min="7" max="7" width="19.7109375" bestFit="1" customWidth="1"/>
    <col min="8" max="8" width="9.7109375" bestFit="1" customWidth="1"/>
    <col min="9" max="9" width="8.42578125" customWidth="1"/>
    <col min="10" max="10" width="8.7109375" bestFit="1" customWidth="1"/>
    <col min="11" max="11" width="8.28515625" bestFit="1" customWidth="1"/>
    <col min="12" max="12" width="9.42578125" bestFit="1" customWidth="1"/>
    <col min="13" max="13" width="7.28515625" style="3" bestFit="1" customWidth="1"/>
    <col min="14" max="14" width="4" style="3" customWidth="1"/>
    <col min="15" max="15" width="8.7109375" bestFit="1" customWidth="1"/>
    <col min="16" max="16" width="9" style="13" bestFit="1" customWidth="1"/>
    <col min="17" max="17" width="12.140625" bestFit="1" customWidth="1"/>
    <col min="18" max="18" width="8.140625" style="3" bestFit="1" customWidth="1"/>
    <col min="19" max="19" width="4" style="3" customWidth="1"/>
    <col min="20" max="20" width="8.7109375" bestFit="1" customWidth="1"/>
    <col min="21" max="21" width="8.42578125" style="13" bestFit="1" customWidth="1"/>
    <col min="22" max="22" width="11.5703125" bestFit="1" customWidth="1"/>
    <col min="23" max="23" width="7.5703125" style="3" bestFit="1" customWidth="1"/>
    <col min="24" max="24" width="4" style="3" customWidth="1"/>
    <col min="25" max="25" width="7.28515625" style="3" bestFit="1" customWidth="1"/>
    <col min="26" max="26" width="7.28515625" bestFit="1" customWidth="1"/>
    <col min="27" max="27" width="9.140625" hidden="1" customWidth="1" outlineLevel="1"/>
    <col min="28" max="28" width="7.28515625" hidden="1" customWidth="1" outlineLevel="1"/>
    <col min="29" max="29" width="8.85546875" hidden="1" customWidth="1" outlineLevel="1"/>
    <col min="30" max="30" width="4" style="3" customWidth="1" collapsed="1"/>
    <col min="31" max="31" width="4.7109375" bestFit="1" customWidth="1"/>
    <col min="32" max="32" width="8.7109375" bestFit="1" customWidth="1"/>
    <col min="33" max="33" width="7.7109375" bestFit="1" customWidth="1"/>
    <col min="34" max="36" width="7.7109375" customWidth="1"/>
    <col min="37" max="37" width="5.5703125" bestFit="1" customWidth="1"/>
    <col min="38" max="38" width="13.42578125" bestFit="1" customWidth="1"/>
  </cols>
  <sheetData>
    <row r="2" spans="2:38" x14ac:dyDescent="0.2">
      <c r="B2" t="s">
        <v>0</v>
      </c>
      <c r="C2" s="1" t="s">
        <v>1</v>
      </c>
    </row>
    <row r="4" spans="2:38" x14ac:dyDescent="0.2">
      <c r="B4" t="s">
        <v>2</v>
      </c>
      <c r="C4" s="2">
        <v>45107</v>
      </c>
      <c r="D4" t="s">
        <v>3</v>
      </c>
    </row>
    <row r="6" spans="2:38" x14ac:dyDescent="0.2">
      <c r="B6" s="18" t="s">
        <v>6</v>
      </c>
      <c r="C6" s="18" t="s">
        <v>4</v>
      </c>
      <c r="D6" s="18" t="s">
        <v>5</v>
      </c>
      <c r="E6" s="18" t="s">
        <v>8</v>
      </c>
      <c r="G6" t="s">
        <v>7</v>
      </c>
      <c r="H6" s="7">
        <f>_xlfn.XLOOKUP(1,tbl_zero_rates[idx],tbl_zero_rates[nacc])</f>
        <v>1.5110682E-2</v>
      </c>
      <c r="J6" s="16" t="s">
        <v>14</v>
      </c>
      <c r="K6" s="16" t="s">
        <v>15</v>
      </c>
      <c r="L6" s="16" t="s">
        <v>16</v>
      </c>
      <c r="M6" s="17" t="s">
        <v>21</v>
      </c>
      <c r="O6" s="16" t="s">
        <v>18</v>
      </c>
      <c r="P6" s="21" t="s">
        <v>19</v>
      </c>
      <c r="Q6" s="16" t="s">
        <v>20</v>
      </c>
      <c r="R6" s="17" t="s">
        <v>22</v>
      </c>
      <c r="T6" s="16" t="s">
        <v>23</v>
      </c>
      <c r="U6" s="21" t="s">
        <v>24</v>
      </c>
      <c r="V6" s="16" t="s">
        <v>25</v>
      </c>
      <c r="W6" s="17" t="s">
        <v>26</v>
      </c>
      <c r="Y6" s="17" t="s">
        <v>27</v>
      </c>
      <c r="Z6" s="20" t="s">
        <v>28</v>
      </c>
      <c r="AB6" s="20" t="s">
        <v>29</v>
      </c>
      <c r="AC6" s="19" t="s">
        <v>30</v>
      </c>
      <c r="AE6" s="16" t="s">
        <v>31</v>
      </c>
      <c r="AF6" s="16" t="s">
        <v>32</v>
      </c>
      <c r="AG6" s="16" t="s">
        <v>33</v>
      </c>
      <c r="AH6" s="16"/>
      <c r="AI6" s="16"/>
      <c r="AJ6" s="16"/>
      <c r="AK6" s="16" t="s">
        <v>34</v>
      </c>
      <c r="AL6" s="16" t="s">
        <v>35</v>
      </c>
    </row>
    <row r="7" spans="2:38" x14ac:dyDescent="0.2">
      <c r="B7" s="9">
        <v>0</v>
      </c>
      <c r="C7" s="4">
        <v>3.9682540000000001E-3</v>
      </c>
      <c r="D7" s="5">
        <v>1.110682E-2</v>
      </c>
      <c r="E7" s="6">
        <f>EXP(-tbl_zero_rates[[#This Row],[nacc]]*tbl_zero_rates[[#This Row],[tau]])</f>
        <v>0.99995592628838226</v>
      </c>
      <c r="G7" t="s">
        <v>9</v>
      </c>
      <c r="H7" s="10">
        <v>0.19</v>
      </c>
      <c r="J7" s="12" cm="1">
        <f t="array" ref="J7:J106">TRANSPOSE(LinearSpace(min_tau,max_tau,H13))</f>
        <v>3.9682540000000001E-3</v>
      </c>
      <c r="K7" s="13" cm="1">
        <f t="array" ref="K7">cubicSpline(tbl_zero_rates[tau],tbl_zero_rates[nacc],J7,0)</f>
        <v>1.110682E-2</v>
      </c>
      <c r="L7" s="3" cm="1">
        <f t="array" ref="L7">cubicSpline(tbl_zero_rates[tau],tbl_zero_rates[nacc],J7,1)</f>
        <v>1.1639913628980335E-2</v>
      </c>
      <c r="M7" s="3">
        <f>K7+J7*L7</f>
        <v>1.1153010133817856E-2</v>
      </c>
      <c r="O7" s="12" cm="1">
        <f t="array" ref="O7:O106">_xlfn.ANCHORARRAY(J7)+dt</f>
        <v>3.9782539999999996E-3</v>
      </c>
      <c r="P7" s="13" cm="1">
        <f t="array" ref="P7">cubicSpline(tbl_zero_rates[tau],tbl_zero_rates[nacc],O7,0)</f>
        <v>1.1106937130135887E-2</v>
      </c>
      <c r="Q7" s="3" cm="1">
        <f t="array" ref="Q7">cubicSpline(tbl_zero_rates[tau],tbl_zero_rates[nacc],O7,1)</f>
        <v>1.1639915754121559E-2</v>
      </c>
      <c r="R7" s="3">
        <f>P7+O7*Q7</f>
        <v>1.1153243671544385E-2</v>
      </c>
      <c r="T7" s="12" cm="1">
        <f t="array" ref="T7:T106">_xlfn.ANCHORARRAY(J7)-dt</f>
        <v>3.9582540000000005E-3</v>
      </c>
      <c r="U7" s="13" cm="1">
        <f t="array" ref="U7">cubicSpline(tbl_zero_rates[tau],tbl_zero_rates[nacc],T7,0)</f>
        <v>1.1106702869864113E-2</v>
      </c>
      <c r="V7" s="3" cm="1">
        <f t="array" ref="V7">cubicSpline(tbl_zero_rates[tau],tbl_zero_rates[nacc],T7,1)</f>
        <v>1.163991150383911E-2</v>
      </c>
      <c r="W7" s="3">
        <f>U7+T7*V7</f>
        <v>1.1152776596133829E-2</v>
      </c>
      <c r="Y7" s="3">
        <f t="shared" ref="Y7:Y38" si="0">(R7-W7)/(2*dt)</f>
        <v>2.3353770527752973E-2</v>
      </c>
      <c r="Z7" s="3">
        <f t="shared" ref="Z7:Z38" si="1">Y7+mean_reversion_rate*M7+(volalitity*volalitity)*(1-EXP(-2*mean_reversion_rate*J7))/(2*mean_reversion_rate)</f>
        <v>2.5474365748829785E-2</v>
      </c>
      <c r="AA7" s="19"/>
      <c r="AB7" s="3">
        <v>2.5258567479055E-2</v>
      </c>
      <c r="AC7" s="3">
        <f>AB7/Z7-1</f>
        <v>-8.4711930378363887E-3</v>
      </c>
      <c r="AE7" s="8" cm="1">
        <f t="array" ref="AE7:AE106">_xlfn.ANCHORARRAY(AF7)*0</f>
        <v>0</v>
      </c>
      <c r="AF7" s="12" cm="1">
        <f t="array" ref="AF7:AF106">_xlfn.ANCHORARRAY(J7)</f>
        <v>3.9682540000000001E-3</v>
      </c>
      <c r="AG7" s="15" cm="1">
        <f t="array" ref="AG7:AG106">(1-EXP(-mean_reversion_rate*(_xlfn.ANCHORARRAY(AF7)-_xlfn.ANCHORARRAY(AE7))))/mean_reversion_rate</f>
        <v>3.9667584071180848E-3</v>
      </c>
      <c r="AH7" s="24" cm="1">
        <f t="array" ref="AH7">_xll.QUADF(Z7*AF7,$AF$4,AE7,AF7)</f>
        <v>4.0114585154351907E-7</v>
      </c>
      <c r="AI7" s="15"/>
      <c r="AJ7" s="15"/>
    </row>
    <row r="8" spans="2:38" x14ac:dyDescent="0.2">
      <c r="B8" s="9">
        <v>1</v>
      </c>
      <c r="C8" s="4">
        <v>0.34794520499999998</v>
      </c>
      <c r="D8" s="5">
        <v>1.5110682E-2</v>
      </c>
      <c r="E8" s="6">
        <f>EXP(-tbl_zero_rates[[#This Row],[nacc]]*tbl_zero_rates[[#This Row],[tau]])</f>
        <v>0.99475610811094528</v>
      </c>
      <c r="G8" t="s">
        <v>10</v>
      </c>
      <c r="H8" s="11">
        <v>1.9599999999999999E-2</v>
      </c>
      <c r="J8" s="12">
        <v>7.5383277949494953E-2</v>
      </c>
      <c r="K8" s="13" cm="1">
        <f t="array" ref="K8">cubicSpline(tbl_zero_rates[tau],tbl_zero_rates[nacc],J8,0)</f>
        <v>1.1943080122814059E-2</v>
      </c>
      <c r="L8" s="3" cm="1">
        <f t="array" ref="L8">cubicSpline(tbl_zero_rates[tau],tbl_zero_rates[nacc],J8,1)</f>
        <v>1.1655090330126957E-2</v>
      </c>
      <c r="M8" s="3">
        <f t="shared" ref="M8:M71" si="2">K8+J8*L8</f>
        <v>1.282167903669649E-2</v>
      </c>
      <c r="O8" s="12">
        <v>7.539327794949495E-2</v>
      </c>
      <c r="P8" s="13" cm="1">
        <f t="array" ref="P8">cubicSpline(tbl_zero_rates[tau],tbl_zero_rates[nacc],O8,0)</f>
        <v>1.1943197158409054E-2</v>
      </c>
      <c r="Q8" s="3" cm="1">
        <f t="array" ref="Q8">cubicSpline(tbl_zero_rates[tau],tbl_zero_rates[nacc],O8,1)</f>
        <v>1.1655092455268183E-2</v>
      </c>
      <c r="R8" s="3">
        <f t="shared" ref="R8:R71" si="3">P8+O8*Q8</f>
        <v>1.2821912783416149E-2</v>
      </c>
      <c r="T8" s="12">
        <v>7.5373277949494957E-2</v>
      </c>
      <c r="U8" s="13" cm="1">
        <f t="array" ref="U8">cubicSpline(tbl_zero_rates[tau],tbl_zero_rates[nacc],T8,0)</f>
        <v>1.1942963087192589E-2</v>
      </c>
      <c r="V8" s="3" cm="1">
        <f t="array" ref="V8">cubicSpline(tbl_zero_rates[tau],tbl_zero_rates[nacc],T8,1)</f>
        <v>1.1655088204985732E-2</v>
      </c>
      <c r="W8" s="3">
        <f t="shared" ref="W8:W71" si="4">U8+T8*V8</f>
        <v>1.2821445289992859E-2</v>
      </c>
      <c r="Y8" s="3">
        <f t="shared" si="0"/>
        <v>2.3374671164529816E-2</v>
      </c>
      <c r="Z8" s="3">
        <f t="shared" si="1"/>
        <v>2.5839338575822393E-2</v>
      </c>
      <c r="AA8" s="3"/>
      <c r="AB8" s="3">
        <v>2.5838469249745401E-2</v>
      </c>
      <c r="AC8" s="3">
        <f t="shared" ref="AC8:AC71" si="5">AB8/Z8-1</f>
        <v>-3.3643511208381049E-5</v>
      </c>
      <c r="AE8" s="8">
        <v>0</v>
      </c>
      <c r="AF8" s="12">
        <v>7.5383277949494953E-2</v>
      </c>
      <c r="AG8" s="15">
        <v>7.484599547565278E-2</v>
      </c>
      <c r="AH8" s="15">
        <v>1.4683562264501644E-4</v>
      </c>
      <c r="AI8" s="15"/>
      <c r="AJ8" s="15"/>
    </row>
    <row r="9" spans="2:38" x14ac:dyDescent="0.2">
      <c r="B9" s="9">
        <v>2</v>
      </c>
      <c r="C9" s="4">
        <v>0.43644665799999999</v>
      </c>
      <c r="D9" s="5">
        <v>1.6120621000000002E-2</v>
      </c>
      <c r="E9" s="6">
        <f>EXP(-tbl_zero_rates[[#This Row],[nacc]]*tbl_zero_rates[[#This Row],[tau]])</f>
        <v>0.99298890207221002</v>
      </c>
      <c r="J9" s="12">
        <v>0.1467983018989899</v>
      </c>
      <c r="K9" s="13" cm="1">
        <f t="array" ref="K9">cubicSpline(tbl_zero_rates[tau],tbl_zero_rates[nacc],J9,0)</f>
        <v>1.2777990106690444E-2</v>
      </c>
      <c r="L9" s="3" cm="1">
        <f t="array" ref="L9">cubicSpline(tbl_zero_rates[tau],tbl_zero_rates[nacc],J9,1)</f>
        <v>1.1670267031273581E-2</v>
      </c>
      <c r="M9" s="3">
        <f t="shared" si="2"/>
        <v>1.4491165489589172E-2</v>
      </c>
      <c r="O9" s="12">
        <v>0.14680830189898991</v>
      </c>
      <c r="P9" s="13" cm="1">
        <f t="array" ref="P9">cubicSpline(tbl_zero_rates[tau],tbl_zero_rates[nacc],O9,0)</f>
        <v>1.2778106858689244E-2</v>
      </c>
      <c r="Q9" s="3" cm="1">
        <f t="array" ref="Q9">cubicSpline(tbl_zero_rates[tau],tbl_zero_rates[nacc],O9,1)</f>
        <v>1.1670269156414805E-2</v>
      </c>
      <c r="R9" s="3">
        <f t="shared" si="3"/>
        <v>1.449139925624666E-2</v>
      </c>
      <c r="T9" s="12">
        <v>0.14678830189898989</v>
      </c>
      <c r="U9" s="13" cm="1">
        <f t="array" ref="U9">cubicSpline(tbl_zero_rates[tau],tbl_zero_rates[nacc],T9,0)</f>
        <v>1.2777873354638701E-2</v>
      </c>
      <c r="V9" s="3" cm="1">
        <f t="array" ref="V9">cubicSpline(tbl_zero_rates[tau],tbl_zero_rates[nacc],T9,1)</f>
        <v>1.1670264906132355E-2</v>
      </c>
      <c r="W9" s="3">
        <f t="shared" si="4"/>
        <v>1.4490931722921244E-2</v>
      </c>
      <c r="Y9" s="3">
        <f t="shared" si="0"/>
        <v>2.3376666270780163E-2</v>
      </c>
      <c r="Z9" s="3">
        <f t="shared" si="1"/>
        <v>2.6184837669501183E-2</v>
      </c>
      <c r="AA9" s="3"/>
      <c r="AB9" s="3">
        <v>2.6209331386860199E-2</v>
      </c>
      <c r="AC9" s="3">
        <f t="shared" si="5"/>
        <v>9.3541604756808283E-4</v>
      </c>
      <c r="AE9" s="8">
        <v>0</v>
      </c>
      <c r="AF9" s="12">
        <v>0.1467983018989899</v>
      </c>
      <c r="AG9" s="15">
        <v>0.14476997799701685</v>
      </c>
      <c r="AH9" s="15">
        <v>5.6427648143730306E-4</v>
      </c>
      <c r="AI9" s="15"/>
      <c r="AJ9" s="15"/>
    </row>
    <row r="10" spans="2:38" x14ac:dyDescent="0.2">
      <c r="B10" s="9">
        <v>3</v>
      </c>
      <c r="C10" s="4">
        <v>0.52494811100000005</v>
      </c>
      <c r="D10" s="5">
        <v>1.7109843999999999E-2</v>
      </c>
      <c r="E10" s="6">
        <f>EXP(-tbl_zero_rates[[#This Row],[nacc]]*tbl_zero_rates[[#This Row],[tau]])</f>
        <v>0.99105843540834726</v>
      </c>
      <c r="G10" t="s">
        <v>11</v>
      </c>
      <c r="H10" s="14">
        <f>MIN(tbl_zero_rates[tau])</f>
        <v>3.9682540000000001E-3</v>
      </c>
      <c r="J10" s="12">
        <v>0.21821332584848485</v>
      </c>
      <c r="K10" s="13" cm="1">
        <f t="array" ref="K10">cubicSpline(tbl_zero_rates[tau],tbl_zero_rates[nacc],J10,0)</f>
        <v>1.3610199812691487E-2</v>
      </c>
      <c r="L10" s="3" cm="1">
        <f t="array" ref="L10">cubicSpline(tbl_zero_rates[tau],tbl_zero_rates[nacc],J10,1)</f>
        <v>1.1685443732420203E-2</v>
      </c>
      <c r="M10" s="3">
        <f t="shared" si="2"/>
        <v>1.6160119353558232E-2</v>
      </c>
      <c r="O10" s="12">
        <v>0.21822332584848486</v>
      </c>
      <c r="P10" s="13" cm="1">
        <f t="array" ref="P10">cubicSpline(tbl_zero_rates[tau],tbl_zero_rates[nacc],O10,0)</f>
        <v>1.361031609203878E-2</v>
      </c>
      <c r="Q10" s="3" cm="1">
        <f t="array" ref="Q10">cubicSpline(tbl_zero_rates[tau],tbl_zero_rates[nacc],O10,1)</f>
        <v>1.1685445857561427E-2</v>
      </c>
      <c r="R10" s="3">
        <f t="shared" si="3"/>
        <v>1.6160352951098234E-2</v>
      </c>
      <c r="T10" s="12">
        <v>0.21820332584848484</v>
      </c>
      <c r="U10" s="13" cm="1">
        <f t="array" ref="U10">cubicSpline(tbl_zero_rates[tau],tbl_zero_rates[nacc],T10,0)</f>
        <v>1.361008353326478E-2</v>
      </c>
      <c r="V10" s="3" cm="1">
        <f t="array" ref="V10">cubicSpline(tbl_zero_rates[tau],tbl_zero_rates[nacc],T10,1)</f>
        <v>1.1685441607278978E-2</v>
      </c>
      <c r="W10" s="3">
        <f t="shared" si="4"/>
        <v>1.6159885755981318E-2</v>
      </c>
      <c r="Y10" s="3">
        <f t="shared" si="0"/>
        <v>2.3359755845810123E-2</v>
      </c>
      <c r="Z10" s="3">
        <f t="shared" si="1"/>
        <v>2.6510625873886001E-2</v>
      </c>
      <c r="AA10" s="3"/>
      <c r="AB10" s="3">
        <v>2.6368322343449001E-2</v>
      </c>
      <c r="AC10" s="3">
        <f t="shared" si="5"/>
        <v>-5.3677921869500489E-3</v>
      </c>
      <c r="AE10" s="8">
        <v>0</v>
      </c>
      <c r="AF10" s="12">
        <v>0.21821332584848485</v>
      </c>
      <c r="AG10" s="15">
        <v>0.21375158013983328</v>
      </c>
      <c r="AH10" s="15">
        <v>1.2623579456406042E-3</v>
      </c>
      <c r="AI10" s="15"/>
      <c r="AJ10" s="15"/>
    </row>
    <row r="11" spans="2:38" x14ac:dyDescent="0.2">
      <c r="B11" s="9">
        <v>4</v>
      </c>
      <c r="C11" s="4">
        <v>0.61344956399999995</v>
      </c>
      <c r="D11" s="5">
        <v>1.8078586000000001E-2</v>
      </c>
      <c r="E11" s="6">
        <f>EXP(-tbl_zero_rates[[#This Row],[nacc]]*tbl_zero_rates[[#This Row],[tau]])</f>
        <v>0.98897096997279477</v>
      </c>
      <c r="G11" t="s">
        <v>12</v>
      </c>
      <c r="H11" s="14">
        <f>MAX(tbl_zero_rates[tau])</f>
        <v>7.0740556249999997</v>
      </c>
      <c r="J11" s="12">
        <v>0.2896283497979798</v>
      </c>
      <c r="K11" s="13" cm="1">
        <f t="array" ref="K11">cubicSpline(tbl_zero_rates[tau],tbl_zero_rates[nacc],J11,0)</f>
        <v>1.4438359101879518E-2</v>
      </c>
      <c r="L11" s="3" cm="1">
        <f t="array" ref="L11">cubicSpline(tbl_zero_rates[tau],tbl_zero_rates[nacc],J11,1)</f>
        <v>1.1700620433566825E-2</v>
      </c>
      <c r="M11" s="3">
        <f t="shared" si="2"/>
        <v>1.7827190489666002E-2</v>
      </c>
      <c r="O11" s="12">
        <v>0.28963834979797981</v>
      </c>
      <c r="P11" s="13" cm="1">
        <f t="array" ref="P11">cubicSpline(tbl_zero_rates[tau],tbl_zero_rates[nacc],O11,0)</f>
        <v>1.4438474719519994E-2</v>
      </c>
      <c r="Q11" s="3" cm="1">
        <f t="array" ref="Q11">cubicSpline(tbl_zero_rates[tau],tbl_zero_rates[nacc],O11,1)</f>
        <v>1.1700622558708049E-2</v>
      </c>
      <c r="R11" s="3">
        <f t="shared" si="3"/>
        <v>1.7827423729033211E-2</v>
      </c>
      <c r="T11" s="12">
        <v>0.28961834979797979</v>
      </c>
      <c r="U11" s="13" cm="1">
        <f t="array" ref="U11">cubicSpline(tbl_zero_rates[tau],tbl_zero_rates[nacc],T11,0)</f>
        <v>1.4438243484133152E-2</v>
      </c>
      <c r="V11" s="3" cm="1">
        <f t="array" ref="V11">cubicSpline(tbl_zero_rates[tau],tbl_zero_rates[nacc],T11,1)</f>
        <v>1.17006183084256E-2</v>
      </c>
      <c r="W11" s="3">
        <f t="shared" si="4"/>
        <v>1.7826957250235403E-2</v>
      </c>
      <c r="Y11" s="3">
        <f t="shared" si="0"/>
        <v>2.3323939890400321E-2</v>
      </c>
      <c r="Z11" s="3">
        <f t="shared" si="1"/>
        <v>2.681646551585248E-2</v>
      </c>
      <c r="AA11" s="3"/>
      <c r="AB11" s="3">
        <v>2.631261005481E-2</v>
      </c>
      <c r="AC11" s="3">
        <f t="shared" si="5"/>
        <v>-1.8789033205909522E-2</v>
      </c>
      <c r="AE11" s="8">
        <v>0</v>
      </c>
      <c r="AF11" s="12">
        <v>0.2896283497979798</v>
      </c>
      <c r="AG11" s="15">
        <v>0.28180350256481818</v>
      </c>
      <c r="AH11" s="15">
        <v>2.2494879738779298E-3</v>
      </c>
      <c r="AI11" s="15"/>
      <c r="AJ11" s="15"/>
    </row>
    <row r="12" spans="2:38" x14ac:dyDescent="0.2">
      <c r="B12" s="9">
        <v>5</v>
      </c>
      <c r="C12" s="4">
        <v>0.70195101699999995</v>
      </c>
      <c r="D12" s="5">
        <v>1.9027079999999998E-2</v>
      </c>
      <c r="E12" s="6">
        <f>EXP(-tbl_zero_rates[[#This Row],[nacc]]*tbl_zero_rates[[#This Row],[tau]])</f>
        <v>0.98673271849072741</v>
      </c>
      <c r="G12" t="s">
        <v>13</v>
      </c>
      <c r="H12" s="22">
        <f>1*10^-5</f>
        <v>1.0000000000000001E-5</v>
      </c>
      <c r="J12" s="12">
        <v>0.36104337374747475</v>
      </c>
      <c r="K12" s="13" cm="1">
        <f t="array" ref="K12">cubicSpline(tbl_zero_rates[tau],tbl_zero_rates[nacc],J12,0)</f>
        <v>1.52611118395359E-2</v>
      </c>
      <c r="L12" s="3" cm="1">
        <f t="array" ref="L12">cubicSpline(tbl_zero_rates[tau],tbl_zero_rates[nacc],J12,1)</f>
        <v>1.1434169706240694E-2</v>
      </c>
      <c r="M12" s="3">
        <f t="shared" si="2"/>
        <v>1.9389343046278214E-2</v>
      </c>
      <c r="O12" s="12">
        <v>0.36105337374747476</v>
      </c>
      <c r="P12" s="13" cm="1">
        <f t="array" ref="P12">cubicSpline(tbl_zero_rates[tau],tbl_zero_rates[nacc],O12,0)</f>
        <v>1.526122659267105E-2</v>
      </c>
      <c r="Q12" s="3" cm="1">
        <f t="array" ref="Q12">cubicSpline(tbl_zero_rates[tau],tbl_zero_rates[nacc],O12,1)</f>
        <v>1.1434172614387986E-2</v>
      </c>
      <c r="R12" s="3">
        <f t="shared" si="3"/>
        <v>1.9389573191106818E-2</v>
      </c>
      <c r="T12" s="12">
        <v>0.36103337374747474</v>
      </c>
      <c r="U12" s="13" cm="1">
        <f t="array" ref="U12">cubicSpline(tbl_zero_rates[tau],tbl_zero_rates[nacc],T12,0)</f>
        <v>1.5260997086247421E-2</v>
      </c>
      <c r="V12" s="3" cm="1">
        <f t="array" ref="V12">cubicSpline(tbl_zero_rates[tau],tbl_zero_rates[nacc],T12,1)</f>
        <v>1.1434166798093399E-2</v>
      </c>
      <c r="W12" s="3">
        <f t="shared" si="4"/>
        <v>1.9389112901354442E-2</v>
      </c>
      <c r="Y12" s="3">
        <f t="shared" si="0"/>
        <v>2.301448761878044E-2</v>
      </c>
      <c r="Z12" s="3">
        <f t="shared" si="1"/>
        <v>2.6828067345579132E-2</v>
      </c>
      <c r="AA12" s="3"/>
      <c r="AB12" s="3">
        <v>2.6039361950900501E-2</v>
      </c>
      <c r="AC12" s="3">
        <f t="shared" si="5"/>
        <v>-2.9398517027675375E-2</v>
      </c>
      <c r="AE12" s="8">
        <v>0</v>
      </c>
      <c r="AF12" s="12">
        <v>0.36104337374747475</v>
      </c>
      <c r="AG12" s="15">
        <v>0.34893827476318101</v>
      </c>
      <c r="AH12" s="15">
        <v>3.4971007586311778E-3</v>
      </c>
      <c r="AI12" s="15"/>
      <c r="AJ12" s="15"/>
    </row>
    <row r="13" spans="2:38" x14ac:dyDescent="0.2">
      <c r="B13" s="9">
        <v>6</v>
      </c>
      <c r="C13" s="4">
        <v>0.79045246899999999</v>
      </c>
      <c r="D13" s="5">
        <v>1.9955561E-2</v>
      </c>
      <c r="E13" s="6">
        <f>EXP(-tbl_zero_rates[[#This Row],[nacc]]*tbl_zero_rates[[#This Row],[tau]])</f>
        <v>0.98434983428795031</v>
      </c>
      <c r="G13" t="s">
        <v>17</v>
      </c>
      <c r="H13" s="23">
        <v>100</v>
      </c>
      <c r="J13" s="12">
        <v>0.4324583976969697</v>
      </c>
      <c r="K13" s="13" cm="1">
        <f t="array" ref="K13">cubicSpline(tbl_zero_rates[tau],tbl_zero_rates[nacc],J13,0)</f>
        <v>1.6075515274637589E-2</v>
      </c>
      <c r="L13" s="3" cm="1">
        <f t="array" ref="L13">cubicSpline(tbl_zero_rates[tau],tbl_zero_rates[nacc],J13,1)</f>
        <v>1.1454938247103148E-2</v>
      </c>
      <c r="M13" s="3">
        <f t="shared" si="2"/>
        <v>2.102929951469755E-2</v>
      </c>
      <c r="O13" s="12">
        <v>0.43246839769696971</v>
      </c>
      <c r="P13" s="13" cm="1">
        <f t="array" ref="P13">cubicSpline(tbl_zero_rates[tau],tbl_zero_rates[nacc],O13,0)</f>
        <v>1.6075628429909668E-2</v>
      </c>
      <c r="Q13" s="3" cm="1">
        <f t="array" ref="Q13">cubicSpline(tbl_zero_rates[tau],tbl_zero_rates[nacc],O13,1)</f>
        <v>1.1454941155250442E-2</v>
      </c>
      <c r="R13" s="3">
        <f t="shared" si="3"/>
        <v>2.1029528477033904E-2</v>
      </c>
      <c r="T13" s="12">
        <v>0.43244839769696969</v>
      </c>
      <c r="U13" s="13" cm="1">
        <f t="array" ref="U13">cubicSpline(tbl_zero_rates[tau],tbl_zero_rates[nacc],T13,0)</f>
        <v>1.6075402119071373E-2</v>
      </c>
      <c r="V13" s="3" cm="1">
        <f t="array" ref="V13">cubicSpline(tbl_zero_rates[tau],tbl_zero_rates[nacc],T13,1)</f>
        <v>1.1454935338955854E-2</v>
      </c>
      <c r="W13" s="3">
        <f t="shared" si="4"/>
        <v>2.1029070552125228E-2</v>
      </c>
      <c r="Y13" s="3">
        <f t="shared" si="0"/>
        <v>2.2896245433813574E-2</v>
      </c>
      <c r="Z13" s="3">
        <f t="shared" si="1"/>
        <v>2.704501289581519E-2</v>
      </c>
      <c r="AA13" s="3"/>
      <c r="AB13" s="3">
        <v>2.5545744971151099E-2</v>
      </c>
      <c r="AC13" s="3">
        <f t="shared" si="5"/>
        <v>-5.5436021807040103E-2</v>
      </c>
      <c r="AE13" s="8">
        <v>0</v>
      </c>
      <c r="AF13" s="12">
        <v>0.4324583976969697</v>
      </c>
      <c r="AG13" s="15">
        <v>0.4151682573635167</v>
      </c>
      <c r="AH13" s="15">
        <v>5.0579654986800419E-3</v>
      </c>
      <c r="AI13" s="15"/>
      <c r="AJ13" s="15"/>
    </row>
    <row r="14" spans="2:38" x14ac:dyDescent="0.2">
      <c r="B14" s="9">
        <v>7</v>
      </c>
      <c r="C14" s="4">
        <v>0.878953922</v>
      </c>
      <c r="D14" s="5">
        <v>2.0864262000000001E-2</v>
      </c>
      <c r="E14" s="6">
        <f>EXP(-tbl_zero_rates[[#This Row],[nacc]]*tbl_zero_rates[[#This Row],[tau]])</f>
        <v>0.98182840628410462</v>
      </c>
      <c r="J14" s="12">
        <v>0.50387342164646465</v>
      </c>
      <c r="K14" s="13" cm="1">
        <f t="array" ref="K14">cubicSpline(tbl_zero_rates[tau],tbl_zero_rates[nacc],J14,0)</f>
        <v>1.6876216807820425E-2</v>
      </c>
      <c r="L14" s="3" cm="1">
        <f t="array" ref="L14">cubicSpline(tbl_zero_rates[tau],tbl_zero_rates[nacc],J14,1)</f>
        <v>1.1216339862336611E-2</v>
      </c>
      <c r="M14" s="3">
        <f t="shared" si="2"/>
        <v>2.2527832352605609E-2</v>
      </c>
      <c r="O14" s="12">
        <v>0.5038834216464646</v>
      </c>
      <c r="P14" s="13" cm="1">
        <f t="array" ref="P14">cubicSpline(tbl_zero_rates[tau],tbl_zero_rates[nacc],O14,0)</f>
        <v>1.6876327937852341E-2</v>
      </c>
      <c r="Q14" s="3" cm="1">
        <f t="array" ref="Q14">cubicSpline(tbl_zero_rates[tau],tbl_zero_rates[nacc],O14,1)</f>
        <v>1.1216339019499684E-2</v>
      </c>
      <c r="R14" s="3">
        <f t="shared" si="3"/>
        <v>2.2528055221344594E-2</v>
      </c>
      <c r="T14" s="12">
        <v>0.50386342164646469</v>
      </c>
      <c r="U14" s="13" cm="1">
        <f t="array" ref="U14">cubicSpline(tbl_zero_rates[tau],tbl_zero_rates[nacc],T14,0)</f>
        <v>1.6876105677525038E-2</v>
      </c>
      <c r="V14" s="3" cm="1">
        <f t="array" ref="V14">cubicSpline(tbl_zero_rates[tau],tbl_zero_rates[nacc],T14,1)</f>
        <v>1.1216340705173538E-2</v>
      </c>
      <c r="W14" s="3">
        <f t="shared" si="4"/>
        <v>2.2527609483586297E-2</v>
      </c>
      <c r="Y14" s="3">
        <f t="shared" si="0"/>
        <v>2.2286887914856054E-2</v>
      </c>
      <c r="Z14" s="3">
        <f t="shared" si="1"/>
        <v>2.6743340891345752E-2</v>
      </c>
      <c r="AA14" s="3"/>
      <c r="AB14" s="3">
        <v>2.5351347769063899E-2</v>
      </c>
      <c r="AC14" s="3">
        <f t="shared" si="5"/>
        <v>-5.2050083343637366E-2</v>
      </c>
      <c r="AE14" s="8">
        <v>0</v>
      </c>
      <c r="AF14" s="12">
        <v>0.50387342164646465</v>
      </c>
      <c r="AG14" s="15">
        <v>0.4805056444075993</v>
      </c>
      <c r="AH14" s="15">
        <v>6.7898246992574938E-3</v>
      </c>
      <c r="AI14" s="15"/>
      <c r="AJ14" s="15"/>
    </row>
    <row r="15" spans="2:38" x14ac:dyDescent="0.2">
      <c r="B15" s="9">
        <v>8</v>
      </c>
      <c r="C15" s="4">
        <v>0.96745537500000001</v>
      </c>
      <c r="D15" s="5">
        <v>2.1753418E-2</v>
      </c>
      <c r="E15" s="6">
        <f>EXP(-tbl_zero_rates[[#This Row],[nacc]]*tbl_zero_rates[[#This Row],[tau]])</f>
        <v>0.97917444914276508</v>
      </c>
      <c r="J15" s="12">
        <v>0.5752884455959596</v>
      </c>
      <c r="K15" s="13" cm="1">
        <f t="array" ref="K15">cubicSpline(tbl_zero_rates[tau],tbl_zero_rates[nacc],J15,0)</f>
        <v>1.7663336387687373E-2</v>
      </c>
      <c r="L15" s="3" cm="1">
        <f t="array" ref="L15">cubicSpline(tbl_zero_rates[tau],tbl_zero_rates[nacc],J15,1)</f>
        <v>1.0983965077409175E-2</v>
      </c>
      <c r="M15" s="3">
        <f t="shared" si="2"/>
        <v>2.3982284583550402E-2</v>
      </c>
      <c r="O15" s="12">
        <v>0.57529844559595955</v>
      </c>
      <c r="P15" s="13" cm="1">
        <f t="array" ref="P15">cubicSpline(tbl_zero_rates[tau],tbl_zero_rates[nacc],O15,0)</f>
        <v>1.7663445695449535E-2</v>
      </c>
      <c r="Q15" s="3" cm="1">
        <f t="array" ref="Q15">cubicSpline(tbl_zero_rates[tau],tbl_zero_rates[nacc],O15,1)</f>
        <v>1.0983965240577947E-2</v>
      </c>
      <c r="R15" s="3">
        <f t="shared" si="3"/>
        <v>2.3982503824834078E-2</v>
      </c>
      <c r="T15" s="12">
        <v>0.57527844559595964</v>
      </c>
      <c r="U15" s="13" cm="1">
        <f t="array" ref="U15">cubicSpline(tbl_zero_rates[tau],tbl_zero_rates[nacc],T15,0)</f>
        <v>1.7663227079668217E-2</v>
      </c>
      <c r="V15" s="3" cm="1">
        <f t="array" ref="V15">cubicSpline(tbl_zero_rates[tau],tbl_zero_rates[nacc],T15,1)</f>
        <v>1.0983964914240403E-2</v>
      </c>
      <c r="W15" s="3">
        <f t="shared" si="4"/>
        <v>2.3982065342012995E-2</v>
      </c>
      <c r="Y15" s="3">
        <f t="shared" si="0"/>
        <v>2.1924141054181775E-2</v>
      </c>
      <c r="Z15" s="3">
        <f t="shared" si="1"/>
        <v>2.6679289412118012E-2</v>
      </c>
      <c r="AA15" s="3"/>
      <c r="AB15" s="3">
        <v>2.5124248202578799E-2</v>
      </c>
      <c r="AC15" s="3">
        <f t="shared" si="5"/>
        <v>-5.8286455291905015E-2</v>
      </c>
      <c r="AE15" s="8">
        <v>0</v>
      </c>
      <c r="AF15" s="12">
        <v>0.5752884455959596</v>
      </c>
      <c r="AG15" s="15">
        <v>0.5449624655955092</v>
      </c>
      <c r="AH15" s="15">
        <v>8.8296921336857865E-3</v>
      </c>
      <c r="AI15" s="15"/>
      <c r="AJ15" s="15"/>
    </row>
    <row r="16" spans="2:38" x14ac:dyDescent="0.2">
      <c r="B16" s="9">
        <v>9</v>
      </c>
      <c r="C16" s="4">
        <v>1.055956828</v>
      </c>
      <c r="D16" s="5">
        <v>2.2623263000000001E-2</v>
      </c>
      <c r="E16" s="6">
        <f>EXP(-tbl_zero_rates[[#This Row],[nacc]]*tbl_zero_rates[[#This Row],[tau]])</f>
        <v>0.97639389891223038</v>
      </c>
      <c r="J16" s="12">
        <v>0.64670346954545455</v>
      </c>
      <c r="K16" s="13" cm="1">
        <f t="array" ref="K16">cubicSpline(tbl_zero_rates[tau],tbl_zero_rates[nacc],J16,0)</f>
        <v>1.8437349509391753E-2</v>
      </c>
      <c r="L16" s="3" cm="1">
        <f t="array" ref="L16">cubicSpline(tbl_zero_rates[tau],tbl_zero_rates[nacc],J16,1)</f>
        <v>1.0755443674734156E-2</v>
      </c>
      <c r="M16" s="3">
        <f t="shared" si="2"/>
        <v>2.5392932250343045E-2</v>
      </c>
      <c r="O16" s="12">
        <v>0.6467134695454545</v>
      </c>
      <c r="P16" s="13" cm="1">
        <f t="array" ref="P16">cubicSpline(tbl_zero_rates[tau],tbl_zero_rates[nacc],O16,0)</f>
        <v>1.8437456963747052E-2</v>
      </c>
      <c r="Q16" s="3" cm="1">
        <f t="array" ref="Q16">cubicSpline(tbl_zero_rates[tau],tbl_zero_rates[nacc],O16,1)</f>
        <v>1.0755443567417812E-2</v>
      </c>
      <c r="R16" s="3">
        <f t="shared" si="3"/>
        <v>2.5393147189732165E-2</v>
      </c>
      <c r="T16" s="12">
        <v>0.64669346954545459</v>
      </c>
      <c r="U16" s="13" cm="1">
        <f t="array" ref="U16">cubicSpline(tbl_zero_rates[tau],tbl_zero_rates[nacc],T16,0)</f>
        <v>1.8437242054777654E-2</v>
      </c>
      <c r="V16" s="3" cm="1">
        <f t="array" ref="V16">cubicSpline(tbl_zero_rates[tau],tbl_zero_rates[nacc],T16,1)</f>
        <v>1.0755443782050497E-2</v>
      </c>
      <c r="W16" s="3">
        <f t="shared" si="4"/>
        <v>2.5392717310692977E-2</v>
      </c>
      <c r="Y16" s="3">
        <f t="shared" si="0"/>
        <v>2.1493951959418441E-2</v>
      </c>
      <c r="Z16" s="3">
        <f t="shared" si="1"/>
        <v>2.6538874474279408E-2</v>
      </c>
      <c r="AA16" s="3"/>
      <c r="AB16" s="3">
        <v>2.4865348693506699E-2</v>
      </c>
      <c r="AC16" s="3">
        <f t="shared" si="5"/>
        <v>-6.3059410541115191E-2</v>
      </c>
      <c r="AE16" s="8">
        <v>0</v>
      </c>
      <c r="AF16" s="12">
        <v>0.64670346954545455</v>
      </c>
      <c r="AG16" s="15">
        <v>0.60855058850050225</v>
      </c>
      <c r="AH16" s="15">
        <v>1.109923079601789E-2</v>
      </c>
      <c r="AI16" s="15"/>
      <c r="AJ16" s="15"/>
    </row>
    <row r="17" spans="2:36" x14ac:dyDescent="0.2">
      <c r="B17" s="9">
        <v>10</v>
      </c>
      <c r="C17" s="4">
        <v>1.1444582809999999</v>
      </c>
      <c r="D17" s="5">
        <v>2.347403E-2</v>
      </c>
      <c r="E17" s="6">
        <f>EXP(-tbl_zero_rates[[#This Row],[nacc]]*tbl_zero_rates[[#This Row],[tau]])</f>
        <v>0.97349260741308896</v>
      </c>
      <c r="J17" s="12">
        <v>0.71811849349494949</v>
      </c>
      <c r="K17" s="13" cm="1">
        <f t="array" ref="K17">cubicSpline(tbl_zero_rates[tau],tbl_zero_rates[nacc],J17,0)</f>
        <v>1.9198180303559159E-2</v>
      </c>
      <c r="L17" s="3" cm="1">
        <f t="array" ref="L17">cubicSpline(tbl_zero_rates[tau],tbl_zero_rates[nacc],J17,1)</f>
        <v>1.0528664129982403E-2</v>
      </c>
      <c r="M17" s="3">
        <f t="shared" si="2"/>
        <v>2.6759008727096436E-2</v>
      </c>
      <c r="O17" s="12">
        <v>0.71812849349494945</v>
      </c>
      <c r="P17" s="13" cm="1">
        <f t="array" ref="P17">cubicSpline(tbl_zero_rates[tau],tbl_zero_rates[nacc],O17,0)</f>
        <v>1.9198285927614456E-2</v>
      </c>
      <c r="Q17" s="3" cm="1">
        <f t="array" ref="Q17">cubicSpline(tbl_zero_rates[tau],tbl_zero_rates[nacc],O17,1)</f>
        <v>1.0528664096034108E-2</v>
      </c>
      <c r="R17" s="3">
        <f t="shared" si="3"/>
        <v>2.6759219613413793E-2</v>
      </c>
      <c r="T17" s="12">
        <v>0.71810849349494954</v>
      </c>
      <c r="U17" s="13" cm="1">
        <f t="array" ref="U17">cubicSpline(tbl_zero_rates[tau],tbl_zero_rates[nacc],T17,0)</f>
        <v>1.9198074679249454E-2</v>
      </c>
      <c r="V17" s="3" cm="1">
        <f t="array" ref="V17">cubicSpline(tbl_zero_rates[tau],tbl_zero_rates[nacc],T17,1)</f>
        <v>1.0528664163930701E-2</v>
      </c>
      <c r="W17" s="3">
        <f t="shared" si="4"/>
        <v>2.6758797840523992E-2</v>
      </c>
      <c r="Y17" s="3">
        <f t="shared" si="0"/>
        <v>2.1088644490060982E-2</v>
      </c>
      <c r="Z17" s="3">
        <f t="shared" si="1"/>
        <v>2.6414290298101509E-2</v>
      </c>
      <c r="AA17" s="3"/>
      <c r="AB17" s="3">
        <v>2.4626161247432301E-2</v>
      </c>
      <c r="AC17" s="3">
        <f t="shared" si="5"/>
        <v>-6.76955174827365E-2</v>
      </c>
      <c r="AE17" s="8">
        <v>0</v>
      </c>
      <c r="AF17" s="12">
        <v>0.71811849349494949</v>
      </c>
      <c r="AG17" s="15">
        <v>0.67128172075402559</v>
      </c>
      <c r="AH17" s="15">
        <v>1.3621695529894139E-2</v>
      </c>
      <c r="AI17" s="15"/>
      <c r="AJ17" s="15"/>
    </row>
    <row r="18" spans="2:36" x14ac:dyDescent="0.2">
      <c r="B18" s="9">
        <v>11</v>
      </c>
      <c r="C18" s="4">
        <v>1.232959734</v>
      </c>
      <c r="D18" s="5">
        <v>2.4305955000000001E-2</v>
      </c>
      <c r="E18" s="6">
        <f>EXP(-tbl_zero_rates[[#This Row],[nacc]]*tbl_zero_rates[[#This Row],[tau]])</f>
        <v>0.97047633227968599</v>
      </c>
      <c r="J18" s="12">
        <v>0.78953351744444444</v>
      </c>
      <c r="K18" s="13" cm="1">
        <f t="array" ref="K18">cubicSpline(tbl_zero_rates[tau],tbl_zero_rates[nacc],J18,0)</f>
        <v>1.9946022136189061E-2</v>
      </c>
      <c r="L18" s="3" cm="1">
        <f t="array" ref="L18">cubicSpline(tbl_zero_rates[tau],tbl_zero_rates[nacc],J18,1)</f>
        <v>1.0528421688145384E-2</v>
      </c>
      <c r="M18" s="3">
        <f t="shared" si="2"/>
        <v>2.8258563944768861E-2</v>
      </c>
      <c r="O18" s="12">
        <v>0.7895435174444444</v>
      </c>
      <c r="P18" s="13" cm="1">
        <f t="array" ref="P18">cubicSpline(tbl_zero_rates[tau],tbl_zero_rates[nacc],O18,0)</f>
        <v>1.994612594927218E-2</v>
      </c>
      <c r="Q18" s="3" cm="1">
        <f t="array" ref="Q18">cubicSpline(tbl_zero_rates[tau],tbl_zero_rates[nacc],O18,1)</f>
        <v>1.0528421654197088E-2</v>
      </c>
      <c r="R18" s="3">
        <f t="shared" si="3"/>
        <v>2.8258773015265207E-2</v>
      </c>
      <c r="T18" s="12">
        <v>0.78952351744444449</v>
      </c>
      <c r="U18" s="13" cm="1">
        <f t="array" ref="U18">cubicSpline(tbl_zero_rates[tau],tbl_zero_rates[nacc],T18,0)</f>
        <v>1.9945918322853185E-2</v>
      </c>
      <c r="V18" s="3" cm="1">
        <f t="array" ref="V18">cubicSpline(tbl_zero_rates[tau],tbl_zero_rates[nacc],T18,1)</f>
        <v>1.052842172209368E-2</v>
      </c>
      <c r="W18" s="3">
        <f t="shared" si="4"/>
        <v>2.8258354874019082E-2</v>
      </c>
      <c r="Y18" s="3">
        <f t="shared" si="0"/>
        <v>2.0907062306223245E-2</v>
      </c>
      <c r="Z18" s="3">
        <f t="shared" si="1"/>
        <v>2.6538225621383495E-2</v>
      </c>
      <c r="AA18" s="3"/>
      <c r="AB18" s="3">
        <v>2.4376839222254899E-2</v>
      </c>
      <c r="AC18" s="3">
        <f t="shared" si="5"/>
        <v>-8.1444269483753051E-2</v>
      </c>
      <c r="AE18" s="8">
        <v>0</v>
      </c>
      <c r="AF18" s="12">
        <v>0.78953351744444444</v>
      </c>
      <c r="AG18" s="15">
        <v>0.733167412201289</v>
      </c>
      <c r="AH18" s="15">
        <v>1.6542952586675611E-2</v>
      </c>
      <c r="AI18" s="15"/>
      <c r="AJ18" s="15"/>
    </row>
    <row r="19" spans="2:36" x14ac:dyDescent="0.2">
      <c r="B19" s="9">
        <v>12</v>
      </c>
      <c r="C19" s="4">
        <v>1.3214611869999999</v>
      </c>
      <c r="D19" s="5">
        <v>2.5119269999999999E-2</v>
      </c>
      <c r="E19" s="6">
        <f>EXP(-tbl_zero_rates[[#This Row],[nacc]]*tbl_zero_rates[[#This Row],[tau]])</f>
        <v>0.96735073954600093</v>
      </c>
      <c r="J19" s="12">
        <v>0.86094854139393939</v>
      </c>
      <c r="K19" s="13" cm="1">
        <f t="array" ref="K19">cubicSpline(tbl_zero_rates[tau],tbl_zero_rates[nacc],J19,0)</f>
        <v>2.0680980887666081E-2</v>
      </c>
      <c r="L19" s="3" cm="1">
        <f t="array" ref="L19">cubicSpline(tbl_zero_rates[tau],tbl_zero_rates[nacc],J19,1)</f>
        <v>1.0304536206085112E-2</v>
      </c>
      <c r="M19" s="3">
        <f t="shared" si="2"/>
        <v>2.9552656304036098E-2</v>
      </c>
      <c r="O19" s="12">
        <v>0.86095854139393935</v>
      </c>
      <c r="P19" s="13" cm="1">
        <f t="array" ref="P19">cubicSpline(tbl_zero_rates[tau],tbl_zero_rates[nacc],O19,0)</f>
        <v>2.0681082904951142E-2</v>
      </c>
      <c r="Q19" s="3" cm="1">
        <f t="array" ref="Q19">cubicSpline(tbl_zero_rates[tau],tbl_zero_rates[nacc],O19,1)</f>
        <v>1.0304536151743244E-2</v>
      </c>
      <c r="R19" s="3">
        <f t="shared" si="3"/>
        <v>2.9552861319897122E-2</v>
      </c>
      <c r="T19" s="12">
        <v>0.86093854139393944</v>
      </c>
      <c r="U19" s="13" cm="1">
        <f t="array" ref="U19">cubicSpline(tbl_zero_rates[tau],tbl_zero_rates[nacc],T19,0)</f>
        <v>2.0680878870130887E-2</v>
      </c>
      <c r="V19" s="3" cm="1">
        <f t="array" ref="V19">cubicSpline(tbl_zero_rates[tau],tbl_zero_rates[nacc],T19,1)</f>
        <v>1.0304536260426978E-2</v>
      </c>
      <c r="W19" s="3">
        <f t="shared" si="4"/>
        <v>2.9552451287923848E-2</v>
      </c>
      <c r="Y19" s="3">
        <f t="shared" si="0"/>
        <v>2.0501598663701104E-2</v>
      </c>
      <c r="Z19" s="3">
        <f t="shared" si="1"/>
        <v>2.6398689969443591E-2</v>
      </c>
      <c r="AA19" s="3"/>
      <c r="AB19" s="3">
        <v>2.4130151261368301E-2</v>
      </c>
      <c r="AC19" s="3">
        <f t="shared" si="5"/>
        <v>-8.5933760754837385E-2</v>
      </c>
      <c r="AE19" s="8">
        <v>0</v>
      </c>
      <c r="AF19" s="12">
        <v>0.86094854139393939</v>
      </c>
      <c r="AG19" s="15">
        <v>0.79421905702778195</v>
      </c>
      <c r="AH19" s="15">
        <v>1.9567564083426969E-2</v>
      </c>
      <c r="AI19" s="15"/>
      <c r="AJ19" s="15"/>
    </row>
    <row r="20" spans="2:36" x14ac:dyDescent="0.2">
      <c r="B20" s="9">
        <v>13</v>
      </c>
      <c r="C20" s="4">
        <v>1.40996264</v>
      </c>
      <c r="D20" s="5">
        <v>2.591421E-2</v>
      </c>
      <c r="E20" s="6">
        <f>EXP(-tbl_zero_rates[[#This Row],[nacc]]*tbl_zero_rates[[#This Row],[tau]])</f>
        <v>0.96412139107752881</v>
      </c>
      <c r="J20" s="12">
        <v>0.93236356534343434</v>
      </c>
      <c r="K20" s="13" cm="1">
        <f t="array" ref="K20">cubicSpline(tbl_zero_rates[tau],tbl_zero_rates[nacc],J20,0)</f>
        <v>2.1403181055845228E-2</v>
      </c>
      <c r="L20" s="3" cm="1">
        <f t="array" ref="L20">cubicSpline(tbl_zero_rates[tau],tbl_zero_rates[nacc],J20,1)</f>
        <v>1.0083334267625938E-2</v>
      </c>
      <c r="M20" s="3">
        <f t="shared" si="2"/>
        <v>3.0804514544158577E-2</v>
      </c>
      <c r="O20" s="12">
        <v>0.9323735653434343</v>
      </c>
      <c r="P20" s="13" cm="1">
        <f t="array" ref="P20">cubicSpline(tbl_zero_rates[tau],tbl_zero_rates[nacc],O20,0)</f>
        <v>2.1403281295578312E-2</v>
      </c>
      <c r="Q20" s="3" cm="1">
        <f t="array" ref="Q20">cubicSpline(tbl_zero_rates[tau],tbl_zero_rates[nacc],O20,1)</f>
        <v>1.0083334218896524E-2</v>
      </c>
      <c r="R20" s="3">
        <f t="shared" si="3"/>
        <v>3.0804715571800319E-2</v>
      </c>
      <c r="T20" s="12">
        <v>0.93235356534343439</v>
      </c>
      <c r="U20" s="13" cm="1">
        <f t="array" ref="U20">cubicSpline(tbl_zero_rates[tau],tbl_zero_rates[nacc],T20,0)</f>
        <v>2.1403080815864423E-2</v>
      </c>
      <c r="V20" s="3" cm="1">
        <f t="array" ref="V20">cubicSpline(tbl_zero_rates[tau],tbl_zero_rates[nacc],T20,1)</f>
        <v>1.0083334316355353E-2</v>
      </c>
      <c r="W20" s="3">
        <f t="shared" si="4"/>
        <v>3.0804313516268139E-2</v>
      </c>
      <c r="Y20" s="3">
        <f t="shared" si="0"/>
        <v>2.0102776608979522E-2</v>
      </c>
      <c r="Z20" s="3">
        <f t="shared" si="1"/>
        <v>2.6257234616386106E-2</v>
      </c>
      <c r="AA20" s="3"/>
      <c r="AB20" s="3">
        <v>2.38821820839718E-2</v>
      </c>
      <c r="AC20" s="3">
        <f t="shared" si="5"/>
        <v>-9.0453262390858491E-2</v>
      </c>
      <c r="AE20" s="8">
        <v>0</v>
      </c>
      <c r="AF20" s="12">
        <v>0.93236356534343434</v>
      </c>
      <c r="AG20" s="15">
        <v>0.85444789585713432</v>
      </c>
      <c r="AH20" s="15">
        <v>2.282546178714974E-2</v>
      </c>
      <c r="AI20" s="15"/>
      <c r="AJ20" s="15"/>
    </row>
    <row r="21" spans="2:36" x14ac:dyDescent="0.2">
      <c r="B21" s="9">
        <v>14</v>
      </c>
      <c r="C21" s="4">
        <v>1.4984640929999999</v>
      </c>
      <c r="D21" s="5">
        <v>2.6691009000000002E-2</v>
      </c>
      <c r="E21" s="6">
        <f>EXP(-tbl_zero_rates[[#This Row],[nacc]]*tbl_zero_rates[[#This Row],[tau]])</f>
        <v>0.96079374485102731</v>
      </c>
      <c r="J21" s="12">
        <v>1.0037785892929292</v>
      </c>
      <c r="K21" s="13" cm="1">
        <f t="array" ref="K21">cubicSpline(tbl_zero_rates[tau],tbl_zero_rates[nacc],J21,0)</f>
        <v>2.2112747431819426E-2</v>
      </c>
      <c r="L21" s="3" cm="1">
        <f t="array" ref="L21">cubicSpline(tbl_zero_rates[tau],tbl_zero_rates[nacc],J21,1)</f>
        <v>9.864783676723294E-3</v>
      </c>
      <c r="M21" s="3">
        <f t="shared" si="2"/>
        <v>3.2014806074520646E-2</v>
      </c>
      <c r="O21" s="12">
        <v>1.0037885892929292</v>
      </c>
      <c r="P21" s="13" cm="1">
        <f t="array" ref="P21">cubicSpline(tbl_zero_rates[tau],tbl_zero_rates[nacc],O21,0)</f>
        <v>2.2112845910945336E-2</v>
      </c>
      <c r="Q21" s="3" cm="1">
        <f t="array" ref="Q21">cubicSpline(tbl_zero_rates[tau],tbl_zero_rates[nacc],O21,1)</f>
        <v>9.8647836272279053E-3</v>
      </c>
      <c r="R21" s="3">
        <f t="shared" si="3"/>
        <v>3.201500315180042E-2</v>
      </c>
      <c r="T21" s="12">
        <v>1.0037685892929291</v>
      </c>
      <c r="U21" s="13" cm="1">
        <f t="array" ref="U21">cubicSpline(tbl_zero_rates[tau],tbl_zero_rates[nacc],T21,0)</f>
        <v>2.2112648952448171E-2</v>
      </c>
      <c r="V21" s="3" cm="1">
        <f t="array" ref="V21">cubicSpline(tbl_zero_rates[tau],tbl_zero_rates[nacc],T21,1)</f>
        <v>9.8647837262186826E-3</v>
      </c>
      <c r="W21" s="3">
        <f t="shared" si="4"/>
        <v>3.2014608996994542E-2</v>
      </c>
      <c r="Y21" s="3">
        <f t="shared" si="0"/>
        <v>1.9707740293861686E-2</v>
      </c>
      <c r="Z21" s="3">
        <f t="shared" si="1"/>
        <v>2.6111144893599038E-2</v>
      </c>
      <c r="AA21" s="3"/>
      <c r="AB21" s="3">
        <v>2.3633476830376199E-2</v>
      </c>
      <c r="AC21" s="3">
        <f t="shared" si="5"/>
        <v>-9.488929241973687E-2</v>
      </c>
      <c r="AE21" s="8">
        <v>0</v>
      </c>
      <c r="AF21" s="12">
        <v>1.0037785892929292</v>
      </c>
      <c r="AG21" s="15">
        <v>0.91386501782070129</v>
      </c>
      <c r="AH21" s="15">
        <v>2.6308844286701914E-2</v>
      </c>
      <c r="AI21" s="15"/>
      <c r="AJ21" s="15"/>
    </row>
    <row r="22" spans="2:36" x14ac:dyDescent="0.2">
      <c r="B22" s="9">
        <v>15</v>
      </c>
      <c r="C22" s="4">
        <v>1.586965545</v>
      </c>
      <c r="D22" s="5">
        <v>2.7449902000000002E-2</v>
      </c>
      <c r="E22" s="6">
        <f>EXP(-tbl_zero_rates[[#This Row],[nacc]]*tbl_zero_rates[[#This Row],[tau]])</f>
        <v>0.95737314850053312</v>
      </c>
      <c r="J22" s="12">
        <v>1.0751936132424242</v>
      </c>
      <c r="K22" s="13" cm="1">
        <f t="array" ref="K22">cubicSpline(tbl_zero_rates[tau],tbl_zero_rates[nacc],J22,0)</f>
        <v>2.2809801347132501E-2</v>
      </c>
      <c r="L22" s="3" cm="1">
        <f t="array" ref="L22">cubicSpline(tbl_zero_rates[tau],tbl_zero_rates[nacc],J22,1)</f>
        <v>9.6488606764331877E-3</v>
      </c>
      <c r="M22" s="3">
        <f t="shared" si="2"/>
        <v>3.3184194721499444E-2</v>
      </c>
      <c r="O22" s="12">
        <v>1.0752036132424243</v>
      </c>
      <c r="P22" s="13" cm="1">
        <f t="array" ref="P22">cubicSpline(tbl_zero_rates[tau],tbl_zero_rates[nacc],O22,0)</f>
        <v>2.2809898082748969E-2</v>
      </c>
      <c r="Q22" s="3" cm="1">
        <f t="array" ref="Q22">cubicSpline(tbl_zero_rates[tau],tbl_zero_rates[nacc],O22,1)</f>
        <v>9.6488606256659743E-3</v>
      </c>
      <c r="R22" s="3">
        <f t="shared" si="3"/>
        <v>3.3184387891137583E-2</v>
      </c>
      <c r="T22" s="12">
        <v>1.0751836132424242</v>
      </c>
      <c r="U22" s="13" cm="1">
        <f t="array" ref="U22">cubicSpline(tbl_zero_rates[tau],tbl_zero_rates[nacc],T22,0)</f>
        <v>2.2809704611273105E-2</v>
      </c>
      <c r="V22" s="3" cm="1">
        <f t="array" ref="V22">cubicSpline(tbl_zero_rates[tau],tbl_zero_rates[nacc],T22,1)</f>
        <v>9.648860727200401E-3</v>
      </c>
      <c r="W22" s="3">
        <f t="shared" si="4"/>
        <v>3.3184001551617354E-2</v>
      </c>
      <c r="Y22" s="3">
        <f t="shared" si="0"/>
        <v>1.9316976011471421E-2</v>
      </c>
      <c r="Z22" s="3">
        <f t="shared" si="1"/>
        <v>2.5961047208246442E-2</v>
      </c>
      <c r="AA22" s="3"/>
      <c r="AB22" s="3">
        <v>2.33844681147754E-2</v>
      </c>
      <c r="AC22" s="3">
        <f t="shared" si="5"/>
        <v>-9.9247887529459899E-2</v>
      </c>
      <c r="AE22" s="8">
        <v>0</v>
      </c>
      <c r="AF22" s="12">
        <v>1.0751936132424242</v>
      </c>
      <c r="AG22" s="15">
        <v>0.97248136259925688</v>
      </c>
      <c r="AH22" s="15">
        <v>3.0012042918640323E-2</v>
      </c>
      <c r="AI22" s="15"/>
      <c r="AJ22" s="15"/>
    </row>
    <row r="23" spans="2:36" x14ac:dyDescent="0.2">
      <c r="B23" s="9">
        <v>16</v>
      </c>
      <c r="C23" s="4">
        <v>1.6754669980000001</v>
      </c>
      <c r="D23" s="5">
        <v>2.8191121E-2</v>
      </c>
      <c r="E23" s="6">
        <f>EXP(-tbl_zero_rates[[#This Row],[nacc]]*tbl_zero_rates[[#This Row],[tau]])</f>
        <v>0.95386484176248276</v>
      </c>
      <c r="J23" s="12">
        <v>1.1466086371919191</v>
      </c>
      <c r="K23" s="13" cm="1">
        <f t="array" ref="K23">cubicSpline(tbl_zero_rates[tau],tbl_zero_rates[nacc],J23,0)</f>
        <v>2.3494466021986869E-2</v>
      </c>
      <c r="L23" s="3" cm="1">
        <f t="array" ref="L23">cubicSpline(tbl_zero_rates[tau],tbl_zero_rates[nacc],J23,1)</f>
        <v>9.4355980979093923E-3</v>
      </c>
      <c r="M23" s="3">
        <f t="shared" si="2"/>
        <v>3.4313404298121422E-2</v>
      </c>
      <c r="O23" s="12">
        <v>1.1466186371919191</v>
      </c>
      <c r="P23" s="13" cm="1">
        <f t="array" ref="P23">cubicSpline(tbl_zero_rates[tau],tbl_zero_rates[nacc],O23,0)</f>
        <v>2.3494561031529717E-2</v>
      </c>
      <c r="Q23" s="3" cm="1">
        <f t="array" ref="Q23">cubicSpline(tbl_zero_rates[tau],tbl_zero_rates[nacc],O23,1)</f>
        <v>9.4355980491652586E-3</v>
      </c>
      <c r="R23" s="3">
        <f t="shared" si="3"/>
        <v>3.4313593607754315E-2</v>
      </c>
      <c r="T23" s="12">
        <v>1.146598637191919</v>
      </c>
      <c r="U23" s="13" cm="1">
        <f t="array" ref="U23">cubicSpline(tbl_zero_rates[tau],tbl_zero_rates[nacc],T23,0)</f>
        <v>2.3494371012203561E-2</v>
      </c>
      <c r="V23" s="3" cm="1">
        <f t="array" ref="V23">cubicSpline(tbl_zero_rates[tau],tbl_zero_rates[nacc],T23,1)</f>
        <v>9.4355981466535243E-3</v>
      </c>
      <c r="W23" s="3">
        <f t="shared" si="4"/>
        <v>3.431321498824709E-2</v>
      </c>
      <c r="Y23" s="3">
        <f t="shared" si="0"/>
        <v>1.8930975361278191E-2</v>
      </c>
      <c r="Z23" s="3">
        <f t="shared" si="1"/>
        <v>2.580758429682959E-2</v>
      </c>
      <c r="AA23" s="3"/>
      <c r="AB23" s="3">
        <v>2.31350548749557E-2</v>
      </c>
      <c r="AC23" s="3">
        <f t="shared" si="5"/>
        <v>-0.10355596987053939</v>
      </c>
      <c r="AE23" s="8">
        <v>0</v>
      </c>
      <c r="AF23" s="12">
        <v>1.1466086371919191</v>
      </c>
      <c r="AG23" s="15">
        <v>1.0303077224371726</v>
      </c>
      <c r="AH23" s="15">
        <v>3.3929524426835916E-2</v>
      </c>
      <c r="AI23" s="15"/>
      <c r="AJ23" s="15"/>
    </row>
    <row r="24" spans="2:36" x14ac:dyDescent="0.2">
      <c r="B24" s="9">
        <v>17</v>
      </c>
      <c r="C24" s="4">
        <v>1.763968451</v>
      </c>
      <c r="D24" s="5">
        <v>2.8914901999999999E-2</v>
      </c>
      <c r="E24" s="6">
        <f>EXP(-tbl_zero_rates[[#This Row],[nacc]]*tbl_zero_rates[[#This Row],[tau]])</f>
        <v>0.9502739430106617</v>
      </c>
      <c r="J24" s="12">
        <v>1.2180236611414141</v>
      </c>
      <c r="K24" s="13" cm="1">
        <f t="array" ref="K24">cubicSpline(tbl_zero_rates[tau],tbl_zero_rates[nacc],J24,0)</f>
        <v>2.4166865700468027E-2</v>
      </c>
      <c r="L24" s="3" cm="1">
        <f t="array" ref="L24">cubicSpline(tbl_zero_rates[tau],tbl_zero_rates[nacc],J24,1)</f>
        <v>9.4352499915654527E-3</v>
      </c>
      <c r="M24" s="3">
        <f t="shared" si="2"/>
        <v>3.5659223438979079E-2</v>
      </c>
      <c r="O24" s="12">
        <v>1.2180336611414142</v>
      </c>
      <c r="P24" s="13" cm="1">
        <f t="array" ref="P24">cubicSpline(tbl_zero_rates[tau],tbl_zero_rates[nacc],O24,0)</f>
        <v>2.4166959001120175E-2</v>
      </c>
      <c r="Q24" s="3" cm="1">
        <f t="array" ref="Q24">cubicSpline(tbl_zero_rates[tau],tbl_zero_rates[nacc],O24,1)</f>
        <v>9.4352499428213207E-3</v>
      </c>
      <c r="R24" s="3">
        <f t="shared" si="3"/>
        <v>3.5659411032759145E-2</v>
      </c>
      <c r="T24" s="12">
        <v>1.2180136611414141</v>
      </c>
      <c r="U24" s="13" cm="1">
        <f t="array" ref="U24">cubicSpline(tbl_zero_rates[tau],tbl_zero_rates[nacc],T24,0)</f>
        <v>2.4166772399577766E-2</v>
      </c>
      <c r="V24" s="3" cm="1">
        <f t="array" ref="V24">cubicSpline(tbl_zero_rates[tau],tbl_zero_rates[nacc],T24,1)</f>
        <v>9.4352500403095865E-3</v>
      </c>
      <c r="W24" s="3">
        <f t="shared" si="4"/>
        <v>3.565903584495992E-2</v>
      </c>
      <c r="Y24" s="3">
        <f t="shared" si="0"/>
        <v>1.8759389961223172E-2</v>
      </c>
      <c r="Z24" s="3">
        <f t="shared" si="1"/>
        <v>2.5909210865972893E-2</v>
      </c>
      <c r="AA24" s="3"/>
      <c r="AB24" s="3">
        <v>2.2885653964823501E-2</v>
      </c>
      <c r="AC24" s="3">
        <f t="shared" si="5"/>
        <v>-0.11669814711031168</v>
      </c>
      <c r="AE24" s="8">
        <v>0</v>
      </c>
      <c r="AF24" s="12">
        <v>1.2180236611414141</v>
      </c>
      <c r="AG24" s="15">
        <v>1.0873547441294464</v>
      </c>
      <c r="AH24" s="15">
        <v>3.8438429524336258E-2</v>
      </c>
      <c r="AI24" s="15"/>
      <c r="AJ24" s="15"/>
    </row>
    <row r="25" spans="2:36" x14ac:dyDescent="0.2">
      <c r="B25" s="9">
        <v>18</v>
      </c>
      <c r="C25" s="4">
        <v>1.8524699039999999</v>
      </c>
      <c r="D25" s="5">
        <v>2.9621478E-2</v>
      </c>
      <c r="E25" s="6">
        <f>EXP(-tbl_zero_rates[[#This Row],[nacc]]*tbl_zero_rates[[#This Row],[tau]])</f>
        <v>0.94660545716756184</v>
      </c>
      <c r="J25" s="12">
        <v>1.289438685090909</v>
      </c>
      <c r="K25" s="13" cm="1">
        <f t="array" ref="K25">cubicSpline(tbl_zero_rates[tau],tbl_zero_rates[nacc],J25,0)</f>
        <v>2.4827121853737786E-2</v>
      </c>
      <c r="L25" s="3" cm="1">
        <f t="array" ref="L25">cubicSpline(tbl_zero_rates[tau],tbl_zero_rates[nacc],J25,1)</f>
        <v>9.2246131736424403E-3</v>
      </c>
      <c r="M25" s="3">
        <f t="shared" si="2"/>
        <v>3.6721694934831572E-2</v>
      </c>
      <c r="O25" s="12">
        <v>1.289448685090909</v>
      </c>
      <c r="P25" s="13" cm="1">
        <f t="array" ref="P25">cubicSpline(tbl_zero_rates[tau],tbl_zero_rates[nacc],O25,0)</f>
        <v>2.4827213462538543E-2</v>
      </c>
      <c r="Q25" s="3" cm="1">
        <f t="array" ref="Q25">cubicSpline(tbl_zero_rates[tau],tbl_zero_rates[nacc],O25,1)</f>
        <v>9.2246131231847345E-3</v>
      </c>
      <c r="R25" s="3">
        <f t="shared" si="3"/>
        <v>3.6721878724701444E-2</v>
      </c>
      <c r="T25" s="12">
        <v>1.2894286850909089</v>
      </c>
      <c r="U25" s="13" cm="1">
        <f t="array" ref="U25">cubicSpline(tbl_zero_rates[tau],tbl_zero_rates[nacc],T25,0)</f>
        <v>2.4827030244701353E-2</v>
      </c>
      <c r="V25" s="3" cm="1">
        <f t="array" ref="V25">cubicSpline(tbl_zero_rates[tau],tbl_zero_rates[nacc],T25,1)</f>
        <v>9.2246132241001477E-3</v>
      </c>
      <c r="W25" s="3">
        <f t="shared" si="4"/>
        <v>3.6721511144725015E-2</v>
      </c>
      <c r="Y25" s="3">
        <f t="shared" si="0"/>
        <v>1.837899882145555E-2</v>
      </c>
      <c r="Z25" s="3">
        <f t="shared" si="1"/>
        <v>2.574772694949156E-2</v>
      </c>
      <c r="AA25" s="3"/>
      <c r="AB25" s="3">
        <v>2.26359921781219E-2</v>
      </c>
      <c r="AC25" s="3">
        <f t="shared" si="5"/>
        <v>-0.1208547370986901</v>
      </c>
      <c r="AE25" s="8">
        <v>0</v>
      </c>
      <c r="AF25" s="12">
        <v>1.289438685090909</v>
      </c>
      <c r="AG25" s="15">
        <v>1.1436329309819573</v>
      </c>
      <c r="AH25" s="15">
        <v>4.280951286492838E-2</v>
      </c>
      <c r="AI25" s="15"/>
      <c r="AJ25" s="15"/>
    </row>
    <row r="26" spans="2:36" x14ac:dyDescent="0.2">
      <c r="B26" s="9">
        <v>19</v>
      </c>
      <c r="C26" s="4">
        <v>1.940971357</v>
      </c>
      <c r="D26" s="5">
        <v>3.0311083999999999E-2</v>
      </c>
      <c r="E26" s="6">
        <f>EXP(-tbl_zero_rates[[#This Row],[nacc]]*tbl_zero_rates[[#This Row],[tau]])</f>
        <v>0.94286426539596846</v>
      </c>
      <c r="J26" s="12">
        <v>1.360853709040404</v>
      </c>
      <c r="K26" s="13" cm="1">
        <f t="array" ref="K26">cubicSpline(tbl_zero_rates[tau],tbl_zero_rates[nacc],J26,0)</f>
        <v>2.5475357779322891E-2</v>
      </c>
      <c r="L26" s="3" cm="1">
        <f t="array" ref="L26">cubicSpline(tbl_zero_rates[tau],tbl_zero_rates[nacc],J26,1)</f>
        <v>9.0166330632268695E-3</v>
      </c>
      <c r="M26" s="3">
        <f t="shared" si="2"/>
        <v>3.7745676326471515E-2</v>
      </c>
      <c r="O26" s="12">
        <v>1.3608637090404041</v>
      </c>
      <c r="P26" s="13" cm="1">
        <f t="array" ref="P26">cubicSpline(tbl_zero_rates[tau],tbl_zero_rates[nacc],O26,0)</f>
        <v>2.5475447713653104E-2</v>
      </c>
      <c r="Q26" s="3" cm="1">
        <f t="array" ref="Q26">cubicSpline(tbl_zero_rates[tau],tbl_zero_rates[nacc],O26,1)</f>
        <v>9.016633013770186E-3</v>
      </c>
      <c r="R26" s="3">
        <f t="shared" si="3"/>
        <v>3.7745856359828557E-2</v>
      </c>
      <c r="T26" s="12">
        <v>1.360843709040404</v>
      </c>
      <c r="U26" s="13" cm="1">
        <f t="array" ref="U26">cubicSpline(tbl_zero_rates[tau],tbl_zero_rates[nacc],T26,0)</f>
        <v>2.5475267844759411E-2</v>
      </c>
      <c r="V26" s="3" cm="1">
        <f t="array" ref="V26">cubicSpline(tbl_zero_rates[tau],tbl_zero_rates[nacc],T26,1)</f>
        <v>9.0166331126835548E-3</v>
      </c>
      <c r="W26" s="3">
        <f t="shared" si="4"/>
        <v>3.7745496292880223E-2</v>
      </c>
      <c r="Y26" s="3">
        <f t="shared" si="0"/>
        <v>1.8003347416681303E-2</v>
      </c>
      <c r="Z26" s="3">
        <f t="shared" si="1"/>
        <v>2.5583213503071071E-2</v>
      </c>
      <c r="AA26" s="3"/>
      <c r="AB26" s="3">
        <v>2.23863493226465E-2</v>
      </c>
      <c r="AC26" s="3">
        <f t="shared" si="5"/>
        <v>-0.12495944577254969</v>
      </c>
      <c r="AE26" s="8">
        <v>0</v>
      </c>
      <c r="AF26" s="12">
        <v>1.360853709040404</v>
      </c>
      <c r="AG26" s="15">
        <v>1.1991526447452991</v>
      </c>
      <c r="AH26" s="15">
        <v>4.7378136828983987E-2</v>
      </c>
      <c r="AI26" s="15"/>
      <c r="AJ26" s="15"/>
    </row>
    <row r="27" spans="2:36" x14ac:dyDescent="0.2">
      <c r="B27" s="9">
        <v>20</v>
      </c>
      <c r="C27" s="4">
        <v>2.0294728100000001</v>
      </c>
      <c r="D27" s="5">
        <v>3.0983953000000002E-2</v>
      </c>
      <c r="E27" s="6">
        <f>EXP(-tbl_zero_rates[[#This Row],[nacc]]*tbl_zero_rates[[#This Row],[tau]])</f>
        <v>0.93905512994591189</v>
      </c>
      <c r="J27" s="12">
        <v>1.4322687329898989</v>
      </c>
      <c r="K27" s="13" cm="1">
        <f t="array" ref="K27">cubicSpline(tbl_zero_rates[tau],tbl_zero_rates[nacc],J27,0)</f>
        <v>2.6111696746036202E-2</v>
      </c>
      <c r="L27" s="3" cm="1">
        <f t="array" ref="L27">cubicSpline(tbl_zero_rates[tau],tbl_zero_rates[nacc],J27,1)</f>
        <v>8.8112979213664077E-3</v>
      </c>
      <c r="M27" s="3">
        <f t="shared" si="2"/>
        <v>3.8731843255868197E-2</v>
      </c>
      <c r="O27" s="12">
        <v>1.4322787329898989</v>
      </c>
      <c r="P27" s="13" cm="1">
        <f t="array" ref="P27">cubicSpline(tbl_zero_rates[tau],tbl_zero_rates[nacc],O27,0)</f>
        <v>2.6111785023048107E-2</v>
      </c>
      <c r="Q27" s="3" cm="1">
        <f t="array" ref="Q27">cubicSpline(tbl_zero_rates[tau],tbl_zero_rates[nacc],O27,1)</f>
        <v>8.8112978708959396E-3</v>
      </c>
      <c r="R27" s="3">
        <f t="shared" si="3"/>
        <v>3.8732019573571537E-2</v>
      </c>
      <c r="T27" s="12">
        <v>1.4322587329898988</v>
      </c>
      <c r="U27" s="13" cm="1">
        <f t="array" ref="U27">cubicSpline(tbl_zero_rates[tau],tbl_zero_rates[nacc],T27,0)</f>
        <v>2.6111608468793436E-2</v>
      </c>
      <c r="V27" s="3" cm="1">
        <f t="array" ref="V27">cubicSpline(tbl_zero_rates[tau],tbl_zero_rates[nacc],T27,1)</f>
        <v>8.8112979718368758E-3</v>
      </c>
      <c r="W27" s="3">
        <f t="shared" si="4"/>
        <v>3.8731666937932986E-2</v>
      </c>
      <c r="Y27" s="3">
        <f t="shared" si="0"/>
        <v>1.7631781927540668E-2</v>
      </c>
      <c r="Z27" s="3">
        <f t="shared" si="1"/>
        <v>2.5415157291603634E-2</v>
      </c>
      <c r="AA27" s="3"/>
      <c r="AB27" s="3">
        <v>2.21367844957919E-2</v>
      </c>
      <c r="AC27" s="3">
        <f t="shared" si="5"/>
        <v>-0.12899281945010055</v>
      </c>
      <c r="AE27" s="8">
        <v>0</v>
      </c>
      <c r="AF27" s="12">
        <v>1.4322687329898989</v>
      </c>
      <c r="AG27" s="15">
        <v>1.2539241075225473</v>
      </c>
      <c r="AH27" s="15">
        <v>5.2136494149773407E-2</v>
      </c>
      <c r="AI27" s="15"/>
      <c r="AJ27" s="15"/>
    </row>
    <row r="28" spans="2:36" x14ac:dyDescent="0.2">
      <c r="B28" s="9">
        <v>21</v>
      </c>
      <c r="C28" s="4">
        <v>2.1179742629999998</v>
      </c>
      <c r="D28" s="5">
        <v>3.1640319E-2</v>
      </c>
      <c r="E28" s="6">
        <f>EXP(-tbl_zero_rates[[#This Row],[nacc]]*tbl_zero_rates[[#This Row],[tau]])</f>
        <v>0.9351826872788257</v>
      </c>
      <c r="J28" s="12">
        <v>1.5036837569393939</v>
      </c>
      <c r="K28" s="13" cm="1">
        <f t="array" ref="K28">cubicSpline(tbl_zero_rates[tau],tbl_zero_rates[nacc],J28,0)</f>
        <v>2.6736261817781305E-2</v>
      </c>
      <c r="L28" s="3" cm="1">
        <f t="array" ref="L28">cubicSpline(tbl_zero_rates[tau],tbl_zero_rates[nacc],J28,1)</f>
        <v>8.6086141431575541E-3</v>
      </c>
      <c r="M28" s="3">
        <f t="shared" si="2"/>
        <v>3.9680895074606058E-2</v>
      </c>
      <c r="O28" s="12">
        <v>1.503693756939394</v>
      </c>
      <c r="P28" s="13" cm="1">
        <f t="array" ref="P28">cubicSpline(tbl_zero_rates[tau],tbl_zero_rates[nacc],O28,0)</f>
        <v>2.6736348454841297E-2</v>
      </c>
      <c r="Q28" s="3" cm="1">
        <f t="array" ref="Q28">cubicSpline(tbl_zero_rates[tau],tbl_zero_rates[nacc],O28,1)</f>
        <v>8.6086140944536468E-3</v>
      </c>
      <c r="R28" s="3">
        <f t="shared" si="3"/>
        <v>3.9681067724571722E-2</v>
      </c>
      <c r="T28" s="12">
        <v>1.5036737569393939</v>
      </c>
      <c r="U28" s="13" cm="1">
        <f t="array" ref="U28">cubicSpline(tbl_zero_rates[tau],tbl_zero_rates[nacc],T28,0)</f>
        <v>2.6736175180492899E-2</v>
      </c>
      <c r="V28" s="3" cm="1">
        <f t="array" ref="V28">cubicSpline(tbl_zero_rates[tau],tbl_zero_rates[nacc],T28,1)</f>
        <v>8.6086141918614613E-3</v>
      </c>
      <c r="W28" s="3">
        <f t="shared" si="4"/>
        <v>3.9680722424411008E-2</v>
      </c>
      <c r="Y28" s="3">
        <f t="shared" si="0"/>
        <v>1.7265008035727281E-2</v>
      </c>
      <c r="Z28" s="3">
        <f t="shared" si="1"/>
        <v>2.524440875890499E-2</v>
      </c>
      <c r="AA28" s="3"/>
      <c r="AB28" s="3">
        <v>2.1887229665750001E-2</v>
      </c>
      <c r="AC28" s="3">
        <f t="shared" si="5"/>
        <v>-0.13298703587069516</v>
      </c>
      <c r="AE28" s="8">
        <v>0</v>
      </c>
      <c r="AF28" s="12">
        <v>1.5036837569393939</v>
      </c>
      <c r="AG28" s="15">
        <v>1.307957403651324</v>
      </c>
      <c r="AH28" s="15">
        <v>5.7079245073648276E-2</v>
      </c>
      <c r="AI28" s="15"/>
      <c r="AJ28" s="15"/>
    </row>
    <row r="29" spans="2:36" x14ac:dyDescent="0.2">
      <c r="B29" s="9">
        <v>22</v>
      </c>
      <c r="C29" s="4">
        <v>2.2064757159999999</v>
      </c>
      <c r="D29" s="5">
        <v>3.2280416999999999E-2</v>
      </c>
      <c r="E29" s="6">
        <f>EXP(-tbl_zero_rates[[#This Row],[nacc]]*tbl_zero_rates[[#This Row],[tau]])</f>
        <v>0.93125144630269574</v>
      </c>
      <c r="J29" s="12">
        <v>1.5750987808888888</v>
      </c>
      <c r="K29" s="13" cm="1">
        <f t="array" ref="K29">cubicSpline(tbl_zero_rates[tau],tbl_zero_rates[nacc],J29,0)</f>
        <v>2.7349176586881085E-2</v>
      </c>
      <c r="L29" s="3" cm="1">
        <f t="array" ref="L29">cubicSpline(tbl_zero_rates[tau],tbl_zero_rates[nacc],J29,1)</f>
        <v>8.6082663240838637E-3</v>
      </c>
      <c r="M29" s="3">
        <f t="shared" si="2"/>
        <v>4.0908046379512453E-2</v>
      </c>
      <c r="O29" s="12">
        <v>1.5751087808888888</v>
      </c>
      <c r="P29" s="13" cm="1">
        <f t="array" ref="P29">cubicSpline(tbl_zero_rates[tau],tbl_zero_rates[nacc],O29,0)</f>
        <v>2.7349261601091582E-2</v>
      </c>
      <c r="Q29" s="3" cm="1">
        <f t="array" ref="Q29">cubicSpline(tbl_zero_rates[tau],tbl_zero_rates[nacc],O29,1)</f>
        <v>8.6082662753799565E-3</v>
      </c>
      <c r="R29" s="3">
        <f t="shared" si="3"/>
        <v>4.0908217399672243E-2</v>
      </c>
      <c r="T29" s="12">
        <v>1.5750887808888887</v>
      </c>
      <c r="U29" s="13" cm="1">
        <f t="array" ref="U29">cubicSpline(tbl_zero_rates[tau],tbl_zero_rates[nacc],T29,0)</f>
        <v>2.7349091572444528E-2</v>
      </c>
      <c r="V29" s="3" cm="1">
        <f t="array" ref="V29">cubicSpline(tbl_zero_rates[tau],tbl_zero_rates[nacc],T29,1)</f>
        <v>8.608266372787771E-3</v>
      </c>
      <c r="W29" s="3">
        <f t="shared" si="4"/>
        <v>4.0907875359125635E-2</v>
      </c>
      <c r="Y29" s="3">
        <f t="shared" si="0"/>
        <v>1.7102027330406777E-2</v>
      </c>
      <c r="Z29" s="3">
        <f t="shared" si="1"/>
        <v>2.5329871834655827E-2</v>
      </c>
      <c r="AA29" s="3"/>
      <c r="AB29" s="3">
        <v>2.1638667411058202E-2</v>
      </c>
      <c r="AC29" s="3">
        <f t="shared" si="5"/>
        <v>-0.14572534940928494</v>
      </c>
      <c r="AE29" s="8">
        <v>0</v>
      </c>
      <c r="AF29" s="12">
        <v>1.5750987808888888</v>
      </c>
      <c r="AG29" s="15">
        <v>1.3612624815604868</v>
      </c>
      <c r="AH29" s="15">
        <v>6.2841795204857581E-2</v>
      </c>
      <c r="AI29" s="15"/>
      <c r="AJ29" s="15"/>
    </row>
    <row r="30" spans="2:36" x14ac:dyDescent="0.2">
      <c r="B30" s="9">
        <v>23</v>
      </c>
      <c r="C30" s="4">
        <v>2.294977169</v>
      </c>
      <c r="D30" s="5">
        <v>3.290448E-2</v>
      </c>
      <c r="E30" s="6">
        <f>EXP(-tbl_zero_rates[[#This Row],[nacc]]*tbl_zero_rates[[#This Row],[tau]])</f>
        <v>0.92726579329259351</v>
      </c>
      <c r="J30" s="12">
        <v>1.6465138048383838</v>
      </c>
      <c r="K30" s="13" cm="1">
        <f t="array" ref="K30">cubicSpline(tbl_zero_rates[tau],tbl_zero_rates[nacc],J30,0)</f>
        <v>2.7950562418105906E-2</v>
      </c>
      <c r="L30" s="3" cm="1">
        <f t="array" ref="L30">cubicSpline(tbl_zero_rates[tau],tbl_zero_rates[nacc],J30,1)</f>
        <v>8.4082024341523582E-3</v>
      </c>
      <c r="M30" s="3">
        <f t="shared" si="2"/>
        <v>4.1794783799813467E-2</v>
      </c>
      <c r="O30" s="12">
        <v>1.6465238048383839</v>
      </c>
      <c r="P30" s="13" cm="1">
        <f t="array" ref="P30">cubicSpline(tbl_zero_rates[tau],tbl_zero_rates[nacc],O30,0)</f>
        <v>2.7950645826570201E-2</v>
      </c>
      <c r="Q30" s="3" cm="1">
        <f t="array" ref="Q30">cubicSpline(tbl_zero_rates[tau],tbl_zero_rates[nacc],O30,1)</f>
        <v>8.4082023832588986E-3</v>
      </c>
      <c r="R30" s="3">
        <f t="shared" si="3"/>
        <v>4.179495120650481E-2</v>
      </c>
      <c r="T30" s="12">
        <v>1.6465038048383838</v>
      </c>
      <c r="U30" s="13" cm="1">
        <f t="array" ref="U30">cubicSpline(tbl_zero_rates[tau],tbl_zero_rates[nacc],T30,0)</f>
        <v>2.7950479009417988E-2</v>
      </c>
      <c r="V30" s="3" cm="1">
        <f t="array" ref="V30">cubicSpline(tbl_zero_rates[tau],tbl_zero_rates[nacc],T30,1)</f>
        <v>8.408202485045816E-3</v>
      </c>
      <c r="W30" s="3">
        <f t="shared" si="4"/>
        <v>4.1794616392897478E-2</v>
      </c>
      <c r="Y30" s="3">
        <f t="shared" si="0"/>
        <v>1.6740680366597593E-2</v>
      </c>
      <c r="Z30" s="3">
        <f t="shared" si="1"/>
        <v>2.5151880790861378E-2</v>
      </c>
      <c r="AA30" s="3"/>
      <c r="AB30" s="3">
        <v>2.1389798547645601E-2</v>
      </c>
      <c r="AC30" s="3">
        <f t="shared" si="5"/>
        <v>-0.14957458945108726</v>
      </c>
      <c r="AE30" s="8">
        <v>0</v>
      </c>
      <c r="AF30" s="12">
        <v>1.6465138048383838</v>
      </c>
      <c r="AG30" s="15">
        <v>1.4138491556018038</v>
      </c>
      <c r="AH30" s="15">
        <v>6.8186942733037978E-2</v>
      </c>
      <c r="AI30" s="15"/>
      <c r="AJ30" s="15"/>
    </row>
    <row r="31" spans="2:36" x14ac:dyDescent="0.2">
      <c r="B31" s="9">
        <v>24</v>
      </c>
      <c r="C31" s="4">
        <v>2.3834786210000001</v>
      </c>
      <c r="D31" s="5">
        <v>3.3512743999999997E-2</v>
      </c>
      <c r="E31" s="6">
        <f>EXP(-tbl_zero_rates[[#This Row],[nacc]]*tbl_zero_rates[[#This Row],[tau]])</f>
        <v>0.92322998082819152</v>
      </c>
      <c r="J31" s="12">
        <v>1.7179288287878787</v>
      </c>
      <c r="K31" s="13" cm="1">
        <f t="array" ref="K31">cubicSpline(tbl_zero_rates[tau],tbl_zero_rates[nacc],J31,0)</f>
        <v>2.8540543404585086E-2</v>
      </c>
      <c r="L31" s="3" cm="1">
        <f t="array" ref="L31">cubicSpline(tbl_zero_rates[tau],tbl_zero_rates[nacc],J31,1)</f>
        <v>8.2108105282028363E-3</v>
      </c>
      <c r="M31" s="3">
        <f t="shared" si="2"/>
        <v>4.2646131518699767E-2</v>
      </c>
      <c r="O31" s="12">
        <v>1.7179388287878787</v>
      </c>
      <c r="P31" s="13" cm="1">
        <f t="array" ref="P31">cubicSpline(tbl_zero_rates[tau],tbl_zero_rates[nacc],O31,0)</f>
        <v>2.8540625224776676E-2</v>
      </c>
      <c r="Q31" s="3" cm="1">
        <f t="array" ref="Q31">cubicSpline(tbl_zero_rates[tau],tbl_zero_rates[nacc],O31,1)</f>
        <v>8.2108104791611281E-3</v>
      </c>
      <c r="R31" s="3">
        <f t="shared" si="3"/>
        <v>4.2646295362745987E-2</v>
      </c>
      <c r="T31" s="12">
        <v>1.7179188287878786</v>
      </c>
      <c r="U31" s="13" cm="1">
        <f t="array" ref="U31">cubicSpline(tbl_zero_rates[tau],tbl_zero_rates[nacc],T31,0)</f>
        <v>2.8540461584172287E-2</v>
      </c>
      <c r="V31" s="3" cm="1">
        <f t="array" ref="V31">cubicSpline(tbl_zero_rates[tau],tbl_zero_rates[nacc],T31,1)</f>
        <v>8.2108105772445445E-3</v>
      </c>
      <c r="W31" s="3">
        <f t="shared" si="4"/>
        <v>4.2645967674431358E-2</v>
      </c>
      <c r="Y31" s="3">
        <f t="shared" si="0"/>
        <v>1.6384415731443558E-2</v>
      </c>
      <c r="Z31" s="3">
        <f t="shared" si="1"/>
        <v>2.4971849765512626E-2</v>
      </c>
      <c r="AA31" s="3"/>
      <c r="AB31" s="3">
        <v>2.11417359511635E-2</v>
      </c>
      <c r="AC31" s="3">
        <f t="shared" si="5"/>
        <v>-0.15337725680372727</v>
      </c>
      <c r="AE31" s="8">
        <v>0</v>
      </c>
      <c r="AF31" s="12">
        <v>1.7179288287878787</v>
      </c>
      <c r="AG31" s="15">
        <v>1.4657271078569372</v>
      </c>
      <c r="AH31" s="15">
        <v>7.3698907310653566E-2</v>
      </c>
      <c r="AI31" s="15"/>
      <c r="AJ31" s="15"/>
    </row>
    <row r="32" spans="2:36" x14ac:dyDescent="0.2">
      <c r="B32" s="9">
        <v>25</v>
      </c>
      <c r="C32" s="4">
        <v>2.4719800740000002</v>
      </c>
      <c r="D32" s="5">
        <v>3.4105441E-2</v>
      </c>
      <c r="E32" s="6">
        <f>EXP(-tbl_zero_rates[[#This Row],[nacc]]*tbl_zero_rates[[#This Row],[tau]])</f>
        <v>0.91914814192753658</v>
      </c>
      <c r="J32" s="12">
        <v>1.7893438527373737</v>
      </c>
      <c r="K32" s="13" cm="1">
        <f t="array" ref="K32">cubicSpline(tbl_zero_rates[tau],tbl_zero_rates[nacc],J32,0)</f>
        <v>2.9119242628284383E-2</v>
      </c>
      <c r="L32" s="3" cm="1">
        <f t="array" ref="L32">cubicSpline(tbl_zero_rates[tau],tbl_zero_rates[nacc],J32,1)</f>
        <v>8.0160532166793624E-3</v>
      </c>
      <c r="M32" s="3">
        <f t="shared" si="2"/>
        <v>4.3462718174765248E-2</v>
      </c>
      <c r="O32" s="12">
        <v>1.7893538527373738</v>
      </c>
      <c r="P32" s="13" cm="1">
        <f t="array" ref="P32">cubicSpline(tbl_zero_rates[tau],tbl_zero_rates[nacc],O32,0)</f>
        <v>2.9119322877242785E-2</v>
      </c>
      <c r="Q32" s="3" cm="1">
        <f t="array" ref="Q32">cubicSpline(tbl_zero_rates[tau],tbl_zero_rates[nacc],O32,1)</f>
        <v>8.016053166261472E-3</v>
      </c>
      <c r="R32" s="3">
        <f t="shared" si="3"/>
        <v>4.3462878494040375E-2</v>
      </c>
      <c r="T32" s="12">
        <v>1.7893338527373737</v>
      </c>
      <c r="U32" s="13" cm="1">
        <f t="array" ref="U32">cubicSpline(tbl_zero_rates[tau],tbl_zero_rates[nacc],T32,0)</f>
        <v>2.9119162379107173E-2</v>
      </c>
      <c r="V32" s="3" cm="1">
        <f t="array" ref="V32">cubicSpline(tbl_zero_rates[tau],tbl_zero_rates[nacc],T32,1)</f>
        <v>8.0160532670972527E-3</v>
      </c>
      <c r="W32" s="3">
        <f t="shared" si="4"/>
        <v>4.3462557855270312E-2</v>
      </c>
      <c r="Y32" s="3">
        <f t="shared" si="0"/>
        <v>1.6031938503136001E-2</v>
      </c>
      <c r="Z32" s="3">
        <f t="shared" si="1"/>
        <v>2.4788613940850884E-2</v>
      </c>
      <c r="AA32" s="3"/>
      <c r="AB32" s="3">
        <v>2.0894523126260799E-2</v>
      </c>
      <c r="AC32" s="3">
        <f t="shared" si="5"/>
        <v>-0.15709191421036828</v>
      </c>
      <c r="AE32" s="8">
        <v>0</v>
      </c>
      <c r="AF32" s="12">
        <v>1.7893438527373737</v>
      </c>
      <c r="AG32" s="15">
        <v>1.5169058899200762</v>
      </c>
      <c r="AH32" s="15">
        <v>7.9366979967473106E-2</v>
      </c>
      <c r="AI32" s="15"/>
      <c r="AJ32" s="15"/>
    </row>
    <row r="33" spans="2:36" x14ac:dyDescent="0.2">
      <c r="B33" s="9">
        <v>26</v>
      </c>
      <c r="C33" s="4">
        <v>2.5604815269999999</v>
      </c>
      <c r="D33" s="5">
        <v>3.4682804999999997E-2</v>
      </c>
      <c r="E33" s="6">
        <f>EXP(-tbl_zero_rates[[#This Row],[nacc]]*tbl_zero_rates[[#This Row],[tau]])</f>
        <v>0.91502427728467228</v>
      </c>
      <c r="J33" s="12">
        <v>1.8607588766868686</v>
      </c>
      <c r="K33" s="13" cm="1">
        <f t="array" ref="K33">cubicSpline(tbl_zero_rates[tau],tbl_zero_rates[nacc],J33,0)</f>
        <v>2.9686782570574544E-2</v>
      </c>
      <c r="L33" s="3" cm="1">
        <f t="array" ref="L33">cubicSpline(tbl_zero_rates[tau],tbl_zero_rates[nacc],J33,1)</f>
        <v>7.8239458042878903E-3</v>
      </c>
      <c r="M33" s="3">
        <f t="shared" si="2"/>
        <v>4.4245259176620214E-2</v>
      </c>
      <c r="O33" s="12">
        <v>1.8607688766868686</v>
      </c>
      <c r="P33" s="13" cm="1">
        <f t="array" ref="P33">cubicSpline(tbl_zero_rates[tau],tbl_zero_rates[nacc],O33,0)</f>
        <v>2.9686861265631043E-2</v>
      </c>
      <c r="Q33" s="3" cm="1">
        <f t="array" ref="Q33">cubicSpline(tbl_zero_rates[tau],tbl_zero_rates[nacc],O33,1)</f>
        <v>7.8239457549695197E-3</v>
      </c>
      <c r="R33" s="3">
        <f t="shared" si="3"/>
        <v>4.4245416019364672E-2</v>
      </c>
      <c r="T33" s="12">
        <v>1.8607488766868685</v>
      </c>
      <c r="U33" s="13" cm="1">
        <f t="array" ref="U33">cubicSpline(tbl_zero_rates[tau],tbl_zero_rates[nacc],T33,0)</f>
        <v>2.9686703875301677E-2</v>
      </c>
      <c r="V33" s="3" cm="1">
        <f t="array" ref="V33">cubicSpline(tbl_zero_rates[tau],tbl_zero_rates[nacc],T33,1)</f>
        <v>7.8239458536062609E-3</v>
      </c>
      <c r="W33" s="3">
        <f t="shared" si="4"/>
        <v>4.4245102333658408E-2</v>
      </c>
      <c r="Y33" s="3">
        <f t="shared" si="0"/>
        <v>1.5684285313219415E-2</v>
      </c>
      <c r="Z33" s="3">
        <f t="shared" si="1"/>
        <v>2.4603356253303066E-2</v>
      </c>
      <c r="AA33" s="3"/>
      <c r="AB33" s="3">
        <v>2.0647749133859701E-2</v>
      </c>
      <c r="AC33" s="3">
        <f t="shared" si="5"/>
        <v>-0.16077510233638603</v>
      </c>
      <c r="AE33" s="8">
        <v>0</v>
      </c>
      <c r="AF33" s="12">
        <v>1.8607588766868686</v>
      </c>
      <c r="AG33" s="15">
        <v>1.5673949246565453</v>
      </c>
      <c r="AH33" s="15">
        <v>8.5187241260991434E-2</v>
      </c>
      <c r="AI33" s="15"/>
      <c r="AJ33" s="15"/>
    </row>
    <row r="34" spans="2:36" x14ac:dyDescent="0.2">
      <c r="B34" s="9">
        <v>27</v>
      </c>
      <c r="C34" s="4">
        <v>2.64898298</v>
      </c>
      <c r="D34" s="5">
        <v>3.5245072000000002E-2</v>
      </c>
      <c r="E34" s="6">
        <f>EXP(-tbl_zero_rates[[#This Row],[nacc]]*tbl_zero_rates[[#This Row],[tau]])</f>
        <v>0.91086225433810009</v>
      </c>
      <c r="J34" s="12">
        <v>1.9321739006363636</v>
      </c>
      <c r="K34" s="13" cm="1">
        <f t="array" ref="K34">cubicSpline(tbl_zero_rates[tau],tbl_zero_rates[nacc],J34,0)</f>
        <v>3.024328694844983E-2</v>
      </c>
      <c r="L34" s="3" cm="1">
        <f t="array" ref="L34">cubicSpline(tbl_zero_rates[tau],tbl_zero_rates[nacc],J34,1)</f>
        <v>7.8235935970250928E-3</v>
      </c>
      <c r="M34" s="3">
        <f t="shared" si="2"/>
        <v>4.535983030580748E-2</v>
      </c>
      <c r="O34" s="12">
        <v>1.9321839006363637</v>
      </c>
      <c r="P34" s="13" cm="1">
        <f t="array" ref="P34">cubicSpline(tbl_zero_rates[tau],tbl_zero_rates[nacc],O34,0)</f>
        <v>3.0243364106805445E-2</v>
      </c>
      <c r="Q34" s="3" cm="1">
        <f t="array" ref="Q34">cubicSpline(tbl_zero_rates[tau],tbl_zero_rates[nacc],O34,1)</f>
        <v>7.8235935477067222E-3</v>
      </c>
      <c r="R34" s="3">
        <f t="shared" si="3"/>
        <v>4.5359985604806904E-2</v>
      </c>
      <c r="T34" s="12">
        <v>1.9321639006363636</v>
      </c>
      <c r="U34" s="13" cm="1">
        <f t="array" ref="U34">cubicSpline(tbl_zero_rates[tau],tbl_zero_rates[nacc],T34,0)</f>
        <v>3.0243209789880231E-2</v>
      </c>
      <c r="V34" s="3" cm="1">
        <f t="array" ref="V34">cubicSpline(tbl_zero_rates[tau],tbl_zero_rates[nacc],T34,1)</f>
        <v>7.8235936463434633E-3</v>
      </c>
      <c r="W34" s="3">
        <f t="shared" si="4"/>
        <v>4.5359675006593089E-2</v>
      </c>
      <c r="Y34" s="3">
        <f t="shared" si="0"/>
        <v>1.552991069075915E-2</v>
      </c>
      <c r="Z34" s="3">
        <f t="shared" si="1"/>
        <v>2.4674095729846277E-2</v>
      </c>
      <c r="AA34" s="3"/>
      <c r="AB34" s="3">
        <v>2.0401748377969001E-2</v>
      </c>
      <c r="AC34" s="3">
        <f t="shared" si="5"/>
        <v>-0.17315112167248992</v>
      </c>
      <c r="AE34" s="8">
        <v>0</v>
      </c>
      <c r="AF34" s="12">
        <v>1.9321739006363636</v>
      </c>
      <c r="AG34" s="15">
        <v>1.6172035079377081</v>
      </c>
      <c r="AH34" s="15">
        <v>9.2115702455129095E-2</v>
      </c>
      <c r="AI34" s="15"/>
      <c r="AJ34" s="15"/>
    </row>
    <row r="35" spans="2:36" x14ac:dyDescent="0.2">
      <c r="B35" s="9">
        <v>28</v>
      </c>
      <c r="C35" s="4">
        <v>2.7374844330000001</v>
      </c>
      <c r="D35" s="5">
        <v>3.5792474999999997E-2</v>
      </c>
      <c r="E35" s="6">
        <f>EXP(-tbl_zero_rates[[#This Row],[nacc]]*tbl_zero_rates[[#This Row],[tau]])</f>
        <v>0.90666581914150302</v>
      </c>
      <c r="J35" s="12">
        <v>2.0035889245858587</v>
      </c>
      <c r="K35" s="13" cm="1">
        <f t="array" ref="K35">cubicSpline(tbl_zero_rates[tau],tbl_zero_rates[nacc],J35,0)</f>
        <v>3.0788877985046533E-2</v>
      </c>
      <c r="L35" s="3" cm="1">
        <f t="array" ref="L35">cubicSpline(tbl_zero_rates[tau],tbl_zero_rates[nacc],J35,1)</f>
        <v>7.6341229173662274E-3</v>
      </c>
      <c r="M35" s="3">
        <f t="shared" si="2"/>
        <v>4.6084522111208587E-2</v>
      </c>
      <c r="O35" s="12">
        <v>2.0035989245858588</v>
      </c>
      <c r="P35" s="13" cm="1">
        <f t="array" ref="P35">cubicSpline(tbl_zero_rates[tau],tbl_zero_rates[nacc],O35,0)</f>
        <v>3.0788953623816059E-2</v>
      </c>
      <c r="Q35" s="3" cm="1">
        <f t="array" ref="Q35">cubicSpline(tbl_zero_rates[tau],tbl_zero_rates[nacc],O35,1)</f>
        <v>7.634122867579419E-3</v>
      </c>
      <c r="R35" s="3">
        <f t="shared" si="3"/>
        <v>4.6084673991454495E-2</v>
      </c>
      <c r="T35" s="12">
        <v>2.0035789245858586</v>
      </c>
      <c r="U35" s="13" cm="1">
        <f t="array" ref="U35">cubicSpline(tbl_zero_rates[tau],tbl_zero_rates[nacc],T35,0)</f>
        <v>3.078880234606543E-2</v>
      </c>
      <c r="V35" s="3" cm="1">
        <f t="array" ref="V35">cubicSpline(tbl_zero_rates[tau],tbl_zero_rates[nacc],T35,1)</f>
        <v>7.6341229671530357E-3</v>
      </c>
      <c r="W35" s="3">
        <f t="shared" si="4"/>
        <v>4.6084370230750113E-2</v>
      </c>
      <c r="Y35" s="3">
        <f t="shared" si="0"/>
        <v>1.5188035219076966E-2</v>
      </c>
      <c r="Z35" s="3">
        <f t="shared" si="1"/>
        <v>2.4482899987118768E-2</v>
      </c>
      <c r="AA35" s="3"/>
      <c r="AB35" s="3">
        <v>2.01570984456571E-2</v>
      </c>
      <c r="AC35" s="3">
        <f t="shared" si="5"/>
        <v>-0.17668664838469339</v>
      </c>
      <c r="AE35" s="8">
        <v>0</v>
      </c>
      <c r="AF35" s="12">
        <v>2.0035889245858587</v>
      </c>
      <c r="AG35" s="15">
        <v>1.6663408103524946</v>
      </c>
      <c r="AH35" s="15">
        <v>9.8283384424310186E-2</v>
      </c>
      <c r="AI35" s="15"/>
      <c r="AJ35" s="15"/>
    </row>
    <row r="36" spans="2:36" x14ac:dyDescent="0.2">
      <c r="B36" s="9">
        <v>29</v>
      </c>
      <c r="C36" s="4">
        <v>2.8259858859999998</v>
      </c>
      <c r="D36" s="5">
        <v>3.6325246999999998E-2</v>
      </c>
      <c r="E36" s="6">
        <f>EXP(-tbl_zero_rates[[#This Row],[nacc]]*tbl_zero_rates[[#This Row],[tau]])</f>
        <v>0.90243859007588312</v>
      </c>
      <c r="J36" s="12">
        <v>2.0750039485353535</v>
      </c>
      <c r="K36" s="13" cm="1">
        <f t="array" ref="K36">cubicSpline(tbl_zero_rates[tau],tbl_zero_rates[nacc],J36,0)</f>
        <v>3.1323678399236096E-2</v>
      </c>
      <c r="L36" s="3" cm="1">
        <f t="array" ref="L36">cubicSpline(tbl_zero_rates[tau],tbl_zero_rates[nacc],J36,1)</f>
        <v>7.447293562046927E-3</v>
      </c>
      <c r="M36" s="3">
        <f t="shared" si="2"/>
        <v>4.6776841946385386E-2</v>
      </c>
      <c r="O36" s="12">
        <v>2.0750139485353536</v>
      </c>
      <c r="P36" s="13" cm="1">
        <f t="array" ref="P36">cubicSpline(tbl_zero_rates[tau],tbl_zero_rates[nacc],O36,0)</f>
        <v>3.1323752535668124E-2</v>
      </c>
      <c r="Q36" s="3" cm="1">
        <f t="array" ref="Q36">cubicSpline(tbl_zero_rates[tau],tbl_zero_rates[nacc],O36,1)</f>
        <v>7.4472935117576187E-3</v>
      </c>
      <c r="R36" s="3">
        <f t="shared" si="3"/>
        <v>4.6776990451402017E-2</v>
      </c>
      <c r="T36" s="12">
        <v>2.0749939485353535</v>
      </c>
      <c r="U36" s="13" cm="1">
        <f t="array" ref="U36">cubicSpline(tbl_zero_rates[tau],tbl_zero_rates[nacc],T36,0)</f>
        <v>3.1323604262594923E-2</v>
      </c>
      <c r="V36" s="3" cm="1">
        <f t="array" ref="V36">cubicSpline(tbl_zero_rates[tau],tbl_zero_rates[nacc],T36,1)</f>
        <v>7.4472936123362362E-3</v>
      </c>
      <c r="W36" s="3">
        <f t="shared" si="4"/>
        <v>4.6776693441158604E-2</v>
      </c>
      <c r="Y36" s="3">
        <f t="shared" si="0"/>
        <v>1.4850512170677675E-2</v>
      </c>
      <c r="Z36" s="3">
        <f t="shared" si="1"/>
        <v>2.4289558260680588E-2</v>
      </c>
      <c r="AA36" s="3"/>
      <c r="AB36" s="3">
        <v>1.99131836156685E-2</v>
      </c>
      <c r="AC36" s="3">
        <f t="shared" si="5"/>
        <v>-0.1801751434935096</v>
      </c>
      <c r="AE36" s="8">
        <v>0</v>
      </c>
      <c r="AF36" s="12">
        <v>2.0750039485353535</v>
      </c>
      <c r="AG36" s="15">
        <v>1.7148158788958583</v>
      </c>
      <c r="AH36" s="15">
        <v>0.10458212730546654</v>
      </c>
      <c r="AI36" s="15"/>
      <c r="AJ36" s="15"/>
    </row>
    <row r="37" spans="2:36" x14ac:dyDescent="0.2">
      <c r="B37" s="9">
        <v>30</v>
      </c>
      <c r="C37" s="4">
        <v>2.9144873389999999</v>
      </c>
      <c r="D37" s="5">
        <v>3.6843623999999998E-2</v>
      </c>
      <c r="E37" s="6">
        <f>EXP(-tbl_zero_rates[[#This Row],[nacc]]*tbl_zero_rates[[#This Row],[tau]])</f>
        <v>0.8981840504966877</v>
      </c>
      <c r="J37" s="12">
        <v>2.1464189724848484</v>
      </c>
      <c r="K37" s="13" cm="1">
        <f t="array" ref="K37">cubicSpline(tbl_zero_rates[tau],tbl_zero_rates[nacc],J37,0)</f>
        <v>3.184781184411218E-2</v>
      </c>
      <c r="L37" s="3" cm="1">
        <f t="array" ref="L37">cubicSpline(tbl_zero_rates[tau],tbl_zero_rates[nacc],J37,1)</f>
        <v>7.2631216479228508E-3</v>
      </c>
      <c r="M37" s="3">
        <f t="shared" si="2"/>
        <v>4.7437513948679205E-2</v>
      </c>
      <c r="O37" s="12">
        <v>2.1464289724848484</v>
      </c>
      <c r="P37" s="13" cm="1">
        <f t="array" ref="P37">cubicSpline(tbl_zero_rates[tau],tbl_zero_rates[nacc],O37,0)</f>
        <v>3.1847884495550573E-2</v>
      </c>
      <c r="Q37" s="3" cm="1">
        <f t="array" ref="Q37">cubicSpline(tbl_zero_rates[tau],tbl_zero_rates[nacc],O37,1)</f>
        <v>7.2631215988352505E-3</v>
      </c>
      <c r="R37" s="3">
        <f t="shared" si="3"/>
        <v>4.7437659125971032E-2</v>
      </c>
      <c r="T37" s="12">
        <v>2.1464089724848483</v>
      </c>
      <c r="U37" s="13" cm="1">
        <f t="array" ref="U37">cubicSpline(tbl_zero_rates[tau],tbl_zero_rates[nacc],T37,0)</f>
        <v>3.1847739192467042E-2</v>
      </c>
      <c r="V37" s="3" cm="1">
        <f t="array" ref="V37">cubicSpline(tbl_zero_rates[tau],tbl_zero_rates[nacc],T37,1)</f>
        <v>7.2631216970104511E-3</v>
      </c>
      <c r="W37" s="3">
        <f t="shared" si="4"/>
        <v>4.7437368771179655E-2</v>
      </c>
      <c r="Y37" s="3">
        <f t="shared" si="0"/>
        <v>1.4517739568842279E-2</v>
      </c>
      <c r="Z37" s="3">
        <f t="shared" si="1"/>
        <v>2.4094615469680804E-2</v>
      </c>
      <c r="AA37" s="3"/>
      <c r="AB37" s="3">
        <v>1.9670303132909499E-2</v>
      </c>
      <c r="AC37" s="3">
        <f t="shared" si="5"/>
        <v>-0.18362245051549342</v>
      </c>
      <c r="AE37" s="8">
        <v>0</v>
      </c>
      <c r="AF37" s="12">
        <v>2.1464189724848484</v>
      </c>
      <c r="AG37" s="15">
        <v>1.7626376386344771</v>
      </c>
      <c r="AH37" s="15">
        <v>0.11100665002397408</v>
      </c>
      <c r="AI37" s="15"/>
      <c r="AJ37" s="15"/>
    </row>
    <row r="38" spans="2:36" x14ac:dyDescent="0.2">
      <c r="B38" s="9">
        <v>31</v>
      </c>
      <c r="C38" s="4">
        <v>3.002988792</v>
      </c>
      <c r="D38" s="5">
        <v>3.7347839000000001E-2</v>
      </c>
      <c r="E38" s="6">
        <f>EXP(-tbl_zero_rates[[#This Row],[nacc]]*tbl_zero_rates[[#This Row],[tau]])</f>
        <v>0.89390556451434611</v>
      </c>
      <c r="J38" s="12">
        <v>2.2178339964343432</v>
      </c>
      <c r="K38" s="13" cm="1">
        <f t="array" ref="K38">cubicSpline(tbl_zero_rates[tau],tbl_zero_rates[nacc],J38,0)</f>
        <v>3.2361401232518537E-2</v>
      </c>
      <c r="L38" s="3" cm="1">
        <f t="array" ref="L38">cubicSpline(tbl_zero_rates[tau],tbl_zero_rates[nacc],J38,1)</f>
        <v>7.0815856340248192E-3</v>
      </c>
      <c r="M38" s="3">
        <f t="shared" si="2"/>
        <v>4.8067182600319835E-2</v>
      </c>
      <c r="O38" s="12">
        <v>2.2178439964343433</v>
      </c>
      <c r="P38" s="13" cm="1">
        <f t="array" ref="P38">cubicSpline(tbl_zero_rates[tau],tbl_zero_rates[nacc],O38,0)</f>
        <v>3.2361472416018881E-2</v>
      </c>
      <c r="Q38" s="3" cm="1">
        <f t="array" ref="Q38">cubicSpline(tbl_zero_rates[tau],tbl_zero_rates[nacc],O38,1)</f>
        <v>7.0815855831863461E-3</v>
      </c>
      <c r="R38" s="3">
        <f t="shared" si="3"/>
        <v>4.8067324486924717E-2</v>
      </c>
      <c r="T38" s="12">
        <v>2.2178239964343431</v>
      </c>
      <c r="U38" s="13" cm="1">
        <f t="array" ref="U38">cubicSpline(tbl_zero_rates[tau],tbl_zero_rates[nacc],T38,0)</f>
        <v>3.2361330048813822E-2</v>
      </c>
      <c r="V38" s="3" cm="1">
        <f t="array" ref="V38">cubicSpline(tbl_zero_rates[tau],tbl_zero_rates[nacc],T38,1)</f>
        <v>7.0815856848632924E-3</v>
      </c>
      <c r="W38" s="3">
        <f t="shared" si="4"/>
        <v>4.8067040713509562E-2</v>
      </c>
      <c r="Y38" s="3">
        <f t="shared" si="0"/>
        <v>1.4188670757753206E-2</v>
      </c>
      <c r="Z38" s="3">
        <f t="shared" si="1"/>
        <v>2.389715647045014E-2</v>
      </c>
      <c r="AA38" s="3"/>
      <c r="AB38" s="3">
        <v>1.9428918877868202E-2</v>
      </c>
      <c r="AC38" s="3">
        <f t="shared" si="5"/>
        <v>-0.18697779370140155</v>
      </c>
      <c r="AE38" s="8">
        <v>0</v>
      </c>
      <c r="AF38" s="12">
        <v>2.2178339964343432</v>
      </c>
      <c r="AG38" s="15">
        <v>1.809814894350009</v>
      </c>
      <c r="AH38" s="15">
        <v>0.11754503777619262</v>
      </c>
      <c r="AI38" s="15"/>
      <c r="AJ38" s="15"/>
    </row>
    <row r="39" spans="2:36" x14ac:dyDescent="0.2">
      <c r="B39" s="9">
        <v>32</v>
      </c>
      <c r="C39" s="4">
        <v>3.0914902450000001</v>
      </c>
      <c r="D39" s="5">
        <v>3.7838126E-2</v>
      </c>
      <c r="E39" s="6">
        <f>EXP(-tbl_zero_rates[[#This Row],[nacc]]*tbl_zero_rates[[#This Row],[tau]])</f>
        <v>0.88960636783985059</v>
      </c>
      <c r="J39" s="12">
        <v>2.2892490203838385</v>
      </c>
      <c r="K39" s="13" cm="1">
        <f t="array" ref="K39">cubicSpline(tbl_zero_rates[tau],tbl_zero_rates[nacc],J39,0)</f>
        <v>3.2864568996272152E-2</v>
      </c>
      <c r="L39" s="3" cm="1">
        <f t="array" ref="L39">cubicSpline(tbl_zero_rates[tau],tbl_zero_rates[nacc],J39,1)</f>
        <v>7.0812225709468478E-3</v>
      </c>
      <c r="M39" s="3">
        <f t="shared" si="2"/>
        <v>4.9075250829932152E-2</v>
      </c>
      <c r="O39" s="12">
        <v>2.2892590203838385</v>
      </c>
      <c r="P39" s="13" cm="1">
        <f t="array" ref="P39">cubicSpline(tbl_zero_rates[tau],tbl_zero_rates[nacc],O39,0)</f>
        <v>3.2864638729198564E-2</v>
      </c>
      <c r="Q39" s="3" cm="1">
        <f t="array" ref="Q39">cubicSpline(tbl_zero_rates[tau],tbl_zero_rates[nacc],O39,1)</f>
        <v>7.0812225201083746E-3</v>
      </c>
      <c r="R39" s="3">
        <f t="shared" si="3"/>
        <v>4.9075391258701834E-2</v>
      </c>
      <c r="T39" s="12">
        <v>2.2892390203838384</v>
      </c>
      <c r="U39" s="13" cm="1">
        <f t="array" ref="U39">cubicSpline(tbl_zero_rates[tau],tbl_zero_rates[nacc],T39,0)</f>
        <v>3.2864499263143852E-2</v>
      </c>
      <c r="V39" s="3" cm="1">
        <f t="array" ref="V39">cubicSpline(tbl_zero_rates[tau],tbl_zero_rates[nacc],T39,1)</f>
        <v>7.081222621785321E-3</v>
      </c>
      <c r="W39" s="3">
        <f t="shared" si="4"/>
        <v>4.9075110400959555E-2</v>
      </c>
      <c r="Y39" s="3">
        <f t="shared" ref="Y39:Y70" si="6">(R39-W39)/(2*dt)</f>
        <v>1.4042887113915879E-2</v>
      </c>
      <c r="Z39" s="3">
        <f t="shared" ref="Z39:Z70" si="7">Y39+mean_reversion_rate*M39+(volalitity*volalitity)*(1-EXP(-2*mean_reversion_rate*J39))/(2*mean_reversion_rate)</f>
        <v>2.3954558013881824E-2</v>
      </c>
      <c r="AA39" s="3"/>
      <c r="AB39" s="3">
        <v>1.91890374194074E-2</v>
      </c>
      <c r="AC39" s="3">
        <f t="shared" si="5"/>
        <v>-0.19894003436476571</v>
      </c>
      <c r="AE39" s="8">
        <v>0</v>
      </c>
      <c r="AF39" s="12">
        <v>2.2892490203838385</v>
      </c>
      <c r="AG39" s="15">
        <v>1.8563563321601975</v>
      </c>
      <c r="AH39" s="15">
        <v>0.12553771980795472</v>
      </c>
      <c r="AI39" s="15"/>
      <c r="AJ39" s="15"/>
    </row>
    <row r="40" spans="2:36" x14ac:dyDescent="0.2">
      <c r="B40" s="9">
        <v>33</v>
      </c>
      <c r="C40" s="4">
        <v>3.1799916970000002</v>
      </c>
      <c r="D40" s="5">
        <v>3.8314718999999997E-2</v>
      </c>
      <c r="E40" s="6">
        <f>EXP(-tbl_zero_rates[[#This Row],[nacc]]*tbl_zero_rates[[#This Row],[tau]])</f>
        <v>0.88528957129138375</v>
      </c>
      <c r="J40" s="12">
        <v>2.3606640443333333</v>
      </c>
      <c r="K40" s="13" cm="1">
        <f t="array" ref="K40">cubicSpline(tbl_zero_rates[tau],tbl_zero_rates[nacc],J40,0)</f>
        <v>3.3357439612425495E-2</v>
      </c>
      <c r="L40" s="3" cm="1">
        <f t="array" ref="L40">cubicSpline(tbl_zero_rates[tau],tbl_zero_rates[nacc],J40,1)</f>
        <v>6.9023556359644987E-3</v>
      </c>
      <c r="M40" s="3">
        <f t="shared" si="2"/>
        <v>4.9651582383448425E-2</v>
      </c>
      <c r="O40" s="12">
        <v>2.3606740443333334</v>
      </c>
      <c r="P40" s="13" cm="1">
        <f t="array" ref="P40">cubicSpline(tbl_zero_rates[tau],tbl_zero_rates[nacc],O40,0)</f>
        <v>3.335750791206895E-2</v>
      </c>
      <c r="Q40" s="3" cm="1">
        <f t="array" ref="Q40">cubicSpline(tbl_zero_rates[tau],tbl_zero_rates[nacc],O40,1)</f>
        <v>6.9023555870889571E-3</v>
      </c>
      <c r="R40" s="3">
        <f t="shared" si="3"/>
        <v>4.9651719591269017E-2</v>
      </c>
      <c r="T40" s="12">
        <v>2.3606540443333333</v>
      </c>
      <c r="U40" s="13" cm="1">
        <f t="array" ref="U40">cubicSpline(tbl_zero_rates[tau],tbl_zero_rates[nacc],T40,0)</f>
        <v>3.3357371312582533E-2</v>
      </c>
      <c r="V40" s="3" cm="1">
        <f t="array" ref="V40">cubicSpline(tbl_zero_rates[tau],tbl_zero_rates[nacc],T40,1)</f>
        <v>6.9023556848400412E-3</v>
      </c>
      <c r="W40" s="3">
        <f t="shared" si="4"/>
        <v>4.9651445175427356E-2</v>
      </c>
      <c r="Y40" s="3">
        <f t="shared" si="6"/>
        <v>1.3720792083060649E-2</v>
      </c>
      <c r="Z40" s="3">
        <f t="shared" si="7"/>
        <v>2.3753306239301344E-2</v>
      </c>
      <c r="AA40" s="3"/>
      <c r="AB40" s="3">
        <v>1.8950003818894199E-2</v>
      </c>
      <c r="AC40" s="3">
        <f t="shared" si="5"/>
        <v>-0.2022161619109587</v>
      </c>
      <c r="AE40" s="8">
        <v>0</v>
      </c>
      <c r="AF40" s="12">
        <v>2.3606640443333333</v>
      </c>
      <c r="AG40" s="15">
        <v>1.9022705211181294</v>
      </c>
      <c r="AH40" s="15">
        <v>0.13237087463702596</v>
      </c>
      <c r="AI40" s="15"/>
      <c r="AJ40" s="15"/>
    </row>
    <row r="41" spans="2:36" x14ac:dyDescent="0.2">
      <c r="B41" s="9">
        <v>34</v>
      </c>
      <c r="C41" s="4">
        <v>3.2684931499999998</v>
      </c>
      <c r="D41" s="5">
        <v>3.8777853000000001E-2</v>
      </c>
      <c r="E41" s="6">
        <f>EXP(-tbl_zero_rates[[#This Row],[nacc]]*tbl_zero_rates[[#This Row],[tau]])</f>
        <v>0.88095815890624962</v>
      </c>
      <c r="J41" s="12">
        <v>2.4320790682828282</v>
      </c>
      <c r="K41" s="13" cm="1">
        <f t="array" ref="K41">cubicSpline(tbl_zero_rates[tau],tbl_zero_rates[nacc],J41,0)</f>
        <v>3.3840134910679429E-2</v>
      </c>
      <c r="L41" s="3" cm="1">
        <f t="array" ref="L41">cubicSpline(tbl_zero_rates[tau],tbl_zero_rates[nacc],J41,1)</f>
        <v>6.7261063934590352E-3</v>
      </c>
      <c r="M41" s="3">
        <f t="shared" si="2"/>
        <v>5.0198557481254458E-2</v>
      </c>
      <c r="O41" s="12">
        <v>2.4320890682828282</v>
      </c>
      <c r="P41" s="13" cm="1">
        <f t="array" ref="P41">cubicSpline(tbl_zero_rates[tau],tbl_zero_rates[nacc],O41,0)</f>
        <v>3.3840201794019004E-2</v>
      </c>
      <c r="Q41" s="3" cm="1">
        <f t="array" ref="Q41">cubicSpline(tbl_zero_rates[tau],tbl_zero_rates[nacc],O41,1)</f>
        <v>6.7261063436157746E-3</v>
      </c>
      <c r="R41" s="3">
        <f t="shared" si="3"/>
        <v>5.0198691504434713E-2</v>
      </c>
      <c r="T41" s="12">
        <v>2.4320690682828281</v>
      </c>
      <c r="U41" s="13" cm="1">
        <f t="array" ref="U41">cubicSpline(tbl_zero_rates[tau],tbl_zero_rates[nacc],T41,0)</f>
        <v>3.3840068027142726E-2</v>
      </c>
      <c r="V41" s="3" cm="1">
        <f t="array" ref="V41">cubicSpline(tbl_zero_rates[tau],tbl_zero_rates[nacc],T41,1)</f>
        <v>6.7261064433022967E-3</v>
      </c>
      <c r="W41" s="3">
        <f t="shared" si="4"/>
        <v>5.0198423457876069E-2</v>
      </c>
      <c r="Y41" s="3">
        <f t="shared" si="6"/>
        <v>1.3402327932177103E-2</v>
      </c>
      <c r="Z41" s="3">
        <f t="shared" si="7"/>
        <v>2.3549804007679035E-2</v>
      </c>
      <c r="AA41" s="3"/>
      <c r="AB41" s="3">
        <v>1.8713193726259798E-2</v>
      </c>
      <c r="AC41" s="3">
        <f t="shared" si="5"/>
        <v>-0.20537794199230419</v>
      </c>
      <c r="AE41" s="8">
        <v>0</v>
      </c>
      <c r="AF41" s="12">
        <v>2.4320790682828282</v>
      </c>
      <c r="AG41" s="15">
        <v>1.9475659147899422</v>
      </c>
      <c r="AH41" s="15">
        <v>0.13929729310137356</v>
      </c>
      <c r="AI41" s="15"/>
      <c r="AJ41" s="15"/>
    </row>
    <row r="42" spans="2:36" x14ac:dyDescent="0.2">
      <c r="B42" s="9">
        <v>35</v>
      </c>
      <c r="C42" s="4">
        <v>3.356994603</v>
      </c>
      <c r="D42" s="5">
        <v>3.9227761E-2</v>
      </c>
      <c r="E42" s="6">
        <f>EXP(-tbl_zero_rates[[#This Row],[nacc]]*tbl_zero_rates[[#This Row],[tau]])</f>
        <v>0.87661499790632424</v>
      </c>
      <c r="J42" s="12">
        <v>2.503494092232323</v>
      </c>
      <c r="K42" s="13" cm="1">
        <f t="array" ref="K42">cubicSpline(tbl_zero_rates[tau],tbl_zero_rates[nacc],J42,0)</f>
        <v>3.4312777116055959E-2</v>
      </c>
      <c r="L42" s="3" cm="1">
        <f t="array" ref="L42">cubicSpline(tbl_zero_rates[tau],tbl_zero_rates[nacc],J42,1)</f>
        <v>6.5524969272629102E-3</v>
      </c>
      <c r="M42" s="3">
        <f t="shared" si="2"/>
        <v>5.0716914462829103E-2</v>
      </c>
      <c r="O42" s="12">
        <v>2.5035040922323231</v>
      </c>
      <c r="P42" s="13" cm="1">
        <f t="array" ref="P42">cubicSpline(tbl_zero_rates[tau],tbl_zero_rates[nacc],O42,0)</f>
        <v>3.4312842600331246E-2</v>
      </c>
      <c r="Q42" s="3" cm="1">
        <f t="array" ref="Q42">cubicSpline(tbl_zero_rates[tau],tbl_zero_rates[nacc],O42,1)</f>
        <v>6.5524968767476958E-3</v>
      </c>
      <c r="R42" s="3">
        <f t="shared" si="3"/>
        <v>5.0717045345608613E-2</v>
      </c>
      <c r="T42" s="12">
        <v>2.5034840922323229</v>
      </c>
      <c r="U42" s="13" cm="1">
        <f t="array" ref="U42">cubicSpline(tbl_zero_rates[tau],tbl_zero_rates[nacc],T42,0)</f>
        <v>3.4312711631585988E-2</v>
      </c>
      <c r="V42" s="3" cm="1">
        <f t="array" ref="V42">cubicSpline(tbl_zero_rates[tau],tbl_zero_rates[nacc],T42,1)</f>
        <v>6.5524969777781246E-3</v>
      </c>
      <c r="W42" s="3">
        <f t="shared" si="4"/>
        <v>5.0716783579853895E-2</v>
      </c>
      <c r="Y42" s="3">
        <f t="shared" si="6"/>
        <v>1.3088287735898983E-2</v>
      </c>
      <c r="Z42" s="3">
        <f t="shared" si="7"/>
        <v>2.3344992806647858E-2</v>
      </c>
      <c r="AA42" s="3"/>
      <c r="AB42" s="3">
        <v>1.8477912131879399E-2</v>
      </c>
      <c r="AC42" s="3">
        <f t="shared" si="5"/>
        <v>-0.20848499355212824</v>
      </c>
      <c r="AE42" s="8">
        <v>0</v>
      </c>
      <c r="AF42" s="12">
        <v>2.503494092232323</v>
      </c>
      <c r="AG42" s="15">
        <v>1.9922508528112655</v>
      </c>
      <c r="AH42" s="15">
        <v>0.14631433784325495</v>
      </c>
      <c r="AI42" s="15"/>
      <c r="AJ42" s="15"/>
    </row>
    <row r="43" spans="2:36" x14ac:dyDescent="0.2">
      <c r="B43" s="9">
        <v>36</v>
      </c>
      <c r="C43" s="4">
        <v>3.4454960560000001</v>
      </c>
      <c r="D43" s="5">
        <v>3.9664677000000002E-2</v>
      </c>
      <c r="E43" s="6">
        <f>EXP(-tbl_zero_rates[[#This Row],[nacc]]*tbl_zero_rates[[#This Row],[tau]])</f>
        <v>0.87226283154540485</v>
      </c>
      <c r="J43" s="12">
        <v>2.5749091161818183</v>
      </c>
      <c r="K43" s="13" cm="1">
        <f t="array" ref="K43">cubicSpline(tbl_zero_rates[tau],tbl_zero_rates[nacc],J43,0)</f>
        <v>3.4775490045219036E-2</v>
      </c>
      <c r="L43" s="3" cm="1">
        <f t="array" ref="L43">cubicSpline(tbl_zero_rates[tau],tbl_zero_rates[nacc],J43,1)</f>
        <v>6.3815530056377358E-3</v>
      </c>
      <c r="M43" s="3">
        <f t="shared" si="2"/>
        <v>5.120740905483312E-2</v>
      </c>
      <c r="O43" s="12">
        <v>2.5749191161818183</v>
      </c>
      <c r="P43" s="13" cm="1">
        <f t="array" ref="P43">cubicSpline(tbl_zero_rates[tau],tbl_zero_rates[nacc],O43,0)</f>
        <v>3.4775554147852272E-2</v>
      </c>
      <c r="Q43" s="3" cm="1">
        <f t="array" ref="Q43">cubicSpline(tbl_zero_rates[tau],tbl_zero_rates[nacc],O43,1)</f>
        <v>6.3815529562334808E-3</v>
      </c>
      <c r="R43" s="3">
        <f t="shared" si="3"/>
        <v>5.1207536845784454E-2</v>
      </c>
      <c r="T43" s="12">
        <v>2.5748991161818182</v>
      </c>
      <c r="U43" s="13" cm="1">
        <f t="array" ref="U43">cubicSpline(tbl_zero_rates[tau],tbl_zero_rates[nacc],T43,0)</f>
        <v>3.4775425942393544E-2</v>
      </c>
      <c r="V43" s="3" cm="1">
        <f t="array" ref="V43">cubicSpline(tbl_zero_rates[tau],tbl_zero_rates[nacc],T43,1)</f>
        <v>6.3815530550419908E-3</v>
      </c>
      <c r="W43" s="3">
        <f t="shared" si="4"/>
        <v>5.120728126368855E-2</v>
      </c>
      <c r="Y43" s="3">
        <f t="shared" si="6"/>
        <v>1.2779104795190841E-2</v>
      </c>
      <c r="Z43" s="3">
        <f t="shared" si="7"/>
        <v>2.3139457436113554E-2</v>
      </c>
      <c r="AA43" s="3"/>
      <c r="AB43" s="3">
        <v>1.82438191873808E-2</v>
      </c>
      <c r="AC43" s="3">
        <f t="shared" si="5"/>
        <v>-0.21157100430073927</v>
      </c>
      <c r="AE43" s="8">
        <v>0</v>
      </c>
      <c r="AF43" s="12">
        <v>2.5749091161818183</v>
      </c>
      <c r="AG43" s="15">
        <v>2.036333562422687</v>
      </c>
      <c r="AH43" s="15">
        <v>0.15341823469191071</v>
      </c>
      <c r="AI43" s="15"/>
      <c r="AJ43" s="15"/>
    </row>
    <row r="44" spans="2:36" x14ac:dyDescent="0.2">
      <c r="B44" s="9">
        <v>37</v>
      </c>
      <c r="C44" s="4">
        <v>3.5339975090000002</v>
      </c>
      <c r="D44" s="5">
        <v>4.0088836000000003E-2</v>
      </c>
      <c r="E44" s="6">
        <f>EXP(-tbl_zero_rates[[#This Row],[nacc]]*tbl_zero_rates[[#This Row],[tau]])</f>
        <v>0.86790428029306799</v>
      </c>
      <c r="J44" s="12">
        <v>2.6463241401313131</v>
      </c>
      <c r="K44" s="13" cm="1">
        <f t="array" ref="K44">cubicSpline(tbl_zero_rates[tau],tbl_zero_rates[nacc],J44,0)</f>
        <v>3.5228397603178412E-2</v>
      </c>
      <c r="L44" s="3" cm="1">
        <f t="array" ref="L44">cubicSpline(tbl_zero_rates[tau],tbl_zero_rates[nacc],J44,1)</f>
        <v>6.3812001850345598E-3</v>
      </c>
      <c r="M44" s="3">
        <f t="shared" si="2"/>
        <v>5.211512169584577E-2</v>
      </c>
      <c r="O44" s="12">
        <v>2.6463341401313132</v>
      </c>
      <c r="P44" s="13" cm="1">
        <f t="array" ref="P44">cubicSpline(tbl_zero_rates[tau],tbl_zero_rates[nacc],O44,0)</f>
        <v>3.5228460341374113E-2</v>
      </c>
      <c r="Q44" s="3" cm="1">
        <f t="array" ref="Q44">cubicSpline(tbl_zero_rates[tau],tbl_zero_rates[nacc],O44,1)</f>
        <v>6.3812001356303048E-3</v>
      </c>
      <c r="R44" s="3">
        <f t="shared" si="3"/>
        <v>5.2115248115303159E-2</v>
      </c>
      <c r="T44" s="12">
        <v>2.6463141401313131</v>
      </c>
      <c r="U44" s="13" cm="1">
        <f t="array" ref="U44">cubicSpline(tbl_zero_rates[tau],tbl_zero_rates[nacc],T44,0)</f>
        <v>3.5228334864792848E-2</v>
      </c>
      <c r="V44" s="3" cm="1">
        <f t="array" ref="V44">cubicSpline(tbl_zero_rates[tau],tbl_zero_rates[nacc],T44,1)</f>
        <v>6.3812002344388148E-3</v>
      </c>
      <c r="W44" s="3">
        <f t="shared" si="4"/>
        <v>5.2114995276197534E-2</v>
      </c>
      <c r="Y44" s="3">
        <f t="shared" si="6"/>
        <v>1.2641955281222915E-2</v>
      </c>
      <c r="Z44" s="3">
        <f t="shared" si="7"/>
        <v>2.3184947049655871E-2</v>
      </c>
      <c r="AA44" s="3"/>
      <c r="AB44" s="3">
        <v>1.8012222351799601E-2</v>
      </c>
      <c r="AC44" s="3">
        <f t="shared" si="5"/>
        <v>-0.22310703090145922</v>
      </c>
      <c r="AE44" s="8">
        <v>0</v>
      </c>
      <c r="AF44" s="12">
        <v>2.6463241401313131</v>
      </c>
      <c r="AG44" s="15">
        <v>2.0798221599845212</v>
      </c>
      <c r="AH44" s="15">
        <v>0.16236491346294313</v>
      </c>
      <c r="AI44" s="15"/>
      <c r="AJ44" s="15"/>
    </row>
    <row r="45" spans="2:36" x14ac:dyDescent="0.2">
      <c r="B45" s="9">
        <v>38</v>
      </c>
      <c r="C45" s="4">
        <v>3.6224989619999999</v>
      </c>
      <c r="D45" s="5">
        <v>4.0500471000000003E-2</v>
      </c>
      <c r="E45" s="6">
        <f>EXP(-tbl_zero_rates[[#This Row],[nacc]]*tbl_zero_rates[[#This Row],[tau]])</f>
        <v>0.86354185247371729</v>
      </c>
      <c r="J45" s="12">
        <v>2.717739164080808</v>
      </c>
      <c r="K45" s="13" cm="1">
        <f t="array" ref="K45">cubicSpline(tbl_zero_rates[tau],tbl_zero_rates[nacc],J45,0)</f>
        <v>3.5671621993572225E-2</v>
      </c>
      <c r="L45" s="3" cm="1">
        <f t="array" ref="L45">cubicSpline(tbl_zero_rates[tau],tbl_zero_rates[nacc],J45,1)</f>
        <v>6.21289572050836E-3</v>
      </c>
      <c r="M45" s="3">
        <f t="shared" si="2"/>
        <v>5.2556652015547843E-2</v>
      </c>
      <c r="O45" s="12">
        <v>2.717749164080808</v>
      </c>
      <c r="P45" s="13" cm="1">
        <f t="array" ref="P45">cubicSpline(tbl_zero_rates[tau],tbl_zero_rates[nacc],O45,0)</f>
        <v>3.5671683384403262E-2</v>
      </c>
      <c r="Q45" s="3" cm="1">
        <f t="array" ref="Q45">cubicSpline(tbl_zero_rates[tau],tbl_zero_rates[nacc],O45,1)</f>
        <v>6.2128956711624108E-3</v>
      </c>
      <c r="R45" s="3">
        <f t="shared" si="3"/>
        <v>5.2556775401226177E-2</v>
      </c>
      <c r="T45" s="12">
        <v>2.7177291640808079</v>
      </c>
      <c r="U45" s="13" cm="1">
        <f t="array" ref="U45">cubicSpline(tbl_zero_rates[tau],tbl_zero_rates[nacc],T45,0)</f>
        <v>3.5671560602553727E-2</v>
      </c>
      <c r="V45" s="3" cm="1">
        <f t="array" ref="V45">cubicSpline(tbl_zero_rates[tau],tbl_zero_rates[nacc],T45,1)</f>
        <v>6.2128957698543092E-3</v>
      </c>
      <c r="W45" s="3">
        <f t="shared" si="4"/>
        <v>5.2556528629681062E-2</v>
      </c>
      <c r="Y45" s="3">
        <f t="shared" si="6"/>
        <v>1.2338577255743831E-2</v>
      </c>
      <c r="Z45" s="3">
        <f t="shared" si="7"/>
        <v>2.2975361131616381E-2</v>
      </c>
      <c r="AA45" s="3"/>
      <c r="AB45" s="3">
        <v>1.7782570812489899E-2</v>
      </c>
      <c r="AC45" s="3">
        <f t="shared" si="5"/>
        <v>-0.22601561252417857</v>
      </c>
      <c r="AE45" s="8">
        <v>0</v>
      </c>
      <c r="AF45" s="12">
        <v>2.717739164080808</v>
      </c>
      <c r="AG45" s="15">
        <v>2.122724652471172</v>
      </c>
      <c r="AH45" s="15">
        <v>0.16969845647386722</v>
      </c>
      <c r="AI45" s="15"/>
      <c r="AJ45" s="15"/>
    </row>
    <row r="46" spans="2:36" x14ac:dyDescent="0.2">
      <c r="B46" s="9">
        <v>39</v>
      </c>
      <c r="C46" s="4">
        <v>3.711000415</v>
      </c>
      <c r="D46" s="5">
        <v>4.0899816999999998E-2</v>
      </c>
      <c r="E46" s="6">
        <f>EXP(-tbl_zero_rates[[#This Row],[nacc]]*tbl_zero_rates[[#This Row],[tau]])</f>
        <v>0.85917793376518403</v>
      </c>
      <c r="J46" s="12">
        <v>2.7891541880303028</v>
      </c>
      <c r="K46" s="13" cm="1">
        <f t="array" ref="K46">cubicSpline(tbl_zero_rates[tau],tbl_zero_rates[nacc],J46,0)</f>
        <v>3.6105285301449352E-2</v>
      </c>
      <c r="L46" s="3" cm="1">
        <f t="array" ref="L46">cubicSpline(tbl_zero_rates[tau],tbl_zero_rates[nacc],J46,1)</f>
        <v>6.0472170512656329E-3</v>
      </c>
      <c r="M46" s="3">
        <f t="shared" si="2"/>
        <v>5.2971906065915147E-2</v>
      </c>
      <c r="O46" s="12">
        <v>2.7891641880303029</v>
      </c>
      <c r="P46" s="13" cm="1">
        <f t="array" ref="P46">cubicSpline(tbl_zero_rates[tau],tbl_zero_rates[nacc],O46,0)</f>
        <v>3.6105345362099459E-2</v>
      </c>
      <c r="Q46" s="3" cm="1">
        <f t="array" ref="Q46">cubicSpline(tbl_zero_rates[tau],tbl_zero_rates[nacc],O46,1)</f>
        <v>6.0472170005755011E-3</v>
      </c>
      <c r="R46" s="3">
        <f t="shared" si="3"/>
        <v>5.2972026457352668E-2</v>
      </c>
      <c r="T46" s="12">
        <v>2.7891441880303027</v>
      </c>
      <c r="U46" s="13" cm="1">
        <f t="array" ref="U46">cubicSpline(tbl_zero_rates[tau],tbl_zero_rates[nacc],T46,0)</f>
        <v>3.61052252406142E-2</v>
      </c>
      <c r="V46" s="3" cm="1">
        <f t="array" ref="V46">cubicSpline(tbl_zero_rates[tau],tbl_zero_rates[nacc],T46,1)</f>
        <v>6.0472171019557638E-3</v>
      </c>
      <c r="W46" s="3">
        <f t="shared" si="4"/>
        <v>5.2971785674291574E-2</v>
      </c>
      <c r="Y46" s="3">
        <f t="shared" si="6"/>
        <v>1.203915305468539E-2</v>
      </c>
      <c r="Z46" s="3">
        <f t="shared" si="7"/>
        <v>2.2764471460148636E-2</v>
      </c>
      <c r="AA46" s="3"/>
      <c r="AB46" s="3">
        <v>1.7554467917267599E-2</v>
      </c>
      <c r="AC46" s="3">
        <f t="shared" si="5"/>
        <v>-0.22886556149575632</v>
      </c>
      <c r="AE46" s="8">
        <v>0</v>
      </c>
      <c r="AF46" s="12">
        <v>2.7891541880303028</v>
      </c>
      <c r="AG46" s="15">
        <v>2.165048938945346</v>
      </c>
      <c r="AH46" s="15">
        <v>0.17709349867815563</v>
      </c>
      <c r="AI46" s="15"/>
      <c r="AJ46" s="15"/>
    </row>
    <row r="47" spans="2:36" x14ac:dyDescent="0.2">
      <c r="B47" s="9">
        <v>40</v>
      </c>
      <c r="C47" s="4">
        <v>3.7995018680000001</v>
      </c>
      <c r="D47" s="5">
        <v>4.1287108000000003E-2</v>
      </c>
      <c r="E47" s="6">
        <f>EXP(-tbl_zero_rates[[#This Row],[nacc]]*tbl_zero_rates[[#This Row],[tau]])</f>
        <v>0.85481479805541183</v>
      </c>
      <c r="J47" s="12">
        <v>2.8605692119797981</v>
      </c>
      <c r="K47" s="13" cm="1">
        <f t="array" ref="K47">cubicSpline(tbl_zero_rates[tau],tbl_zero_rates[nacc],J47,0)</f>
        <v>3.6529511509649351E-2</v>
      </c>
      <c r="L47" s="3" cm="1">
        <f t="array" ref="L47">cubicSpline(tbl_zero_rates[tau],tbl_zero_rates[nacc],J47,1)</f>
        <v>5.8842074975862749E-3</v>
      </c>
      <c r="M47" s="3">
        <f t="shared" si="2"/>
        <v>5.3361694314145343E-2</v>
      </c>
      <c r="O47" s="12">
        <v>2.8605792119797981</v>
      </c>
      <c r="P47" s="13" cm="1">
        <f t="array" ref="P47">cubicSpline(tbl_zero_rates[tau],tbl_zero_rates[nacc],O47,0)</f>
        <v>3.652957025756727E-2</v>
      </c>
      <c r="Q47" s="3" cm="1">
        <f t="array" ref="Q47">cubicSpline(tbl_zero_rates[tau],tbl_zero_rates[nacc],O47,1)</f>
        <v>5.8842074483843754E-3</v>
      </c>
      <c r="R47" s="3">
        <f t="shared" si="3"/>
        <v>5.3361811763392303E-2</v>
      </c>
      <c r="T47" s="12">
        <v>2.860559211979798</v>
      </c>
      <c r="U47" s="13" cm="1">
        <f t="array" ref="U47">cubicSpline(tbl_zero_rates[tau],tbl_zero_rates[nacc],T47,0)</f>
        <v>3.6529452761548814E-2</v>
      </c>
      <c r="V47" s="3" cm="1">
        <f t="array" ref="V47">cubicSpline(tbl_zero_rates[tau],tbl_zero_rates[nacc],T47,1)</f>
        <v>5.8842075467881744E-3</v>
      </c>
      <c r="W47" s="3">
        <f t="shared" si="4"/>
        <v>5.336157686471478E-2</v>
      </c>
      <c r="Y47" s="3">
        <f t="shared" si="6"/>
        <v>1.1744933876151052E-2</v>
      </c>
      <c r="Z47" s="3">
        <f t="shared" si="7"/>
        <v>2.2553690319233512E-2</v>
      </c>
      <c r="AA47" s="3"/>
      <c r="AB47" s="3">
        <v>1.7328913907070202E-2</v>
      </c>
      <c r="AC47" s="3">
        <f t="shared" si="5"/>
        <v>-0.23165949067358105</v>
      </c>
      <c r="AE47" s="8">
        <v>0</v>
      </c>
      <c r="AF47" s="12">
        <v>2.8605692119797981</v>
      </c>
      <c r="AG47" s="15">
        <v>2.2068028120124019</v>
      </c>
      <c r="AH47" s="15">
        <v>0.18455360503435847</v>
      </c>
      <c r="AI47" s="15"/>
      <c r="AJ47" s="15"/>
    </row>
    <row r="48" spans="2:36" x14ac:dyDescent="0.2">
      <c r="B48" s="9">
        <v>41</v>
      </c>
      <c r="C48" s="4">
        <v>3.8880033209999998</v>
      </c>
      <c r="D48" s="5">
        <v>4.1662577999999999E-2</v>
      </c>
      <c r="E48" s="6">
        <f>EXP(-tbl_zero_rates[[#This Row],[nacc]]*tbl_zero_rates[[#This Row],[tau]])</f>
        <v>0.85045460621688518</v>
      </c>
      <c r="J48" s="12">
        <v>2.9319842359292929</v>
      </c>
      <c r="K48" s="13" cm="1">
        <f t="array" ref="K48">cubicSpline(tbl_zero_rates[tau],tbl_zero_rates[nacc],J48,0)</f>
        <v>3.6944423985062459E-2</v>
      </c>
      <c r="L48" s="3" cm="1">
        <f t="array" ref="L48">cubicSpline(tbl_zero_rates[tau],tbl_zero_rates[nacc],J48,1)</f>
        <v>5.7238347882260926E-3</v>
      </c>
      <c r="M48" s="3">
        <f t="shared" si="2"/>
        <v>5.3726617353205046E-2</v>
      </c>
      <c r="O48" s="12">
        <v>2.931994235929293</v>
      </c>
      <c r="P48" s="13" cm="1">
        <f t="array" ref="P48">cubicSpline(tbl_zero_rates[tau],tbl_zero_rates[nacc],O48,0)</f>
        <v>3.6944481437336946E-2</v>
      </c>
      <c r="Q48" s="3" cm="1">
        <f t="array" ref="Q48">cubicSpline(tbl_zero_rates[tau],tbl_zero_rates[nacc],O48,1)</f>
        <v>5.7238347382456379E-3</v>
      </c>
      <c r="R48" s="3">
        <f t="shared" si="3"/>
        <v>5.372673189728501E-2</v>
      </c>
      <c r="T48" s="12">
        <v>2.9319742359292928</v>
      </c>
      <c r="U48" s="13" cm="1">
        <f t="array" ref="U48">cubicSpline(tbl_zero_rates[tau],tbl_zero_rates[nacc],T48,0)</f>
        <v>3.6944366532607749E-2</v>
      </c>
      <c r="V48" s="3" cm="1">
        <f t="array" ref="V48">cubicSpline(tbl_zero_rates[tau],tbl_zero_rates[nacc],T48,1)</f>
        <v>5.7238348382065464E-3</v>
      </c>
      <c r="W48" s="3">
        <f t="shared" si="4"/>
        <v>5.3726502808943852E-2</v>
      </c>
      <c r="Y48" s="3">
        <f t="shared" si="6"/>
        <v>1.1454417057910058E-2</v>
      </c>
      <c r="Z48" s="3">
        <f t="shared" si="7"/>
        <v>2.2341636066404359E-2</v>
      </c>
      <c r="AA48" s="3"/>
      <c r="AB48" s="3">
        <v>1.7105958648008499E-2</v>
      </c>
      <c r="AC48" s="3">
        <f t="shared" si="5"/>
        <v>-0.23434619572327875</v>
      </c>
      <c r="AE48" s="8">
        <v>0</v>
      </c>
      <c r="AF48" s="12">
        <v>2.9319842359292929</v>
      </c>
      <c r="AG48" s="15">
        <v>2.247993959255099</v>
      </c>
      <c r="AH48" s="15">
        <v>0.19206057954102315</v>
      </c>
      <c r="AI48" s="15"/>
      <c r="AJ48" s="15"/>
    </row>
    <row r="49" spans="2:36" x14ac:dyDescent="0.2">
      <c r="B49" s="9">
        <v>42</v>
      </c>
      <c r="C49" s="4">
        <v>3.9765047729999998</v>
      </c>
      <c r="D49" s="5">
        <v>4.2026460000000002E-2</v>
      </c>
      <c r="E49" s="6">
        <f>EXP(-tbl_zero_rates[[#This Row],[nacc]]*tbl_zero_rates[[#This Row],[tau]])</f>
        <v>0.84609941134253419</v>
      </c>
      <c r="J49" s="12">
        <v>3.0033992598787878</v>
      </c>
      <c r="K49" s="13" cm="1">
        <f t="array" ref="K49">cubicSpline(tbl_zero_rates[tau],tbl_zero_rates[nacc],J49,0)</f>
        <v>3.7350144908961831E-2</v>
      </c>
      <c r="L49" s="3" cm="1">
        <f t="array" ref="L49">cubicSpline(tbl_zero_rates[tau],tbl_zero_rates[nacc],J49,1)</f>
        <v>5.5661019197657214E-3</v>
      </c>
      <c r="M49" s="3">
        <f t="shared" si="2"/>
        <v>5.40673712951961E-2</v>
      </c>
      <c r="O49" s="12">
        <v>3.0034092598787878</v>
      </c>
      <c r="P49" s="13" cm="1">
        <f t="array" ref="P49">cubicSpline(tbl_zero_rates[tau],tbl_zero_rates[nacc],O49,0)</f>
        <v>3.7350201082797616E-2</v>
      </c>
      <c r="Q49" s="3" cm="1">
        <f t="array" ref="Q49">cubicSpline(tbl_zero_rates[tau],tbl_zero_rates[nacc],O49,1)</f>
        <v>5.5661018701345247E-3</v>
      </c>
      <c r="R49" s="3">
        <f t="shared" si="3"/>
        <v>5.4067482980988284E-2</v>
      </c>
      <c r="T49" s="12">
        <v>3.0033892598787877</v>
      </c>
      <c r="U49" s="13" cm="1">
        <f t="array" ref="U49">cubicSpline(tbl_zero_rates[tau],tbl_zero_rates[nacc],T49,0)</f>
        <v>3.7350088734948238E-2</v>
      </c>
      <c r="V49" s="3" cm="1">
        <f t="array" ref="V49">cubicSpline(tbl_zero_rates[tau],tbl_zero_rates[nacc],T49,1)</f>
        <v>5.5661019693969182E-3</v>
      </c>
      <c r="W49" s="3">
        <f t="shared" si="4"/>
        <v>5.4067259609225107E-2</v>
      </c>
      <c r="Y49" s="3">
        <f t="shared" si="6"/>
        <v>1.1168588158819158E-2</v>
      </c>
      <c r="Z49" s="3">
        <f t="shared" si="7"/>
        <v>2.2129433243995373E-2</v>
      </c>
      <c r="AA49" s="3"/>
      <c r="AB49" s="3">
        <v>1.6884137208175401E-2</v>
      </c>
      <c r="AC49" s="3">
        <f t="shared" si="5"/>
        <v>-0.2370280331170812</v>
      </c>
      <c r="AE49" s="8">
        <v>0</v>
      </c>
      <c r="AF49" s="12">
        <v>3.0033992598787878</v>
      </c>
      <c r="AG49" s="15">
        <v>2.2886299646490103</v>
      </c>
      <c r="AH49" s="15">
        <v>0.199616497068245</v>
      </c>
      <c r="AI49" s="15"/>
      <c r="AJ49" s="15"/>
    </row>
    <row r="50" spans="2:36" x14ac:dyDescent="0.2">
      <c r="B50" s="9">
        <v>43</v>
      </c>
      <c r="C50" s="4">
        <v>4.0650062260000004</v>
      </c>
      <c r="D50" s="5">
        <v>4.2378989999999998E-2</v>
      </c>
      <c r="E50" s="6">
        <f>EXP(-tbl_zero_rates[[#This Row],[nacc]]*tbl_zero_rates[[#This Row],[tau]])</f>
        <v>0.84175114708663912</v>
      </c>
      <c r="J50" s="12">
        <v>3.0748142838282826</v>
      </c>
      <c r="K50" s="13" cm="1">
        <f t="array" ref="K50">cubicSpline(tbl_zero_rates[tau],tbl_zero_rates[nacc],J50,0)</f>
        <v>3.774679741275426E-2</v>
      </c>
      <c r="L50" s="3" cm="1">
        <f t="array" ref="L50">cubicSpline(tbl_zero_rates[tau],tbl_zero_rates[nacc],J50,1)</f>
        <v>5.5657474784561213E-3</v>
      </c>
      <c r="M50" s="3">
        <f t="shared" si="2"/>
        <v>5.4860437259692391E-2</v>
      </c>
      <c r="O50" s="12">
        <v>3.0748242838282827</v>
      </c>
      <c r="P50" s="13" cm="1">
        <f t="array" ref="P50">cubicSpline(tbl_zero_rates[tau],tbl_zero_rates[nacc],O50,0)</f>
        <v>3.7746852325371727E-2</v>
      </c>
      <c r="Q50" s="3" cm="1">
        <f t="array" ref="Q50">cubicSpline(tbl_zero_rates[tau],tbl_zero_rates[nacc],O50,1)</f>
        <v>5.5657474288249246E-3</v>
      </c>
      <c r="R50" s="3">
        <f t="shared" si="3"/>
        <v>5.4860547677177435E-2</v>
      </c>
      <c r="T50" s="12">
        <v>3.0748042838282825</v>
      </c>
      <c r="U50" s="13" cm="1">
        <f t="array" ref="U50">cubicSpline(tbl_zero_rates[tau],tbl_zero_rates[nacc],T50,0)</f>
        <v>3.7746742499961398E-2</v>
      </c>
      <c r="V50" s="3" cm="1">
        <f t="array" ref="V50">cubicSpline(tbl_zero_rates[tau],tbl_zero_rates[nacc],T50,1)</f>
        <v>5.565747528087318E-3</v>
      </c>
      <c r="W50" s="3">
        <f t="shared" si="4"/>
        <v>5.486032684203096E-2</v>
      </c>
      <c r="Y50" s="3">
        <f t="shared" si="6"/>
        <v>1.1041757323748678E-2</v>
      </c>
      <c r="Z50" s="3">
        <f t="shared" si="7"/>
        <v>2.2161929951802543E-2</v>
      </c>
      <c r="AA50" s="3"/>
      <c r="AB50" s="3">
        <v>1.66664529757991E-2</v>
      </c>
      <c r="AC50" s="3">
        <f t="shared" si="5"/>
        <v>-0.24796924220746708</v>
      </c>
      <c r="AE50" s="8">
        <v>0</v>
      </c>
      <c r="AF50" s="12">
        <v>3.0748142838282826</v>
      </c>
      <c r="AG50" s="15">
        <v>2.3287183099588571</v>
      </c>
      <c r="AH50" s="15">
        <v>0.20952958731783955</v>
      </c>
      <c r="AI50" s="15"/>
      <c r="AJ50" s="15"/>
    </row>
    <row r="51" spans="2:36" x14ac:dyDescent="0.2">
      <c r="B51" s="9">
        <v>44</v>
      </c>
      <c r="C51" s="4">
        <v>4.1535076789999996</v>
      </c>
      <c r="D51" s="5">
        <v>4.2720399999999999E-2</v>
      </c>
      <c r="E51" s="6">
        <f>EXP(-tbl_zero_rates[[#This Row],[nacc]]*tbl_zero_rates[[#This Row],[tau]])</f>
        <v>0.83741165329522027</v>
      </c>
      <c r="J51" s="12">
        <v>3.1462293077777779</v>
      </c>
      <c r="K51" s="13" cm="1">
        <f t="array" ref="K51">cubicSpline(tbl_zero_rates[tau],tbl_zero_rates[nacc],J51,0)</f>
        <v>3.8134504306703169E-2</v>
      </c>
      <c r="L51" s="3" cm="1">
        <f t="array" ref="L51">cubicSpline(tbl_zero_rates[tau],tbl_zero_rates[nacc],J51,1)</f>
        <v>5.410657752253553E-3</v>
      </c>
      <c r="M51" s="3">
        <f t="shared" si="2"/>
        <v>5.5157674301198334E-2</v>
      </c>
      <c r="O51" s="12">
        <v>3.1462393077777779</v>
      </c>
      <c r="P51" s="13" cm="1">
        <f t="array" ref="P51">cubicSpline(tbl_zero_rates[tau],tbl_zero_rates[nacc],O51,0)</f>
        <v>3.8134557975326507E-2</v>
      </c>
      <c r="Q51" s="3" cm="1">
        <f t="array" ref="Q51">cubicSpline(tbl_zero_rates[tau],tbl_zero_rates[nacc],O51,1)</f>
        <v>5.4106577019971038E-3</v>
      </c>
      <c r="R51" s="3">
        <f t="shared" si="3"/>
        <v>5.5157781918280378E-2</v>
      </c>
      <c r="T51" s="12">
        <v>3.1462193077777778</v>
      </c>
      <c r="U51" s="13" cm="1">
        <f t="array" ref="U51">cubicSpline(tbl_zero_rates[tau],tbl_zero_rates[nacc],T51,0)</f>
        <v>3.8134450637906846E-2</v>
      </c>
      <c r="V51" s="3" cm="1">
        <f t="array" ref="V51">cubicSpline(tbl_zero_rates[tau],tbl_zero_rates[nacc],T51,1)</f>
        <v>5.4106578025100022E-3</v>
      </c>
      <c r="W51" s="3">
        <f t="shared" si="4"/>
        <v>5.5157566683942297E-2</v>
      </c>
      <c r="Y51" s="3">
        <f t="shared" si="6"/>
        <v>1.0761716904075789E-2</v>
      </c>
      <c r="Z51" s="3">
        <f t="shared" si="7"/>
        <v>2.1946778128612399E-2</v>
      </c>
      <c r="AA51" s="3"/>
      <c r="AB51" s="3">
        <v>1.6450142747281699E-2</v>
      </c>
      <c r="AC51" s="3">
        <f t="shared" si="5"/>
        <v>-0.25045295255273203</v>
      </c>
      <c r="AE51" s="8">
        <v>0</v>
      </c>
      <c r="AF51" s="12">
        <v>3.1462293077777779</v>
      </c>
      <c r="AG51" s="15">
        <v>2.3682663761160279</v>
      </c>
      <c r="AH51" s="15">
        <v>0.21724586438584584</v>
      </c>
      <c r="AI51" s="15"/>
      <c r="AJ51" s="15"/>
    </row>
    <row r="52" spans="2:36" x14ac:dyDescent="0.2">
      <c r="B52" s="9">
        <v>45</v>
      </c>
      <c r="C52" s="4">
        <v>4.2420091319999997</v>
      </c>
      <c r="D52" s="5">
        <v>4.3050924999999997E-2</v>
      </c>
      <c r="E52" s="6">
        <f>EXP(-tbl_zero_rates[[#This Row],[nacc]]*tbl_zero_rates[[#This Row],[tau]])</f>
        <v>0.83308265421399852</v>
      </c>
      <c r="J52" s="12">
        <v>3.2176443317272727</v>
      </c>
      <c r="K52" s="13" cm="1">
        <f t="array" ref="K52">cubicSpline(tbl_zero_rates[tau],tbl_zero_rates[nacc],J52,0)</f>
        <v>3.8513389160710836E-2</v>
      </c>
      <c r="L52" s="3" cm="1">
        <f t="array" ref="L52">cubicSpline(tbl_zero_rates[tau],tbl_zero_rates[nacc],J52,1)</f>
        <v>5.2582255578800434E-3</v>
      </c>
      <c r="M52" s="3">
        <f t="shared" si="2"/>
        <v>5.5432488821967038E-2</v>
      </c>
      <c r="O52" s="12">
        <v>3.2176543317272728</v>
      </c>
      <c r="P52" s="13" cm="1">
        <f t="array" ref="P52">cubicSpline(tbl_zero_rates[tau],tbl_zero_rates[nacc],O52,0)</f>
        <v>3.8513441602668008E-2</v>
      </c>
      <c r="Q52" s="3" cm="1">
        <f t="array" ref="Q52">cubicSpline(tbl_zero_rates[tau],tbl_zero_rates[nacc],O52,1)</f>
        <v>5.2582255085191444E-3</v>
      </c>
      <c r="R52" s="3">
        <f t="shared" si="3"/>
        <v>5.5432593687353475E-2</v>
      </c>
      <c r="T52" s="12">
        <v>3.2176343317272726</v>
      </c>
      <c r="U52" s="13" cm="1">
        <f t="array" ref="U52">cubicSpline(tbl_zero_rates[tau],tbl_zero_rates[nacc],T52,0)</f>
        <v>3.8513336718583112E-2</v>
      </c>
      <c r="V52" s="3" cm="1">
        <f t="array" ref="V52">cubicSpline(tbl_zero_rates[tau],tbl_zero_rates[nacc],T52,1)</f>
        <v>5.2582256072409433E-3</v>
      </c>
      <c r="W52" s="3">
        <f t="shared" si="4"/>
        <v>5.5432383956409058E-2</v>
      </c>
      <c r="Y52" s="3">
        <f t="shared" si="6"/>
        <v>1.0486547220855957E-2</v>
      </c>
      <c r="Z52" s="3">
        <f t="shared" si="7"/>
        <v>2.1732011508498208E-2</v>
      </c>
      <c r="AA52" s="3"/>
      <c r="AB52" s="3">
        <v>1.6236736497754201E-2</v>
      </c>
      <c r="AC52" s="3">
        <f t="shared" si="5"/>
        <v>-0.25286545649928005</v>
      </c>
      <c r="AE52" s="8">
        <v>0</v>
      </c>
      <c r="AF52" s="12">
        <v>3.2176443317272727</v>
      </c>
      <c r="AG52" s="15">
        <v>2.407281444577527</v>
      </c>
      <c r="AH52" s="15">
        <v>0.22499662315892011</v>
      </c>
      <c r="AI52" s="15"/>
      <c r="AJ52" s="15"/>
    </row>
    <row r="53" spans="2:36" x14ac:dyDescent="0.2">
      <c r="B53" s="9">
        <v>46</v>
      </c>
      <c r="C53" s="4">
        <v>4.3305105849999999</v>
      </c>
      <c r="D53" s="5">
        <v>4.3370800000000001E-2</v>
      </c>
      <c r="E53" s="6">
        <f>EXP(-tbl_zero_rates[[#This Row],[nacc]]*tbl_zero_rates[[#This Row],[tau]])</f>
        <v>0.82876577043557653</v>
      </c>
      <c r="J53" s="12">
        <v>3.2890593556767675</v>
      </c>
      <c r="K53" s="13" cm="1">
        <f t="array" ref="K53">cubicSpline(tbl_zero_rates[tau],tbl_zero_rates[nacc],J53,0)</f>
        <v>3.8883574921869883E-2</v>
      </c>
      <c r="L53" s="3" cm="1">
        <f t="array" ref="L53">cubicSpline(tbl_zero_rates[tau],tbl_zero_rates[nacc],J53,1)</f>
        <v>5.108428300360005E-3</v>
      </c>
      <c r="M53" s="3">
        <f t="shared" si="2"/>
        <v>5.5685498815972928E-2</v>
      </c>
      <c r="O53" s="12">
        <v>3.2890693556767676</v>
      </c>
      <c r="P53" s="13" cm="1">
        <f t="array" ref="P53">cubicSpline(tbl_zero_rates[tau],tbl_zero_rates[nacc],O53,0)</f>
        <v>3.8883626154268783E-2</v>
      </c>
      <c r="Q53" s="3" cm="1">
        <f t="array" ref="Q53">cubicSpline(tbl_zero_rates[tau],tbl_zero_rates[nacc],O53,1)</f>
        <v>5.1084282505748976E-3</v>
      </c>
      <c r="R53" s="3">
        <f t="shared" si="3"/>
        <v>5.5685600968908157E-2</v>
      </c>
      <c r="T53" s="12">
        <v>3.2890493556767675</v>
      </c>
      <c r="U53" s="13" cm="1">
        <f t="array" ref="U53">cubicSpline(tbl_zero_rates[tau],tbl_zero_rates[nacc],T53,0)</f>
        <v>3.8883523689302806E-2</v>
      </c>
      <c r="V53" s="3" cm="1">
        <f t="array" ref="V53">cubicSpline(tbl_zero_rates[tau],tbl_zero_rates[nacc],T53,1)</f>
        <v>5.1084283501451125E-3</v>
      </c>
      <c r="W53" s="3">
        <f t="shared" si="4"/>
        <v>5.5685396662868522E-2</v>
      </c>
      <c r="Y53" s="3">
        <f t="shared" si="6"/>
        <v>1.0215301981739144E-2</v>
      </c>
      <c r="Z53" s="3">
        <f t="shared" si="7"/>
        <v>2.1516807248654811E-2</v>
      </c>
      <c r="AA53" s="3"/>
      <c r="AB53" s="3">
        <v>1.6026462437799802E-2</v>
      </c>
      <c r="AC53" s="3">
        <f t="shared" si="5"/>
        <v>-0.25516540383556463</v>
      </c>
      <c r="AE53" s="8">
        <v>0</v>
      </c>
      <c r="AF53" s="12">
        <v>3.2890593556767675</v>
      </c>
      <c r="AG53" s="15">
        <v>2.4457706986666174</v>
      </c>
      <c r="AH53" s="15">
        <v>0.23276691539862943</v>
      </c>
      <c r="AI53" s="15"/>
      <c r="AJ53" s="15"/>
    </row>
    <row r="54" spans="2:36" x14ac:dyDescent="0.2">
      <c r="B54" s="9">
        <v>47</v>
      </c>
      <c r="C54" s="4">
        <v>4.419012038</v>
      </c>
      <c r="D54" s="5">
        <v>4.3680257E-2</v>
      </c>
      <c r="E54" s="6">
        <f>EXP(-tbl_zero_rates[[#This Row],[nacc]]*tbl_zero_rates[[#This Row],[tau]])</f>
        <v>0.82446253184178298</v>
      </c>
      <c r="J54" s="12">
        <v>3.3604743796262624</v>
      </c>
      <c r="K54" s="13" cm="1">
        <f t="array" ref="K54">cubicSpline(tbl_zero_rates[tau],tbl_zero_rates[nacc],J54,0)</f>
        <v>3.9245183875329596E-2</v>
      </c>
      <c r="L54" s="3" cm="1">
        <f t="array" ref="L54">cubicSpline(tbl_zero_rates[tau],tbl_zero_rates[nacc],J54,1)</f>
        <v>4.9612727471616165E-3</v>
      </c>
      <c r="M54" s="3">
        <f t="shared" si="2"/>
        <v>5.5917413832504211E-2</v>
      </c>
      <c r="O54" s="12">
        <v>3.3604843796262625</v>
      </c>
      <c r="P54" s="13" cm="1">
        <f t="array" ref="P54">cubicSpline(tbl_zero_rates[tau],tbl_zero_rates[nacc],O54,0)</f>
        <v>3.9245233915347164E-2</v>
      </c>
      <c r="Q54" s="3" cm="1">
        <f t="array" ref="Q54">cubicSpline(tbl_zero_rates[tau],tbl_zero_rates[nacc],O54,1)</f>
        <v>4.9612726969080331E-3</v>
      </c>
      <c r="R54" s="3">
        <f t="shared" si="3"/>
        <v>5.5917513316372874E-2</v>
      </c>
      <c r="T54" s="12">
        <v>3.3604643796262623</v>
      </c>
      <c r="U54" s="13" cm="1">
        <f t="array" ref="U54">cubicSpline(tbl_zero_rates[tau],tbl_zero_rates[nacc],T54,0)</f>
        <v>3.9245133835146273E-2</v>
      </c>
      <c r="V54" s="3" cm="1">
        <f t="array" ref="V54">cubicSpline(tbl_zero_rates[tau],tbl_zero_rates[nacc],T54,1)</f>
        <v>4.9612727974151999E-3</v>
      </c>
      <c r="W54" s="3">
        <f t="shared" si="4"/>
        <v>5.5917314348468791E-2</v>
      </c>
      <c r="Y54" s="3">
        <f t="shared" si="6"/>
        <v>9.9483952041568013E-3</v>
      </c>
      <c r="Z54" s="3">
        <f t="shared" si="7"/>
        <v>2.1301720050109746E-2</v>
      </c>
      <c r="AA54" s="3"/>
      <c r="AB54" s="3">
        <v>1.5818414257745501E-2</v>
      </c>
      <c r="AC54" s="3">
        <f t="shared" si="5"/>
        <v>-0.25741140994555478</v>
      </c>
      <c r="AE54" s="8">
        <v>0</v>
      </c>
      <c r="AF54" s="12">
        <v>3.3604743796262624</v>
      </c>
      <c r="AG54" s="15">
        <v>2.4837412248953861</v>
      </c>
      <c r="AH54" s="15">
        <v>0.24055580975678739</v>
      </c>
      <c r="AI54" s="15"/>
      <c r="AJ54" s="15"/>
    </row>
    <row r="55" spans="2:36" x14ac:dyDescent="0.2">
      <c r="B55" s="9">
        <v>48</v>
      </c>
      <c r="C55" s="4">
        <v>4.5075134910000001</v>
      </c>
      <c r="D55" s="5">
        <v>4.3979532000000002E-2</v>
      </c>
      <c r="E55" s="6">
        <f>EXP(-tbl_zero_rates[[#This Row],[nacc]]*tbl_zero_rates[[#This Row],[tau]])</f>
        <v>0.82017435455655741</v>
      </c>
      <c r="J55" s="12">
        <v>3.4318894035757577</v>
      </c>
      <c r="K55" s="13" cm="1">
        <f t="array" ref="K55">cubicSpline(tbl_zero_rates[tau],tbl_zero_rates[nacc],J55,0)</f>
        <v>3.9598339113545405E-2</v>
      </c>
      <c r="L55" s="3" cm="1">
        <f t="array" ref="L55">cubicSpline(tbl_zero_rates[tau],tbl_zero_rates[nacc],J55,1)</f>
        <v>4.9609138610751859E-3</v>
      </c>
      <c r="M55" s="3">
        <f t="shared" si="2"/>
        <v>5.6623646825421439E-2</v>
      </c>
      <c r="O55" s="12">
        <v>3.4318994035757577</v>
      </c>
      <c r="P55" s="13" cm="1">
        <f t="array" ref="P55">cubicSpline(tbl_zero_rates[tau],tbl_zero_rates[nacc],O55,0)</f>
        <v>3.9598387978484244E-2</v>
      </c>
      <c r="Q55" s="3" cm="1">
        <f t="array" ref="Q55">cubicSpline(tbl_zero_rates[tau],tbl_zero_rates[nacc],O55,1)</f>
        <v>4.9609138108216025E-3</v>
      </c>
      <c r="R55" s="3">
        <f t="shared" si="3"/>
        <v>5.6623745127033637E-2</v>
      </c>
      <c r="T55" s="12">
        <v>3.4318794035757576</v>
      </c>
      <c r="U55" s="13" cm="1">
        <f t="array" ref="U55">cubicSpline(tbl_zero_rates[tau],tbl_zero_rates[nacc],T55,0)</f>
        <v>3.9598290248443239E-2</v>
      </c>
      <c r="V55" s="3" cm="1">
        <f t="array" ref="V55">cubicSpline(tbl_zero_rates[tau],tbl_zero_rates[nacc],T55,1)</f>
        <v>4.9609139113287693E-3</v>
      </c>
      <c r="W55" s="3">
        <f t="shared" si="4"/>
        <v>5.6623548523644894E-2</v>
      </c>
      <c r="Y55" s="3">
        <f t="shared" si="6"/>
        <v>9.8301694371333292E-3</v>
      </c>
      <c r="Z55" s="3">
        <f t="shared" si="7"/>
        <v>2.1325226635216563E-2</v>
      </c>
      <c r="AA55" s="3"/>
      <c r="AB55" s="3">
        <v>1.56141288372978E-2</v>
      </c>
      <c r="AC55" s="3">
        <f t="shared" si="5"/>
        <v>-0.26780947727361704</v>
      </c>
      <c r="AE55" s="8">
        <v>0</v>
      </c>
      <c r="AF55" s="12">
        <v>3.4318894035757577</v>
      </c>
      <c r="AG55" s="15">
        <v>2.5212000142694904</v>
      </c>
      <c r="AH55" s="15">
        <v>0.25116563781031637</v>
      </c>
      <c r="AI55" s="15"/>
      <c r="AJ55" s="15"/>
    </row>
    <row r="56" spans="2:36" x14ac:dyDescent="0.2">
      <c r="B56" s="9">
        <v>49</v>
      </c>
      <c r="C56" s="4">
        <v>4.5960149440000002</v>
      </c>
      <c r="D56" s="5">
        <v>4.4268858000000001E-2</v>
      </c>
      <c r="E56" s="6">
        <f>EXP(-tbl_zero_rates[[#This Row],[nacc]]*tbl_zero_rates[[#This Row],[tau]])</f>
        <v>0.81590256815174322</v>
      </c>
      <c r="J56" s="12">
        <v>3.5033044275252525</v>
      </c>
      <c r="K56" s="13" cm="1">
        <f t="array" ref="K56">cubicSpline(tbl_zero_rates[tau],tbl_zero_rates[nacc],J56,0)</f>
        <v>3.9943164337558533E-2</v>
      </c>
      <c r="L56" s="3" cm="1">
        <f t="array" ref="L56">cubicSpline(tbl_zero_rates[tau],tbl_zero_rates[nacc],J56,1)</f>
        <v>4.816416353349358E-3</v>
      </c>
      <c r="M56" s="3">
        <f t="shared" si="2"/>
        <v>5.681653707305237E-2</v>
      </c>
      <c r="O56" s="12">
        <v>3.5033144275252526</v>
      </c>
      <c r="P56" s="13" cm="1">
        <f t="array" ref="P56">cubicSpline(tbl_zero_rates[tau],tbl_zero_rates[nacc],O56,0)</f>
        <v>3.9943212044678808E-2</v>
      </c>
      <c r="Q56" s="3" cm="1">
        <f t="array" ref="Q56">cubicSpline(tbl_zero_rates[tau],tbl_zero_rates[nacc],O56,1)</f>
        <v>4.8164163041171564E-3</v>
      </c>
      <c r="R56" s="3">
        <f t="shared" si="3"/>
        <v>5.6816632771860297E-2</v>
      </c>
      <c r="T56" s="12">
        <v>3.5032944275252524</v>
      </c>
      <c r="U56" s="13" cm="1">
        <f t="array" ref="U56">cubicSpline(tbl_zero_rates[tau],tbl_zero_rates[nacc],T56,0)</f>
        <v>3.9943116630277317E-2</v>
      </c>
      <c r="V56" s="3" cm="1">
        <f t="array" ref="V56">cubicSpline(tbl_zero_rates[tau],tbl_zero_rates[nacc],T56,1)</f>
        <v>4.8164164025815605E-3</v>
      </c>
      <c r="W56" s="3">
        <f t="shared" si="4"/>
        <v>5.6816441374082524E-2</v>
      </c>
      <c r="Y56" s="3">
        <f t="shared" si="6"/>
        <v>9.5698888886303068E-3</v>
      </c>
      <c r="Z56" s="3">
        <f t="shared" si="7"/>
        <v>2.1108941233986017E-2</v>
      </c>
      <c r="AA56" s="3"/>
      <c r="AB56" s="3">
        <v>1.5412251295913001E-2</v>
      </c>
      <c r="AC56" s="3">
        <f t="shared" si="5"/>
        <v>-0.26987094591467131</v>
      </c>
      <c r="AE56" s="8">
        <v>0</v>
      </c>
      <c r="AF56" s="12">
        <v>3.5033044275252525</v>
      </c>
      <c r="AG56" s="15">
        <v>2.5581539635753172</v>
      </c>
      <c r="AH56" s="15">
        <v>0.25907303137504856</v>
      </c>
      <c r="AI56" s="15"/>
      <c r="AJ56" s="15"/>
    </row>
    <row r="57" spans="2:36" x14ac:dyDescent="0.2">
      <c r="B57" s="9">
        <v>50</v>
      </c>
      <c r="C57" s="4">
        <v>4.6845163970000003</v>
      </c>
      <c r="D57" s="5">
        <v>4.4548469E-2</v>
      </c>
      <c r="E57" s="6">
        <f>EXP(-tbl_zero_rates[[#This Row],[nacc]]*tbl_zero_rates[[#This Row],[tau]])</f>
        <v>0.81164840326974574</v>
      </c>
      <c r="J57" s="12">
        <v>3.5747194514747473</v>
      </c>
      <c r="K57" s="13" cm="1">
        <f t="array" ref="K57">cubicSpline(tbl_zero_rates[tau],tbl_zero_rates[nacc],J57,0)</f>
        <v>4.0279781896982426E-2</v>
      </c>
      <c r="L57" s="3" cm="1">
        <f t="array" ref="L57">cubicSpline(tbl_zero_rates[tau],tbl_zero_rates[nacc],J57,1)</f>
        <v>4.6745486293783018E-3</v>
      </c>
      <c r="M57" s="3">
        <f t="shared" si="2"/>
        <v>5.6989981809285661E-2</v>
      </c>
      <c r="O57" s="12">
        <v>3.5747294514747474</v>
      </c>
      <c r="P57" s="13" cm="1">
        <f t="array" ref="P57">cubicSpline(tbl_zero_rates[tau],tbl_zero_rates[nacc],O57,0)</f>
        <v>4.0279828463373087E-2</v>
      </c>
      <c r="Q57" s="3" cm="1">
        <f t="array" ref="Q57">cubicSpline(tbl_zero_rates[tau],tbl_zero_rates[nacc],O57,1)</f>
        <v>4.6745485790825108E-3</v>
      </c>
      <c r="R57" s="3">
        <f t="shared" si="3"/>
        <v>5.6990074941368769E-2</v>
      </c>
      <c r="T57" s="12">
        <v>3.5747094514747473</v>
      </c>
      <c r="U57" s="13" cm="1">
        <f t="array" ref="U57">cubicSpline(tbl_zero_rates[tau],tbl_zero_rates[nacc],T57,0)</f>
        <v>4.0279735330433254E-2</v>
      </c>
      <c r="V57" s="3" cm="1">
        <f t="array" ref="V57">cubicSpline(tbl_zero_rates[tau],tbl_zero_rates[nacc],T57,1)</f>
        <v>4.6745486796740928E-3</v>
      </c>
      <c r="W57" s="3">
        <f t="shared" si="4"/>
        <v>5.6989888677043035E-2</v>
      </c>
      <c r="Y57" s="3">
        <f t="shared" si="6"/>
        <v>9.3132162867076707E-3</v>
      </c>
      <c r="Z57" s="3">
        <f t="shared" si="7"/>
        <v>2.0892372459249395E-2</v>
      </c>
      <c r="AA57" s="3"/>
      <c r="AB57" s="3">
        <v>1.52138770693062E-2</v>
      </c>
      <c r="AC57" s="3">
        <f t="shared" si="5"/>
        <v>-0.27179753764294168</v>
      </c>
      <c r="AE57" s="8">
        <v>0</v>
      </c>
      <c r="AF57" s="12">
        <v>3.5747194514747473</v>
      </c>
      <c r="AG57" s="15">
        <v>2.5946098766497974</v>
      </c>
      <c r="AH57" s="15">
        <v>0.26697567093776053</v>
      </c>
      <c r="AI57" s="15"/>
      <c r="AJ57" s="15"/>
    </row>
    <row r="58" spans="2:36" x14ac:dyDescent="0.2">
      <c r="B58" s="9">
        <v>51</v>
      </c>
      <c r="C58" s="4">
        <v>4.7730178490000004</v>
      </c>
      <c r="D58" s="5">
        <v>4.48186E-2</v>
      </c>
      <c r="E58" s="6">
        <f>EXP(-tbl_zero_rates[[#This Row],[nacc]]*tbl_zero_rates[[#This Row],[tau]])</f>
        <v>0.80741299342812534</v>
      </c>
      <c r="J58" s="12">
        <v>3.6461344754242422</v>
      </c>
      <c r="K58" s="13" cm="1">
        <f t="array" ref="K58">cubicSpline(tbl_zero_rates[tau],tbl_zero_rates[nacc],J58,0)</f>
        <v>4.0608314803622612E-2</v>
      </c>
      <c r="L58" s="3" cm="1">
        <f t="array" ref="L58">cubicSpline(tbl_zero_rates[tau],tbl_zero_rates[nacc],J58,1)</f>
        <v>4.5353345706264621E-3</v>
      </c>
      <c r="M58" s="3">
        <f t="shared" si="2"/>
        <v>5.7144754539167161E-2</v>
      </c>
      <c r="O58" s="12">
        <v>3.6461444754242422</v>
      </c>
      <c r="P58" s="13" cm="1">
        <f t="array" ref="P58">cubicSpline(tbl_zero_rates[tau],tbl_zero_rates[nacc],O58,0)</f>
        <v>4.0608360246627305E-2</v>
      </c>
      <c r="Q58" s="3" cm="1">
        <f t="array" ref="Q58">cubicSpline(tbl_zero_rates[tau],tbl_zero_rates[nacc],O58,1)</f>
        <v>4.5353345210101849E-3</v>
      </c>
      <c r="R58" s="3">
        <f t="shared" si="3"/>
        <v>5.7144845154609443E-2</v>
      </c>
      <c r="T58" s="12">
        <v>3.6461244754242421</v>
      </c>
      <c r="U58" s="13" cm="1">
        <f t="array" ref="U58">cubicSpline(tbl_zero_rates[tau],tbl_zero_rates[nacc],T58,0)</f>
        <v>4.0608269360461816E-2</v>
      </c>
      <c r="V58" s="3" cm="1">
        <f t="array" ref="V58">cubicSpline(tbl_zero_rates[tau],tbl_zero_rates[nacc],T58,1)</f>
        <v>4.5353346202427394E-3</v>
      </c>
      <c r="W58" s="3">
        <f t="shared" si="4"/>
        <v>5.7144663923567776E-2</v>
      </c>
      <c r="Y58" s="3">
        <f t="shared" si="6"/>
        <v>9.0615520833420282E-3</v>
      </c>
      <c r="Z58" s="3">
        <f t="shared" si="7"/>
        <v>2.0677072994424804E-2</v>
      </c>
      <c r="AA58" s="3"/>
      <c r="AB58" s="3">
        <v>1.5018824276466501E-2</v>
      </c>
      <c r="AC58" s="3">
        <f t="shared" si="5"/>
        <v>-0.27364843754645285</v>
      </c>
      <c r="AE58" s="8">
        <v>0</v>
      </c>
      <c r="AF58" s="12">
        <v>3.6461344754242422</v>
      </c>
      <c r="AG58" s="15">
        <v>2.630574465633106</v>
      </c>
      <c r="AH58" s="15">
        <v>0.27488714147399657</v>
      </c>
      <c r="AI58" s="15"/>
      <c r="AJ58" s="15"/>
    </row>
    <row r="59" spans="2:36" x14ac:dyDescent="0.2">
      <c r="B59" s="9">
        <v>52</v>
      </c>
      <c r="C59" s="4">
        <v>4.8615193019999996</v>
      </c>
      <c r="D59" s="5">
        <v>4.5079484000000003E-2</v>
      </c>
      <c r="E59" s="6">
        <f>EXP(-tbl_zero_rates[[#This Row],[nacc]]*tbl_zero_rates[[#This Row],[tau]])</f>
        <v>0.80319738836287791</v>
      </c>
      <c r="J59" s="12">
        <v>3.7175494993737375</v>
      </c>
      <c r="K59" s="13" cm="1">
        <f t="array" ref="K59">cubicSpline(tbl_zero_rates[tau],tbl_zero_rates[nacc],J59,0)</f>
        <v>4.0928886588101655E-2</v>
      </c>
      <c r="L59" s="3" cm="1">
        <f t="array" ref="L59">cubicSpline(tbl_zero_rates[tau],tbl_zero_rates[nacc],J59,1)</f>
        <v>4.3987675355623996E-3</v>
      </c>
      <c r="M59" s="3">
        <f t="shared" si="2"/>
        <v>5.7281522637793104E-2</v>
      </c>
      <c r="O59" s="12">
        <v>3.7175594993737375</v>
      </c>
      <c r="P59" s="13" cm="1">
        <f t="array" ref="P59">cubicSpline(tbl_zero_rates[tau],tbl_zero_rates[nacc],O59,0)</f>
        <v>4.0928930924929038E-2</v>
      </c>
      <c r="Q59" s="3" cm="1">
        <f t="array" ref="Q59">cubicSpline(tbl_zero_rates[tau],tbl_zero_rates[nacc],O59,1)</f>
        <v>4.3987674855683872E-3</v>
      </c>
      <c r="R59" s="3">
        <f t="shared" si="3"/>
        <v>5.7281610776440131E-2</v>
      </c>
      <c r="T59" s="12">
        <v>3.7175394993737374</v>
      </c>
      <c r="U59" s="13" cm="1">
        <f t="array" ref="U59">cubicSpline(tbl_zero_rates[tau],tbl_zero_rates[nacc],T59,0)</f>
        <v>4.0928842251120576E-2</v>
      </c>
      <c r="V59" s="3" cm="1">
        <f t="array" ref="V59">cubicSpline(tbl_zero_rates[tau],tbl_zero_rates[nacc],T59,1)</f>
        <v>4.398767585556412E-3</v>
      </c>
      <c r="W59" s="3">
        <f t="shared" si="4"/>
        <v>5.7281434498991382E-2</v>
      </c>
      <c r="Y59" s="3">
        <f t="shared" si="6"/>
        <v>8.8138724374520194E-3</v>
      </c>
      <c r="Z59" s="3">
        <f t="shared" si="7"/>
        <v>2.0462150924210304E-2</v>
      </c>
      <c r="AA59" s="3"/>
      <c r="AB59" s="3">
        <v>1.48264302452881E-2</v>
      </c>
      <c r="AC59" s="3">
        <f t="shared" si="5"/>
        <v>-0.27542171396332338</v>
      </c>
      <c r="AE59" s="8">
        <v>0</v>
      </c>
      <c r="AF59" s="12">
        <v>3.7175494993737375</v>
      </c>
      <c r="AG59" s="15">
        <v>2.6660543522044775</v>
      </c>
      <c r="AH59" s="15">
        <v>0.2827904919222638</v>
      </c>
      <c r="AI59" s="15"/>
      <c r="AJ59" s="15"/>
    </row>
    <row r="60" spans="2:36" x14ac:dyDescent="0.2">
      <c r="B60" s="9">
        <v>53</v>
      </c>
      <c r="C60" s="4">
        <v>4.9500207549999997</v>
      </c>
      <c r="D60" s="5">
        <v>4.5331356000000003E-2</v>
      </c>
      <c r="E60" s="6">
        <f>EXP(-tbl_zero_rates[[#This Row],[nacc]]*tbl_zero_rates[[#This Row],[tau]])</f>
        <v>0.79900254095473167</v>
      </c>
      <c r="J60" s="12">
        <v>3.7889645233232323</v>
      </c>
      <c r="K60" s="13" cm="1">
        <f t="array" ref="K60">cubicSpline(tbl_zero_rates[tau],tbl_zero_rates[nacc],J60,0)</f>
        <v>4.1241620052347876E-2</v>
      </c>
      <c r="L60" s="3" cm="1">
        <f t="array" ref="L60">cubicSpline(tbl_zero_rates[tau],tbl_zero_rates[nacc],J60,1)</f>
        <v>4.3984105032034062E-3</v>
      </c>
      <c r="M60" s="3">
        <f t="shared" si="2"/>
        <v>5.7907041407997864E-2</v>
      </c>
      <c r="O60" s="12">
        <v>3.7889745233232324</v>
      </c>
      <c r="P60" s="13" cm="1">
        <f t="array" ref="P60">cubicSpline(tbl_zero_rates[tau],tbl_zero_rates[nacc],O60,0)</f>
        <v>4.1241663300230227E-2</v>
      </c>
      <c r="Q60" s="3" cm="1">
        <f t="array" ref="Q60">cubicSpline(tbl_zero_rates[tau],tbl_zero_rates[nacc],O60,1)</f>
        <v>4.3984104532093938E-3</v>
      </c>
      <c r="R60" s="3">
        <f t="shared" si="3"/>
        <v>5.7907128450559217E-2</v>
      </c>
      <c r="T60" s="12">
        <v>3.7889545233232322</v>
      </c>
      <c r="U60" s="13" cm="1">
        <f t="array" ref="U60">cubicSpline(tbl_zero_rates[tau],tbl_zero_rates[nacc],T60,0)</f>
        <v>4.1241576804314249E-2</v>
      </c>
      <c r="V60" s="3" cm="1">
        <f t="array" ref="V60">cubicSpline(tbl_zero_rates[tau],tbl_zero_rates[nacc],T60,1)</f>
        <v>4.3984105531974186E-3</v>
      </c>
      <c r="W60" s="3">
        <f t="shared" si="4"/>
        <v>5.7906954365284244E-2</v>
      </c>
      <c r="Y60" s="3">
        <f t="shared" si="6"/>
        <v>8.7042637486600682E-3</v>
      </c>
      <c r="Z60" s="3">
        <f t="shared" si="7"/>
        <v>2.0477981143080533E-2</v>
      </c>
      <c r="AA60" s="3"/>
      <c r="AB60" s="3">
        <v>1.4638206878798399E-2</v>
      </c>
      <c r="AC60" s="3">
        <f t="shared" si="5"/>
        <v>-0.28517333927985289</v>
      </c>
      <c r="AE60" s="8">
        <v>0</v>
      </c>
      <c r="AF60" s="12">
        <v>3.7889645233232323</v>
      </c>
      <c r="AG60" s="15">
        <v>2.7010560688013663</v>
      </c>
      <c r="AH60" s="15">
        <v>0.29398706099735317</v>
      </c>
      <c r="AI60" s="15"/>
      <c r="AJ60" s="15"/>
    </row>
    <row r="61" spans="2:36" x14ac:dyDescent="0.2">
      <c r="B61" s="9">
        <v>54</v>
      </c>
      <c r="C61" s="4">
        <v>5.0385222079999998</v>
      </c>
      <c r="D61" s="5">
        <v>4.5574450000000002E-2</v>
      </c>
      <c r="E61" s="6">
        <f>EXP(-tbl_zero_rates[[#This Row],[nacc]]*tbl_zero_rates[[#This Row],[tau]])</f>
        <v>0.79482932060320199</v>
      </c>
      <c r="J61" s="12">
        <v>3.8603795472727271</v>
      </c>
      <c r="K61" s="13" cm="1">
        <f t="array" ref="K61">cubicSpline(tbl_zero_rates[tau],tbl_zero_rates[nacc],J61,0)</f>
        <v>4.1546638316921847E-2</v>
      </c>
      <c r="L61" s="3" cm="1">
        <f t="array" ref="L61">cubicSpline(tbl_zero_rates[tau],tbl_zero_rates[nacc],J61,1)</f>
        <v>4.2644901038436708E-3</v>
      </c>
      <c r="M61" s="3">
        <f t="shared" si="2"/>
        <v>5.8009188693346897E-2</v>
      </c>
      <c r="O61" s="12">
        <v>3.8603895472727272</v>
      </c>
      <c r="P61" s="13" cm="1">
        <f t="array" ref="P61">cubicSpline(tbl_zero_rates[tau],tbl_zero_rates[nacc],O61,0)</f>
        <v>4.1546680493040833E-2</v>
      </c>
      <c r="Q61" s="3" cm="1">
        <f t="array" ref="Q61">cubicSpline(tbl_zero_rates[tau],tbl_zero_rates[nacc],O61,1)</f>
        <v>4.2644900546810844E-3</v>
      </c>
      <c r="R61" s="3">
        <f t="shared" si="3"/>
        <v>5.8009273324580196E-2</v>
      </c>
      <c r="T61" s="12">
        <v>3.8603695472727271</v>
      </c>
      <c r="U61" s="13" cm="1">
        <f t="array" ref="U61">cubicSpline(tbl_zero_rates[tau],tbl_zero_rates[nacc],T61,0)</f>
        <v>4.1546596140653973E-2</v>
      </c>
      <c r="V61" s="3" cm="1">
        <f t="array" ref="V61">cubicSpline(tbl_zero_rates[tau],tbl_zero_rates[nacc],T61,1)</f>
        <v>4.2644901530062562E-3</v>
      </c>
      <c r="W61" s="3">
        <f t="shared" si="4"/>
        <v>5.8009104061963732E-2</v>
      </c>
      <c r="Y61" s="3">
        <f t="shared" si="6"/>
        <v>8.4631308232274716E-3</v>
      </c>
      <c r="Z61" s="3">
        <f t="shared" si="7"/>
        <v>2.0262670101363595E-2</v>
      </c>
      <c r="AA61" s="3"/>
      <c r="AB61" s="3">
        <v>1.44536573676573E-2</v>
      </c>
      <c r="AC61" s="3">
        <f t="shared" si="5"/>
        <v>-0.28668545185046324</v>
      </c>
      <c r="AE61" s="8">
        <v>0</v>
      </c>
      <c r="AF61" s="12">
        <v>3.8603795472727271</v>
      </c>
      <c r="AG61" s="15">
        <v>2.7355860598221793</v>
      </c>
      <c r="AH61" s="15">
        <v>0.30196505411111091</v>
      </c>
      <c r="AI61" s="15"/>
      <c r="AJ61" s="15"/>
    </row>
    <row r="62" spans="2:36" x14ac:dyDescent="0.2">
      <c r="B62" s="9">
        <v>55</v>
      </c>
      <c r="C62" s="4">
        <v>5.127023661</v>
      </c>
      <c r="D62" s="5">
        <v>4.5808999000000003E-2</v>
      </c>
      <c r="E62" s="6">
        <f>EXP(-tbl_zero_rates[[#This Row],[nacc]]*tbl_zero_rates[[#This Row],[tau]])</f>
        <v>0.79067851550655899</v>
      </c>
      <c r="J62" s="12">
        <v>3.931794571222222</v>
      </c>
      <c r="K62" s="13" cm="1">
        <f t="array" ref="K62">cubicSpline(tbl_zero_rates[tau],tbl_zero_rates[nacc],J62,0)</f>
        <v>4.1844063450663244E-2</v>
      </c>
      <c r="L62" s="3" cm="1">
        <f t="array" ref="L62">cubicSpline(tbl_zero_rates[tau],tbl_zero_rates[nacc],J62,1)</f>
        <v>4.1331960107404133E-3</v>
      </c>
      <c r="M62" s="3">
        <f t="shared" si="2"/>
        <v>5.8094941087489749E-2</v>
      </c>
      <c r="O62" s="12">
        <v>3.931804571222222</v>
      </c>
      <c r="P62" s="13" cm="1">
        <f t="array" ref="P62">cubicSpline(tbl_zero_rates[tau],tbl_zero_rates[nacc],O62,0)</f>
        <v>4.1844104572129656E-2</v>
      </c>
      <c r="Q62" s="3" cm="1">
        <f t="array" ref="Q62">cubicSpline(tbl_zero_rates[tau],tbl_zero_rates[nacc],O62,1)</f>
        <v>4.1331959599014206E-3</v>
      </c>
      <c r="R62" s="3">
        <f t="shared" si="3"/>
        <v>5.8095023341027285E-2</v>
      </c>
      <c r="T62" s="12">
        <v>3.9317845712222219</v>
      </c>
      <c r="U62" s="13" cm="1">
        <f t="array" ref="U62">cubicSpline(tbl_zero_rates[tau],tbl_zero_rates[nacc],T62,0)</f>
        <v>4.1844022329050372E-2</v>
      </c>
      <c r="V62" s="3" cm="1">
        <f t="array" ref="V62">cubicSpline(tbl_zero_rates[tau],tbl_zero_rates[nacc],T62,1)</f>
        <v>4.1331960615794061E-3</v>
      </c>
      <c r="W62" s="3">
        <f t="shared" si="4"/>
        <v>5.8094858833804733E-2</v>
      </c>
      <c r="Y62" s="3">
        <f t="shared" si="6"/>
        <v>8.2253611276283944E-3</v>
      </c>
      <c r="Z62" s="3">
        <f t="shared" si="7"/>
        <v>2.0047435542166956E-2</v>
      </c>
      <c r="AA62" s="3"/>
      <c r="AB62" s="3">
        <v>1.42723413483945E-2</v>
      </c>
      <c r="AC62" s="3">
        <f t="shared" si="5"/>
        <v>-0.28807146837436437</v>
      </c>
      <c r="AE62" s="8">
        <v>0</v>
      </c>
      <c r="AF62" s="12">
        <v>3.931794571222222</v>
      </c>
      <c r="AG62" s="15">
        <v>2.7696506828127965</v>
      </c>
      <c r="AH62" s="15">
        <v>0.30991347745779746</v>
      </c>
      <c r="AI62" s="15"/>
      <c r="AJ62" s="15"/>
    </row>
    <row r="63" spans="2:36" x14ac:dyDescent="0.2">
      <c r="B63" s="9">
        <v>56</v>
      </c>
      <c r="C63" s="4">
        <v>5.2155251140000001</v>
      </c>
      <c r="D63" s="5">
        <v>4.6035237E-2</v>
      </c>
      <c r="E63" s="6">
        <f>EXP(-tbl_zero_rates[[#This Row],[nacc]]*tbl_zero_rates[[#This Row],[tau]])</f>
        <v>0.78655082667327902</v>
      </c>
      <c r="J63" s="12">
        <v>4.0032095951717173</v>
      </c>
      <c r="K63" s="13" cm="1">
        <f t="array" ref="K63">cubicSpline(tbl_zero_rates[tau],tbl_zero_rates[nacc],J63,0)</f>
        <v>4.2134019225515525E-2</v>
      </c>
      <c r="L63" s="3" cm="1">
        <f t="array" ref="L63">cubicSpline(tbl_zero_rates[tau],tbl_zero_rates[nacc],J63,1)</f>
        <v>4.0045693175502451E-3</v>
      </c>
      <c r="M63" s="3">
        <f t="shared" si="2"/>
        <v>5.8165149542062922E-2</v>
      </c>
      <c r="O63" s="12">
        <v>4.0032195951717169</v>
      </c>
      <c r="P63" s="13" cm="1">
        <f t="array" ref="P63">cubicSpline(tbl_zero_rates[tau],tbl_zero_rates[nacc],O63,0)</f>
        <v>4.2134059309814516E-2</v>
      </c>
      <c r="Q63" s="3" cm="1">
        <f t="array" ref="Q63">cubicSpline(tbl_zero_rates[tau],tbl_zero_rates[nacc],O63,1)</f>
        <v>4.0045692687709269E-3</v>
      </c>
      <c r="R63" s="3">
        <f t="shared" si="3"/>
        <v>5.8165229476780766E-2</v>
      </c>
      <c r="T63" s="12">
        <v>4.0031995951717176</v>
      </c>
      <c r="U63" s="13" cm="1">
        <f t="array" ref="U63">cubicSpline(tbl_zero_rates[tau],tbl_zero_rates[nacc],T63,0)</f>
        <v>4.2133979141072517E-2</v>
      </c>
      <c r="V63" s="3" cm="1">
        <f t="array" ref="V63">cubicSpline(tbl_zero_rates[tau],tbl_zero_rates[nacc],T63,1)</f>
        <v>4.0045693663295643E-3</v>
      </c>
      <c r="W63" s="3">
        <f t="shared" si="4"/>
        <v>5.8165069607200089E-2</v>
      </c>
      <c r="Y63" s="3">
        <f t="shared" si="6"/>
        <v>7.9934790338936912E-3</v>
      </c>
      <c r="Z63" s="3">
        <f t="shared" si="7"/>
        <v>1.9834968115701925E-2</v>
      </c>
      <c r="AA63" s="3"/>
      <c r="AB63" s="3">
        <v>1.40945869316066E-2</v>
      </c>
      <c r="AC63" s="3">
        <f t="shared" si="5"/>
        <v>-0.28940712939947077</v>
      </c>
      <c r="AE63" s="8">
        <v>0</v>
      </c>
      <c r="AF63" s="12">
        <v>4.0032095951717173</v>
      </c>
      <c r="AG63" s="15">
        <v>2.803256209637099</v>
      </c>
      <c r="AH63" s="15">
        <v>0.31786899192434054</v>
      </c>
      <c r="AI63" s="15"/>
      <c r="AJ63" s="15"/>
    </row>
    <row r="64" spans="2:36" x14ac:dyDescent="0.2">
      <c r="B64" s="9">
        <v>57</v>
      </c>
      <c r="C64" s="4">
        <v>5.3040265670000002</v>
      </c>
      <c r="D64" s="5">
        <v>4.62534E-2</v>
      </c>
      <c r="E64" s="6">
        <f>EXP(-tbl_zero_rates[[#This Row],[nacc]]*tbl_zero_rates[[#This Row],[tau]])</f>
        <v>0.78244686547940279</v>
      </c>
      <c r="J64" s="12">
        <v>4.0746246191212121</v>
      </c>
      <c r="K64" s="13" cm="1">
        <f t="array" ref="K64">cubicSpline(tbl_zero_rates[tau],tbl_zero_rates[nacc],J64,0)</f>
        <v>4.2416629073032036E-2</v>
      </c>
      <c r="L64" s="3" cm="1">
        <f t="array" ref="L64">cubicSpline(tbl_zero_rates[tau],tbl_zero_rates[nacc],J64,1)</f>
        <v>3.8785718902527885E-3</v>
      </c>
      <c r="M64" s="3">
        <f t="shared" si="2"/>
        <v>5.8220353584087545E-2</v>
      </c>
      <c r="O64" s="12">
        <v>4.0746346191212117</v>
      </c>
      <c r="P64" s="13" cm="1">
        <f t="array" ref="P64">cubicSpline(tbl_zero_rates[tau],tbl_zero_rates[nacc],O64,0)</f>
        <v>4.2416668137173902E-2</v>
      </c>
      <c r="Q64" s="3" cm="1">
        <f t="array" ref="Q64">cubicSpline(tbl_zero_rates[tau],tbl_zero_rates[nacc],O64,1)</f>
        <v>3.8785718400022712E-3</v>
      </c>
      <c r="R64" s="3">
        <f t="shared" si="3"/>
        <v>5.8220431229195818E-2</v>
      </c>
      <c r="T64" s="12">
        <v>4.0746146191212125</v>
      </c>
      <c r="U64" s="13" cm="1">
        <f t="array" ref="U64">cubicSpline(tbl_zero_rates[tau],tbl_zero_rates[nacc],T64,0)</f>
        <v>4.2416590008748534E-2</v>
      </c>
      <c r="V64" s="3" cm="1">
        <f t="array" ref="V64">cubicSpline(tbl_zero_rates[tau],tbl_zero_rates[nacc],T64,1)</f>
        <v>3.8785719405033054E-3</v>
      </c>
      <c r="W64" s="3">
        <f t="shared" si="4"/>
        <v>5.8220275938836635E-2</v>
      </c>
      <c r="Y64" s="3">
        <f t="shared" si="6"/>
        <v>7.7645179591412363E-3</v>
      </c>
      <c r="Z64" s="3">
        <f t="shared" si="7"/>
        <v>1.96224082235055E-2</v>
      </c>
      <c r="AA64" s="3"/>
      <c r="AB64" s="3">
        <v>1.3920981802571199E-2</v>
      </c>
      <c r="AC64" s="3">
        <f t="shared" si="5"/>
        <v>-0.29055691615388035</v>
      </c>
      <c r="AE64" s="8">
        <v>0</v>
      </c>
      <c r="AF64" s="12">
        <v>4.0746246191212121</v>
      </c>
      <c r="AG64" s="15">
        <v>2.8364088276317272</v>
      </c>
      <c r="AH64" s="15">
        <v>0.32578232342518842</v>
      </c>
      <c r="AI64" s="15"/>
      <c r="AJ64" s="15"/>
    </row>
    <row r="65" spans="2:36" x14ac:dyDescent="0.2">
      <c r="B65" s="9">
        <v>58</v>
      </c>
      <c r="C65" s="4">
        <v>5.3925280200000003</v>
      </c>
      <c r="D65" s="5">
        <v>4.646372E-2</v>
      </c>
      <c r="E65" s="6">
        <f>EXP(-tbl_zero_rates[[#This Row],[nacc]]*tbl_zero_rates[[#This Row],[tau]])</f>
        <v>0.77836718030974061</v>
      </c>
      <c r="J65" s="12">
        <v>4.1460396430707069</v>
      </c>
      <c r="K65" s="13" cm="1">
        <f t="array" ref="K65">cubicSpline(tbl_zero_rates[tau],tbl_zero_rates[nacc],J65,0)</f>
        <v>4.2692014530901948E-2</v>
      </c>
      <c r="L65" s="3" cm="1">
        <f t="array" ref="L65">cubicSpline(tbl_zero_rates[tau],tbl_zero_rates[nacc],J65,1)</f>
        <v>3.8782130260650136E-3</v>
      </c>
      <c r="M65" s="3">
        <f t="shared" si="2"/>
        <v>5.8771239481240703E-2</v>
      </c>
      <c r="O65" s="12">
        <v>4.1460496430707066</v>
      </c>
      <c r="P65" s="13" cm="1">
        <f t="array" ref="P65">cubicSpline(tbl_zero_rates[tau],tbl_zero_rates[nacc],O65,0)</f>
        <v>4.2692052592071081E-2</v>
      </c>
      <c r="Q65" s="3" cm="1">
        <f t="array" ref="Q65">cubicSpline(tbl_zero_rates[tau],tbl_zero_rates[nacc],O65,1)</f>
        <v>3.8782129758144967E-3</v>
      </c>
      <c r="R65" s="3">
        <f t="shared" si="3"/>
        <v>5.8771316116198957E-2</v>
      </c>
      <c r="T65" s="12">
        <v>4.1460296430707073</v>
      </c>
      <c r="U65" s="13" cm="1">
        <f t="array" ref="U65">cubicSpline(tbl_zero_rates[tau],tbl_zero_rates[nacc],T65,0)</f>
        <v>4.2691976469593586E-2</v>
      </c>
      <c r="V65" s="3" cm="1">
        <f t="array" ref="V65">cubicSpline(tbl_zero_rates[tau],tbl_zero_rates[nacc],T65,1)</f>
        <v>3.8782130763155304E-3</v>
      </c>
      <c r="W65" s="3">
        <f t="shared" si="4"/>
        <v>5.8771162846142214E-2</v>
      </c>
      <c r="Y65" s="3">
        <f t="shared" si="6"/>
        <v>7.6635028371796468E-3</v>
      </c>
      <c r="Z65" s="3">
        <f t="shared" si="7"/>
        <v>1.9631815544740958E-2</v>
      </c>
      <c r="AA65" s="3"/>
      <c r="AB65" s="3">
        <v>1.3752020526456601E-2</v>
      </c>
      <c r="AC65" s="3">
        <f t="shared" si="5"/>
        <v>-0.29950337526777837</v>
      </c>
      <c r="AE65" s="8">
        <v>0</v>
      </c>
      <c r="AF65" s="12">
        <v>4.1460396430707069</v>
      </c>
      <c r="AG65" s="15">
        <v>2.8691146407452672</v>
      </c>
      <c r="AH65" s="15">
        <v>0.33746393446024309</v>
      </c>
      <c r="AI65" s="15"/>
      <c r="AJ65" s="15"/>
    </row>
    <row r="66" spans="2:36" x14ac:dyDescent="0.2">
      <c r="B66" s="9">
        <v>59</v>
      </c>
      <c r="C66" s="4">
        <v>5.4810294730000004</v>
      </c>
      <c r="D66" s="5">
        <v>4.6666433E-2</v>
      </c>
      <c r="E66" s="6">
        <f>EXP(-tbl_zero_rates[[#This Row],[nacc]]*tbl_zero_rates[[#This Row],[tau]])</f>
        <v>0.77431222545469791</v>
      </c>
      <c r="J66" s="12">
        <v>4.2174546670202018</v>
      </c>
      <c r="K66" s="13" cm="1">
        <f t="array" ref="K66">cubicSpline(tbl_zero_rates[tau],tbl_zero_rates[nacc],J66,0)</f>
        <v>4.2960299289138894E-2</v>
      </c>
      <c r="L66" s="3" cm="1">
        <f t="array" ref="L66">cubicSpline(tbl_zero_rates[tau],tbl_zero_rates[nacc],J66,1)</f>
        <v>3.7548618325588968E-3</v>
      </c>
      <c r="M66" s="3">
        <f t="shared" si="2"/>
        <v>5.8796258848880442E-2</v>
      </c>
      <c r="O66" s="12">
        <v>4.2174646670202014</v>
      </c>
      <c r="P66" s="13" cm="1">
        <f t="array" ref="P66">cubicSpline(tbl_zero_rates[tau],tbl_zero_rates[nacc],O66,0)</f>
        <v>4.2960336364710111E-2</v>
      </c>
      <c r="Q66" s="3" cm="1">
        <f t="array" ref="Q66">cubicSpline(tbl_zero_rates[tau],tbl_zero_rates[nacc],O66,1)</f>
        <v>3.7548617823086406E-3</v>
      </c>
      <c r="R66" s="3">
        <f t="shared" si="3"/>
        <v>5.8796333261141302E-2</v>
      </c>
      <c r="T66" s="12">
        <v>4.2174446670202022</v>
      </c>
      <c r="U66" s="13" cm="1">
        <f t="array" ref="U66">cubicSpline(tbl_zero_rates[tau],tbl_zero_rates[nacc],T66,0)</f>
        <v>4.2960262213430883E-2</v>
      </c>
      <c r="V66" s="3" cm="1">
        <f t="array" ref="V66">cubicSpline(tbl_zero_rates[tau],tbl_zero_rates[nacc],T66,1)</f>
        <v>3.7548618828091534E-3</v>
      </c>
      <c r="W66" s="3">
        <f t="shared" si="4"/>
        <v>5.8796184436481783E-2</v>
      </c>
      <c r="Y66" s="3">
        <f t="shared" si="6"/>
        <v>7.441232975982647E-3</v>
      </c>
      <c r="Z66" s="3">
        <f t="shared" si="7"/>
        <v>1.9419899432214061E-2</v>
      </c>
      <c r="AA66" s="3"/>
      <c r="AB66" s="3">
        <v>1.35856268230814E-2</v>
      </c>
      <c r="AC66" s="3">
        <f t="shared" si="5"/>
        <v>-0.30042753977678538</v>
      </c>
      <c r="AE66" s="8">
        <v>0</v>
      </c>
      <c r="AF66" s="12">
        <v>4.2174546670202018</v>
      </c>
      <c r="AG66" s="15">
        <v>2.901379670662096</v>
      </c>
      <c r="AH66" s="15">
        <v>0.34542027273220266</v>
      </c>
      <c r="AI66" s="15"/>
      <c r="AJ66" s="15"/>
    </row>
    <row r="67" spans="2:36" x14ac:dyDescent="0.2">
      <c r="B67" s="9">
        <v>60</v>
      </c>
      <c r="C67" s="4">
        <v>5.5695309249999996</v>
      </c>
      <c r="D67" s="5">
        <v>4.6861771000000003E-2</v>
      </c>
      <c r="E67" s="6">
        <f>EXP(-tbl_zero_rates[[#This Row],[nacc]]*tbl_zero_rates[[#This Row],[tau]])</f>
        <v>0.77028239641080665</v>
      </c>
      <c r="J67" s="12">
        <v>4.2888696909696966</v>
      </c>
      <c r="K67" s="13" cm="1">
        <f t="array" ref="K67">cubicSpline(tbl_zero_rates[tau],tbl_zero_rates[nacc],J67,0)</f>
        <v>4.3221607258694714E-2</v>
      </c>
      <c r="L67" s="3" cm="1">
        <f t="array" ref="L67">cubicSpline(tbl_zero_rates[tau],tbl_zero_rates[nacc],J67,1)</f>
        <v>3.634172852117673E-3</v>
      </c>
      <c r="M67" s="3">
        <f t="shared" si="2"/>
        <v>5.8808101055887102E-2</v>
      </c>
      <c r="O67" s="12">
        <v>4.2888796909696962</v>
      </c>
      <c r="P67" s="13" cm="1">
        <f t="array" ref="P67">cubicSpline(tbl_zero_rates[tau],tbl_zero_rates[nacc],O67,0)</f>
        <v>4.3221643365933295E-2</v>
      </c>
      <c r="Q67" s="3" cm="1">
        <f t="array" ref="Q67">cubicSpline(tbl_zero_rates[tau],tbl_zero_rates[nacc],O67,1)</f>
        <v>3.6341728033375729E-3</v>
      </c>
      <c r="R67" s="3">
        <f t="shared" si="3"/>
        <v>5.8808173295642217E-2</v>
      </c>
      <c r="T67" s="12">
        <v>4.288859690969697</v>
      </c>
      <c r="U67" s="13" cm="1">
        <f t="array" ref="U67">cubicSpline(tbl_zero_rates[tau],tbl_zero_rates[nacc],T67,0)</f>
        <v>4.3221571151321733E-2</v>
      </c>
      <c r="V67" s="3" cm="1">
        <f t="array" ref="V67">cubicSpline(tbl_zero_rates[tau],tbl_zero_rates[nacc],T67,1)</f>
        <v>3.6341729008977732E-3</v>
      </c>
      <c r="W67" s="3">
        <f t="shared" si="4"/>
        <v>5.8808028815996602E-2</v>
      </c>
      <c r="Y67" s="3">
        <f t="shared" si="6"/>
        <v>7.2239822807712564E-3</v>
      </c>
      <c r="Z67" s="3">
        <f t="shared" si="7"/>
        <v>1.9210348895686308E-2</v>
      </c>
      <c r="AA67" s="3"/>
      <c r="AB67" s="3">
        <v>1.3424376599514299E-2</v>
      </c>
      <c r="AC67" s="3">
        <f t="shared" si="5"/>
        <v>-0.30119038064276138</v>
      </c>
      <c r="AE67" s="8">
        <v>0</v>
      </c>
      <c r="AF67" s="12">
        <v>4.2888696909696966</v>
      </c>
      <c r="AG67" s="15">
        <v>2.9332098579110646</v>
      </c>
      <c r="AH67" s="15">
        <v>0.35336290370167422</v>
      </c>
      <c r="AI67" s="15"/>
      <c r="AJ67" s="15"/>
    </row>
    <row r="68" spans="2:36" x14ac:dyDescent="0.2">
      <c r="B68" s="9">
        <v>61</v>
      </c>
      <c r="C68" s="4">
        <v>5.6580323779999997</v>
      </c>
      <c r="D68" s="5">
        <v>4.7049968999999997E-2</v>
      </c>
      <c r="E68" s="6">
        <f>EXP(-tbl_zero_rates[[#This Row],[nacc]]*tbl_zero_rates[[#This Row],[tau]])</f>
        <v>0.76627800215688302</v>
      </c>
      <c r="J68" s="12">
        <v>4.3602847149191915</v>
      </c>
      <c r="K68" s="13" cm="1">
        <f t="array" ref="K68">cubicSpline(tbl_zero_rates[tau],tbl_zero_rates[nacc],J68,0)</f>
        <v>4.3476060346767743E-2</v>
      </c>
      <c r="L68" s="3" cm="1">
        <f t="array" ref="L68">cubicSpline(tbl_zero_rates[tau],tbl_zero_rates[nacc],J68,1)</f>
        <v>3.5161028016911342E-3</v>
      </c>
      <c r="M68" s="3">
        <f t="shared" si="2"/>
        <v>5.8807269649066143E-2</v>
      </c>
      <c r="O68" s="12">
        <v>4.3602947149191911</v>
      </c>
      <c r="P68" s="13" cm="1">
        <f t="array" ref="P68">cubicSpline(tbl_zero_rates[tau],tbl_zero_rates[nacc],O68,0)</f>
        <v>4.3476095502631769E-2</v>
      </c>
      <c r="Q68" s="3" cm="1">
        <f t="array" ref="Q68">cubicSpline(tbl_zero_rates[tau],tbl_zero_rates[nacc],O68,1)</f>
        <v>3.5161027508603397E-3</v>
      </c>
      <c r="R68" s="3">
        <f t="shared" si="3"/>
        <v>5.8807339744320938E-2</v>
      </c>
      <c r="T68" s="12">
        <v>4.3602747149191918</v>
      </c>
      <c r="U68" s="13" cm="1">
        <f t="array" ref="U68">cubicSpline(tbl_zero_rates[tau],tbl_zero_rates[nacc],T68,0)</f>
        <v>4.3476025190771712E-2</v>
      </c>
      <c r="V68" s="3" cm="1">
        <f t="array" ref="V68">cubicSpline(tbl_zero_rates[tau],tbl_zero_rates[nacc],T68,1)</f>
        <v>3.5161028525219282E-3</v>
      </c>
      <c r="W68" s="3">
        <f t="shared" si="4"/>
        <v>5.8807199553678316E-2</v>
      </c>
      <c r="Y68" s="3">
        <f t="shared" si="6"/>
        <v>7.0095321311192107E-3</v>
      </c>
      <c r="Z68" s="3">
        <f t="shared" si="7"/>
        <v>1.9001045002654583E-2</v>
      </c>
      <c r="AA68" s="3"/>
      <c r="AB68" s="3">
        <v>1.32673704970809E-2</v>
      </c>
      <c r="AC68" s="3">
        <f t="shared" si="5"/>
        <v>-0.30175574579043662</v>
      </c>
      <c r="AE68" s="8">
        <v>0</v>
      </c>
      <c r="AF68" s="12">
        <v>4.3602847149191915</v>
      </c>
      <c r="AG68" s="15">
        <v>2.9646110629592601</v>
      </c>
      <c r="AH68" s="15">
        <v>0.36124944078499077</v>
      </c>
      <c r="AI68" s="15"/>
      <c r="AJ68" s="15"/>
    </row>
    <row r="69" spans="2:36" x14ac:dyDescent="0.2">
      <c r="B69" s="9">
        <v>62</v>
      </c>
      <c r="C69" s="4">
        <v>5.7465338309999998</v>
      </c>
      <c r="D69" s="5">
        <v>4.7231262000000003E-2</v>
      </c>
      <c r="E69" s="6">
        <f>EXP(-tbl_zero_rates[[#This Row],[nacc]]*tbl_zero_rates[[#This Row],[tau]])</f>
        <v>0.76229927964519983</v>
      </c>
      <c r="J69" s="12">
        <v>4.4316997388686872</v>
      </c>
      <c r="K69" s="13" cm="1">
        <f t="array" ref="K69">cubicSpline(tbl_zero_rates[tau],tbl_zero_rates[nacc],J69,0)</f>
        <v>4.3723781243021946E-2</v>
      </c>
      <c r="L69" s="3" cm="1">
        <f t="array" ref="L69">cubicSpline(tbl_zero_rates[tau],tbl_zero_rates[nacc],J69,1)</f>
        <v>3.4006928975146059E-3</v>
      </c>
      <c r="M69" s="3">
        <f t="shared" si="2"/>
        <v>5.8794631068910023E-2</v>
      </c>
      <c r="O69" s="12">
        <v>4.4317097388686868</v>
      </c>
      <c r="P69" s="13" cm="1">
        <f t="array" ref="P69">cubicSpline(tbl_zero_rates[tau],tbl_zero_rates[nacc],O69,0)</f>
        <v>4.3723815464957502E-2</v>
      </c>
      <c r="Q69" s="3" cm="1">
        <f t="array" ref="Q69">cubicSpline(tbl_zero_rates[tau],tbl_zero_rates[nacc],O69,1)</f>
        <v>3.4006928483095097E-3</v>
      </c>
      <c r="R69" s="3">
        <f t="shared" si="3"/>
        <v>5.8794699079711854E-2</v>
      </c>
      <c r="T69" s="12">
        <v>4.4316897388686876</v>
      </c>
      <c r="U69" s="13" cm="1">
        <f t="array" ref="U69">cubicSpline(tbl_zero_rates[tau],tbl_zero_rates[nacc],T69,0)</f>
        <v>4.3723747020956827E-2</v>
      </c>
      <c r="V69" s="3" cm="1">
        <f t="array" ref="V69">cubicSpline(tbl_zero_rates[tau],tbl_zero_rates[nacc],T69,1)</f>
        <v>3.4006929467197021E-3</v>
      </c>
      <c r="W69" s="3">
        <f t="shared" si="4"/>
        <v>5.8794563057977652E-2</v>
      </c>
      <c r="Y69" s="3">
        <f t="shared" si="6"/>
        <v>6.8010867101259134E-3</v>
      </c>
      <c r="Z69" s="3">
        <f t="shared" si="7"/>
        <v>1.8795360466475178E-2</v>
      </c>
      <c r="AA69" s="3"/>
      <c r="AB69" s="3">
        <v>1.3113955316003E-2</v>
      </c>
      <c r="AC69" s="3">
        <f t="shared" si="5"/>
        <v>-0.3022769986564483</v>
      </c>
      <c r="AE69" s="8">
        <v>0</v>
      </c>
      <c r="AF69" s="12">
        <v>4.4316997388686872</v>
      </c>
      <c r="AG69" s="15">
        <v>2.9955890672910046</v>
      </c>
      <c r="AH69" s="15">
        <v>0.36914017615439404</v>
      </c>
      <c r="AI69" s="15"/>
      <c r="AJ69" s="15"/>
    </row>
    <row r="70" spans="2:36" x14ac:dyDescent="0.2">
      <c r="B70" s="9">
        <v>63</v>
      </c>
      <c r="C70" s="4">
        <v>5.8350352839999999</v>
      </c>
      <c r="D70" s="5">
        <v>4.7405883000000003E-2</v>
      </c>
      <c r="E70" s="6">
        <f>EXP(-tbl_zero_rates[[#This Row],[nacc]]*tbl_zero_rates[[#This Row],[tau]])</f>
        <v>0.75834640430000411</v>
      </c>
      <c r="J70" s="12">
        <v>4.503114762818182</v>
      </c>
      <c r="K70" s="13" cm="1">
        <f t="array" ref="K70">cubicSpline(tbl_zero_rates[tau],tbl_zero_rates[nacc],J70,0)</f>
        <v>4.3964894213912323E-2</v>
      </c>
      <c r="L70" s="3" cm="1">
        <f t="array" ref="L70">cubicSpline(tbl_zero_rates[tau],tbl_zero_rates[nacc],J70,1)</f>
        <v>3.4003414992014088E-3</v>
      </c>
      <c r="M70" s="3">
        <f t="shared" si="2"/>
        <v>5.9277022217589494E-2</v>
      </c>
      <c r="O70" s="12">
        <v>4.5031247628181816</v>
      </c>
      <c r="P70" s="13" cm="1">
        <f t="array" ref="P70">cubicSpline(tbl_zero_rates[tau],tbl_zero_rates[nacc],O70,0)</f>
        <v>4.3964927519122808E-2</v>
      </c>
      <c r="Q70" s="3" cm="1">
        <f t="array" ref="Q70">cubicSpline(tbl_zero_rates[tau],tbl_zero_rates[nacc],O70,1)</f>
        <v>3.4003414499963126E-3</v>
      </c>
      <c r="R70" s="3">
        <f t="shared" si="3"/>
        <v>5.9277089304638285E-2</v>
      </c>
      <c r="T70" s="12">
        <v>4.5031047628181824</v>
      </c>
      <c r="U70" s="13" cm="1">
        <f t="array" ref="U70">cubicSpline(tbl_zero_rates[tau],tbl_zero_rates[nacc],T70,0)</f>
        <v>4.3964860908574654E-2</v>
      </c>
      <c r="V70" s="3" cm="1">
        <f t="array" ref="V70">cubicSpline(tbl_zero_rates[tau],tbl_zero_rates[nacc],T70,1)</f>
        <v>3.4003415484065054E-3</v>
      </c>
      <c r="W70" s="3">
        <f t="shared" si="4"/>
        <v>5.9276955130412541E-2</v>
      </c>
      <c r="Y70" s="3">
        <f t="shared" si="6"/>
        <v>6.7087112871899715E-3</v>
      </c>
      <c r="Z70" s="3">
        <f t="shared" si="7"/>
        <v>1.8799663369932867E-2</v>
      </c>
      <c r="AA70" s="3"/>
      <c r="AB70" s="3">
        <v>1.2966138443138899E-2</v>
      </c>
      <c r="AC70" s="3">
        <f t="shared" si="5"/>
        <v>-0.3102994352613665</v>
      </c>
      <c r="AE70" s="8">
        <v>0</v>
      </c>
      <c r="AF70" s="12">
        <v>4.503114762818182</v>
      </c>
      <c r="AG70" s="15">
        <v>3.0261495744723272</v>
      </c>
      <c r="AH70" s="15">
        <v>0.38122037406285703</v>
      </c>
      <c r="AI70" s="15"/>
      <c r="AJ70" s="15"/>
    </row>
    <row r="71" spans="2:36" x14ac:dyDescent="0.2">
      <c r="B71" s="9">
        <v>64</v>
      </c>
      <c r="C71" s="4">
        <v>5.9235367370000001</v>
      </c>
      <c r="D71" s="5">
        <v>4.7574064999999999E-2</v>
      </c>
      <c r="E71" s="6">
        <f>EXP(-tbl_zero_rates[[#This Row],[nacc]]*tbl_zero_rates[[#This Row],[tau]])</f>
        <v>0.75441948331579922</v>
      </c>
      <c r="J71" s="12">
        <v>4.5745297867676769</v>
      </c>
      <c r="K71" s="13" cm="1">
        <f t="array" ref="K71">cubicSpline(tbl_zero_rates[tau],tbl_zero_rates[nacc],J71,0)</f>
        <v>4.419952134395487E-2</v>
      </c>
      <c r="L71" s="3" cm="1">
        <f t="array" ref="L71">cubicSpline(tbl_zero_rates[tau],tbl_zero_rates[nacc],J71,1)</f>
        <v>3.2875696996636354E-3</v>
      </c>
      <c r="M71" s="3">
        <f t="shared" si="2"/>
        <v>5.9238606861141033E-2</v>
      </c>
      <c r="O71" s="12">
        <v>4.5745397867676765</v>
      </c>
      <c r="P71" s="13" cm="1">
        <f t="array" ref="P71">cubicSpline(tbl_zero_rates[tau],tbl_zero_rates[nacc],O71,0)</f>
        <v>4.4199553749548329E-2</v>
      </c>
      <c r="Q71" s="3" cm="1">
        <f t="array" ref="Q71">cubicSpline(tbl_zero_rates[tau],tbl_zero_rates[nacc],O71,1)</f>
        <v>3.2875696498366326E-3</v>
      </c>
      <c r="R71" s="3">
        <f t="shared" si="3"/>
        <v>5.9238671914495881E-2</v>
      </c>
      <c r="T71" s="12">
        <v>4.5745197867676772</v>
      </c>
      <c r="U71" s="13" cm="1">
        <f t="array" ref="U71">cubicSpline(tbl_zero_rates[tau],tbl_zero_rates[nacc],T71,0)</f>
        <v>4.4199488938236643E-2</v>
      </c>
      <c r="V71" s="3" cm="1">
        <f t="array" ref="V71">cubicSpline(tbl_zero_rates[tau],tbl_zero_rates[nacc],T71,1)</f>
        <v>3.2875697494906381E-3</v>
      </c>
      <c r="W71" s="3">
        <f t="shared" si="4"/>
        <v>5.9238541807660423E-2</v>
      </c>
      <c r="Y71" s="3">
        <f t="shared" ref="Y71:Y106" si="8">(R71-W71)/(2*dt)</f>
        <v>6.5053417729055143E-3</v>
      </c>
      <c r="Z71" s="3">
        <f t="shared" ref="Z71:Z102" si="9">Y71+mean_reversion_rate*M71+(volalitity*volalitity)*(1-EXP(-2*mean_reversion_rate*J71))/(2*mean_reversion_rate)</f>
        <v>1.8593884439352979E-2</v>
      </c>
      <c r="AA71" s="3"/>
      <c r="AB71" s="3">
        <v>1.28217051212545E-2</v>
      </c>
      <c r="AC71" s="3">
        <f t="shared" si="5"/>
        <v>-0.31043429020576063</v>
      </c>
      <c r="AE71" s="8">
        <v>0</v>
      </c>
      <c r="AF71" s="12">
        <v>4.5745297867676769</v>
      </c>
      <c r="AG71" s="15">
        <v>3.0562982112010859</v>
      </c>
      <c r="AH71" s="15">
        <v>0.38910162732644071</v>
      </c>
      <c r="AI71" s="15"/>
      <c r="AJ71" s="15"/>
    </row>
    <row r="72" spans="2:36" x14ac:dyDescent="0.2">
      <c r="B72" s="9">
        <v>65</v>
      </c>
      <c r="C72" s="4">
        <v>6.0120381900000002</v>
      </c>
      <c r="D72" s="5">
        <v>4.7736044999999998E-2</v>
      </c>
      <c r="E72" s="6">
        <f>EXP(-tbl_zero_rates[[#This Row],[nacc]]*tbl_zero_rates[[#This Row],[tau]])</f>
        <v>0.75051853932694224</v>
      </c>
      <c r="J72" s="12">
        <v>4.6459448107171717</v>
      </c>
      <c r="K72" s="13" cm="1">
        <f t="array" ref="K72">cubicSpline(tbl_zero_rates[tau],tbl_zero_rates[nacc],J72,0)</f>
        <v>4.4427785422074734E-2</v>
      </c>
      <c r="L72" s="3" cm="1">
        <f t="array" ref="L72">cubicSpline(tbl_zero_rates[tau],tbl_zero_rates[nacc],J72,1)</f>
        <v>3.1774395798508668E-3</v>
      </c>
      <c r="M72" s="3">
        <f t="shared" ref="M72:M106" si="10">K72+J72*L72</f>
        <v>5.9189994349450215E-2</v>
      </c>
      <c r="O72" s="12">
        <v>4.6459548107171713</v>
      </c>
      <c r="P72" s="13" cm="1">
        <f t="array" ref="P72">cubicSpline(tbl_zero_rates[tau],tbl_zero_rates[nacc],O72,0)</f>
        <v>4.4427816945314218E-2</v>
      </c>
      <c r="Q72" s="3" cm="1">
        <f t="array" ref="Q72">cubicSpline(tbl_zero_rates[tau],tbl_zero_rates[nacc],O72,1)</f>
        <v>3.1774395296090617E-3</v>
      </c>
      <c r="R72" s="3">
        <f t="shared" ref="R72:R106" si="11">P72+O72*Q72</f>
        <v>5.9190057413664343E-2</v>
      </c>
      <c r="T72" s="12">
        <v>4.6459348107171721</v>
      </c>
      <c r="U72" s="13" cm="1">
        <f t="array" ref="U72">cubicSpline(tbl_zero_rates[tau],tbl_zero_rates[nacc],T72,0)</f>
        <v>4.4427753898712917E-2</v>
      </c>
      <c r="V72" s="3" cm="1">
        <f t="array" ref="V72">cubicSpline(tbl_zero_rates[tau],tbl_zero_rates[nacc],T72,1)</f>
        <v>3.1774396300926718E-3</v>
      </c>
      <c r="W72" s="3">
        <f t="shared" ref="W72:W106" si="12">U72+T72*V72</f>
        <v>5.9189931285112754E-2</v>
      </c>
      <c r="Y72" s="3">
        <f t="shared" si="8"/>
        <v>6.3064275794555416E-3</v>
      </c>
      <c r="Z72" s="3">
        <f t="shared" si="9"/>
        <v>1.8390492464516794E-2</v>
      </c>
      <c r="AA72" s="3"/>
      <c r="AB72" s="3">
        <v>1.2682489739417799E-2</v>
      </c>
      <c r="AC72" s="3">
        <f t="shared" ref="AC72:AC106" si="13">AB72/Z72-1</f>
        <v>-0.31037791598632813</v>
      </c>
      <c r="AE72" s="8">
        <v>0</v>
      </c>
      <c r="AF72" s="12">
        <v>4.6459448107171717</v>
      </c>
      <c r="AG72" s="15">
        <v>3.0860405283429353</v>
      </c>
      <c r="AH72" s="15">
        <v>0.39695516030765654</v>
      </c>
      <c r="AI72" s="15"/>
      <c r="AJ72" s="15"/>
    </row>
    <row r="73" spans="2:36" x14ac:dyDescent="0.2">
      <c r="B73" s="9">
        <v>66</v>
      </c>
      <c r="C73" s="4">
        <v>6.1005396430000003</v>
      </c>
      <c r="D73" s="5">
        <v>4.7892054000000003E-2</v>
      </c>
      <c r="E73" s="6">
        <f>EXP(-tbl_zero_rates[[#This Row],[nacc]]*tbl_zero_rates[[#This Row],[tau]])</f>
        <v>0.74664355678710803</v>
      </c>
      <c r="J73" s="12">
        <v>4.7173598346666665</v>
      </c>
      <c r="K73" s="13" cm="1">
        <f t="array" ref="K73">cubicSpline(tbl_zero_rates[tau],tbl_zero_rates[nacc],J73,0)</f>
        <v>4.464981010719412E-2</v>
      </c>
      <c r="L73" s="3" cm="1">
        <f t="array" ref="L73">cubicSpline(tbl_zero_rates[tau],tbl_zero_rates[nacc],J73,1)</f>
        <v>3.0699672129217781E-3</v>
      </c>
      <c r="M73" s="3">
        <f t="shared" si="10"/>
        <v>5.9131950131174886E-2</v>
      </c>
      <c r="O73" s="12">
        <v>4.7173698346666662</v>
      </c>
      <c r="P73" s="13" cm="1">
        <f t="array" ref="P73">cubicSpline(tbl_zero_rates[tau],tbl_zero_rates[nacc],O73,0)</f>
        <v>4.4649840765408365E-2</v>
      </c>
      <c r="Q73" s="3" cm="1">
        <f t="array" ref="Q73">cubicSpline(tbl_zero_rates[tau],tbl_zero_rates[nacc],O73,1)</f>
        <v>3.069967163680529E-3</v>
      </c>
      <c r="R73" s="3">
        <f t="shared" si="11"/>
        <v>5.9132011256772074E-2</v>
      </c>
      <c r="T73" s="12">
        <v>4.7173498346666669</v>
      </c>
      <c r="U73" s="13" cm="1">
        <f t="array" ref="U73">cubicSpline(tbl_zero_rates[tau],tbl_zero_rates[nacc],T73,0)</f>
        <v>4.4649779448859943E-2</v>
      </c>
      <c r="V73" s="3" cm="1">
        <f t="array" ref="V73">cubicSpline(tbl_zero_rates[tau],tbl_zero_rates[nacc],T73,1)</f>
        <v>3.0699672621630272E-3</v>
      </c>
      <c r="W73" s="3">
        <f t="shared" si="12"/>
        <v>5.9131889005456781E-2</v>
      </c>
      <c r="Y73" s="3">
        <f t="shared" si="8"/>
        <v>6.1125657646599043E-3</v>
      </c>
      <c r="Z73" s="3">
        <f t="shared" si="9"/>
        <v>1.8190233443197153E-2</v>
      </c>
      <c r="AA73" s="3"/>
      <c r="AB73" s="3">
        <v>1.25480270504532E-2</v>
      </c>
      <c r="AC73" s="3">
        <f t="shared" si="13"/>
        <v>-0.31017778910660676</v>
      </c>
      <c r="AE73" s="8">
        <v>0</v>
      </c>
      <c r="AF73" s="12">
        <v>4.7173598346666665</v>
      </c>
      <c r="AG73" s="15">
        <v>3.1153820019533334</v>
      </c>
      <c r="AH73" s="15">
        <v>0.40479606542332996</v>
      </c>
      <c r="AI73" s="15"/>
      <c r="AJ73" s="15"/>
    </row>
    <row r="74" spans="2:36" x14ac:dyDescent="0.2">
      <c r="B74" s="9">
        <v>67</v>
      </c>
      <c r="C74" s="4">
        <v>6.1890410960000004</v>
      </c>
      <c r="D74" s="5">
        <v>4.8042328000000002E-2</v>
      </c>
      <c r="E74" s="6">
        <f>EXP(-tbl_zero_rates[[#This Row],[nacc]]*tbl_zero_rates[[#This Row],[tau]])</f>
        <v>0.74279443434232606</v>
      </c>
      <c r="J74" s="12">
        <v>4.7887748586161614</v>
      </c>
      <c r="K74" s="13" cm="1">
        <f t="array" ref="K74">cubicSpline(tbl_zero_rates[tau],tbl_zero_rates[nacc],J74,0)</f>
        <v>4.4865718298996049E-2</v>
      </c>
      <c r="L74" s="3" cm="1">
        <f t="array" ref="L74">cubicSpline(tbl_zero_rates[tau],tbl_zero_rates[nacc],J74,1)</f>
        <v>2.965129750955114E-3</v>
      </c>
      <c r="M74" s="3">
        <f t="shared" si="10"/>
        <v>5.9065057102904703E-2</v>
      </c>
      <c r="O74" s="12">
        <v>4.788784858616161</v>
      </c>
      <c r="P74" s="13" cm="1">
        <f t="array" ref="P74">cubicSpline(tbl_zero_rates[tau],tbl_zero_rates[nacc],O74,0)</f>
        <v>4.4865748109269979E-2</v>
      </c>
      <c r="Q74" s="3" cm="1">
        <f t="array" ref="Q74">cubicSpline(tbl_zero_rates[tau],tbl_zero_rates[nacc],O74,1)</f>
        <v>2.9651297006915264E-3</v>
      </c>
      <c r="R74" s="3">
        <f t="shared" si="11"/>
        <v>5.9065116323774633E-2</v>
      </c>
      <c r="T74" s="12">
        <v>4.7887648586161617</v>
      </c>
      <c r="U74" s="13" cm="1">
        <f t="array" ref="U74">cubicSpline(tbl_zero_rates[tau],tbl_zero_rates[nacc],T74,0)</f>
        <v>4.4865688488604581E-2</v>
      </c>
      <c r="V74" s="3" cm="1">
        <f t="array" ref="V74">cubicSpline(tbl_zero_rates[tau],tbl_zero_rates[nacc],T74,1)</f>
        <v>2.9651298012187011E-3</v>
      </c>
      <c r="W74" s="3">
        <f t="shared" si="12"/>
        <v>5.9064997881916222E-2</v>
      </c>
      <c r="Y74" s="3">
        <f t="shared" si="8"/>
        <v>5.9220929205655573E-3</v>
      </c>
      <c r="Z74" s="3">
        <f t="shared" si="9"/>
        <v>1.7991558128670218E-2</v>
      </c>
      <c r="AA74" s="3"/>
      <c r="AB74" s="3">
        <v>1.24181292974089E-2</v>
      </c>
      <c r="AC74" s="3">
        <f t="shared" si="13"/>
        <v>-0.30978021977873349</v>
      </c>
      <c r="AE74" s="8">
        <v>0</v>
      </c>
      <c r="AF74" s="12">
        <v>4.7887748586161614</v>
      </c>
      <c r="AG74" s="15">
        <v>3.144328034285774</v>
      </c>
      <c r="AH74" s="15">
        <v>0.4125889715656228</v>
      </c>
      <c r="AI74" s="15"/>
      <c r="AJ74" s="15"/>
    </row>
    <row r="75" spans="2:36" x14ac:dyDescent="0.2">
      <c r="B75" s="9">
        <v>68</v>
      </c>
      <c r="C75" s="4">
        <v>6.2775425489999996</v>
      </c>
      <c r="D75" s="5">
        <v>4.8187101000000003E-2</v>
      </c>
      <c r="E75" s="6">
        <f>EXP(-tbl_zero_rates[[#This Row],[nacc]]*tbl_zero_rates[[#This Row],[tau]])</f>
        <v>0.73897101787030384</v>
      </c>
      <c r="J75" s="12">
        <v>4.8601898825656562</v>
      </c>
      <c r="K75" s="13" cm="1">
        <f t="array" ref="K75">cubicSpline(tbl_zero_rates[tau],tbl_zero_rates[nacc],J75,0)</f>
        <v>4.5075632404229599E-2</v>
      </c>
      <c r="L75" s="3" cm="1">
        <f t="array" ref="L75">cubicSpline(tbl_zero_rates[tau],tbl_zero_rates[nacc],J75,1)</f>
        <v>2.9647707934246322E-3</v>
      </c>
      <c r="M75" s="3">
        <f t="shared" si="10"/>
        <v>5.9484981418558153E-2</v>
      </c>
      <c r="O75" s="12">
        <v>4.8601998825656558</v>
      </c>
      <c r="P75" s="13" cm="1">
        <f t="array" ref="P75">cubicSpline(tbl_zero_rates[tau],tbl_zero_rates[nacc],O75,0)</f>
        <v>4.5075661383835217E-2</v>
      </c>
      <c r="Q75" s="3" cm="1">
        <f t="array" ref="Q75">cubicSpline(tbl_zero_rates[tau],tbl_zero_rates[nacc],O75,1)</f>
        <v>2.9647707431610447E-3</v>
      </c>
      <c r="R75" s="3">
        <f t="shared" si="11"/>
        <v>5.9485039801580618E-2</v>
      </c>
      <c r="T75" s="12">
        <v>4.8601798825656566</v>
      </c>
      <c r="U75" s="13" cm="1">
        <f t="array" ref="U75">cubicSpline(tbl_zero_rates[tau],tbl_zero_rates[nacc],T75,0)</f>
        <v>4.5075603424508885E-2</v>
      </c>
      <c r="V75" s="3" cm="1">
        <f t="array" ref="V75">cubicSpline(tbl_zero_rates[tau],tbl_zero_rates[nacc],T75,1)</f>
        <v>2.9647708436882194E-3</v>
      </c>
      <c r="W75" s="3">
        <f t="shared" si="12"/>
        <v>5.9484923035419579E-2</v>
      </c>
      <c r="Y75" s="3">
        <f t="shared" si="8"/>
        <v>5.8383080519391886E-3</v>
      </c>
      <c r="Z75" s="3">
        <f t="shared" si="9"/>
        <v>1.7991945414505675E-2</v>
      </c>
      <c r="AA75" s="3"/>
      <c r="AB75" s="3">
        <v>1.2293491575871699E-2</v>
      </c>
      <c r="AC75" s="3">
        <f t="shared" si="13"/>
        <v>-0.31672249483592263</v>
      </c>
      <c r="AE75" s="8">
        <v>0</v>
      </c>
      <c r="AF75" s="12">
        <v>4.8601898825656562</v>
      </c>
      <c r="AG75" s="15">
        <v>3.1728839547864331</v>
      </c>
      <c r="AH75" s="15">
        <v>0.42499576154883756</v>
      </c>
      <c r="AI75" s="15"/>
      <c r="AJ75" s="15"/>
    </row>
    <row r="76" spans="2:36" x14ac:dyDescent="0.2">
      <c r="B76" s="9">
        <v>69</v>
      </c>
      <c r="C76" s="4">
        <v>6.3660440009999997</v>
      </c>
      <c r="D76" s="5">
        <v>4.8326606000000001E-2</v>
      </c>
      <c r="E76" s="6">
        <f>EXP(-tbl_zero_rates[[#This Row],[nacc]]*tbl_zero_rates[[#This Row],[tau]])</f>
        <v>0.73517309785212037</v>
      </c>
      <c r="J76" s="12">
        <v>4.931604906515151</v>
      </c>
      <c r="K76" s="13" cm="1">
        <f t="array" ref="K76">cubicSpline(tbl_zero_rates[tau],tbl_zero_rates[nacc],J76,0)</f>
        <v>4.5279676134719768E-2</v>
      </c>
      <c r="L76" s="3" cm="1">
        <f t="array" ref="L76">cubicSpline(tbl_zero_rates[tau],tbl_zero_rates[nacc],J76,1)</f>
        <v>2.8625866687904365E-3</v>
      </c>
      <c r="M76" s="3">
        <f t="shared" si="10"/>
        <v>5.9396822595851551E-2</v>
      </c>
      <c r="O76" s="12">
        <v>4.9316149065151507</v>
      </c>
      <c r="P76" s="13" cm="1">
        <f t="array" ref="P76">cubicSpline(tbl_zero_rates[tau],tbl_zero_rates[nacc],O76,0)</f>
        <v>4.5279704300949228E-2</v>
      </c>
      <c r="Q76" s="3" cm="1">
        <f t="array" ref="Q76">cubicSpline(tbl_zero_rates[tau],tbl_zero_rates[nacc],O76,1)</f>
        <v>2.8625866190504284E-3</v>
      </c>
      <c r="R76" s="3">
        <f t="shared" si="11"/>
        <v>5.9396879142649128E-2</v>
      </c>
      <c r="T76" s="12">
        <v>4.9315949065151514</v>
      </c>
      <c r="U76" s="13" cm="1">
        <f t="array" ref="U76">cubicSpline(tbl_zero_rates[tau],tbl_zero_rates[nacc],T76,0)</f>
        <v>4.5279647968377607E-2</v>
      </c>
      <c r="V76" s="3" cm="1">
        <f t="array" ref="V76">cubicSpline(tbl_zero_rates[tau],tbl_zero_rates[nacc],T76,1)</f>
        <v>2.8625867185304446E-3</v>
      </c>
      <c r="W76" s="3">
        <f t="shared" si="12"/>
        <v>5.9396766048940272E-2</v>
      </c>
      <c r="Y76" s="3">
        <f t="shared" si="8"/>
        <v>5.6546854428074491E-3</v>
      </c>
      <c r="Z76" s="3">
        <f t="shared" si="9"/>
        <v>1.7795841723780913E-2</v>
      </c>
      <c r="AA76" s="3"/>
      <c r="AB76" s="3">
        <v>1.2173456684100499E-2</v>
      </c>
      <c r="AC76" s="3">
        <f t="shared" si="13"/>
        <v>-0.31593813470295795</v>
      </c>
      <c r="AE76" s="8">
        <v>0</v>
      </c>
      <c r="AF76" s="12">
        <v>4.931604906515151</v>
      </c>
      <c r="AG76" s="15">
        <v>3.2010550210754056</v>
      </c>
      <c r="AH76" s="15">
        <v>0.43280780748004116</v>
      </c>
      <c r="AI76" s="15"/>
      <c r="AJ76" s="15"/>
    </row>
    <row r="77" spans="2:36" x14ac:dyDescent="0.2">
      <c r="B77" s="9">
        <v>70</v>
      </c>
      <c r="C77" s="4">
        <v>6.4545454539999998</v>
      </c>
      <c r="D77" s="5">
        <v>4.8461076999999998E-2</v>
      </c>
      <c r="E77" s="6">
        <f>EXP(-tbl_zero_rates[[#This Row],[nacc]]*tbl_zero_rates[[#This Row],[tau]])</f>
        <v>0.73140040155374952</v>
      </c>
      <c r="J77" s="12">
        <v>5.0030199304646468</v>
      </c>
      <c r="K77" s="13" cm="1">
        <f t="array" ref="K77">cubicSpline(tbl_zero_rates[tau],tbl_zero_rates[nacc],J77,0)</f>
        <v>4.5477972504890579E-2</v>
      </c>
      <c r="L77" s="3" cm="1">
        <f t="array" ref="L77">cubicSpline(tbl_zero_rates[tau],tbl_zero_rates[nacc],J77,1)</f>
        <v>2.763047744325483E-3</v>
      </c>
      <c r="M77" s="3">
        <f t="shared" si="10"/>
        <v>5.9301555438576355E-2</v>
      </c>
      <c r="O77" s="12">
        <v>5.0030299304646464</v>
      </c>
      <c r="P77" s="13" cm="1">
        <f t="array" ref="P77">cubicSpline(tbl_zero_rates[tau],tbl_zero_rates[nacc],O77,0)</f>
        <v>4.5477999874922355E-2</v>
      </c>
      <c r="Q77" s="3" cm="1">
        <f t="array" ref="Q77">cubicSpline(tbl_zero_rates[tau],tbl_zero_rates[nacc],O77,1)</f>
        <v>2.7630476947941907E-3</v>
      </c>
      <c r="R77" s="3">
        <f t="shared" si="11"/>
        <v>5.9301610191279039E-2</v>
      </c>
      <c r="T77" s="12">
        <v>5.0030099304646471</v>
      </c>
      <c r="U77" s="13" cm="1">
        <f t="array" ref="U77">cubicSpline(tbl_zero_rates[tau],tbl_zero_rates[nacc],T77,0)</f>
        <v>4.547794513474851E-2</v>
      </c>
      <c r="V77" s="3" cm="1">
        <f t="array" ref="V77">cubicSpline(tbl_zero_rates[tau],tbl_zero_rates[nacc],T77,1)</f>
        <v>2.7630477938567753E-3</v>
      </c>
      <c r="W77" s="3">
        <f t="shared" si="12"/>
        <v>5.9301500685762391E-2</v>
      </c>
      <c r="Y77" s="3">
        <f t="shared" si="8"/>
        <v>5.4752758323756137E-3</v>
      </c>
      <c r="Z77" s="3">
        <f t="shared" si="9"/>
        <v>1.7602486152611778E-2</v>
      </c>
      <c r="AA77" s="3"/>
      <c r="AB77" s="3">
        <v>1.20586963792048E-2</v>
      </c>
      <c r="AC77" s="3">
        <f t="shared" si="13"/>
        <v>-0.3149435667974898</v>
      </c>
      <c r="AE77" s="8">
        <v>0</v>
      </c>
      <c r="AF77" s="12">
        <v>5.0030199304646468</v>
      </c>
      <c r="AG77" s="15">
        <v>3.2288464199147255</v>
      </c>
      <c r="AH77" s="15">
        <v>0.44059389719147424</v>
      </c>
      <c r="AI77" s="15"/>
      <c r="AJ77" s="15"/>
    </row>
    <row r="78" spans="2:36" x14ac:dyDescent="0.2">
      <c r="B78" s="9">
        <v>71</v>
      </c>
      <c r="C78" s="4">
        <v>6.5430469069999999</v>
      </c>
      <c r="D78" s="5">
        <v>4.8590750000000002E-2</v>
      </c>
      <c r="E78" s="6">
        <f>EXP(-tbl_zero_rates[[#This Row],[nacc]]*tbl_zero_rates[[#This Row],[tau]])</f>
        <v>0.72765258980300029</v>
      </c>
      <c r="J78" s="12">
        <v>5.0744349544141416</v>
      </c>
      <c r="K78" s="13" cm="1">
        <f t="array" ref="K78">cubicSpline(tbl_zero_rates[tau],tbl_zero_rates[nacc],J78,0)</f>
        <v>4.5670643991979933E-2</v>
      </c>
      <c r="L78" s="3" cm="1">
        <f t="array" ref="L78">cubicSpline(tbl_zero_rates[tau],tbl_zero_rates[nacc],J78,1)</f>
        <v>2.6661416359146936E-3</v>
      </c>
      <c r="M78" s="3">
        <f t="shared" si="10"/>
        <v>5.9199806302684357E-2</v>
      </c>
      <c r="O78" s="12">
        <v>5.0744449544141412</v>
      </c>
      <c r="P78" s="13" cm="1">
        <f t="array" ref="P78">cubicSpline(tbl_zero_rates[tau],tbl_zero_rates[nacc],O78,0)</f>
        <v>4.5670670582946146E-2</v>
      </c>
      <c r="Q78" s="3" cm="1">
        <f t="array" ref="Q78">cubicSpline(tbl_zero_rates[tau],tbl_zero_rates[nacc],O78,1)</f>
        <v>2.666141586301689E-3</v>
      </c>
      <c r="R78" s="3">
        <f t="shared" si="11"/>
        <v>5.9199859303308469E-2</v>
      </c>
      <c r="T78" s="12">
        <v>5.074424954414142</v>
      </c>
      <c r="U78" s="13" cm="1">
        <f t="array" ref="U78">cubicSpline(tbl_zero_rates[tau],tbl_zero_rates[nacc],T78,0)</f>
        <v>4.5670617400905819E-2</v>
      </c>
      <c r="V78" s="3" cm="1">
        <f t="array" ref="V78">cubicSpline(tbl_zero_rates[tau],tbl_zero_rates[nacc],T78,1)</f>
        <v>2.6661416855276983E-3</v>
      </c>
      <c r="W78" s="3">
        <f t="shared" si="12"/>
        <v>5.9199753301951354E-2</v>
      </c>
      <c r="Y78" s="3">
        <f t="shared" si="8"/>
        <v>5.3000678557763026E-3</v>
      </c>
      <c r="Z78" s="3">
        <f t="shared" si="9"/>
        <v>1.7411989403773195E-2</v>
      </c>
      <c r="AA78" s="3"/>
      <c r="AB78" s="3">
        <v>1.19492256270911E-2</v>
      </c>
      <c r="AC78" s="3">
        <f t="shared" si="13"/>
        <v>-0.31373576275542114</v>
      </c>
      <c r="AE78" s="8">
        <v>0</v>
      </c>
      <c r="AF78" s="12">
        <v>5.0744349544141416</v>
      </c>
      <c r="AG78" s="15">
        <v>3.2562632681633299</v>
      </c>
      <c r="AH78" s="15">
        <v>0.44835681368409613</v>
      </c>
      <c r="AI78" s="15"/>
      <c r="AJ78" s="15"/>
    </row>
    <row r="79" spans="2:36" x14ac:dyDescent="0.2">
      <c r="B79" s="9">
        <v>72</v>
      </c>
      <c r="C79" s="4">
        <v>6.63154836</v>
      </c>
      <c r="D79" s="5">
        <v>4.8715857000000001E-2</v>
      </c>
      <c r="E79" s="6">
        <f>EXP(-tbl_zero_rates[[#This Row],[nacc]]*tbl_zero_rates[[#This Row],[tau]])</f>
        <v>0.72392928675501744</v>
      </c>
      <c r="J79" s="12">
        <v>5.1458499783636364</v>
      </c>
      <c r="K79" s="13" cm="1">
        <f t="array" ref="K79">cubicSpline(tbl_zero_rates[tau],tbl_zero_rates[nacc],J79,0)</f>
        <v>4.5857813013939791E-2</v>
      </c>
      <c r="L79" s="3" cm="1">
        <f t="array" ref="L79">cubicSpline(tbl_zero_rates[tau],tbl_zero_rates[nacc],J79,1)</f>
        <v>2.5718770805815928E-3</v>
      </c>
      <c r="M79" s="3">
        <f t="shared" si="10"/>
        <v>5.9092306633404514E-2</v>
      </c>
      <c r="O79" s="12">
        <v>5.1458599783636361</v>
      </c>
      <c r="P79" s="13" cm="1">
        <f t="array" ref="P79">cubicSpline(tbl_zero_rates[tau],tbl_zero_rates[nacc],O79,0)</f>
        <v>4.5857838843005282E-2</v>
      </c>
      <c r="Q79" s="3" cm="1">
        <f t="array" ref="Q79">cubicSpline(tbl_zero_rates[tau],tbl_zero_rates[nacc],O79,1)</f>
        <v>2.571877029809991E-3</v>
      </c>
      <c r="R79" s="3">
        <f t="shared" si="11"/>
        <v>5.9092357919977252E-2</v>
      </c>
      <c r="T79" s="12">
        <v>5.1458399783636368</v>
      </c>
      <c r="U79" s="13" cm="1">
        <f t="array" ref="U79">cubicSpline(tbl_zero_rates[tau],tbl_zero_rates[nacc],T79,0)</f>
        <v>4.5857787184768829E-2</v>
      </c>
      <c r="V79" s="3" cm="1">
        <f t="array" ref="V79">cubicSpline(tbl_zero_rates[tau],tbl_zero_rates[nacc],T79,1)</f>
        <v>2.5718771313531946E-3</v>
      </c>
      <c r="W79" s="3">
        <f t="shared" si="12"/>
        <v>5.9092255346725284E-2</v>
      </c>
      <c r="Y79" s="3">
        <f t="shared" si="8"/>
        <v>5.1286625984275913E-3</v>
      </c>
      <c r="Z79" s="3">
        <f t="shared" si="9"/>
        <v>1.7224094515363143E-2</v>
      </c>
      <c r="AA79" s="3"/>
      <c r="AB79" s="3">
        <v>1.18451221298556E-2</v>
      </c>
      <c r="AC79" s="3">
        <f t="shared" si="13"/>
        <v>-0.31229347822666287</v>
      </c>
      <c r="AE79" s="8">
        <v>0</v>
      </c>
      <c r="AF79" s="12">
        <v>5.1458499783636364</v>
      </c>
      <c r="AG79" s="15">
        <v>3.2833106137191606</v>
      </c>
      <c r="AH79" s="15">
        <v>0.45609009567025305</v>
      </c>
      <c r="AI79" s="15"/>
      <c r="AJ79" s="15"/>
    </row>
    <row r="80" spans="2:36" x14ac:dyDescent="0.2">
      <c r="B80" s="9">
        <v>73</v>
      </c>
      <c r="C80" s="4">
        <v>6.7200498130000001</v>
      </c>
      <c r="D80" s="5">
        <v>4.8836632999999997E-2</v>
      </c>
      <c r="E80" s="6">
        <f>EXP(-tbl_zero_rates[[#This Row],[nacc]]*tbl_zero_rates[[#This Row],[tau]])</f>
        <v>0.72023004831296178</v>
      </c>
      <c r="J80" s="12">
        <v>5.2172650023131313</v>
      </c>
      <c r="K80" s="13" cm="1">
        <f t="array" ref="K80">cubicSpline(tbl_zero_rates[tau],tbl_zero_rates[nacc],J80,0)</f>
        <v>4.6039603010666168E-2</v>
      </c>
      <c r="L80" s="3" cm="1">
        <f t="array" ref="L80">cubicSpline(tbl_zero_rates[tau],tbl_zero_rates[nacc],J80,1)</f>
        <v>2.4802734314964691E-3</v>
      </c>
      <c r="M80" s="3">
        <f t="shared" si="10"/>
        <v>5.897984678097979E-2</v>
      </c>
      <c r="O80" s="12">
        <v>5.2172750023131309</v>
      </c>
      <c r="P80" s="13" cm="1">
        <f t="array" ref="P80">cubicSpline(tbl_zero_rates[tau],tbl_zero_rates[nacc],O80,0)</f>
        <v>4.6039628095277112E-2</v>
      </c>
      <c r="Q80" s="3" cm="1">
        <f t="array" ref="Q80">cubicSpline(tbl_zero_rates[tau],tbl_zero_rates[nacc],O80,1)</f>
        <v>2.480273382887508E-3</v>
      </c>
      <c r="R80" s="3">
        <f t="shared" si="11"/>
        <v>5.8979896414718735E-2</v>
      </c>
      <c r="T80" s="12">
        <v>5.2172550023131317</v>
      </c>
      <c r="U80" s="13" cm="1">
        <f t="array" ref="U80">cubicSpline(tbl_zero_rates[tau],tbl_zero_rates[nacc],T80,0)</f>
        <v>4.6039577925952202E-2</v>
      </c>
      <c r="V80" s="3" cm="1">
        <f t="array" ref="V80">cubicSpline(tbl_zero_rates[tau],tbl_zero_rates[nacc],T80,1)</f>
        <v>2.4802734801054305E-3</v>
      </c>
      <c r="W80" s="3">
        <f t="shared" si="12"/>
        <v>5.8979797147136859E-2</v>
      </c>
      <c r="Y80" s="3">
        <f t="shared" si="8"/>
        <v>4.9633790938363731E-3</v>
      </c>
      <c r="Z80" s="3">
        <f t="shared" si="9"/>
        <v>1.7041273585789409E-2</v>
      </c>
      <c r="AA80" s="3"/>
      <c r="AB80" s="3">
        <v>1.17465249926613E-2</v>
      </c>
      <c r="AC80" s="3">
        <f t="shared" si="13"/>
        <v>-0.31070146057295622</v>
      </c>
      <c r="AE80" s="8">
        <v>0</v>
      </c>
      <c r="AF80" s="12">
        <v>5.2172650023131313</v>
      </c>
      <c r="AG80" s="15">
        <v>3.3099934364485657</v>
      </c>
      <c r="AH80" s="15">
        <v>0.463860980757696</v>
      </c>
      <c r="AI80" s="15"/>
      <c r="AJ80" s="15"/>
    </row>
    <row r="81" spans="2:36" x14ac:dyDescent="0.2">
      <c r="B81" s="9">
        <v>74</v>
      </c>
      <c r="C81" s="4">
        <v>6.8085512660000003</v>
      </c>
      <c r="D81" s="5">
        <v>4.8953310999999999E-2</v>
      </c>
      <c r="E81" s="6">
        <f>EXP(-tbl_zero_rates[[#This Row],[nacc]]*tbl_zero_rates[[#This Row],[tau]])</f>
        <v>0.71655438737320964</v>
      </c>
      <c r="J81" s="12">
        <v>5.2886800262626261</v>
      </c>
      <c r="K81" s="13" cm="1">
        <f t="array" ref="K81">cubicSpline(tbl_zero_rates[tau],tbl_zero_rates[nacc],J81,0)</f>
        <v>4.6216138204216051E-2</v>
      </c>
      <c r="L81" s="3" cm="1">
        <f t="array" ref="L81">cubicSpline(tbl_zero_rates[tau],tbl_zero_rates[nacc],J81,1)</f>
        <v>2.4799262904826435E-3</v>
      </c>
      <c r="M81" s="3">
        <f t="shared" si="10"/>
        <v>5.9331674843295171E-2</v>
      </c>
      <c r="O81" s="12">
        <v>5.2886900262626257</v>
      </c>
      <c r="P81" s="13" cm="1">
        <f t="array" ref="P81">cubicSpline(tbl_zero_rates[tau],tbl_zero_rates[nacc],O81,0)</f>
        <v>4.6216162561535531E-2</v>
      </c>
      <c r="Q81" s="3" cm="1">
        <f t="array" ref="Q81">cubicSpline(tbl_zero_rates[tau],tbl_zero_rates[nacc],O81,1)</f>
        <v>2.479926241873682E-3</v>
      </c>
      <c r="R81" s="3">
        <f t="shared" si="11"/>
        <v>5.9331723742799831E-2</v>
      </c>
      <c r="T81" s="12">
        <v>5.2886700262626265</v>
      </c>
      <c r="U81" s="13" cm="1">
        <f t="array" ref="U81">cubicSpline(tbl_zero_rates[tau],tbl_zero_rates[nacc],T81,0)</f>
        <v>4.6216113846795907E-2</v>
      </c>
      <c r="V81" s="3" cm="1">
        <f t="array" ref="V81">cubicSpline(tbl_zero_rates[tau],tbl_zero_rates[nacc],T81,1)</f>
        <v>2.4799263390916045E-3</v>
      </c>
      <c r="W81" s="3">
        <f t="shared" si="12"/>
        <v>5.9331625943688883E-2</v>
      </c>
      <c r="Y81" s="3">
        <f t="shared" si="8"/>
        <v>4.889955547426883E-3</v>
      </c>
      <c r="Z81" s="3">
        <f t="shared" si="9"/>
        <v>1.703842477983207E-2</v>
      </c>
      <c r="AA81" s="3"/>
      <c r="AB81" s="3">
        <v>1.1652461543359201E-2</v>
      </c>
      <c r="AC81" s="3">
        <f t="shared" si="13"/>
        <v>-0.31610687643191582</v>
      </c>
      <c r="AE81" s="8">
        <v>0</v>
      </c>
      <c r="AF81" s="12">
        <v>5.2886800262626261</v>
      </c>
      <c r="AG81" s="15">
        <v>3.3363166491031766</v>
      </c>
      <c r="AH81" s="15">
        <v>0.47656706547703598</v>
      </c>
      <c r="AI81" s="15"/>
      <c r="AJ81" s="15"/>
    </row>
    <row r="82" spans="2:36" x14ac:dyDescent="0.2">
      <c r="B82" s="9">
        <v>75</v>
      </c>
      <c r="C82" s="4">
        <v>6.8970527190000004</v>
      </c>
      <c r="D82" s="5">
        <v>4.9066127000000001E-2</v>
      </c>
      <c r="E82" s="6">
        <f>EXP(-tbl_zero_rates[[#This Row],[nacc]]*tbl_zero_rates[[#This Row],[tau]])</f>
        <v>0.71290175104310294</v>
      </c>
      <c r="J82" s="12">
        <v>5.360095050212121</v>
      </c>
      <c r="K82" s="13" cm="1">
        <f t="array" ref="K82">cubicSpline(tbl_zero_rates[tau],tbl_zero_rates[nacc],J82,0)</f>
        <v>4.638753992507974E-2</v>
      </c>
      <c r="L82" s="3" cm="1">
        <f t="array" ref="L82">cubicSpline(tbl_zero_rates[tau],tbl_zero_rates[nacc],J82,1)</f>
        <v>2.3909457629363979E-3</v>
      </c>
      <c r="M82" s="3">
        <f t="shared" si="10"/>
        <v>5.920323647432077E-2</v>
      </c>
      <c r="O82" s="12">
        <v>5.3601050502121206</v>
      </c>
      <c r="P82" s="13" cm="1">
        <f t="array" ref="P82">cubicSpline(tbl_zero_rates[tau],tbl_zero_rates[nacc],O82,0)</f>
        <v>4.6387563572169201E-2</v>
      </c>
      <c r="Q82" s="3" cm="1">
        <f t="array" ref="Q82">cubicSpline(tbl_zero_rates[tau],tbl_zero_rates[nacc],O82,1)</f>
        <v>2.3909457119423933E-3</v>
      </c>
      <c r="R82" s="3">
        <f t="shared" si="11"/>
        <v>5.9203283757534635E-2</v>
      </c>
      <c r="T82" s="12">
        <v>5.3600850502121213</v>
      </c>
      <c r="U82" s="13" cm="1">
        <f t="array" ref="U82">cubicSpline(tbl_zero_rates[tau],tbl_zero_rates[nacc],T82,0)</f>
        <v>4.6387516277892067E-2</v>
      </c>
      <c r="V82" s="3" cm="1">
        <f t="array" ref="V82">cubicSpline(tbl_zero_rates[tau],tbl_zero_rates[nacc],T82,1)</f>
        <v>2.3909458139304025E-3</v>
      </c>
      <c r="W82" s="3">
        <f t="shared" si="12"/>
        <v>5.9203189191007671E-2</v>
      </c>
      <c r="Y82" s="3">
        <f t="shared" si="8"/>
        <v>4.728326348166223E-3</v>
      </c>
      <c r="Z82" s="3">
        <f t="shared" si="9"/>
        <v>1.6856019905950672E-2</v>
      </c>
      <c r="AA82" s="3"/>
      <c r="AB82" s="3">
        <v>1.15654551050062E-2</v>
      </c>
      <c r="AC82" s="3">
        <f t="shared" si="13"/>
        <v>-0.31386797301281932</v>
      </c>
      <c r="AE82" s="8">
        <v>0</v>
      </c>
      <c r="AF82" s="12">
        <v>5.360095050212121</v>
      </c>
      <c r="AG82" s="15">
        <v>3.362285098224425</v>
      </c>
      <c r="AH82" s="15">
        <v>0.48428388488611518</v>
      </c>
      <c r="AI82" s="15"/>
      <c r="AJ82" s="15"/>
    </row>
    <row r="83" spans="2:36" x14ac:dyDescent="0.2">
      <c r="B83" s="9">
        <v>76</v>
      </c>
      <c r="C83" s="4">
        <v>6.9855541719999996</v>
      </c>
      <c r="D83" s="5">
        <v>4.9175313999999998E-2</v>
      </c>
      <c r="E83" s="6">
        <f>EXP(-tbl_zero_rates[[#This Row],[nacc]]*tbl_zero_rates[[#This Row],[tau]])</f>
        <v>0.70927155118731056</v>
      </c>
      <c r="J83" s="12">
        <v>5.4315100741616158</v>
      </c>
      <c r="K83" s="13" cm="1">
        <f t="array" ref="K83">cubicSpline(tbl_zero_rates[tau],tbl_zero_rates[nacc],J83,0)</f>
        <v>4.6553932208700265E-2</v>
      </c>
      <c r="L83" s="3" cm="1">
        <f t="array" ref="L83">cubicSpline(tbl_zero_rates[tau],tbl_zero_rates[nacc],J83,1)</f>
        <v>2.3046370493684815E-3</v>
      </c>
      <c r="M83" s="3">
        <f t="shared" si="10"/>
        <v>5.9071591559631272E-2</v>
      </c>
      <c r="O83" s="12">
        <v>5.4315200741616154</v>
      </c>
      <c r="P83" s="13" cm="1">
        <f t="array" ref="P83">cubicSpline(tbl_zero_rates[tau],tbl_zero_rates[nacc],O83,0)</f>
        <v>4.6553955163055584E-2</v>
      </c>
      <c r="Q83" s="3" cm="1">
        <f t="array" ref="Q83">cubicSpline(tbl_zero_rates[tau],tbl_zero_rates[nacc],O83,1)</f>
        <v>2.3046370006450882E-3</v>
      </c>
      <c r="R83" s="3">
        <f t="shared" si="11"/>
        <v>5.9071637295714997E-2</v>
      </c>
      <c r="T83" s="12">
        <v>5.4315000741616162</v>
      </c>
      <c r="U83" s="13" cm="1">
        <f t="array" ref="U83">cubicSpline(tbl_zero_rates[tau],tbl_zero_rates[nacc],T83,0)</f>
        <v>4.6553909254249147E-2</v>
      </c>
      <c r="V83" s="3" cm="1">
        <f t="array" ref="V83">cubicSpline(tbl_zero_rates[tau],tbl_zero_rates[nacc],T83,1)</f>
        <v>2.3046370980918753E-3</v>
      </c>
      <c r="W83" s="3">
        <f t="shared" si="12"/>
        <v>5.9071545823450783E-2</v>
      </c>
      <c r="Y83" s="3">
        <f t="shared" si="8"/>
        <v>4.5736132107260241E-3</v>
      </c>
      <c r="Z83" s="3">
        <f t="shared" si="9"/>
        <v>1.6679824728816489E-2</v>
      </c>
      <c r="AA83" s="3"/>
      <c r="AB83" s="3">
        <v>1.1483362822204701E-2</v>
      </c>
      <c r="AC83" s="3">
        <f t="shared" si="13"/>
        <v>-0.31154175724845889</v>
      </c>
      <c r="AE83" s="8">
        <v>0</v>
      </c>
      <c r="AF83" s="12">
        <v>5.4315100741616158</v>
      </c>
      <c r="AG83" s="15">
        <v>3.3879035650358738</v>
      </c>
      <c r="AH83" s="15">
        <v>0.49207654138973334</v>
      </c>
      <c r="AI83" s="15"/>
      <c r="AJ83" s="15"/>
    </row>
    <row r="84" spans="2:36" x14ac:dyDescent="0.2">
      <c r="B84" s="9">
        <v>77</v>
      </c>
      <c r="C84" s="4">
        <v>7.0740556249999997</v>
      </c>
      <c r="D84" s="5">
        <v>4.9281105999999998E-2</v>
      </c>
      <c r="E84" s="6">
        <f>EXP(-tbl_zero_rates[[#This Row],[nacc]]*tbl_zero_rates[[#This Row],[tau]])</f>
        <v>0.70566314639367211</v>
      </c>
      <c r="J84" s="12">
        <v>5.5029250981111106</v>
      </c>
      <c r="K84" s="13" cm="1">
        <f t="array" ref="K84">cubicSpline(tbl_zero_rates[tau],tbl_zero_rates[nacc],J84,0)</f>
        <v>4.67154379864839E-2</v>
      </c>
      <c r="L84" s="3" cm="1">
        <f t="array" ref="L84">cubicSpline(tbl_zero_rates[tau],tbl_zero_rates[nacc],J84,1)</f>
        <v>2.2209536622271879E-3</v>
      </c>
      <c r="M84" s="3">
        <f t="shared" si="10"/>
        <v>5.8937179636095682E-2</v>
      </c>
      <c r="O84" s="12">
        <v>5.5029350981111103</v>
      </c>
      <c r="P84" s="13" cm="1">
        <f t="array" ref="P84">cubicSpline(tbl_zero_rates[tau],tbl_zero_rates[nacc],O84,0)</f>
        <v>4.6715460265058711E-2</v>
      </c>
      <c r="Q84" s="3" cm="1">
        <f t="array" ref="Q84">cubicSpline(tbl_zero_rates[tau],tbl_zero_rates[nacc],O84,1)</f>
        <v>2.2209536119105495E-3</v>
      </c>
      <c r="R84" s="3">
        <f t="shared" si="11"/>
        <v>5.8937223847317914E-2</v>
      </c>
      <c r="T84" s="12">
        <v>5.502915098111111</v>
      </c>
      <c r="U84" s="13" cm="1">
        <f t="array" ref="U84">cubicSpline(tbl_zero_rates[tau],tbl_zero_rates[nacc],T84,0)</f>
        <v>4.671541570781565E-2</v>
      </c>
      <c r="V84" s="3" cm="1">
        <f t="array" ref="V84">cubicSpline(tbl_zero_rates[tau],tbl_zero_rates[nacc],T84,1)</f>
        <v>2.2209537125438268E-3</v>
      </c>
      <c r="W84" s="3">
        <f t="shared" si="12"/>
        <v>5.8937135424778998E-2</v>
      </c>
      <c r="Y84" s="3">
        <f t="shared" si="8"/>
        <v>4.4211269457916647E-3</v>
      </c>
      <c r="Z84" s="3">
        <f t="shared" si="9"/>
        <v>1.6505236171330522E-2</v>
      </c>
      <c r="AA84" s="3"/>
      <c r="AB84" s="3">
        <v>1.14065629805173E-2</v>
      </c>
      <c r="AC84" s="3">
        <f t="shared" si="13"/>
        <v>-0.3089124649830568</v>
      </c>
      <c r="AE84" s="8">
        <v>0</v>
      </c>
      <c r="AF84" s="12">
        <v>5.5029250981111106</v>
      </c>
      <c r="AG84" s="15">
        <v>3.4131767663235211</v>
      </c>
      <c r="AH84" s="15">
        <v>0.49981460919146298</v>
      </c>
      <c r="AI84" s="15"/>
      <c r="AJ84" s="15"/>
    </row>
    <row r="85" spans="2:36" x14ac:dyDescent="0.2">
      <c r="J85" s="12">
        <v>5.5743401220606064</v>
      </c>
      <c r="K85" s="13" cm="1">
        <f t="array" ref="K85">cubicSpline(tbl_zero_rates[tau],tbl_zero_rates[nacc],J85,0)</f>
        <v>4.6872179063332048E-2</v>
      </c>
      <c r="L85" s="3" cm="1">
        <f t="array" ref="L85">cubicSpline(tbl_zero_rates[tau],tbl_zero_rates[nacc],J85,1)</f>
        <v>2.1399177944334091E-3</v>
      </c>
      <c r="M85" s="3">
        <f t="shared" si="10"/>
        <v>5.8800808682753641E-2</v>
      </c>
      <c r="O85" s="12">
        <v>5.574350122060606</v>
      </c>
      <c r="P85" s="13" cm="1">
        <f t="array" ref="P85">cubicSpline(tbl_zero_rates[tau],tbl_zero_rates[nacc],O85,0)</f>
        <v>4.6872200683391423E-2</v>
      </c>
      <c r="Q85" s="3" cm="1">
        <f t="array" ref="Q85">cubicSpline(tbl_zero_rates[tau],tbl_zero_rates[nacc],O85,1)</f>
        <v>2.1399177443973496E-3</v>
      </c>
      <c r="R85" s="3">
        <f t="shared" si="11"/>
        <v>5.8800851423072446E-2</v>
      </c>
      <c r="T85" s="12">
        <v>5.5743301220606067</v>
      </c>
      <c r="U85" s="13" cm="1">
        <f t="array" ref="U85">cubicSpline(tbl_zero_rates[tau],tbl_zero_rates[nacc],T85,0)</f>
        <v>4.687215744318167E-2</v>
      </c>
      <c r="V85" s="3" cm="1">
        <f t="array" ref="V85">cubicSpline(tbl_zero_rates[tau],tbl_zero_rates[nacc],T85,1)</f>
        <v>2.1399178444694682E-3</v>
      </c>
      <c r="W85" s="3">
        <f t="shared" si="12"/>
        <v>5.8800765942342834E-2</v>
      </c>
      <c r="Y85" s="3">
        <f t="shared" si="8"/>
        <v>4.2740364806365116E-3</v>
      </c>
      <c r="Z85" s="3">
        <f t="shared" si="9"/>
        <v>1.6335579207379273E-2</v>
      </c>
      <c r="AA85" s="3"/>
      <c r="AB85" s="3">
        <v>1.13368990180198E-2</v>
      </c>
      <c r="AC85" s="3">
        <f t="shared" si="13"/>
        <v>-0.30599956854308652</v>
      </c>
      <c r="AE85" s="8">
        <v>0</v>
      </c>
      <c r="AF85" s="12">
        <v>5.5743401220606064</v>
      </c>
      <c r="AG85" s="15">
        <v>3.4381093553042352</v>
      </c>
      <c r="AH85" s="15">
        <v>0.50759982732043929</v>
      </c>
      <c r="AI85" s="15"/>
      <c r="AJ85" s="15"/>
    </row>
    <row r="86" spans="2:36" x14ac:dyDescent="0.2">
      <c r="J86" s="12">
        <v>5.6457551460101012</v>
      </c>
      <c r="K86" s="13" cm="1">
        <f t="array" ref="K86">cubicSpline(tbl_zero_rates[tau],tbl_zero_rates[nacc],J86,0)</f>
        <v>4.7024279326002449E-2</v>
      </c>
      <c r="L86" s="3" cm="1">
        <f t="array" ref="L86">cubicSpline(tbl_zero_rates[tau],tbl_zero_rates[nacc],J86,1)</f>
        <v>2.1395604617962492E-3</v>
      </c>
      <c r="M86" s="3">
        <f t="shared" si="10"/>
        <v>5.9103713813388373E-2</v>
      </c>
      <c r="O86" s="12">
        <v>5.6457651460101008</v>
      </c>
      <c r="P86" s="13" cm="1">
        <f t="array" ref="P86">cubicSpline(tbl_zero_rates[tau],tbl_zero_rates[nacc],O86,0)</f>
        <v>4.7024300304889272E-2</v>
      </c>
      <c r="Q86" s="3" cm="1">
        <f t="array" ref="Q86">cubicSpline(tbl_zero_rates[tau],tbl_zero_rates[nacc],O86,1)</f>
        <v>2.1395604117601897E-3</v>
      </c>
      <c r="R86" s="3">
        <f t="shared" si="11"/>
        <v>5.9103755905387967E-2</v>
      </c>
      <c r="T86" s="12">
        <v>5.6457451460101016</v>
      </c>
      <c r="U86" s="13" cm="1">
        <f t="array" ref="U86">cubicSpline(tbl_zero_rates[tau],tbl_zero_rates[nacc],T86,0)</f>
        <v>4.7024258347027073E-2</v>
      </c>
      <c r="V86" s="3" cm="1">
        <f t="array" ref="V86">cubicSpline(tbl_zero_rates[tau],tbl_zero_rates[nacc],T86,1)</f>
        <v>2.1395605118323083E-3</v>
      </c>
      <c r="W86" s="3">
        <f t="shared" si="12"/>
        <v>5.9103671721299218E-2</v>
      </c>
      <c r="Y86" s="3">
        <f t="shared" si="8"/>
        <v>4.2092044374303361E-3</v>
      </c>
      <c r="Z86" s="3">
        <f t="shared" si="9"/>
        <v>1.6331553593595838E-2</v>
      </c>
      <c r="AA86" s="3"/>
      <c r="AB86" s="3">
        <v>1.1272049535001201E-2</v>
      </c>
      <c r="AC86" s="3">
        <f t="shared" si="13"/>
        <v>-0.30979931147387241</v>
      </c>
      <c r="AE86" s="8">
        <v>0</v>
      </c>
      <c r="AF86" s="12">
        <v>5.6457551460101012</v>
      </c>
      <c r="AG86" s="15">
        <v>3.4627059224824923</v>
      </c>
      <c r="AH86" s="15">
        <v>0.5205609406834294</v>
      </c>
      <c r="AI86" s="15"/>
      <c r="AJ86" s="15"/>
    </row>
    <row r="87" spans="2:36" x14ac:dyDescent="0.2">
      <c r="J87" s="12">
        <v>5.717170169959596</v>
      </c>
      <c r="K87" s="13" cm="1">
        <f t="array" ref="K87">cubicSpline(tbl_zero_rates[tau],tbl_zero_rates[nacc],J87,0)</f>
        <v>4.7171862312942271E-2</v>
      </c>
      <c r="L87" s="3" cm="1">
        <f t="array" ref="L87">cubicSpline(tbl_zero_rates[tau],tbl_zero_rates[nacc],J87,1)</f>
        <v>2.0611845459105969E-3</v>
      </c>
      <c r="M87" s="3">
        <f t="shared" si="10"/>
        <v>5.8956005113604049E-2</v>
      </c>
      <c r="O87" s="12">
        <v>5.7171801699595957</v>
      </c>
      <c r="P87" s="13" cm="1">
        <f t="array" ref="P87">cubicSpline(tbl_zero_rates[tau],tbl_zero_rates[nacc],O87,0)</f>
        <v>4.7171882667902364E-2</v>
      </c>
      <c r="Q87" s="3" cm="1">
        <f t="array" ref="Q87">cubicSpline(tbl_zero_rates[tau],tbl_zero_rates[nacc],O87,1)</f>
        <v>2.0611844963369596E-3</v>
      </c>
      <c r="R87" s="3">
        <f t="shared" si="11"/>
        <v>5.8956045796988182E-2</v>
      </c>
      <c r="T87" s="12">
        <v>5.7171601699595964</v>
      </c>
      <c r="U87" s="13" cm="1">
        <f t="array" ref="U87">cubicSpline(tbl_zero_rates[tau],tbl_zero_rates[nacc],T87,0)</f>
        <v>4.7171841957896012E-2</v>
      </c>
      <c r="V87" s="3" cm="1">
        <f t="array" ref="V87">cubicSpline(tbl_zero_rates[tau],tbl_zero_rates[nacc],T87,1)</f>
        <v>2.0611845954842342E-3</v>
      </c>
      <c r="W87" s="3">
        <f t="shared" si="12"/>
        <v>5.8955964430132755E-2</v>
      </c>
      <c r="Y87" s="3">
        <f t="shared" si="8"/>
        <v>4.0683427713489317E-3</v>
      </c>
      <c r="Z87" s="3">
        <f t="shared" si="9"/>
        <v>1.6165794598328096E-2</v>
      </c>
      <c r="AA87" s="3"/>
      <c r="AB87" s="3">
        <v>1.1213928361545699E-2</v>
      </c>
      <c r="AC87" s="3">
        <f t="shared" si="13"/>
        <v>-0.30631752783092581</v>
      </c>
      <c r="AE87" s="8">
        <v>0</v>
      </c>
      <c r="AF87" s="12">
        <v>5.717170169959596</v>
      </c>
      <c r="AG87" s="15">
        <v>3.4869709964955629</v>
      </c>
      <c r="AH87" s="15">
        <v>0.52839572403910517</v>
      </c>
      <c r="AI87" s="15"/>
      <c r="AJ87" s="15"/>
    </row>
    <row r="88" spans="2:36" x14ac:dyDescent="0.2">
      <c r="J88" s="12">
        <v>5.7885851939090909</v>
      </c>
      <c r="K88" s="13" cm="1">
        <f t="array" ref="K88">cubicSpline(tbl_zero_rates[tau],tbl_zero_rates[nacc],J88,0)</f>
        <v>4.7315050702735249E-2</v>
      </c>
      <c r="L88" s="3" cm="1">
        <f t="array" ref="L88">cubicSpline(tbl_zero_rates[tau],tbl_zero_rates[nacc],J88,1)</f>
        <v>1.9854437145438429E-3</v>
      </c>
      <c r="M88" s="3">
        <f t="shared" si="10"/>
        <v>5.8807960792083606E-2</v>
      </c>
      <c r="O88" s="12">
        <v>5.7885951939090905</v>
      </c>
      <c r="P88" s="13" cm="1">
        <f t="array" ref="P88">cubicSpline(tbl_zero_rates[tau],tbl_zero_rates[nacc],O88,0)</f>
        <v>4.7315070450886232E-2</v>
      </c>
      <c r="Q88" s="3" cm="1">
        <f t="array" ref="Q88">cubicSpline(tbl_zero_rates[tau],tbl_zero_rates[nacc],O88,1)</f>
        <v>1.9854436653962693E-3</v>
      </c>
      <c r="R88" s="3">
        <f t="shared" si="11"/>
        <v>5.8808000110176326E-2</v>
      </c>
      <c r="T88" s="12">
        <v>5.7885751939090913</v>
      </c>
      <c r="U88" s="13" cm="1">
        <f t="array" ref="U88">cubicSpline(tbl_zero_rates[tau],tbl_zero_rates[nacc],T88,0)</f>
        <v>4.7315030954500494E-2</v>
      </c>
      <c r="V88" s="3" cm="1">
        <f t="array" ref="V88">cubicSpline(tbl_zero_rates[tau],tbl_zero_rates[nacc],T88,1)</f>
        <v>1.9854437636914165E-3</v>
      </c>
      <c r="W88" s="3">
        <f t="shared" si="12"/>
        <v>5.8807921473906129E-2</v>
      </c>
      <c r="Y88" s="3">
        <f t="shared" si="8"/>
        <v>3.9318135098415086E-3</v>
      </c>
      <c r="Z88" s="3">
        <f t="shared" si="9"/>
        <v>1.6004219441410408E-2</v>
      </c>
      <c r="AA88" s="3"/>
      <c r="AB88" s="3">
        <v>1.11618218477281E-2</v>
      </c>
      <c r="AC88" s="3">
        <f t="shared" si="13"/>
        <v>-0.30257005731580755</v>
      </c>
      <c r="AE88" s="8">
        <v>0</v>
      </c>
      <c r="AF88" s="12">
        <v>5.7885851939090909</v>
      </c>
      <c r="AG88" s="15">
        <v>3.5109090449473115</v>
      </c>
      <c r="AH88" s="15">
        <v>0.53626488060950273</v>
      </c>
      <c r="AI88" s="15"/>
      <c r="AJ88" s="15"/>
    </row>
    <row r="89" spans="2:36" x14ac:dyDescent="0.2">
      <c r="J89" s="12">
        <v>5.8600002178585857</v>
      </c>
      <c r="K89" s="13" cm="1">
        <f t="array" ref="K89">cubicSpline(tbl_zero_rates[tau],tbl_zero_rates[nacc],J89,0)</f>
        <v>4.7453966349545081E-2</v>
      </c>
      <c r="L89" s="3" cm="1">
        <f t="array" ref="L89">cubicSpline(tbl_zero_rates[tau],tbl_zero_rates[nacc],J89,1)</f>
        <v>1.9123314502996231E-3</v>
      </c>
      <c r="M89" s="3">
        <f t="shared" si="10"/>
        <v>5.8660229064918697E-2</v>
      </c>
      <c r="O89" s="12">
        <v>5.8600102178585853</v>
      </c>
      <c r="P89" s="13" cm="1">
        <f t="array" ref="P89">cubicSpline(tbl_zero_rates[tau],tbl_zero_rates[nacc],O89,0)</f>
        <v>4.7453985507938654E-2</v>
      </c>
      <c r="Q89" s="3" cm="1">
        <f t="array" ref="Q89">cubicSpline(tbl_zero_rates[tau],tbl_zero_rates[nacc],O89,1)</f>
        <v>1.9123313989853727E-3</v>
      </c>
      <c r="R89" s="3">
        <f t="shared" si="11"/>
        <v>5.8660267045924738E-2</v>
      </c>
      <c r="T89" s="12">
        <v>5.8599902178585861</v>
      </c>
      <c r="U89" s="13" cm="1">
        <f t="array" ref="U89">cubicSpline(tbl_zero_rates[tau],tbl_zero_rates[nacc],T89,0)</f>
        <v>4.7453947191070135E-2</v>
      </c>
      <c r="V89" s="3" cm="1">
        <f t="array" ref="V89">cubicSpline(tbl_zero_rates[tau],tbl_zero_rates[nacc],T89,1)</f>
        <v>1.9123315016138732E-3</v>
      </c>
      <c r="W89" s="3">
        <f t="shared" si="12"/>
        <v>5.8660191083830256E-2</v>
      </c>
      <c r="Y89" s="3">
        <f t="shared" si="8"/>
        <v>3.7981047241314454E-3</v>
      </c>
      <c r="Z89" s="3">
        <f t="shared" si="9"/>
        <v>1.5845441625405129E-2</v>
      </c>
      <c r="AA89" s="3"/>
      <c r="AB89" s="3">
        <v>1.1115798753616599E-2</v>
      </c>
      <c r="AC89" s="3">
        <f t="shared" si="13"/>
        <v>-0.29848602415760084</v>
      </c>
      <c r="AE89" s="8">
        <v>0</v>
      </c>
      <c r="AF89" s="12">
        <v>5.8600002178585857</v>
      </c>
      <c r="AG89" s="15">
        <v>3.534524475230755</v>
      </c>
      <c r="AH89" s="15">
        <v>0.54412616769797029</v>
      </c>
      <c r="AI89" s="15"/>
      <c r="AJ89" s="15"/>
    </row>
    <row r="90" spans="2:36" x14ac:dyDescent="0.2">
      <c r="J90" s="12">
        <v>5.9314152418080806</v>
      </c>
      <c r="K90" s="13" cm="1">
        <f t="array" ref="K90">cubicSpline(tbl_zero_rates[tau],tbl_zero_rates[nacc],J90,0)</f>
        <v>4.7588732700283916E-2</v>
      </c>
      <c r="L90" s="3" cm="1">
        <f t="array" ref="L90">cubicSpline(tbl_zero_rates[tau],tbl_zero_rates[nacc],J90,1)</f>
        <v>1.8418895128623567E-3</v>
      </c>
      <c r="M90" s="3">
        <f t="shared" si="10"/>
        <v>5.8513744230602155E-2</v>
      </c>
      <c r="O90" s="12">
        <v>5.9314252418080802</v>
      </c>
      <c r="P90" s="13" cm="1">
        <f t="array" ref="P90">cubicSpline(tbl_zero_rates[tau],tbl_zero_rates[nacc],O90,0)</f>
        <v>4.7588751286497685E-2</v>
      </c>
      <c r="Q90" s="3" cm="1">
        <f t="array" ref="Q90">cubicSpline(tbl_zero_rates[tau],tbl_zero_rates[nacc],O90,1)</f>
        <v>1.8418894646818273E-3</v>
      </c>
      <c r="R90" s="3">
        <f t="shared" si="11"/>
        <v>5.851378094993185E-2</v>
      </c>
      <c r="T90" s="12">
        <v>5.9314052418080809</v>
      </c>
      <c r="U90" s="13" cm="1">
        <f t="array" ref="U90">cubicSpline(tbl_zero_rates[tau],tbl_zero_rates[nacc],T90,0)</f>
        <v>4.7588714113991244E-2</v>
      </c>
      <c r="V90" s="3" cm="1">
        <f t="array" ref="V90">cubicSpline(tbl_zero_rates[tau],tbl_zero_rates[nacc],T90,1)</f>
        <v>1.841889561042886E-3</v>
      </c>
      <c r="W90" s="3">
        <f t="shared" si="12"/>
        <v>5.85137075111926E-2</v>
      </c>
      <c r="Y90" s="3">
        <f t="shared" si="8"/>
        <v>3.6719369624765848E-3</v>
      </c>
      <c r="Z90" s="3">
        <f t="shared" si="9"/>
        <v>1.5694361424783532E-2</v>
      </c>
      <c r="AA90" s="3"/>
      <c r="AB90" s="3">
        <v>1.1076243697189399E-2</v>
      </c>
      <c r="AC90" s="3">
        <f t="shared" si="13"/>
        <v>-0.29425330554077189</v>
      </c>
      <c r="AE90" s="8">
        <v>0</v>
      </c>
      <c r="AF90" s="12">
        <v>5.9314152418080806</v>
      </c>
      <c r="AG90" s="15">
        <v>3.557821635339538</v>
      </c>
      <c r="AH90" s="15">
        <v>0.55215410771372631</v>
      </c>
      <c r="AI90" s="15"/>
      <c r="AJ90" s="15"/>
    </row>
    <row r="91" spans="2:36" x14ac:dyDescent="0.2">
      <c r="J91" s="12">
        <v>6.0028302657575754</v>
      </c>
      <c r="K91" s="13" cm="1">
        <f t="array" ref="K91">cubicSpline(tbl_zero_rates[tau],tbl_zero_rates[nacc],J91,0)</f>
        <v>4.7719474458506474E-2</v>
      </c>
      <c r="L91" s="3" cm="1">
        <f t="array" ref="L91">cubicSpline(tbl_zero_rates[tau],tbl_zero_rates[nacc],J91,1)</f>
        <v>1.8415454314965852E-3</v>
      </c>
      <c r="M91" s="3">
        <f t="shared" si="10"/>
        <v>5.8773959110461765E-2</v>
      </c>
      <c r="O91" s="12">
        <v>6.002840265757575</v>
      </c>
      <c r="P91" s="13" cm="1">
        <f t="array" ref="P91">cubicSpline(tbl_zero_rates[tau],tbl_zero_rates[nacc],O91,0)</f>
        <v>4.7719492489628298E-2</v>
      </c>
      <c r="Q91" s="3" cm="1">
        <f t="array" ref="Q91">cubicSpline(tbl_zero_rates[tau],tbl_zero_rates[nacc],O91,1)</f>
        <v>1.841545383316056E-3</v>
      </c>
      <c r="R91" s="3">
        <f t="shared" si="11"/>
        <v>5.8773995267817888E-2</v>
      </c>
      <c r="T91" s="12">
        <v>6.0028202657575758</v>
      </c>
      <c r="U91" s="13" cm="1">
        <f t="array" ref="U91">cubicSpline(tbl_zero_rates[tau],tbl_zero_rates[nacc],T91,0)</f>
        <v>4.7719456427308092E-2</v>
      </c>
      <c r="V91" s="3" cm="1">
        <f t="array" ref="V91">cubicSpline(tbl_zero_rates[tau],tbl_zero_rates[nacc],T91,1)</f>
        <v>1.8415454796771146E-3</v>
      </c>
      <c r="W91" s="3">
        <f t="shared" si="12"/>
        <v>5.8773922953028135E-2</v>
      </c>
      <c r="Y91" s="3">
        <f t="shared" si="8"/>
        <v>3.6157394876779043E-3</v>
      </c>
      <c r="Z91" s="3">
        <f t="shared" si="9"/>
        <v>1.5690446288744178E-2</v>
      </c>
      <c r="AA91" s="3"/>
      <c r="AB91" s="3">
        <v>1.1043435032939501E-2</v>
      </c>
      <c r="AC91" s="3">
        <f t="shared" si="13"/>
        <v>-0.29616820135564237</v>
      </c>
      <c r="AE91" s="8">
        <v>0</v>
      </c>
      <c r="AF91" s="12">
        <v>6.0028302657575754</v>
      </c>
      <c r="AG91" s="15">
        <v>3.5808048146684688</v>
      </c>
      <c r="AH91" s="15">
        <v>0.56538908967583346</v>
      </c>
      <c r="AI91" s="15"/>
      <c r="AJ91" s="15"/>
    </row>
    <row r="92" spans="2:36" x14ac:dyDescent="0.2">
      <c r="J92" s="12">
        <v>6.0742452897070702</v>
      </c>
      <c r="K92" s="13" cm="1">
        <f t="array" ref="K92">cubicSpline(tbl_zero_rates[tau],tbl_zero_rates[nacc],J92,0)</f>
        <v>4.7846312239956515E-2</v>
      </c>
      <c r="L92" s="3" cm="1">
        <f t="array" ref="L92">cubicSpline(tbl_zero_rates[tau],tbl_zero_rates[nacc],J92,1)</f>
        <v>1.7737166866779554E-3</v>
      </c>
      <c r="M92" s="3">
        <f t="shared" si="10"/>
        <v>5.8620302469284916E-2</v>
      </c>
      <c r="O92" s="12">
        <v>6.0742552897070698</v>
      </c>
      <c r="P92" s="13" cm="1">
        <f t="array" ref="P92">cubicSpline(tbl_zero_rates[tau],tbl_zero_rates[nacc],O92,0)</f>
        <v>4.7846329733000743E-2</v>
      </c>
      <c r="Q92" s="3" cm="1">
        <f t="array" ref="Q92">cubicSpline(tbl_zero_rates[tau],tbl_zero_rates[nacc],O92,1)</f>
        <v>1.7737166357896016E-3</v>
      </c>
      <c r="R92" s="3">
        <f t="shared" si="11"/>
        <v>5.8620337390387162E-2</v>
      </c>
      <c r="T92" s="12">
        <v>6.0742352897070706</v>
      </c>
      <c r="U92" s="13" cm="1">
        <f t="array" ref="U92">cubicSpline(tbl_zero_rates[tau],tbl_zero_rates[nacc],T92,0)</f>
        <v>4.7846294746838165E-2</v>
      </c>
      <c r="V92" s="3" cm="1">
        <f t="array" ref="V92">cubicSpline(tbl_zero_rates[tau],tbl_zero_rates[nacc],T92,1)</f>
        <v>1.7737167375663093E-3</v>
      </c>
      <c r="W92" s="3">
        <f t="shared" si="12"/>
        <v>5.8620267548107535E-2</v>
      </c>
      <c r="Y92" s="3">
        <f t="shared" si="8"/>
        <v>3.4921139813182118E-3</v>
      </c>
      <c r="Z92" s="3">
        <f t="shared" si="9"/>
        <v>1.554039145695406E-2</v>
      </c>
      <c r="AA92" s="3"/>
      <c r="AB92" s="3">
        <v>1.10166641009135E-2</v>
      </c>
      <c r="AC92" s="3">
        <f t="shared" si="13"/>
        <v>-0.29109481370343915</v>
      </c>
      <c r="AE92" s="8">
        <v>0</v>
      </c>
      <c r="AF92" s="12">
        <v>6.0742452897070702</v>
      </c>
      <c r="AG92" s="15">
        <v>3.6034782448032709</v>
      </c>
      <c r="AH92" s="15">
        <v>0.57338536712049204</v>
      </c>
      <c r="AI92" s="15"/>
      <c r="AJ92" s="15"/>
    </row>
    <row r="93" spans="2:36" x14ac:dyDescent="0.2">
      <c r="J93" s="12">
        <v>6.145660313656566</v>
      </c>
      <c r="K93" s="13" cm="1">
        <f t="array" ref="K93">cubicSpline(tbl_zero_rates[tau],tbl_zero_rates[nacc],J93,0)</f>
        <v>4.7969369969388519E-2</v>
      </c>
      <c r="L93" s="3" cm="1">
        <f t="array" ref="L93">cubicSpline(tbl_zero_rates[tau],tbl_zero_rates[nacc],J93,1)</f>
        <v>1.7085579999202754E-3</v>
      </c>
      <c r="M93" s="3">
        <f t="shared" si="10"/>
        <v>5.846958706307899E-2</v>
      </c>
      <c r="O93" s="12">
        <v>6.1456703136565656</v>
      </c>
      <c r="P93" s="13" cm="1">
        <f t="array" ref="P93">cubicSpline(tbl_zero_rates[tau],tbl_zero_rates[nacc],O93,0)</f>
        <v>4.7969386941852064E-2</v>
      </c>
      <c r="Q93" s="3" cm="1">
        <f t="array" ref="Q93">cubicSpline(tbl_zero_rates[tau],tbl_zero_rates[nacc],O93,1)</f>
        <v>1.708557950345847E-3</v>
      </c>
      <c r="R93" s="3">
        <f t="shared" si="11"/>
        <v>5.8469620816454446E-2</v>
      </c>
      <c r="T93" s="12">
        <v>6.1456503136565663</v>
      </c>
      <c r="U93" s="13" cm="1">
        <f t="array" ref="U93">cubicSpline(tbl_zero_rates[tau],tbl_zero_rates[nacc],T93,0)</f>
        <v>4.7969352996853287E-2</v>
      </c>
      <c r="V93" s="3" cm="1">
        <f t="array" ref="V93">cubicSpline(tbl_zero_rates[tau],tbl_zero_rates[nacc],T93,1)</f>
        <v>1.7085580494947039E-3</v>
      </c>
      <c r="W93" s="3">
        <f t="shared" si="12"/>
        <v>5.8469553309630863E-2</v>
      </c>
      <c r="Y93" s="3">
        <f t="shared" si="8"/>
        <v>3.3753411791265227E-3</v>
      </c>
      <c r="Z93" s="3">
        <f t="shared" si="9"/>
        <v>1.5397674125528752E-2</v>
      </c>
      <c r="AA93" s="3"/>
      <c r="AB93" s="3">
        <v>1.09970555828337E-2</v>
      </c>
      <c r="AC93" s="3">
        <f t="shared" si="13"/>
        <v>-0.28579761506960299</v>
      </c>
      <c r="AE93" s="8">
        <v>0</v>
      </c>
      <c r="AF93" s="12">
        <v>6.145660313656566</v>
      </c>
      <c r="AG93" s="15">
        <v>3.6258461002996896</v>
      </c>
      <c r="AH93" s="15">
        <v>0.58155692035900741</v>
      </c>
      <c r="AI93" s="15"/>
      <c r="AJ93" s="15"/>
    </row>
    <row r="94" spans="2:36" x14ac:dyDescent="0.2">
      <c r="J94" s="12">
        <v>6.2170753376060608</v>
      </c>
      <c r="K94" s="13" cm="1">
        <f t="array" ref="K94">cubicSpline(tbl_zero_rates[tau],tbl_zero_rates[nacc],J94,0)</f>
        <v>4.8088771361176619E-2</v>
      </c>
      <c r="L94" s="3" cm="1">
        <f t="array" ref="L94">cubicSpline(tbl_zero_rates[tau],tbl_zero_rates[nacc],J94,1)</f>
        <v>1.6460468080847883E-3</v>
      </c>
      <c r="M94" s="3">
        <f t="shared" si="10"/>
        <v>5.8322368376265733E-2</v>
      </c>
      <c r="O94" s="12">
        <v>6.2170853376060604</v>
      </c>
      <c r="P94" s="13" cm="1">
        <f t="array" ref="P94">cubicSpline(tbl_zero_rates[tau],tbl_zero_rates[nacc],O94,0)</f>
        <v>4.8088787830231162E-2</v>
      </c>
      <c r="Q94" s="3" cm="1">
        <f t="array" ref="Q94">cubicSpline(tbl_zero_rates[tau],tbl_zero_rates[nacc],O94,1)</f>
        <v>1.6460467585159434E-3</v>
      </c>
      <c r="R94" s="3">
        <f t="shared" si="11"/>
        <v>5.8322400997614619E-2</v>
      </c>
      <c r="T94" s="12">
        <v>6.2170653376060612</v>
      </c>
      <c r="U94" s="13" cm="1">
        <f t="array" ref="U94">cubicSpline(tbl_zero_rates[tau],tbl_zero_rates[nacc],T94,0)</f>
        <v>4.8088754892052783E-2</v>
      </c>
      <c r="V94" s="3" cm="1">
        <f t="array" ref="V94">cubicSpline(tbl_zero_rates[tau],tbl_zero_rates[nacc],T94,1)</f>
        <v>1.646046857653633E-3</v>
      </c>
      <c r="W94" s="3">
        <f t="shared" si="12"/>
        <v>5.8322335754846563E-2</v>
      </c>
      <c r="Y94" s="3">
        <f t="shared" si="8"/>
        <v>3.2621384028069795E-3</v>
      </c>
      <c r="Z94" s="3">
        <f t="shared" si="9"/>
        <v>1.5259119140428337E-2</v>
      </c>
      <c r="AA94" s="3"/>
      <c r="AB94" s="3">
        <v>1.0984037632808301E-2</v>
      </c>
      <c r="AC94" s="3">
        <f t="shared" si="13"/>
        <v>-0.28016568114298313</v>
      </c>
      <c r="AE94" s="8">
        <v>0</v>
      </c>
      <c r="AF94" s="12">
        <v>6.2170753376060608</v>
      </c>
      <c r="AG94" s="15">
        <v>3.6479124994520897</v>
      </c>
      <c r="AH94" s="15">
        <v>0.58979586599109568</v>
      </c>
      <c r="AI94" s="15"/>
      <c r="AJ94" s="15"/>
    </row>
    <row r="95" spans="2:36" x14ac:dyDescent="0.2">
      <c r="J95" s="12">
        <v>6.2884903615555556</v>
      </c>
      <c r="K95" s="13" cm="1">
        <f t="array" ref="K95">cubicSpline(tbl_zero_rates[tau],tbl_zero_rates[nacc],J95,0)</f>
        <v>4.8204638849552672E-2</v>
      </c>
      <c r="L95" s="3" cm="1">
        <f t="array" ref="L95">cubicSpline(tbl_zero_rates[tau],tbl_zero_rates[nacc],J95,1)</f>
        <v>1.5861683159735865E-3</v>
      </c>
      <c r="M95" s="3">
        <f t="shared" si="10"/>
        <v>5.8179243016357379E-2</v>
      </c>
      <c r="O95" s="12">
        <v>6.2885003615555553</v>
      </c>
      <c r="P95" s="13" cm="1">
        <f t="array" ref="P95">cubicSpline(tbl_zero_rates[tau],tbl_zero_rates[nacc],O95,0)</f>
        <v>4.8204654832337969E-2</v>
      </c>
      <c r="Q95" s="3" cm="1">
        <f t="array" ref="Q95">cubicSpline(tbl_zero_rates[tau],tbl_zero_rates[nacc],O95,1)</f>
        <v>1.586168266343237E-3</v>
      </c>
      <c r="R95" s="3">
        <f t="shared" si="11"/>
        <v>5.817927454872536E-2</v>
      </c>
      <c r="T95" s="12">
        <v>6.288480361555556</v>
      </c>
      <c r="U95" s="13" cm="1">
        <f t="array" ref="U95">cubicSpline(tbl_zero_rates[tau],tbl_zero_rates[nacc],T95,0)</f>
        <v>4.8204622866700492E-2</v>
      </c>
      <c r="V95" s="3" cm="1">
        <f t="array" ref="V95">cubicSpline(tbl_zero_rates[tau],tbl_zero_rates[nacc],T95,1)</f>
        <v>1.586168365603936E-3</v>
      </c>
      <c r="W95" s="3">
        <f t="shared" si="12"/>
        <v>5.8179211483921515E-2</v>
      </c>
      <c r="Y95" s="3">
        <f t="shared" si="8"/>
        <v>3.1532401922190752E-3</v>
      </c>
      <c r="Z95" s="3">
        <f t="shared" si="9"/>
        <v>1.5125576326085988E-2</v>
      </c>
      <c r="AA95" s="3"/>
      <c r="AB95" s="3">
        <v>1.0977172937822299E-2</v>
      </c>
      <c r="AC95" s="3">
        <f t="shared" si="13"/>
        <v>-0.27426415356545708</v>
      </c>
      <c r="AE95" s="8">
        <v>0</v>
      </c>
      <c r="AF95" s="12">
        <v>6.2884903615555556</v>
      </c>
      <c r="AG95" s="15">
        <v>3.6696815050517122</v>
      </c>
      <c r="AH95" s="15">
        <v>0.59814259516813739</v>
      </c>
      <c r="AI95" s="15"/>
      <c r="AJ95" s="15"/>
    </row>
    <row r="96" spans="2:36" x14ac:dyDescent="0.2">
      <c r="J96" s="12">
        <v>6.3599053855050505</v>
      </c>
      <c r="K96" s="13" cm="1">
        <f t="array" ref="K96">cubicSpline(tbl_zero_rates[tau],tbl_zero_rates[nacc],J96,0)</f>
        <v>4.8317094872738338E-2</v>
      </c>
      <c r="L96" s="3" cm="1">
        <f t="array" ref="L96">cubicSpline(tbl_zero_rates[tau],tbl_zero_rates[nacc],J96,1)</f>
        <v>1.5858138807134685E-3</v>
      </c>
      <c r="M96" s="3">
        <f t="shared" si="10"/>
        <v>5.8402721113096592E-2</v>
      </c>
      <c r="O96" s="12">
        <v>6.3599153855050501</v>
      </c>
      <c r="P96" s="13" cm="1">
        <f t="array" ref="P96">cubicSpline(tbl_zero_rates[tau],tbl_zero_rates[nacc],O96,0)</f>
        <v>4.831711038640716E-2</v>
      </c>
      <c r="Q96" s="3" cm="1">
        <f t="array" ref="Q96">cubicSpline(tbl_zero_rates[tau],tbl_zero_rates[nacc],O96,1)</f>
        <v>1.5858138310831189E-3</v>
      </c>
      <c r="R96" s="3">
        <f t="shared" si="11"/>
        <v>5.8402752169259393E-2</v>
      </c>
      <c r="T96" s="12">
        <v>6.3598953855050508</v>
      </c>
      <c r="U96" s="13" cm="1">
        <f t="array" ref="U96">cubicSpline(tbl_zero_rates[tau],tbl_zero_rates[nacc],T96,0)</f>
        <v>4.8317079359005047E-2</v>
      </c>
      <c r="V96" s="3" cm="1">
        <f t="array" ref="V96">cubicSpline(tbl_zero_rates[tau],tbl_zero_rates[nacc],T96,1)</f>
        <v>1.585813930343818E-3</v>
      </c>
      <c r="W96" s="3">
        <f t="shared" si="12"/>
        <v>5.8402690056868323E-2</v>
      </c>
      <c r="Y96" s="3">
        <f t="shared" si="8"/>
        <v>3.1056195535367199E-3</v>
      </c>
      <c r="Z96" s="3">
        <f t="shared" si="9"/>
        <v>1.5122897490824454E-2</v>
      </c>
      <c r="AA96" s="3"/>
      <c r="AB96" s="3">
        <v>1.0978129538638101E-2</v>
      </c>
      <c r="AC96" s="3">
        <f t="shared" si="13"/>
        <v>-0.27407234325969054</v>
      </c>
      <c r="AE96" s="8">
        <v>0</v>
      </c>
      <c r="AF96" s="12">
        <v>6.3599053855050505</v>
      </c>
      <c r="AG96" s="15">
        <v>3.6911571251346942</v>
      </c>
      <c r="AH96" s="15">
        <v>0.61169695412791036</v>
      </c>
      <c r="AI96" s="15"/>
      <c r="AJ96" s="15"/>
    </row>
    <row r="97" spans="10:36" x14ac:dyDescent="0.2">
      <c r="J97" s="12">
        <v>6.4313204094545453</v>
      </c>
      <c r="K97" s="13" cm="1">
        <f t="array" ref="K97">cubicSpline(tbl_zero_rates[tau],tbl_zero_rates[nacc],J97,0)</f>
        <v>4.8426262290196052E-2</v>
      </c>
      <c r="L97" s="3" cm="1">
        <f t="array" ref="L97">cubicSpline(tbl_zero_rates[tau],tbl_zero_rates[nacc],J97,1)</f>
        <v>1.52857228028406E-3</v>
      </c>
      <c r="M97" s="3">
        <f t="shared" si="10"/>
        <v>5.8257000393713398E-2</v>
      </c>
      <c r="O97" s="12">
        <v>6.4313304094545449</v>
      </c>
      <c r="P97" s="13" cm="1">
        <f t="array" ref="P97">cubicSpline(tbl_zero_rates[tau],tbl_zero_rates[nacc],O97,0)</f>
        <v>4.8426277352057609E-2</v>
      </c>
      <c r="Q97" s="3" cm="1">
        <f t="array" ref="Q97">cubicSpline(tbl_zero_rates[tau],tbl_zero_rates[nacc],O97,1)</f>
        <v>1.5285722296234149E-3</v>
      </c>
      <c r="R97" s="3">
        <f t="shared" si="11"/>
        <v>5.8257030415482414E-2</v>
      </c>
      <c r="T97" s="12">
        <v>6.4313104094545457</v>
      </c>
      <c r="U97" s="13" cm="1">
        <f t="array" ref="U97">cubicSpline(tbl_zero_rates[tau],tbl_zero_rates[nacc],T97,0)</f>
        <v>4.8426247228272448E-2</v>
      </c>
      <c r="V97" s="3" cm="1">
        <f t="array" ref="V97">cubicSpline(tbl_zero_rates[tau],tbl_zero_rates[nacc],T97,1)</f>
        <v>1.5285723309447054E-3</v>
      </c>
      <c r="W97" s="3">
        <f t="shared" si="12"/>
        <v>5.8256970371881329E-2</v>
      </c>
      <c r="Y97" s="3">
        <f t="shared" si="8"/>
        <v>3.0021800542096018E-3</v>
      </c>
      <c r="Z97" s="3">
        <f t="shared" si="9"/>
        <v>1.4994185597499005E-2</v>
      </c>
      <c r="AA97" s="3"/>
      <c r="AB97" s="3">
        <v>1.09860800055093E-2</v>
      </c>
      <c r="AC97" s="3">
        <f t="shared" si="13"/>
        <v>-0.26731065624919625</v>
      </c>
      <c r="AE97" s="8">
        <v>0</v>
      </c>
      <c r="AF97" s="12">
        <v>6.4313204094545453</v>
      </c>
      <c r="AG97" s="15">
        <v>3.7123433137200195</v>
      </c>
      <c r="AH97" s="15">
        <v>0.62018773850463638</v>
      </c>
      <c r="AI97" s="15"/>
      <c r="AJ97" s="15"/>
    </row>
    <row r="98" spans="10:36" x14ac:dyDescent="0.2">
      <c r="J98" s="12">
        <v>6.5027354334040401</v>
      </c>
      <c r="K98" s="13" cm="1">
        <f t="array" ref="K98">cubicSpline(tbl_zero_rates[tau],tbl_zero_rates[nacc],J98,0)</f>
        <v>4.8532265449570643E-2</v>
      </c>
      <c r="L98" s="3" cm="1">
        <f t="array" ref="L98">cubicSpline(tbl_zero_rates[tau],tbl_zero_rates[nacc],J98,1)</f>
        <v>1.4740045099562384E-3</v>
      </c>
      <c r="M98" s="3">
        <f t="shared" si="10"/>
        <v>5.8117326805460431E-2</v>
      </c>
      <c r="O98" s="12">
        <v>6.5027454334040398</v>
      </c>
      <c r="P98" s="13" cm="1">
        <f t="array" ref="P98">cubicSpline(tbl_zero_rates[tau],tbl_zero_rates[nacc],O98,0)</f>
        <v>4.8532280077012498E-2</v>
      </c>
      <c r="Q98" s="3" cm="1">
        <f t="array" ref="Q98">cubicSpline(tbl_zero_rates[tau],tbl_zero_rates[nacc],O98,1)</f>
        <v>1.474004460918746E-3</v>
      </c>
      <c r="R98" s="3">
        <f t="shared" si="11"/>
        <v>5.8117355854069054E-2</v>
      </c>
      <c r="T98" s="12">
        <v>6.5027254334040405</v>
      </c>
      <c r="U98" s="13" cm="1">
        <f t="array" ref="U98">cubicSpline(tbl_zero_rates[tau],tbl_zero_rates[nacc],T98,0)</f>
        <v>4.8532250822069162E-2</v>
      </c>
      <c r="V98" s="3" cm="1">
        <f t="array" ref="V98">cubicSpline(tbl_zero_rates[tau],tbl_zero_rates[nacc],T98,1)</f>
        <v>1.4740045589937308E-3</v>
      </c>
      <c r="W98" s="3">
        <f t="shared" si="12"/>
        <v>5.8117297756791197E-2</v>
      </c>
      <c r="Y98" s="3">
        <f t="shared" si="8"/>
        <v>2.904863892830289E-3</v>
      </c>
      <c r="Z98" s="3">
        <f t="shared" si="9"/>
        <v>1.4872681352991995E-2</v>
      </c>
      <c r="AA98" s="3"/>
      <c r="AB98" s="3">
        <v>1.10006160776016E-2</v>
      </c>
      <c r="AC98" s="3">
        <f t="shared" si="13"/>
        <v>-0.26034749104682708</v>
      </c>
      <c r="AE98" s="8">
        <v>0</v>
      </c>
      <c r="AF98" s="12">
        <v>6.5027354334040401</v>
      </c>
      <c r="AG98" s="15">
        <v>3.7332439715375143</v>
      </c>
      <c r="AH98" s="15">
        <v>0.62889978043212458</v>
      </c>
      <c r="AI98" s="15"/>
      <c r="AJ98" s="15"/>
    </row>
    <row r="99" spans="10:36" x14ac:dyDescent="0.2">
      <c r="J99" s="12">
        <v>6.574150457353535</v>
      </c>
      <c r="K99" s="13" cm="1">
        <f t="array" ref="K99">cubicSpline(tbl_zero_rates[tau],tbl_zero_rates[nacc],J99,0)</f>
        <v>4.8635226935428724E-2</v>
      </c>
      <c r="L99" s="3" cm="1">
        <f t="array" ref="L99">cubicSpline(tbl_zero_rates[tau],tbl_zero_rates[nacc],J99,1)</f>
        <v>1.4220608362674435E-3</v>
      </c>
      <c r="M99" s="3">
        <f t="shared" si="10"/>
        <v>5.7984068832560888E-2</v>
      </c>
      <c r="O99" s="12">
        <v>6.5741604573535346</v>
      </c>
      <c r="P99" s="13" cm="1">
        <f t="array" ref="P99">cubicSpline(tbl_zero_rates[tau],tbl_zero_rates[nacc],O99,0)</f>
        <v>4.8635241145447518E-2</v>
      </c>
      <c r="Q99" s="3" cm="1">
        <f t="array" ref="Q99">cubicSpline(tbl_zero_rates[tau],tbl_zero_rates[nacc],O99,1)</f>
        <v>1.4220607868766061E-3</v>
      </c>
      <c r="R99" s="3">
        <f t="shared" si="11"/>
        <v>5.7984096938484754E-2</v>
      </c>
      <c r="T99" s="12">
        <v>6.5741404573535354</v>
      </c>
      <c r="U99" s="13" cm="1">
        <f t="array" ref="U99">cubicSpline(tbl_zero_rates[tau],tbl_zero_rates[nacc],T99,0)</f>
        <v>4.8635212725352678E-2</v>
      </c>
      <c r="V99" s="3" cm="1">
        <f t="array" ref="V99">cubicSpline(tbl_zero_rates[tau],tbl_zero_rates[nacc],T99,1)</f>
        <v>1.4220608856582808E-3</v>
      </c>
      <c r="W99" s="3">
        <f t="shared" si="12"/>
        <v>5.7984040726578784E-2</v>
      </c>
      <c r="Y99" s="3">
        <f t="shared" si="8"/>
        <v>2.810595298510798E-3</v>
      </c>
      <c r="Z99" s="3">
        <f t="shared" si="9"/>
        <v>1.4755380729119258E-2</v>
      </c>
      <c r="AA99" s="3"/>
      <c r="AB99" s="3">
        <v>1.10225668746495E-2</v>
      </c>
      <c r="AC99" s="3">
        <f t="shared" si="13"/>
        <v>-0.25297983989685702</v>
      </c>
      <c r="AE99" s="8">
        <v>0</v>
      </c>
      <c r="AF99" s="12">
        <v>6.574150457353535</v>
      </c>
      <c r="AG99" s="15">
        <v>3.7538629467460427</v>
      </c>
      <c r="AH99" s="15">
        <v>0.63771950215577067</v>
      </c>
      <c r="AI99" s="15"/>
      <c r="AJ99" s="15"/>
    </row>
    <row r="100" spans="10:36" x14ac:dyDescent="0.2">
      <c r="J100" s="12">
        <v>6.6455654813030298</v>
      </c>
      <c r="K100" s="13" cm="1">
        <f t="array" ref="K100">cubicSpline(tbl_zero_rates[tau],tbl_zero_rates[nacc],J100,0)</f>
        <v>4.8735268264558533E-2</v>
      </c>
      <c r="L100" s="3" cm="1">
        <f t="array" ref="L100">cubicSpline(tbl_zero_rates[tau],tbl_zero_rates[nacc],J100,1)</f>
        <v>1.3727653989625546E-3</v>
      </c>
      <c r="M100" s="3">
        <f t="shared" si="10"/>
        <v>5.7858070613831268E-2</v>
      </c>
      <c r="O100" s="12">
        <v>6.6455754813030294</v>
      </c>
      <c r="P100" s="13" cm="1">
        <f t="array" ref="P100">cubicSpline(tbl_zero_rates[tau],tbl_zero_rates[nacc],O100,0)</f>
        <v>4.8735282074239321E-2</v>
      </c>
      <c r="Q100" s="3" cm="1">
        <f t="array" ref="Q100">cubicSpline(tbl_zero_rates[tau],tbl_zero_rates[nacc],O100,1)</f>
        <v>1.3727653455317531E-3</v>
      </c>
      <c r="R100" s="3">
        <f t="shared" si="11"/>
        <v>5.7858097796087624E-2</v>
      </c>
      <c r="T100" s="12">
        <v>6.6455554813030302</v>
      </c>
      <c r="U100" s="13" cm="1">
        <f t="array" ref="U100">cubicSpline(tbl_zero_rates[tau],tbl_zero_rates[nacc],T100,0)</f>
        <v>4.8735254454822928E-2</v>
      </c>
      <c r="V100" s="3" cm="1">
        <f t="array" ref="V100">cubicSpline(tbl_zero_rates[tau],tbl_zero_rates[nacc],T100,1)</f>
        <v>1.3727654523933558E-3</v>
      </c>
      <c r="W100" s="3">
        <f t="shared" si="12"/>
        <v>5.7858043431519027E-2</v>
      </c>
      <c r="Y100" s="3">
        <f t="shared" si="8"/>
        <v>2.7182284298432609E-3</v>
      </c>
      <c r="Z100" s="3">
        <f t="shared" si="9"/>
        <v>1.4641299955213771E-2</v>
      </c>
      <c r="AA100" s="3"/>
      <c r="AB100" s="3">
        <v>1.10522574295327E-2</v>
      </c>
      <c r="AC100" s="3">
        <f t="shared" si="13"/>
        <v>-0.24513141160003427</v>
      </c>
      <c r="AE100" s="8">
        <v>0</v>
      </c>
      <c r="AF100" s="12">
        <v>6.6455654813030298</v>
      </c>
      <c r="AG100" s="15">
        <v>3.774204035642013</v>
      </c>
      <c r="AH100" s="15">
        <v>0.64661164451525022</v>
      </c>
      <c r="AI100" s="15"/>
      <c r="AJ100" s="15"/>
    </row>
    <row r="101" spans="10:36" x14ac:dyDescent="0.2">
      <c r="J101" s="12">
        <v>6.7169805052525255</v>
      </c>
      <c r="K101" s="13" cm="1">
        <f t="array" ref="K101">cubicSpline(tbl_zero_rates[tau],tbl_zero_rates[nacc],J101,0)</f>
        <v>4.8832514179059858E-2</v>
      </c>
      <c r="L101" s="3" cm="1">
        <f t="array" ref="L101">cubicSpline(tbl_zero_rates[tau],tbl_zero_rates[nacc],J101,1)</f>
        <v>1.3723838227670405E-3</v>
      </c>
      <c r="M101" s="3">
        <f t="shared" si="10"/>
        <v>5.805078956231001E-2</v>
      </c>
      <c r="O101" s="12">
        <v>6.7169905052525252</v>
      </c>
      <c r="P101" s="13" cm="1">
        <f t="array" ref="P101">cubicSpline(tbl_zero_rates[tau],tbl_zero_rates[nacc],O101,0)</f>
        <v>4.8832527606426E-2</v>
      </c>
      <c r="Q101" s="3" cm="1">
        <f t="array" ref="Q101">cubicSpline(tbl_zero_rates[tau],tbl_zero_rates[nacc],O101,1)</f>
        <v>1.3723837693362393E-3</v>
      </c>
      <c r="R101" s="3">
        <f t="shared" si="11"/>
        <v>5.8050816354620192E-2</v>
      </c>
      <c r="T101" s="12">
        <v>6.7169705052525259</v>
      </c>
      <c r="U101" s="13" cm="1">
        <f t="array" ref="U101">cubicSpline(tbl_zero_rates[tau],tbl_zero_rates[nacc],T101,0)</f>
        <v>4.8832500751641472E-2</v>
      </c>
      <c r="V101" s="3" cm="1">
        <f t="array" ref="V101">cubicSpline(tbl_zero_rates[tau],tbl_zero_rates[nacc],T101,1)</f>
        <v>1.372383876197842E-3</v>
      </c>
      <c r="W101" s="3">
        <f t="shared" si="12"/>
        <v>5.8050762769946508E-2</v>
      </c>
      <c r="Y101" s="3">
        <f t="shared" si="8"/>
        <v>2.6792336842162974E-3</v>
      </c>
      <c r="Z101" s="3">
        <f t="shared" si="9"/>
        <v>1.4641087976411997E-2</v>
      </c>
      <c r="AA101" s="3"/>
      <c r="AB101" s="3">
        <v>1.1088470898124401E-2</v>
      </c>
      <c r="AC101" s="3">
        <f t="shared" si="13"/>
        <v>-0.24264706857927199</v>
      </c>
      <c r="AE101" s="8">
        <v>0</v>
      </c>
      <c r="AF101" s="12">
        <v>6.7169805052525255</v>
      </c>
      <c r="AG101" s="15">
        <v>3.7942709833583388</v>
      </c>
      <c r="AH101" s="15">
        <v>0.66057407599193174</v>
      </c>
      <c r="AI101" s="15"/>
      <c r="AJ101" s="15"/>
    </row>
    <row r="102" spans="10:36" x14ac:dyDescent="0.2">
      <c r="J102" s="12">
        <v>6.7883955292020204</v>
      </c>
      <c r="K102" s="13" cm="1">
        <f t="array" ref="K102">cubicSpline(tbl_zero_rates[tau],tbl_zero_rates[nacc],J102,0)</f>
        <v>4.8927088873175949E-2</v>
      </c>
      <c r="L102" s="3" cm="1">
        <f t="array" ref="L102">cubicSpline(tbl_zero_rates[tau],tbl_zero_rates[nacc],J102,1)</f>
        <v>1.3258282345179509E-3</v>
      </c>
      <c r="M102" s="3">
        <f t="shared" si="10"/>
        <v>5.7927335332867411E-2</v>
      </c>
      <c r="O102" s="12">
        <v>6.78840552920202</v>
      </c>
      <c r="P102" s="13" cm="1">
        <f t="array" ref="P102">cubicSpline(tbl_zero_rates[tau],tbl_zero_rates[nacc],O102,0)</f>
        <v>4.8927101933682438E-2</v>
      </c>
      <c r="Q102" s="3" cm="1">
        <f t="array" ref="Q102">cubicSpline(tbl_zero_rates[tau],tbl_zero_rates[nacc],O102,1)</f>
        <v>1.3258282001538111E-3</v>
      </c>
      <c r="R102" s="3">
        <f t="shared" si="11"/>
        <v>5.792736141837853E-2</v>
      </c>
      <c r="T102" s="12">
        <v>6.7883855292020208</v>
      </c>
      <c r="U102" s="13" cm="1">
        <f t="array" ref="U102">cubicSpline(tbl_zero_rates[tau],tbl_zero_rates[nacc],T102,0)</f>
        <v>4.8927075812618917E-2</v>
      </c>
      <c r="V102" s="3" cm="1">
        <f t="array" ref="V102">cubicSpline(tbl_zero_rates[tau],tbl_zero_rates[nacc],T102,1)</f>
        <v>1.3258282688820907E-3</v>
      </c>
      <c r="W102" s="3">
        <f t="shared" si="12"/>
        <v>5.7927309247305069E-2</v>
      </c>
      <c r="Y102" s="3">
        <f t="shared" si="8"/>
        <v>2.6085536730668935E-3</v>
      </c>
      <c r="Z102" s="3">
        <f t="shared" si="9"/>
        <v>1.4549059833958971E-2</v>
      </c>
      <c r="AA102" s="3"/>
      <c r="AB102" s="3">
        <v>1.1133169470920599E-2</v>
      </c>
      <c r="AC102" s="3">
        <f t="shared" si="13"/>
        <v>-0.23478426798859808</v>
      </c>
      <c r="AE102" s="8">
        <v>0</v>
      </c>
      <c r="AF102" s="12">
        <v>6.7883955292020204</v>
      </c>
      <c r="AG102" s="15">
        <v>3.8140674845539815</v>
      </c>
      <c r="AH102" s="15">
        <v>0.67045434164936502</v>
      </c>
      <c r="AI102" s="15"/>
      <c r="AJ102" s="15"/>
    </row>
    <row r="103" spans="10:36" x14ac:dyDescent="0.2">
      <c r="J103" s="12">
        <v>6.8598105531515152</v>
      </c>
      <c r="K103" s="13" cm="1">
        <f t="array" ref="K103">cubicSpline(tbl_zero_rates[tau],tbl_zero_rates[nacc],J103,0)</f>
        <v>4.9019097676816392E-2</v>
      </c>
      <c r="L103" s="3" cm="1">
        <f t="array" ref="L103">cubicSpline(tbl_zero_rates[tau],tbl_zero_rates[nacc],J103,1)</f>
        <v>1.2815552591879029E-3</v>
      </c>
      <c r="M103" s="3">
        <f t="shared" si="10"/>
        <v>5.7810323968240394E-2</v>
      </c>
      <c r="O103" s="12">
        <v>6.8598205531515148</v>
      </c>
      <c r="P103" s="13" cm="1">
        <f t="array" ref="P103">cubicSpline(tbl_zero_rates[tau],tbl_zero_rates[nacc],O103,0)</f>
        <v>4.9019110389126652E-2</v>
      </c>
      <c r="Q103" s="3" cm="1">
        <f t="array" ref="Q103">cubicSpline(tbl_zero_rates[tau],tbl_zero_rates[nacc],O103,1)</f>
        <v>1.2815551487668896E-3</v>
      </c>
      <c r="R103" s="3">
        <f t="shared" si="11"/>
        <v>5.7810348738634908E-2</v>
      </c>
      <c r="T103" s="12">
        <v>6.8598005531515156</v>
      </c>
      <c r="U103" s="13" cm="1">
        <f t="array" ref="U103">cubicSpline(tbl_zero_rates[tau],tbl_zero_rates[nacc],T103,0)</f>
        <v>4.9019084964459898E-2</v>
      </c>
      <c r="V103" s="3" cm="1">
        <f t="array" ref="V103">cubicSpline(tbl_zero_rates[tau],tbl_zero_rates[nacc],T103,1)</f>
        <v>1.2815553696089161E-3</v>
      </c>
      <c r="W103" s="3">
        <f t="shared" si="12"/>
        <v>5.7810299197797441E-2</v>
      </c>
      <c r="Y103" s="3">
        <f t="shared" si="8"/>
        <v>2.4770418733527366E-3</v>
      </c>
      <c r="Z103" s="3">
        <f t="shared" ref="Z103:Z134" si="14">Y103+mean_reversion_rate*M103+(volalitity*volalitity)*(1-EXP(-2*mean_reversion_rate*J103))/(2*mean_reversion_rate)</f>
        <v>1.4397367605602248E-2</v>
      </c>
      <c r="AA103" s="3"/>
      <c r="AB103" s="3">
        <v>1.11850867438834E-2</v>
      </c>
      <c r="AC103" s="3">
        <f t="shared" si="13"/>
        <v>-0.22311584657107031</v>
      </c>
      <c r="AE103" s="8">
        <v>0</v>
      </c>
      <c r="AF103" s="12">
        <v>6.8598105531515152</v>
      </c>
      <c r="AG103" s="15">
        <v>3.8335971840941978</v>
      </c>
      <c r="AH103" s="15">
        <v>0.677496939296509</v>
      </c>
      <c r="AI103" s="15"/>
      <c r="AJ103" s="15"/>
    </row>
    <row r="104" spans="10:36" x14ac:dyDescent="0.2">
      <c r="J104" s="12">
        <v>6.9312255771010101</v>
      </c>
      <c r="K104" s="13" cm="1">
        <f t="array" ref="K104">cubicSpline(tbl_zero_rates[tau],tbl_zero_rates[nacc],J104,0)</f>
        <v>4.9108736343601786E-2</v>
      </c>
      <c r="L104" s="3" cm="1">
        <f t="array" ref="L104">cubicSpline(tbl_zero_rates[tau],tbl_zero_rates[nacc],J104,1)</f>
        <v>1.2407492756871385E-3</v>
      </c>
      <c r="M104" s="3">
        <f t="shared" si="10"/>
        <v>5.770864945801403E-2</v>
      </c>
      <c r="O104" s="12">
        <v>6.9312355771010097</v>
      </c>
      <c r="P104" s="13" cm="1">
        <f t="array" ref="P104">cubicSpline(tbl_zero_rates[tau],tbl_zero_rates[nacc],O104,0)</f>
        <v>4.9108748733405441E-2</v>
      </c>
      <c r="Q104" s="3" cm="1">
        <f t="array" ref="Q104">cubicSpline(tbl_zero_rates[tau],tbl_zero_rates[nacc],O104,1)</f>
        <v>1.2407494542571488E-3</v>
      </c>
      <c r="R104" s="3">
        <f t="shared" si="11"/>
        <v>5.770867549302125E-2</v>
      </c>
      <c r="T104" s="12">
        <v>6.9312155771010104</v>
      </c>
      <c r="U104" s="13" cm="1">
        <f t="array" ref="U104">cubicSpline(tbl_zero_rates[tau],tbl_zero_rates[nacc],T104,0)</f>
        <v>4.9108723953750551E-2</v>
      </c>
      <c r="V104" s="3" cm="1">
        <f t="array" ref="V104">cubicSpline(tbl_zero_rates[tau],tbl_zero_rates[nacc],T104,1)</f>
        <v>1.2407490971171279E-3</v>
      </c>
      <c r="W104" s="3">
        <f t="shared" si="12"/>
        <v>5.7708623422962804E-2</v>
      </c>
      <c r="Y104" s="3">
        <f t="shared" si="8"/>
        <v>2.6035029222770678E-3</v>
      </c>
      <c r="Z104" s="3">
        <f t="shared" si="14"/>
        <v>1.4506507297666773E-2</v>
      </c>
      <c r="AA104" s="3"/>
      <c r="AB104" s="3">
        <v>1.12444459690624E-2</v>
      </c>
      <c r="AC104" s="3">
        <f t="shared" si="13"/>
        <v>-0.22486883035787963</v>
      </c>
      <c r="AE104" s="8">
        <v>0</v>
      </c>
      <c r="AF104" s="12">
        <v>6.9312255771010101</v>
      </c>
      <c r="AG104" s="15">
        <v>3.8528636777216221</v>
      </c>
      <c r="AH104" s="15">
        <v>0.69691999887525291</v>
      </c>
      <c r="AI104" s="15"/>
      <c r="AJ104" s="15"/>
    </row>
    <row r="105" spans="10:36" x14ac:dyDescent="0.2">
      <c r="J105" s="12">
        <v>7.0026406010505049</v>
      </c>
      <c r="K105" s="13" cm="1">
        <f t="array" ref="K105">cubicSpline(tbl_zero_rates[tau],tbl_zero_rates[nacc],J105,0)</f>
        <v>4.9195937623162864E-2</v>
      </c>
      <c r="L105" s="3" cm="1">
        <f t="array" ref="L105">cubicSpline(tbl_zero_rates[tau],tbl_zero_rates[nacc],J105,1)</f>
        <v>1.2018162244485482E-3</v>
      </c>
      <c r="M105" s="3">
        <f t="shared" si="10"/>
        <v>5.7611824711487493E-2</v>
      </c>
      <c r="O105" s="12">
        <v>7.0026506010505045</v>
      </c>
      <c r="P105" s="13" cm="1">
        <f t="array" ref="P105">cubicSpline(tbl_zero_rates[tau],tbl_zero_rates[nacc],O105,0)</f>
        <v>4.9195949653006207E-2</v>
      </c>
      <c r="Q105" s="3" cm="1">
        <f t="array" ref="Q105">cubicSpline(tbl_zero_rates[tau],tbl_zero_rates[nacc],O105,1)</f>
        <v>1.2018153218346069E-3</v>
      </c>
      <c r="R105" s="3">
        <f t="shared" si="11"/>
        <v>5.7611842438803025E-2</v>
      </c>
      <c r="T105" s="12">
        <v>7.0026306010505053</v>
      </c>
      <c r="U105" s="13" cm="1">
        <f t="array" ref="U105">cubicSpline(tbl_zero_rates[tau],tbl_zero_rates[nacc],T105,0)</f>
        <v>4.9195925593275819E-2</v>
      </c>
      <c r="V105" s="3" cm="1">
        <f t="array" ref="V105">cubicSpline(tbl_zero_rates[tau],tbl_zero_rates[nacc],T105,1)</f>
        <v>1.2018171270624892E-3</v>
      </c>
      <c r="W105" s="3">
        <f t="shared" si="12"/>
        <v>5.7611806984110212E-2</v>
      </c>
      <c r="Y105" s="3">
        <f t="shared" si="8"/>
        <v>1.7727346406787301E-3</v>
      </c>
      <c r="Z105" s="3">
        <f t="shared" si="14"/>
        <v>1.3659285654402401E-2</v>
      </c>
      <c r="AA105" s="3"/>
      <c r="AB105" s="3">
        <v>1.1311502487415699E-2</v>
      </c>
      <c r="AC105" s="3">
        <f t="shared" si="13"/>
        <v>-0.17188184114372107</v>
      </c>
      <c r="AE105" s="8">
        <v>0</v>
      </c>
      <c r="AF105" s="12">
        <v>7.0026406010505049</v>
      </c>
      <c r="AG105" s="15">
        <v>3.8718705127182989</v>
      </c>
      <c r="AH105" s="15">
        <v>0.66981005444550246</v>
      </c>
      <c r="AI105" s="15"/>
      <c r="AJ105" s="15"/>
    </row>
    <row r="106" spans="10:36" x14ac:dyDescent="0.2">
      <c r="J106" s="12">
        <v>7.0740556249999997</v>
      </c>
      <c r="K106" s="13" cm="1">
        <f t="array" ref="K106">cubicSpline(tbl_zero_rates[tau],tbl_zero_rates[nacc],J106,0)</f>
        <v>4.9281105999999998E-2</v>
      </c>
      <c r="L106" s="3" cm="1">
        <f t="array" ref="L106">cubicSpline(tbl_zero_rates[tau],tbl_zero_rates[nacc],J106,1)</f>
        <v>1.1953702048259054E-3</v>
      </c>
      <c r="M106" s="3">
        <f t="shared" si="10"/>
        <v>5.7737221321406094E-2</v>
      </c>
      <c r="O106" s="12">
        <v>7.0740656249999994</v>
      </c>
      <c r="P106" s="13" cm="1">
        <f t="array" ref="P106">cubicSpline(tbl_zero_rates[tau],tbl_zero_rates[nacc],O106,0)</f>
        <v>4.9281117873819398E-2</v>
      </c>
      <c r="Q106" s="3" cm="1">
        <f t="array" ref="Q106">cubicSpline(tbl_zero_rates[tau],tbl_zero_rates[nacc],O106,1)</f>
        <v>1.1953693022119644E-3</v>
      </c>
      <c r="R106" s="3">
        <f t="shared" si="11"/>
        <v>5.7737238763777288E-2</v>
      </c>
      <c r="T106" s="12">
        <v>7.0740456250000001</v>
      </c>
      <c r="U106" s="13" cm="1">
        <f t="array" ref="U106">cubicSpline(tbl_zero_rates[tau],tbl_zero_rates[nacc],T106,0)</f>
        <v>4.9281094126180591E-2</v>
      </c>
      <c r="V106" s="3" cm="1">
        <f t="array" ref="V106">cubicSpline(tbl_zero_rates[tau],tbl_zero_rates[nacc],T106,1)</f>
        <v>1.1953711074398465E-3</v>
      </c>
      <c r="W106" s="3">
        <f t="shared" si="12"/>
        <v>5.7737203879016846E-2</v>
      </c>
      <c r="Y106" s="3">
        <f t="shared" si="8"/>
        <v>1.7442380220722418E-3</v>
      </c>
      <c r="Z106" s="3">
        <f t="shared" si="14"/>
        <v>1.3656505703216179E-2</v>
      </c>
      <c r="AA106" s="3"/>
      <c r="AB106" s="3">
        <v>1.1386428257827E-2</v>
      </c>
      <c r="AC106" s="3">
        <f t="shared" si="13"/>
        <v>-0.16622681487655833</v>
      </c>
      <c r="AE106" s="8">
        <v>0</v>
      </c>
      <c r="AF106" s="12">
        <v>7.0740556249999997</v>
      </c>
      <c r="AG106" s="15">
        <v>3.8906211885588</v>
      </c>
      <c r="AH106" s="15">
        <v>0.68340244986461018</v>
      </c>
      <c r="AI106" s="15"/>
      <c r="AJ106" s="15"/>
    </row>
    <row r="107" spans="10:36" x14ac:dyDescent="0.2">
      <c r="AA107" s="3"/>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Hull White 1 Factor</vt:lpstr>
      <vt:lpstr>bond_prices</vt:lpstr>
      <vt:lpstr>dt</vt:lpstr>
      <vt:lpstr>max_tau</vt:lpstr>
      <vt:lpstr>mean_reversion_rate</vt:lpstr>
      <vt:lpstr>min_tau</vt:lpstr>
      <vt:lpstr>volalitity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2024-05-11T03:35:05Z</dcterms:created>
  <dcterms:modified xsi:type="dcterms:W3CDTF">2024-05-25T04:58:18Z</dcterms:modified>
</cp:coreProperties>
</file>