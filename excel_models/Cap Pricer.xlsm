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F4F6A945-EA92-4B82-86ED-AD8FF6837767}" xr6:coauthVersionLast="47" xr6:coauthVersionMax="47" xr10:uidLastSave="{00000000-0000-0000-0000-000000000000}"/>
  <bookViews>
    <workbookView xWindow="-120" yWindow="-120" windowWidth="29040" windowHeight="15720" activeTab="1" xr2:uid="{1C4557F8-C55C-4D81-9037-D6332FE557DE}"/>
  </bookViews>
  <sheets>
    <sheet name="Global Inputs" sheetId="16" r:id="rId1"/>
    <sheet name="Caplet Pricer" sheetId="24" r:id="rId2"/>
    <sheet name="Cap Pricer" sheetId="23" r:id="rId3"/>
    <sheet name="Methodology" sheetId="39" r:id="rId4"/>
    <sheet name="Data Validation" sheetId="5" state="hidden" r:id="rId5"/>
    <sheet name="Holidays" sheetId="33" state="hidden" r:id="rId6"/>
  </sheets>
  <functionGroups builtInGroupCount="19"/>
  <definedNames>
    <definedName name="_xlpm.InstrinsicValue" hidden="1" xlm="1">#NAME?</definedName>
    <definedName name="_xlpm.RolledEndDate" hidden="1" xlm="1">#NAME?</definedName>
    <definedName name="alpha" localSheetId="1">'Caplet Pricer'!$H$15</definedName>
    <definedName name="AnnuityFactor" localSheetId="1">'Caplet Pricer'!$C$25</definedName>
    <definedName name="AnnuityFactor">_xlfn.ANCHORARRAY('Cap Pricer'!$N$12)</definedName>
    <definedName name="beta" localSheetId="1">'Caplet Pricer'!$H$8</definedName>
    <definedName name="BuySell" localSheetId="2">'Cap Pricer'!$C$26</definedName>
    <definedName name="CapletSABRTermStructureLognormalShift">'Global Inputs'!$C$12</definedName>
    <definedName name="cp" localSheetId="2">'Cap Pricer'!$C$27</definedName>
    <definedName name="cp" localSheetId="1">'Caplet Pricer'!$C$21</definedName>
    <definedName name="CurveDate">'Global Inputs'!$E$3</definedName>
    <definedName name="d_" localSheetId="1">'Caplet Pricer'!$N$25</definedName>
    <definedName name="d1_" localSheetId="1">'Caplet Pricer'!$N$12</definedName>
    <definedName name="d2_" localSheetId="1">'Caplet Pricer'!$N$13</definedName>
    <definedName name="DCB">'Global Inputs'!$E$6</definedName>
    <definedName name="DF" localSheetId="1">'Caplet Pricer'!$G$38</definedName>
    <definedName name="Diff2GoalSeek_AlphaError">'Caplet Pricer'!$H$23</definedName>
    <definedName name="Diff2GoalSeek_Black76BachelierPxDiff">'Caplet Pricer'!$H$31</definedName>
    <definedName name="EffectiveDate" localSheetId="2">'Cap Pricer'!$C$11</definedName>
    <definedName name="EffectiveDate" localSheetId="1">'Caplet Pricer'!$C$10</definedName>
    <definedName name="F" localSheetId="1">'Caplet Pricer'!$C$19</definedName>
    <definedName name="F_adj" localSheetId="1">'Caplet Pricer'!$N$10</definedName>
    <definedName name="Frequency" localSheetId="2">'Cap Pricer'!$C$15</definedName>
    <definedName name="Holidays_NSW">Holidays!$C$2:$C$1062</definedName>
    <definedName name="HolidaysApplied">_xlfn.ANCHORARRAY(Holidays!$A$2)</definedName>
    <definedName name="K" localSheetId="1">'Caplet Pricer'!$C$18</definedName>
    <definedName name="K_adj" localSheetId="2">'Cap Pricer'!$C$25</definedName>
    <definedName name="K_adj" localSheetId="1">'Caplet Pricer'!$N$9</definedName>
    <definedName name="LogNormalShift" localSheetId="2">'Cap Pricer'!$R$5</definedName>
    <definedName name="LogNormalShift" localSheetId="1">'Caplet Pricer'!$N$8</definedName>
    <definedName name="MaturityDate" localSheetId="2">'Cap Pricer'!$C$12</definedName>
    <definedName name="MaturityDate" localSheetId="1">'Caplet Pricer'!$C$11</definedName>
    <definedName name="NotionalAmount" localSheetId="2">'Cap Pricer'!$C$10</definedName>
    <definedName name="NotionalAmount" localSheetId="1">'Caplet Pricer'!$C$9</definedName>
    <definedName name="PaymentOffset">'Global Inputs'!$E$9</definedName>
    <definedName name="r_" localSheetId="1">'Caplet Pricer'!$C$24</definedName>
    <definedName name="rho" localSheetId="1">'Caplet Pricer'!$H$9</definedName>
    <definedName name="RollConvention">'Global Inputs'!$E$8</definedName>
    <definedName name="RollUserSpecifiedDates">'Global Inputs'!$E$7</definedName>
    <definedName name="SettlementDate">'Global Inputs'!$E$5</definedName>
    <definedName name="SettlementDelay">'Global Inputs'!$E$4</definedName>
    <definedName name="tau" localSheetId="2">_xlfn.ANCHORARRAY('Cap Pricer'!$L$12)</definedName>
    <definedName name="tau" localSheetId="1">'Caplet Pricer'!$C$17</definedName>
    <definedName name="Term" localSheetId="1">'Caplet Pricer'!$C$22</definedName>
    <definedName name="Vol_N_per_Caplet_Term_Structure" localSheetId="1">'Caplet Pricer'!$H$27</definedName>
    <definedName name="volvol" localSheetId="1">'Caplet Pricer'!$H$10</definedName>
    <definedName name="σN" localSheetId="2">'Cap Pricer'!$X$6</definedName>
    <definedName name="σN" localSheetId="1">'Caplet Pricer'!$N$24</definedName>
    <definedName name="σNatmf" localSheetId="1">'Caplet Pricer'!$H$11</definedName>
    <definedName name="σSLN" localSheetId="2">'Cap Pricer'!$R$6</definedName>
    <definedName name="σSLN" localSheetId="1">'Caplet Pricer'!$N$11</definedName>
    <definedName name="σSLNatmf" localSheetId="1">'Caplet Pricer'!$H$13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6" l="1"/>
  <c r="F30" i="16"/>
  <c r="F31" i="16"/>
  <c r="F32" i="16"/>
  <c r="H32" i="16" s="1"/>
  <c r="F33" i="16"/>
  <c r="F34" i="16"/>
  <c r="H34" i="16" s="1"/>
  <c r="F35" i="16"/>
  <c r="H35" i="16" s="1"/>
  <c r="F36" i="16"/>
  <c r="H36" i="16" s="1"/>
  <c r="F37" i="16"/>
  <c r="F38" i="16"/>
  <c r="F39" i="16"/>
  <c r="F40" i="16"/>
  <c r="H40" i="16" s="1"/>
  <c r="F41" i="16"/>
  <c r="F42" i="16"/>
  <c r="H42" i="16" s="1"/>
  <c r="F43" i="16"/>
  <c r="H43" i="16" s="1"/>
  <c r="F44" i="16"/>
  <c r="H44" i="16" s="1"/>
  <c r="F45" i="16"/>
  <c r="F46" i="16"/>
  <c r="F47" i="16"/>
  <c r="F48" i="16"/>
  <c r="H48" i="16" s="1"/>
  <c r="F49" i="16"/>
  <c r="F50" i="16"/>
  <c r="H50" i="16" s="1"/>
  <c r="F51" i="16"/>
  <c r="H51" i="16" s="1"/>
  <c r="B29" i="16"/>
  <c r="B30" i="16"/>
  <c r="B31" i="16"/>
  <c r="B32" i="16"/>
  <c r="B33" i="16"/>
  <c r="B34" i="16"/>
  <c r="D34" i="16" s="1"/>
  <c r="B35" i="16"/>
  <c r="B36" i="16"/>
  <c r="D36" i="16" s="1"/>
  <c r="B37" i="16"/>
  <c r="B38" i="16"/>
  <c r="B39" i="16"/>
  <c r="B40" i="16"/>
  <c r="B41" i="16"/>
  <c r="B42" i="16"/>
  <c r="D42" i="16" s="1"/>
  <c r="B43" i="16"/>
  <c r="B44" i="16"/>
  <c r="D44" i="16" s="1"/>
  <c r="B45" i="16"/>
  <c r="B46" i="16"/>
  <c r="B47" i="16"/>
  <c r="B48" i="16"/>
  <c r="B49" i="16"/>
  <c r="B50" i="16"/>
  <c r="D50" i="16" s="1"/>
  <c r="B51" i="16"/>
  <c r="H29" i="16"/>
  <c r="H30" i="16"/>
  <c r="H31" i="16"/>
  <c r="H33" i="16"/>
  <c r="H37" i="16"/>
  <c r="H38" i="16"/>
  <c r="H39" i="16"/>
  <c r="H41" i="16"/>
  <c r="H45" i="16"/>
  <c r="H46" i="16"/>
  <c r="H47" i="16"/>
  <c r="H49" i="16"/>
  <c r="D29" i="16"/>
  <c r="D30" i="16"/>
  <c r="D31" i="16"/>
  <c r="D32" i="16"/>
  <c r="D33" i="16"/>
  <c r="D35" i="16"/>
  <c r="D37" i="16"/>
  <c r="D38" i="16"/>
  <c r="D39" i="16"/>
  <c r="D40" i="16"/>
  <c r="D41" i="16"/>
  <c r="D43" i="16"/>
  <c r="D45" i="16"/>
  <c r="D46" i="16"/>
  <c r="D47" i="16"/>
  <c r="D48" i="16"/>
  <c r="D49" i="16"/>
  <c r="D51" i="16"/>
  <c r="J36" i="24" l="1"/>
  <c r="C24" i="23"/>
  <c r="R5" i="23" s="1"/>
  <c r="C18" i="24"/>
  <c r="N8" i="24" l="1"/>
  <c r="E5" i="16" l="1"/>
  <c r="F25" i="16" s="1"/>
  <c r="E25" i="16" s="1"/>
  <c r="M25" i="16" l="1"/>
  <c r="A2" i="33" a="1"/>
  <c r="A2" i="33" s="1"/>
  <c r="X6" i="23"/>
  <c r="N25" i="16" a="1"/>
  <c r="N25" i="16" l="1"/>
  <c r="C27" i="23" a="1"/>
  <c r="C27" i="23" s="1"/>
  <c r="C22" i="24"/>
  <c r="C17" i="24"/>
  <c r="C23" i="24"/>
  <c r="N11" i="24"/>
  <c r="N24" i="24"/>
  <c r="C19" i="24"/>
  <c r="C20" i="24" a="1"/>
  <c r="C20" i="24" s="1"/>
  <c r="C21" i="24" a="1"/>
  <c r="C21" i="24" s="1"/>
  <c r="R6" i="23"/>
  <c r="C26" i="24" a="1"/>
  <c r="H30" i="24" a="1"/>
  <c r="J38" i="24" a="1"/>
  <c r="J37" i="24" a="1"/>
  <c r="C26" i="24" l="1"/>
  <c r="N25" i="24"/>
  <c r="N26" i="24" s="1"/>
  <c r="H30" i="24"/>
  <c r="F17" i="16"/>
  <c r="E17" i="16" s="1"/>
  <c r="C24" i="24"/>
  <c r="J38" i="24"/>
  <c r="N9" i="24"/>
  <c r="J37" i="24"/>
  <c r="F23" i="16"/>
  <c r="E23" i="16" s="1"/>
  <c r="F16" i="16"/>
  <c r="E16" i="16" s="1"/>
  <c r="F15" i="16"/>
  <c r="E15" i="16" s="1"/>
  <c r="F22" i="16"/>
  <c r="E22" i="16" s="1"/>
  <c r="F21" i="16"/>
  <c r="E21" i="16" s="1"/>
  <c r="F20" i="16"/>
  <c r="E20" i="16" s="1"/>
  <c r="F24" i="16"/>
  <c r="E24" i="16" s="1"/>
  <c r="F19" i="16"/>
  <c r="E19" i="16" s="1"/>
  <c r="F18" i="16"/>
  <c r="E18" i="16" s="1"/>
  <c r="D25" i="16"/>
  <c r="C25" i="24"/>
  <c r="N10" i="24"/>
  <c r="G12" i="23" a="1"/>
  <c r="M18" i="16" l="1"/>
  <c r="M23" i="16"/>
  <c r="M19" i="16"/>
  <c r="M24" i="16"/>
  <c r="M16" i="16"/>
  <c r="M20" i="16"/>
  <c r="M21" i="16"/>
  <c r="M17" i="16"/>
  <c r="M22" i="16"/>
  <c r="M15" i="16"/>
  <c r="D16" i="16"/>
  <c r="D23" i="16"/>
  <c r="D19" i="16"/>
  <c r="D24" i="16"/>
  <c r="D18" i="16"/>
  <c r="D20" i="16"/>
  <c r="D21" i="16"/>
  <c r="D22" i="16"/>
  <c r="D17" i="16"/>
  <c r="D15" i="16"/>
  <c r="G12" i="23"/>
  <c r="F12" i="23" s="1" a="1"/>
  <c r="F12" i="23" s="1"/>
  <c r="N27" i="24"/>
  <c r="N28" i="24" a="1"/>
  <c r="N28" i="24" s="1"/>
  <c r="N29" i="24" s="1"/>
  <c r="N30" i="24"/>
  <c r="N31" i="24" s="1"/>
  <c r="N12" i="24"/>
  <c r="N16" i="16" a="1"/>
  <c r="N22" i="16" a="1"/>
  <c r="H11" i="24" a="1"/>
  <c r="N23" i="16" a="1"/>
  <c r="H10" i="24" a="1"/>
  <c r="N20" i="16" a="1"/>
  <c r="H9" i="24" a="1"/>
  <c r="N21" i="16" a="1"/>
  <c r="N17" i="16" a="1"/>
  <c r="N19" i="16" a="1"/>
  <c r="N15" i="16" a="1"/>
  <c r="N24" i="16" a="1"/>
  <c r="N18" i="16" a="1"/>
  <c r="H8" i="24" a="1"/>
  <c r="N21" i="16" l="1"/>
  <c r="N20" i="16"/>
  <c r="N16" i="16"/>
  <c r="N17" i="16"/>
  <c r="N24" i="16"/>
  <c r="N15" i="16"/>
  <c r="N19" i="16"/>
  <c r="N23" i="16"/>
  <c r="N22" i="16"/>
  <c r="N18" i="16"/>
  <c r="H9" i="24"/>
  <c r="H8" i="24"/>
  <c r="H17" i="24" s="1"/>
  <c r="H11" i="24"/>
  <c r="H13" i="24" s="1"/>
  <c r="H10" i="24"/>
  <c r="H12" i="23" a="1"/>
  <c r="H12" i="23" s="1"/>
  <c r="AC12" i="23" a="1"/>
  <c r="AC12" i="23" s="1"/>
  <c r="N16" i="24" a="1"/>
  <c r="N16" i="24" s="1"/>
  <c r="N17" i="24" s="1"/>
  <c r="N13" i="24"/>
  <c r="N14" i="24" s="1"/>
  <c r="N15" i="24" s="1"/>
  <c r="N18" i="24"/>
  <c r="N19" i="24" s="1"/>
  <c r="H25" i="24" a="1"/>
  <c r="I12" i="23" a="1"/>
  <c r="H21" i="24" l="1"/>
  <c r="H19" i="24"/>
  <c r="H18" i="24"/>
  <c r="H20" i="24"/>
  <c r="H25" i="24"/>
  <c r="J35" i="24" s="1"/>
  <c r="I12" i="23"/>
  <c r="AD12" i="23" a="1"/>
  <c r="AD12" i="23" s="1"/>
  <c r="L12" i="23" a="1"/>
  <c r="L12" i="23" s="1"/>
  <c r="H29" i="24" a="1"/>
  <c r="M12" i="23" a="1"/>
  <c r="AG12" i="23" a="1"/>
  <c r="AH12" i="23" a="1"/>
  <c r="AK12" i="23" a="1"/>
  <c r="H22" i="24" l="1"/>
  <c r="H23" i="24" s="1"/>
  <c r="H29" i="24"/>
  <c r="H31" i="24" s="1"/>
  <c r="AK12" i="23"/>
  <c r="M12" i="23"/>
  <c r="AE12" i="23" a="1"/>
  <c r="AE12" i="23" s="1"/>
  <c r="AF12" i="23" a="1"/>
  <c r="AF12" i="23" s="1"/>
  <c r="AG12" i="23"/>
  <c r="AH12" i="23"/>
  <c r="AN12" i="23" a="1"/>
  <c r="AL12" i="23" a="1"/>
  <c r="AM12" i="23" a="1"/>
  <c r="AN12" i="23" l="1"/>
  <c r="AL12" i="23"/>
  <c r="AM12" i="23"/>
  <c r="AI12" i="23" a="1"/>
  <c r="AI12" i="23" s="1"/>
  <c r="J12" i="23" a="1"/>
  <c r="J12" i="23" s="1"/>
  <c r="K12" i="23" l="1" a="1"/>
  <c r="K12" i="23" s="1"/>
  <c r="W12" i="23" a="1"/>
  <c r="W12" i="23" s="1"/>
  <c r="N12" i="23" a="1"/>
  <c r="N12" i="23" s="1"/>
  <c r="C26" i="23" a="1"/>
  <c r="C26" i="23" s="1"/>
  <c r="C25" i="23"/>
  <c r="C28" i="23" l="1" a="1"/>
  <c r="C28" i="23" s="1"/>
  <c r="C29" i="23" a="1"/>
  <c r="C29" i="23" l="1"/>
  <c r="P12" i="23" a="1"/>
  <c r="P12" i="23" s="1"/>
  <c r="X12" i="23" l="1" a="1"/>
  <c r="X12" i="23" s="1"/>
  <c r="Q12" i="23" a="1"/>
  <c r="Q12" i="23" s="1"/>
  <c r="R12" i="23" s="1" a="1"/>
  <c r="R12" i="23" s="1"/>
  <c r="Y12" i="23" l="1" a="1"/>
  <c r="Y12" i="23" s="1"/>
  <c r="AA12" i="23" s="1" a="1"/>
  <c r="AA12" i="23" s="1"/>
  <c r="Z12" i="23" s="1" a="1"/>
  <c r="Z12" i="23" s="1"/>
  <c r="S12" i="23" a="1"/>
  <c r="S12" i="23" s="1"/>
  <c r="U12" i="23" s="1" a="1"/>
  <c r="U12" i="23" s="1"/>
  <c r="T12" i="23" s="1" a="1"/>
  <c r="T12" i="23" s="1"/>
  <c r="X8" i="23" l="1"/>
  <c r="X7" i="23" s="1"/>
  <c r="R8" i="23"/>
  <c r="R7"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F13" authorId="0" shapeId="0" xr:uid="{C42040B6-18CC-4AEE-8FAC-793299778892}">
      <text>
        <r>
          <rPr>
            <sz val="9"/>
            <color indexed="81"/>
            <rFont val="Tahoma"/>
            <family val="2"/>
          </rPr>
          <t>Solved by equating the Black76 and Bachelier pricing formulae when F=K.
σN_ATMF = (2F*CDF((σSLN_ATMF √tau)/2)-F)/(√tau*PDF(0))
σSLN_ATMF = 2/√tau*CDF_INVERSE((σN_ATMF*√tau*PDF(0)+F)/2F)
where:
F is the forward rate, adjusted for any log-normal shift
tau is the time to expiry
σN_ATMF is the at-the-money-forward, normal volatility.
σSLN_ATMF is the at-the-money-forward, log-normal volatility.</t>
        </r>
      </text>
    </comment>
    <comment ref="F14" authorId="0" shapeId="0" xr:uid="{ECCBF569-3307-458F-93EC-D35C701F4A40}">
      <text>
        <r>
          <rPr>
            <sz val="9"/>
            <color indexed="81"/>
            <rFont val="Tahoma"/>
            <family val="2"/>
          </rPr>
          <t>Per equation 2.18 in Hagan 2002 (Hagan, Patrick &amp; Lesniewski, Andrew &amp; 
Woodward, Diana. (2002). Managing Smile Risk. Wilmott Magazine. 1. 84-108.</t>
        </r>
      </text>
    </comment>
    <comment ref="B25" authorId="0" shapeId="0" xr:uid="{EED6850A-8C8B-4167-9932-365FD28C2D12}">
      <text>
        <r>
          <rPr>
            <sz val="9"/>
            <color indexed="81"/>
            <rFont val="Tahoma"/>
            <family val="2"/>
          </rPr>
          <t xml:space="preserve">[Caplet/Floorlet Valuation] = [Undiscounted Black76 Price] x [Annuity Factor]
Similar to the valuation methodology for swaptions, the annuity factor is the product of: 
(i) the term of the caplet/floorlet - i.e. the year fraction between accrual start and accrual end date, and
(ii) the discount factor at payment date. </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17" authorId="0" shapeId="0" xr:uid="{64E919C3-33D3-4597-8349-DD5DE7527190}">
      <text>
        <r>
          <rPr>
            <sz val="9"/>
            <color indexed="81"/>
            <rFont val="Tahoma"/>
            <family val="2"/>
          </rPr>
          <t xml:space="preserve">The valuation of caps/floors relies on interest rates and interest rate volatilities. 
This pricer relies on the interest rate discount and forward curves specified in tab 'Global Inputs'.
For the volatility inputs, this pricer supports scalar lognormal and normal volatility inputs.
We appreciate the correct way to value caps/floors is to source the appropriate volatility input for each caplet/floorlet in the cap/floor by interpolating the volatility smile term structure. 
Unfortunately, the numerical requirements of this task are not suited to excel/VBA. 
Please see the 'frm' python library for an example implementation.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<sst xmlns="http://schemas.openxmlformats.org/spreadsheetml/2006/main" count="286" uniqueCount="182">
  <si>
    <t>Discount Factor</t>
  </si>
  <si>
    <t>Days</t>
  </si>
  <si>
    <t>End Date</t>
  </si>
  <si>
    <t>Start Date</t>
  </si>
  <si>
    <t>Tenor</t>
  </si>
  <si>
    <t>Date</t>
  </si>
  <si>
    <t>Price</t>
  </si>
  <si>
    <t>1Y</t>
  </si>
  <si>
    <t>2Y</t>
  </si>
  <si>
    <t>3Y</t>
  </si>
  <si>
    <t>4Y</t>
  </si>
  <si>
    <t>5Y</t>
  </si>
  <si>
    <t>7Y</t>
  </si>
  <si>
    <t>10Y</t>
  </si>
  <si>
    <t>12Y</t>
  </si>
  <si>
    <t>15Y</t>
  </si>
  <si>
    <t>20Y</t>
  </si>
  <si>
    <t>25Y</t>
  </si>
  <si>
    <t>Curve Date / Valuation Date</t>
  </si>
  <si>
    <t>Legend</t>
  </si>
  <si>
    <t>User input</t>
  </si>
  <si>
    <t>Everything else, edit at own risk.</t>
  </si>
  <si>
    <t>[Date]</t>
  </si>
  <si>
    <t>Value</t>
  </si>
  <si>
    <t>Units</t>
  </si>
  <si>
    <t>Strike, K</t>
  </si>
  <si>
    <t>[%]</t>
  </si>
  <si>
    <t>Floating spread (bps)</t>
  </si>
  <si>
    <t>[bps]</t>
  </si>
  <si>
    <t>Q</t>
  </si>
  <si>
    <t>Buy/Sell perspective</t>
  </si>
  <si>
    <t>Buy</t>
  </si>
  <si>
    <t>Sell</t>
  </si>
  <si>
    <t>M</t>
  </si>
  <si>
    <t>Modified Following</t>
  </si>
  <si>
    <t>None</t>
  </si>
  <si>
    <t>Following</t>
  </si>
  <si>
    <t>First Short</t>
  </si>
  <si>
    <t>S</t>
  </si>
  <si>
    <t>Modified Preceding</t>
  </si>
  <si>
    <t>Last Short</t>
  </si>
  <si>
    <t>A</t>
  </si>
  <si>
    <t>Preceding</t>
  </si>
  <si>
    <t>Notional Amount</t>
  </si>
  <si>
    <t>[$]</t>
  </si>
  <si>
    <t>Buy/Sell flag</t>
  </si>
  <si>
    <t>Market Data</t>
  </si>
  <si>
    <t>Caplet/Floorlet Maturity Date</t>
  </si>
  <si>
    <t>Caplet/Floorlet Effective Date</t>
  </si>
  <si>
    <t>Call/put flag</t>
  </si>
  <si>
    <t>Caplet/Floorlet perspective</t>
  </si>
  <si>
    <t>Caplet</t>
  </si>
  <si>
    <t>Floorlet</t>
  </si>
  <si>
    <t>Normal volatility</t>
  </si>
  <si>
    <t>σB</t>
  </si>
  <si>
    <t>σN</t>
  </si>
  <si>
    <t>K</t>
  </si>
  <si>
    <t>Log-normal shift</t>
  </si>
  <si>
    <t>Alpha</t>
  </si>
  <si>
    <t>Beta</t>
  </si>
  <si>
    <t>Rho</t>
  </si>
  <si>
    <t>Strike</t>
  </si>
  <si>
    <t>$</t>
  </si>
  <si>
    <t>inner term 4</t>
  </si>
  <si>
    <t>inner term 3</t>
  </si>
  <si>
    <t>inner term 2</t>
  </si>
  <si>
    <t>inner term 1</t>
  </si>
  <si>
    <t>outer term</t>
  </si>
  <si>
    <t>Per 'Market Data'</t>
  </si>
  <si>
    <t>Manual Input</t>
  </si>
  <si>
    <t>Field</t>
  </si>
  <si>
    <t>Contractual Definitions</t>
  </si>
  <si>
    <t>Forward Curve</t>
  </si>
  <si>
    <t>Discount Curve</t>
  </si>
  <si>
    <t>Pricing helper fields</t>
  </si>
  <si>
    <t>{1, -1}</t>
  </si>
  <si>
    <t>VolVol</t>
  </si>
  <si>
    <t>Caplet/Floorlet Frequency</t>
  </si>
  <si>
    <t>Roll user specified dates</t>
  </si>
  <si>
    <t>NSW Public &amp; Bank Holidays</t>
  </si>
  <si>
    <t>Cpn Year %</t>
  </si>
  <si>
    <t>Fixing Start</t>
  </si>
  <si>
    <t>Fixing End</t>
  </si>
  <si>
    <t>Years</t>
  </si>
  <si>
    <t>DF(T1)</t>
  </si>
  <si>
    <t>DF(T2)</t>
  </si>
  <si>
    <t>Simple Forward Rate</t>
  </si>
  <si>
    <t>Payment Offset</t>
  </si>
  <si>
    <t>Forward Fixings</t>
  </si>
  <si>
    <t>#</t>
  </si>
  <si>
    <t>Pay Date</t>
  </si>
  <si>
    <t>d1</t>
  </si>
  <si>
    <t>d2</t>
  </si>
  <si>
    <t>Caplet SABR Fit</t>
  </si>
  <si>
    <t>Settle Date</t>
  </si>
  <si>
    <t>Maturity Date</t>
  </si>
  <si>
    <t>d</t>
  </si>
  <si>
    <t>Disc. Factor</t>
  </si>
  <si>
    <t>Yrs to expiry</t>
  </si>
  <si>
    <t>Fwd Rate</t>
  </si>
  <si>
    <t>Valuation Normal Vega normalised to 1 bp</t>
  </si>
  <si>
    <t>Analytical (forward) Vega</t>
  </si>
  <si>
    <t>Delta</t>
  </si>
  <si>
    <t>d_Bachelier</t>
  </si>
  <si>
    <t>Bachelier Pricing (Normal Volatility)</t>
  </si>
  <si>
    <t xml:space="preserve">Valuation Vega normalised to 1% </t>
  </si>
  <si>
    <t>Caplet/Floorlet Valuation</t>
  </si>
  <si>
    <t>d2_Black76</t>
  </si>
  <si>
    <t>d1_Black76</t>
  </si>
  <si>
    <t>F, adjusted for log-normal shift</t>
  </si>
  <si>
    <t>K, adjusted for log-normal shift</t>
  </si>
  <si>
    <t>Black76 Pricing (Log-Normal Volatility)</t>
  </si>
  <si>
    <t>[years]</t>
  </si>
  <si>
    <r>
      <t>A</t>
    </r>
    <r>
      <rPr>
        <vertAlign val="subscript"/>
        <sz val="9"/>
        <color theme="1"/>
        <rFont val="Arial"/>
        <family val="2"/>
      </rPr>
      <t>N</t>
    </r>
    <r>
      <rPr>
        <vertAlign val="superscript"/>
        <sz val="9"/>
        <color theme="1"/>
        <rFont val="Arial"/>
        <family val="2"/>
      </rPr>
      <t>Caplet/Floorlet</t>
    </r>
  </si>
  <si>
    <t>Zero rate at payment date</t>
  </si>
  <si>
    <t>[# years]</t>
  </si>
  <si>
    <t>T</t>
  </si>
  <si>
    <t>Term</t>
  </si>
  <si>
    <t>F</t>
  </si>
  <si>
    <t>tau</t>
  </si>
  <si>
    <t>Discount factor at payment date</t>
  </si>
  <si>
    <t>Par Forward Rate</t>
  </si>
  <si>
    <t>Black76 Volatility (per the log-normal shift)</t>
  </si>
  <si>
    <t>Cap</t>
  </si>
  <si>
    <t>Floor</t>
  </si>
  <si>
    <t>Schedule</t>
  </si>
  <si>
    <t>Valuation</t>
  </si>
  <si>
    <t>ATM Strike</t>
  </si>
  <si>
    <t>Flat</t>
  </si>
  <si>
    <t>Term Structure</t>
  </si>
  <si>
    <t xml:space="preserve">Flat Black76 Shifted LogNormal Volatility </t>
  </si>
  <si>
    <t>Lognormal shift</t>
  </si>
  <si>
    <t>Flat Normal volatility</t>
  </si>
  <si>
    <t>Annuity Factor</t>
  </si>
  <si>
    <t>Business Day Roll convention</t>
  </si>
  <si>
    <t>Holidays Applied</t>
  </si>
  <si>
    <t>{0,1,2,3}</t>
  </si>
  <si>
    <t>Global Input</t>
  </si>
  <si>
    <t>Expiry, years</t>
  </si>
  <si>
    <t>LN Shift</t>
  </si>
  <si>
    <t>ATMF Normal / Bachelier Volalility</t>
  </si>
  <si>
    <t>Difference to goal-seek</t>
  </si>
  <si>
    <t>ATMF SLN / Black76 Volatility</t>
  </si>
  <si>
    <t>ATMF SLN / Black76 Volatility Recalc</t>
  </si>
  <si>
    <t>Helper fields for the goal seek</t>
  </si>
  <si>
    <t>From term structures</t>
  </si>
  <si>
    <t>Flat Input</t>
  </si>
  <si>
    <t>PV</t>
  </si>
  <si>
    <t>CF</t>
  </si>
  <si>
    <t>K'</t>
  </si>
  <si>
    <t>F'</t>
  </si>
  <si>
    <t>Black76 Valuation</t>
  </si>
  <si>
    <t>Bachelier Valuation</t>
  </si>
  <si>
    <t>Black76 Forward Price</t>
  </si>
  <si>
    <t>Bachelier Forward Price</t>
  </si>
  <si>
    <t>Beta, β</t>
  </si>
  <si>
    <t xml:space="preserve">Rho, ρ </t>
  </si>
  <si>
    <r>
      <t xml:space="preserve">VolVol, </t>
    </r>
    <r>
      <rPr>
        <i/>
        <sz val="9"/>
        <color theme="1"/>
        <rFont val="Arial"/>
        <family val="2"/>
      </rPr>
      <t>v</t>
    </r>
  </si>
  <si>
    <r>
      <t>Step 2. Analytically calculate σSLN</t>
    </r>
    <r>
      <rPr>
        <i/>
        <vertAlign val="subscript"/>
        <sz val="9"/>
        <color theme="1"/>
        <rFont val="Arial"/>
        <family val="2"/>
      </rPr>
      <t>ATMF</t>
    </r>
  </si>
  <si>
    <r>
      <t>Step 3. Goal-seek alpha from F, tau, β, ρ, v &amp; σSLN</t>
    </r>
    <r>
      <rPr>
        <i/>
        <vertAlign val="subscript"/>
        <sz val="9"/>
        <color theme="1"/>
        <rFont val="Arial"/>
        <family val="2"/>
      </rPr>
      <t>ATMF</t>
    </r>
  </si>
  <si>
    <t>Step 4. Analytically calculate the SLN volatility, for the defined strike</t>
  </si>
  <si>
    <t>Step 5. Goal-seek σN to match σSLN, for the defined strike</t>
  </si>
  <si>
    <t>Black76 Volatility (per the log-normal shift), σSLN</t>
  </si>
  <si>
    <t>Normal volatility, σN</t>
  </si>
  <si>
    <r>
      <t>Step 1. Linearly interpolate β, ρ, v, σN</t>
    </r>
    <r>
      <rPr>
        <i/>
        <vertAlign val="subscript"/>
        <sz val="9"/>
        <color theme="1"/>
        <rFont val="Arial"/>
        <family val="2"/>
      </rPr>
      <t>ATMF</t>
    </r>
    <r>
      <rPr>
        <i/>
        <sz val="9"/>
        <color theme="1"/>
        <rFont val="Arial"/>
        <family val="2"/>
      </rPr>
      <t xml:space="preserve"> from SABR term structure</t>
    </r>
  </si>
  <si>
    <t>Volatility calc from Caplet term structure</t>
  </si>
  <si>
    <t>YEARFRAC() Day Count Index</t>
  </si>
  <si>
    <t>Caplet/Floorlet Black76 Valuation</t>
  </si>
  <si>
    <t>Caplet/Floorlet Bachelier Valuation</t>
  </si>
  <si>
    <t>Rho, ρ</t>
  </si>
  <si>
    <r>
      <t xml:space="preserve">VolVol, </t>
    </r>
    <r>
      <rPr>
        <i/>
        <sz val="9"/>
        <color theme="0"/>
        <rFont val="Arial"/>
        <family val="2"/>
      </rPr>
      <t>v</t>
    </r>
  </si>
  <si>
    <r>
      <t xml:space="preserve"> σN</t>
    </r>
    <r>
      <rPr>
        <vertAlign val="subscript"/>
        <sz val="10"/>
        <color theme="0"/>
        <rFont val="Arial"/>
        <family val="2"/>
      </rPr>
      <t>ATMF</t>
    </r>
  </si>
  <si>
    <t>Settlement Date</t>
  </si>
  <si>
    <t>Settlement Delay</t>
  </si>
  <si>
    <t>σSLN</t>
  </si>
  <si>
    <t>Normal vol. implied by Lognormal vol.</t>
  </si>
  <si>
    <t>Alpha, α</t>
  </si>
  <si>
    <t>ATMF Black76 Vol</t>
  </si>
  <si>
    <t>ATMF Normal Vol</t>
  </si>
  <si>
    <t>Caplet Forward Rate</t>
  </si>
  <si>
    <t>bps</t>
  </si>
  <si>
    <t>Market Data Applied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</si>
</sst>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quot;$&quot;* #,##0.00_-;_-&quot;$&quot;* &quot;-&quot;??_-;_-@_-"/>
    <numFmt numFmtId="43" formatCode="_-* #,##0.00_-;\-* #,##0.00_-;_-* &quot;-&quot;??_-;_-@_-"/>
    <numFmt numFmtId="164" formatCode="#,##0_-;\(#,##0\)_-;\-_-"/>
    <numFmt numFmtId="165" formatCode="d\-mmm\-yy_-;;"/>
    <numFmt numFmtId="166" formatCode="0.000%"/>
    <numFmt numFmtId="167" formatCode="0.00000%"/>
    <numFmt numFmtId="168" formatCode="d\-mmm\-yy_-;;\-\ "/>
    <numFmt numFmtId="169" formatCode="_-* #,##0.000_-;\-* #,##0.000_-;_-* &quot;-&quot;??_-;_-@_-"/>
    <numFmt numFmtId="170" formatCode="_-* #,##0.0000_-;\-* #,##0.0000_-;_-* &quot;-&quot;??_-;_-@_-"/>
    <numFmt numFmtId="171" formatCode="_-* #,##0.00000_-;\-* #,##0.00000_-;_-* &quot;-&quot;??_-;_-@_-"/>
    <numFmt numFmtId="172" formatCode="_-* #,##0.000000_-;\-* #,##0.000000_-;_-* &quot;-&quot;??_-;_-@_-"/>
    <numFmt numFmtId="173" formatCode="0.0000%"/>
    <numFmt numFmtId="174" formatCode="0.0%"/>
    <numFmt numFmtId="175" formatCode="ddd\ d\-mmm\-yy_-;;"/>
    <numFmt numFmtId="176" formatCode="_(* #,##0.00_);_(* \(#,##0.00\);_(* &quot;-&quot;??_);_(@_)"/>
    <numFmt numFmtId="177" formatCode="d\-mmm\-yyyy_-;;\-\ "/>
    <numFmt numFmtId="178" formatCode="_-* #,##0.00000_-;\-* #,##0.00000_-;_-* &quot;-&quot;????_-;_-@_-"/>
    <numFmt numFmtId="179" formatCode="_-* #,##0.0000000_-;\-* #,##0.0000000_-;_-* &quot;-&quot;??_-;_-@_-"/>
    <numFmt numFmtId="180" formatCode="0.000000%"/>
    <numFmt numFmtId="181" formatCode="_(&quot;$&quot;* #,##0.00_);_(&quot;$&quot;* \(#,##0.00\);_(&quot;$&quot;* &quot;-&quot;??_);_(@_)"/>
  </numFmts>
  <fonts count="19">
    <font>
      <sz val="9"/>
      <color theme="1"/>
      <name val="Arial"/>
      <family val="2"/>
    </font>
    <font>
      <sz val="9"/>
      <color theme="1"/>
      <name val="Arial"/>
      <family val="2"/>
    </font>
    <font>
      <b/>
      <sz val="9"/>
      <color theme="1"/>
      <name val="Arial"/>
      <family val="2"/>
    </font>
    <font>
      <sz val="11"/>
      <color theme="1"/>
      <name val="Aptos Narrow"/>
      <family val="2"/>
      <scheme val="minor"/>
    </font>
    <font>
      <u/>
      <sz val="9"/>
      <name val="Arial"/>
      <family val="2"/>
    </font>
    <font>
      <sz val="9"/>
      <name val="Arial"/>
      <family val="2"/>
    </font>
    <font>
      <sz val="9"/>
      <color rgb="FF0070C0"/>
      <name val="Arial"/>
      <family val="2"/>
    </font>
    <font>
      <u/>
      <sz val="9"/>
      <color theme="1"/>
      <name val="Arial"/>
      <family val="2"/>
    </font>
    <font>
      <sz val="9"/>
      <color indexed="81"/>
      <name val="Tahoma"/>
      <family val="2"/>
    </font>
    <font>
      <i/>
      <sz val="9"/>
      <color theme="1"/>
      <name val="Arial"/>
      <family val="2"/>
    </font>
    <font>
      <sz val="10"/>
      <color theme="1"/>
      <name val="Arial"/>
      <family val="2"/>
    </font>
    <font>
      <sz val="9"/>
      <color theme="0"/>
      <name val="Arial"/>
      <family val="2"/>
    </font>
    <font>
      <vertAlign val="subscript"/>
      <sz val="9"/>
      <color theme="1"/>
      <name val="Arial"/>
      <family val="2"/>
    </font>
    <font>
      <vertAlign val="superscript"/>
      <sz val="9"/>
      <color theme="1"/>
      <name val="Arial"/>
      <family val="2"/>
    </font>
    <font>
      <b/>
      <sz val="9"/>
      <color indexed="81"/>
      <name val="Tahoma"/>
      <family val="2"/>
    </font>
    <font>
      <i/>
      <vertAlign val="subscript"/>
      <sz val="9"/>
      <color theme="1"/>
      <name val="Arial"/>
      <family val="2"/>
    </font>
    <font>
      <i/>
      <sz val="9"/>
      <color theme="0"/>
      <name val="Arial"/>
      <family val="2"/>
    </font>
    <font>
      <vertAlign val="subscript"/>
      <sz val="10"/>
      <color theme="0"/>
      <name val="Arial"/>
      <family val="2"/>
    </font>
    <font>
      <sz val="9"/>
      <color rgb="FF000000"/>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1"/>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9">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10" fillId="0" borderId="0"/>
    <xf numFmtId="9" fontId="10" fillId="0" borderId="0" applyFont="0" applyFill="0" applyBorder="0" applyAlignment="0" applyProtection="0"/>
    <xf numFmtId="176" fontId="10" fillId="0" borderId="0" applyFont="0" applyFill="0" applyBorder="0" applyAlignment="0" applyProtection="0"/>
    <xf numFmtId="181" fontId="10" fillId="0" borderId="0" applyFont="0" applyFill="0" applyBorder="0" applyAlignment="0" applyProtection="0"/>
  </cellStyleXfs>
  <cellXfs count="151">
    <xf numFmtId="0" fontId="0" fillId="0" borderId="0" xfId="0"/>
    <xf numFmtId="0" fontId="2" fillId="0" borderId="0" xfId="0" applyFont="1"/>
    <xf numFmtId="0" fontId="0" fillId="0" borderId="1" xfId="0" applyBorder="1"/>
    <xf numFmtId="166" fontId="0" fillId="0" borderId="0" xfId="3" applyNumberFormat="1" applyFont="1"/>
    <xf numFmtId="167" fontId="0" fillId="0" borderId="0" xfId="3" applyNumberFormat="1" applyFont="1"/>
    <xf numFmtId="0" fontId="4" fillId="0" borderId="0" xfId="4" applyFont="1"/>
    <xf numFmtId="0" fontId="5" fillId="0" borderId="0" xfId="4" applyFont="1"/>
    <xf numFmtId="0" fontId="0" fillId="0" borderId="4" xfId="0" applyBorder="1"/>
    <xf numFmtId="0" fontId="0" fillId="0" borderId="10" xfId="0" applyBorder="1"/>
    <xf numFmtId="168" fontId="6" fillId="2" borderId="0" xfId="0" applyNumberFormat="1" applyFont="1" applyFill="1"/>
    <xf numFmtId="0" fontId="6" fillId="2" borderId="2" xfId="4" applyFont="1" applyFill="1" applyBorder="1"/>
    <xf numFmtId="0" fontId="5" fillId="0" borderId="2" xfId="4" applyFont="1" applyBorder="1"/>
    <xf numFmtId="10" fontId="0" fillId="0" borderId="0" xfId="3" applyNumberFormat="1" applyFont="1" applyBorder="1"/>
    <xf numFmtId="166" fontId="0" fillId="0" borderId="0" xfId="3" applyNumberFormat="1" applyFont="1" applyBorder="1"/>
    <xf numFmtId="171" fontId="0" fillId="0" borderId="0" xfId="1" applyNumberFormat="1" applyFont="1" applyBorder="1"/>
    <xf numFmtId="171" fontId="0" fillId="0" borderId="0" xfId="1" applyNumberFormat="1" applyFont="1"/>
    <xf numFmtId="172" fontId="0" fillId="0" borderId="0" xfId="1" quotePrefix="1" applyNumberFormat="1" applyFont="1" applyBorder="1"/>
    <xf numFmtId="165" fontId="6" fillId="2" borderId="0" xfId="0" applyNumberFormat="1" applyFont="1" applyFill="1"/>
    <xf numFmtId="0" fontId="0" fillId="0" borderId="5" xfId="0" applyBorder="1"/>
    <xf numFmtId="0" fontId="0" fillId="0" borderId="6" xfId="0" applyBorder="1"/>
    <xf numFmtId="0" fontId="0" fillId="0" borderId="7" xfId="0" applyBorder="1"/>
    <xf numFmtId="0" fontId="0" fillId="0" borderId="8" xfId="0" applyBorder="1"/>
    <xf numFmtId="0" fontId="0" fillId="0" borderId="3" xfId="0" applyBorder="1"/>
    <xf numFmtId="43" fontId="6" fillId="2" borderId="0" xfId="1" applyFont="1" applyFill="1" applyBorder="1"/>
    <xf numFmtId="164" fontId="6" fillId="2" borderId="0" xfId="2" applyNumberFormat="1" applyFont="1" applyFill="1" applyBorder="1"/>
    <xf numFmtId="0" fontId="0" fillId="0" borderId="11" xfId="0" applyBorder="1"/>
    <xf numFmtId="0" fontId="0" fillId="0" borderId="12" xfId="0" applyBorder="1"/>
    <xf numFmtId="10" fontId="0" fillId="0" borderId="6" xfId="0" applyNumberFormat="1" applyBorder="1"/>
    <xf numFmtId="164" fontId="0" fillId="0" borderId="1" xfId="0" applyNumberFormat="1" applyBorder="1"/>
    <xf numFmtId="174" fontId="0" fillId="0" borderId="9" xfId="3" applyNumberFormat="1" applyFont="1" applyBorder="1"/>
    <xf numFmtId="164" fontId="0" fillId="0" borderId="0" xfId="0" applyNumberFormat="1"/>
    <xf numFmtId="10" fontId="0" fillId="0" borderId="9" xfId="3" applyNumberFormat="1" applyFont="1" applyBorder="1"/>
    <xf numFmtId="170" fontId="0" fillId="0" borderId="0" xfId="1" applyNumberFormat="1" applyFont="1"/>
    <xf numFmtId="165" fontId="0" fillId="0" borderId="0" xfId="0" applyNumberFormat="1"/>
    <xf numFmtId="171" fontId="0" fillId="0" borderId="6" xfId="1" applyNumberFormat="1" applyFont="1" applyBorder="1"/>
    <xf numFmtId="171" fontId="6" fillId="2" borderId="0" xfId="1" applyNumberFormat="1" applyFont="1" applyFill="1"/>
    <xf numFmtId="0" fontId="7" fillId="0" borderId="0" xfId="0" applyFont="1"/>
    <xf numFmtId="10" fontId="6" fillId="2" borderId="0" xfId="3" applyNumberFormat="1" applyFont="1" applyFill="1"/>
    <xf numFmtId="175" fontId="0" fillId="0" borderId="0" xfId="0" applyNumberFormat="1"/>
    <xf numFmtId="164" fontId="11" fillId="3" borderId="0" xfId="5" applyNumberFormat="1" applyFont="1" applyFill="1"/>
    <xf numFmtId="164" fontId="0" fillId="0" borderId="0" xfId="7" applyNumberFormat="1" applyFont="1" applyBorder="1"/>
    <xf numFmtId="164" fontId="0" fillId="0" borderId="0" xfId="7" applyNumberFormat="1" applyFont="1"/>
    <xf numFmtId="173" fontId="0" fillId="0" borderId="0" xfId="3" applyNumberFormat="1" applyFont="1"/>
    <xf numFmtId="166" fontId="11" fillId="3" borderId="0" xfId="3" applyNumberFormat="1" applyFont="1" applyFill="1"/>
    <xf numFmtId="165" fontId="11" fillId="3" borderId="0" xfId="5" applyNumberFormat="1" applyFont="1" applyFill="1"/>
    <xf numFmtId="165" fontId="0" fillId="0" borderId="0" xfId="7" applyNumberFormat="1" applyFont="1" applyBorder="1"/>
    <xf numFmtId="165" fontId="0" fillId="0" borderId="0" xfId="7" applyNumberFormat="1" applyFont="1"/>
    <xf numFmtId="170" fontId="11" fillId="3" borderId="0" xfId="1" applyNumberFormat="1" applyFont="1" applyFill="1"/>
    <xf numFmtId="171" fontId="11" fillId="3" borderId="0" xfId="1" applyNumberFormat="1" applyFont="1" applyFill="1"/>
    <xf numFmtId="164" fontId="0" fillId="0" borderId="0" xfId="1" applyNumberFormat="1" applyFont="1"/>
    <xf numFmtId="165" fontId="11" fillId="3" borderId="11" xfId="5" applyNumberFormat="1" applyFont="1" applyFill="1" applyBorder="1"/>
    <xf numFmtId="165" fontId="11" fillId="3" borderId="1" xfId="5" applyNumberFormat="1" applyFont="1" applyFill="1" applyBorder="1"/>
    <xf numFmtId="164" fontId="11" fillId="3" borderId="1" xfId="5" applyNumberFormat="1" applyFont="1" applyFill="1" applyBorder="1"/>
    <xf numFmtId="170" fontId="11" fillId="3" borderId="1" xfId="1" applyNumberFormat="1" applyFont="1" applyFill="1" applyBorder="1" applyProtection="1"/>
    <xf numFmtId="171" fontId="11" fillId="3" borderId="1" xfId="1" applyNumberFormat="1" applyFont="1" applyFill="1" applyBorder="1"/>
    <xf numFmtId="43" fontId="6" fillId="2" borderId="9" xfId="1" applyFont="1" applyFill="1" applyBorder="1"/>
    <xf numFmtId="172" fontId="0" fillId="0" borderId="0" xfId="1" applyNumberFormat="1" applyFont="1"/>
    <xf numFmtId="177" fontId="6" fillId="2" borderId="0" xfId="0" applyNumberFormat="1" applyFont="1" applyFill="1"/>
    <xf numFmtId="0" fontId="6" fillId="2" borderId="1" xfId="0" applyFont="1" applyFill="1" applyBorder="1"/>
    <xf numFmtId="166" fontId="0" fillId="0" borderId="5" xfId="3" applyNumberFormat="1" applyFont="1" applyBorder="1" applyAlignment="1">
      <alignment horizontal="centerContinuous"/>
    </xf>
    <xf numFmtId="166" fontId="11" fillId="3" borderId="11" xfId="3" applyNumberFormat="1" applyFont="1" applyFill="1" applyBorder="1"/>
    <xf numFmtId="166" fontId="11" fillId="3" borderId="1" xfId="3" applyNumberFormat="1" applyFont="1" applyFill="1" applyBorder="1"/>
    <xf numFmtId="172" fontId="11" fillId="3" borderId="1" xfId="1" applyNumberFormat="1" applyFont="1" applyFill="1" applyBorder="1"/>
    <xf numFmtId="0" fontId="0" fillId="0" borderId="11" xfId="0" applyBorder="1" applyAlignment="1">
      <alignment vertical="center"/>
    </xf>
    <xf numFmtId="0" fontId="0" fillId="0" borderId="3" xfId="0" applyBorder="1" applyAlignment="1">
      <alignment vertical="center"/>
    </xf>
    <xf numFmtId="10" fontId="0" fillId="0" borderId="0" xfId="3" quotePrefix="1" applyNumberFormat="1" applyFont="1" applyBorder="1"/>
    <xf numFmtId="173" fontId="0" fillId="0" borderId="9" xfId="3" applyNumberFormat="1" applyFont="1" applyBorder="1"/>
    <xf numFmtId="169" fontId="0" fillId="0" borderId="0" xfId="1" applyNumberFormat="1" applyFont="1" applyBorder="1"/>
    <xf numFmtId="170" fontId="0" fillId="0" borderId="0" xfId="1" applyNumberFormat="1" applyFont="1" applyBorder="1"/>
    <xf numFmtId="171" fontId="6" fillId="2" borderId="1" xfId="1" applyNumberFormat="1" applyFont="1" applyFill="1" applyBorder="1"/>
    <xf numFmtId="171" fontId="6" fillId="2" borderId="0" xfId="1" applyNumberFormat="1" applyFont="1" applyFill="1" applyBorder="1"/>
    <xf numFmtId="168" fontId="6" fillId="2" borderId="1" xfId="0" applyNumberFormat="1" applyFont="1" applyFill="1" applyBorder="1"/>
    <xf numFmtId="169" fontId="6" fillId="2" borderId="0" xfId="1" applyNumberFormat="1" applyFont="1" applyFill="1" applyBorder="1"/>
    <xf numFmtId="0" fontId="2" fillId="0" borderId="0" xfId="0" applyFont="1" applyAlignment="1">
      <alignment horizontal="centerContinuous"/>
    </xf>
    <xf numFmtId="0" fontId="0" fillId="0" borderId="0" xfId="0" applyAlignment="1">
      <alignment horizontal="centerContinuous"/>
    </xf>
    <xf numFmtId="173" fontId="0" fillId="0" borderId="10" xfId="3" applyNumberFormat="1" applyFont="1" applyBorder="1" applyAlignment="1">
      <alignment horizontal="centerContinuous"/>
    </xf>
    <xf numFmtId="173" fontId="11" fillId="3" borderId="12" xfId="3" applyNumberFormat="1" applyFont="1" applyFill="1" applyBorder="1" applyProtection="1"/>
    <xf numFmtId="173" fontId="0" fillId="0" borderId="0" xfId="3" applyNumberFormat="1" applyFont="1" applyBorder="1"/>
    <xf numFmtId="173" fontId="0" fillId="0" borderId="0" xfId="3" applyNumberFormat="1" applyFont="1" applyAlignment="1">
      <alignment horizontal="centerContinuous"/>
    </xf>
    <xf numFmtId="173" fontId="0" fillId="0" borderId="12" xfId="3" applyNumberFormat="1" applyFont="1" applyBorder="1"/>
    <xf numFmtId="171" fontId="6" fillId="2" borderId="9" xfId="1" applyNumberFormat="1" applyFont="1" applyFill="1" applyBorder="1"/>
    <xf numFmtId="179" fontId="0" fillId="0" borderId="0" xfId="1" quotePrefix="1" applyNumberFormat="1" applyFont="1" applyBorder="1"/>
    <xf numFmtId="173" fontId="0" fillId="0" borderId="0" xfId="0" applyNumberFormat="1"/>
    <xf numFmtId="180" fontId="0" fillId="0" borderId="0" xfId="3" applyNumberFormat="1" applyFont="1" applyBorder="1"/>
    <xf numFmtId="173" fontId="11" fillId="3" borderId="0" xfId="3" applyNumberFormat="1" applyFont="1" applyFill="1"/>
    <xf numFmtId="165" fontId="0" fillId="0" borderId="0" xfId="1" applyNumberFormat="1" applyFont="1"/>
    <xf numFmtId="179" fontId="0" fillId="0" borderId="0" xfId="1" applyNumberFormat="1" applyFont="1"/>
    <xf numFmtId="179" fontId="11" fillId="3" borderId="0" xfId="1" applyNumberFormat="1" applyFont="1" applyFill="1"/>
    <xf numFmtId="169" fontId="6" fillId="2" borderId="1" xfId="1" applyNumberFormat="1" applyFont="1" applyFill="1" applyBorder="1"/>
    <xf numFmtId="171" fontId="0" fillId="0" borderId="5" xfId="1" applyNumberFormat="1" applyFont="1" applyBorder="1" applyAlignment="1">
      <alignment horizontal="centerContinuous"/>
    </xf>
    <xf numFmtId="171" fontId="0" fillId="0" borderId="0" xfId="1" applyNumberFormat="1" applyFont="1" applyAlignment="1">
      <alignment horizontal="centerContinuous"/>
    </xf>
    <xf numFmtId="170" fontId="0" fillId="0" borderId="9" xfId="1" applyNumberFormat="1" applyFont="1" applyBorder="1" applyAlignment="1">
      <alignment horizontal="centerContinuous"/>
    </xf>
    <xf numFmtId="171" fontId="0" fillId="0" borderId="9" xfId="1" applyNumberFormat="1" applyFont="1" applyBorder="1" applyAlignment="1">
      <alignment horizontal="centerContinuous"/>
    </xf>
    <xf numFmtId="0" fontId="1" fillId="0" borderId="7" xfId="5" applyFont="1" applyBorder="1"/>
    <xf numFmtId="10" fontId="1" fillId="0" borderId="6" xfId="5" applyNumberFormat="1" applyFont="1" applyBorder="1"/>
    <xf numFmtId="0" fontId="6" fillId="2" borderId="0" xfId="0" applyFont="1" applyFill="1"/>
    <xf numFmtId="169" fontId="0" fillId="0" borderId="0" xfId="1" applyNumberFormat="1" applyFont="1"/>
    <xf numFmtId="0" fontId="0" fillId="0" borderId="2" xfId="0" applyBorder="1"/>
    <xf numFmtId="10" fontId="6" fillId="2" borderId="2" xfId="3" applyNumberFormat="1" applyFont="1" applyFill="1" applyBorder="1"/>
    <xf numFmtId="0" fontId="2" fillId="0" borderId="0" xfId="0" applyFont="1" applyAlignment="1">
      <alignment horizontal="left"/>
    </xf>
    <xf numFmtId="0" fontId="9" fillId="0" borderId="3" xfId="0" applyFont="1" applyBorder="1"/>
    <xf numFmtId="10" fontId="0" fillId="0" borderId="4" xfId="3" applyNumberFormat="1" applyFont="1" applyFill="1" applyBorder="1"/>
    <xf numFmtId="172" fontId="0" fillId="0" borderId="12" xfId="1" applyNumberFormat="1" applyFont="1" applyBorder="1"/>
    <xf numFmtId="10" fontId="0" fillId="0" borderId="12" xfId="3" applyNumberFormat="1" applyFont="1" applyBorder="1"/>
    <xf numFmtId="10" fontId="0" fillId="0" borderId="12" xfId="3" applyNumberFormat="1" applyFont="1" applyFill="1" applyBorder="1"/>
    <xf numFmtId="10" fontId="0" fillId="0" borderId="5" xfId="0" applyNumberFormat="1" applyBorder="1"/>
    <xf numFmtId="178" fontId="0" fillId="0" borderId="3" xfId="0" applyNumberFormat="1" applyBorder="1"/>
    <xf numFmtId="171" fontId="0" fillId="0" borderId="11" xfId="1" applyNumberFormat="1" applyFont="1" applyBorder="1"/>
    <xf numFmtId="10" fontId="0" fillId="0" borderId="9" xfId="0" applyNumberFormat="1" applyBorder="1"/>
    <xf numFmtId="167" fontId="0" fillId="0" borderId="0" xfId="3" applyNumberFormat="1" applyFont="1" applyBorder="1"/>
    <xf numFmtId="164" fontId="0" fillId="0" borderId="5" xfId="0" applyNumberFormat="1" applyBorder="1" applyAlignment="1">
      <alignment horizontal="centerContinuous"/>
    </xf>
    <xf numFmtId="165" fontId="0" fillId="0" borderId="6" xfId="0" applyNumberFormat="1" applyBorder="1" applyAlignment="1">
      <alignment horizontal="centerContinuous"/>
    </xf>
    <xf numFmtId="170" fontId="0" fillId="0" borderId="6" xfId="1" applyNumberFormat="1" applyFont="1" applyBorder="1" applyAlignment="1">
      <alignment horizontal="centerContinuous"/>
    </xf>
    <xf numFmtId="173" fontId="0" fillId="0" borderId="6" xfId="3" applyNumberFormat="1" applyFont="1" applyBorder="1" applyAlignment="1">
      <alignment horizontal="centerContinuous"/>
    </xf>
    <xf numFmtId="171" fontId="0" fillId="0" borderId="7" xfId="1" applyNumberFormat="1" applyFont="1" applyBorder="1" applyAlignment="1">
      <alignment horizontal="centerContinuous"/>
    </xf>
    <xf numFmtId="0" fontId="0" fillId="0" borderId="8" xfId="0" applyBorder="1" applyAlignment="1">
      <alignment horizontal="centerContinuous"/>
    </xf>
    <xf numFmtId="0" fontId="0" fillId="0" borderId="9" xfId="0" applyBorder="1" applyAlignment="1">
      <alignment horizontal="centerContinuous"/>
    </xf>
    <xf numFmtId="164" fontId="0" fillId="0" borderId="9" xfId="0" applyNumberFormat="1" applyBorder="1" applyAlignment="1">
      <alignment horizontal="centerContinuous"/>
    </xf>
    <xf numFmtId="43" fontId="0" fillId="0" borderId="8" xfId="1" applyFont="1" applyBorder="1"/>
    <xf numFmtId="172" fontId="0" fillId="0" borderId="4" xfId="1" applyNumberFormat="1" applyFont="1" applyFill="1" applyBorder="1"/>
    <xf numFmtId="170" fontId="0" fillId="0" borderId="4" xfId="1" applyNumberFormat="1" applyFont="1" applyBorder="1"/>
    <xf numFmtId="172" fontId="0" fillId="0" borderId="4" xfId="1" applyNumberFormat="1" applyFont="1" applyBorder="1"/>
    <xf numFmtId="0" fontId="0" fillId="0" borderId="0" xfId="0" applyAlignment="1">
      <alignment horizontal="right" indent="2"/>
    </xf>
    <xf numFmtId="174" fontId="0" fillId="0" borderId="0" xfId="3" applyNumberFormat="1" applyFont="1" applyBorder="1"/>
    <xf numFmtId="172" fontId="0" fillId="0" borderId="2" xfId="1" applyNumberFormat="1" applyFont="1" applyBorder="1" applyAlignment="1">
      <alignment horizontal="centerContinuous"/>
    </xf>
    <xf numFmtId="179" fontId="0" fillId="0" borderId="7" xfId="1" applyNumberFormat="1" applyFont="1" applyBorder="1" applyAlignment="1">
      <alignment horizontal="centerContinuous"/>
    </xf>
    <xf numFmtId="166" fontId="0" fillId="0" borderId="0" xfId="1" applyNumberFormat="1" applyFont="1"/>
    <xf numFmtId="171" fontId="0" fillId="0" borderId="0" xfId="1" quotePrefix="1" applyNumberFormat="1" applyFont="1" applyBorder="1"/>
    <xf numFmtId="43" fontId="0" fillId="0" borderId="1" xfId="1" applyFont="1" applyBorder="1"/>
    <xf numFmtId="170" fontId="5" fillId="0" borderId="0" xfId="1" applyNumberFormat="1" applyFont="1" applyFill="1"/>
    <xf numFmtId="0" fontId="0" fillId="0" borderId="5" xfId="0" applyBorder="1" applyAlignment="1">
      <alignment horizontal="center"/>
    </xf>
    <xf numFmtId="0" fontId="0" fillId="0" borderId="6" xfId="0" applyBorder="1" applyAlignment="1">
      <alignment horizontal="center"/>
    </xf>
    <xf numFmtId="0" fontId="2" fillId="0" borderId="0" xfId="0" applyFont="1" applyAlignment="1">
      <alignment horizontal="center"/>
    </xf>
    <xf numFmtId="0" fontId="0" fillId="0" borderId="3" xfId="0" applyBorder="1" applyAlignment="1">
      <alignment horizontal="right" indent="1"/>
    </xf>
    <xf numFmtId="0" fontId="0" fillId="0" borderId="0" xfId="0" applyAlignment="1">
      <alignment horizontal="right" indent="1"/>
    </xf>
    <xf numFmtId="0" fontId="0" fillId="0" borderId="11" xfId="0" applyBorder="1" applyAlignment="1">
      <alignment horizontal="right" indent="1"/>
    </xf>
    <xf numFmtId="0" fontId="0" fillId="0" borderId="1" xfId="0" applyBorder="1" applyAlignment="1">
      <alignment horizontal="right" indent="1"/>
    </xf>
    <xf numFmtId="0" fontId="9" fillId="0" borderId="8" xfId="0" applyFont="1" applyBorder="1" applyAlignment="1">
      <alignment horizontal="left" indent="1"/>
    </xf>
    <xf numFmtId="0" fontId="9" fillId="0" borderId="9" xfId="0" applyFont="1" applyBorder="1" applyAlignment="1">
      <alignment horizontal="left" indent="1"/>
    </xf>
    <xf numFmtId="0" fontId="9" fillId="0" borderId="10" xfId="0" applyFont="1" applyBorder="1" applyAlignment="1">
      <alignment horizontal="left" indent="1"/>
    </xf>
    <xf numFmtId="0" fontId="2" fillId="0" borderId="0" xfId="0" applyFont="1" applyAlignment="1">
      <alignment horizontal="left"/>
    </xf>
    <xf numFmtId="0" fontId="0" fillId="0" borderId="11" xfId="0" applyBorder="1" applyAlignment="1">
      <alignment horizontal="left"/>
    </xf>
    <xf numFmtId="0" fontId="0" fillId="0" borderId="1" xfId="0" applyBorder="1" applyAlignment="1">
      <alignment horizontal="left"/>
    </xf>
    <xf numFmtId="0" fontId="0" fillId="0" borderId="8" xfId="0" applyBorder="1" applyAlignment="1">
      <alignment horizontal="left" vertical="center"/>
    </xf>
    <xf numFmtId="0" fontId="0" fillId="0" borderId="3" xfId="0" applyBorder="1" applyAlignment="1">
      <alignment horizontal="left" vertical="center"/>
    </xf>
    <xf numFmtId="0" fontId="0" fillId="0" borderId="3" xfId="0" applyBorder="1" applyAlignment="1">
      <alignment horizontal="left"/>
    </xf>
    <xf numFmtId="0" fontId="0" fillId="0" borderId="0" xfId="0" applyAlignment="1">
      <alignment horizontal="left"/>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169" fontId="0" fillId="0" borderId="1" xfId="1" applyNumberFormat="1" applyFont="1" applyBorder="1"/>
  </cellXfs>
  <cellStyles count="9">
    <cellStyle name="Comma" xfId="1" builtinId="3"/>
    <cellStyle name="Comma 3" xfId="7" xr:uid="{7E09BF1C-2123-4C03-BB99-5B82BCB58F65}"/>
    <cellStyle name="Currency" xfId="2" builtinId="4"/>
    <cellStyle name="Currency 2" xfId="8" xr:uid="{436AA71E-FC87-4CFD-B298-49F6F8E18A57}"/>
    <cellStyle name="Normal" xfId="0" builtinId="0"/>
    <cellStyle name="Normal 2" xfId="4" xr:uid="{0D23E0CD-E486-4B07-AF82-C2DC3FA32D21}"/>
    <cellStyle name="Normal 3" xfId="5" xr:uid="{CFEA68E7-40E6-437A-B9FD-FA182B70F4D0}"/>
    <cellStyle name="Percent" xfId="3" builtinId="5"/>
    <cellStyle name="Percent 3" xfId="6" xr:uid="{95ACC6A9-7A12-47F2-BACD-A860415DFB42}"/>
  </cellStyles>
  <dxfs count="24">
    <dxf>
      <font>
        <b val="0"/>
        <i val="0"/>
        <strike val="0"/>
        <condense val="0"/>
        <extend val="0"/>
        <outline val="0"/>
        <shadow val="0"/>
        <u val="none"/>
        <vertAlign val="baseline"/>
        <sz val="9"/>
        <color theme="1"/>
        <name val="Arial"/>
        <family val="2"/>
        <scheme val="none"/>
      </font>
      <numFmt numFmtId="167" formatCode="0.00000%"/>
    </dxf>
    <dxf>
      <font>
        <b val="0"/>
        <i val="0"/>
        <strike val="0"/>
        <condense val="0"/>
        <extend val="0"/>
        <outline val="0"/>
        <shadow val="0"/>
        <u val="none"/>
        <vertAlign val="baseline"/>
        <sz val="9"/>
        <color rgb="FF0070C0"/>
        <name val="Arial"/>
        <family val="2"/>
        <scheme val="none"/>
      </font>
      <numFmt numFmtId="169" formatCode="_-* #,##0.000_-;\-* #,##0.000_-;_-* &quot;-&quot;??_-;_-@_-"/>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4" formatCode="0.00%"/>
      <fill>
        <patternFill patternType="solid">
          <fgColor indexed="64"/>
          <bgColor theme="7" tint="0.79998168889431442"/>
        </patternFill>
      </fill>
    </dxf>
    <dxf>
      <numFmt numFmtId="175" formatCode="ddd\ d\-mmm\-yy_-;;"/>
    </dxf>
    <dxf>
      <numFmt numFmtId="175" formatCode="ddd\ d\-mmm\-yy_-;;"/>
    </dxf>
    <dxf>
      <font>
        <b val="0"/>
        <i val="0"/>
        <strike val="0"/>
        <condense val="0"/>
        <extend val="0"/>
        <outline val="0"/>
        <shadow val="0"/>
        <u val="none"/>
        <vertAlign val="baseline"/>
        <sz val="9"/>
        <color rgb="FF0070C0"/>
        <name val="Arial"/>
        <family val="2"/>
        <scheme val="none"/>
      </font>
      <numFmt numFmtId="169" formatCode="_-* #,##0.000_-;\-* #,##0.000_-;_-* &quot;-&quot;??_-;_-@_-"/>
      <fill>
        <patternFill patternType="solid">
          <fgColor indexed="64"/>
          <bgColor theme="7" tint="0.79998168889431442"/>
        </patternFill>
      </fill>
    </dxf>
    <dxf>
      <font>
        <strike val="0"/>
        <outline val="0"/>
        <shadow val="0"/>
        <u val="none"/>
        <vertAlign val="baseline"/>
        <sz val="9"/>
        <color rgb="FF0070C0"/>
        <name val="Arial"/>
        <family val="2"/>
        <scheme val="none"/>
      </font>
      <fill>
        <patternFill patternType="solid">
          <fgColor indexed="64"/>
          <bgColor theme="7" tint="0.79998168889431442"/>
        </patternFill>
      </fill>
    </dxf>
    <dxf>
      <font>
        <strike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rgb="FF0070C0"/>
        <name val="Arial"/>
        <family val="2"/>
        <scheme val="none"/>
      </font>
      <numFmt numFmtId="171" formatCode="_-* #,##0.00000_-;\-* #,##0.00000_-;_-* &quot;-&quot;??_-;_-@_-"/>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5" formatCode="d\-mmm\-yy_-;;"/>
      <fill>
        <patternFill patternType="solid">
          <fgColor indexed="64"/>
          <bgColor theme="7" tint="0.79998168889431442"/>
        </patternFill>
      </fill>
    </dxf>
    <dxf>
      <font>
        <b val="0"/>
        <i val="0"/>
        <strike val="0"/>
        <condense val="0"/>
        <extend val="0"/>
        <outline val="0"/>
        <shadow val="0"/>
        <u val="none"/>
        <vertAlign val="baseline"/>
        <sz val="9"/>
        <color auto="1"/>
        <name val="Arial"/>
        <family val="2"/>
        <scheme val="none"/>
      </font>
      <numFmt numFmtId="170" formatCode="_-* #,##0.0000_-;\-* #,##0.0000_-;_-* &quot;-&quot;??_-;_-@_-"/>
      <fill>
        <patternFill patternType="none">
          <fgColor indexed="64"/>
          <bgColor auto="1"/>
        </patternFill>
      </fill>
    </dxf>
    <dxf>
      <font>
        <strike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rgb="FF0070C0"/>
        <name val="Arial"/>
        <family val="2"/>
        <scheme val="none"/>
      </font>
      <numFmt numFmtId="171" formatCode="_-* #,##0.00000_-;\-* #,##0.00000_-;_-* &quot;-&quot;??_-;_-@_-"/>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5" formatCode="d\-mmm\-yy_-;;"/>
      <fill>
        <patternFill patternType="solid">
          <fgColor indexed="64"/>
          <bgColor theme="7" tint="0.79998168889431442"/>
        </patternFill>
      </fill>
    </dxf>
    <dxf>
      <font>
        <b val="0"/>
        <i val="0"/>
        <strike val="0"/>
        <condense val="0"/>
        <extend val="0"/>
        <outline val="0"/>
        <shadow val="0"/>
        <u val="none"/>
        <vertAlign val="baseline"/>
        <sz val="9"/>
        <color auto="1"/>
        <name val="Arial"/>
        <family val="2"/>
        <scheme val="none"/>
      </font>
      <numFmt numFmtId="170" formatCode="_-* #,##0.0000_-;\-* #,##0.0000_-;_-* &quot;-&quot;??_-;_-@_-"/>
      <fill>
        <patternFill patternType="none">
          <fgColor indexed="64"/>
          <bgColor auto="1"/>
        </patternFill>
      </fill>
    </dxf>
    <dxf>
      <font>
        <strike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3</xdr:row>
          <xdr:rowOff>0</xdr:rowOff>
        </xdr:from>
        <xdr:to>
          <xdr:col>7</xdr:col>
          <xdr:colOff>781050</xdr:colOff>
          <xdr:row>4</xdr:row>
          <xdr:rowOff>66675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100-00000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Update term structure calcs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152399</xdr:rowOff>
    </xdr:from>
    <xdr:to>
      <xdr:col>18</xdr:col>
      <xdr:colOff>571500</xdr:colOff>
      <xdr:row>17</xdr:row>
      <xdr:rowOff>9525</xdr:rowOff>
    </xdr:to>
    <xdr:sp macro="" textlink="">
      <xdr:nvSpPr>
        <xdr:cNvPr id="2" name="TextBox 1">
          <a:extLst>
            <a:ext uri="{FF2B5EF4-FFF2-40B4-BE49-F238E27FC236}">
              <a16:creationId xmlns:a16="http://schemas.microsoft.com/office/drawing/2014/main" id="{1CFB6483-1EEF-4084-92E8-6D7036EDB880}"/>
            </a:ext>
          </a:extLst>
        </xdr:cNvPr>
        <xdr:cNvSpPr txBox="1"/>
      </xdr:nvSpPr>
      <xdr:spPr>
        <a:xfrm>
          <a:off x="1219200" y="304799"/>
          <a:ext cx="10934700" cy="2295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900" u="sng">
              <a:latin typeface="Arial" panose="020B0604020202020204" pitchFamily="34" charset="0"/>
              <a:cs typeface="Arial" panose="020B0604020202020204" pitchFamily="34" charset="0"/>
            </a:rPr>
            <a:t>General</a:t>
          </a:r>
          <a:r>
            <a:rPr lang="en-NZ" sz="900" u="sng" baseline="0">
              <a:latin typeface="Arial" panose="020B0604020202020204" pitchFamily="34" charset="0"/>
              <a:cs typeface="Arial" panose="020B0604020202020204" pitchFamily="34" charset="0"/>
            </a:rPr>
            <a:t> valuation assumptions (made for simplicity)</a:t>
          </a:r>
        </a:p>
        <a:p>
          <a:r>
            <a:rPr lang="en-NZ" sz="900" u="none" baseline="0">
              <a:latin typeface="Arial" panose="020B0604020202020204" pitchFamily="34" charset="0"/>
              <a:cs typeface="Arial" panose="020B0604020202020204" pitchFamily="34" charset="0"/>
            </a:rPr>
            <a:t>- The caplets are priced with the Black76 / Bacheliers formulae. </a:t>
          </a:r>
          <a:endParaRPr lang="en-NZ" sz="900" u="none">
            <a:latin typeface="Arial" panose="020B0604020202020204" pitchFamily="34" charset="0"/>
            <a:cs typeface="Arial" panose="020B0604020202020204" pitchFamily="34" charset="0"/>
          </a:endParaRPr>
        </a:p>
        <a:p>
          <a:r>
            <a:rPr lang="en-NZ" sz="900" u="none">
              <a:latin typeface="Arial" panose="020B0604020202020204" pitchFamily="34" charset="0"/>
              <a:cs typeface="Arial" panose="020B0604020202020204" pitchFamily="34" charset="0"/>
            </a:rPr>
            <a:t>- Inadvance fixing with a nil (0) fixing offset</a:t>
          </a:r>
        </a:p>
        <a:p>
          <a:r>
            <a:rPr lang="en-NZ" sz="900" u="none">
              <a:latin typeface="Arial" panose="020B0604020202020204" pitchFamily="34" charset="0"/>
              <a:cs typeface="Arial" panose="020B0604020202020204" pitchFamily="34" charset="0"/>
            </a:rPr>
            <a:t>- In arrears payments </a:t>
          </a:r>
        </a:p>
        <a:p>
          <a:r>
            <a:rPr lang="en-NZ" sz="900" u="none">
              <a:latin typeface="Arial" panose="020B0604020202020204" pitchFamily="34" charset="0"/>
              <a:cs typeface="Arial" panose="020B0604020202020204" pitchFamily="34" charset="0"/>
            </a:rPr>
            <a:t>- Forward rates calculated</a:t>
          </a:r>
          <a:r>
            <a:rPr lang="en-NZ" sz="900" u="none" baseline="0">
              <a:latin typeface="Arial" panose="020B0604020202020204" pitchFamily="34" charset="0"/>
              <a:cs typeface="Arial" panose="020B0604020202020204" pitchFamily="34" charset="0"/>
            </a:rPr>
            <a:t> per a simple interest rate methodology.</a:t>
          </a:r>
        </a:p>
        <a:p>
          <a:r>
            <a:rPr lang="en-NZ" sz="900" u="none" baseline="0">
              <a:latin typeface="Arial" panose="020B0604020202020204" pitchFamily="34" charset="0"/>
              <a:cs typeface="Arial" panose="020B0604020202020204" pitchFamily="34" charset="0"/>
            </a:rPr>
            <a:t>  Note, for simple interest forward rates are equivalent to daily compounded rates (applicable for RFRs)</a:t>
          </a:r>
        </a:p>
        <a:p>
          <a:endParaRPr lang="en-NZ" sz="900" u="none" baseline="0">
            <a:latin typeface="Arial" panose="020B0604020202020204" pitchFamily="34" charset="0"/>
            <a:cs typeface="Arial" panose="020B0604020202020204" pitchFamily="34" charset="0"/>
          </a:endParaRPr>
        </a:p>
        <a:p>
          <a:r>
            <a:rPr lang="en-NZ" sz="900" u="sng" baseline="0">
              <a:latin typeface="Arial" panose="020B0604020202020204" pitchFamily="34" charset="0"/>
              <a:cs typeface="Arial" panose="020B0604020202020204" pitchFamily="34" charset="0"/>
            </a:rPr>
            <a:t>SABR caplet term structure interpolation. </a:t>
          </a:r>
        </a:p>
        <a:p>
          <a:r>
            <a:rPr lang="en-NZ" sz="900" u="none">
              <a:latin typeface="Arial" panose="020B0604020202020204" pitchFamily="34" charset="0"/>
              <a:cs typeface="Arial" panose="020B0604020202020204" pitchFamily="34" charset="0"/>
            </a:rPr>
            <a:t>We </a:t>
          </a:r>
          <a:r>
            <a:rPr lang="en-NZ" sz="900" u="none" baseline="0">
              <a:latin typeface="Arial" panose="020B0604020202020204" pitchFamily="34" charset="0"/>
              <a:cs typeface="Arial" panose="020B0604020202020204" pitchFamily="34" charset="0"/>
            </a:rPr>
            <a:t>linearly interpolate beta, rho, volatility of volatility and the at-the-money forward </a:t>
          </a:r>
          <a:r>
            <a:rPr lang="en-NZ" sz="900" u="sng" baseline="0">
              <a:latin typeface="Arial" panose="020B0604020202020204" pitchFamily="34" charset="0"/>
              <a:cs typeface="Arial" panose="020B0604020202020204" pitchFamily="34" charset="0"/>
            </a:rPr>
            <a:t>normal</a:t>
          </a:r>
          <a:r>
            <a:rPr lang="en-NZ" sz="900" u="none" baseline="0">
              <a:latin typeface="Arial" panose="020B0604020202020204" pitchFamily="34" charset="0"/>
              <a:cs typeface="Arial" panose="020B0604020202020204" pitchFamily="34" charset="0"/>
            </a:rPr>
            <a:t> volatility.</a:t>
          </a:r>
        </a:p>
        <a:p>
          <a:r>
            <a:rPr lang="en-NZ" sz="900" u="none" baseline="0">
              <a:latin typeface="Arial" panose="020B0604020202020204" pitchFamily="34" charset="0"/>
              <a:cs typeface="Arial" panose="020B0604020202020204" pitchFamily="34" charset="0"/>
            </a:rPr>
            <a:t>The at-the-money forward lognormal volatility is analytically calculated from the at-the-money forward normal volatility from algebra equating Black76 and Bacheliers formulae for European options.</a:t>
          </a:r>
        </a:p>
        <a:p>
          <a:r>
            <a:rPr lang="en-NZ" sz="900" u="none">
              <a:latin typeface="Arial" panose="020B0604020202020204" pitchFamily="34" charset="0"/>
              <a:cs typeface="Arial" panose="020B0604020202020204" pitchFamily="34" charset="0"/>
            </a:rPr>
            <a:t>Alpha</a:t>
          </a:r>
          <a:r>
            <a:rPr lang="en-NZ" sz="900" u="none" baseline="0">
              <a:latin typeface="Arial" panose="020B0604020202020204" pitchFamily="34" charset="0"/>
              <a:cs typeface="Arial" panose="020B0604020202020204" pitchFamily="34" charset="0"/>
            </a:rPr>
            <a:t> is numerically calculated (by goal seek) from these parameters, as they are related by a cubic polynomial (in alpha). </a:t>
          </a:r>
        </a:p>
        <a:p>
          <a:endParaRPr lang="en-NZ" sz="900" u="none" baseline="0">
            <a:latin typeface="Arial" panose="020B0604020202020204" pitchFamily="34" charset="0"/>
            <a:cs typeface="Arial" panose="020B0604020202020204" pitchFamily="34" charset="0"/>
          </a:endParaRPr>
        </a:p>
        <a:p>
          <a:r>
            <a:rPr lang="en-NZ" sz="900" u="sng">
              <a:latin typeface="Arial" panose="020B0604020202020204" pitchFamily="34" charset="0"/>
              <a:cs typeface="Arial" panose="020B0604020202020204" pitchFamily="34" charset="0"/>
            </a:rPr>
            <a:t>SABR caplet term structure construction</a:t>
          </a:r>
          <a:r>
            <a:rPr lang="en-NZ" sz="900" u="none">
              <a:latin typeface="Arial" panose="020B0604020202020204" pitchFamily="34" charset="0"/>
              <a:cs typeface="Arial" panose="020B0604020202020204" pitchFamily="34" charset="0"/>
            </a:rPr>
            <a:t>.</a:t>
          </a:r>
        </a:p>
        <a:p>
          <a:r>
            <a:rPr lang="en-NZ" sz="900" u="none">
              <a:latin typeface="Arial" panose="020B0604020202020204" pitchFamily="34" charset="0"/>
              <a:cs typeface="Arial" panose="020B0604020202020204" pitchFamily="34" charset="0"/>
            </a:rPr>
            <a:t>The caplet term structure construction must be performed outside the model</a:t>
          </a:r>
          <a:r>
            <a:rPr lang="en-NZ" sz="900" u="none" baseline="0">
              <a:latin typeface="Arial" panose="020B0604020202020204" pitchFamily="34" charset="0"/>
              <a:cs typeface="Arial" panose="020B0604020202020204" pitchFamily="34" charset="0"/>
            </a:rPr>
            <a:t> as it is not suited to an excel/VBA implementation. </a:t>
          </a:r>
        </a:p>
        <a:p>
          <a:r>
            <a:rPr lang="en-NZ" sz="900" u="none" baseline="0">
              <a:latin typeface="Arial" panose="020B0604020202020204" pitchFamily="34" charset="0"/>
              <a:cs typeface="Arial" panose="020B0604020202020204" pitchFamily="34" charset="0"/>
            </a:rPr>
            <a:t>Please visit https://github.com/shasafoster/frm/ for python solution. </a:t>
          </a:r>
          <a:endParaRPr lang="en-NZ" sz="900" u="none">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D2C0F6-F734-4D24-8B9D-41D2DED17BC1}" name="ForwardCurve" displayName="ForwardCurve" ref="B28:D51" totalsRowShown="0" headerRowDxfId="23" dataDxfId="22">
  <autoFilter ref="B28:D51" xr:uid="{57D2C0F6-F734-4D24-8B9D-41D2DED17BC1}"/>
  <tableColumns count="3">
    <tableColumn id="4" xr3:uid="{39BCDF6D-C6B9-4EFE-95D3-637C8798A80A}" name="Years" dataDxfId="21" dataCellStyle="Comma">
      <calculatedColumnFormula>YEARFRAC(CurveDate,ForwardCurve[[#This Row],[Date]],1)</calculatedColumnFormula>
    </tableColumn>
    <tableColumn id="1" xr3:uid="{6AAB3171-DF90-4589-A05D-2B09593419F2}" name="Date" dataDxfId="20"/>
    <tableColumn id="2" xr3:uid="{F78F22F5-5FA0-41CD-BBEF-5BEBBA2DA84E}" name="Discount Factor" dataDxfId="19" dataCellStyle="Comma">
      <calculatedColumnFormula>EXP(-4%*ForwardCurve[[#This Row],[Years]])</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9EEA49-512D-4212-9CC3-E1703B8D3DFB}" name="DiscountCurve" displayName="DiscountCurve" ref="F28:H51" totalsRowShown="0" headerRowDxfId="18" dataDxfId="17">
  <autoFilter ref="F28:H51" xr:uid="{6F9EEA49-512D-4212-9CC3-E1703B8D3DFB}"/>
  <tableColumns count="3">
    <tableColumn id="4" xr3:uid="{F6A6812F-5AF0-4EF5-999A-E57EA81223DB}" name="Years" dataDxfId="16" dataCellStyle="Comma">
      <calculatedColumnFormula>YEARFRAC(CurveDate,DiscountCurve[[#This Row],[Date]],1)</calculatedColumnFormula>
    </tableColumn>
    <tableColumn id="1" xr3:uid="{760E4E6D-A978-448B-8B26-79EF25953356}" name="Date" dataDxfId="15"/>
    <tableColumn id="2" xr3:uid="{80B19E30-71C9-4EA3-8644-0BE6C3550C99}" name="Discount Factor" dataDxfId="14" dataCellStyle="Comma">
      <calculatedColumnFormula>EXP(-4%*DiscountCurve[[#This Row],[Years]])</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DDF0B3-33CC-4326-91FC-55D6B356308B}" name="CapletSABRFit" displayName="CapletSABRFit" ref="B14:N25" totalsRowShown="0" dataDxfId="13" dataCellStyle="Percent">
  <autoFilter ref="B14:N25" xr:uid="{2DDDF0B3-33CC-4326-91FC-55D6B356308B}"/>
  <tableColumns count="13">
    <tableColumn id="1" xr3:uid="{CB8750D5-F7D3-40B5-991B-E486A7465B7E}" name="Tenor" dataDxfId="12"/>
    <tableColumn id="10" xr3:uid="{A41BF3AC-9804-4E87-B8D9-DD15BA4354B6}" name="Years" dataDxfId="11"/>
    <tableColumn id="13" xr3:uid="{417DCEFC-5A87-46FE-A058-87E090859D28}" name="Expiry, years" dataDxfId="10" dataCellStyle="Comma">
      <calculatedColumnFormula>YEARFRAC(CurveDate,CapletSABRFit[[#This Row],[Settle Date]],DCB)</calculatedColumnFormula>
    </tableColumn>
    <tableColumn id="12" xr3:uid="{4B53A1CF-0424-4543-AEBB-56E690BD8E8F}" name="Settle Date" dataDxfId="9">
      <calculatedColumnFormula>WORKDAY(EDATE(CapletSABRFit[[#This Row],[Maturity Date]],-3)-1,1,Holidays_NSW)</calculatedColumnFormula>
    </tableColumn>
    <tableColumn id="11" xr3:uid="{008AAA1B-2133-42FB-BABB-E210CAE24A1F}" name="Maturity Date" dataDxfId="8">
      <calculatedColumnFormula>WORKDAY(EDATE(SettlementDate,12*CapletSABRFit[[#This Row],[Years]])-1,1)</calculatedColumnFormula>
    </tableColumn>
    <tableColumn id="2" xr3:uid="{1B13F6D4-A2AB-44E4-9B6B-A65BE469B3BB}" name="Alpha" dataDxfId="7" dataCellStyle="Percent"/>
    <tableColumn id="3" xr3:uid="{DC7A63D9-4F81-4684-B61E-E1EAA9329CFC}" name="Beta" dataDxfId="6" dataCellStyle="Percent"/>
    <tableColumn id="5" xr3:uid="{0921E24E-D0E5-494B-9DE1-4FFC442DFEA2}" name="Rho" dataDxfId="5" dataCellStyle="Percent"/>
    <tableColumn id="4" xr3:uid="{EF8DC13B-AA9E-4345-8D0D-35911E7FC524}" name="VolVol" dataDxfId="4" dataCellStyle="Percent"/>
    <tableColumn id="7" xr3:uid="{49C09E3D-F2E7-4F91-998B-47E83486A277}" name="ATMF Black76 Vol" dataDxfId="3" dataCellStyle="Percent"/>
    <tableColumn id="8" xr3:uid="{D3B6A2AE-742D-4DE2-BCAB-0E892162C30C}" name="ATMF Normal Vol" dataDxfId="2" dataCellStyle="Percent"/>
    <tableColumn id="14" xr3:uid="{DF283F8A-512A-4683-B875-499E02141D9F}" name="Term" dataDxfId="1" dataCellStyle="Comma">
      <calculatedColumnFormula>YEARFRAC(CapletSABRFit[[#This Row],[Settle Date]],CapletSABRFit[[#This Row],[Maturity Date]],DCB)</calculatedColumnFormula>
    </tableColumn>
    <tableColumn id="9" xr3:uid="{A72D969E-AEA0-4D08-B18A-225AEA357619}" name="Caplet Forward Rate" dataDxfId="0" dataCellStyle="Percent">
      <calculatedColumnFormula array="1">(Linterp(ForwardCurve[Date],ForwardCurve[Discount Factor],CapletSABRFit[[#This Row],[Settle Date]],-1,TRUE)/Linterp(ForwardCurve[Date],ForwardCurve[Discount Factor],CapletSABRFit[[#This Row],[Maturity Date]],-1,TRUE)-1)/CapletSABRFit[[#This Row],[Term]]</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6548-F253-48BE-A324-E0E97B67F1FE}">
  <sheetPr codeName="Sheet6"/>
  <dimension ref="B2:N51"/>
  <sheetViews>
    <sheetView topLeftCell="A10" workbookViewId="0">
      <selection activeCell="F29" sqref="F29"/>
    </sheetView>
  </sheetViews>
  <sheetFormatPr defaultRowHeight="12"/>
  <cols>
    <col min="2" max="2" width="8.5703125" bestFit="1" customWidth="1"/>
    <col min="3" max="3" width="9.85546875" bestFit="1" customWidth="1"/>
    <col min="4" max="4" width="16" bestFit="1" customWidth="1"/>
    <col min="5" max="5" width="15.7109375" bestFit="1" customWidth="1"/>
    <col min="6" max="6" width="13.85546875" bestFit="1" customWidth="1"/>
    <col min="7" max="7" width="9.85546875" bestFit="1" customWidth="1"/>
    <col min="8" max="8" width="16" bestFit="1" customWidth="1"/>
    <col min="9" max="9" width="7" bestFit="1" customWidth="1"/>
    <col min="10" max="10" width="8.28515625" bestFit="1" customWidth="1"/>
    <col min="11" max="11" width="17.7109375" bestFit="1" customWidth="1"/>
    <col min="12" max="12" width="17" bestFit="1" customWidth="1"/>
    <col min="13" max="13" width="7.42578125" bestFit="1" customWidth="1"/>
    <col min="14" max="14" width="19.85546875" bestFit="1" customWidth="1"/>
    <col min="15" max="15" width="8" bestFit="1" customWidth="1"/>
    <col min="16" max="16" width="7.5703125" bestFit="1" customWidth="1"/>
    <col min="17" max="17" width="8.28515625" bestFit="1" customWidth="1"/>
    <col min="18" max="18" width="16.85546875" bestFit="1" customWidth="1"/>
    <col min="19" max="19" width="16.140625" bestFit="1" customWidth="1"/>
    <col min="20" max="21" width="14" bestFit="1" customWidth="1"/>
  </cols>
  <sheetData>
    <row r="2" spans="2:14">
      <c r="B2" s="130" t="s">
        <v>137</v>
      </c>
      <c r="C2" s="131"/>
      <c r="D2" s="131"/>
      <c r="E2" s="94" t="s">
        <v>23</v>
      </c>
      <c r="F2" s="93" t="s">
        <v>24</v>
      </c>
    </row>
    <row r="3" spans="2:14">
      <c r="B3" s="133" t="s">
        <v>18</v>
      </c>
      <c r="C3" s="134"/>
      <c r="D3" s="134"/>
      <c r="E3" s="9">
        <v>45471</v>
      </c>
      <c r="F3" s="7" t="s">
        <v>22</v>
      </c>
    </row>
    <row r="4" spans="2:14">
      <c r="B4" s="133" t="s">
        <v>173</v>
      </c>
      <c r="C4" s="134"/>
      <c r="D4" s="134"/>
      <c r="E4" s="95">
        <v>1</v>
      </c>
      <c r="F4" s="7" t="s">
        <v>1</v>
      </c>
    </row>
    <row r="5" spans="2:14">
      <c r="B5" s="133" t="s">
        <v>172</v>
      </c>
      <c r="C5" s="134"/>
      <c r="D5" s="134"/>
      <c r="E5" s="33">
        <f>WORKDAY(CurveDate,SettlementDelay,Holidays_NSW)</f>
        <v>45474</v>
      </c>
      <c r="F5" s="7"/>
    </row>
    <row r="6" spans="2:14">
      <c r="B6" s="133" t="s">
        <v>166</v>
      </c>
      <c r="C6" s="134"/>
      <c r="D6" s="134"/>
      <c r="E6" s="95">
        <v>3</v>
      </c>
      <c r="F6" s="7" t="s">
        <v>136</v>
      </c>
      <c r="J6" s="36"/>
    </row>
    <row r="7" spans="2:14">
      <c r="B7" s="133" t="s">
        <v>78</v>
      </c>
      <c r="C7" s="134"/>
      <c r="D7" s="134"/>
      <c r="E7" s="95" t="b">
        <v>0</v>
      </c>
      <c r="F7" s="7"/>
      <c r="J7" s="30"/>
    </row>
    <row r="8" spans="2:14">
      <c r="B8" s="133" t="s">
        <v>134</v>
      </c>
      <c r="C8" s="134"/>
      <c r="D8" s="134"/>
      <c r="E8" s="95" t="s">
        <v>34</v>
      </c>
      <c r="F8" s="7"/>
      <c r="J8" s="30"/>
    </row>
    <row r="9" spans="2:14">
      <c r="B9" s="135" t="s">
        <v>87</v>
      </c>
      <c r="C9" s="136"/>
      <c r="D9" s="136"/>
      <c r="E9" s="58">
        <v>0</v>
      </c>
      <c r="F9" s="26" t="s">
        <v>89</v>
      </c>
      <c r="J9" s="30"/>
    </row>
    <row r="10" spans="2:14">
      <c r="B10" s="122"/>
      <c r="C10" s="122"/>
      <c r="J10" s="30"/>
    </row>
    <row r="11" spans="2:14">
      <c r="B11" s="73" t="s">
        <v>93</v>
      </c>
      <c r="C11" s="73"/>
      <c r="E11" s="1"/>
      <c r="F11" s="1"/>
    </row>
    <row r="12" spans="2:14">
      <c r="B12" s="97" t="s">
        <v>139</v>
      </c>
      <c r="C12" s="98">
        <v>0.02</v>
      </c>
    </row>
    <row r="14" spans="2:14">
      <c r="B14" t="s">
        <v>4</v>
      </c>
      <c r="C14" t="s">
        <v>83</v>
      </c>
      <c r="D14" t="s">
        <v>138</v>
      </c>
      <c r="E14" t="s">
        <v>94</v>
      </c>
      <c r="F14" t="s">
        <v>95</v>
      </c>
      <c r="G14" t="s">
        <v>58</v>
      </c>
      <c r="H14" t="s">
        <v>59</v>
      </c>
      <c r="I14" t="s">
        <v>60</v>
      </c>
      <c r="J14" t="s">
        <v>76</v>
      </c>
      <c r="K14" t="s">
        <v>177</v>
      </c>
      <c r="L14" t="s">
        <v>178</v>
      </c>
      <c r="M14" t="s">
        <v>117</v>
      </c>
      <c r="N14" t="s">
        <v>179</v>
      </c>
    </row>
    <row r="15" spans="2:14">
      <c r="B15" s="95" t="s">
        <v>7</v>
      </c>
      <c r="C15" s="95">
        <v>1</v>
      </c>
      <c r="D15" s="96">
        <f>YEARFRAC(CurveDate,CapletSABRFit[[#This Row],[Settle Date]],DCB)</f>
        <v>0.75890410958904109</v>
      </c>
      <c r="E15" s="38">
        <f>WORKDAY(EDATE(CapletSABRFit[[#This Row],[Maturity Date]],-3)-1,1,Holidays_NSW)</f>
        <v>45748</v>
      </c>
      <c r="F15" s="38">
        <f>WORKDAY(EDATE(SettlementDate,12*CapletSABRFit[[#This Row],[Years]])-1,1)</f>
        <v>45839</v>
      </c>
      <c r="G15" s="37">
        <v>0.1</v>
      </c>
      <c r="H15" s="37">
        <v>0.5</v>
      </c>
      <c r="I15" s="37">
        <v>0.2</v>
      </c>
      <c r="J15" s="37">
        <v>0.6</v>
      </c>
      <c r="K15" s="37">
        <v>0.15</v>
      </c>
      <c r="L15" s="37">
        <v>8.9999999999999993E-3</v>
      </c>
      <c r="M15" s="96">
        <f>YEARFRAC(CapletSABRFit[[#This Row],[Settle Date]],CapletSABRFit[[#This Row],[Maturity Date]],DCB)</f>
        <v>0.24931506849315069</v>
      </c>
      <c r="N15" s="4" cm="1">
        <f t="array" ref="N15">(Linterp(ForwardCurve[Date],ForwardCurve[Discount Factor],CapletSABRFit[[#This Row],[Settle Date]],-1,TRUE)/Linterp(ForwardCurve[Date],ForwardCurve[Discount Factor],CapletSABRFit[[#This Row],[Maturity Date]],-1,TRUE)-1)/CapletSABRFit[[#This Row],[Term]]</f>
        <v>4.0155667655303762E-2</v>
      </c>
    </row>
    <row r="16" spans="2:14">
      <c r="B16" s="95" t="s">
        <v>8</v>
      </c>
      <c r="C16" s="95">
        <v>2</v>
      </c>
      <c r="D16" s="96">
        <f>YEARFRAC(CurveDate,CapletSABRFit[[#This Row],[Settle Date]],DCB)</f>
        <v>1.7589041095890412</v>
      </c>
      <c r="E16" s="38">
        <f>WORKDAY(EDATE(CapletSABRFit[[#This Row],[Maturity Date]],-3)-1,1,Holidays_NSW)</f>
        <v>46113</v>
      </c>
      <c r="F16" s="38">
        <f>WORKDAY(EDATE(SettlementDate,12*CapletSABRFit[[#This Row],[Years]])-1,1)</f>
        <v>46204</v>
      </c>
      <c r="G16" s="37">
        <v>0.1</v>
      </c>
      <c r="H16" s="37">
        <v>0.5</v>
      </c>
      <c r="I16" s="37">
        <v>0.2</v>
      </c>
      <c r="J16" s="37">
        <v>0.6</v>
      </c>
      <c r="K16" s="37">
        <v>0.15</v>
      </c>
      <c r="L16" s="37">
        <v>8.9999999999999993E-3</v>
      </c>
      <c r="M16" s="96">
        <f>YEARFRAC(CapletSABRFit[[#This Row],[Settle Date]],CapletSABRFit[[#This Row],[Maturity Date]],DCB)</f>
        <v>0.24931506849315069</v>
      </c>
      <c r="N16" s="4" cm="1">
        <f t="array" ref="N16">(Linterp(ForwardCurve[Date],ForwardCurve[Discount Factor],CapletSABRFit[[#This Row],[Settle Date]],-1,TRUE)/Linterp(ForwardCurve[Date],ForwardCurve[Discount Factor],CapletSABRFit[[#This Row],[Maturity Date]],-1,TRUE)-1)/CapletSABRFit[[#This Row],[Term]]</f>
        <v>4.0163254762662082E-2</v>
      </c>
    </row>
    <row r="17" spans="2:14">
      <c r="B17" s="95" t="s">
        <v>9</v>
      </c>
      <c r="C17" s="95">
        <v>3</v>
      </c>
      <c r="D17" s="96">
        <f>YEARFRAC(CurveDate,CapletSABRFit[[#This Row],[Settle Date]],DCB)</f>
        <v>2.7589041095890412</v>
      </c>
      <c r="E17" s="38">
        <f>WORKDAY(EDATE(CapletSABRFit[[#This Row],[Maturity Date]],-3)-1,1,Holidays_NSW)</f>
        <v>46478</v>
      </c>
      <c r="F17" s="38">
        <f>WORKDAY(EDATE(SettlementDate,12*CapletSABRFit[[#This Row],[Years]])-1,1)</f>
        <v>46569</v>
      </c>
      <c r="G17" s="37">
        <v>0.1</v>
      </c>
      <c r="H17" s="37">
        <v>0.5</v>
      </c>
      <c r="I17" s="37">
        <v>0.2</v>
      </c>
      <c r="J17" s="37">
        <v>0.6</v>
      </c>
      <c r="K17" s="37">
        <v>0.15</v>
      </c>
      <c r="L17" s="37">
        <v>8.9999999999999993E-3</v>
      </c>
      <c r="M17" s="96">
        <f>YEARFRAC(CapletSABRFit[[#This Row],[Settle Date]],CapletSABRFit[[#This Row],[Maturity Date]],DCB)</f>
        <v>0.24931506849315069</v>
      </c>
      <c r="N17" s="4" cm="1">
        <f t="array" ref="N17">(Linterp(ForwardCurve[Date],ForwardCurve[Discount Factor],CapletSABRFit[[#This Row],[Settle Date]],-1,TRUE)/Linterp(ForwardCurve[Date],ForwardCurve[Discount Factor],CapletSABRFit[[#This Row],[Maturity Date]],-1,TRUE)-1)/CapletSABRFit[[#This Row],[Term]]</f>
        <v>4.0198122630527446E-2</v>
      </c>
    </row>
    <row r="18" spans="2:14">
      <c r="B18" s="95" t="s">
        <v>10</v>
      </c>
      <c r="C18" s="95">
        <v>4</v>
      </c>
      <c r="D18" s="96">
        <f>YEARFRAC(CurveDate,CapletSABRFit[[#This Row],[Settle Date]],DCB)</f>
        <v>3.7671232876712328</v>
      </c>
      <c r="E18" s="38">
        <f>WORKDAY(EDATE(CapletSABRFit[[#This Row],[Maturity Date]],-3)-1,1,Holidays_NSW)</f>
        <v>46846</v>
      </c>
      <c r="F18" s="38">
        <f>WORKDAY(EDATE(SettlementDate,12*CapletSABRFit[[#This Row],[Years]])-1,1)</f>
        <v>46937</v>
      </c>
      <c r="G18" s="37">
        <v>0.1</v>
      </c>
      <c r="H18" s="37">
        <v>0.5</v>
      </c>
      <c r="I18" s="37">
        <v>0.2</v>
      </c>
      <c r="J18" s="37">
        <v>0.6</v>
      </c>
      <c r="K18" s="37">
        <v>0.15</v>
      </c>
      <c r="L18" s="37">
        <v>8.9999999999999993E-3</v>
      </c>
      <c r="M18" s="96">
        <f>YEARFRAC(CapletSABRFit[[#This Row],[Settle Date]],CapletSABRFit[[#This Row],[Maturity Date]],DCB)</f>
        <v>0.24931506849315069</v>
      </c>
      <c r="N18" s="4" cm="1">
        <f t="array" ref="N18">(Linterp(ForwardCurve[Date],ForwardCurve[Discount Factor],CapletSABRFit[[#This Row],[Settle Date]],-1,TRUE)/Linterp(ForwardCurve[Date],ForwardCurve[Discount Factor],CapletSABRFit[[#This Row],[Maturity Date]],-1,TRUE)-1)/CapletSABRFit[[#This Row],[Term]]</f>
        <v>4.0106440795626287E-2</v>
      </c>
    </row>
    <row r="19" spans="2:14">
      <c r="B19" s="95" t="s">
        <v>11</v>
      </c>
      <c r="C19" s="95">
        <v>5</v>
      </c>
      <c r="D19" s="96">
        <f>YEARFRAC(CurveDate,CapletSABRFit[[#This Row],[Settle Date]],DCB)</f>
        <v>4.7671232876712333</v>
      </c>
      <c r="E19" s="38">
        <f>WORKDAY(EDATE(CapletSABRFit[[#This Row],[Maturity Date]],-3)-1,1,Holidays_NSW)</f>
        <v>47211</v>
      </c>
      <c r="F19" s="38">
        <f>WORKDAY(EDATE(SettlementDate,12*CapletSABRFit[[#This Row],[Years]])-1,1)</f>
        <v>47301</v>
      </c>
      <c r="G19" s="37">
        <v>0.1</v>
      </c>
      <c r="H19" s="37">
        <v>0.5</v>
      </c>
      <c r="I19" s="37">
        <v>0.2</v>
      </c>
      <c r="J19" s="37">
        <v>0.6</v>
      </c>
      <c r="K19" s="37">
        <v>0.15</v>
      </c>
      <c r="L19" s="37">
        <v>8.9999999999999993E-3</v>
      </c>
      <c r="M19" s="96">
        <f>YEARFRAC(CapletSABRFit[[#This Row],[Settle Date]],CapletSABRFit[[#This Row],[Maturity Date]],DCB)</f>
        <v>0.24657534246575341</v>
      </c>
      <c r="N19" s="4" cm="1">
        <f t="array" ref="N19">(Linterp(ForwardCurve[Date],ForwardCurve[Discount Factor],CapletSABRFit[[#This Row],[Settle Date]],-1,TRUE)/Linterp(ForwardCurve[Date],ForwardCurve[Discount Factor],CapletSABRFit[[#This Row],[Maturity Date]],-1,TRUE)-1)/CapletSABRFit[[#This Row],[Term]]</f>
        <v>4.0190708807163245E-2</v>
      </c>
    </row>
    <row r="20" spans="2:14">
      <c r="B20" s="95" t="s">
        <v>12</v>
      </c>
      <c r="C20" s="95">
        <v>7</v>
      </c>
      <c r="D20" s="96">
        <f>YEARFRAC(CurveDate,CapletSABRFit[[#This Row],[Settle Date]],DCB)</f>
        <v>6.7616438356164386</v>
      </c>
      <c r="E20" s="38">
        <f>WORKDAY(EDATE(CapletSABRFit[[#This Row],[Maturity Date]],-3)-1,1,Holidays_NSW)</f>
        <v>47939</v>
      </c>
      <c r="F20" s="38">
        <f>WORKDAY(EDATE(SettlementDate,12*CapletSABRFit[[#This Row],[Years]])-1,1)</f>
        <v>48030</v>
      </c>
      <c r="G20" s="37">
        <v>0.1</v>
      </c>
      <c r="H20" s="37">
        <v>0.5</v>
      </c>
      <c r="I20" s="37">
        <v>0.2</v>
      </c>
      <c r="J20" s="37">
        <v>0.6</v>
      </c>
      <c r="K20" s="37">
        <v>0.15</v>
      </c>
      <c r="L20" s="37">
        <v>8.9999999999999993E-3</v>
      </c>
      <c r="M20" s="96">
        <f>YEARFRAC(CapletSABRFit[[#This Row],[Settle Date]],CapletSABRFit[[#This Row],[Maturity Date]],DCB)</f>
        <v>0.24931506849315069</v>
      </c>
      <c r="N20" s="4" cm="1">
        <f t="array" ref="N20">(Linterp(ForwardCurve[Date],ForwardCurve[Discount Factor],CapletSABRFit[[#This Row],[Settle Date]],-1,TRUE)/Linterp(ForwardCurve[Date],ForwardCurve[Discount Factor],CapletSABRFit[[#This Row],[Maturity Date]],-1,TRUE)-1)/CapletSABRFit[[#This Row],[Term]]</f>
        <v>4.0195581633699067E-2</v>
      </c>
    </row>
    <row r="21" spans="2:14">
      <c r="B21" s="95" t="s">
        <v>13</v>
      </c>
      <c r="C21" s="95">
        <v>10</v>
      </c>
      <c r="D21" s="96">
        <f>YEARFRAC(CurveDate,CapletSABRFit[[#This Row],[Settle Date]],DCB)</f>
        <v>9.7698630136986306</v>
      </c>
      <c r="E21" s="38">
        <f>WORKDAY(EDATE(CapletSABRFit[[#This Row],[Maturity Date]],-3)-1,1,Holidays_NSW)</f>
        <v>49037</v>
      </c>
      <c r="F21" s="38">
        <f>WORKDAY(EDATE(SettlementDate,12*CapletSABRFit[[#This Row],[Years]])-1,1)</f>
        <v>49128</v>
      </c>
      <c r="G21" s="37">
        <v>0.1</v>
      </c>
      <c r="H21" s="37">
        <v>0.5</v>
      </c>
      <c r="I21" s="37">
        <v>0.2</v>
      </c>
      <c r="J21" s="37">
        <v>0.6</v>
      </c>
      <c r="K21" s="37">
        <v>0.15</v>
      </c>
      <c r="L21" s="37">
        <v>8.9999999999999993E-3</v>
      </c>
      <c r="M21" s="96">
        <f>YEARFRAC(CapletSABRFit[[#This Row],[Settle Date]],CapletSABRFit[[#This Row],[Maturity Date]],DCB)</f>
        <v>0.24931506849315069</v>
      </c>
      <c r="N21" s="4" cm="1">
        <f t="array" ref="N21">(Linterp(ForwardCurve[Date],ForwardCurve[Discount Factor],CapletSABRFit[[#This Row],[Settle Date]],-1,TRUE)/Linterp(ForwardCurve[Date],ForwardCurve[Discount Factor],CapletSABRFit[[#This Row],[Maturity Date]],-1,TRUE)-1)/CapletSABRFit[[#This Row],[Term]]</f>
        <v>4.0164097431813907E-2</v>
      </c>
    </row>
    <row r="22" spans="2:14">
      <c r="B22" s="95" t="s">
        <v>14</v>
      </c>
      <c r="C22" s="95">
        <v>12</v>
      </c>
      <c r="D22" s="96">
        <f>YEARFRAC(CurveDate,CapletSABRFit[[#This Row],[Settle Date]],DCB)</f>
        <v>11.767123287671232</v>
      </c>
      <c r="E22" s="38">
        <f>WORKDAY(EDATE(CapletSABRFit[[#This Row],[Maturity Date]],-3)-1,1,Holidays_NSW)</f>
        <v>49766</v>
      </c>
      <c r="F22" s="38">
        <f>WORKDAY(EDATE(SettlementDate,12*CapletSABRFit[[#This Row],[Years]])-1,1)</f>
        <v>49857</v>
      </c>
      <c r="G22" s="37">
        <v>0.1</v>
      </c>
      <c r="H22" s="37">
        <v>0.5</v>
      </c>
      <c r="I22" s="37">
        <v>0.2</v>
      </c>
      <c r="J22" s="37">
        <v>0.6</v>
      </c>
      <c r="K22" s="37">
        <v>0.15</v>
      </c>
      <c r="L22" s="37">
        <v>8.9999999999999993E-3</v>
      </c>
      <c r="M22" s="96">
        <f>YEARFRAC(CapletSABRFit[[#This Row],[Settle Date]],CapletSABRFit[[#This Row],[Maturity Date]],DCB)</f>
        <v>0.24931506849315069</v>
      </c>
      <c r="N22" s="4" cm="1">
        <f t="array" ref="N22">(Linterp(ForwardCurve[Date],ForwardCurve[Discount Factor],CapletSABRFit[[#This Row],[Settle Date]],-1,TRUE)/Linterp(ForwardCurve[Date],ForwardCurve[Discount Factor],CapletSABRFit[[#This Row],[Maturity Date]],-1,TRUE)-1)/CapletSABRFit[[#This Row],[Term]]</f>
        <v>4.0146704293446224E-2</v>
      </c>
    </row>
    <row r="23" spans="2:14">
      <c r="B23" s="95" t="s">
        <v>15</v>
      </c>
      <c r="C23" s="95">
        <v>15</v>
      </c>
      <c r="D23" s="96">
        <f>YEARFRAC(CurveDate,CapletSABRFit[[#This Row],[Settle Date]],DCB)</f>
        <v>14.767123287671232</v>
      </c>
      <c r="E23" s="38">
        <f>WORKDAY(EDATE(CapletSABRFit[[#This Row],[Maturity Date]],-3)-1,1,Holidays_NSW)</f>
        <v>50861</v>
      </c>
      <c r="F23" s="38">
        <f>WORKDAY(EDATE(SettlementDate,12*CapletSABRFit[[#This Row],[Years]])-1,1)</f>
        <v>50952</v>
      </c>
      <c r="G23" s="37">
        <v>0.1</v>
      </c>
      <c r="H23" s="37">
        <v>0.5</v>
      </c>
      <c r="I23" s="37">
        <v>0.2</v>
      </c>
      <c r="J23" s="37">
        <v>0.6</v>
      </c>
      <c r="K23" s="37">
        <v>0.15</v>
      </c>
      <c r="L23" s="37">
        <v>8.9999999999999993E-3</v>
      </c>
      <c r="M23" s="96">
        <f>YEARFRAC(CapletSABRFit[[#This Row],[Settle Date]],CapletSABRFit[[#This Row],[Maturity Date]],DCB)</f>
        <v>0.24931506849315069</v>
      </c>
      <c r="N23" s="4" cm="1">
        <f t="array" ref="N23">(Linterp(ForwardCurve[Date],ForwardCurve[Discount Factor],CapletSABRFit[[#This Row],[Settle Date]],-1,TRUE)/Linterp(ForwardCurve[Date],ForwardCurve[Discount Factor],CapletSABRFit[[#This Row],[Maturity Date]],-1,TRUE)-1)/CapletSABRFit[[#This Row],[Term]]</f>
        <v>4.0198003020963852E-2</v>
      </c>
    </row>
    <row r="24" spans="2:14">
      <c r="B24" s="95" t="s">
        <v>16</v>
      </c>
      <c r="C24" s="95">
        <v>20</v>
      </c>
      <c r="D24" s="96">
        <f>YEARFRAC(CurveDate,CapletSABRFit[[#This Row],[Settle Date]],DCB)</f>
        <v>19.772602739726029</v>
      </c>
      <c r="E24" s="38">
        <f>WORKDAY(EDATE(CapletSABRFit[[#This Row],[Maturity Date]],-3)-1,1,Holidays_NSW)</f>
        <v>52688</v>
      </c>
      <c r="F24" s="38">
        <f>WORKDAY(EDATE(SettlementDate,12*CapletSABRFit[[#This Row],[Years]])-1,1)</f>
        <v>52779</v>
      </c>
      <c r="G24" s="37">
        <v>0.1</v>
      </c>
      <c r="H24" s="37">
        <v>0.5</v>
      </c>
      <c r="I24" s="37">
        <v>0.2</v>
      </c>
      <c r="J24" s="37">
        <v>0.6</v>
      </c>
      <c r="K24" s="37">
        <v>0.15</v>
      </c>
      <c r="L24" s="37">
        <v>8.9999999999999993E-3</v>
      </c>
      <c r="M24" s="96">
        <f>YEARFRAC(CapletSABRFit[[#This Row],[Settle Date]],CapletSABRFit[[#This Row],[Maturity Date]],DCB)</f>
        <v>0.24931506849315069</v>
      </c>
      <c r="N24" s="4" cm="1">
        <f t="array" ref="N24">(Linterp(ForwardCurve[Date],ForwardCurve[Discount Factor],CapletSABRFit[[#This Row],[Settle Date]],-1,TRUE)/Linterp(ForwardCurve[Date],ForwardCurve[Discount Factor],CapletSABRFit[[#This Row],[Maturity Date]],-1,TRUE)-1)/CapletSABRFit[[#This Row],[Term]]</f>
        <v>4.0156674751247144E-2</v>
      </c>
    </row>
    <row r="25" spans="2:14">
      <c r="B25" s="95" t="s">
        <v>17</v>
      </c>
      <c r="C25" s="95">
        <v>25</v>
      </c>
      <c r="D25" s="96">
        <f>YEARFRAC(CurveDate,CapletSABRFit[[#This Row],[Settle Date]],DCB)</f>
        <v>24.775342465753425</v>
      </c>
      <c r="E25" s="38">
        <f>WORKDAY(EDATE(CapletSABRFit[[#This Row],[Maturity Date]],-3)-1,1,Holidays_NSW)</f>
        <v>54514</v>
      </c>
      <c r="F25" s="38">
        <f>WORKDAY(EDATE(SettlementDate,12*CapletSABRFit[[#This Row],[Years]])-1,1)</f>
        <v>54605</v>
      </c>
      <c r="G25" s="37">
        <v>0.1</v>
      </c>
      <c r="H25" s="37">
        <v>0.5</v>
      </c>
      <c r="I25" s="37">
        <v>0.2</v>
      </c>
      <c r="J25" s="37">
        <v>0.6</v>
      </c>
      <c r="K25" s="37">
        <v>0.15</v>
      </c>
      <c r="L25" s="37">
        <v>8.9999999999999993E-3</v>
      </c>
      <c r="M25" s="96">
        <f>YEARFRAC(CapletSABRFit[[#This Row],[Settle Date]],CapletSABRFit[[#This Row],[Maturity Date]],DCB)</f>
        <v>0.24931506849315069</v>
      </c>
      <c r="N25" s="4" cm="1">
        <f t="array" ref="N25">(Linterp(ForwardCurve[Date],ForwardCurve[Discount Factor],CapletSABRFit[[#This Row],[Settle Date]],-1,TRUE)/Linterp(ForwardCurve[Date],ForwardCurve[Discount Factor],CapletSABRFit[[#This Row],[Maturity Date]],-1,TRUE)-1)/CapletSABRFit[[#This Row],[Term]]</f>
        <v>4.0177629281896901E-2</v>
      </c>
    </row>
    <row r="27" spans="2:14">
      <c r="B27" s="132" t="s">
        <v>72</v>
      </c>
      <c r="C27" s="132"/>
      <c r="D27" s="132"/>
      <c r="F27" s="132" t="s">
        <v>73</v>
      </c>
      <c r="G27" s="132"/>
      <c r="H27" s="132"/>
    </row>
    <row r="28" spans="2:14">
      <c r="B28" t="s">
        <v>83</v>
      </c>
      <c r="C28" t="s">
        <v>5</v>
      </c>
      <c r="D28" t="s">
        <v>0</v>
      </c>
      <c r="F28" t="s">
        <v>83</v>
      </c>
      <c r="G28" t="s">
        <v>5</v>
      </c>
      <c r="H28" t="s">
        <v>0</v>
      </c>
    </row>
    <row r="29" spans="2:14">
      <c r="B29" s="129">
        <f>YEARFRAC(CurveDate,ForwardCurve[[#This Row],[Date]],1)</f>
        <v>0</v>
      </c>
      <c r="C29" s="17">
        <v>45471</v>
      </c>
      <c r="D29" s="35">
        <f>EXP(-4%*ForwardCurve[[#This Row],[Years]])</f>
        <v>1</v>
      </c>
      <c r="F29" s="129">
        <f>YEARFRAC(CurveDate,DiscountCurve[[#This Row],[Date]],1)</f>
        <v>0</v>
      </c>
      <c r="G29" s="17">
        <v>45471</v>
      </c>
      <c r="H29" s="35">
        <f>EXP(-4%*DiscountCurve[[#This Row],[Years]])</f>
        <v>1</v>
      </c>
    </row>
    <row r="30" spans="2:14">
      <c r="B30" s="129">
        <f>YEARFRAC(CurveDate,ForwardCurve[[#This Row],[Date]],1)</f>
        <v>8.1967213114754103E-3</v>
      </c>
      <c r="C30" s="17">
        <v>45474</v>
      </c>
      <c r="D30" s="35">
        <f>EXP(-4%*ForwardCurve[[#This Row],[Years]])</f>
        <v>0.99967218489065945</v>
      </c>
      <c r="F30" s="129">
        <f>YEARFRAC(CurveDate,DiscountCurve[[#This Row],[Date]],1)</f>
        <v>8.1967213114754103E-3</v>
      </c>
      <c r="G30" s="17">
        <v>45474</v>
      </c>
      <c r="H30" s="35">
        <f>EXP(-4%*DiscountCurve[[#This Row],[Years]])</f>
        <v>0.99967218489065945</v>
      </c>
    </row>
    <row r="31" spans="2:14">
      <c r="B31" s="129">
        <f>YEARFRAC(CurveDate,ForwardCurve[[#This Row],[Date]],1)</f>
        <v>1.092896174863388E-2</v>
      </c>
      <c r="C31" s="17">
        <v>45475</v>
      </c>
      <c r="D31" s="35">
        <f>EXP(-4%*ForwardCurve[[#This Row],[Years]])</f>
        <v>0.99956293706989607</v>
      </c>
      <c r="F31" s="129">
        <f>YEARFRAC(CurveDate,DiscountCurve[[#This Row],[Date]],1)</f>
        <v>1.092896174863388E-2</v>
      </c>
      <c r="G31" s="17">
        <v>45475</v>
      </c>
      <c r="H31" s="35">
        <f>EXP(-4%*DiscountCurve[[#This Row],[Years]])</f>
        <v>0.99956293706989607</v>
      </c>
    </row>
    <row r="32" spans="2:14">
      <c r="B32" s="129">
        <f>YEARFRAC(CurveDate,ForwardCurve[[#This Row],[Date]],1)</f>
        <v>2.7322404371584699E-2</v>
      </c>
      <c r="C32" s="17">
        <v>45481</v>
      </c>
      <c r="D32" s="35">
        <f>EXP(-4%*ForwardCurve[[#This Row],[Years]])</f>
        <v>0.99890770081865732</v>
      </c>
      <c r="F32" s="129">
        <f>YEARFRAC(CurveDate,DiscountCurve[[#This Row],[Date]],1)</f>
        <v>2.7322404371584699E-2</v>
      </c>
      <c r="G32" s="17">
        <v>45481</v>
      </c>
      <c r="H32" s="35">
        <f>EXP(-4%*DiscountCurve[[#This Row],[Years]])</f>
        <v>0.99890770081865732</v>
      </c>
    </row>
    <row r="33" spans="2:8">
      <c r="B33" s="129">
        <f>YEARFRAC(CurveDate,ForwardCurve[[#This Row],[Date]],1)</f>
        <v>0.25956284153005466</v>
      </c>
      <c r="C33" s="17">
        <v>45566</v>
      </c>
      <c r="D33" s="35">
        <f>EXP(-4%*ForwardCurve[[#This Row],[Years]])</f>
        <v>0.98967119858366648</v>
      </c>
      <c r="F33" s="129">
        <f>YEARFRAC(CurveDate,DiscountCurve[[#This Row],[Date]],1)</f>
        <v>0.25956284153005466</v>
      </c>
      <c r="G33" s="17">
        <v>45566</v>
      </c>
      <c r="H33" s="35">
        <f>EXP(-4%*DiscountCurve[[#This Row],[Years]])</f>
        <v>0.98967119858366648</v>
      </c>
    </row>
    <row r="34" spans="2:8">
      <c r="B34" s="129">
        <f>YEARFRAC(CurveDate,ForwardCurve[[#This Row],[Date]],1)</f>
        <v>0.45901639344262296</v>
      </c>
      <c r="C34" s="17">
        <v>45639</v>
      </c>
      <c r="D34" s="35">
        <f>EXP(-4%*ForwardCurve[[#This Row],[Years]])</f>
        <v>0.98180687421505253</v>
      </c>
      <c r="F34" s="129">
        <f>YEARFRAC(CurveDate,DiscountCurve[[#This Row],[Date]],1)</f>
        <v>0.45901639344262296</v>
      </c>
      <c r="G34" s="17">
        <v>45639</v>
      </c>
      <c r="H34" s="35">
        <f>EXP(-4%*DiscountCurve[[#This Row],[Years]])</f>
        <v>0.98180687421505253</v>
      </c>
    </row>
    <row r="35" spans="2:8">
      <c r="B35" s="129">
        <f>YEARFRAC(CurveDate,ForwardCurve[[#This Row],[Date]],1)</f>
        <v>0.70684931506849313</v>
      </c>
      <c r="C35" s="17">
        <v>45729</v>
      </c>
      <c r="D35" s="35">
        <f>EXP(-4%*ForwardCurve[[#This Row],[Years]])</f>
        <v>0.97212199552040324</v>
      </c>
      <c r="F35" s="129">
        <f>YEARFRAC(CurveDate,DiscountCurve[[#This Row],[Date]],1)</f>
        <v>0.70684931506849313</v>
      </c>
      <c r="G35" s="17">
        <v>45729</v>
      </c>
      <c r="H35" s="35">
        <f>EXP(-4%*DiscountCurve[[#This Row],[Years]])</f>
        <v>0.97212199552040324</v>
      </c>
    </row>
    <row r="36" spans="2:8">
      <c r="B36" s="129">
        <f>YEARFRAC(CurveDate,ForwardCurve[[#This Row],[Date]],1)</f>
        <v>0.9671232876712329</v>
      </c>
      <c r="C36" s="17">
        <v>45824</v>
      </c>
      <c r="D36" s="35">
        <f>EXP(-4%*ForwardCurve[[#This Row],[Years]])</f>
        <v>0.96205377423370719</v>
      </c>
      <c r="F36" s="129">
        <f>YEARFRAC(CurveDate,DiscountCurve[[#This Row],[Date]],1)</f>
        <v>0.9671232876712329</v>
      </c>
      <c r="G36" s="17">
        <v>45824</v>
      </c>
      <c r="H36" s="35">
        <f>EXP(-4%*DiscountCurve[[#This Row],[Years]])</f>
        <v>0.96205377423370719</v>
      </c>
    </row>
    <row r="37" spans="2:8">
      <c r="B37" s="129">
        <f>YEARFRAC(CurveDate,ForwardCurve[[#This Row],[Date]],1)</f>
        <v>1.2147742818057456</v>
      </c>
      <c r="C37" s="17">
        <v>45915</v>
      </c>
      <c r="D37" s="35">
        <f>EXP(-4%*ForwardCurve[[#This Row],[Years]])</f>
        <v>0.95257067879754731</v>
      </c>
      <c r="F37" s="129">
        <f>YEARFRAC(CurveDate,DiscountCurve[[#This Row],[Date]],1)</f>
        <v>1.2147742818057456</v>
      </c>
      <c r="G37" s="17">
        <v>45915</v>
      </c>
      <c r="H37" s="35">
        <f>EXP(-4%*DiscountCurve[[#This Row],[Years]])</f>
        <v>0.95257067879754731</v>
      </c>
    </row>
    <row r="38" spans="2:8">
      <c r="B38" s="129">
        <f>YEARFRAC(CurveDate,ForwardCurve[[#This Row],[Date]],1)</f>
        <v>1.4555403556771547</v>
      </c>
      <c r="C38" s="17">
        <v>46003</v>
      </c>
      <c r="D38" s="35">
        <f>EXP(-4%*ForwardCurve[[#This Row],[Years]])</f>
        <v>0.9434408443540222</v>
      </c>
      <c r="F38" s="129">
        <f>YEARFRAC(CurveDate,DiscountCurve[[#This Row],[Date]],1)</f>
        <v>1.4555403556771547</v>
      </c>
      <c r="G38" s="17">
        <v>46003</v>
      </c>
      <c r="H38" s="35">
        <f>EXP(-4%*DiscountCurve[[#This Row],[Years]])</f>
        <v>0.9434408443540222</v>
      </c>
    </row>
    <row r="39" spans="2:8">
      <c r="B39" s="129">
        <f>YEARFRAC(CurveDate,ForwardCurve[[#This Row],[Date]],1)</f>
        <v>1.7025547445255476</v>
      </c>
      <c r="C39" s="17">
        <v>46093</v>
      </c>
      <c r="D39" s="35">
        <f>EXP(-4%*ForwardCurve[[#This Row],[Years]])</f>
        <v>0.93416500658196</v>
      </c>
      <c r="F39" s="129">
        <f>YEARFRAC(CurveDate,DiscountCurve[[#This Row],[Date]],1)</f>
        <v>1.7025547445255476</v>
      </c>
      <c r="G39" s="17">
        <v>46093</v>
      </c>
      <c r="H39" s="35">
        <f>EXP(-4%*DiscountCurve[[#This Row],[Years]])</f>
        <v>0.93416500658196</v>
      </c>
    </row>
    <row r="40" spans="2:8">
      <c r="B40" s="129">
        <f>YEARFRAC(CurveDate,ForwardCurve[[#This Row],[Date]],1)</f>
        <v>1.9625912408759125</v>
      </c>
      <c r="C40" s="17">
        <v>46188</v>
      </c>
      <c r="D40" s="35">
        <f>EXP(-4%*ForwardCurve[[#This Row],[Years]])</f>
        <v>0.92449868584260098</v>
      </c>
      <c r="F40" s="129">
        <f>YEARFRAC(CurveDate,DiscountCurve[[#This Row],[Date]],1)</f>
        <v>1.9625912408759125</v>
      </c>
      <c r="G40" s="17">
        <v>46188</v>
      </c>
      <c r="H40" s="35">
        <f>EXP(-4%*DiscountCurve[[#This Row],[Years]])</f>
        <v>0.92449868584260098</v>
      </c>
    </row>
    <row r="41" spans="2:8">
      <c r="B41" s="129">
        <f>YEARFRAC(CurveDate,ForwardCurve[[#This Row],[Date]],1)</f>
        <v>2.2116788321167884</v>
      </c>
      <c r="C41" s="17">
        <v>46279</v>
      </c>
      <c r="D41" s="35">
        <f>EXP(-4%*ForwardCurve[[#This Row],[Years]])</f>
        <v>0.91533317593048391</v>
      </c>
      <c r="F41" s="129">
        <f>YEARFRAC(CurveDate,DiscountCurve[[#This Row],[Date]],1)</f>
        <v>2.2116788321167884</v>
      </c>
      <c r="G41" s="17">
        <v>46279</v>
      </c>
      <c r="H41" s="35">
        <f>EXP(-4%*DiscountCurve[[#This Row],[Years]])</f>
        <v>0.91533317593048391</v>
      </c>
    </row>
    <row r="42" spans="2:8">
      <c r="B42" s="129">
        <f>YEARFRAC(CurveDate,ForwardCurve[[#This Row],[Date]],1)</f>
        <v>3.0061601642710474</v>
      </c>
      <c r="C42" s="17">
        <v>46569</v>
      </c>
      <c r="D42" s="35">
        <f>EXP(-4%*ForwardCurve[[#This Row],[Years]])</f>
        <v>0.88670192061674358</v>
      </c>
      <c r="F42" s="129">
        <f>YEARFRAC(CurveDate,DiscountCurve[[#This Row],[Date]],1)</f>
        <v>3.0061601642710474</v>
      </c>
      <c r="G42" s="17">
        <v>46569</v>
      </c>
      <c r="H42" s="35">
        <f>EXP(-4%*DiscountCurve[[#This Row],[Years]])</f>
        <v>0.88670192061674358</v>
      </c>
    </row>
    <row r="43" spans="2:8">
      <c r="B43" s="129">
        <f>YEARFRAC(CurveDate,ForwardCurve[[#This Row],[Date]],1)</f>
        <v>4.0120415982484952</v>
      </c>
      <c r="C43" s="17">
        <v>46937</v>
      </c>
      <c r="D43" s="35">
        <f>EXP(-4%*ForwardCurve[[#This Row],[Years]])</f>
        <v>0.85173344087281511</v>
      </c>
      <c r="F43" s="129">
        <f>YEARFRAC(CurveDate,DiscountCurve[[#This Row],[Date]],1)</f>
        <v>4.0120415982484952</v>
      </c>
      <c r="G43" s="17">
        <v>46937</v>
      </c>
      <c r="H43" s="35">
        <f>EXP(-4%*DiscountCurve[[#This Row],[Years]])</f>
        <v>0.85173344087281511</v>
      </c>
    </row>
    <row r="44" spans="2:8">
      <c r="B44" s="129">
        <f>YEARFRAC(CurveDate,ForwardCurve[[#This Row],[Date]],1)</f>
        <v>5.0091240875912408</v>
      </c>
      <c r="C44" s="17">
        <v>47301</v>
      </c>
      <c r="D44" s="35">
        <f>EXP(-4%*ForwardCurve[[#This Row],[Years]])</f>
        <v>0.81843200075395639</v>
      </c>
      <c r="F44" s="129">
        <f>YEARFRAC(CurveDate,DiscountCurve[[#This Row],[Date]],1)</f>
        <v>5.0091240875912408</v>
      </c>
      <c r="G44" s="17">
        <v>47301</v>
      </c>
      <c r="H44" s="35">
        <f>EXP(-4%*DiscountCurve[[#This Row],[Years]])</f>
        <v>0.81843200075395639</v>
      </c>
    </row>
    <row r="45" spans="2:8">
      <c r="B45" s="129">
        <f>YEARFRAC(CurveDate,ForwardCurve[[#This Row],[Date]],1)</f>
        <v>7.0061601642710469</v>
      </c>
      <c r="C45" s="17">
        <v>48030</v>
      </c>
      <c r="D45" s="35">
        <f>EXP(-4%*ForwardCurve[[#This Row],[Years]])</f>
        <v>0.75559753431796861</v>
      </c>
      <c r="F45" s="129">
        <f>YEARFRAC(CurveDate,DiscountCurve[[#This Row],[Date]],1)</f>
        <v>7.0061601642710469</v>
      </c>
      <c r="G45" s="17">
        <v>48030</v>
      </c>
      <c r="H45" s="35">
        <f>EXP(-4%*DiscountCurve[[#This Row],[Years]])</f>
        <v>0.75559753431796861</v>
      </c>
    </row>
    <row r="46" spans="2:8">
      <c r="B46" s="129">
        <f>YEARFRAC(CurveDate,ForwardCurve[[#This Row],[Date]],1)</f>
        <v>10.011697361871578</v>
      </c>
      <c r="C46" s="17">
        <v>49128</v>
      </c>
      <c r="D46" s="35">
        <f>EXP(-4%*ForwardCurve[[#This Row],[Years]])</f>
        <v>0.67000648035325494</v>
      </c>
      <c r="F46" s="129">
        <f>YEARFRAC(CurveDate,DiscountCurve[[#This Row],[Date]],1)</f>
        <v>10.011697361871578</v>
      </c>
      <c r="G46" s="17">
        <v>49128</v>
      </c>
      <c r="H46" s="35">
        <f>EXP(-4%*DiscountCurve[[#This Row],[Years]])</f>
        <v>0.67000648035325494</v>
      </c>
    </row>
    <row r="47" spans="2:8">
      <c r="B47" s="129">
        <f>YEARFRAC(CurveDate,ForwardCurve[[#This Row],[Date]],1)</f>
        <v>12.006317119393556</v>
      </c>
      <c r="C47" s="17">
        <v>49857</v>
      </c>
      <c r="D47" s="35">
        <f>EXP(-4%*ForwardCurve[[#This Row],[Years]])</f>
        <v>0.6186270544164203</v>
      </c>
      <c r="F47" s="129">
        <f>YEARFRAC(CurveDate,DiscountCurve[[#This Row],[Date]],1)</f>
        <v>12.006317119393556</v>
      </c>
      <c r="G47" s="17">
        <v>49857</v>
      </c>
      <c r="H47" s="35">
        <f>EXP(-4%*DiscountCurve[[#This Row],[Years]])</f>
        <v>0.6186270544164203</v>
      </c>
    </row>
    <row r="48" spans="2:8">
      <c r="B48" s="129">
        <f>YEARFRAC(CurveDate,ForwardCurve[[#This Row],[Date]],1)</f>
        <v>15.006160164271048</v>
      </c>
      <c r="C48" s="17">
        <v>50952</v>
      </c>
      <c r="D48" s="35">
        <f>EXP(-4%*ForwardCurve[[#This Row],[Years]])</f>
        <v>0.54867642196024802</v>
      </c>
      <c r="F48" s="129">
        <f>YEARFRAC(CurveDate,DiscountCurve[[#This Row],[Date]],1)</f>
        <v>15.006160164271048</v>
      </c>
      <c r="G48" s="17">
        <v>50952</v>
      </c>
      <c r="H48" s="35">
        <f>EXP(-4%*DiscountCurve[[#This Row],[Years]])</f>
        <v>0.54867642196024802</v>
      </c>
    </row>
    <row r="49" spans="2:8">
      <c r="B49" s="129">
        <f>YEARFRAC(CurveDate,ForwardCurve[[#This Row],[Date]],1)</f>
        <v>20.006257332811888</v>
      </c>
      <c r="C49" s="17">
        <v>52779</v>
      </c>
      <c r="D49" s="35">
        <f>EXP(-4%*ForwardCurve[[#This Row],[Years]])</f>
        <v>0.44921651415572522</v>
      </c>
      <c r="F49" s="129">
        <f>YEARFRAC(CurveDate,DiscountCurve[[#This Row],[Date]],1)</f>
        <v>20.006257332811888</v>
      </c>
      <c r="G49" s="17">
        <v>52779</v>
      </c>
      <c r="H49" s="35">
        <f>EXP(-4%*DiscountCurve[[#This Row],[Years]])</f>
        <v>0.44921651415572522</v>
      </c>
    </row>
    <row r="50" spans="2:8">
      <c r="B50" s="129">
        <f>YEARFRAC(CurveDate,ForwardCurve[[#This Row],[Date]],1)</f>
        <v>25.006212488154155</v>
      </c>
      <c r="C50" s="17">
        <v>54605</v>
      </c>
      <c r="D50" s="35">
        <f>EXP(-4%*ForwardCurve[[#This Row],[Years]])</f>
        <v>0.3677880346623324</v>
      </c>
      <c r="F50" s="129">
        <f>YEARFRAC(CurveDate,DiscountCurve[[#This Row],[Date]],1)</f>
        <v>25.006212488154155</v>
      </c>
      <c r="G50" s="17">
        <v>54605</v>
      </c>
      <c r="H50" s="35">
        <f>EXP(-4%*DiscountCurve[[#This Row],[Years]])</f>
        <v>0.3677880346623324</v>
      </c>
    </row>
    <row r="51" spans="2:8">
      <c r="B51" s="129">
        <f>YEARFRAC(CurveDate,ForwardCurve[[#This Row],[Date]],1)</f>
        <v>30.006182107215402</v>
      </c>
      <c r="C51" s="17">
        <v>56431</v>
      </c>
      <c r="D51" s="35">
        <f>EXP(-4%*ForwardCurve[[#This Row],[Years]])</f>
        <v>0.30111974052395574</v>
      </c>
      <c r="F51" s="129">
        <f>YEARFRAC(CurveDate,DiscountCurve[[#This Row],[Date]],1)</f>
        <v>30.006182107215402</v>
      </c>
      <c r="G51" s="17">
        <v>56431</v>
      </c>
      <c r="H51" s="35">
        <f>EXP(-4%*DiscountCurve[[#This Row],[Years]])</f>
        <v>0.30111974052395574</v>
      </c>
    </row>
  </sheetData>
  <mergeCells count="10">
    <mergeCell ref="B2:D2"/>
    <mergeCell ref="B27:D27"/>
    <mergeCell ref="F27:H27"/>
    <mergeCell ref="B3:D3"/>
    <mergeCell ref="B4:D4"/>
    <mergeCell ref="B5:D5"/>
    <mergeCell ref="B6:D6"/>
    <mergeCell ref="B7:D7"/>
    <mergeCell ref="B8:D8"/>
    <mergeCell ref="B9:D9"/>
  </mergeCells>
  <pageMargins left="0.7" right="0.7" top="0.75" bottom="0.75" header="0.3" footer="0.3"/>
  <pageSetup paperSize="9" orientation="portrait" r:id="rId1"/>
  <tableParts count="3">
    <tablePart r:id="rId2"/>
    <tablePart r:id="rId3"/>
    <tablePart r:id="rId4"/>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822CA50-AEB5-4381-98C9-11DB81E705CE}">
          <x14:formula1>
            <xm:f>'Data Validation'!$E$1:$E$4</xm:f>
          </x14:formula1>
          <xm:sqref>E8</xm:sqref>
        </x14:dataValidation>
        <x14:dataValidation type="list" allowBlank="1" showInputMessage="1" showErrorMessage="1" xr:uid="{51FA7049-4549-4D76-8542-2F53BEF546F0}">
          <x14:formula1>
            <xm:f>'Data Validation'!$G$1:$G$2</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93517-5605-40E7-B6CA-DBE20DCE1569}">
  <sheetPr codeName="Sheet8">
    <pageSetUpPr autoPageBreaks="0"/>
  </sheetPr>
  <dimension ref="B2:X38"/>
  <sheetViews>
    <sheetView tabSelected="1" zoomScaleNormal="100" workbookViewId="0"/>
  </sheetViews>
  <sheetFormatPr defaultRowHeight="12"/>
  <cols>
    <col min="2" max="2" width="31" bestFit="1" customWidth="1"/>
    <col min="3" max="3" width="11.42578125" bestFit="1" customWidth="1"/>
    <col min="4" max="4" width="7.5703125" bestFit="1" customWidth="1"/>
    <col min="5" max="5" width="3.85546875" customWidth="1"/>
    <col min="6" max="6" width="34.5703125" bestFit="1" customWidth="1"/>
    <col min="7" max="7" width="8.5703125" bestFit="1" customWidth="1"/>
    <col min="8" max="8" width="12" bestFit="1" customWidth="1"/>
    <col min="9" max="9" width="5.140625" customWidth="1"/>
    <col min="10" max="10" width="17.7109375" bestFit="1" customWidth="1"/>
    <col min="11" max="11" width="5.140625" bestFit="1" customWidth="1"/>
    <col min="12" max="12" width="5.140625" customWidth="1"/>
    <col min="13" max="13" width="35" bestFit="1" customWidth="1"/>
    <col min="14" max="14" width="10.42578125" bestFit="1" customWidth="1"/>
    <col min="15" max="16" width="5.140625" customWidth="1"/>
    <col min="17" max="17" width="35" bestFit="1" customWidth="1"/>
    <col min="18" max="18" width="12.85546875" bestFit="1" customWidth="1"/>
    <col min="19" max="24" width="5.140625" customWidth="1"/>
  </cols>
  <sheetData>
    <row r="2" spans="2:15">
      <c r="B2" s="5" t="s">
        <v>19</v>
      </c>
      <c r="C2" s="6"/>
    </row>
    <row r="3" spans="2:15">
      <c r="B3" s="10" t="s">
        <v>20</v>
      </c>
    </row>
    <row r="4" spans="2:15">
      <c r="B4" s="11" t="s">
        <v>21</v>
      </c>
    </row>
    <row r="6" spans="2:15">
      <c r="B6" s="1" t="s">
        <v>71</v>
      </c>
      <c r="F6" s="140" t="s">
        <v>165</v>
      </c>
      <c r="G6" s="140"/>
      <c r="H6" s="140"/>
      <c r="M6" s="73" t="s">
        <v>111</v>
      </c>
      <c r="N6" s="74"/>
      <c r="O6" s="74"/>
    </row>
    <row r="7" spans="2:15" ht="15">
      <c r="B7" s="18" t="s">
        <v>70</v>
      </c>
      <c r="C7" s="19" t="s">
        <v>23</v>
      </c>
      <c r="D7" s="20" t="s">
        <v>24</v>
      </c>
      <c r="F7" s="137" t="s">
        <v>164</v>
      </c>
      <c r="G7" s="138"/>
      <c r="H7" s="139"/>
      <c r="M7" s="18" t="s">
        <v>70</v>
      </c>
      <c r="N7" s="27" t="s">
        <v>23</v>
      </c>
      <c r="O7" s="20" t="s">
        <v>24</v>
      </c>
    </row>
    <row r="8" spans="2:15">
      <c r="B8" s="22" t="s">
        <v>25</v>
      </c>
      <c r="C8" s="72">
        <v>4</v>
      </c>
      <c r="D8" s="7" t="s">
        <v>26</v>
      </c>
      <c r="F8" s="22" t="s">
        <v>155</v>
      </c>
      <c r="H8" s="120" cm="1">
        <f t="array" ref="H8">Linterp(CapletSABRFit[Expiry, years],CapletSABRFit[Beta],tau,0)</f>
        <v>0.5</v>
      </c>
      <c r="M8" s="21" t="s">
        <v>57</v>
      </c>
      <c r="N8" s="29">
        <f>CapletSABRTermStructureLognormalShift</f>
        <v>0.02</v>
      </c>
      <c r="O8" s="8"/>
    </row>
    <row r="9" spans="2:15">
      <c r="B9" s="22" t="s">
        <v>43</v>
      </c>
      <c r="C9" s="24">
        <v>100000000</v>
      </c>
      <c r="D9" s="7" t="s">
        <v>44</v>
      </c>
      <c r="F9" s="22" t="s">
        <v>156</v>
      </c>
      <c r="H9" s="120" cm="1">
        <f t="array" ref="H9">Linterp(CapletSABRFit[Expiry, years],CapletSABRFit[Rho],tau,0)</f>
        <v>0.2</v>
      </c>
      <c r="M9" s="22" t="s">
        <v>110</v>
      </c>
      <c r="N9" s="13">
        <f>K+LogNormalShift</f>
        <v>0.06</v>
      </c>
      <c r="O9" s="7"/>
    </row>
    <row r="10" spans="2:15">
      <c r="B10" s="22" t="s">
        <v>48</v>
      </c>
      <c r="C10" s="9">
        <v>45748</v>
      </c>
      <c r="D10" s="7" t="s">
        <v>22</v>
      </c>
      <c r="F10" s="22" t="s">
        <v>157</v>
      </c>
      <c r="H10" s="120" cm="1">
        <f t="array" ref="H10">Linterp(CapletSABRFit[Expiry, years],CapletSABRFit[VolVol],tau,0)</f>
        <v>0.6</v>
      </c>
      <c r="M10" s="22" t="s">
        <v>109</v>
      </c>
      <c r="N10" s="13">
        <f>F+LogNormalShift</f>
        <v>6.0155667655303766E-2</v>
      </c>
      <c r="O10" s="7"/>
    </row>
    <row r="11" spans="2:15">
      <c r="B11" s="22" t="s">
        <v>47</v>
      </c>
      <c r="C11" s="9">
        <v>45839</v>
      </c>
      <c r="D11" s="7" t="s">
        <v>22</v>
      </c>
      <c r="F11" s="25" t="s">
        <v>140</v>
      </c>
      <c r="G11" s="2"/>
      <c r="H11" s="79" cm="1">
        <f t="array" ref="H11">Linterp(CapletSABRFit[Expiry, years],CapletSABRFit[ATMF Normal Vol],tau,0)</f>
        <v>8.9999999999999993E-3</v>
      </c>
      <c r="M11" s="22" t="s">
        <v>174</v>
      </c>
      <c r="N11" s="12">
        <f>G35%</f>
        <v>0.14974543971576268</v>
      </c>
      <c r="O11" s="7"/>
    </row>
    <row r="12" spans="2:15" ht="15">
      <c r="B12" s="22" t="s">
        <v>30</v>
      </c>
      <c r="C12" s="9" t="s">
        <v>31</v>
      </c>
      <c r="D12" s="7"/>
      <c r="F12" s="137" t="s">
        <v>158</v>
      </c>
      <c r="G12" s="138"/>
      <c r="H12" s="139"/>
      <c r="M12" s="22" t="s">
        <v>108</v>
      </c>
      <c r="N12" s="67">
        <f>(LN(F_adj/K_adj)+(0.5*σSLN*σSLN*tau)) / (σSLN*SQRT(tau))</f>
        <v>8.5088101915334807E-2</v>
      </c>
      <c r="O12" s="7"/>
    </row>
    <row r="13" spans="2:15">
      <c r="B13" s="25" t="s">
        <v>50</v>
      </c>
      <c r="C13" s="71" t="s">
        <v>51</v>
      </c>
      <c r="D13" s="26"/>
      <c r="F13" s="25" t="s">
        <v>142</v>
      </c>
      <c r="G13" s="2"/>
      <c r="H13" s="103">
        <f>(2/SQRT(tau))*_xlfn.NORM.S.INV((σNatmf*SQRT(tau)*_xlfn.NORM.S.DIST(0,FALSE)+F_adj)/(2*F_adj))</f>
        <v>0.14971789015330508</v>
      </c>
      <c r="M13" s="22" t="s">
        <v>107</v>
      </c>
      <c r="N13" s="67">
        <f>d1_-σSLN*SQRT(tau)</f>
        <v>-4.5362791487884385E-2</v>
      </c>
      <c r="O13" s="7"/>
    </row>
    <row r="14" spans="2:15" ht="15">
      <c r="F14" s="137" t="s">
        <v>159</v>
      </c>
      <c r="G14" s="138"/>
      <c r="H14" s="139"/>
      <c r="M14" s="22" t="s">
        <v>153</v>
      </c>
      <c r="N14" s="16">
        <f>cp*(F_adj*_xlfn.NORM.S.DIST(cp*d1_,TRUE)-K_adj*_xlfn.NORM.S.DIST(cp*d2_,TRUE))</f>
        <v>3.202826999600044E-3</v>
      </c>
      <c r="O14" s="7"/>
    </row>
    <row r="15" spans="2:15">
      <c r="B15" s="1" t="s">
        <v>74</v>
      </c>
      <c r="F15" s="22" t="s">
        <v>176</v>
      </c>
      <c r="H15" s="101">
        <v>3.5887268658733533E-2</v>
      </c>
      <c r="M15" s="22" t="s">
        <v>106</v>
      </c>
      <c r="N15" s="30">
        <f>N14*NotionalAmount*AnnuityFactor</f>
        <v>76695.911425596263</v>
      </c>
      <c r="O15" s="7" t="s">
        <v>62</v>
      </c>
    </row>
    <row r="16" spans="2:15">
      <c r="B16" s="18" t="s">
        <v>70</v>
      </c>
      <c r="C16" s="27" t="s">
        <v>23</v>
      </c>
      <c r="D16" s="20" t="s">
        <v>24</v>
      </c>
      <c r="F16" s="100" t="s">
        <v>144</v>
      </c>
      <c r="H16" s="101"/>
      <c r="M16" s="143" t="s">
        <v>102</v>
      </c>
      <c r="N16" s="31" cm="1">
        <f t="array" ref="N16">_xlfn.NORM.S.DIST(d1_,TRUE)+_xlfn.IFS(cp=1,0,cp=-1,-1)</f>
        <v>0.5339043253509016</v>
      </c>
      <c r="O16" s="8"/>
    </row>
    <row r="17" spans="2:15">
      <c r="B17" s="22" t="s">
        <v>119</v>
      </c>
      <c r="C17" s="68">
        <f>YEARFRAC(CurveDate,EffectiveDate,DCB)</f>
        <v>0.75890410958904109</v>
      </c>
      <c r="D17" s="7" t="s">
        <v>115</v>
      </c>
      <c r="F17" s="22" t="s">
        <v>67</v>
      </c>
      <c r="H17" s="7">
        <f>alpha/(F_adj^(1-beta))</f>
        <v>0.14631947366945094</v>
      </c>
      <c r="M17" s="144"/>
      <c r="N17" s="30">
        <f>N16*NotionalAmount*AnnuityFactor</f>
        <v>12785042.355384456</v>
      </c>
      <c r="O17" s="7" t="s">
        <v>62</v>
      </c>
    </row>
    <row r="18" spans="2:15">
      <c r="B18" s="22" t="s">
        <v>56</v>
      </c>
      <c r="C18" s="13">
        <f>C8%</f>
        <v>0.04</v>
      </c>
      <c r="D18" s="7"/>
      <c r="F18" s="22" t="s">
        <v>66</v>
      </c>
      <c r="H18" s="7">
        <f>((1-beta)^2)/24</f>
        <v>1.0416666666666666E-2</v>
      </c>
      <c r="M18" s="64" t="s">
        <v>101</v>
      </c>
      <c r="N18" s="13">
        <f>F_adj*SQRT(tau)*_xlfn.NORM.S.DIST(d1_,FALSE)</f>
        <v>2.083089484729983E-2</v>
      </c>
      <c r="O18" s="7"/>
    </row>
    <row r="19" spans="2:15">
      <c r="B19" s="22" t="s">
        <v>118</v>
      </c>
      <c r="C19" s="13">
        <f>G37%</f>
        <v>4.0155667655303769E-2</v>
      </c>
      <c r="D19" s="7"/>
      <c r="F19" s="22" t="s">
        <v>65</v>
      </c>
      <c r="H19" s="7">
        <f>alpha*alpha/(F_adj^(2-2*beta))</f>
        <v>2.140938837490515E-2</v>
      </c>
      <c r="M19" s="63" t="s">
        <v>105</v>
      </c>
      <c r="N19" s="28">
        <f>N18*NotionalAmount*AnnuityFactor*1%</f>
        <v>4988.2321659081945</v>
      </c>
      <c r="O19" s="26" t="s">
        <v>62</v>
      </c>
    </row>
    <row r="20" spans="2:15">
      <c r="B20" s="22" t="s">
        <v>45</v>
      </c>
      <c r="C20" cm="1">
        <f t="array" ref="C20">_xlfn.IFS(C12="Buy",1,C12="Sell",-1)</f>
        <v>1</v>
      </c>
      <c r="D20" s="7" t="s">
        <v>75</v>
      </c>
      <c r="F20" s="22" t="s">
        <v>64</v>
      </c>
      <c r="H20" s="7">
        <f>0.25*rho*beta*alpha*volvol/(F_adj^(1-beta))</f>
        <v>2.194792105041764E-3</v>
      </c>
    </row>
    <row r="21" spans="2:15">
      <c r="B21" s="22" t="s">
        <v>49</v>
      </c>
      <c r="C21" cm="1">
        <f t="array" ref="C21">_xlfn.IFS(C13="Caplet",1,C13="Floorlet",-1)</f>
        <v>1</v>
      </c>
      <c r="D21" s="7" t="s">
        <v>75</v>
      </c>
      <c r="F21" s="22" t="s">
        <v>63</v>
      </c>
      <c r="H21" s="7">
        <f>(2-3*rho*rho)*volvol*volvol/24</f>
        <v>2.8199999999999999E-2</v>
      </c>
    </row>
    <row r="22" spans="2:15">
      <c r="B22" s="22" t="s">
        <v>117</v>
      </c>
      <c r="C22" s="68">
        <f>YEARFRAC(EffectiveDate,MaturityDate,DCB)</f>
        <v>0.24931506849315069</v>
      </c>
      <c r="D22" s="7" t="s">
        <v>115</v>
      </c>
      <c r="F22" s="22" t="s">
        <v>143</v>
      </c>
      <c r="H22" s="7">
        <f>H17*(1+(H18*H19+H20+H21)*tau)</f>
        <v>0.14971934992065367</v>
      </c>
      <c r="M22" s="73" t="s">
        <v>104</v>
      </c>
      <c r="N22" s="74"/>
      <c r="O22" s="74"/>
    </row>
    <row r="23" spans="2:15">
      <c r="B23" s="22" t="s">
        <v>116</v>
      </c>
      <c r="C23" s="14">
        <f>YEARFRAC(CurveDate,MaturityDate,DCB)</f>
        <v>1.0082191780821919</v>
      </c>
      <c r="D23" s="7" t="s">
        <v>115</v>
      </c>
      <c r="F23" s="25" t="s">
        <v>141</v>
      </c>
      <c r="G23" s="2"/>
      <c r="H23" s="102">
        <f>100*(H22-σSLNatmf)</f>
        <v>1.4597673485827745E-4</v>
      </c>
      <c r="M23" s="18" t="s">
        <v>70</v>
      </c>
      <c r="N23" s="27" t="s">
        <v>23</v>
      </c>
      <c r="O23" s="20" t="s">
        <v>24</v>
      </c>
    </row>
    <row r="24" spans="2:15">
      <c r="B24" s="22" t="s">
        <v>114</v>
      </c>
      <c r="C24" s="12">
        <f>-1*LN(DF)/C23</f>
        <v>3.9989117526142447E-2</v>
      </c>
      <c r="D24" s="7"/>
      <c r="F24" s="137" t="s">
        <v>160</v>
      </c>
      <c r="G24" s="138"/>
      <c r="H24" s="139"/>
      <c r="M24" s="21" t="s">
        <v>55</v>
      </c>
      <c r="N24" s="66">
        <f>G36%%</f>
        <v>8.9900017102771158E-3</v>
      </c>
      <c r="O24" s="8"/>
    </row>
    <row r="25" spans="2:15" ht="14.25">
      <c r="B25" s="22" t="s">
        <v>113</v>
      </c>
      <c r="C25" s="68">
        <f>Term*DF</f>
        <v>0.23946317248847263</v>
      </c>
      <c r="D25" s="7" t="s">
        <v>112</v>
      </c>
      <c r="F25" s="141" t="s">
        <v>162</v>
      </c>
      <c r="G25" s="142"/>
      <c r="H25" s="104" cm="1">
        <f t="array" ref="H25">CalcSLNVolatilityForStrikeFromSABRParams(tau,F,alpha,beta,rho,volvol,K,LogNormalShift)</f>
        <v>0.14974543971576268</v>
      </c>
      <c r="M25" s="22" t="s">
        <v>103</v>
      </c>
      <c r="N25" s="16">
        <f>(F-K)/(σN*SQRT(tau))</f>
        <v>1.9876740021111877E-2</v>
      </c>
      <c r="O25" s="7"/>
    </row>
    <row r="26" spans="2:15">
      <c r="B26" s="25" t="s">
        <v>175</v>
      </c>
      <c r="C26" s="128" cm="1">
        <f t="array" ref="C26">Black76LnToNormalVolAnalytical(F,tau,K,σSLN,LogNormalShift)*100*100</f>
        <v>89.900017097760625</v>
      </c>
      <c r="D26" s="26" t="s">
        <v>28</v>
      </c>
      <c r="F26" s="137" t="s">
        <v>161</v>
      </c>
      <c r="G26" s="138"/>
      <c r="H26" s="139"/>
      <c r="M26" s="22" t="s">
        <v>154</v>
      </c>
      <c r="N26" s="16">
        <f>cp*(F-K)*_xlfn.NORM.S.DIST(cp*d_,TRUE)+σN*SQRT(tau)*_xlfn.NORM.S.DIST(d_,FALSE)</f>
        <v>3.2028269995992781E-3</v>
      </c>
      <c r="O26" s="7"/>
    </row>
    <row r="27" spans="2:15">
      <c r="F27" s="22" t="s">
        <v>163</v>
      </c>
      <c r="H27" s="119">
        <v>8.9900017102771158E-3</v>
      </c>
      <c r="M27" s="25" t="s">
        <v>106</v>
      </c>
      <c r="N27" s="28">
        <f>N26*NotionalAmount*C25</f>
        <v>76695.911425577913</v>
      </c>
      <c r="O27" s="26" t="s">
        <v>44</v>
      </c>
    </row>
    <row r="28" spans="2:15">
      <c r="F28" s="100" t="s">
        <v>144</v>
      </c>
      <c r="H28" s="101"/>
      <c r="M28" s="144" t="s">
        <v>102</v>
      </c>
      <c r="N28" s="65" cm="1">
        <f t="array" ref="N28">_xlfn.NORM.S.DIST(d_,TRUE)+_xlfn.IFS(cp=1,0,cp=-1,-1)</f>
        <v>0.50792914987310733</v>
      </c>
      <c r="O28" s="7"/>
    </row>
    <row r="29" spans="2:15">
      <c r="F29" s="22" t="s">
        <v>153</v>
      </c>
      <c r="H29" s="121" cm="1">
        <f t="array" ref="H29">Black76(F,tau,cp,K,H25,LogNormalShift)</f>
        <v>3.2028269996000418E-3</v>
      </c>
      <c r="M29" s="144"/>
      <c r="N29" s="30">
        <f>N28*NotionalAmount*AnnuityFactor</f>
        <v>12163032.562798716</v>
      </c>
      <c r="O29" s="7" t="s">
        <v>62</v>
      </c>
    </row>
    <row r="30" spans="2:15">
      <c r="F30" s="22" t="s">
        <v>154</v>
      </c>
      <c r="H30" s="121" cm="1">
        <f t="array" ref="H30">Bachelier(F,tau,cp,K,H27)</f>
        <v>3.2028269995992785E-3</v>
      </c>
      <c r="M30" s="64" t="s">
        <v>101</v>
      </c>
      <c r="N30" s="13">
        <f>SQRT(tau)*_xlfn.NORM.S.DIST(d_,FALSE)</f>
        <v>0.34747032986735732</v>
      </c>
      <c r="O30" s="7"/>
    </row>
    <row r="31" spans="2:15">
      <c r="F31" s="25" t="s">
        <v>141</v>
      </c>
      <c r="G31" s="2"/>
      <c r="H31" s="102">
        <f>NotionalAmount*(H29-H30)</f>
        <v>7.6327832942979512E-8</v>
      </c>
      <c r="M31" s="63" t="s">
        <v>100</v>
      </c>
      <c r="N31" s="28">
        <f>N30*NotionalAmount*AnnuityFactor*1%*1%</f>
        <v>832.06347535653481</v>
      </c>
      <c r="O31" s="26" t="s">
        <v>62</v>
      </c>
    </row>
    <row r="33" spans="6:24">
      <c r="F33" s="1" t="s">
        <v>181</v>
      </c>
      <c r="L33" s="15"/>
      <c r="P33" s="15"/>
      <c r="Q33" s="15"/>
      <c r="R33" s="15"/>
      <c r="S33" s="15"/>
      <c r="T33" s="15"/>
      <c r="U33" s="15"/>
      <c r="V33" s="15"/>
      <c r="W33" s="15"/>
      <c r="X33" s="15"/>
    </row>
    <row r="34" spans="6:24">
      <c r="F34" s="18" t="s">
        <v>70</v>
      </c>
      <c r="G34" s="19" t="s">
        <v>23</v>
      </c>
      <c r="H34" s="20" t="s">
        <v>24</v>
      </c>
      <c r="J34" s="105" t="s">
        <v>145</v>
      </c>
      <c r="K34" s="20" t="s">
        <v>24</v>
      </c>
      <c r="L34" s="15"/>
      <c r="M34" s="15"/>
      <c r="N34" s="15"/>
      <c r="O34" s="15"/>
      <c r="P34" s="15"/>
      <c r="Q34" s="15"/>
      <c r="R34" s="15"/>
      <c r="S34" s="15"/>
      <c r="T34" s="15"/>
      <c r="U34" s="15"/>
      <c r="V34" s="15"/>
      <c r="W34" s="15"/>
      <c r="X34" s="15"/>
    </row>
    <row r="35" spans="6:24">
      <c r="F35" s="22" t="s">
        <v>122</v>
      </c>
      <c r="G35" s="23">
        <v>14.974543971576267</v>
      </c>
      <c r="H35" s="7" t="s">
        <v>26</v>
      </c>
      <c r="J35" s="118">
        <f>H25*100</f>
        <v>14.974543971576267</v>
      </c>
      <c r="K35" s="8" t="s">
        <v>26</v>
      </c>
      <c r="L35" s="15"/>
      <c r="M35" s="15"/>
      <c r="N35" s="15"/>
      <c r="O35" s="15"/>
      <c r="P35" s="15"/>
      <c r="Q35" s="15"/>
      <c r="R35" s="15"/>
      <c r="S35" s="15"/>
      <c r="T35" s="15"/>
      <c r="U35" s="15"/>
      <c r="V35" s="15"/>
      <c r="W35" s="15"/>
      <c r="X35" s="15"/>
    </row>
    <row r="36" spans="6:24">
      <c r="F36" s="22" t="s">
        <v>53</v>
      </c>
      <c r="G36" s="23">
        <v>89.900017102771159</v>
      </c>
      <c r="H36" s="7" t="s">
        <v>28</v>
      </c>
      <c r="J36" s="22">
        <f>Vol_N_per_Caplet_Term_Structure*10000</f>
        <v>89.900017102771159</v>
      </c>
      <c r="K36" s="7" t="s">
        <v>28</v>
      </c>
    </row>
    <row r="37" spans="6:24">
      <c r="F37" s="22" t="s">
        <v>121</v>
      </c>
      <c r="G37" s="70">
        <v>4.0155667655303766</v>
      </c>
      <c r="H37" s="7" t="s">
        <v>26</v>
      </c>
      <c r="J37" s="106" cm="1">
        <f t="array" ref="J37">100*(Linterp(ForwardCurve[Date],ForwardCurve[Discount Factor],EffectiveDate,-1,TRUE)/Linterp(ForwardCurve[Date],ForwardCurve[Discount Factor],MaturityDate,-1,TRUE)-1)/Term</f>
        <v>4.0155667655303766</v>
      </c>
      <c r="K37" s="7" t="s">
        <v>26</v>
      </c>
    </row>
    <row r="38" spans="6:24">
      <c r="F38" s="25" t="s">
        <v>120</v>
      </c>
      <c r="G38" s="69">
        <v>0.96048415338782978</v>
      </c>
      <c r="H38" s="26"/>
      <c r="J38" s="107" cm="1">
        <f t="array" ref="J38">Linterp(DiscountCurve[Date],DiscountCurve[Discount Factor],MaturityDate,-1,TRUE)</f>
        <v>0.96048415338782978</v>
      </c>
      <c r="K38" s="26"/>
    </row>
  </sheetData>
  <mergeCells count="9">
    <mergeCell ref="F24:H24"/>
    <mergeCell ref="F26:H26"/>
    <mergeCell ref="F6:H6"/>
    <mergeCell ref="F25:G25"/>
    <mergeCell ref="M16:M17"/>
    <mergeCell ref="M28:M29"/>
    <mergeCell ref="F7:H7"/>
    <mergeCell ref="F12:H12"/>
    <mergeCell ref="F14:H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9" r:id="rId4" name="Button 5">
              <controlPr defaultSize="0" print="0" autoFill="0" autoPict="0" macro="[0]!CapletPricerSolveAlpha">
                <anchor moveWithCells="1" sizeWithCells="1">
                  <from>
                    <xdr:col>5</xdr:col>
                    <xdr:colOff>142875</xdr:colOff>
                    <xdr:row>3</xdr:row>
                    <xdr:rowOff>0</xdr:rowOff>
                  </from>
                  <to>
                    <xdr:col>7</xdr:col>
                    <xdr:colOff>781050</xdr:colOff>
                    <xdr:row>4</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D014850-AD36-47BD-BD32-D415622992BF}">
          <x14:formula1>
            <xm:f>'Data Validation'!$C$1:$C$2</xm:f>
          </x14:formula1>
          <xm:sqref>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413FE-7688-4FEE-AD33-BBBBDAF66834}">
  <sheetPr codeName="Sheet15"/>
  <dimension ref="B1:AN124"/>
  <sheetViews>
    <sheetView workbookViewId="0">
      <selection activeCell="C29" sqref="C29"/>
    </sheetView>
  </sheetViews>
  <sheetFormatPr defaultRowHeight="12"/>
  <cols>
    <col min="2" max="2" width="33.5703125" bestFit="1" customWidth="1"/>
    <col min="3" max="3" width="11.42578125" bestFit="1" customWidth="1"/>
    <col min="4" max="4" width="5.5703125" bestFit="1" customWidth="1"/>
    <col min="5" max="5" width="7.28515625" style="15" customWidth="1"/>
    <col min="6" max="6" width="2.5703125" style="30" bestFit="1" customWidth="1"/>
    <col min="7" max="7" width="8.7109375" style="33" bestFit="1" customWidth="1"/>
    <col min="8" max="9" width="8.5703125" style="33" bestFit="1" customWidth="1"/>
    <col min="10" max="10" width="11.42578125" style="32" bestFit="1" customWidth="1"/>
    <col min="11" max="11" width="8.42578125" style="42" bestFit="1" customWidth="1"/>
    <col min="12" max="12" width="11.42578125" style="32" bestFit="1" customWidth="1"/>
    <col min="13" max="13" width="11.42578125" style="15" bestFit="1" customWidth="1"/>
    <col min="14" max="14" width="13.140625" style="15" bestFit="1" customWidth="1"/>
    <col min="15" max="15" width="4" style="15" customWidth="1"/>
    <col min="16" max="16" width="7" style="3" bestFit="1" customWidth="1"/>
    <col min="17" max="17" width="7" style="126" bestFit="1" customWidth="1"/>
    <col min="18" max="18" width="10.5703125" style="96" bestFit="1" customWidth="1"/>
    <col min="19" max="19" width="6.5703125" style="96" bestFit="1" customWidth="1"/>
    <col min="20" max="20" width="7" style="96" bestFit="1" customWidth="1"/>
    <col min="21" max="21" width="7" style="86" bestFit="1" customWidth="1"/>
    <col min="22" max="22" width="4" style="15" customWidth="1"/>
    <col min="23" max="23" width="8.42578125" style="3" bestFit="1" customWidth="1"/>
    <col min="24" max="24" width="8.5703125" style="3" bestFit="1" customWidth="1"/>
    <col min="25" max="25" width="7.5703125" style="15" bestFit="1" customWidth="1"/>
    <col min="26" max="26" width="7" style="15" bestFit="1" customWidth="1"/>
    <col min="27" max="27" width="7" style="56" bestFit="1" customWidth="1"/>
    <col min="28" max="28" width="4" style="15" customWidth="1"/>
    <col min="29" max="29" width="9.5703125" style="33" bestFit="1" customWidth="1"/>
    <col min="30" max="30" width="9.140625" style="33" bestFit="1" customWidth="1"/>
    <col min="31" max="31" width="5" style="30" bestFit="1" customWidth="1"/>
    <col min="32" max="32" width="7.5703125" style="32" bestFit="1" customWidth="1"/>
    <col min="33" max="34" width="8.5703125" style="15" bestFit="1" customWidth="1"/>
    <col min="35" max="35" width="17.85546875" style="42" bestFit="1" customWidth="1"/>
    <col min="37" max="38" width="7.5703125" style="32" bestFit="1" customWidth="1"/>
    <col min="39" max="39" width="7.85546875" style="32" bestFit="1" customWidth="1"/>
    <col min="40" max="40" width="9.5703125" style="56" bestFit="1" customWidth="1"/>
  </cols>
  <sheetData>
    <row r="1" spans="2:40">
      <c r="Q1" s="15"/>
      <c r="R1" s="32"/>
      <c r="S1" s="32"/>
      <c r="T1" s="32"/>
    </row>
    <row r="2" spans="2:40">
      <c r="B2" s="5" t="s">
        <v>19</v>
      </c>
      <c r="C2" s="6"/>
      <c r="Q2" s="15"/>
      <c r="R2" s="32"/>
      <c r="S2" s="32"/>
      <c r="T2" s="32"/>
    </row>
    <row r="3" spans="2:40">
      <c r="B3" s="10" t="s">
        <v>20</v>
      </c>
      <c r="P3" s="147" t="s">
        <v>151</v>
      </c>
      <c r="Q3" s="148"/>
      <c r="R3" s="148"/>
      <c r="S3" s="149"/>
      <c r="T3" s="32"/>
      <c r="Y3" s="90"/>
      <c r="Z3" s="90"/>
    </row>
    <row r="4" spans="2:40">
      <c r="B4" s="11" t="s">
        <v>21</v>
      </c>
      <c r="P4" s="18" t="s">
        <v>70</v>
      </c>
      <c r="Q4" s="34"/>
      <c r="R4" s="27" t="s">
        <v>23</v>
      </c>
      <c r="S4" s="20" t="s">
        <v>24</v>
      </c>
      <c r="W4" s="147" t="s">
        <v>152</v>
      </c>
      <c r="X4" s="148"/>
      <c r="Y4" s="149"/>
      <c r="Z4" s="78"/>
    </row>
    <row r="5" spans="2:40">
      <c r="L5" s="49"/>
      <c r="P5" s="145" t="s">
        <v>57</v>
      </c>
      <c r="Q5" s="146"/>
      <c r="R5" s="123">
        <f>C24</f>
        <v>0.02</v>
      </c>
      <c r="S5" s="7"/>
      <c r="W5" s="18" t="s">
        <v>70</v>
      </c>
      <c r="X5" s="27" t="s">
        <v>23</v>
      </c>
      <c r="Y5" s="20" t="s">
        <v>24</v>
      </c>
      <c r="Z5"/>
    </row>
    <row r="6" spans="2:40">
      <c r="B6" s="1" t="s">
        <v>71</v>
      </c>
      <c r="P6" s="22" t="s">
        <v>54</v>
      </c>
      <c r="Q6" s="14"/>
      <c r="R6" s="12">
        <f>C19%</f>
        <v>0.15</v>
      </c>
      <c r="S6" s="7"/>
      <c r="W6" s="21" t="s">
        <v>55</v>
      </c>
      <c r="X6" s="66">
        <f>C20%%</f>
        <v>9.0000000000000011E-3</v>
      </c>
      <c r="Y6" s="8"/>
      <c r="Z6"/>
    </row>
    <row r="7" spans="2:40">
      <c r="B7" s="18" t="s">
        <v>70</v>
      </c>
      <c r="C7" s="19" t="s">
        <v>23</v>
      </c>
      <c r="D7" s="20" t="s">
        <v>24</v>
      </c>
      <c r="P7" s="22" t="s">
        <v>6</v>
      </c>
      <c r="Q7" s="14"/>
      <c r="R7" s="81">
        <f>R8/NotionalAmount</f>
        <v>1.9007814676449879E-3</v>
      </c>
      <c r="S7" s="7"/>
      <c r="W7" s="22" t="s">
        <v>6</v>
      </c>
      <c r="X7" s="127">
        <f>X8/NotionalAmount</f>
        <v>1.8983200118847284E-3</v>
      </c>
      <c r="Y7" s="7"/>
      <c r="Z7"/>
    </row>
    <row r="8" spans="2:40">
      <c r="B8" s="21" t="s">
        <v>25</v>
      </c>
      <c r="C8" s="80">
        <v>4</v>
      </c>
      <c r="D8" s="8" t="s">
        <v>26</v>
      </c>
      <c r="P8" s="141" t="s">
        <v>126</v>
      </c>
      <c r="Q8" s="142"/>
      <c r="R8" s="28">
        <f>SUM(_xlfn.ANCHORARRAY(U12))</f>
        <v>190078.14676449879</v>
      </c>
      <c r="S8" s="26" t="s">
        <v>62</v>
      </c>
      <c r="W8" s="25" t="s">
        <v>126</v>
      </c>
      <c r="X8" s="28">
        <f>SUM(_xlfn.ANCHORARRAY(AA12))</f>
        <v>189832.00118847284</v>
      </c>
      <c r="Y8" s="79" t="s">
        <v>62</v>
      </c>
      <c r="Z8" s="77"/>
      <c r="AC8" s="46"/>
      <c r="AD8" s="46"/>
      <c r="AE8" s="41"/>
    </row>
    <row r="9" spans="2:40">
      <c r="B9" s="22" t="s">
        <v>27</v>
      </c>
      <c r="C9" s="23">
        <v>0</v>
      </c>
      <c r="D9" s="7" t="s">
        <v>28</v>
      </c>
      <c r="Q9" s="15"/>
      <c r="R9" s="32"/>
      <c r="S9" s="32"/>
      <c r="T9" s="32"/>
      <c r="AC9" s="46"/>
      <c r="AD9" s="46"/>
      <c r="AE9" s="41"/>
    </row>
    <row r="10" spans="2:40">
      <c r="B10" s="22" t="s">
        <v>43</v>
      </c>
      <c r="C10" s="24">
        <v>100000000</v>
      </c>
      <c r="D10" s="7" t="s">
        <v>44</v>
      </c>
      <c r="F10" s="110" t="s">
        <v>125</v>
      </c>
      <c r="G10" s="111"/>
      <c r="H10" s="111"/>
      <c r="I10" s="111"/>
      <c r="J10" s="112"/>
      <c r="K10" s="113"/>
      <c r="L10" s="112"/>
      <c r="M10" s="114"/>
      <c r="N10" s="114"/>
      <c r="P10" s="59" t="s">
        <v>167</v>
      </c>
      <c r="Q10" s="110"/>
      <c r="R10" s="110"/>
      <c r="S10" s="112"/>
      <c r="T10" s="112"/>
      <c r="U10" s="125"/>
      <c r="W10" s="59" t="s">
        <v>168</v>
      </c>
      <c r="X10" s="59"/>
      <c r="Y10" s="89"/>
      <c r="Z10" s="89"/>
      <c r="AA10" s="124"/>
      <c r="AC10" s="115" t="s">
        <v>88</v>
      </c>
      <c r="AD10" s="116"/>
      <c r="AE10" s="117"/>
      <c r="AF10" s="91"/>
      <c r="AG10" s="92"/>
      <c r="AH10" s="92"/>
      <c r="AI10" s="75"/>
    </row>
    <row r="11" spans="2:40" ht="15.75">
      <c r="B11" s="22" t="s">
        <v>48</v>
      </c>
      <c r="C11" s="57">
        <v>45566</v>
      </c>
      <c r="D11" s="7" t="s">
        <v>22</v>
      </c>
      <c r="F11" s="39" t="s">
        <v>89</v>
      </c>
      <c r="G11" s="44" t="s">
        <v>3</v>
      </c>
      <c r="H11" s="44" t="s">
        <v>2</v>
      </c>
      <c r="I11" s="44" t="s">
        <v>90</v>
      </c>
      <c r="J11" s="47" t="s">
        <v>80</v>
      </c>
      <c r="K11" s="84" t="s">
        <v>99</v>
      </c>
      <c r="L11" s="47" t="s">
        <v>98</v>
      </c>
      <c r="M11" s="48" t="s">
        <v>97</v>
      </c>
      <c r="N11" s="48" t="s">
        <v>133</v>
      </c>
      <c r="P11" s="43" t="s">
        <v>150</v>
      </c>
      <c r="Q11" s="47" t="s">
        <v>149</v>
      </c>
      <c r="R11" s="47" t="s">
        <v>91</v>
      </c>
      <c r="S11" s="47" t="s">
        <v>92</v>
      </c>
      <c r="T11" s="47" t="s">
        <v>148</v>
      </c>
      <c r="U11" s="87" t="s">
        <v>147</v>
      </c>
      <c r="W11" s="60" t="s">
        <v>99</v>
      </c>
      <c r="X11" s="61" t="s">
        <v>61</v>
      </c>
      <c r="Y11" s="54" t="s">
        <v>96</v>
      </c>
      <c r="Z11" s="54" t="s">
        <v>148</v>
      </c>
      <c r="AA11" s="62" t="s">
        <v>147</v>
      </c>
      <c r="AC11" s="50" t="s">
        <v>81</v>
      </c>
      <c r="AD11" s="51" t="s">
        <v>82</v>
      </c>
      <c r="AE11" s="52" t="s">
        <v>1</v>
      </c>
      <c r="AF11" s="53" t="s">
        <v>83</v>
      </c>
      <c r="AG11" s="54" t="s">
        <v>84</v>
      </c>
      <c r="AH11" s="54" t="s">
        <v>85</v>
      </c>
      <c r="AI11" s="76" t="s">
        <v>86</v>
      </c>
      <c r="AK11" s="76" t="s">
        <v>155</v>
      </c>
      <c r="AL11" s="76" t="s">
        <v>169</v>
      </c>
      <c r="AM11" s="76" t="s">
        <v>170</v>
      </c>
      <c r="AN11" s="76" t="s">
        <v>171</v>
      </c>
    </row>
    <row r="12" spans="2:40">
      <c r="B12" s="22" t="s">
        <v>47</v>
      </c>
      <c r="C12" s="57">
        <v>45839</v>
      </c>
      <c r="D12" s="7" t="s">
        <v>22</v>
      </c>
      <c r="F12" s="40" cm="1">
        <f t="array" ref="F12:F14">ROW(_xlfn.ANCHORARRAY(G12))-ROW()</f>
        <v>0</v>
      </c>
      <c r="G12" s="33" cm="1">
        <f t="array" ref="G12:G14">_xlfn._xlws.SORT(_xlfn.UNIQUE(StartDateSchedule(EffectiveDate,MaturityDate,Frequency,Holidays_NSW,RollConvention)))</f>
        <v>45566</v>
      </c>
      <c r="H12" s="33" cm="1">
        <f t="array" ref="H12:H14">_xlfn.LET(
    _xlpm.RolledEndDate, IF(RollUserSpecifiedDates, RollDate(MaturityDate, Holidays_NSW, RollConvention), MaturityDate),
    IF(COUNT(_xlfn.ANCHORARRAY(G12))=1, _xlpm.RolledEndDate, _xlfn.VSTACK(_xlfn.DROP(_xlfn.ANCHORARRAY(G12),1), _xlpm.RolledEndDate))
)</f>
        <v>45659</v>
      </c>
      <c r="I12" s="33" cm="1">
        <f t="array" ref="I12:I14">OffsetDateRangeByBusinessDays(_xlfn.ANCHORARRAY(H12),PaymentOffset,Holidays_NSW)</f>
        <v>45659</v>
      </c>
      <c r="J12" s="32" cm="1">
        <f t="array" ref="J12:J14">YEARFRAC(_xlfn.CHOOSECOLS(_xlfn.ANCHORARRAY(G12),1),_xlfn.CHOOSECOLS(_xlfn.ANCHORARRAY(H12),1),DCB)</f>
        <v>0.25479452054794521</v>
      </c>
      <c r="K12" s="42" cm="1">
        <f t="array" ref="K12:K14">_xlfn.ANCHORARRAY(AI12)</f>
        <v>4.0162186791921357E-2</v>
      </c>
      <c r="L12" s="32" cm="1">
        <f t="array" ref="L12:L14">YEARFRAC(CurveDate,_xlfn.CHOOSECOLS(_xlfn.ANCHORARRAY(AC12),1),DCB)</f>
        <v>0.26027397260273971</v>
      </c>
      <c r="M12" s="15" cm="1">
        <f t="array" ref="M12:M14">Linterp(DiscountCurve[Date],DiscountCurve[Discount Factor],_xlfn.ANCHORARRAY(I12),-1,TRUE)</f>
        <v>0.97964637424791501</v>
      </c>
      <c r="N12" s="15" cm="1">
        <f t="array" ref="N12:N14">_xlfn.ANCHORARRAY(J12)*_xlfn.ANCHORARRAY(M12)</f>
        <v>0.2496085282330304</v>
      </c>
      <c r="P12" s="3" cm="1">
        <f t="array" ref="P12:P14">_xlfn.ANCHORARRAY(AI12)+LogNormalShift</f>
        <v>6.0162186791921354E-2</v>
      </c>
      <c r="Q12" s="3" cm="1">
        <f t="array" ref="Q12:Q14">_xlfn.ANCHORARRAY(P12)*0+K_adj+LogNormalShift</f>
        <v>0.06</v>
      </c>
      <c r="R12" s="96" cm="1">
        <f t="array" ref="R12:R14">(LN(_xlfn.ANCHORARRAY(P12)/_xlfn.ANCHORARRAY(Q12))+(0.5*σSLN*σSLN*tau)) / (σSLN*SQRT(tau))</f>
        <v>7.3538136601740495E-2</v>
      </c>
      <c r="S12" s="96" cm="1">
        <f t="array" ref="S12:S14">_xlfn.ANCHORARRAY(R12)-σSLN*SQRT(tau)</f>
        <v>-2.9874433278597873E-3</v>
      </c>
      <c r="T12" s="49" cm="1">
        <f t="array" ref="T12:T14">_xlfn.ANCHORARRAY(U12)/_xlfn.ANCHORARRAY(M12)</f>
        <v>48819.121237369785</v>
      </c>
      <c r="U12" s="49" cm="1">
        <f t="array" ref="U12:U14">NotionalAmount*BuySell*AnnuityFactor*cp*(_xlfn.ANCHORARRAY(P12)*_xlfn.NORM.S.DIST(cp*_xlfn.ANCHORARRAY(R12),TRUE)-_xlfn.ANCHORARRAY(Q12)*_xlfn.NORM.S.DIST(cp*_xlfn.ANCHORARRAY(S12),TRUE))</f>
        <v>47825.475114158697</v>
      </c>
      <c r="W12" s="3" cm="1">
        <f t="array" ref="W12:W14">_xlfn.ANCHORARRAY(AI12)</f>
        <v>4.0162186791921357E-2</v>
      </c>
      <c r="X12" s="3" cm="1">
        <f t="array" ref="X12:X14">_xlfn.ANCHORARRAY(P12)*0+K_adj</f>
        <v>0.04</v>
      </c>
      <c r="Y12" s="32" cm="1">
        <f t="array" ref="Y12:Y14">(_xlfn.ANCHORARRAY(W12)-_xlfn.ANCHORARRAY(X12))/(σN*SQRT(_xlfn.ANCHORARRAY(L12)))</f>
        <v>3.5323001814243089E-2</v>
      </c>
      <c r="Z12" s="49" cm="1">
        <f t="array" ref="Z12:Z14">_xlfn.ANCHORARRAY(AA12)/_xlfn.ANCHORARRAY(M12)</f>
        <v>48767.5029206322</v>
      </c>
      <c r="AA12" s="49" cm="1">
        <f t="array" ref="AA12:AA14">NotionalAmount*BuySell*AnnuityFactor*(cp*(_xlfn.ANCHORARRAY(W12)-_xlfn.ANCHORARRAY(X12))*_xlfn.NORM.S.DIST(cp*_xlfn.ANCHORARRAY(Y12),TRUE)+σN*SQRT(_xlfn.ANCHORARRAY(L12))*_xlfn.NORM.S.DIST(_xlfn.ANCHORARRAY(Y12),FALSE))</f>
        <v>47774.907417321941</v>
      </c>
      <c r="AC12" s="45" cm="1">
        <f t="array" ref="AC12:AC14">_xlfn.ANCHORARRAY(G12)</f>
        <v>45566</v>
      </c>
      <c r="AD12" s="45" cm="1">
        <f t="array" ref="AD12:AD14">_xlfn.ANCHORARRAY(H12)</f>
        <v>45659</v>
      </c>
      <c r="AE12" s="40" cm="1">
        <f t="array" ref="AE12:AE14">_xlfn.ANCHORARRAY(AD12)-_xlfn.ANCHORARRAY(AC12)</f>
        <v>93</v>
      </c>
      <c r="AF12" s="32" cm="1">
        <f t="array" ref="AF12:AF14">YEARFRAC(_xlfn.CHOOSECOLS(_xlfn.ANCHORARRAY(AC12),1),_xlfn.CHOOSECOLS(_xlfn.ANCHORARRAY(AD12),1),DCB)</f>
        <v>0.25479452054794521</v>
      </c>
      <c r="AG12" s="14" cm="1">
        <f t="array" ref="AG12:AG14">Linterp(ForwardCurve[Date],ForwardCurve[Discount Factor],_xlfn.ANCHORARRAY(AC12),-1,TRUE)</f>
        <v>0.98967119858366648</v>
      </c>
      <c r="AH12" s="14" cm="1">
        <f t="array" ref="AH12:AH14">Linterp(ForwardCurve[Date],ForwardCurve[Discount Factor],_xlfn.ANCHORARRAY(AD12),-1,TRUE)</f>
        <v>0.97964637424791501</v>
      </c>
      <c r="AI12" s="77" cm="1">
        <f t="array" ref="AI12:AI14">((_xlfn.ANCHORARRAY(AG12)/_xlfn.ANCHORARRAY(AH12))-1)/_xlfn.ANCHORARRAY(AF12)</f>
        <v>4.0162186791921357E-2</v>
      </c>
      <c r="AK12" s="32" cm="1">
        <f t="array" ref="AK12:AK14">Linterp(CapletSABRFit[Expiry, years],CapletSABRFit[Beta],_xlfn.ANCHORARRAY($L$12),0)</f>
        <v>0.5</v>
      </c>
      <c r="AL12" s="32" cm="1">
        <f t="array" ref="AL12:AL14">Linterp(CapletSABRFit[Expiry, years],CapletSABRFit[Rho],_xlfn.ANCHORARRAY($M$12),0)</f>
        <v>0.2</v>
      </c>
      <c r="AM12" s="32" cm="1">
        <f t="array" ref="AM12:AM14">Linterp(CapletSABRFit[Expiry, years],CapletSABRFit[VolVol],_xlfn.ANCHORARRAY($M$12),0)</f>
        <v>0.6</v>
      </c>
      <c r="AN12" s="56" cm="1">
        <f t="array" ref="AN12:AN14">Linterp(CapletSABRFit[Expiry, years],CapletSABRFit[ATMF Normal Vol],_xlfn.ANCHORARRAY($M$12),0)</f>
        <v>8.9999999999999993E-3</v>
      </c>
    </row>
    <row r="13" spans="2:40">
      <c r="B13" s="22" t="s">
        <v>30</v>
      </c>
      <c r="C13" s="9" t="s">
        <v>31</v>
      </c>
      <c r="D13" s="7"/>
      <c r="F13" s="41">
        <v>1</v>
      </c>
      <c r="G13" s="33">
        <v>45659</v>
      </c>
      <c r="H13" s="33">
        <v>45748</v>
      </c>
      <c r="I13" s="33">
        <v>45748</v>
      </c>
      <c r="J13" s="32">
        <v>0.24383561643835616</v>
      </c>
      <c r="K13" s="42">
        <v>4.035773522054479E-2</v>
      </c>
      <c r="L13" s="32">
        <v>0.51506849315068493</v>
      </c>
      <c r="M13" s="15">
        <v>0.97009995695796147</v>
      </c>
      <c r="N13" s="15">
        <v>0.23654492101166733</v>
      </c>
      <c r="P13" s="3">
        <v>6.0357735220544786E-2</v>
      </c>
      <c r="Q13" s="3">
        <v>0.06</v>
      </c>
      <c r="R13" s="96">
        <v>0.10904605356976166</v>
      </c>
      <c r="S13" s="96">
        <v>1.3936448837949117E-3</v>
      </c>
      <c r="T13" s="49">
        <v>67446.431259562582</v>
      </c>
      <c r="U13" s="49">
        <v>65429.780061869766</v>
      </c>
      <c r="W13" s="3">
        <v>4.035773522054479E-2</v>
      </c>
      <c r="X13" s="3">
        <v>0.04</v>
      </c>
      <c r="Y13" s="32">
        <v>5.5384303505358529E-2</v>
      </c>
      <c r="Z13" s="49">
        <v>67289.963000380303</v>
      </c>
      <c r="AA13" s="49">
        <v>65277.990210371754</v>
      </c>
      <c r="AC13" s="46">
        <v>45659</v>
      </c>
      <c r="AD13" s="46">
        <v>45748</v>
      </c>
      <c r="AE13" s="41">
        <v>89</v>
      </c>
      <c r="AF13" s="32">
        <v>0.24383561643835616</v>
      </c>
      <c r="AG13" s="15">
        <v>0.97964637424791501</v>
      </c>
      <c r="AH13" s="15">
        <v>0.97009995695796147</v>
      </c>
      <c r="AI13" s="42">
        <v>4.035773522054479E-2</v>
      </c>
      <c r="AK13" s="32">
        <v>0.5</v>
      </c>
      <c r="AL13" s="32">
        <v>0.2</v>
      </c>
      <c r="AM13" s="32">
        <v>0.6</v>
      </c>
      <c r="AN13" s="56">
        <v>8.9999999999999993E-3</v>
      </c>
    </row>
    <row r="14" spans="2:40">
      <c r="B14" s="22" t="s">
        <v>50</v>
      </c>
      <c r="C14" s="9" t="s">
        <v>123</v>
      </c>
      <c r="D14" s="7"/>
      <c r="F14" s="41">
        <v>2</v>
      </c>
      <c r="G14" s="33">
        <v>45748</v>
      </c>
      <c r="H14" s="33">
        <v>45839</v>
      </c>
      <c r="I14" s="33">
        <v>45839</v>
      </c>
      <c r="J14" s="32">
        <v>0.24931506849315069</v>
      </c>
      <c r="K14" s="42">
        <v>4.0155667655303762E-2</v>
      </c>
      <c r="L14" s="32">
        <v>0.75890410958904109</v>
      </c>
      <c r="M14" s="15">
        <v>0.96048415338782978</v>
      </c>
      <c r="N14" s="15">
        <v>0.23946317248847263</v>
      </c>
      <c r="P14" s="3">
        <v>6.0155667655303766E-2</v>
      </c>
      <c r="Q14" s="3">
        <v>0.06</v>
      </c>
      <c r="R14" s="96">
        <v>8.5165273853980747E-2</v>
      </c>
      <c r="S14" s="96">
        <v>-4.5507380001955852E-2</v>
      </c>
      <c r="T14" s="49">
        <v>79983.507606554267</v>
      </c>
      <c r="U14" s="49">
        <v>76822.891588470316</v>
      </c>
      <c r="W14" s="3">
        <v>4.0155667655303762E-2</v>
      </c>
      <c r="X14" s="3">
        <v>0.04</v>
      </c>
      <c r="Y14" s="32">
        <v>1.9854658531613483E-2</v>
      </c>
      <c r="Z14" s="49">
        <v>79937.918069718362</v>
      </c>
      <c r="AA14" s="49">
        <v>76779.103560779142</v>
      </c>
      <c r="AC14" s="46">
        <v>45748</v>
      </c>
      <c r="AD14" s="46">
        <v>45839</v>
      </c>
      <c r="AE14" s="41">
        <v>91</v>
      </c>
      <c r="AF14" s="32">
        <v>0.24931506849315069</v>
      </c>
      <c r="AG14" s="15">
        <v>0.97009995695796147</v>
      </c>
      <c r="AH14" s="15">
        <v>0.96048415338782978</v>
      </c>
      <c r="AI14" s="42">
        <v>4.0155667655303762E-2</v>
      </c>
      <c r="AK14" s="32">
        <v>0.5</v>
      </c>
      <c r="AL14" s="32">
        <v>0.2</v>
      </c>
      <c r="AM14" s="32">
        <v>0.6</v>
      </c>
      <c r="AN14" s="56">
        <v>8.9999999999999993E-3</v>
      </c>
    </row>
    <row r="15" spans="2:40">
      <c r="B15" s="25" t="s">
        <v>77</v>
      </c>
      <c r="C15" s="58" t="s">
        <v>29</v>
      </c>
      <c r="D15" s="26"/>
      <c r="Q15" s="3"/>
      <c r="AC15" s="46"/>
      <c r="AD15" s="46"/>
      <c r="AE15" s="41"/>
    </row>
    <row r="16" spans="2:40">
      <c r="Q16" s="3"/>
    </row>
    <row r="17" spans="2:36">
      <c r="B17" s="1" t="s">
        <v>46</v>
      </c>
      <c r="Q17" s="3"/>
      <c r="AJ17" s="82"/>
    </row>
    <row r="18" spans="2:36">
      <c r="B18" s="18" t="s">
        <v>70</v>
      </c>
      <c r="C18" s="27" t="s">
        <v>146</v>
      </c>
      <c r="D18" s="20" t="s">
        <v>24</v>
      </c>
      <c r="Q18" s="3"/>
      <c r="AJ18" s="82"/>
    </row>
    <row r="19" spans="2:36">
      <c r="B19" s="21" t="s">
        <v>130</v>
      </c>
      <c r="C19" s="55">
        <v>15</v>
      </c>
      <c r="D19" s="8" t="s">
        <v>26</v>
      </c>
      <c r="J19" s="85"/>
      <c r="Q19" s="3"/>
      <c r="AJ19" s="82"/>
    </row>
    <row r="20" spans="2:36">
      <c r="B20" s="25" t="s">
        <v>132</v>
      </c>
      <c r="C20" s="88">
        <v>90</v>
      </c>
      <c r="D20" s="26" t="s">
        <v>28</v>
      </c>
      <c r="Q20" s="3"/>
    </row>
    <row r="21" spans="2:36">
      <c r="Q21" s="3"/>
    </row>
    <row r="22" spans="2:36">
      <c r="B22" s="99" t="s">
        <v>74</v>
      </c>
      <c r="C22" s="74"/>
      <c r="D22" s="74"/>
      <c r="Q22" s="3"/>
    </row>
    <row r="23" spans="2:36">
      <c r="B23" s="21" t="s">
        <v>70</v>
      </c>
      <c r="C23" s="108" t="s">
        <v>23</v>
      </c>
      <c r="D23" s="8" t="s">
        <v>24</v>
      </c>
      <c r="Q23" s="3"/>
    </row>
    <row r="24" spans="2:36">
      <c r="B24" s="22" t="s">
        <v>131</v>
      </c>
      <c r="C24" s="109">
        <f>CapletSABRTermStructureLognormalShift</f>
        <v>0.02</v>
      </c>
      <c r="D24" s="7" t="s">
        <v>26</v>
      </c>
      <c r="E24" s="30"/>
      <c r="I24" s="85"/>
      <c r="L24" s="15"/>
      <c r="O24" s="3"/>
      <c r="Q24" s="3"/>
      <c r="V24" s="3"/>
      <c r="AB24" s="33"/>
      <c r="AD24" s="30"/>
      <c r="AE24" s="49"/>
    </row>
    <row r="25" spans="2:36">
      <c r="B25" s="22" t="s">
        <v>56</v>
      </c>
      <c r="C25" s="109">
        <f>C8%-C9%%</f>
        <v>0.04</v>
      </c>
      <c r="D25" s="7"/>
      <c r="E25" s="32"/>
      <c r="I25" s="85"/>
      <c r="L25" s="15"/>
      <c r="O25" s="3"/>
      <c r="Q25" s="3"/>
      <c r="V25" s="3"/>
      <c r="AB25" s="33"/>
      <c r="AD25" s="30"/>
      <c r="AE25" s="49"/>
    </row>
    <row r="26" spans="2:36">
      <c r="B26" s="22" t="s">
        <v>45</v>
      </c>
      <c r="C26" cm="1">
        <f t="array" ref="C26">_xlfn.IFS(C13="Buy",1,C13="Sell",-1)</f>
        <v>1</v>
      </c>
      <c r="D26" s="7" t="s">
        <v>75</v>
      </c>
      <c r="E26" s="33"/>
      <c r="I26" s="85"/>
      <c r="L26" s="15"/>
      <c r="O26" s="3"/>
      <c r="Q26" s="3"/>
      <c r="V26" s="3"/>
      <c r="AB26" s="33"/>
      <c r="AD26" s="30"/>
      <c r="AE26" s="49"/>
    </row>
    <row r="27" spans="2:36">
      <c r="B27" s="22" t="s">
        <v>49</v>
      </c>
      <c r="C27" cm="1">
        <f t="array" ref="C27">_xlfn.IFS(C14="Cap",1,C14="Floor",-1)</f>
        <v>1</v>
      </c>
      <c r="D27" s="7" t="s">
        <v>75</v>
      </c>
      <c r="I27" s="85"/>
      <c r="L27" s="15"/>
      <c r="O27" s="3"/>
      <c r="Q27" s="3"/>
      <c r="V27" s="3"/>
      <c r="AB27" s="33"/>
      <c r="AD27" s="30"/>
      <c r="AE27" s="49"/>
    </row>
    <row r="28" spans="2:36">
      <c r="B28" s="22" t="s">
        <v>127</v>
      </c>
      <c r="C28" s="83" cm="1">
        <f t="array" ref="C28">SUM(_xlfn.ANCHORARRAY(AI12)*AnnuityFactor)/SUM(AnnuityFactor)</f>
        <v>4.0223782534256472E-2</v>
      </c>
      <c r="D28" s="7"/>
      <c r="I28" s="85"/>
      <c r="L28" s="15"/>
      <c r="O28" s="3"/>
      <c r="Q28" s="3"/>
      <c r="V28" s="3"/>
      <c r="AB28" s="33"/>
      <c r="AD28" s="30"/>
      <c r="AE28" s="49"/>
    </row>
    <row r="29" spans="2:36">
      <c r="B29" s="25" t="s">
        <v>175</v>
      </c>
      <c r="C29" s="150" cm="1">
        <f t="array" ref="C29">Black76LnToNormalVolAnalytical(C28,YEARFRAC(CurveDate,EffectiveDate,DCB),K_adj,σSLN,LogNormalShift)*100*100</f>
        <v>90.14573605311638</v>
      </c>
      <c r="D29" s="26" t="s">
        <v>180</v>
      </c>
      <c r="I29" s="85"/>
      <c r="L29" s="15"/>
      <c r="O29" s="3"/>
      <c r="Q29" s="3"/>
      <c r="V29" s="3"/>
      <c r="AB29" s="33"/>
      <c r="AD29" s="30"/>
      <c r="AE29" s="49"/>
    </row>
    <row r="30" spans="2:36">
      <c r="I30" s="85"/>
      <c r="L30" s="15"/>
      <c r="O30" s="3"/>
      <c r="Q30" s="3"/>
      <c r="V30" s="3"/>
      <c r="AB30" s="33"/>
      <c r="AD30" s="30"/>
      <c r="AE30" s="49"/>
    </row>
    <row r="31" spans="2:36">
      <c r="B31" s="33"/>
      <c r="C31" s="33"/>
      <c r="D31" s="33"/>
      <c r="Q31" s="3"/>
    </row>
    <row r="32" spans="2:36">
      <c r="B32" s="33"/>
      <c r="C32" s="33"/>
      <c r="D32" s="33"/>
      <c r="Q32" s="3"/>
    </row>
    <row r="33" spans="2:17">
      <c r="B33" s="33"/>
      <c r="C33" s="33"/>
      <c r="D33" s="33"/>
      <c r="Q33" s="3"/>
    </row>
    <row r="34" spans="2:17">
      <c r="B34" s="33"/>
      <c r="C34" s="33"/>
      <c r="D34" s="33"/>
      <c r="Q34" s="3"/>
    </row>
    <row r="35" spans="2:17">
      <c r="B35" s="33"/>
      <c r="C35" s="33"/>
      <c r="D35" s="33"/>
      <c r="Q35" s="3"/>
    </row>
    <row r="36" spans="2:17">
      <c r="B36" s="33"/>
      <c r="C36" s="33"/>
      <c r="D36" s="33"/>
      <c r="Q36" s="3"/>
    </row>
    <row r="37" spans="2:17">
      <c r="B37" s="33"/>
      <c r="C37" s="33"/>
      <c r="D37" s="33"/>
      <c r="Q37" s="3"/>
    </row>
    <row r="38" spans="2:17">
      <c r="B38" s="33"/>
      <c r="C38" s="33"/>
      <c r="D38" s="33"/>
      <c r="Q38" s="3"/>
    </row>
    <row r="39" spans="2:17">
      <c r="B39" s="33"/>
      <c r="C39" s="33"/>
      <c r="D39" s="33"/>
      <c r="Q39" s="3"/>
    </row>
    <row r="40" spans="2:17">
      <c r="B40" s="33"/>
      <c r="C40" s="33"/>
      <c r="D40" s="33"/>
      <c r="Q40" s="3"/>
    </row>
    <row r="41" spans="2:17">
      <c r="B41" s="33"/>
      <c r="C41" s="33"/>
      <c r="D41" s="33"/>
      <c r="Q41" s="3"/>
    </row>
    <row r="42" spans="2:17">
      <c r="C42" s="42"/>
      <c r="Q42" s="3"/>
    </row>
    <row r="43" spans="2:17">
      <c r="Q43" s="3"/>
    </row>
    <row r="44" spans="2:17">
      <c r="Q44" s="3"/>
    </row>
    <row r="45" spans="2:17">
      <c r="Q45" s="3"/>
    </row>
    <row r="46" spans="2:17">
      <c r="Q46" s="3"/>
    </row>
    <row r="47" spans="2:17">
      <c r="Q47" s="3"/>
    </row>
    <row r="48" spans="2:17">
      <c r="Q48" s="3"/>
    </row>
    <row r="49" spans="17:17">
      <c r="Q49" s="3"/>
    </row>
    <row r="50" spans="17:17">
      <c r="Q50" s="3"/>
    </row>
    <row r="51" spans="17:17">
      <c r="Q51" s="3"/>
    </row>
    <row r="52" spans="17:17">
      <c r="Q52" s="3"/>
    </row>
    <row r="53" spans="17:17">
      <c r="Q53" s="3"/>
    </row>
    <row r="54" spans="17:17">
      <c r="Q54" s="3"/>
    </row>
    <row r="55" spans="17:17">
      <c r="Q55" s="3"/>
    </row>
    <row r="56" spans="17:17">
      <c r="Q56" s="3"/>
    </row>
    <row r="57" spans="17:17">
      <c r="Q57" s="3"/>
    </row>
    <row r="58" spans="17:17">
      <c r="Q58" s="3"/>
    </row>
    <row r="59" spans="17:17">
      <c r="Q59" s="3"/>
    </row>
    <row r="60" spans="17:17">
      <c r="Q60" s="3"/>
    </row>
    <row r="61" spans="17:17">
      <c r="Q61" s="3"/>
    </row>
    <row r="62" spans="17:17">
      <c r="Q62" s="3"/>
    </row>
    <row r="63" spans="17:17">
      <c r="Q63" s="3"/>
    </row>
    <row r="64" spans="17:17">
      <c r="Q64" s="3"/>
    </row>
    <row r="65" spans="17:17">
      <c r="Q65" s="3"/>
    </row>
    <row r="66" spans="17:17">
      <c r="Q66" s="3"/>
    </row>
    <row r="67" spans="17:17">
      <c r="Q67" s="3"/>
    </row>
    <row r="68" spans="17:17">
      <c r="Q68" s="3"/>
    </row>
    <row r="69" spans="17:17">
      <c r="Q69" s="3"/>
    </row>
    <row r="70" spans="17:17">
      <c r="Q70" s="3"/>
    </row>
    <row r="71" spans="17:17">
      <c r="Q71" s="3"/>
    </row>
    <row r="72" spans="17:17">
      <c r="Q72" s="3"/>
    </row>
    <row r="73" spans="17:17">
      <c r="Q73" s="3"/>
    </row>
    <row r="74" spans="17:17">
      <c r="Q74" s="3"/>
    </row>
    <row r="75" spans="17:17">
      <c r="Q75" s="3"/>
    </row>
    <row r="76" spans="17:17">
      <c r="Q76" s="3"/>
    </row>
    <row r="77" spans="17:17">
      <c r="Q77" s="3"/>
    </row>
    <row r="78" spans="17:17">
      <c r="Q78" s="3"/>
    </row>
    <row r="79" spans="17:17">
      <c r="Q79" s="3"/>
    </row>
    <row r="80" spans="17:17">
      <c r="Q80" s="3"/>
    </row>
    <row r="81" spans="17:17">
      <c r="Q81" s="3"/>
    </row>
    <row r="82" spans="17:17">
      <c r="Q82" s="3"/>
    </row>
    <row r="83" spans="17:17">
      <c r="Q83" s="3"/>
    </row>
    <row r="84" spans="17:17">
      <c r="Q84" s="3"/>
    </row>
    <row r="85" spans="17:17">
      <c r="Q85" s="3"/>
    </row>
    <row r="86" spans="17:17">
      <c r="Q86" s="3"/>
    </row>
    <row r="87" spans="17:17">
      <c r="Q87" s="3"/>
    </row>
    <row r="88" spans="17:17">
      <c r="Q88" s="3"/>
    </row>
    <row r="89" spans="17:17">
      <c r="Q89" s="3"/>
    </row>
    <row r="90" spans="17:17">
      <c r="Q90" s="3"/>
    </row>
    <row r="91" spans="17:17">
      <c r="Q91" s="3"/>
    </row>
    <row r="92" spans="17:17">
      <c r="Q92" s="3"/>
    </row>
    <row r="93" spans="17:17">
      <c r="Q93" s="3"/>
    </row>
    <row r="94" spans="17:17">
      <c r="Q94" s="3"/>
    </row>
    <row r="95" spans="17:17">
      <c r="Q95" s="3"/>
    </row>
    <row r="96" spans="17:17">
      <c r="Q96" s="3"/>
    </row>
    <row r="97" spans="17:17">
      <c r="Q97" s="3"/>
    </row>
    <row r="98" spans="17:17">
      <c r="Q98" s="3"/>
    </row>
    <row r="99" spans="17:17">
      <c r="Q99" s="3"/>
    </row>
    <row r="100" spans="17:17">
      <c r="Q100" s="3"/>
    </row>
    <row r="101" spans="17:17">
      <c r="Q101" s="3"/>
    </row>
    <row r="102" spans="17:17">
      <c r="Q102" s="3"/>
    </row>
    <row r="103" spans="17:17">
      <c r="Q103" s="3"/>
    </row>
    <row r="104" spans="17:17">
      <c r="Q104" s="3"/>
    </row>
    <row r="105" spans="17:17">
      <c r="Q105" s="3"/>
    </row>
    <row r="106" spans="17:17">
      <c r="Q106" s="3"/>
    </row>
    <row r="107" spans="17:17">
      <c r="Q107" s="3"/>
    </row>
    <row r="108" spans="17:17">
      <c r="Q108" s="3"/>
    </row>
    <row r="109" spans="17:17">
      <c r="Q109" s="3"/>
    </row>
    <row r="110" spans="17:17">
      <c r="Q110" s="3"/>
    </row>
    <row r="111" spans="17:17">
      <c r="Q111" s="3"/>
    </row>
    <row r="112" spans="17:17">
      <c r="Q112" s="3"/>
    </row>
    <row r="113" spans="17:17">
      <c r="Q113" s="3"/>
    </row>
    <row r="114" spans="17:17">
      <c r="Q114" s="3"/>
    </row>
    <row r="115" spans="17:17">
      <c r="Q115" s="3"/>
    </row>
    <row r="116" spans="17:17">
      <c r="Q116" s="3"/>
    </row>
    <row r="117" spans="17:17">
      <c r="Q117" s="3"/>
    </row>
    <row r="118" spans="17:17">
      <c r="Q118" s="3"/>
    </row>
    <row r="119" spans="17:17">
      <c r="Q119" s="3"/>
    </row>
    <row r="120" spans="17:17">
      <c r="Q120" s="3"/>
    </row>
    <row r="121" spans="17:17">
      <c r="Q121" s="3"/>
    </row>
    <row r="122" spans="17:17">
      <c r="Q122" s="3"/>
    </row>
    <row r="123" spans="17:17">
      <c r="Q123" s="3"/>
    </row>
    <row r="124" spans="17:17">
      <c r="Q124" s="3"/>
    </row>
  </sheetData>
  <mergeCells count="4">
    <mergeCell ref="P5:Q5"/>
    <mergeCell ref="P8:Q8"/>
    <mergeCell ref="P3:S3"/>
    <mergeCell ref="W4:Y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19FAFB0E-C5E2-4E70-BA00-1110D3F7C298}">
          <x14:formula1>
            <xm:f>'Data Validation'!$A$1:$A$2</xm:f>
          </x14:formula1>
          <xm:sqref>C13</xm:sqref>
        </x14:dataValidation>
        <x14:dataValidation type="list" allowBlank="1" showInputMessage="1" showErrorMessage="1" xr:uid="{D0439F78-BC2F-4C07-BA15-181FDD6D9385}">
          <x14:formula1>
            <xm:f>'Data Validation'!$B$1:$B$2</xm:f>
          </x14:formula1>
          <xm:sqref>C14</xm:sqref>
        </x14:dataValidation>
        <x14:dataValidation type="list" allowBlank="1" showInputMessage="1" showErrorMessage="1" xr:uid="{D6E5991F-33AF-4655-94E8-D41118B9B203}">
          <x14:formula1>
            <xm:f>'Data Validation'!$D$1:$D$4</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1592-B9EC-49D5-8FAC-26D6A2E7EA86}">
  <sheetPr codeName="Sheet2"/>
  <dimension ref="A1"/>
  <sheetViews>
    <sheetView workbookViewId="0"/>
  </sheetViews>
  <sheetFormatPr defaultRowHeight="1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51B58-3E32-4189-8BFB-9F0CF192976F}">
  <sheetPr codeName="Sheet3"/>
  <dimension ref="A1:J4"/>
  <sheetViews>
    <sheetView workbookViewId="0"/>
  </sheetViews>
  <sheetFormatPr defaultRowHeight="12"/>
  <cols>
    <col min="1" max="1" width="4" bestFit="1" customWidth="1"/>
    <col min="2" max="2" width="5" bestFit="1" customWidth="1"/>
    <col min="3" max="3" width="6.85546875" bestFit="1" customWidth="1"/>
    <col min="4" max="4" width="2.28515625" bestFit="1" customWidth="1"/>
    <col min="5" max="5" width="16.140625" bestFit="1" customWidth="1"/>
    <col min="6" max="6" width="9" bestFit="1" customWidth="1"/>
    <col min="7" max="7" width="6.28515625" bestFit="1" customWidth="1"/>
    <col min="8" max="8" width="14.140625" bestFit="1" customWidth="1"/>
    <col min="9" max="9" width="12.5703125" bestFit="1" customWidth="1"/>
    <col min="10" max="10" width="9" bestFit="1" customWidth="1"/>
    <col min="12" max="12" width="24" bestFit="1" customWidth="1"/>
  </cols>
  <sheetData>
    <row r="1" spans="1:10">
      <c r="A1" t="s">
        <v>31</v>
      </c>
      <c r="B1" t="s">
        <v>123</v>
      </c>
      <c r="C1" t="s">
        <v>51</v>
      </c>
      <c r="D1" t="s">
        <v>33</v>
      </c>
      <c r="E1" t="s">
        <v>34</v>
      </c>
      <c r="F1" t="s">
        <v>35</v>
      </c>
      <c r="G1" t="b">
        <v>1</v>
      </c>
      <c r="H1" t="s">
        <v>69</v>
      </c>
      <c r="I1" t="s">
        <v>128</v>
      </c>
      <c r="J1" t="s">
        <v>35</v>
      </c>
    </row>
    <row r="2" spans="1:10">
      <c r="A2" t="s">
        <v>32</v>
      </c>
      <c r="B2" t="s">
        <v>124</v>
      </c>
      <c r="C2" t="s">
        <v>52</v>
      </c>
      <c r="D2" t="s">
        <v>29</v>
      </c>
      <c r="E2" t="s">
        <v>36</v>
      </c>
      <c r="F2" t="s">
        <v>37</v>
      </c>
      <c r="G2" t="b">
        <v>0</v>
      </c>
      <c r="H2" t="s">
        <v>68</v>
      </c>
      <c r="I2" t="s">
        <v>129</v>
      </c>
      <c r="J2" t="s">
        <v>37</v>
      </c>
    </row>
    <row r="3" spans="1:10">
      <c r="D3" t="s">
        <v>38</v>
      </c>
      <c r="E3" t="s">
        <v>39</v>
      </c>
      <c r="F3" t="s">
        <v>40</v>
      </c>
      <c r="J3" t="s">
        <v>40</v>
      </c>
    </row>
    <row r="4" spans="1:10">
      <c r="D4" t="s">
        <v>41</v>
      </c>
      <c r="E4" t="s">
        <v>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2155F-A1A9-4264-83B4-A2DB315CCA7A}">
  <sheetPr codeName="Sheet1"/>
  <dimension ref="A1:C1062"/>
  <sheetViews>
    <sheetView workbookViewId="0"/>
  </sheetViews>
  <sheetFormatPr defaultRowHeight="12"/>
  <cols>
    <col min="1" max="1" width="14.28515625" style="33" bestFit="1" customWidth="1"/>
    <col min="3" max="3" width="24" bestFit="1" customWidth="1"/>
  </cols>
  <sheetData>
    <row r="1" spans="1:3">
      <c r="A1" s="33" t="s">
        <v>135</v>
      </c>
      <c r="C1" t="s">
        <v>79</v>
      </c>
    </row>
    <row r="2" spans="1:3">
      <c r="A2" s="33" cm="1">
        <f t="array" ref="A2:A1062">Holidays_NSW</f>
        <v>32874</v>
      </c>
      <c r="C2" s="38">
        <v>32874</v>
      </c>
    </row>
    <row r="3" spans="1:3">
      <c r="A3" s="33">
        <v>32899</v>
      </c>
      <c r="C3" s="38">
        <v>32899</v>
      </c>
    </row>
    <row r="4" spans="1:3">
      <c r="A4" s="33">
        <v>32976</v>
      </c>
      <c r="C4" s="38">
        <v>32976</v>
      </c>
    </row>
    <row r="5" spans="1:3">
      <c r="A5" s="33">
        <v>32979</v>
      </c>
      <c r="C5" s="38">
        <v>32979</v>
      </c>
    </row>
    <row r="6" spans="1:3">
      <c r="A6" s="33">
        <v>32988</v>
      </c>
      <c r="C6" s="38">
        <v>32988</v>
      </c>
    </row>
    <row r="7" spans="1:3">
      <c r="A7" s="33">
        <v>33035</v>
      </c>
      <c r="C7" s="38">
        <v>33035</v>
      </c>
    </row>
    <row r="8" spans="1:3">
      <c r="A8" s="33">
        <v>33091</v>
      </c>
      <c r="C8" s="38">
        <v>33091</v>
      </c>
    </row>
    <row r="9" spans="1:3">
      <c r="A9" s="33">
        <v>33147</v>
      </c>
      <c r="C9" s="38">
        <v>33147</v>
      </c>
    </row>
    <row r="10" spans="1:3">
      <c r="A10" s="33">
        <v>33232</v>
      </c>
      <c r="C10" s="38">
        <v>33232</v>
      </c>
    </row>
    <row r="11" spans="1:3">
      <c r="A11" s="33">
        <v>33233</v>
      </c>
      <c r="C11" s="38">
        <v>33233</v>
      </c>
    </row>
    <row r="12" spans="1:3">
      <c r="A12" s="33">
        <v>33239</v>
      </c>
      <c r="C12" s="38">
        <v>33239</v>
      </c>
    </row>
    <row r="13" spans="1:3">
      <c r="A13" s="33">
        <v>33326</v>
      </c>
      <c r="C13" s="38">
        <v>33326</v>
      </c>
    </row>
    <row r="14" spans="1:3">
      <c r="A14" s="33">
        <v>33329</v>
      </c>
      <c r="C14" s="38">
        <v>33329</v>
      </c>
    </row>
    <row r="15" spans="1:3">
      <c r="A15" s="33">
        <v>33353</v>
      </c>
      <c r="C15" s="38">
        <v>33353</v>
      </c>
    </row>
    <row r="16" spans="1:3">
      <c r="A16" s="33">
        <v>33399</v>
      </c>
      <c r="C16" s="38">
        <v>33399</v>
      </c>
    </row>
    <row r="17" spans="1:3">
      <c r="A17" s="33">
        <v>33455</v>
      </c>
      <c r="C17" s="38">
        <v>33455</v>
      </c>
    </row>
    <row r="18" spans="1:3">
      <c r="A18" s="33">
        <v>33518</v>
      </c>
      <c r="C18" s="38">
        <v>33518</v>
      </c>
    </row>
    <row r="19" spans="1:3">
      <c r="A19" s="33">
        <v>33597</v>
      </c>
      <c r="C19" s="38">
        <v>33597</v>
      </c>
    </row>
    <row r="20" spans="1:3">
      <c r="A20" s="33">
        <v>33598</v>
      </c>
      <c r="C20" s="38">
        <v>33598</v>
      </c>
    </row>
    <row r="21" spans="1:3">
      <c r="A21" s="33">
        <v>33604</v>
      </c>
      <c r="C21" s="38">
        <v>33604</v>
      </c>
    </row>
    <row r="22" spans="1:3">
      <c r="A22" s="33">
        <v>33630</v>
      </c>
      <c r="C22" s="38">
        <v>33630</v>
      </c>
    </row>
    <row r="23" spans="1:3">
      <c r="A23" s="33">
        <v>33711</v>
      </c>
      <c r="C23" s="38">
        <v>33711</v>
      </c>
    </row>
    <row r="24" spans="1:3">
      <c r="A24" s="33">
        <v>33714</v>
      </c>
      <c r="C24" s="38">
        <v>33714</v>
      </c>
    </row>
    <row r="25" spans="1:3">
      <c r="A25" s="33">
        <v>33721</v>
      </c>
      <c r="C25" s="38">
        <v>33721</v>
      </c>
    </row>
    <row r="26" spans="1:3">
      <c r="A26" s="33">
        <v>33763</v>
      </c>
      <c r="C26" s="38">
        <v>33763</v>
      </c>
    </row>
    <row r="27" spans="1:3">
      <c r="A27" s="33">
        <v>33819</v>
      </c>
      <c r="C27" s="38">
        <v>33819</v>
      </c>
    </row>
    <row r="28" spans="1:3">
      <c r="A28" s="33">
        <v>33882</v>
      </c>
      <c r="C28" s="38">
        <v>33882</v>
      </c>
    </row>
    <row r="29" spans="1:3">
      <c r="A29" s="33">
        <v>33963</v>
      </c>
      <c r="C29" s="38">
        <v>33963</v>
      </c>
    </row>
    <row r="30" spans="1:3">
      <c r="A30" s="33">
        <v>33970</v>
      </c>
      <c r="C30" s="38">
        <v>33970</v>
      </c>
    </row>
    <row r="31" spans="1:3">
      <c r="A31" s="33">
        <v>33995</v>
      </c>
      <c r="C31" s="38">
        <v>33995</v>
      </c>
    </row>
    <row r="32" spans="1:3">
      <c r="A32" s="33">
        <v>34068</v>
      </c>
      <c r="C32" s="38">
        <v>34068</v>
      </c>
    </row>
    <row r="33" spans="1:3">
      <c r="A33" s="33">
        <v>34071</v>
      </c>
      <c r="C33" s="38">
        <v>34071</v>
      </c>
    </row>
    <row r="34" spans="1:3">
      <c r="A34" s="33">
        <v>34085</v>
      </c>
      <c r="C34" s="38">
        <v>34085</v>
      </c>
    </row>
    <row r="35" spans="1:3">
      <c r="A35" s="33">
        <v>34134</v>
      </c>
      <c r="C35" s="38">
        <v>34134</v>
      </c>
    </row>
    <row r="36" spans="1:3">
      <c r="A36" s="33">
        <v>34183</v>
      </c>
      <c r="C36" s="38">
        <v>34183</v>
      </c>
    </row>
    <row r="37" spans="1:3">
      <c r="A37" s="33">
        <v>34246</v>
      </c>
      <c r="C37" s="38">
        <v>34246</v>
      </c>
    </row>
    <row r="38" spans="1:3">
      <c r="A38" s="33">
        <v>34330</v>
      </c>
      <c r="C38" s="38">
        <v>34330</v>
      </c>
    </row>
    <row r="39" spans="1:3">
      <c r="A39" s="33">
        <v>34360</v>
      </c>
      <c r="C39" s="38">
        <v>34360</v>
      </c>
    </row>
    <row r="40" spans="1:3">
      <c r="A40" s="33">
        <v>34425</v>
      </c>
      <c r="C40" s="38">
        <v>34425</v>
      </c>
    </row>
    <row r="41" spans="1:3">
      <c r="A41" s="33">
        <v>34428</v>
      </c>
      <c r="C41" s="38">
        <v>34428</v>
      </c>
    </row>
    <row r="42" spans="1:3">
      <c r="A42" s="33">
        <v>34449</v>
      </c>
      <c r="C42" s="38">
        <v>34449</v>
      </c>
    </row>
    <row r="43" spans="1:3">
      <c r="A43" s="33">
        <v>34498</v>
      </c>
      <c r="C43" s="38">
        <v>34498</v>
      </c>
    </row>
    <row r="44" spans="1:3">
      <c r="A44" s="33">
        <v>34547</v>
      </c>
      <c r="C44" s="38">
        <v>34547</v>
      </c>
    </row>
    <row r="45" spans="1:3">
      <c r="A45" s="33">
        <v>34610</v>
      </c>
      <c r="C45" s="38">
        <v>34610</v>
      </c>
    </row>
    <row r="46" spans="1:3">
      <c r="A46" s="33">
        <v>34694</v>
      </c>
      <c r="C46" s="38">
        <v>34694</v>
      </c>
    </row>
    <row r="47" spans="1:3">
      <c r="A47" s="33">
        <v>34695</v>
      </c>
      <c r="C47" s="38">
        <v>34695</v>
      </c>
    </row>
    <row r="48" spans="1:3">
      <c r="A48" s="33">
        <v>34701</v>
      </c>
      <c r="C48" s="38">
        <v>34701</v>
      </c>
    </row>
    <row r="49" spans="1:3">
      <c r="A49" s="33">
        <v>34725</v>
      </c>
      <c r="C49" s="38">
        <v>34725</v>
      </c>
    </row>
    <row r="50" spans="1:3">
      <c r="A50" s="33">
        <v>34803</v>
      </c>
      <c r="C50" s="38">
        <v>34803</v>
      </c>
    </row>
    <row r="51" spans="1:3">
      <c r="A51" s="33">
        <v>34806</v>
      </c>
      <c r="C51" s="38">
        <v>34806</v>
      </c>
    </row>
    <row r="52" spans="1:3">
      <c r="A52" s="33">
        <v>34814</v>
      </c>
      <c r="C52" s="38">
        <v>34814</v>
      </c>
    </row>
    <row r="53" spans="1:3">
      <c r="A53" s="33">
        <v>34862</v>
      </c>
      <c r="C53" s="38">
        <v>34862</v>
      </c>
    </row>
    <row r="54" spans="1:3">
      <c r="A54" s="33">
        <v>34918</v>
      </c>
      <c r="C54" s="38">
        <v>34918</v>
      </c>
    </row>
    <row r="55" spans="1:3">
      <c r="A55" s="33">
        <v>34974</v>
      </c>
      <c r="C55" s="38">
        <v>34974</v>
      </c>
    </row>
    <row r="56" spans="1:3">
      <c r="A56" s="33">
        <v>35058</v>
      </c>
      <c r="C56" s="38">
        <v>35058</v>
      </c>
    </row>
    <row r="57" spans="1:3">
      <c r="A57" s="33">
        <v>35059</v>
      </c>
      <c r="C57" s="38">
        <v>35059</v>
      </c>
    </row>
    <row r="58" spans="1:3">
      <c r="A58" s="33">
        <v>35065</v>
      </c>
      <c r="C58" s="38">
        <v>35065</v>
      </c>
    </row>
    <row r="59" spans="1:3">
      <c r="A59" s="33">
        <v>35090</v>
      </c>
      <c r="C59" s="38">
        <v>35090</v>
      </c>
    </row>
    <row r="60" spans="1:3">
      <c r="A60" s="33">
        <v>35160</v>
      </c>
      <c r="C60" s="38">
        <v>35160</v>
      </c>
    </row>
    <row r="61" spans="1:3">
      <c r="A61" s="33">
        <v>35163</v>
      </c>
      <c r="C61" s="38">
        <v>35163</v>
      </c>
    </row>
    <row r="62" spans="1:3">
      <c r="A62" s="33">
        <v>35180</v>
      </c>
      <c r="C62" s="38">
        <v>35180</v>
      </c>
    </row>
    <row r="63" spans="1:3">
      <c r="A63" s="33">
        <v>35226</v>
      </c>
      <c r="C63" s="38">
        <v>35226</v>
      </c>
    </row>
    <row r="64" spans="1:3">
      <c r="A64" s="33">
        <v>35282</v>
      </c>
      <c r="C64" s="38">
        <v>35282</v>
      </c>
    </row>
    <row r="65" spans="1:3">
      <c r="A65" s="33">
        <v>35345</v>
      </c>
      <c r="C65" s="38">
        <v>35345</v>
      </c>
    </row>
    <row r="66" spans="1:3">
      <c r="A66" s="33">
        <v>35424</v>
      </c>
      <c r="C66" s="38">
        <v>35424</v>
      </c>
    </row>
    <row r="67" spans="1:3">
      <c r="A67" s="33">
        <v>35425</v>
      </c>
      <c r="C67" s="38">
        <v>35425</v>
      </c>
    </row>
    <row r="68" spans="1:3">
      <c r="A68" s="33">
        <v>35431</v>
      </c>
      <c r="C68" s="38">
        <v>35431</v>
      </c>
    </row>
    <row r="69" spans="1:3">
      <c r="A69" s="33">
        <v>35457</v>
      </c>
      <c r="C69" s="38">
        <v>35457</v>
      </c>
    </row>
    <row r="70" spans="1:3">
      <c r="A70" s="33">
        <v>35517</v>
      </c>
      <c r="C70" s="38">
        <v>35517</v>
      </c>
    </row>
    <row r="71" spans="1:3">
      <c r="A71" s="33">
        <v>35520</v>
      </c>
      <c r="C71" s="38">
        <v>35520</v>
      </c>
    </row>
    <row r="72" spans="1:3">
      <c r="A72" s="33">
        <v>35545</v>
      </c>
      <c r="C72" s="38">
        <v>35545</v>
      </c>
    </row>
    <row r="73" spans="1:3">
      <c r="A73" s="33">
        <v>35590</v>
      </c>
      <c r="C73" s="38">
        <v>35590</v>
      </c>
    </row>
    <row r="74" spans="1:3">
      <c r="A74" s="33">
        <v>35646</v>
      </c>
      <c r="C74" s="38">
        <v>35646</v>
      </c>
    </row>
    <row r="75" spans="1:3">
      <c r="A75" s="33">
        <v>35709</v>
      </c>
      <c r="C75" s="38">
        <v>35709</v>
      </c>
    </row>
    <row r="76" spans="1:3">
      <c r="A76" s="33">
        <v>35789</v>
      </c>
      <c r="C76" s="38">
        <v>35789</v>
      </c>
    </row>
    <row r="77" spans="1:3">
      <c r="A77" s="33">
        <v>35790</v>
      </c>
      <c r="C77" s="38">
        <v>35790</v>
      </c>
    </row>
    <row r="78" spans="1:3">
      <c r="A78" s="33">
        <v>35796</v>
      </c>
      <c r="C78" s="38">
        <v>35796</v>
      </c>
    </row>
    <row r="79" spans="1:3">
      <c r="A79" s="33">
        <v>35821</v>
      </c>
      <c r="C79" s="38">
        <v>35821</v>
      </c>
    </row>
    <row r="80" spans="1:3">
      <c r="A80" s="33">
        <v>35895</v>
      </c>
      <c r="C80" s="38">
        <v>35895</v>
      </c>
    </row>
    <row r="81" spans="1:3">
      <c r="A81" s="33">
        <v>35898</v>
      </c>
      <c r="C81" s="38">
        <v>35898</v>
      </c>
    </row>
    <row r="82" spans="1:3">
      <c r="A82" s="33">
        <v>35912</v>
      </c>
      <c r="C82" s="38">
        <v>35912</v>
      </c>
    </row>
    <row r="83" spans="1:3">
      <c r="A83" s="33">
        <v>35954</v>
      </c>
      <c r="C83" s="38">
        <v>35954</v>
      </c>
    </row>
    <row r="84" spans="1:3">
      <c r="A84" s="33">
        <v>36010</v>
      </c>
      <c r="C84" s="38">
        <v>36010</v>
      </c>
    </row>
    <row r="85" spans="1:3">
      <c r="A85" s="33">
        <v>36073</v>
      </c>
      <c r="C85" s="38">
        <v>36073</v>
      </c>
    </row>
    <row r="86" spans="1:3">
      <c r="A86" s="33">
        <v>36154</v>
      </c>
      <c r="C86" s="38">
        <v>36154</v>
      </c>
    </row>
    <row r="87" spans="1:3">
      <c r="A87" s="33">
        <v>36161</v>
      </c>
      <c r="C87" s="38">
        <v>36161</v>
      </c>
    </row>
    <row r="88" spans="1:3">
      <c r="A88" s="33">
        <v>36186</v>
      </c>
      <c r="C88" s="38">
        <v>36186</v>
      </c>
    </row>
    <row r="89" spans="1:3">
      <c r="A89" s="33">
        <v>36252</v>
      </c>
      <c r="C89" s="38">
        <v>36252</v>
      </c>
    </row>
    <row r="90" spans="1:3">
      <c r="A90" s="33">
        <v>36255</v>
      </c>
      <c r="C90" s="38">
        <v>36255</v>
      </c>
    </row>
    <row r="91" spans="1:3">
      <c r="A91" s="33">
        <v>36276</v>
      </c>
      <c r="C91" s="38">
        <v>36276</v>
      </c>
    </row>
    <row r="92" spans="1:3">
      <c r="A92" s="33">
        <v>36325</v>
      </c>
      <c r="C92" s="38">
        <v>36325</v>
      </c>
    </row>
    <row r="93" spans="1:3">
      <c r="A93" s="33">
        <v>36374</v>
      </c>
      <c r="C93" s="38">
        <v>36374</v>
      </c>
    </row>
    <row r="94" spans="1:3">
      <c r="A94" s="33">
        <v>36437</v>
      </c>
      <c r="C94" s="38">
        <v>36437</v>
      </c>
    </row>
    <row r="95" spans="1:3">
      <c r="A95" s="33">
        <v>36521</v>
      </c>
      <c r="C95" s="38">
        <v>36521</v>
      </c>
    </row>
    <row r="96" spans="1:3">
      <c r="A96" s="33">
        <v>36551</v>
      </c>
      <c r="C96" s="38">
        <v>36551</v>
      </c>
    </row>
    <row r="97" spans="1:3">
      <c r="A97" s="33">
        <v>36637</v>
      </c>
      <c r="C97" s="38">
        <v>36637</v>
      </c>
    </row>
    <row r="98" spans="1:3">
      <c r="A98" s="33">
        <v>36640</v>
      </c>
      <c r="C98" s="38">
        <v>36640</v>
      </c>
    </row>
    <row r="99" spans="1:3">
      <c r="A99" s="33">
        <v>36641</v>
      </c>
      <c r="C99" s="38">
        <v>36641</v>
      </c>
    </row>
    <row r="100" spans="1:3">
      <c r="A100" s="33">
        <v>36689</v>
      </c>
      <c r="C100" s="38">
        <v>36689</v>
      </c>
    </row>
    <row r="101" spans="1:3">
      <c r="A101" s="33">
        <v>36745</v>
      </c>
      <c r="C101" s="38">
        <v>36745</v>
      </c>
    </row>
    <row r="102" spans="1:3">
      <c r="A102" s="33">
        <v>36801</v>
      </c>
      <c r="C102" s="38">
        <v>36801</v>
      </c>
    </row>
    <row r="103" spans="1:3">
      <c r="A103" s="33">
        <v>36885</v>
      </c>
      <c r="C103" s="38">
        <v>36885</v>
      </c>
    </row>
    <row r="104" spans="1:3">
      <c r="A104" s="33">
        <v>36886</v>
      </c>
      <c r="C104" s="38">
        <v>36886</v>
      </c>
    </row>
    <row r="105" spans="1:3">
      <c r="A105" s="33">
        <v>36892</v>
      </c>
      <c r="C105" s="38">
        <v>36892</v>
      </c>
    </row>
    <row r="106" spans="1:3">
      <c r="A106" s="33">
        <v>36917</v>
      </c>
      <c r="C106" s="38">
        <v>36917</v>
      </c>
    </row>
    <row r="107" spans="1:3">
      <c r="A107" s="33">
        <v>36994</v>
      </c>
      <c r="C107" s="38">
        <v>36994</v>
      </c>
    </row>
    <row r="108" spans="1:3">
      <c r="A108" s="33">
        <v>36997</v>
      </c>
      <c r="C108" s="38">
        <v>36997</v>
      </c>
    </row>
    <row r="109" spans="1:3">
      <c r="A109" s="33">
        <v>37006</v>
      </c>
      <c r="C109" s="38">
        <v>37006</v>
      </c>
    </row>
    <row r="110" spans="1:3">
      <c r="A110" s="33">
        <v>37053</v>
      </c>
      <c r="C110" s="38">
        <v>37053</v>
      </c>
    </row>
    <row r="111" spans="1:3">
      <c r="A111" s="33">
        <v>37109</v>
      </c>
      <c r="C111" s="38">
        <v>37109</v>
      </c>
    </row>
    <row r="112" spans="1:3">
      <c r="A112" s="33">
        <v>37165</v>
      </c>
      <c r="C112" s="38">
        <v>37165</v>
      </c>
    </row>
    <row r="113" spans="1:3">
      <c r="A113" s="33">
        <v>37250</v>
      </c>
      <c r="C113" s="38">
        <v>37250</v>
      </c>
    </row>
    <row r="114" spans="1:3">
      <c r="A114" s="33">
        <v>37251</v>
      </c>
      <c r="C114" s="38">
        <v>37251</v>
      </c>
    </row>
    <row r="115" spans="1:3">
      <c r="A115" s="33">
        <v>37257</v>
      </c>
      <c r="C115" s="38">
        <v>37257</v>
      </c>
    </row>
    <row r="116" spans="1:3">
      <c r="A116" s="33">
        <v>37344</v>
      </c>
      <c r="C116" s="38">
        <v>37344</v>
      </c>
    </row>
    <row r="117" spans="1:3">
      <c r="A117" s="33">
        <v>37347</v>
      </c>
      <c r="C117" s="38">
        <v>37347</v>
      </c>
    </row>
    <row r="118" spans="1:3">
      <c r="A118" s="33">
        <v>37371</v>
      </c>
      <c r="C118" s="38">
        <v>37371</v>
      </c>
    </row>
    <row r="119" spans="1:3">
      <c r="A119" s="33">
        <v>37417</v>
      </c>
      <c r="C119" s="38">
        <v>37417</v>
      </c>
    </row>
    <row r="120" spans="1:3">
      <c r="A120" s="33">
        <v>37473</v>
      </c>
      <c r="C120" s="38">
        <v>37473</v>
      </c>
    </row>
    <row r="121" spans="1:3">
      <c r="A121" s="33">
        <v>37536</v>
      </c>
      <c r="C121" s="38">
        <v>37536</v>
      </c>
    </row>
    <row r="122" spans="1:3">
      <c r="A122" s="33">
        <v>37615</v>
      </c>
      <c r="C122" s="38">
        <v>37615</v>
      </c>
    </row>
    <row r="123" spans="1:3">
      <c r="A123" s="33">
        <v>37616</v>
      </c>
      <c r="C123" s="38">
        <v>37616</v>
      </c>
    </row>
    <row r="124" spans="1:3">
      <c r="A124" s="33">
        <v>37622</v>
      </c>
      <c r="C124" s="38">
        <v>37622</v>
      </c>
    </row>
    <row r="125" spans="1:3">
      <c r="A125" s="33">
        <v>37648</v>
      </c>
      <c r="C125" s="38">
        <v>37648</v>
      </c>
    </row>
    <row r="126" spans="1:3">
      <c r="A126" s="33">
        <v>37729</v>
      </c>
      <c r="C126" s="38">
        <v>37729</v>
      </c>
    </row>
    <row r="127" spans="1:3">
      <c r="A127" s="33">
        <v>37732</v>
      </c>
      <c r="C127" s="38">
        <v>37732</v>
      </c>
    </row>
    <row r="128" spans="1:3">
      <c r="A128" s="33">
        <v>37736</v>
      </c>
      <c r="C128" s="38">
        <v>37736</v>
      </c>
    </row>
    <row r="129" spans="1:3">
      <c r="A129" s="33">
        <v>37781</v>
      </c>
      <c r="C129" s="38">
        <v>37781</v>
      </c>
    </row>
    <row r="130" spans="1:3">
      <c r="A130" s="33">
        <v>37837</v>
      </c>
      <c r="C130" s="38">
        <v>37837</v>
      </c>
    </row>
    <row r="131" spans="1:3">
      <c r="A131" s="33">
        <v>37900</v>
      </c>
      <c r="C131" s="38">
        <v>37900</v>
      </c>
    </row>
    <row r="132" spans="1:3">
      <c r="A132" s="33">
        <v>37980</v>
      </c>
      <c r="C132" s="38">
        <v>37980</v>
      </c>
    </row>
    <row r="133" spans="1:3">
      <c r="A133" s="33">
        <v>37981</v>
      </c>
      <c r="C133" s="38">
        <v>37981</v>
      </c>
    </row>
    <row r="134" spans="1:3">
      <c r="A134" s="33">
        <v>37987</v>
      </c>
      <c r="C134" s="38">
        <v>37987</v>
      </c>
    </row>
    <row r="135" spans="1:3">
      <c r="A135" s="33">
        <v>38012</v>
      </c>
      <c r="C135" s="38">
        <v>38012</v>
      </c>
    </row>
    <row r="136" spans="1:3">
      <c r="A136" s="33">
        <v>38086</v>
      </c>
      <c r="C136" s="38">
        <v>38086</v>
      </c>
    </row>
    <row r="137" spans="1:3">
      <c r="A137" s="33">
        <v>38089</v>
      </c>
      <c r="C137" s="38">
        <v>38089</v>
      </c>
    </row>
    <row r="138" spans="1:3">
      <c r="A138" s="33">
        <v>38103</v>
      </c>
      <c r="C138" s="38">
        <v>38103</v>
      </c>
    </row>
    <row r="139" spans="1:3">
      <c r="A139" s="33">
        <v>38152</v>
      </c>
      <c r="C139" s="38">
        <v>38152</v>
      </c>
    </row>
    <row r="140" spans="1:3">
      <c r="A140" s="33">
        <v>38201</v>
      </c>
      <c r="C140" s="38">
        <v>38201</v>
      </c>
    </row>
    <row r="141" spans="1:3">
      <c r="A141" s="33">
        <v>38264</v>
      </c>
      <c r="C141" s="38">
        <v>38264</v>
      </c>
    </row>
    <row r="142" spans="1:3">
      <c r="A142" s="33">
        <v>38348</v>
      </c>
      <c r="C142" s="38">
        <v>38348</v>
      </c>
    </row>
    <row r="143" spans="1:3">
      <c r="A143" s="33">
        <v>38378</v>
      </c>
      <c r="C143" s="38">
        <v>38378</v>
      </c>
    </row>
    <row r="144" spans="1:3">
      <c r="A144" s="33">
        <v>38436</v>
      </c>
      <c r="C144" s="38">
        <v>38436</v>
      </c>
    </row>
    <row r="145" spans="1:3">
      <c r="A145" s="33">
        <v>38439</v>
      </c>
      <c r="C145" s="38">
        <v>38439</v>
      </c>
    </row>
    <row r="146" spans="1:3">
      <c r="A146" s="33">
        <v>38467</v>
      </c>
      <c r="C146" s="38">
        <v>38467</v>
      </c>
    </row>
    <row r="147" spans="1:3">
      <c r="A147" s="33">
        <v>38516</v>
      </c>
      <c r="C147" s="38">
        <v>38516</v>
      </c>
    </row>
    <row r="148" spans="1:3">
      <c r="A148" s="33">
        <v>38565</v>
      </c>
      <c r="C148" s="38">
        <v>38565</v>
      </c>
    </row>
    <row r="149" spans="1:3">
      <c r="A149" s="33">
        <v>38628</v>
      </c>
      <c r="C149" s="38">
        <v>38628</v>
      </c>
    </row>
    <row r="150" spans="1:3">
      <c r="A150" s="33">
        <v>38712</v>
      </c>
      <c r="C150" s="38">
        <v>38712</v>
      </c>
    </row>
    <row r="151" spans="1:3">
      <c r="A151" s="33">
        <v>38713</v>
      </c>
      <c r="C151" s="38">
        <v>38713</v>
      </c>
    </row>
    <row r="152" spans="1:3">
      <c r="A152" s="33">
        <v>38719</v>
      </c>
      <c r="C152" s="38">
        <v>38719</v>
      </c>
    </row>
    <row r="153" spans="1:3">
      <c r="A153" s="33">
        <v>38743</v>
      </c>
      <c r="C153" s="38">
        <v>38743</v>
      </c>
    </row>
    <row r="154" spans="1:3">
      <c r="A154" s="33">
        <v>38821</v>
      </c>
      <c r="C154" s="38">
        <v>38821</v>
      </c>
    </row>
    <row r="155" spans="1:3">
      <c r="A155" s="33">
        <v>38824</v>
      </c>
      <c r="C155" s="38">
        <v>38824</v>
      </c>
    </row>
    <row r="156" spans="1:3">
      <c r="A156" s="33">
        <v>38832</v>
      </c>
      <c r="C156" s="38">
        <v>38832</v>
      </c>
    </row>
    <row r="157" spans="1:3">
      <c r="A157" s="33">
        <v>38880</v>
      </c>
      <c r="C157" s="38">
        <v>38880</v>
      </c>
    </row>
    <row r="158" spans="1:3">
      <c r="A158" s="33">
        <v>38936</v>
      </c>
      <c r="C158" s="38">
        <v>38936</v>
      </c>
    </row>
    <row r="159" spans="1:3">
      <c r="A159" s="33">
        <v>38992</v>
      </c>
      <c r="C159" s="38">
        <v>38992</v>
      </c>
    </row>
    <row r="160" spans="1:3">
      <c r="A160" s="33">
        <v>39076</v>
      </c>
      <c r="C160" s="38">
        <v>39076</v>
      </c>
    </row>
    <row r="161" spans="1:3">
      <c r="A161" s="33">
        <v>39077</v>
      </c>
      <c r="C161" s="38">
        <v>39077</v>
      </c>
    </row>
    <row r="162" spans="1:3">
      <c r="A162" s="33">
        <v>39083</v>
      </c>
      <c r="C162" s="38">
        <v>39083</v>
      </c>
    </row>
    <row r="163" spans="1:3">
      <c r="A163" s="33">
        <v>39108</v>
      </c>
      <c r="C163" s="38">
        <v>39108</v>
      </c>
    </row>
    <row r="164" spans="1:3">
      <c r="A164" s="33">
        <v>39178</v>
      </c>
      <c r="C164" s="38">
        <v>39178</v>
      </c>
    </row>
    <row r="165" spans="1:3">
      <c r="A165" s="33">
        <v>39181</v>
      </c>
      <c r="C165" s="38">
        <v>39181</v>
      </c>
    </row>
    <row r="166" spans="1:3">
      <c r="A166" s="33">
        <v>39197</v>
      </c>
      <c r="C166" s="38">
        <v>39197</v>
      </c>
    </row>
    <row r="167" spans="1:3">
      <c r="A167" s="33">
        <v>39244</v>
      </c>
      <c r="C167" s="38">
        <v>39244</v>
      </c>
    </row>
    <row r="168" spans="1:3">
      <c r="A168" s="33">
        <v>39300</v>
      </c>
      <c r="C168" s="38">
        <v>39300</v>
      </c>
    </row>
    <row r="169" spans="1:3">
      <c r="A169" s="33">
        <v>39356</v>
      </c>
      <c r="C169" s="38">
        <v>39356</v>
      </c>
    </row>
    <row r="170" spans="1:3">
      <c r="A170" s="33">
        <v>39441</v>
      </c>
      <c r="C170" s="38">
        <v>39441</v>
      </c>
    </row>
    <row r="171" spans="1:3">
      <c r="A171" s="33">
        <v>39442</v>
      </c>
      <c r="C171" s="38">
        <v>39442</v>
      </c>
    </row>
    <row r="172" spans="1:3">
      <c r="A172" s="33">
        <v>39448</v>
      </c>
      <c r="C172" s="38">
        <v>39448</v>
      </c>
    </row>
    <row r="173" spans="1:3">
      <c r="A173" s="33">
        <v>39528</v>
      </c>
      <c r="C173" s="38">
        <v>39528</v>
      </c>
    </row>
    <row r="174" spans="1:3">
      <c r="A174" s="33">
        <v>39531</v>
      </c>
      <c r="C174" s="38">
        <v>39531</v>
      </c>
    </row>
    <row r="175" spans="1:3">
      <c r="A175" s="33">
        <v>39563</v>
      </c>
      <c r="C175" s="38">
        <v>39563</v>
      </c>
    </row>
    <row r="176" spans="1:3">
      <c r="A176" s="33">
        <v>39608</v>
      </c>
      <c r="C176" s="38">
        <v>39608</v>
      </c>
    </row>
    <row r="177" spans="1:3">
      <c r="A177" s="33">
        <v>39664</v>
      </c>
      <c r="C177" s="38">
        <v>39664</v>
      </c>
    </row>
    <row r="178" spans="1:3">
      <c r="A178" s="33">
        <v>39727</v>
      </c>
      <c r="C178" s="38">
        <v>39727</v>
      </c>
    </row>
    <row r="179" spans="1:3">
      <c r="A179" s="33">
        <v>39807</v>
      </c>
      <c r="C179" s="38">
        <v>39807</v>
      </c>
    </row>
    <row r="180" spans="1:3">
      <c r="A180" s="33">
        <v>39808</v>
      </c>
      <c r="C180" s="38">
        <v>39808</v>
      </c>
    </row>
    <row r="181" spans="1:3">
      <c r="A181" s="33">
        <v>39814</v>
      </c>
      <c r="C181" s="38">
        <v>39814</v>
      </c>
    </row>
    <row r="182" spans="1:3">
      <c r="A182" s="33">
        <v>39839</v>
      </c>
      <c r="C182" s="38">
        <v>39839</v>
      </c>
    </row>
    <row r="183" spans="1:3">
      <c r="A183" s="33">
        <v>39913</v>
      </c>
      <c r="C183" s="38">
        <v>39913</v>
      </c>
    </row>
    <row r="184" spans="1:3">
      <c r="A184" s="33">
        <v>39916</v>
      </c>
      <c r="C184" s="38">
        <v>39916</v>
      </c>
    </row>
    <row r="185" spans="1:3">
      <c r="A185" s="33">
        <v>39930</v>
      </c>
      <c r="C185" s="38">
        <v>39930</v>
      </c>
    </row>
    <row r="186" spans="1:3">
      <c r="A186" s="33">
        <v>39972</v>
      </c>
      <c r="C186" s="38">
        <v>39972</v>
      </c>
    </row>
    <row r="187" spans="1:3">
      <c r="A187" s="33">
        <v>40028</v>
      </c>
      <c r="C187" s="38">
        <v>40028</v>
      </c>
    </row>
    <row r="188" spans="1:3">
      <c r="A188" s="33">
        <v>40091</v>
      </c>
      <c r="C188" s="38">
        <v>40091</v>
      </c>
    </row>
    <row r="189" spans="1:3">
      <c r="A189" s="33">
        <v>40172</v>
      </c>
      <c r="C189" s="38">
        <v>40172</v>
      </c>
    </row>
    <row r="190" spans="1:3">
      <c r="A190" s="33">
        <v>40179</v>
      </c>
      <c r="C190" s="38">
        <v>40179</v>
      </c>
    </row>
    <row r="191" spans="1:3">
      <c r="A191" s="33">
        <v>40204</v>
      </c>
      <c r="C191" s="38">
        <v>40204</v>
      </c>
    </row>
    <row r="192" spans="1:3">
      <c r="A192" s="33">
        <v>40270</v>
      </c>
      <c r="C192" s="38">
        <v>40270</v>
      </c>
    </row>
    <row r="193" spans="1:3">
      <c r="A193" s="33">
        <v>40273</v>
      </c>
      <c r="C193" s="38">
        <v>40273</v>
      </c>
    </row>
    <row r="194" spans="1:3">
      <c r="A194" s="33">
        <v>40294</v>
      </c>
      <c r="C194" s="38">
        <v>40294</v>
      </c>
    </row>
    <row r="195" spans="1:3">
      <c r="A195" s="33">
        <v>40343</v>
      </c>
      <c r="C195" s="38">
        <v>40343</v>
      </c>
    </row>
    <row r="196" spans="1:3">
      <c r="A196" s="33">
        <v>40392</v>
      </c>
      <c r="C196" s="38">
        <v>40392</v>
      </c>
    </row>
    <row r="197" spans="1:3">
      <c r="A197" s="33">
        <v>40455</v>
      </c>
      <c r="C197" s="38">
        <v>40455</v>
      </c>
    </row>
    <row r="198" spans="1:3">
      <c r="A198" s="33">
        <v>40539</v>
      </c>
      <c r="C198" s="38">
        <v>40539</v>
      </c>
    </row>
    <row r="199" spans="1:3">
      <c r="A199" s="33">
        <v>40546</v>
      </c>
      <c r="C199" s="38">
        <v>40546</v>
      </c>
    </row>
    <row r="200" spans="1:3">
      <c r="A200" s="33">
        <v>40569</v>
      </c>
      <c r="C200" s="38">
        <v>40569</v>
      </c>
    </row>
    <row r="201" spans="1:3">
      <c r="A201" s="33">
        <v>40655</v>
      </c>
      <c r="C201" s="38">
        <v>40655</v>
      </c>
    </row>
    <row r="202" spans="1:3">
      <c r="A202" s="33">
        <v>40658</v>
      </c>
      <c r="C202" s="38">
        <v>40658</v>
      </c>
    </row>
    <row r="203" spans="1:3">
      <c r="A203" s="33">
        <v>40707</v>
      </c>
      <c r="C203" s="38">
        <v>40707</v>
      </c>
    </row>
    <row r="204" spans="1:3">
      <c r="A204" s="33">
        <v>40756</v>
      </c>
      <c r="C204" s="38">
        <v>40756</v>
      </c>
    </row>
    <row r="205" spans="1:3">
      <c r="A205" s="33">
        <v>40819</v>
      </c>
      <c r="C205" s="38">
        <v>40819</v>
      </c>
    </row>
    <row r="206" spans="1:3">
      <c r="A206" s="33">
        <v>40903</v>
      </c>
      <c r="C206" s="38">
        <v>40903</v>
      </c>
    </row>
    <row r="207" spans="1:3">
      <c r="A207" s="33">
        <v>40904</v>
      </c>
      <c r="C207" s="38">
        <v>40904</v>
      </c>
    </row>
    <row r="208" spans="1:3">
      <c r="A208" s="33">
        <v>40910</v>
      </c>
      <c r="C208" s="38">
        <v>40910</v>
      </c>
    </row>
    <row r="209" spans="1:3">
      <c r="A209" s="33">
        <v>40934</v>
      </c>
      <c r="C209" s="38">
        <v>40934</v>
      </c>
    </row>
    <row r="210" spans="1:3">
      <c r="A210" s="33">
        <v>41005</v>
      </c>
      <c r="C210" s="38">
        <v>41005</v>
      </c>
    </row>
    <row r="211" spans="1:3">
      <c r="A211" s="33">
        <v>41008</v>
      </c>
      <c r="C211" s="38">
        <v>41008</v>
      </c>
    </row>
    <row r="212" spans="1:3">
      <c r="A212" s="33">
        <v>41024</v>
      </c>
      <c r="C212" s="38">
        <v>41024</v>
      </c>
    </row>
    <row r="213" spans="1:3">
      <c r="A213" s="33">
        <v>41071</v>
      </c>
      <c r="C213" s="38">
        <v>41071</v>
      </c>
    </row>
    <row r="214" spans="1:3">
      <c r="A214" s="33">
        <v>41127</v>
      </c>
      <c r="C214" s="38">
        <v>41127</v>
      </c>
    </row>
    <row r="215" spans="1:3">
      <c r="A215" s="33">
        <v>41183</v>
      </c>
      <c r="C215" s="38">
        <v>41183</v>
      </c>
    </row>
    <row r="216" spans="1:3">
      <c r="A216" s="33">
        <v>41268</v>
      </c>
      <c r="C216" s="38">
        <v>41268</v>
      </c>
    </row>
    <row r="217" spans="1:3">
      <c r="A217" s="33">
        <v>41269</v>
      </c>
      <c r="C217" s="38">
        <v>41269</v>
      </c>
    </row>
    <row r="218" spans="1:3">
      <c r="A218" s="33">
        <v>41275</v>
      </c>
      <c r="C218" s="38">
        <v>41275</v>
      </c>
    </row>
    <row r="219" spans="1:3">
      <c r="A219" s="33">
        <v>41302</v>
      </c>
      <c r="C219" s="38">
        <v>41302</v>
      </c>
    </row>
    <row r="220" spans="1:3">
      <c r="A220" s="33">
        <v>41362</v>
      </c>
      <c r="C220" s="38">
        <v>41362</v>
      </c>
    </row>
    <row r="221" spans="1:3">
      <c r="A221" s="33">
        <v>41365</v>
      </c>
      <c r="C221" s="38">
        <v>41365</v>
      </c>
    </row>
    <row r="222" spans="1:3">
      <c r="A222" s="33">
        <v>41389</v>
      </c>
      <c r="C222" s="38">
        <v>41389</v>
      </c>
    </row>
    <row r="223" spans="1:3">
      <c r="A223" s="33">
        <v>41435</v>
      </c>
      <c r="C223" s="38">
        <v>41435</v>
      </c>
    </row>
    <row r="224" spans="1:3">
      <c r="A224" s="33">
        <v>41491</v>
      </c>
      <c r="C224" s="38">
        <v>41491</v>
      </c>
    </row>
    <row r="225" spans="1:3">
      <c r="A225" s="33">
        <v>41554</v>
      </c>
      <c r="C225" s="38">
        <v>41554</v>
      </c>
    </row>
    <row r="226" spans="1:3">
      <c r="A226" s="33">
        <v>41633</v>
      </c>
      <c r="C226" s="38">
        <v>41633</v>
      </c>
    </row>
    <row r="227" spans="1:3">
      <c r="A227" s="33">
        <v>41634</v>
      </c>
      <c r="C227" s="38">
        <v>41634</v>
      </c>
    </row>
    <row r="228" spans="1:3">
      <c r="A228" s="33">
        <v>41640</v>
      </c>
      <c r="C228" s="38">
        <v>41640</v>
      </c>
    </row>
    <row r="229" spans="1:3">
      <c r="A229" s="33">
        <v>41666</v>
      </c>
      <c r="C229" s="38">
        <v>41666</v>
      </c>
    </row>
    <row r="230" spans="1:3">
      <c r="A230" s="33">
        <v>41747</v>
      </c>
      <c r="C230" s="38">
        <v>41747</v>
      </c>
    </row>
    <row r="231" spans="1:3">
      <c r="A231" s="33">
        <v>41750</v>
      </c>
      <c r="C231" s="38">
        <v>41750</v>
      </c>
    </row>
    <row r="232" spans="1:3">
      <c r="A232" s="33">
        <v>41754</v>
      </c>
      <c r="C232" s="38">
        <v>41754</v>
      </c>
    </row>
    <row r="233" spans="1:3">
      <c r="A233" s="33">
        <v>41799</v>
      </c>
      <c r="C233" s="38">
        <v>41799</v>
      </c>
    </row>
    <row r="234" spans="1:3">
      <c r="A234" s="33">
        <v>41855</v>
      </c>
      <c r="C234" s="38">
        <v>41855</v>
      </c>
    </row>
    <row r="235" spans="1:3">
      <c r="A235" s="33">
        <v>41918</v>
      </c>
      <c r="C235" s="38">
        <v>41918</v>
      </c>
    </row>
    <row r="236" spans="1:3">
      <c r="A236" s="33">
        <v>41998</v>
      </c>
      <c r="C236" s="38">
        <v>41998</v>
      </c>
    </row>
    <row r="237" spans="1:3">
      <c r="A237" s="33">
        <v>41999</v>
      </c>
      <c r="C237" s="38">
        <v>41999</v>
      </c>
    </row>
    <row r="238" spans="1:3">
      <c r="A238" s="33">
        <v>42005</v>
      </c>
      <c r="C238" s="38">
        <v>42005</v>
      </c>
    </row>
    <row r="239" spans="1:3">
      <c r="A239" s="33">
        <v>42030</v>
      </c>
      <c r="C239" s="38">
        <v>42030</v>
      </c>
    </row>
    <row r="240" spans="1:3">
      <c r="A240" s="33">
        <v>42097</v>
      </c>
      <c r="C240" s="38">
        <v>42097</v>
      </c>
    </row>
    <row r="241" spans="1:3">
      <c r="A241" s="33">
        <v>42100</v>
      </c>
      <c r="C241" s="38">
        <v>42100</v>
      </c>
    </row>
    <row r="242" spans="1:3">
      <c r="A242" s="33">
        <v>42163</v>
      </c>
      <c r="C242" s="38">
        <v>42163</v>
      </c>
    </row>
    <row r="243" spans="1:3">
      <c r="A243" s="33">
        <v>42219</v>
      </c>
      <c r="C243" s="38">
        <v>42219</v>
      </c>
    </row>
    <row r="244" spans="1:3">
      <c r="A244" s="33">
        <v>42282</v>
      </c>
      <c r="C244" s="38">
        <v>42282</v>
      </c>
    </row>
    <row r="245" spans="1:3">
      <c r="A245" s="33">
        <v>42363</v>
      </c>
      <c r="C245" s="38">
        <v>42363</v>
      </c>
    </row>
    <row r="246" spans="1:3">
      <c r="A246" s="33">
        <v>42366</v>
      </c>
      <c r="C246" s="38">
        <v>42366</v>
      </c>
    </row>
    <row r="247" spans="1:3">
      <c r="A247" s="33">
        <v>42370</v>
      </c>
      <c r="C247" s="38">
        <v>42370</v>
      </c>
    </row>
    <row r="248" spans="1:3">
      <c r="A248" s="33">
        <v>42395</v>
      </c>
      <c r="C248" s="38">
        <v>42395</v>
      </c>
    </row>
    <row r="249" spans="1:3">
      <c r="A249" s="33">
        <v>42454</v>
      </c>
      <c r="C249" s="38">
        <v>42454</v>
      </c>
    </row>
    <row r="250" spans="1:3">
      <c r="A250" s="33">
        <v>42457</v>
      </c>
      <c r="C250" s="38">
        <v>42457</v>
      </c>
    </row>
    <row r="251" spans="1:3">
      <c r="A251" s="33">
        <v>42485</v>
      </c>
      <c r="C251" s="38">
        <v>42485</v>
      </c>
    </row>
    <row r="252" spans="1:3">
      <c r="A252" s="33">
        <v>42534</v>
      </c>
      <c r="C252" s="38">
        <v>42534</v>
      </c>
    </row>
    <row r="253" spans="1:3">
      <c r="A253" s="33">
        <v>42583</v>
      </c>
      <c r="C253" s="38">
        <v>42583</v>
      </c>
    </row>
    <row r="254" spans="1:3">
      <c r="A254" s="33">
        <v>42646</v>
      </c>
      <c r="C254" s="38">
        <v>42646</v>
      </c>
    </row>
    <row r="255" spans="1:3">
      <c r="A255" s="33">
        <v>42730</v>
      </c>
      <c r="C255" s="38">
        <v>42730</v>
      </c>
    </row>
    <row r="256" spans="1:3">
      <c r="A256" s="33">
        <v>42731</v>
      </c>
      <c r="C256" s="38">
        <v>42731</v>
      </c>
    </row>
    <row r="257" spans="1:3">
      <c r="A257" s="33">
        <v>42737</v>
      </c>
      <c r="C257" s="38">
        <v>42737</v>
      </c>
    </row>
    <row r="258" spans="1:3">
      <c r="A258" s="33">
        <v>42761</v>
      </c>
      <c r="C258" s="38">
        <v>42761</v>
      </c>
    </row>
    <row r="259" spans="1:3">
      <c r="A259" s="33">
        <v>42839</v>
      </c>
      <c r="C259" s="38">
        <v>42839</v>
      </c>
    </row>
    <row r="260" spans="1:3">
      <c r="A260" s="33">
        <v>42842</v>
      </c>
      <c r="C260" s="38">
        <v>42842</v>
      </c>
    </row>
    <row r="261" spans="1:3">
      <c r="A261" s="33">
        <v>42850</v>
      </c>
      <c r="C261" s="38">
        <v>42850</v>
      </c>
    </row>
    <row r="262" spans="1:3">
      <c r="A262" s="33">
        <v>42898</v>
      </c>
      <c r="C262" s="38">
        <v>42898</v>
      </c>
    </row>
    <row r="263" spans="1:3">
      <c r="A263" s="33">
        <v>42954</v>
      </c>
      <c r="C263" s="38">
        <v>42954</v>
      </c>
    </row>
    <row r="264" spans="1:3">
      <c r="A264" s="33">
        <v>43010</v>
      </c>
      <c r="C264" s="38">
        <v>43010</v>
      </c>
    </row>
    <row r="265" spans="1:3">
      <c r="A265" s="33">
        <v>43094</v>
      </c>
      <c r="C265" s="38">
        <v>43094</v>
      </c>
    </row>
    <row r="266" spans="1:3">
      <c r="A266" s="33">
        <v>43095</v>
      </c>
      <c r="C266" s="38">
        <v>43095</v>
      </c>
    </row>
    <row r="267" spans="1:3">
      <c r="A267" s="33">
        <v>43101</v>
      </c>
      <c r="C267" s="38">
        <v>43101</v>
      </c>
    </row>
    <row r="268" spans="1:3">
      <c r="A268" s="33">
        <v>43126</v>
      </c>
      <c r="C268" s="38">
        <v>43126</v>
      </c>
    </row>
    <row r="269" spans="1:3">
      <c r="A269" s="33">
        <v>43189</v>
      </c>
      <c r="C269" s="38">
        <v>43189</v>
      </c>
    </row>
    <row r="270" spans="1:3">
      <c r="A270" s="33">
        <v>43192</v>
      </c>
      <c r="C270" s="38">
        <v>43192</v>
      </c>
    </row>
    <row r="271" spans="1:3">
      <c r="A271" s="33">
        <v>43215</v>
      </c>
      <c r="C271" s="38">
        <v>43215</v>
      </c>
    </row>
    <row r="272" spans="1:3">
      <c r="A272" s="33">
        <v>43262</v>
      </c>
      <c r="C272" s="38">
        <v>43262</v>
      </c>
    </row>
    <row r="273" spans="1:3">
      <c r="A273" s="33">
        <v>43318</v>
      </c>
      <c r="C273" s="38">
        <v>43318</v>
      </c>
    </row>
    <row r="274" spans="1:3">
      <c r="A274" s="33">
        <v>43374</v>
      </c>
      <c r="C274" s="38">
        <v>43374</v>
      </c>
    </row>
    <row r="275" spans="1:3">
      <c r="A275" s="33">
        <v>43459</v>
      </c>
      <c r="C275" s="38">
        <v>43459</v>
      </c>
    </row>
    <row r="276" spans="1:3">
      <c r="A276" s="33">
        <v>43460</v>
      </c>
      <c r="C276" s="38">
        <v>43460</v>
      </c>
    </row>
    <row r="277" spans="1:3">
      <c r="A277" s="33">
        <v>43466</v>
      </c>
      <c r="C277" s="38">
        <v>43466</v>
      </c>
    </row>
    <row r="278" spans="1:3">
      <c r="A278" s="33">
        <v>43493</v>
      </c>
      <c r="C278" s="38">
        <v>43493</v>
      </c>
    </row>
    <row r="279" spans="1:3">
      <c r="A279" s="33">
        <v>43574</v>
      </c>
      <c r="C279" s="38">
        <v>43574</v>
      </c>
    </row>
    <row r="280" spans="1:3">
      <c r="A280" s="33">
        <v>43577</v>
      </c>
      <c r="C280" s="38">
        <v>43577</v>
      </c>
    </row>
    <row r="281" spans="1:3">
      <c r="A281" s="33">
        <v>43580</v>
      </c>
      <c r="C281" s="38">
        <v>43580</v>
      </c>
    </row>
    <row r="282" spans="1:3">
      <c r="A282" s="33">
        <v>43626</v>
      </c>
      <c r="C282" s="38">
        <v>43626</v>
      </c>
    </row>
    <row r="283" spans="1:3">
      <c r="A283" s="33">
        <v>43682</v>
      </c>
      <c r="C283" s="38">
        <v>43682</v>
      </c>
    </row>
    <row r="284" spans="1:3">
      <c r="A284" s="33">
        <v>43745</v>
      </c>
      <c r="C284" s="38">
        <v>43745</v>
      </c>
    </row>
    <row r="285" spans="1:3">
      <c r="A285" s="33">
        <v>43824</v>
      </c>
      <c r="C285" s="38">
        <v>43824</v>
      </c>
    </row>
    <row r="286" spans="1:3">
      <c r="A286" s="33">
        <v>43825</v>
      </c>
      <c r="C286" s="38">
        <v>43825</v>
      </c>
    </row>
    <row r="287" spans="1:3">
      <c r="A287" s="33">
        <v>43831</v>
      </c>
      <c r="C287" s="38">
        <v>43831</v>
      </c>
    </row>
    <row r="288" spans="1:3">
      <c r="A288" s="33">
        <v>43857</v>
      </c>
      <c r="C288" s="38">
        <v>43857</v>
      </c>
    </row>
    <row r="289" spans="1:3">
      <c r="A289" s="33">
        <v>43931</v>
      </c>
      <c r="C289" s="38">
        <v>43931</v>
      </c>
    </row>
    <row r="290" spans="1:3">
      <c r="A290" s="33">
        <v>43934</v>
      </c>
      <c r="C290" s="38">
        <v>43934</v>
      </c>
    </row>
    <row r="291" spans="1:3">
      <c r="A291" s="33">
        <v>43990</v>
      </c>
      <c r="C291" s="38">
        <v>43990</v>
      </c>
    </row>
    <row r="292" spans="1:3">
      <c r="A292" s="33">
        <v>44046</v>
      </c>
      <c r="C292" s="38">
        <v>44046</v>
      </c>
    </row>
    <row r="293" spans="1:3">
      <c r="A293" s="33">
        <v>44109</v>
      </c>
      <c r="C293" s="38">
        <v>44109</v>
      </c>
    </row>
    <row r="294" spans="1:3">
      <c r="A294" s="33">
        <v>44190</v>
      </c>
      <c r="C294" s="38">
        <v>44190</v>
      </c>
    </row>
    <row r="295" spans="1:3">
      <c r="A295" s="33">
        <v>44193</v>
      </c>
      <c r="C295" s="38">
        <v>44193</v>
      </c>
    </row>
    <row r="296" spans="1:3">
      <c r="A296" s="33">
        <v>44197</v>
      </c>
      <c r="C296" s="38">
        <v>44197</v>
      </c>
    </row>
    <row r="297" spans="1:3">
      <c r="A297" s="33">
        <v>44222</v>
      </c>
      <c r="C297" s="38">
        <v>44222</v>
      </c>
    </row>
    <row r="298" spans="1:3">
      <c r="A298" s="33">
        <v>44288</v>
      </c>
      <c r="C298" s="38">
        <v>44288</v>
      </c>
    </row>
    <row r="299" spans="1:3">
      <c r="A299" s="33">
        <v>44291</v>
      </c>
      <c r="C299" s="38">
        <v>44291</v>
      </c>
    </row>
    <row r="300" spans="1:3">
      <c r="A300" s="33">
        <v>44361</v>
      </c>
      <c r="C300" s="38">
        <v>44361</v>
      </c>
    </row>
    <row r="301" spans="1:3">
      <c r="A301" s="33">
        <v>44410</v>
      </c>
      <c r="C301" s="38">
        <v>44410</v>
      </c>
    </row>
    <row r="302" spans="1:3">
      <c r="A302" s="33">
        <v>44473</v>
      </c>
      <c r="C302" s="38">
        <v>44473</v>
      </c>
    </row>
    <row r="303" spans="1:3">
      <c r="A303" s="33">
        <v>44557</v>
      </c>
      <c r="C303" s="38">
        <v>44557</v>
      </c>
    </row>
    <row r="304" spans="1:3">
      <c r="A304" s="33">
        <v>44558</v>
      </c>
      <c r="C304" s="38">
        <v>44558</v>
      </c>
    </row>
    <row r="305" spans="1:3">
      <c r="A305" s="33">
        <v>44564</v>
      </c>
      <c r="C305" s="38">
        <v>44564</v>
      </c>
    </row>
    <row r="306" spans="1:3">
      <c r="A306" s="33">
        <v>44587</v>
      </c>
      <c r="C306" s="38">
        <v>44587</v>
      </c>
    </row>
    <row r="307" spans="1:3">
      <c r="A307" s="33">
        <v>44666</v>
      </c>
      <c r="C307" s="38">
        <v>44666</v>
      </c>
    </row>
    <row r="308" spans="1:3">
      <c r="A308" s="33">
        <v>44669</v>
      </c>
      <c r="C308" s="38">
        <v>44669</v>
      </c>
    </row>
    <row r="309" spans="1:3">
      <c r="A309" s="33">
        <v>44676</v>
      </c>
      <c r="C309" s="38">
        <v>44676</v>
      </c>
    </row>
    <row r="310" spans="1:3">
      <c r="A310" s="33">
        <v>44725</v>
      </c>
      <c r="C310" s="38">
        <v>44725</v>
      </c>
    </row>
    <row r="311" spans="1:3">
      <c r="A311" s="33">
        <v>44774</v>
      </c>
      <c r="C311" s="38">
        <v>44774</v>
      </c>
    </row>
    <row r="312" spans="1:3">
      <c r="A312" s="33">
        <v>44826</v>
      </c>
      <c r="C312" s="38">
        <v>44826</v>
      </c>
    </row>
    <row r="313" spans="1:3">
      <c r="A313" s="33">
        <v>44837</v>
      </c>
      <c r="C313" s="38">
        <v>44837</v>
      </c>
    </row>
    <row r="314" spans="1:3">
      <c r="A314" s="33">
        <v>44921</v>
      </c>
      <c r="C314" s="38">
        <v>44921</v>
      </c>
    </row>
    <row r="315" spans="1:3">
      <c r="A315" s="33">
        <v>44922</v>
      </c>
      <c r="C315" s="38">
        <v>44922</v>
      </c>
    </row>
    <row r="316" spans="1:3">
      <c r="A316" s="33">
        <v>44928</v>
      </c>
      <c r="C316" s="38">
        <v>44928</v>
      </c>
    </row>
    <row r="317" spans="1:3">
      <c r="A317" s="33">
        <v>44952</v>
      </c>
      <c r="C317" s="38">
        <v>44952</v>
      </c>
    </row>
    <row r="318" spans="1:3">
      <c r="A318" s="33">
        <v>45023</v>
      </c>
      <c r="C318" s="38">
        <v>45023</v>
      </c>
    </row>
    <row r="319" spans="1:3">
      <c r="A319" s="33">
        <v>45026</v>
      </c>
      <c r="C319" s="38">
        <v>45026</v>
      </c>
    </row>
    <row r="320" spans="1:3">
      <c r="A320" s="33">
        <v>45041</v>
      </c>
      <c r="C320" s="38">
        <v>45041</v>
      </c>
    </row>
    <row r="321" spans="1:3">
      <c r="A321" s="33">
        <v>45089</v>
      </c>
      <c r="C321" s="38">
        <v>45089</v>
      </c>
    </row>
    <row r="322" spans="1:3">
      <c r="A322" s="33">
        <v>45145</v>
      </c>
      <c r="C322" s="38">
        <v>45145</v>
      </c>
    </row>
    <row r="323" spans="1:3">
      <c r="A323" s="33">
        <v>45201</v>
      </c>
      <c r="C323" s="38">
        <v>45201</v>
      </c>
    </row>
    <row r="324" spans="1:3">
      <c r="A324" s="33">
        <v>45285</v>
      </c>
      <c r="C324" s="38">
        <v>45285</v>
      </c>
    </row>
    <row r="325" spans="1:3">
      <c r="A325" s="33">
        <v>45286</v>
      </c>
      <c r="C325" s="38">
        <v>45286</v>
      </c>
    </row>
    <row r="326" spans="1:3">
      <c r="A326" s="33">
        <v>45292</v>
      </c>
      <c r="C326" s="38">
        <v>45292</v>
      </c>
    </row>
    <row r="327" spans="1:3">
      <c r="A327" s="33">
        <v>45317</v>
      </c>
      <c r="C327" s="38">
        <v>45317</v>
      </c>
    </row>
    <row r="328" spans="1:3">
      <c r="A328" s="33">
        <v>45380</v>
      </c>
      <c r="C328" s="38">
        <v>45380</v>
      </c>
    </row>
    <row r="329" spans="1:3">
      <c r="A329" s="33">
        <v>45383</v>
      </c>
      <c r="C329" s="38">
        <v>45383</v>
      </c>
    </row>
    <row r="330" spans="1:3">
      <c r="A330" s="33">
        <v>45407</v>
      </c>
      <c r="C330" s="38">
        <v>45407</v>
      </c>
    </row>
    <row r="331" spans="1:3">
      <c r="A331" s="33">
        <v>45453</v>
      </c>
      <c r="C331" s="38">
        <v>45453</v>
      </c>
    </row>
    <row r="332" spans="1:3">
      <c r="A332" s="33">
        <v>45509</v>
      </c>
      <c r="C332" s="38">
        <v>45509</v>
      </c>
    </row>
    <row r="333" spans="1:3">
      <c r="A333" s="33">
        <v>45572</v>
      </c>
      <c r="C333" s="38">
        <v>45572</v>
      </c>
    </row>
    <row r="334" spans="1:3">
      <c r="A334" s="33">
        <v>45651</v>
      </c>
      <c r="C334" s="38">
        <v>45651</v>
      </c>
    </row>
    <row r="335" spans="1:3">
      <c r="A335" s="33">
        <v>45652</v>
      </c>
      <c r="C335" s="38">
        <v>45652</v>
      </c>
    </row>
    <row r="336" spans="1:3">
      <c r="A336" s="33">
        <v>45658</v>
      </c>
      <c r="C336" s="38">
        <v>45658</v>
      </c>
    </row>
    <row r="337" spans="1:3">
      <c r="A337" s="33">
        <v>45684</v>
      </c>
      <c r="C337" s="38">
        <v>45684</v>
      </c>
    </row>
    <row r="338" spans="1:3">
      <c r="A338" s="33">
        <v>45765</v>
      </c>
      <c r="C338" s="38">
        <v>45765</v>
      </c>
    </row>
    <row r="339" spans="1:3">
      <c r="A339" s="33">
        <v>45768</v>
      </c>
      <c r="C339" s="38">
        <v>45768</v>
      </c>
    </row>
    <row r="340" spans="1:3">
      <c r="A340" s="33">
        <v>45772</v>
      </c>
      <c r="C340" s="38">
        <v>45772</v>
      </c>
    </row>
    <row r="341" spans="1:3">
      <c r="A341" s="33">
        <v>45817</v>
      </c>
      <c r="C341" s="38">
        <v>45817</v>
      </c>
    </row>
    <row r="342" spans="1:3">
      <c r="A342" s="33">
        <v>45873</v>
      </c>
      <c r="C342" s="38">
        <v>45873</v>
      </c>
    </row>
    <row r="343" spans="1:3">
      <c r="A343" s="33">
        <v>45936</v>
      </c>
      <c r="C343" s="38">
        <v>45936</v>
      </c>
    </row>
    <row r="344" spans="1:3">
      <c r="A344" s="33">
        <v>46016</v>
      </c>
      <c r="C344" s="38">
        <v>46016</v>
      </c>
    </row>
    <row r="345" spans="1:3">
      <c r="A345" s="33">
        <v>46017</v>
      </c>
      <c r="C345" s="38">
        <v>46017</v>
      </c>
    </row>
    <row r="346" spans="1:3">
      <c r="A346" s="33">
        <v>46023</v>
      </c>
      <c r="C346" s="38">
        <v>46023</v>
      </c>
    </row>
    <row r="347" spans="1:3">
      <c r="A347" s="33">
        <v>46048</v>
      </c>
      <c r="C347" s="38">
        <v>46048</v>
      </c>
    </row>
    <row r="348" spans="1:3">
      <c r="A348" s="33">
        <v>46115</v>
      </c>
      <c r="C348" s="38">
        <v>46115</v>
      </c>
    </row>
    <row r="349" spans="1:3">
      <c r="A349" s="33">
        <v>46118</v>
      </c>
      <c r="C349" s="38">
        <v>46118</v>
      </c>
    </row>
    <row r="350" spans="1:3">
      <c r="A350" s="33">
        <v>46181</v>
      </c>
      <c r="C350" s="38">
        <v>46181</v>
      </c>
    </row>
    <row r="351" spans="1:3">
      <c r="A351" s="33">
        <v>46237</v>
      </c>
      <c r="C351" s="38">
        <v>46237</v>
      </c>
    </row>
    <row r="352" spans="1:3">
      <c r="A352" s="33">
        <v>46300</v>
      </c>
      <c r="C352" s="38">
        <v>46300</v>
      </c>
    </row>
    <row r="353" spans="1:3">
      <c r="A353" s="33">
        <v>46381</v>
      </c>
      <c r="C353" s="38">
        <v>46381</v>
      </c>
    </row>
    <row r="354" spans="1:3">
      <c r="A354" s="33">
        <v>46384</v>
      </c>
      <c r="C354" s="38">
        <v>46384</v>
      </c>
    </row>
    <row r="355" spans="1:3">
      <c r="A355" s="33">
        <v>46388</v>
      </c>
      <c r="C355" s="38">
        <v>46388</v>
      </c>
    </row>
    <row r="356" spans="1:3">
      <c r="A356" s="33">
        <v>46413</v>
      </c>
      <c r="C356" s="38">
        <v>46413</v>
      </c>
    </row>
    <row r="357" spans="1:3">
      <c r="A357" s="33">
        <v>46472</v>
      </c>
      <c r="C357" s="38">
        <v>46472</v>
      </c>
    </row>
    <row r="358" spans="1:3">
      <c r="A358" s="33">
        <v>46475</v>
      </c>
      <c r="C358" s="38">
        <v>46475</v>
      </c>
    </row>
    <row r="359" spans="1:3">
      <c r="A359" s="33">
        <v>46552</v>
      </c>
      <c r="C359" s="38">
        <v>46552</v>
      </c>
    </row>
    <row r="360" spans="1:3">
      <c r="A360" s="33">
        <v>46601</v>
      </c>
      <c r="C360" s="38">
        <v>46601</v>
      </c>
    </row>
    <row r="361" spans="1:3">
      <c r="A361" s="33">
        <v>46664</v>
      </c>
      <c r="C361" s="38">
        <v>46664</v>
      </c>
    </row>
    <row r="362" spans="1:3">
      <c r="A362" s="33">
        <v>46748</v>
      </c>
      <c r="C362" s="38">
        <v>46748</v>
      </c>
    </row>
    <row r="363" spans="1:3">
      <c r="A363" s="33">
        <v>46749</v>
      </c>
      <c r="C363" s="38">
        <v>46749</v>
      </c>
    </row>
    <row r="364" spans="1:3">
      <c r="A364" s="33">
        <v>46755</v>
      </c>
      <c r="C364" s="38">
        <v>46755</v>
      </c>
    </row>
    <row r="365" spans="1:3">
      <c r="A365" s="33">
        <v>46778</v>
      </c>
      <c r="C365" s="38">
        <v>46778</v>
      </c>
    </row>
    <row r="366" spans="1:3">
      <c r="A366" s="33">
        <v>46857</v>
      </c>
      <c r="C366" s="38">
        <v>46857</v>
      </c>
    </row>
    <row r="367" spans="1:3">
      <c r="A367" s="33">
        <v>46860</v>
      </c>
      <c r="C367" s="38">
        <v>46860</v>
      </c>
    </row>
    <row r="368" spans="1:3">
      <c r="A368" s="33">
        <v>46868</v>
      </c>
      <c r="C368" s="38">
        <v>46868</v>
      </c>
    </row>
    <row r="369" spans="1:3">
      <c r="A369" s="33">
        <v>46916</v>
      </c>
      <c r="C369" s="38">
        <v>46916</v>
      </c>
    </row>
    <row r="370" spans="1:3">
      <c r="A370" s="33">
        <v>46972</v>
      </c>
      <c r="C370" s="38">
        <v>46972</v>
      </c>
    </row>
    <row r="371" spans="1:3">
      <c r="A371" s="33">
        <v>47028</v>
      </c>
      <c r="C371" s="38">
        <v>47028</v>
      </c>
    </row>
    <row r="372" spans="1:3">
      <c r="A372" s="33">
        <v>47112</v>
      </c>
      <c r="C372" s="38">
        <v>47112</v>
      </c>
    </row>
    <row r="373" spans="1:3">
      <c r="A373" s="33">
        <v>47113</v>
      </c>
      <c r="C373" s="38">
        <v>47113</v>
      </c>
    </row>
    <row r="374" spans="1:3">
      <c r="A374" s="33">
        <v>47119</v>
      </c>
      <c r="C374" s="38">
        <v>47119</v>
      </c>
    </row>
    <row r="375" spans="1:3">
      <c r="A375" s="33">
        <v>47144</v>
      </c>
      <c r="C375" s="38">
        <v>47144</v>
      </c>
    </row>
    <row r="376" spans="1:3">
      <c r="A376" s="33">
        <v>47207</v>
      </c>
      <c r="C376" s="38">
        <v>47207</v>
      </c>
    </row>
    <row r="377" spans="1:3">
      <c r="A377" s="33">
        <v>47210</v>
      </c>
      <c r="C377" s="38">
        <v>47210</v>
      </c>
    </row>
    <row r="378" spans="1:3">
      <c r="A378" s="33">
        <v>47233</v>
      </c>
      <c r="C378" s="38">
        <v>47233</v>
      </c>
    </row>
    <row r="379" spans="1:3">
      <c r="A379" s="33">
        <v>47280</v>
      </c>
      <c r="C379" s="38">
        <v>47280</v>
      </c>
    </row>
    <row r="380" spans="1:3">
      <c r="A380" s="33">
        <v>47336</v>
      </c>
      <c r="C380" s="38">
        <v>47336</v>
      </c>
    </row>
    <row r="381" spans="1:3">
      <c r="A381" s="33">
        <v>47392</v>
      </c>
      <c r="C381" s="38">
        <v>47392</v>
      </c>
    </row>
    <row r="382" spans="1:3">
      <c r="A382" s="33">
        <v>47477</v>
      </c>
      <c r="C382" s="38">
        <v>47477</v>
      </c>
    </row>
    <row r="383" spans="1:3">
      <c r="A383" s="33">
        <v>47478</v>
      </c>
      <c r="C383" s="38">
        <v>47478</v>
      </c>
    </row>
    <row r="384" spans="1:3">
      <c r="A384" s="33">
        <v>47484</v>
      </c>
      <c r="C384" s="38">
        <v>47484</v>
      </c>
    </row>
    <row r="385" spans="1:3">
      <c r="A385" s="33">
        <v>47511</v>
      </c>
      <c r="C385" s="38">
        <v>47511</v>
      </c>
    </row>
    <row r="386" spans="1:3">
      <c r="A386" s="33">
        <v>47592</v>
      </c>
      <c r="C386" s="38">
        <v>47592</v>
      </c>
    </row>
    <row r="387" spans="1:3">
      <c r="A387" s="33">
        <v>47595</v>
      </c>
      <c r="C387" s="38">
        <v>47595</v>
      </c>
    </row>
    <row r="388" spans="1:3">
      <c r="A388" s="33">
        <v>47598</v>
      </c>
      <c r="C388" s="38">
        <v>47598</v>
      </c>
    </row>
    <row r="389" spans="1:3">
      <c r="A389" s="33">
        <v>47644</v>
      </c>
      <c r="C389" s="38">
        <v>47644</v>
      </c>
    </row>
    <row r="390" spans="1:3">
      <c r="A390" s="33">
        <v>47700</v>
      </c>
      <c r="C390" s="38">
        <v>47700</v>
      </c>
    </row>
    <row r="391" spans="1:3">
      <c r="A391" s="33">
        <v>47763</v>
      </c>
      <c r="C391" s="38">
        <v>47763</v>
      </c>
    </row>
    <row r="392" spans="1:3">
      <c r="A392" s="33">
        <v>47842</v>
      </c>
      <c r="C392" s="38">
        <v>47842</v>
      </c>
    </row>
    <row r="393" spans="1:3">
      <c r="A393" s="33">
        <v>47843</v>
      </c>
      <c r="C393" s="38">
        <v>47843</v>
      </c>
    </row>
    <row r="394" spans="1:3">
      <c r="A394" s="33">
        <v>47849</v>
      </c>
      <c r="C394" s="38">
        <v>47849</v>
      </c>
    </row>
    <row r="395" spans="1:3">
      <c r="A395" s="33">
        <v>47875</v>
      </c>
      <c r="C395" s="38">
        <v>47875</v>
      </c>
    </row>
    <row r="396" spans="1:3">
      <c r="A396" s="33">
        <v>47949</v>
      </c>
      <c r="C396" s="38">
        <v>47949</v>
      </c>
    </row>
    <row r="397" spans="1:3">
      <c r="A397" s="33">
        <v>47952</v>
      </c>
      <c r="C397" s="38">
        <v>47952</v>
      </c>
    </row>
    <row r="398" spans="1:3">
      <c r="A398" s="33">
        <v>47963</v>
      </c>
      <c r="C398" s="38">
        <v>47963</v>
      </c>
    </row>
    <row r="399" spans="1:3">
      <c r="A399" s="33">
        <v>48008</v>
      </c>
      <c r="C399" s="38">
        <v>48008</v>
      </c>
    </row>
    <row r="400" spans="1:3">
      <c r="A400" s="33">
        <v>48064</v>
      </c>
      <c r="C400" s="38">
        <v>48064</v>
      </c>
    </row>
    <row r="401" spans="1:3">
      <c r="A401" s="33">
        <v>48127</v>
      </c>
      <c r="C401" s="38">
        <v>48127</v>
      </c>
    </row>
    <row r="402" spans="1:3">
      <c r="A402" s="33">
        <v>48207</v>
      </c>
      <c r="C402" s="38">
        <v>48207</v>
      </c>
    </row>
    <row r="403" spans="1:3">
      <c r="A403" s="33">
        <v>48208</v>
      </c>
      <c r="C403" s="38">
        <v>48208</v>
      </c>
    </row>
    <row r="404" spans="1:3">
      <c r="A404" s="33">
        <v>48214</v>
      </c>
      <c r="C404" s="38">
        <v>48214</v>
      </c>
    </row>
    <row r="405" spans="1:3">
      <c r="A405" s="33">
        <v>48239</v>
      </c>
      <c r="C405" s="38">
        <v>48239</v>
      </c>
    </row>
    <row r="406" spans="1:3">
      <c r="A406" s="33">
        <v>48299</v>
      </c>
      <c r="C406" s="38">
        <v>48299</v>
      </c>
    </row>
    <row r="407" spans="1:3">
      <c r="A407" s="33">
        <v>48302</v>
      </c>
      <c r="C407" s="38">
        <v>48302</v>
      </c>
    </row>
    <row r="408" spans="1:3">
      <c r="A408" s="33">
        <v>48379</v>
      </c>
      <c r="C408" s="38">
        <v>48379</v>
      </c>
    </row>
    <row r="409" spans="1:3">
      <c r="A409" s="33">
        <v>48428</v>
      </c>
      <c r="C409" s="38">
        <v>48428</v>
      </c>
    </row>
    <row r="410" spans="1:3">
      <c r="A410" s="33">
        <v>48491</v>
      </c>
      <c r="C410" s="38">
        <v>48491</v>
      </c>
    </row>
    <row r="411" spans="1:3">
      <c r="A411" s="33">
        <v>48575</v>
      </c>
      <c r="C411" s="38">
        <v>48575</v>
      </c>
    </row>
    <row r="412" spans="1:3">
      <c r="A412" s="33">
        <v>48576</v>
      </c>
      <c r="C412" s="38">
        <v>48576</v>
      </c>
    </row>
    <row r="413" spans="1:3">
      <c r="A413" s="33">
        <v>48582</v>
      </c>
      <c r="C413" s="38">
        <v>48582</v>
      </c>
    </row>
    <row r="414" spans="1:3">
      <c r="A414" s="33">
        <v>48605</v>
      </c>
      <c r="C414" s="38">
        <v>48605</v>
      </c>
    </row>
    <row r="415" spans="1:3">
      <c r="A415" s="33">
        <v>48684</v>
      </c>
      <c r="C415" s="38">
        <v>48684</v>
      </c>
    </row>
    <row r="416" spans="1:3">
      <c r="A416" s="33">
        <v>48687</v>
      </c>
      <c r="C416" s="38">
        <v>48687</v>
      </c>
    </row>
    <row r="417" spans="1:3">
      <c r="A417" s="33">
        <v>48694</v>
      </c>
      <c r="C417" s="38">
        <v>48694</v>
      </c>
    </row>
    <row r="418" spans="1:3">
      <c r="A418" s="33">
        <v>48743</v>
      </c>
      <c r="C418" s="38">
        <v>48743</v>
      </c>
    </row>
    <row r="419" spans="1:3">
      <c r="A419" s="33">
        <v>48792</v>
      </c>
      <c r="C419" s="38">
        <v>48792</v>
      </c>
    </row>
    <row r="420" spans="1:3">
      <c r="A420" s="33">
        <v>48855</v>
      </c>
      <c r="C420" s="38">
        <v>48855</v>
      </c>
    </row>
    <row r="421" spans="1:3">
      <c r="A421" s="33">
        <v>48939</v>
      </c>
      <c r="C421" s="38">
        <v>48939</v>
      </c>
    </row>
    <row r="422" spans="1:3">
      <c r="A422" s="33">
        <v>48940</v>
      </c>
      <c r="C422" s="38">
        <v>48940</v>
      </c>
    </row>
    <row r="423" spans="1:3">
      <c r="A423" s="33">
        <v>48946</v>
      </c>
      <c r="C423" s="38">
        <v>48946</v>
      </c>
    </row>
    <row r="424" spans="1:3">
      <c r="A424" s="33">
        <v>48970</v>
      </c>
      <c r="C424" s="38">
        <v>48970</v>
      </c>
    </row>
    <row r="425" spans="1:3">
      <c r="A425" s="33">
        <v>49041</v>
      </c>
      <c r="C425" s="38">
        <v>49041</v>
      </c>
    </row>
    <row r="426" spans="1:3">
      <c r="A426" s="33">
        <v>49044</v>
      </c>
      <c r="C426" s="38">
        <v>49044</v>
      </c>
    </row>
    <row r="427" spans="1:3">
      <c r="A427" s="33">
        <v>49059</v>
      </c>
      <c r="C427" s="38">
        <v>49059</v>
      </c>
    </row>
    <row r="428" spans="1:3">
      <c r="A428" s="33">
        <v>49107</v>
      </c>
      <c r="C428" s="38">
        <v>49107</v>
      </c>
    </row>
    <row r="429" spans="1:3">
      <c r="A429" s="33">
        <v>49163</v>
      </c>
      <c r="C429" s="38">
        <v>49163</v>
      </c>
    </row>
    <row r="430" spans="1:3">
      <c r="A430" s="33">
        <v>49219</v>
      </c>
      <c r="C430" s="38">
        <v>49219</v>
      </c>
    </row>
    <row r="431" spans="1:3">
      <c r="A431" s="33">
        <v>49303</v>
      </c>
      <c r="C431" s="38">
        <v>49303</v>
      </c>
    </row>
    <row r="432" spans="1:3">
      <c r="A432" s="33">
        <v>49304</v>
      </c>
      <c r="C432" s="38">
        <v>49304</v>
      </c>
    </row>
    <row r="433" spans="1:3">
      <c r="A433" s="33">
        <v>49310</v>
      </c>
      <c r="C433" s="38">
        <v>49310</v>
      </c>
    </row>
    <row r="434" spans="1:3">
      <c r="A434" s="33">
        <v>49335</v>
      </c>
      <c r="C434" s="38">
        <v>49335</v>
      </c>
    </row>
    <row r="435" spans="1:3">
      <c r="A435" s="33">
        <v>49391</v>
      </c>
      <c r="C435" s="38">
        <v>49391</v>
      </c>
    </row>
    <row r="436" spans="1:3">
      <c r="A436" s="33">
        <v>49394</v>
      </c>
      <c r="C436" s="38">
        <v>49394</v>
      </c>
    </row>
    <row r="437" spans="1:3">
      <c r="A437" s="33">
        <v>49424</v>
      </c>
      <c r="C437" s="38">
        <v>49424</v>
      </c>
    </row>
    <row r="438" spans="1:3">
      <c r="A438" s="33">
        <v>49471</v>
      </c>
      <c r="C438" s="38">
        <v>49471</v>
      </c>
    </row>
    <row r="439" spans="1:3">
      <c r="A439" s="33">
        <v>49527</v>
      </c>
      <c r="C439" s="38">
        <v>49527</v>
      </c>
    </row>
    <row r="440" spans="1:3">
      <c r="A440" s="33">
        <v>49583</v>
      </c>
      <c r="C440" s="38">
        <v>49583</v>
      </c>
    </row>
    <row r="441" spans="1:3">
      <c r="A441" s="33">
        <v>49668</v>
      </c>
      <c r="C441" s="38">
        <v>49668</v>
      </c>
    </row>
    <row r="442" spans="1:3">
      <c r="A442" s="33">
        <v>49669</v>
      </c>
      <c r="C442" s="38">
        <v>49669</v>
      </c>
    </row>
    <row r="443" spans="1:3">
      <c r="A443" s="33">
        <v>49675</v>
      </c>
      <c r="C443" s="38">
        <v>49675</v>
      </c>
    </row>
    <row r="444" spans="1:3">
      <c r="A444" s="33">
        <v>49702</v>
      </c>
      <c r="C444" s="38">
        <v>49702</v>
      </c>
    </row>
    <row r="445" spans="1:3">
      <c r="A445" s="33">
        <v>49776</v>
      </c>
      <c r="C445" s="38">
        <v>49776</v>
      </c>
    </row>
    <row r="446" spans="1:3">
      <c r="A446" s="33">
        <v>49779</v>
      </c>
      <c r="C446" s="38">
        <v>49779</v>
      </c>
    </row>
    <row r="447" spans="1:3">
      <c r="A447" s="33">
        <v>49790</v>
      </c>
      <c r="C447" s="38">
        <v>49790</v>
      </c>
    </row>
    <row r="448" spans="1:3">
      <c r="A448" s="33">
        <v>49835</v>
      </c>
      <c r="C448" s="38">
        <v>49835</v>
      </c>
    </row>
    <row r="449" spans="1:3">
      <c r="A449" s="33">
        <v>49891</v>
      </c>
      <c r="C449" s="38">
        <v>49891</v>
      </c>
    </row>
    <row r="450" spans="1:3">
      <c r="A450" s="33">
        <v>49954</v>
      </c>
      <c r="C450" s="38">
        <v>49954</v>
      </c>
    </row>
    <row r="451" spans="1:3">
      <c r="A451" s="33">
        <v>50034</v>
      </c>
      <c r="C451" s="38">
        <v>50034</v>
      </c>
    </row>
    <row r="452" spans="1:3">
      <c r="A452" s="33">
        <v>50035</v>
      </c>
      <c r="C452" s="38">
        <v>50035</v>
      </c>
    </row>
    <row r="453" spans="1:3">
      <c r="A453" s="33">
        <v>50041</v>
      </c>
      <c r="C453" s="38">
        <v>50041</v>
      </c>
    </row>
    <row r="454" spans="1:3">
      <c r="A454" s="33">
        <v>50066</v>
      </c>
      <c r="C454" s="38">
        <v>50066</v>
      </c>
    </row>
    <row r="455" spans="1:3">
      <c r="A455" s="33">
        <v>50133</v>
      </c>
      <c r="C455" s="38">
        <v>50133</v>
      </c>
    </row>
    <row r="456" spans="1:3">
      <c r="A456" s="33">
        <v>50136</v>
      </c>
      <c r="C456" s="38">
        <v>50136</v>
      </c>
    </row>
    <row r="457" spans="1:3">
      <c r="A457" s="33">
        <v>50199</v>
      </c>
      <c r="C457" s="38">
        <v>50199</v>
      </c>
    </row>
    <row r="458" spans="1:3">
      <c r="A458" s="33">
        <v>50255</v>
      </c>
      <c r="C458" s="38">
        <v>50255</v>
      </c>
    </row>
    <row r="459" spans="1:3">
      <c r="A459" s="33">
        <v>50318</v>
      </c>
      <c r="C459" s="38">
        <v>50318</v>
      </c>
    </row>
    <row r="460" spans="1:3">
      <c r="A460" s="33">
        <v>50399</v>
      </c>
      <c r="C460" s="38">
        <v>50399</v>
      </c>
    </row>
    <row r="461" spans="1:3">
      <c r="A461" s="33">
        <v>50402</v>
      </c>
      <c r="C461" s="38">
        <v>50402</v>
      </c>
    </row>
    <row r="462" spans="1:3">
      <c r="A462" s="33">
        <v>50406</v>
      </c>
      <c r="C462" s="38">
        <v>50406</v>
      </c>
    </row>
    <row r="463" spans="1:3">
      <c r="A463" s="33">
        <v>50431</v>
      </c>
      <c r="C463" s="38">
        <v>50431</v>
      </c>
    </row>
    <row r="464" spans="1:3">
      <c r="A464" s="33">
        <v>50518</v>
      </c>
      <c r="C464" s="38">
        <v>50518</v>
      </c>
    </row>
    <row r="465" spans="1:3">
      <c r="A465" s="33">
        <v>50521</v>
      </c>
      <c r="C465" s="38">
        <v>50521</v>
      </c>
    </row>
    <row r="466" spans="1:3">
      <c r="A466" s="33">
        <v>50570</v>
      </c>
      <c r="C466" s="38">
        <v>50570</v>
      </c>
    </row>
    <row r="467" spans="1:3">
      <c r="A467" s="33">
        <v>50619</v>
      </c>
      <c r="C467" s="38">
        <v>50619</v>
      </c>
    </row>
    <row r="468" spans="1:3">
      <c r="A468" s="33">
        <v>50682</v>
      </c>
      <c r="C468" s="38">
        <v>50682</v>
      </c>
    </row>
    <row r="469" spans="1:3">
      <c r="A469" s="33">
        <v>50766</v>
      </c>
      <c r="C469" s="38">
        <v>50766</v>
      </c>
    </row>
    <row r="470" spans="1:3">
      <c r="A470" s="33">
        <v>50767</v>
      </c>
      <c r="C470" s="38">
        <v>50767</v>
      </c>
    </row>
    <row r="471" spans="1:3">
      <c r="A471" s="33">
        <v>50773</v>
      </c>
      <c r="C471" s="38">
        <v>50773</v>
      </c>
    </row>
    <row r="472" spans="1:3">
      <c r="A472" s="33">
        <v>50796</v>
      </c>
      <c r="C472" s="38">
        <v>50796</v>
      </c>
    </row>
    <row r="473" spans="1:3">
      <c r="A473" s="33">
        <v>50868</v>
      </c>
      <c r="C473" s="38">
        <v>50868</v>
      </c>
    </row>
    <row r="474" spans="1:3">
      <c r="A474" s="33">
        <v>50871</v>
      </c>
      <c r="C474" s="38">
        <v>50871</v>
      </c>
    </row>
    <row r="475" spans="1:3">
      <c r="A475" s="33">
        <v>50885</v>
      </c>
      <c r="C475" s="38">
        <v>50885</v>
      </c>
    </row>
    <row r="476" spans="1:3">
      <c r="A476" s="33">
        <v>50934</v>
      </c>
      <c r="C476" s="38">
        <v>50934</v>
      </c>
    </row>
    <row r="477" spans="1:3">
      <c r="A477" s="33">
        <v>50983</v>
      </c>
      <c r="C477" s="38">
        <v>50983</v>
      </c>
    </row>
    <row r="478" spans="1:3">
      <c r="A478" s="33">
        <v>51046</v>
      </c>
      <c r="C478" s="38">
        <v>51046</v>
      </c>
    </row>
    <row r="479" spans="1:3">
      <c r="A479" s="33">
        <v>51130</v>
      </c>
      <c r="C479" s="38">
        <v>51130</v>
      </c>
    </row>
    <row r="480" spans="1:3">
      <c r="A480" s="33">
        <v>51131</v>
      </c>
      <c r="C480" s="38">
        <v>51131</v>
      </c>
    </row>
    <row r="481" spans="1:3">
      <c r="A481" s="33">
        <v>51137</v>
      </c>
      <c r="C481" s="38">
        <v>51137</v>
      </c>
    </row>
    <row r="482" spans="1:3">
      <c r="A482" s="33">
        <v>51161</v>
      </c>
      <c r="C482" s="38">
        <v>51161</v>
      </c>
    </row>
    <row r="483" spans="1:3">
      <c r="A483" s="33">
        <v>51225</v>
      </c>
      <c r="C483" s="38">
        <v>51225</v>
      </c>
    </row>
    <row r="484" spans="1:3">
      <c r="A484" s="33">
        <v>51228</v>
      </c>
      <c r="C484" s="38">
        <v>51228</v>
      </c>
    </row>
    <row r="485" spans="1:3">
      <c r="A485" s="33">
        <v>51251</v>
      </c>
      <c r="C485" s="38">
        <v>51251</v>
      </c>
    </row>
    <row r="486" spans="1:3">
      <c r="A486" s="33">
        <v>51298</v>
      </c>
      <c r="C486" s="38">
        <v>51298</v>
      </c>
    </row>
    <row r="487" spans="1:3">
      <c r="A487" s="33">
        <v>51354</v>
      </c>
      <c r="C487" s="38">
        <v>51354</v>
      </c>
    </row>
    <row r="488" spans="1:3">
      <c r="A488" s="33">
        <v>51410</v>
      </c>
      <c r="C488" s="38">
        <v>51410</v>
      </c>
    </row>
    <row r="489" spans="1:3">
      <c r="A489" s="33">
        <v>51495</v>
      </c>
      <c r="C489" s="38">
        <v>51495</v>
      </c>
    </row>
    <row r="490" spans="1:3">
      <c r="A490" s="33">
        <v>51496</v>
      </c>
      <c r="C490" s="38">
        <v>51496</v>
      </c>
    </row>
    <row r="491" spans="1:3">
      <c r="A491" s="33">
        <v>51502</v>
      </c>
      <c r="C491" s="38">
        <v>51502</v>
      </c>
    </row>
    <row r="492" spans="1:3">
      <c r="A492" s="33">
        <v>51529</v>
      </c>
      <c r="C492" s="38">
        <v>51529</v>
      </c>
    </row>
    <row r="493" spans="1:3">
      <c r="A493" s="33">
        <v>51610</v>
      </c>
      <c r="C493" s="38">
        <v>51610</v>
      </c>
    </row>
    <row r="494" spans="1:3">
      <c r="A494" s="33">
        <v>51613</v>
      </c>
      <c r="C494" s="38">
        <v>51613</v>
      </c>
    </row>
    <row r="495" spans="1:3">
      <c r="A495" s="33">
        <v>51616</v>
      </c>
      <c r="C495" s="38">
        <v>51616</v>
      </c>
    </row>
    <row r="496" spans="1:3">
      <c r="A496" s="33">
        <v>51662</v>
      </c>
      <c r="C496" s="38">
        <v>51662</v>
      </c>
    </row>
    <row r="497" spans="1:3">
      <c r="A497" s="33">
        <v>51718</v>
      </c>
      <c r="C497" s="38">
        <v>51718</v>
      </c>
    </row>
    <row r="498" spans="1:3">
      <c r="A498" s="33">
        <v>51781</v>
      </c>
      <c r="C498" s="38">
        <v>51781</v>
      </c>
    </row>
    <row r="499" spans="1:3">
      <c r="A499" s="33">
        <v>51860</v>
      </c>
      <c r="C499" s="38">
        <v>51860</v>
      </c>
    </row>
    <row r="500" spans="1:3">
      <c r="A500" s="33">
        <v>51861</v>
      </c>
      <c r="C500" s="38">
        <v>51861</v>
      </c>
    </row>
    <row r="501" spans="1:3">
      <c r="A501" s="33">
        <v>51867</v>
      </c>
      <c r="C501" s="38">
        <v>51867</v>
      </c>
    </row>
    <row r="502" spans="1:3">
      <c r="A502" s="33">
        <v>51893</v>
      </c>
      <c r="C502" s="38">
        <v>51893</v>
      </c>
    </row>
    <row r="503" spans="1:3">
      <c r="A503" s="33">
        <v>51960</v>
      </c>
      <c r="C503" s="38">
        <v>51960</v>
      </c>
    </row>
    <row r="504" spans="1:3">
      <c r="A504" s="33">
        <v>51963</v>
      </c>
      <c r="C504" s="38">
        <v>51963</v>
      </c>
    </row>
    <row r="505" spans="1:3">
      <c r="A505" s="33">
        <v>51981</v>
      </c>
      <c r="C505" s="38">
        <v>51981</v>
      </c>
    </row>
    <row r="506" spans="1:3">
      <c r="A506" s="33">
        <v>52026</v>
      </c>
      <c r="C506" s="38">
        <v>52026</v>
      </c>
    </row>
    <row r="507" spans="1:3">
      <c r="A507" s="33">
        <v>52082</v>
      </c>
      <c r="C507" s="38">
        <v>52082</v>
      </c>
    </row>
    <row r="508" spans="1:3">
      <c r="A508" s="33">
        <v>52145</v>
      </c>
      <c r="C508" s="38">
        <v>52145</v>
      </c>
    </row>
    <row r="509" spans="1:3">
      <c r="A509" s="33">
        <v>52225</v>
      </c>
      <c r="C509" s="38">
        <v>52225</v>
      </c>
    </row>
    <row r="510" spans="1:3">
      <c r="A510" s="33">
        <v>52226</v>
      </c>
      <c r="C510" s="38">
        <v>52226</v>
      </c>
    </row>
    <row r="511" spans="1:3">
      <c r="A511" s="33">
        <v>52232</v>
      </c>
      <c r="C511" s="38">
        <v>52232</v>
      </c>
    </row>
    <row r="512" spans="1:3">
      <c r="A512" s="33">
        <v>52257</v>
      </c>
      <c r="C512" s="38">
        <v>52257</v>
      </c>
    </row>
    <row r="513" spans="1:3">
      <c r="A513" s="33">
        <v>52317</v>
      </c>
      <c r="C513" s="38">
        <v>52317</v>
      </c>
    </row>
    <row r="514" spans="1:3">
      <c r="A514" s="33">
        <v>52320</v>
      </c>
      <c r="C514" s="38">
        <v>52320</v>
      </c>
    </row>
    <row r="515" spans="1:3">
      <c r="A515" s="33">
        <v>52390</v>
      </c>
      <c r="C515" s="38">
        <v>52390</v>
      </c>
    </row>
    <row r="516" spans="1:3">
      <c r="A516" s="33">
        <v>52446</v>
      </c>
      <c r="C516" s="38">
        <v>52446</v>
      </c>
    </row>
    <row r="517" spans="1:3">
      <c r="A517" s="33">
        <v>52509</v>
      </c>
      <c r="C517" s="38">
        <v>52509</v>
      </c>
    </row>
    <row r="518" spans="1:3">
      <c r="A518" s="33">
        <v>52590</v>
      </c>
      <c r="C518" s="38">
        <v>52590</v>
      </c>
    </row>
    <row r="519" spans="1:3">
      <c r="A519" s="33">
        <v>52593</v>
      </c>
      <c r="C519" s="38">
        <v>52593</v>
      </c>
    </row>
    <row r="520" spans="1:3">
      <c r="A520" s="33">
        <v>52597</v>
      </c>
      <c r="C520" s="38">
        <v>52597</v>
      </c>
    </row>
    <row r="521" spans="1:3">
      <c r="A521" s="33">
        <v>52622</v>
      </c>
      <c r="C521" s="38">
        <v>52622</v>
      </c>
    </row>
    <row r="522" spans="1:3">
      <c r="A522" s="33">
        <v>52702</v>
      </c>
      <c r="C522" s="38">
        <v>52702</v>
      </c>
    </row>
    <row r="523" spans="1:3">
      <c r="A523" s="33">
        <v>52705</v>
      </c>
      <c r="C523" s="38">
        <v>52705</v>
      </c>
    </row>
    <row r="524" spans="1:3">
      <c r="A524" s="33">
        <v>52712</v>
      </c>
      <c r="C524" s="38">
        <v>52712</v>
      </c>
    </row>
    <row r="525" spans="1:3">
      <c r="A525" s="33">
        <v>52761</v>
      </c>
      <c r="C525" s="38">
        <v>52761</v>
      </c>
    </row>
    <row r="526" spans="1:3">
      <c r="A526" s="33">
        <v>52810</v>
      </c>
      <c r="C526" s="38">
        <v>52810</v>
      </c>
    </row>
    <row r="527" spans="1:3">
      <c r="A527" s="33">
        <v>52873</v>
      </c>
      <c r="C527" s="38">
        <v>52873</v>
      </c>
    </row>
    <row r="528" spans="1:3">
      <c r="A528" s="33">
        <v>52957</v>
      </c>
      <c r="C528" s="38">
        <v>52957</v>
      </c>
    </row>
    <row r="529" spans="1:3">
      <c r="A529" s="33">
        <v>52958</v>
      </c>
      <c r="C529" s="38">
        <v>52958</v>
      </c>
    </row>
    <row r="530" spans="1:3">
      <c r="A530" s="33">
        <v>52964</v>
      </c>
      <c r="C530" s="38">
        <v>52964</v>
      </c>
    </row>
    <row r="531" spans="1:3">
      <c r="A531" s="33">
        <v>52988</v>
      </c>
      <c r="C531" s="38">
        <v>52988</v>
      </c>
    </row>
    <row r="532" spans="1:3">
      <c r="A532" s="33">
        <v>53059</v>
      </c>
      <c r="C532" s="38">
        <v>53059</v>
      </c>
    </row>
    <row r="533" spans="1:3">
      <c r="A533" s="33">
        <v>53062</v>
      </c>
      <c r="C533" s="38">
        <v>53062</v>
      </c>
    </row>
    <row r="534" spans="1:3">
      <c r="A534" s="33">
        <v>53077</v>
      </c>
      <c r="C534" s="38">
        <v>53077</v>
      </c>
    </row>
    <row r="535" spans="1:3">
      <c r="A535" s="33">
        <v>53125</v>
      </c>
      <c r="C535" s="38">
        <v>53125</v>
      </c>
    </row>
    <row r="536" spans="1:3">
      <c r="A536" s="33">
        <v>53181</v>
      </c>
      <c r="C536" s="38">
        <v>53181</v>
      </c>
    </row>
    <row r="537" spans="1:3">
      <c r="A537" s="33">
        <v>53237</v>
      </c>
      <c r="C537" s="38">
        <v>53237</v>
      </c>
    </row>
    <row r="538" spans="1:3">
      <c r="A538" s="33">
        <v>53321</v>
      </c>
      <c r="C538" s="38">
        <v>53321</v>
      </c>
    </row>
    <row r="539" spans="1:3">
      <c r="A539" s="33">
        <v>53322</v>
      </c>
      <c r="C539" s="38">
        <v>53322</v>
      </c>
    </row>
    <row r="540" spans="1:3">
      <c r="A540" s="33">
        <v>53328</v>
      </c>
      <c r="C540" s="38">
        <v>53328</v>
      </c>
    </row>
    <row r="541" spans="1:3">
      <c r="A541" s="33">
        <v>53353</v>
      </c>
      <c r="C541" s="38">
        <v>53353</v>
      </c>
    </row>
    <row r="542" spans="1:3">
      <c r="A542" s="33">
        <v>53409</v>
      </c>
      <c r="C542" s="38">
        <v>53409</v>
      </c>
    </row>
    <row r="543" spans="1:3">
      <c r="A543" s="33">
        <v>53412</v>
      </c>
      <c r="C543" s="38">
        <v>53412</v>
      </c>
    </row>
    <row r="544" spans="1:3">
      <c r="A544" s="33">
        <v>53442</v>
      </c>
      <c r="C544" s="38">
        <v>53442</v>
      </c>
    </row>
    <row r="545" spans="1:3">
      <c r="A545" s="33">
        <v>53489</v>
      </c>
      <c r="C545" s="38">
        <v>53489</v>
      </c>
    </row>
    <row r="546" spans="1:3">
      <c r="A546" s="33">
        <v>53545</v>
      </c>
      <c r="C546" s="38">
        <v>53545</v>
      </c>
    </row>
    <row r="547" spans="1:3">
      <c r="A547" s="33">
        <v>53601</v>
      </c>
      <c r="C547" s="38">
        <v>53601</v>
      </c>
    </row>
    <row r="548" spans="1:3">
      <c r="A548" s="33">
        <v>53686</v>
      </c>
      <c r="C548" s="38">
        <v>53686</v>
      </c>
    </row>
    <row r="549" spans="1:3">
      <c r="A549" s="33">
        <v>53687</v>
      </c>
      <c r="C549" s="38">
        <v>53687</v>
      </c>
    </row>
    <row r="550" spans="1:3">
      <c r="A550" s="33">
        <v>53693</v>
      </c>
      <c r="C550" s="38">
        <v>53693</v>
      </c>
    </row>
    <row r="551" spans="1:3">
      <c r="A551" s="33">
        <v>53720</v>
      </c>
      <c r="C551" s="38">
        <v>53720</v>
      </c>
    </row>
    <row r="552" spans="1:3">
      <c r="A552" s="33">
        <v>53794</v>
      </c>
      <c r="C552" s="38">
        <v>53794</v>
      </c>
    </row>
    <row r="553" spans="1:3">
      <c r="A553" s="33">
        <v>53797</v>
      </c>
      <c r="C553" s="38">
        <v>53797</v>
      </c>
    </row>
    <row r="554" spans="1:3">
      <c r="A554" s="33">
        <v>53807</v>
      </c>
      <c r="C554" s="38">
        <v>53807</v>
      </c>
    </row>
    <row r="555" spans="1:3">
      <c r="A555" s="33">
        <v>53853</v>
      </c>
      <c r="C555" s="38">
        <v>53853</v>
      </c>
    </row>
    <row r="556" spans="1:3">
      <c r="A556" s="33">
        <v>53909</v>
      </c>
      <c r="C556" s="38">
        <v>53909</v>
      </c>
    </row>
    <row r="557" spans="1:3">
      <c r="A557" s="33">
        <v>53972</v>
      </c>
      <c r="C557" s="38">
        <v>53972</v>
      </c>
    </row>
    <row r="558" spans="1:3">
      <c r="A558" s="33">
        <v>54051</v>
      </c>
      <c r="C558" s="38">
        <v>54051</v>
      </c>
    </row>
    <row r="559" spans="1:3">
      <c r="A559" s="33">
        <v>54052</v>
      </c>
      <c r="C559" s="38">
        <v>54052</v>
      </c>
    </row>
    <row r="560" spans="1:3">
      <c r="A560" s="33">
        <v>54058</v>
      </c>
      <c r="C560" s="38">
        <v>54058</v>
      </c>
    </row>
    <row r="561" spans="1:3">
      <c r="A561" s="33">
        <v>54084</v>
      </c>
      <c r="C561" s="38">
        <v>54084</v>
      </c>
    </row>
    <row r="562" spans="1:3">
      <c r="A562" s="33">
        <v>54151</v>
      </c>
      <c r="C562" s="38">
        <v>54151</v>
      </c>
    </row>
    <row r="563" spans="1:3">
      <c r="A563" s="33">
        <v>54154</v>
      </c>
      <c r="C563" s="38">
        <v>54154</v>
      </c>
    </row>
    <row r="564" spans="1:3">
      <c r="A564" s="33">
        <v>54217</v>
      </c>
      <c r="C564" s="38">
        <v>54217</v>
      </c>
    </row>
    <row r="565" spans="1:3">
      <c r="A565" s="33">
        <v>54273</v>
      </c>
      <c r="C565" s="38">
        <v>54273</v>
      </c>
    </row>
    <row r="566" spans="1:3">
      <c r="A566" s="33">
        <v>54336</v>
      </c>
      <c r="C566" s="38">
        <v>54336</v>
      </c>
    </row>
    <row r="567" spans="1:3">
      <c r="A567" s="33">
        <v>54417</v>
      </c>
      <c r="C567" s="38">
        <v>54417</v>
      </c>
    </row>
    <row r="568" spans="1:3">
      <c r="A568" s="33">
        <v>54420</v>
      </c>
      <c r="C568" s="38">
        <v>54420</v>
      </c>
    </row>
    <row r="569" spans="1:3">
      <c r="A569" s="33">
        <v>54424</v>
      </c>
      <c r="C569" s="38">
        <v>54424</v>
      </c>
    </row>
    <row r="570" spans="1:3">
      <c r="A570" s="33">
        <v>54449</v>
      </c>
      <c r="C570" s="38">
        <v>54449</v>
      </c>
    </row>
    <row r="571" spans="1:3">
      <c r="A571" s="33">
        <v>54529</v>
      </c>
      <c r="C571" s="38">
        <v>54529</v>
      </c>
    </row>
    <row r="572" spans="1:3">
      <c r="A572" s="33">
        <v>54532</v>
      </c>
      <c r="C572" s="38">
        <v>54532</v>
      </c>
    </row>
    <row r="573" spans="1:3">
      <c r="A573" s="33">
        <v>54588</v>
      </c>
      <c r="C573" s="38">
        <v>54588</v>
      </c>
    </row>
    <row r="574" spans="1:3">
      <c r="A574" s="33">
        <v>54637</v>
      </c>
      <c r="C574" s="38">
        <v>54637</v>
      </c>
    </row>
    <row r="575" spans="1:3">
      <c r="A575" s="33">
        <v>54700</v>
      </c>
      <c r="C575" s="38">
        <v>54700</v>
      </c>
    </row>
    <row r="576" spans="1:3">
      <c r="A576" s="33">
        <v>54784</v>
      </c>
      <c r="C576" s="38">
        <v>54784</v>
      </c>
    </row>
    <row r="577" spans="1:3">
      <c r="A577" s="33">
        <v>54785</v>
      </c>
      <c r="C577" s="38">
        <v>54785</v>
      </c>
    </row>
    <row r="578" spans="1:3">
      <c r="A578" s="33">
        <v>54791</v>
      </c>
      <c r="C578" s="38">
        <v>54791</v>
      </c>
    </row>
    <row r="579" spans="1:3">
      <c r="A579" s="33">
        <v>54814</v>
      </c>
      <c r="C579" s="38">
        <v>54814</v>
      </c>
    </row>
    <row r="580" spans="1:3">
      <c r="A580" s="33">
        <v>54886</v>
      </c>
      <c r="C580" s="38">
        <v>54886</v>
      </c>
    </row>
    <row r="581" spans="1:3">
      <c r="A581" s="33">
        <v>54889</v>
      </c>
      <c r="C581" s="38">
        <v>54889</v>
      </c>
    </row>
    <row r="582" spans="1:3">
      <c r="A582" s="33">
        <v>54903</v>
      </c>
      <c r="C582" s="38">
        <v>54903</v>
      </c>
    </row>
    <row r="583" spans="1:3">
      <c r="A583" s="33">
        <v>54952</v>
      </c>
      <c r="C583" s="38">
        <v>54952</v>
      </c>
    </row>
    <row r="584" spans="1:3">
      <c r="A584" s="33">
        <v>55001</v>
      </c>
      <c r="C584" s="38">
        <v>55001</v>
      </c>
    </row>
    <row r="585" spans="1:3">
      <c r="A585" s="33">
        <v>55064</v>
      </c>
      <c r="C585" s="38">
        <v>55064</v>
      </c>
    </row>
    <row r="586" spans="1:3">
      <c r="A586" s="33">
        <v>55148</v>
      </c>
      <c r="C586" s="38">
        <v>55148</v>
      </c>
    </row>
    <row r="587" spans="1:3">
      <c r="A587" s="33">
        <v>55149</v>
      </c>
      <c r="C587" s="38">
        <v>55149</v>
      </c>
    </row>
    <row r="588" spans="1:3">
      <c r="A588" s="33">
        <v>55155</v>
      </c>
      <c r="C588" s="38">
        <v>55155</v>
      </c>
    </row>
    <row r="589" spans="1:3">
      <c r="A589" s="33">
        <v>55179</v>
      </c>
      <c r="C589" s="38">
        <v>55179</v>
      </c>
    </row>
    <row r="590" spans="1:3">
      <c r="A590" s="33">
        <v>55243</v>
      </c>
      <c r="C590" s="38">
        <v>55243</v>
      </c>
    </row>
    <row r="591" spans="1:3">
      <c r="A591" s="33">
        <v>55246</v>
      </c>
      <c r="C591" s="38">
        <v>55246</v>
      </c>
    </row>
    <row r="592" spans="1:3">
      <c r="A592" s="33">
        <v>55268</v>
      </c>
      <c r="C592" s="38">
        <v>55268</v>
      </c>
    </row>
    <row r="593" spans="1:3">
      <c r="A593" s="33">
        <v>55316</v>
      </c>
      <c r="C593" s="38">
        <v>55316</v>
      </c>
    </row>
    <row r="594" spans="1:3">
      <c r="A594" s="33">
        <v>55372</v>
      </c>
      <c r="C594" s="38">
        <v>55372</v>
      </c>
    </row>
    <row r="595" spans="1:3">
      <c r="A595" s="33">
        <v>55428</v>
      </c>
      <c r="C595" s="38">
        <v>55428</v>
      </c>
    </row>
    <row r="596" spans="1:3">
      <c r="A596" s="33">
        <v>55512</v>
      </c>
      <c r="C596" s="38">
        <v>55512</v>
      </c>
    </row>
    <row r="597" spans="1:3">
      <c r="A597" s="33">
        <v>55513</v>
      </c>
      <c r="C597" s="38">
        <v>55513</v>
      </c>
    </row>
    <row r="598" spans="1:3">
      <c r="A598" s="33">
        <v>55519</v>
      </c>
      <c r="C598" s="38">
        <v>55519</v>
      </c>
    </row>
    <row r="599" spans="1:3">
      <c r="A599" s="33">
        <v>55544</v>
      </c>
      <c r="C599" s="38">
        <v>55544</v>
      </c>
    </row>
    <row r="600" spans="1:3">
      <c r="A600" s="33">
        <v>55628</v>
      </c>
      <c r="C600" s="38">
        <v>55628</v>
      </c>
    </row>
    <row r="601" spans="1:3">
      <c r="A601" s="33">
        <v>55631</v>
      </c>
      <c r="C601" s="38">
        <v>55631</v>
      </c>
    </row>
    <row r="602" spans="1:3">
      <c r="A602" s="33">
        <v>55634</v>
      </c>
      <c r="C602" s="38">
        <v>55634</v>
      </c>
    </row>
    <row r="603" spans="1:3">
      <c r="A603" s="33">
        <v>55680</v>
      </c>
      <c r="C603" s="38">
        <v>55680</v>
      </c>
    </row>
    <row r="604" spans="1:3">
      <c r="A604" s="33">
        <v>55736</v>
      </c>
      <c r="C604" s="38">
        <v>55736</v>
      </c>
    </row>
    <row r="605" spans="1:3">
      <c r="A605" s="33">
        <v>55799</v>
      </c>
      <c r="C605" s="38">
        <v>55799</v>
      </c>
    </row>
    <row r="606" spans="1:3">
      <c r="A606" s="33">
        <v>55878</v>
      </c>
      <c r="C606" s="38">
        <v>55878</v>
      </c>
    </row>
    <row r="607" spans="1:3">
      <c r="A607" s="33">
        <v>55879</v>
      </c>
      <c r="C607" s="38">
        <v>55879</v>
      </c>
    </row>
    <row r="608" spans="1:3">
      <c r="A608" s="33">
        <v>55885</v>
      </c>
      <c r="C608" s="38">
        <v>55885</v>
      </c>
    </row>
    <row r="609" spans="1:3">
      <c r="A609" s="33">
        <v>55911</v>
      </c>
      <c r="C609" s="38">
        <v>55911</v>
      </c>
    </row>
    <row r="610" spans="1:3">
      <c r="A610" s="33">
        <v>55978</v>
      </c>
      <c r="C610" s="38">
        <v>55978</v>
      </c>
    </row>
    <row r="611" spans="1:3">
      <c r="A611" s="33">
        <v>55981</v>
      </c>
      <c r="C611" s="38">
        <v>55981</v>
      </c>
    </row>
    <row r="612" spans="1:3">
      <c r="A612" s="33">
        <v>55999</v>
      </c>
      <c r="C612" s="38">
        <v>55999</v>
      </c>
    </row>
    <row r="613" spans="1:3">
      <c r="A613" s="33">
        <v>56044</v>
      </c>
      <c r="C613" s="38">
        <v>56044</v>
      </c>
    </row>
    <row r="614" spans="1:3">
      <c r="A614" s="33">
        <v>56100</v>
      </c>
      <c r="C614" s="38">
        <v>56100</v>
      </c>
    </row>
    <row r="615" spans="1:3">
      <c r="A615" s="33">
        <v>56163</v>
      </c>
      <c r="C615" s="38">
        <v>56163</v>
      </c>
    </row>
    <row r="616" spans="1:3">
      <c r="A616" s="33">
        <v>56243</v>
      </c>
      <c r="C616" s="38">
        <v>56243</v>
      </c>
    </row>
    <row r="617" spans="1:3">
      <c r="A617" s="33">
        <v>56244</v>
      </c>
      <c r="C617" s="38">
        <v>56244</v>
      </c>
    </row>
    <row r="618" spans="1:3">
      <c r="A618" s="33">
        <v>56250</v>
      </c>
      <c r="C618" s="38">
        <v>56250</v>
      </c>
    </row>
    <row r="619" spans="1:3">
      <c r="A619" s="33">
        <v>56275</v>
      </c>
      <c r="C619" s="38">
        <v>56275</v>
      </c>
    </row>
    <row r="620" spans="1:3">
      <c r="A620" s="33">
        <v>56335</v>
      </c>
      <c r="C620" s="38">
        <v>56335</v>
      </c>
    </row>
    <row r="621" spans="1:3">
      <c r="A621" s="33">
        <v>56338</v>
      </c>
      <c r="C621" s="38">
        <v>56338</v>
      </c>
    </row>
    <row r="622" spans="1:3">
      <c r="A622" s="33">
        <v>56408</v>
      </c>
      <c r="C622" s="38">
        <v>56408</v>
      </c>
    </row>
    <row r="623" spans="1:3">
      <c r="A623" s="33">
        <v>56464</v>
      </c>
      <c r="C623" s="38">
        <v>56464</v>
      </c>
    </row>
    <row r="624" spans="1:3">
      <c r="A624" s="33">
        <v>56527</v>
      </c>
      <c r="C624" s="38">
        <v>56527</v>
      </c>
    </row>
    <row r="625" spans="1:3">
      <c r="A625" s="33">
        <v>56608</v>
      </c>
      <c r="C625" s="38">
        <v>56608</v>
      </c>
    </row>
    <row r="626" spans="1:3">
      <c r="A626" s="33">
        <v>56611</v>
      </c>
      <c r="C626" s="38">
        <v>56611</v>
      </c>
    </row>
    <row r="627" spans="1:3">
      <c r="A627" s="33">
        <v>56615</v>
      </c>
      <c r="C627" s="38">
        <v>56615</v>
      </c>
    </row>
    <row r="628" spans="1:3">
      <c r="A628" s="33">
        <v>56640</v>
      </c>
      <c r="C628" s="38">
        <v>56640</v>
      </c>
    </row>
    <row r="629" spans="1:3">
      <c r="A629" s="33">
        <v>56720</v>
      </c>
      <c r="C629" s="38">
        <v>56720</v>
      </c>
    </row>
    <row r="630" spans="1:3">
      <c r="A630" s="33">
        <v>56723</v>
      </c>
      <c r="C630" s="38">
        <v>56723</v>
      </c>
    </row>
    <row r="631" spans="1:3">
      <c r="A631" s="33">
        <v>56779</v>
      </c>
      <c r="C631" s="38">
        <v>56779</v>
      </c>
    </row>
    <row r="632" spans="1:3">
      <c r="A632" s="33">
        <v>56828</v>
      </c>
      <c r="C632" s="38">
        <v>56828</v>
      </c>
    </row>
    <row r="633" spans="1:3">
      <c r="A633" s="33">
        <v>56891</v>
      </c>
      <c r="C633" s="38">
        <v>56891</v>
      </c>
    </row>
    <row r="634" spans="1:3">
      <c r="A634" s="33">
        <v>56975</v>
      </c>
      <c r="C634" s="38">
        <v>56975</v>
      </c>
    </row>
    <row r="635" spans="1:3">
      <c r="A635" s="33">
        <v>56976</v>
      </c>
      <c r="C635" s="38">
        <v>56976</v>
      </c>
    </row>
    <row r="636" spans="1:3">
      <c r="A636" s="33">
        <v>56982</v>
      </c>
      <c r="C636" s="38">
        <v>56982</v>
      </c>
    </row>
    <row r="637" spans="1:3">
      <c r="A637" s="33">
        <v>57005</v>
      </c>
      <c r="C637" s="38">
        <v>57005</v>
      </c>
    </row>
    <row r="638" spans="1:3">
      <c r="A638" s="33">
        <v>57070</v>
      </c>
      <c r="C638" s="38">
        <v>57070</v>
      </c>
    </row>
    <row r="639" spans="1:3">
      <c r="A639" s="33">
        <v>57073</v>
      </c>
      <c r="C639" s="38">
        <v>57073</v>
      </c>
    </row>
    <row r="640" spans="1:3">
      <c r="A640" s="33">
        <v>57095</v>
      </c>
      <c r="C640" s="38">
        <v>57095</v>
      </c>
    </row>
    <row r="641" spans="1:3">
      <c r="A641" s="33">
        <v>57143</v>
      </c>
      <c r="C641" s="38">
        <v>57143</v>
      </c>
    </row>
    <row r="642" spans="1:3">
      <c r="A642" s="33">
        <v>57199</v>
      </c>
      <c r="C642" s="38">
        <v>57199</v>
      </c>
    </row>
    <row r="643" spans="1:3">
      <c r="A643" s="33">
        <v>57255</v>
      </c>
      <c r="C643" s="38">
        <v>57255</v>
      </c>
    </row>
    <row r="644" spans="1:3">
      <c r="A644" s="33">
        <v>57339</v>
      </c>
      <c r="C644" s="38">
        <v>57339</v>
      </c>
    </row>
    <row r="645" spans="1:3">
      <c r="A645" s="33">
        <v>57340</v>
      </c>
      <c r="C645" s="38">
        <v>57340</v>
      </c>
    </row>
    <row r="646" spans="1:3">
      <c r="A646" s="33">
        <v>57346</v>
      </c>
      <c r="C646" s="38">
        <v>57346</v>
      </c>
    </row>
    <row r="647" spans="1:3">
      <c r="A647" s="33">
        <v>57371</v>
      </c>
      <c r="C647" s="38">
        <v>57371</v>
      </c>
    </row>
    <row r="648" spans="1:3">
      <c r="A648" s="33">
        <v>57455</v>
      </c>
      <c r="C648" s="38">
        <v>57455</v>
      </c>
    </row>
    <row r="649" spans="1:3">
      <c r="A649" s="33">
        <v>57458</v>
      </c>
      <c r="C649" s="38">
        <v>57458</v>
      </c>
    </row>
    <row r="650" spans="1:3">
      <c r="A650" s="33">
        <v>57460</v>
      </c>
      <c r="C650" s="38">
        <v>57460</v>
      </c>
    </row>
    <row r="651" spans="1:3">
      <c r="A651" s="33">
        <v>57507</v>
      </c>
      <c r="C651" s="38">
        <v>57507</v>
      </c>
    </row>
    <row r="652" spans="1:3">
      <c r="A652" s="33">
        <v>57563</v>
      </c>
      <c r="C652" s="38">
        <v>57563</v>
      </c>
    </row>
    <row r="653" spans="1:3">
      <c r="A653" s="33">
        <v>57619</v>
      </c>
      <c r="C653" s="38">
        <v>57619</v>
      </c>
    </row>
    <row r="654" spans="1:3">
      <c r="A654" s="33">
        <v>57704</v>
      </c>
      <c r="C654" s="38">
        <v>57704</v>
      </c>
    </row>
    <row r="655" spans="1:3">
      <c r="A655" s="33">
        <v>57705</v>
      </c>
      <c r="C655" s="38">
        <v>57705</v>
      </c>
    </row>
    <row r="656" spans="1:3">
      <c r="A656" s="33">
        <v>57711</v>
      </c>
      <c r="C656" s="38">
        <v>57711</v>
      </c>
    </row>
    <row r="657" spans="1:3">
      <c r="A657" s="33">
        <v>57738</v>
      </c>
      <c r="C657" s="38">
        <v>57738</v>
      </c>
    </row>
    <row r="658" spans="1:3">
      <c r="A658" s="33">
        <v>57812</v>
      </c>
      <c r="C658" s="38">
        <v>57812</v>
      </c>
    </row>
    <row r="659" spans="1:3">
      <c r="A659" s="33">
        <v>57815</v>
      </c>
      <c r="C659" s="38">
        <v>57815</v>
      </c>
    </row>
    <row r="660" spans="1:3">
      <c r="A660" s="33">
        <v>57825</v>
      </c>
      <c r="C660" s="38">
        <v>57825</v>
      </c>
    </row>
    <row r="661" spans="1:3">
      <c r="A661" s="33">
        <v>57871</v>
      </c>
      <c r="C661" s="38">
        <v>57871</v>
      </c>
    </row>
    <row r="662" spans="1:3">
      <c r="A662" s="33">
        <v>57927</v>
      </c>
      <c r="C662" s="38">
        <v>57927</v>
      </c>
    </row>
    <row r="663" spans="1:3">
      <c r="A663" s="33">
        <v>57990</v>
      </c>
      <c r="C663" s="38">
        <v>57990</v>
      </c>
    </row>
    <row r="664" spans="1:3">
      <c r="A664" s="33">
        <v>58069</v>
      </c>
      <c r="C664" s="38">
        <v>58069</v>
      </c>
    </row>
    <row r="665" spans="1:3">
      <c r="A665" s="33">
        <v>58070</v>
      </c>
      <c r="C665" s="38">
        <v>58070</v>
      </c>
    </row>
    <row r="666" spans="1:3">
      <c r="A666" s="33">
        <v>58076</v>
      </c>
      <c r="C666" s="38">
        <v>58076</v>
      </c>
    </row>
    <row r="667" spans="1:3">
      <c r="A667" s="33">
        <v>58102</v>
      </c>
      <c r="C667" s="38">
        <v>58102</v>
      </c>
    </row>
    <row r="668" spans="1:3">
      <c r="A668" s="33">
        <v>58162</v>
      </c>
      <c r="C668" s="38">
        <v>58162</v>
      </c>
    </row>
    <row r="669" spans="1:3">
      <c r="A669" s="33">
        <v>58165</v>
      </c>
      <c r="C669" s="38">
        <v>58165</v>
      </c>
    </row>
    <row r="670" spans="1:3">
      <c r="A670" s="33">
        <v>58190</v>
      </c>
      <c r="C670" s="38">
        <v>58190</v>
      </c>
    </row>
    <row r="671" spans="1:3">
      <c r="A671" s="33">
        <v>58235</v>
      </c>
      <c r="C671" s="38">
        <v>58235</v>
      </c>
    </row>
    <row r="672" spans="1:3">
      <c r="A672" s="33">
        <v>58291</v>
      </c>
      <c r="C672" s="38">
        <v>58291</v>
      </c>
    </row>
    <row r="673" spans="1:3">
      <c r="A673" s="33">
        <v>58354</v>
      </c>
      <c r="C673" s="38">
        <v>58354</v>
      </c>
    </row>
    <row r="674" spans="1:3">
      <c r="A674" s="33">
        <v>58434</v>
      </c>
      <c r="C674" s="38">
        <v>58434</v>
      </c>
    </row>
    <row r="675" spans="1:3">
      <c r="A675" s="33">
        <v>58435</v>
      </c>
      <c r="C675" s="38">
        <v>58435</v>
      </c>
    </row>
    <row r="676" spans="1:3">
      <c r="A676" s="33">
        <v>58441</v>
      </c>
      <c r="C676" s="38">
        <v>58441</v>
      </c>
    </row>
    <row r="677" spans="1:3">
      <c r="A677" s="33">
        <v>58466</v>
      </c>
      <c r="C677" s="38">
        <v>58466</v>
      </c>
    </row>
    <row r="678" spans="1:3">
      <c r="A678" s="33">
        <v>58547</v>
      </c>
      <c r="C678" s="38">
        <v>58547</v>
      </c>
    </row>
    <row r="679" spans="1:3">
      <c r="A679" s="33">
        <v>58550</v>
      </c>
      <c r="C679" s="38">
        <v>58550</v>
      </c>
    </row>
    <row r="680" spans="1:3">
      <c r="A680" s="33">
        <v>58606</v>
      </c>
      <c r="C680" s="38">
        <v>58606</v>
      </c>
    </row>
    <row r="681" spans="1:3">
      <c r="A681" s="33">
        <v>58655</v>
      </c>
      <c r="C681" s="38">
        <v>58655</v>
      </c>
    </row>
    <row r="682" spans="1:3">
      <c r="A682" s="33">
        <v>58718</v>
      </c>
      <c r="C682" s="38">
        <v>58718</v>
      </c>
    </row>
    <row r="683" spans="1:3">
      <c r="A683" s="33">
        <v>58802</v>
      </c>
      <c r="C683" s="38">
        <v>58802</v>
      </c>
    </row>
    <row r="684" spans="1:3">
      <c r="A684" s="33">
        <v>58803</v>
      </c>
      <c r="C684" s="38">
        <v>58803</v>
      </c>
    </row>
    <row r="685" spans="1:3">
      <c r="A685" s="33">
        <v>58809</v>
      </c>
      <c r="C685" s="38">
        <v>58809</v>
      </c>
    </row>
    <row r="686" spans="1:3">
      <c r="A686" s="33">
        <v>58832</v>
      </c>
      <c r="C686" s="38">
        <v>58832</v>
      </c>
    </row>
    <row r="687" spans="1:3">
      <c r="A687" s="33">
        <v>58904</v>
      </c>
      <c r="C687" s="38">
        <v>58904</v>
      </c>
    </row>
    <row r="688" spans="1:3">
      <c r="A688" s="33">
        <v>58907</v>
      </c>
      <c r="C688" s="38">
        <v>58907</v>
      </c>
    </row>
    <row r="689" spans="1:3">
      <c r="A689" s="33">
        <v>58921</v>
      </c>
      <c r="C689" s="38">
        <v>58921</v>
      </c>
    </row>
    <row r="690" spans="1:3">
      <c r="A690" s="33">
        <v>58970</v>
      </c>
      <c r="C690" s="38">
        <v>58970</v>
      </c>
    </row>
    <row r="691" spans="1:3">
      <c r="A691" s="33">
        <v>59019</v>
      </c>
      <c r="C691" s="38">
        <v>59019</v>
      </c>
    </row>
    <row r="692" spans="1:3">
      <c r="A692" s="33">
        <v>59082</v>
      </c>
      <c r="C692" s="38">
        <v>59082</v>
      </c>
    </row>
    <row r="693" spans="1:3">
      <c r="A693" s="33">
        <v>59166</v>
      </c>
      <c r="C693" s="38">
        <v>59166</v>
      </c>
    </row>
    <row r="694" spans="1:3">
      <c r="A694" s="33">
        <v>59167</v>
      </c>
      <c r="C694" s="38">
        <v>59167</v>
      </c>
    </row>
    <row r="695" spans="1:3">
      <c r="A695" s="33">
        <v>59173</v>
      </c>
      <c r="C695" s="38">
        <v>59173</v>
      </c>
    </row>
    <row r="696" spans="1:3">
      <c r="A696" s="33">
        <v>59197</v>
      </c>
      <c r="C696" s="38">
        <v>59197</v>
      </c>
    </row>
    <row r="697" spans="1:3">
      <c r="A697" s="33">
        <v>59254</v>
      </c>
      <c r="C697" s="38">
        <v>59254</v>
      </c>
    </row>
    <row r="698" spans="1:3">
      <c r="A698" s="33">
        <v>59257</v>
      </c>
      <c r="C698" s="38">
        <v>59257</v>
      </c>
    </row>
    <row r="699" spans="1:3">
      <c r="A699" s="33">
        <v>59286</v>
      </c>
      <c r="C699" s="38">
        <v>59286</v>
      </c>
    </row>
    <row r="700" spans="1:3">
      <c r="A700" s="33">
        <v>59334</v>
      </c>
      <c r="C700" s="38">
        <v>59334</v>
      </c>
    </row>
    <row r="701" spans="1:3">
      <c r="A701" s="33">
        <v>59390</v>
      </c>
      <c r="C701" s="38">
        <v>59390</v>
      </c>
    </row>
    <row r="702" spans="1:3">
      <c r="A702" s="33">
        <v>59446</v>
      </c>
      <c r="C702" s="38">
        <v>59446</v>
      </c>
    </row>
    <row r="703" spans="1:3">
      <c r="A703" s="33">
        <v>59530</v>
      </c>
      <c r="C703" s="38">
        <v>59530</v>
      </c>
    </row>
    <row r="704" spans="1:3">
      <c r="A704" s="33">
        <v>59531</v>
      </c>
      <c r="C704" s="38">
        <v>59531</v>
      </c>
    </row>
    <row r="705" spans="1:3">
      <c r="A705" s="33">
        <v>59537</v>
      </c>
      <c r="C705" s="38">
        <v>59537</v>
      </c>
    </row>
    <row r="706" spans="1:3">
      <c r="A706" s="33">
        <v>59562</v>
      </c>
      <c r="C706" s="38">
        <v>59562</v>
      </c>
    </row>
    <row r="707" spans="1:3">
      <c r="A707" s="33">
        <v>59639</v>
      </c>
      <c r="C707" s="38">
        <v>59639</v>
      </c>
    </row>
    <row r="708" spans="1:3">
      <c r="A708" s="33">
        <v>59642</v>
      </c>
      <c r="C708" s="38">
        <v>59642</v>
      </c>
    </row>
    <row r="709" spans="1:3">
      <c r="A709" s="33">
        <v>59651</v>
      </c>
      <c r="C709" s="38">
        <v>59651</v>
      </c>
    </row>
    <row r="710" spans="1:3">
      <c r="A710" s="33">
        <v>59698</v>
      </c>
      <c r="C710" s="38">
        <v>59698</v>
      </c>
    </row>
    <row r="711" spans="1:3">
      <c r="A711" s="33">
        <v>59754</v>
      </c>
      <c r="C711" s="38">
        <v>59754</v>
      </c>
    </row>
    <row r="712" spans="1:3">
      <c r="A712" s="33">
        <v>59810</v>
      </c>
      <c r="C712" s="38">
        <v>59810</v>
      </c>
    </row>
    <row r="713" spans="1:3">
      <c r="A713" s="33">
        <v>59895</v>
      </c>
      <c r="C713" s="38">
        <v>59895</v>
      </c>
    </row>
    <row r="714" spans="1:3">
      <c r="A714" s="33">
        <v>59896</v>
      </c>
      <c r="C714" s="38">
        <v>59896</v>
      </c>
    </row>
    <row r="715" spans="1:3">
      <c r="A715" s="33">
        <v>59902</v>
      </c>
      <c r="C715" s="38">
        <v>59902</v>
      </c>
    </row>
    <row r="716" spans="1:3">
      <c r="A716" s="33">
        <v>59929</v>
      </c>
      <c r="C716" s="38">
        <v>59929</v>
      </c>
    </row>
    <row r="717" spans="1:3">
      <c r="A717" s="33">
        <v>59996</v>
      </c>
      <c r="C717" s="38">
        <v>59996</v>
      </c>
    </row>
    <row r="718" spans="1:3">
      <c r="A718" s="33">
        <v>59999</v>
      </c>
      <c r="C718" s="38">
        <v>59999</v>
      </c>
    </row>
    <row r="719" spans="1:3">
      <c r="A719" s="33">
        <v>60017</v>
      </c>
      <c r="C719" s="38">
        <v>60017</v>
      </c>
    </row>
    <row r="720" spans="1:3">
      <c r="A720" s="33">
        <v>60062</v>
      </c>
      <c r="C720" s="38">
        <v>60062</v>
      </c>
    </row>
    <row r="721" spans="1:3">
      <c r="A721" s="33">
        <v>60118</v>
      </c>
      <c r="C721" s="38">
        <v>60118</v>
      </c>
    </row>
    <row r="722" spans="1:3">
      <c r="A722" s="33">
        <v>60181</v>
      </c>
      <c r="C722" s="38">
        <v>60181</v>
      </c>
    </row>
    <row r="723" spans="1:3">
      <c r="A723" s="33">
        <v>60261</v>
      </c>
      <c r="C723" s="38">
        <v>60261</v>
      </c>
    </row>
    <row r="724" spans="1:3">
      <c r="A724" s="33">
        <v>60262</v>
      </c>
      <c r="C724" s="38">
        <v>60262</v>
      </c>
    </row>
    <row r="725" spans="1:3">
      <c r="A725" s="33">
        <v>60268</v>
      </c>
      <c r="C725" s="38">
        <v>60268</v>
      </c>
    </row>
    <row r="726" spans="1:3">
      <c r="A726" s="33">
        <v>60293</v>
      </c>
      <c r="C726" s="38">
        <v>60293</v>
      </c>
    </row>
    <row r="727" spans="1:3">
      <c r="A727" s="33">
        <v>60353</v>
      </c>
      <c r="C727" s="38">
        <v>60353</v>
      </c>
    </row>
    <row r="728" spans="1:3">
      <c r="A728" s="33">
        <v>60356</v>
      </c>
      <c r="C728" s="38">
        <v>60356</v>
      </c>
    </row>
    <row r="729" spans="1:3">
      <c r="A729" s="33">
        <v>60426</v>
      </c>
      <c r="C729" s="38">
        <v>60426</v>
      </c>
    </row>
    <row r="730" spans="1:3">
      <c r="A730" s="33">
        <v>60482</v>
      </c>
      <c r="C730" s="38">
        <v>60482</v>
      </c>
    </row>
    <row r="731" spans="1:3">
      <c r="A731" s="33">
        <v>60545</v>
      </c>
      <c r="C731" s="38">
        <v>60545</v>
      </c>
    </row>
    <row r="732" spans="1:3">
      <c r="A732" s="33">
        <v>60626</v>
      </c>
      <c r="C732" s="38">
        <v>60626</v>
      </c>
    </row>
    <row r="733" spans="1:3">
      <c r="A733" s="33">
        <v>60629</v>
      </c>
      <c r="C733" s="38">
        <v>60629</v>
      </c>
    </row>
    <row r="734" spans="1:3">
      <c r="A734" s="33">
        <v>60633</v>
      </c>
      <c r="C734" s="38">
        <v>60633</v>
      </c>
    </row>
    <row r="735" spans="1:3">
      <c r="A735" s="33">
        <v>60658</v>
      </c>
      <c r="C735" s="38">
        <v>60658</v>
      </c>
    </row>
    <row r="736" spans="1:3">
      <c r="A736" s="33">
        <v>60731</v>
      </c>
      <c r="C736" s="38">
        <v>60731</v>
      </c>
    </row>
    <row r="737" spans="1:3">
      <c r="A737" s="33">
        <v>60734</v>
      </c>
      <c r="C737" s="38">
        <v>60734</v>
      </c>
    </row>
    <row r="738" spans="1:3">
      <c r="A738" s="33">
        <v>60797</v>
      </c>
      <c r="C738" s="38">
        <v>60797</v>
      </c>
    </row>
    <row r="739" spans="1:3">
      <c r="A739" s="33">
        <v>60846</v>
      </c>
      <c r="C739" s="38">
        <v>60846</v>
      </c>
    </row>
    <row r="740" spans="1:3">
      <c r="A740" s="33">
        <v>60909</v>
      </c>
      <c r="C740" s="38">
        <v>60909</v>
      </c>
    </row>
    <row r="741" spans="1:3">
      <c r="A741" s="33">
        <v>60993</v>
      </c>
      <c r="C741" s="38">
        <v>60993</v>
      </c>
    </row>
    <row r="742" spans="1:3">
      <c r="A742" s="33">
        <v>60994</v>
      </c>
      <c r="C742" s="38">
        <v>60994</v>
      </c>
    </row>
    <row r="743" spans="1:3">
      <c r="A743" s="33">
        <v>61000</v>
      </c>
      <c r="C743" s="38">
        <v>61000</v>
      </c>
    </row>
    <row r="744" spans="1:3">
      <c r="A744" s="33">
        <v>61023</v>
      </c>
      <c r="C744" s="38">
        <v>61023</v>
      </c>
    </row>
    <row r="745" spans="1:3">
      <c r="A745" s="33">
        <v>61088</v>
      </c>
      <c r="C745" s="38">
        <v>61088</v>
      </c>
    </row>
    <row r="746" spans="1:3">
      <c r="A746" s="33">
        <v>61091</v>
      </c>
      <c r="C746" s="38">
        <v>61091</v>
      </c>
    </row>
    <row r="747" spans="1:3">
      <c r="A747" s="33">
        <v>61112</v>
      </c>
      <c r="C747" s="38">
        <v>61112</v>
      </c>
    </row>
    <row r="748" spans="1:3">
      <c r="A748" s="33">
        <v>61161</v>
      </c>
      <c r="C748" s="38">
        <v>61161</v>
      </c>
    </row>
    <row r="749" spans="1:3">
      <c r="A749" s="33">
        <v>61210</v>
      </c>
      <c r="C749" s="38">
        <v>61210</v>
      </c>
    </row>
    <row r="750" spans="1:3">
      <c r="A750" s="33">
        <v>61273</v>
      </c>
      <c r="C750" s="38">
        <v>61273</v>
      </c>
    </row>
    <row r="751" spans="1:3">
      <c r="A751" s="33">
        <v>61357</v>
      </c>
      <c r="C751" s="38">
        <v>61357</v>
      </c>
    </row>
    <row r="752" spans="1:3">
      <c r="A752" s="33">
        <v>61358</v>
      </c>
      <c r="C752" s="38">
        <v>61358</v>
      </c>
    </row>
    <row r="753" spans="1:3">
      <c r="A753" s="33">
        <v>61364</v>
      </c>
      <c r="C753" s="38">
        <v>61364</v>
      </c>
    </row>
    <row r="754" spans="1:3">
      <c r="A754" s="33">
        <v>61388</v>
      </c>
      <c r="C754" s="38">
        <v>61388</v>
      </c>
    </row>
    <row r="755" spans="1:3">
      <c r="A755" s="33">
        <v>61473</v>
      </c>
      <c r="C755" s="38">
        <v>61473</v>
      </c>
    </row>
    <row r="756" spans="1:3">
      <c r="A756" s="33">
        <v>61476</v>
      </c>
      <c r="C756" s="38">
        <v>61476</v>
      </c>
    </row>
    <row r="757" spans="1:3">
      <c r="A757" s="33">
        <v>61478</v>
      </c>
      <c r="C757" s="38">
        <v>61478</v>
      </c>
    </row>
    <row r="758" spans="1:3">
      <c r="A758" s="33">
        <v>61525</v>
      </c>
      <c r="C758" s="38">
        <v>61525</v>
      </c>
    </row>
    <row r="759" spans="1:3">
      <c r="A759" s="33">
        <v>61581</v>
      </c>
      <c r="C759" s="38">
        <v>61581</v>
      </c>
    </row>
    <row r="760" spans="1:3">
      <c r="A760" s="33">
        <v>61637</v>
      </c>
      <c r="C760" s="38">
        <v>61637</v>
      </c>
    </row>
    <row r="761" spans="1:3">
      <c r="A761" s="33">
        <v>61722</v>
      </c>
      <c r="C761" s="38">
        <v>61722</v>
      </c>
    </row>
    <row r="762" spans="1:3">
      <c r="A762" s="33">
        <v>61723</v>
      </c>
      <c r="C762" s="38">
        <v>61723</v>
      </c>
    </row>
    <row r="763" spans="1:3">
      <c r="A763" s="33">
        <v>61729</v>
      </c>
      <c r="C763" s="38">
        <v>61729</v>
      </c>
    </row>
    <row r="764" spans="1:3">
      <c r="A764" s="33">
        <v>61756</v>
      </c>
      <c r="C764" s="38">
        <v>61756</v>
      </c>
    </row>
    <row r="765" spans="1:3">
      <c r="A765" s="33">
        <v>61830</v>
      </c>
      <c r="C765" s="38">
        <v>61830</v>
      </c>
    </row>
    <row r="766" spans="1:3">
      <c r="A766" s="33">
        <v>61833</v>
      </c>
      <c r="C766" s="38">
        <v>61833</v>
      </c>
    </row>
    <row r="767" spans="1:3">
      <c r="A767" s="33">
        <v>61843</v>
      </c>
      <c r="C767" s="38">
        <v>61843</v>
      </c>
    </row>
    <row r="768" spans="1:3">
      <c r="A768" s="33">
        <v>61889</v>
      </c>
      <c r="C768" s="38">
        <v>61889</v>
      </c>
    </row>
    <row r="769" spans="1:3">
      <c r="A769" s="33">
        <v>61945</v>
      </c>
      <c r="C769" s="38">
        <v>61945</v>
      </c>
    </row>
    <row r="770" spans="1:3">
      <c r="A770" s="33">
        <v>62008</v>
      </c>
      <c r="C770" s="38">
        <v>62008</v>
      </c>
    </row>
    <row r="771" spans="1:3">
      <c r="A771" s="33">
        <v>62087</v>
      </c>
      <c r="C771" s="38">
        <v>62087</v>
      </c>
    </row>
    <row r="772" spans="1:3">
      <c r="A772" s="33">
        <v>62088</v>
      </c>
      <c r="C772" s="38">
        <v>62088</v>
      </c>
    </row>
    <row r="773" spans="1:3">
      <c r="A773" s="33">
        <v>62094</v>
      </c>
      <c r="C773" s="38">
        <v>62094</v>
      </c>
    </row>
    <row r="774" spans="1:3">
      <c r="A774" s="33">
        <v>62120</v>
      </c>
      <c r="C774" s="38">
        <v>62120</v>
      </c>
    </row>
    <row r="775" spans="1:3">
      <c r="A775" s="33">
        <v>62180</v>
      </c>
      <c r="C775" s="38">
        <v>62180</v>
      </c>
    </row>
    <row r="776" spans="1:3">
      <c r="A776" s="33">
        <v>62183</v>
      </c>
      <c r="C776" s="38">
        <v>62183</v>
      </c>
    </row>
    <row r="777" spans="1:3">
      <c r="A777" s="33">
        <v>62208</v>
      </c>
      <c r="C777" s="38">
        <v>62208</v>
      </c>
    </row>
    <row r="778" spans="1:3">
      <c r="A778" s="33">
        <v>62253</v>
      </c>
      <c r="C778" s="38">
        <v>62253</v>
      </c>
    </row>
    <row r="779" spans="1:3">
      <c r="A779" s="33">
        <v>62309</v>
      </c>
      <c r="C779" s="38">
        <v>62309</v>
      </c>
    </row>
    <row r="780" spans="1:3">
      <c r="A780" s="33">
        <v>62372</v>
      </c>
      <c r="C780" s="38">
        <v>62372</v>
      </c>
    </row>
    <row r="781" spans="1:3">
      <c r="A781" s="33">
        <v>62452</v>
      </c>
      <c r="C781" s="38">
        <v>62452</v>
      </c>
    </row>
    <row r="782" spans="1:3">
      <c r="A782" s="33">
        <v>62453</v>
      </c>
      <c r="C782" s="38">
        <v>62453</v>
      </c>
    </row>
    <row r="783" spans="1:3">
      <c r="A783" s="33">
        <v>62459</v>
      </c>
      <c r="C783" s="38">
        <v>62459</v>
      </c>
    </row>
    <row r="784" spans="1:3">
      <c r="A784" s="33">
        <v>62484</v>
      </c>
      <c r="C784" s="38">
        <v>62484</v>
      </c>
    </row>
    <row r="785" spans="1:3">
      <c r="A785" s="33">
        <v>62565</v>
      </c>
      <c r="C785" s="38">
        <v>62565</v>
      </c>
    </row>
    <row r="786" spans="1:3">
      <c r="A786" s="33">
        <v>62568</v>
      </c>
      <c r="C786" s="38">
        <v>62568</v>
      </c>
    </row>
    <row r="787" spans="1:3">
      <c r="A787" s="33">
        <v>62617</v>
      </c>
      <c r="C787" s="38">
        <v>62617</v>
      </c>
    </row>
    <row r="788" spans="1:3">
      <c r="A788" s="33">
        <v>62673</v>
      </c>
      <c r="C788" s="38">
        <v>62673</v>
      </c>
    </row>
    <row r="789" spans="1:3">
      <c r="A789" s="33">
        <v>62736</v>
      </c>
      <c r="C789" s="38">
        <v>62736</v>
      </c>
    </row>
    <row r="790" spans="1:3">
      <c r="A790" s="33">
        <v>62817</v>
      </c>
      <c r="C790" s="38">
        <v>62817</v>
      </c>
    </row>
    <row r="791" spans="1:3">
      <c r="A791" s="33">
        <v>62820</v>
      </c>
      <c r="C791" s="38">
        <v>62820</v>
      </c>
    </row>
    <row r="792" spans="1:3">
      <c r="A792" s="33">
        <v>62824</v>
      </c>
      <c r="C792" s="38">
        <v>62824</v>
      </c>
    </row>
    <row r="793" spans="1:3">
      <c r="A793" s="33">
        <v>62849</v>
      </c>
      <c r="C793" s="38">
        <v>62849</v>
      </c>
    </row>
    <row r="794" spans="1:3">
      <c r="A794" s="33">
        <v>62922</v>
      </c>
      <c r="C794" s="38">
        <v>62922</v>
      </c>
    </row>
    <row r="795" spans="1:3">
      <c r="A795" s="33">
        <v>62925</v>
      </c>
      <c r="C795" s="38">
        <v>62925</v>
      </c>
    </row>
    <row r="796" spans="1:3">
      <c r="A796" s="33">
        <v>62939</v>
      </c>
      <c r="C796" s="38">
        <v>62939</v>
      </c>
    </row>
    <row r="797" spans="1:3">
      <c r="A797" s="33">
        <v>62988</v>
      </c>
      <c r="C797" s="38">
        <v>62988</v>
      </c>
    </row>
    <row r="798" spans="1:3">
      <c r="A798" s="33">
        <v>63037</v>
      </c>
      <c r="C798" s="38">
        <v>63037</v>
      </c>
    </row>
    <row r="799" spans="1:3">
      <c r="A799" s="33">
        <v>63100</v>
      </c>
      <c r="C799" s="38">
        <v>63100</v>
      </c>
    </row>
    <row r="800" spans="1:3">
      <c r="A800" s="33">
        <v>63184</v>
      </c>
      <c r="C800" s="38">
        <v>63184</v>
      </c>
    </row>
    <row r="801" spans="1:3">
      <c r="A801" s="33">
        <v>63185</v>
      </c>
      <c r="C801" s="38">
        <v>63185</v>
      </c>
    </row>
    <row r="802" spans="1:3">
      <c r="A802" s="33">
        <v>63191</v>
      </c>
      <c r="C802" s="38">
        <v>63191</v>
      </c>
    </row>
    <row r="803" spans="1:3">
      <c r="A803" s="33">
        <v>63215</v>
      </c>
      <c r="C803" s="38">
        <v>63215</v>
      </c>
    </row>
    <row r="804" spans="1:3">
      <c r="A804" s="33">
        <v>63272</v>
      </c>
      <c r="C804" s="38">
        <v>63272</v>
      </c>
    </row>
    <row r="805" spans="1:3">
      <c r="A805" s="33">
        <v>63275</v>
      </c>
      <c r="C805" s="38">
        <v>63275</v>
      </c>
    </row>
    <row r="806" spans="1:3">
      <c r="A806" s="33">
        <v>63304</v>
      </c>
      <c r="C806" s="38">
        <v>63304</v>
      </c>
    </row>
    <row r="807" spans="1:3">
      <c r="A807" s="33">
        <v>63352</v>
      </c>
      <c r="C807" s="38">
        <v>63352</v>
      </c>
    </row>
    <row r="808" spans="1:3">
      <c r="A808" s="33">
        <v>63408</v>
      </c>
      <c r="C808" s="38">
        <v>63408</v>
      </c>
    </row>
    <row r="809" spans="1:3">
      <c r="A809" s="33">
        <v>63464</v>
      </c>
      <c r="C809" s="38">
        <v>63464</v>
      </c>
    </row>
    <row r="810" spans="1:3">
      <c r="A810" s="33">
        <v>63548</v>
      </c>
      <c r="C810" s="38">
        <v>63548</v>
      </c>
    </row>
    <row r="811" spans="1:3">
      <c r="A811" s="33">
        <v>63549</v>
      </c>
      <c r="C811" s="38">
        <v>63549</v>
      </c>
    </row>
    <row r="812" spans="1:3">
      <c r="A812" s="33">
        <v>63555</v>
      </c>
      <c r="C812" s="38">
        <v>63555</v>
      </c>
    </row>
    <row r="813" spans="1:3">
      <c r="A813" s="33">
        <v>63580</v>
      </c>
      <c r="C813" s="38">
        <v>63580</v>
      </c>
    </row>
    <row r="814" spans="1:3">
      <c r="A814" s="33">
        <v>63657</v>
      </c>
      <c r="C814" s="38">
        <v>63657</v>
      </c>
    </row>
    <row r="815" spans="1:3">
      <c r="A815" s="33">
        <v>63660</v>
      </c>
      <c r="C815" s="38">
        <v>63660</v>
      </c>
    </row>
    <row r="816" spans="1:3">
      <c r="A816" s="33">
        <v>63669</v>
      </c>
      <c r="C816" s="38">
        <v>63669</v>
      </c>
    </row>
    <row r="817" spans="1:3">
      <c r="A817" s="33">
        <v>63716</v>
      </c>
      <c r="C817" s="38">
        <v>63716</v>
      </c>
    </row>
    <row r="818" spans="1:3">
      <c r="A818" s="33">
        <v>63772</v>
      </c>
      <c r="C818" s="38">
        <v>63772</v>
      </c>
    </row>
    <row r="819" spans="1:3">
      <c r="A819" s="33">
        <v>63828</v>
      </c>
      <c r="C819" s="38">
        <v>63828</v>
      </c>
    </row>
    <row r="820" spans="1:3">
      <c r="A820" s="33">
        <v>63913</v>
      </c>
      <c r="C820" s="38">
        <v>63913</v>
      </c>
    </row>
    <row r="821" spans="1:3">
      <c r="A821" s="33">
        <v>63914</v>
      </c>
      <c r="C821" s="38">
        <v>63914</v>
      </c>
    </row>
    <row r="822" spans="1:3">
      <c r="A822" s="33">
        <v>63920</v>
      </c>
      <c r="C822" s="38">
        <v>63920</v>
      </c>
    </row>
    <row r="823" spans="1:3">
      <c r="A823" s="33">
        <v>63947</v>
      </c>
      <c r="C823" s="38">
        <v>63947</v>
      </c>
    </row>
    <row r="824" spans="1:3">
      <c r="A824" s="33">
        <v>64014</v>
      </c>
      <c r="C824" s="38">
        <v>64014</v>
      </c>
    </row>
    <row r="825" spans="1:3">
      <c r="A825" s="33">
        <v>64017</v>
      </c>
      <c r="C825" s="38">
        <v>64017</v>
      </c>
    </row>
    <row r="826" spans="1:3">
      <c r="A826" s="33">
        <v>64034</v>
      </c>
      <c r="C826" s="38">
        <v>64034</v>
      </c>
    </row>
    <row r="827" spans="1:3">
      <c r="A827" s="33">
        <v>64080</v>
      </c>
      <c r="C827" s="38">
        <v>64080</v>
      </c>
    </row>
    <row r="828" spans="1:3">
      <c r="A828" s="33">
        <v>64136</v>
      </c>
      <c r="C828" s="38">
        <v>64136</v>
      </c>
    </row>
    <row r="829" spans="1:3">
      <c r="A829" s="33">
        <v>64199</v>
      </c>
      <c r="C829" s="38">
        <v>64199</v>
      </c>
    </row>
    <row r="830" spans="1:3">
      <c r="A830" s="33">
        <v>64278</v>
      </c>
      <c r="C830" s="38">
        <v>64278</v>
      </c>
    </row>
    <row r="831" spans="1:3">
      <c r="A831" s="33">
        <v>64279</v>
      </c>
      <c r="C831" s="38">
        <v>64279</v>
      </c>
    </row>
    <row r="832" spans="1:3">
      <c r="A832" s="33">
        <v>64285</v>
      </c>
      <c r="C832" s="38">
        <v>64285</v>
      </c>
    </row>
    <row r="833" spans="1:3">
      <c r="A833" s="33">
        <v>64311</v>
      </c>
      <c r="C833" s="38">
        <v>64311</v>
      </c>
    </row>
    <row r="834" spans="1:3">
      <c r="A834" s="33">
        <v>64392</v>
      </c>
      <c r="C834" s="38">
        <v>64392</v>
      </c>
    </row>
    <row r="835" spans="1:3">
      <c r="A835" s="33">
        <v>64395</v>
      </c>
      <c r="C835" s="38">
        <v>64395</v>
      </c>
    </row>
    <row r="836" spans="1:3">
      <c r="A836" s="33">
        <v>64444</v>
      </c>
      <c r="C836" s="38">
        <v>64444</v>
      </c>
    </row>
    <row r="837" spans="1:3">
      <c r="A837" s="33">
        <v>64500</v>
      </c>
      <c r="C837" s="38">
        <v>64500</v>
      </c>
    </row>
    <row r="838" spans="1:3">
      <c r="A838" s="33">
        <v>64563</v>
      </c>
      <c r="C838" s="38">
        <v>64563</v>
      </c>
    </row>
    <row r="839" spans="1:3">
      <c r="A839" s="33">
        <v>64644</v>
      </c>
      <c r="C839" s="38">
        <v>64644</v>
      </c>
    </row>
    <row r="840" spans="1:3">
      <c r="A840" s="33">
        <v>64647</v>
      </c>
      <c r="C840" s="38">
        <v>64647</v>
      </c>
    </row>
    <row r="841" spans="1:3">
      <c r="A841" s="33">
        <v>64651</v>
      </c>
      <c r="C841" s="38">
        <v>64651</v>
      </c>
    </row>
    <row r="842" spans="1:3">
      <c r="A842" s="33">
        <v>64676</v>
      </c>
      <c r="C842" s="38">
        <v>64676</v>
      </c>
    </row>
    <row r="843" spans="1:3">
      <c r="A843" s="33">
        <v>64749</v>
      </c>
      <c r="C843" s="38">
        <v>64749</v>
      </c>
    </row>
    <row r="844" spans="1:3">
      <c r="A844" s="33">
        <v>64752</v>
      </c>
      <c r="C844" s="38">
        <v>64752</v>
      </c>
    </row>
    <row r="845" spans="1:3">
      <c r="A845" s="33">
        <v>64815</v>
      </c>
      <c r="C845" s="38">
        <v>64815</v>
      </c>
    </row>
    <row r="846" spans="1:3">
      <c r="A846" s="33">
        <v>64864</v>
      </c>
      <c r="C846" s="38">
        <v>64864</v>
      </c>
    </row>
    <row r="847" spans="1:3">
      <c r="A847" s="33">
        <v>64927</v>
      </c>
      <c r="C847" s="38">
        <v>64927</v>
      </c>
    </row>
    <row r="848" spans="1:3">
      <c r="A848" s="33">
        <v>65011</v>
      </c>
      <c r="C848" s="38">
        <v>65011</v>
      </c>
    </row>
    <row r="849" spans="1:3">
      <c r="A849" s="33">
        <v>65012</v>
      </c>
      <c r="C849" s="38">
        <v>65012</v>
      </c>
    </row>
    <row r="850" spans="1:3">
      <c r="A850" s="33">
        <v>65018</v>
      </c>
      <c r="C850" s="38">
        <v>65018</v>
      </c>
    </row>
    <row r="851" spans="1:3">
      <c r="A851" s="33">
        <v>65041</v>
      </c>
      <c r="C851" s="38">
        <v>65041</v>
      </c>
    </row>
    <row r="852" spans="1:3">
      <c r="A852" s="33">
        <v>65106</v>
      </c>
      <c r="C852" s="38">
        <v>65106</v>
      </c>
    </row>
    <row r="853" spans="1:3">
      <c r="A853" s="33">
        <v>65109</v>
      </c>
      <c r="C853" s="38">
        <v>65109</v>
      </c>
    </row>
    <row r="854" spans="1:3">
      <c r="A854" s="33">
        <v>65130</v>
      </c>
      <c r="C854" s="38">
        <v>65130</v>
      </c>
    </row>
    <row r="855" spans="1:3">
      <c r="A855" s="33">
        <v>65179</v>
      </c>
      <c r="C855" s="38">
        <v>65179</v>
      </c>
    </row>
    <row r="856" spans="1:3">
      <c r="A856" s="33">
        <v>65228</v>
      </c>
      <c r="C856" s="38">
        <v>65228</v>
      </c>
    </row>
    <row r="857" spans="1:3">
      <c r="A857" s="33">
        <v>65291</v>
      </c>
      <c r="C857" s="38">
        <v>65291</v>
      </c>
    </row>
    <row r="858" spans="1:3">
      <c r="A858" s="33">
        <v>65375</v>
      </c>
      <c r="C858" s="38">
        <v>65375</v>
      </c>
    </row>
    <row r="859" spans="1:3">
      <c r="A859" s="33">
        <v>65376</v>
      </c>
      <c r="C859" s="38">
        <v>65376</v>
      </c>
    </row>
    <row r="860" spans="1:3">
      <c r="A860" s="33">
        <v>65382</v>
      </c>
      <c r="C860" s="38">
        <v>65382</v>
      </c>
    </row>
    <row r="861" spans="1:3">
      <c r="A861" s="33">
        <v>65406</v>
      </c>
      <c r="C861" s="38">
        <v>65406</v>
      </c>
    </row>
    <row r="862" spans="1:3">
      <c r="A862" s="33">
        <v>65491</v>
      </c>
      <c r="C862" s="38">
        <v>65491</v>
      </c>
    </row>
    <row r="863" spans="1:3">
      <c r="A863" s="33">
        <v>65494</v>
      </c>
      <c r="C863" s="38">
        <v>65494</v>
      </c>
    </row>
    <row r="864" spans="1:3">
      <c r="A864" s="33">
        <v>65495</v>
      </c>
      <c r="C864" s="38">
        <v>65495</v>
      </c>
    </row>
    <row r="865" spans="1:3">
      <c r="A865" s="33">
        <v>65543</v>
      </c>
      <c r="C865" s="38">
        <v>65543</v>
      </c>
    </row>
    <row r="866" spans="1:3">
      <c r="A866" s="33">
        <v>65599</v>
      </c>
      <c r="C866" s="38">
        <v>65599</v>
      </c>
    </row>
    <row r="867" spans="1:3">
      <c r="A867" s="33">
        <v>65655</v>
      </c>
      <c r="C867" s="38">
        <v>65655</v>
      </c>
    </row>
    <row r="868" spans="1:3">
      <c r="A868" s="33">
        <v>65739</v>
      </c>
      <c r="C868" s="38">
        <v>65739</v>
      </c>
    </row>
    <row r="869" spans="1:3">
      <c r="A869" s="33">
        <v>65740</v>
      </c>
      <c r="C869" s="38">
        <v>65740</v>
      </c>
    </row>
    <row r="870" spans="1:3">
      <c r="A870" s="33">
        <v>65746</v>
      </c>
      <c r="C870" s="38">
        <v>65746</v>
      </c>
    </row>
    <row r="871" spans="1:3">
      <c r="A871" s="33">
        <v>65771</v>
      </c>
      <c r="C871" s="38">
        <v>65771</v>
      </c>
    </row>
    <row r="872" spans="1:3">
      <c r="A872" s="33">
        <v>65841</v>
      </c>
      <c r="C872" s="38">
        <v>65841</v>
      </c>
    </row>
    <row r="873" spans="1:3">
      <c r="A873" s="33">
        <v>65844</v>
      </c>
      <c r="C873" s="38">
        <v>65844</v>
      </c>
    </row>
    <row r="874" spans="1:3">
      <c r="A874" s="33">
        <v>65861</v>
      </c>
      <c r="C874" s="38">
        <v>65861</v>
      </c>
    </row>
    <row r="875" spans="1:3">
      <c r="A875" s="33">
        <v>65907</v>
      </c>
      <c r="C875" s="38">
        <v>65907</v>
      </c>
    </row>
    <row r="876" spans="1:3">
      <c r="A876" s="33">
        <v>65963</v>
      </c>
      <c r="C876" s="38">
        <v>65963</v>
      </c>
    </row>
    <row r="877" spans="1:3">
      <c r="A877" s="33">
        <v>66026</v>
      </c>
      <c r="C877" s="38">
        <v>66026</v>
      </c>
    </row>
    <row r="878" spans="1:3">
      <c r="A878" s="33">
        <v>66105</v>
      </c>
      <c r="C878" s="38">
        <v>66105</v>
      </c>
    </row>
    <row r="879" spans="1:3">
      <c r="A879" s="33">
        <v>66106</v>
      </c>
      <c r="C879" s="38">
        <v>66106</v>
      </c>
    </row>
    <row r="880" spans="1:3">
      <c r="A880" s="33">
        <v>66112</v>
      </c>
      <c r="C880" s="38">
        <v>66112</v>
      </c>
    </row>
    <row r="881" spans="1:3">
      <c r="A881" s="33">
        <v>66138</v>
      </c>
      <c r="C881" s="38">
        <v>66138</v>
      </c>
    </row>
    <row r="882" spans="1:3">
      <c r="A882" s="33">
        <v>66198</v>
      </c>
      <c r="C882" s="38">
        <v>66198</v>
      </c>
    </row>
    <row r="883" spans="1:3">
      <c r="A883" s="33">
        <v>66201</v>
      </c>
      <c r="C883" s="38">
        <v>66201</v>
      </c>
    </row>
    <row r="884" spans="1:3">
      <c r="A884" s="33">
        <v>66226</v>
      </c>
      <c r="C884" s="38">
        <v>66226</v>
      </c>
    </row>
    <row r="885" spans="1:3">
      <c r="A885" s="33">
        <v>66271</v>
      </c>
      <c r="C885" s="38">
        <v>66271</v>
      </c>
    </row>
    <row r="886" spans="1:3">
      <c r="A886" s="33">
        <v>66327</v>
      </c>
      <c r="C886" s="38">
        <v>66327</v>
      </c>
    </row>
    <row r="887" spans="1:3">
      <c r="A887" s="33">
        <v>66390</v>
      </c>
      <c r="C887" s="38">
        <v>66390</v>
      </c>
    </row>
    <row r="888" spans="1:3">
      <c r="A888" s="33">
        <v>66470</v>
      </c>
      <c r="C888" s="38">
        <v>66470</v>
      </c>
    </row>
    <row r="889" spans="1:3">
      <c r="A889" s="33">
        <v>66471</v>
      </c>
      <c r="C889" s="38">
        <v>66471</v>
      </c>
    </row>
    <row r="890" spans="1:3">
      <c r="A890" s="33">
        <v>66477</v>
      </c>
      <c r="C890" s="38">
        <v>66477</v>
      </c>
    </row>
    <row r="891" spans="1:3">
      <c r="A891" s="33">
        <v>66502</v>
      </c>
      <c r="C891" s="38">
        <v>66502</v>
      </c>
    </row>
    <row r="892" spans="1:3">
      <c r="A892" s="33">
        <v>66583</v>
      </c>
      <c r="C892" s="38">
        <v>66583</v>
      </c>
    </row>
    <row r="893" spans="1:3">
      <c r="A893" s="33">
        <v>66586</v>
      </c>
      <c r="C893" s="38">
        <v>66586</v>
      </c>
    </row>
    <row r="894" spans="1:3">
      <c r="A894" s="33">
        <v>66635</v>
      </c>
      <c r="C894" s="38">
        <v>66635</v>
      </c>
    </row>
    <row r="895" spans="1:3">
      <c r="A895" s="33">
        <v>66691</v>
      </c>
      <c r="C895" s="38">
        <v>66691</v>
      </c>
    </row>
    <row r="896" spans="1:3">
      <c r="A896" s="33">
        <v>66754</v>
      </c>
      <c r="C896" s="38">
        <v>66754</v>
      </c>
    </row>
    <row r="897" spans="1:3">
      <c r="A897" s="33">
        <v>66835</v>
      </c>
      <c r="C897" s="38">
        <v>66835</v>
      </c>
    </row>
    <row r="898" spans="1:3">
      <c r="A898" s="33">
        <v>66838</v>
      </c>
      <c r="C898" s="38">
        <v>66838</v>
      </c>
    </row>
    <row r="899" spans="1:3">
      <c r="A899" s="33">
        <v>66842</v>
      </c>
      <c r="C899" s="38">
        <v>66842</v>
      </c>
    </row>
    <row r="900" spans="1:3">
      <c r="A900" s="33">
        <v>66867</v>
      </c>
      <c r="C900" s="38">
        <v>66867</v>
      </c>
    </row>
    <row r="901" spans="1:3">
      <c r="A901" s="33">
        <v>66933</v>
      </c>
      <c r="C901" s="38">
        <v>66933</v>
      </c>
    </row>
    <row r="902" spans="1:3">
      <c r="A902" s="33">
        <v>66936</v>
      </c>
      <c r="C902" s="38">
        <v>66936</v>
      </c>
    </row>
    <row r="903" spans="1:3">
      <c r="A903" s="33">
        <v>67006</v>
      </c>
      <c r="C903" s="38">
        <v>67006</v>
      </c>
    </row>
    <row r="904" spans="1:3">
      <c r="A904" s="33">
        <v>67055</v>
      </c>
      <c r="C904" s="38">
        <v>67055</v>
      </c>
    </row>
    <row r="905" spans="1:3">
      <c r="A905" s="33">
        <v>67118</v>
      </c>
      <c r="C905" s="38">
        <v>67118</v>
      </c>
    </row>
    <row r="906" spans="1:3">
      <c r="A906" s="33">
        <v>67202</v>
      </c>
      <c r="C906" s="38">
        <v>67202</v>
      </c>
    </row>
    <row r="907" spans="1:3">
      <c r="A907" s="33">
        <v>67203</v>
      </c>
      <c r="C907" s="38">
        <v>67203</v>
      </c>
    </row>
    <row r="908" spans="1:3">
      <c r="A908" s="33">
        <v>67209</v>
      </c>
      <c r="C908" s="38">
        <v>67209</v>
      </c>
    </row>
    <row r="909" spans="1:3">
      <c r="A909" s="33">
        <v>67232</v>
      </c>
      <c r="C909" s="38">
        <v>67232</v>
      </c>
    </row>
    <row r="910" spans="1:3">
      <c r="A910" s="33">
        <v>67290</v>
      </c>
      <c r="C910" s="38">
        <v>67290</v>
      </c>
    </row>
    <row r="911" spans="1:3">
      <c r="A911" s="33">
        <v>67293</v>
      </c>
      <c r="C911" s="38">
        <v>67293</v>
      </c>
    </row>
    <row r="912" spans="1:3">
      <c r="A912" s="33">
        <v>67322</v>
      </c>
      <c r="C912" s="38">
        <v>67322</v>
      </c>
    </row>
    <row r="913" spans="1:3">
      <c r="A913" s="33">
        <v>67370</v>
      </c>
      <c r="C913" s="38">
        <v>67370</v>
      </c>
    </row>
    <row r="914" spans="1:3">
      <c r="A914" s="33">
        <v>67426</v>
      </c>
      <c r="C914" s="38">
        <v>67426</v>
      </c>
    </row>
    <row r="915" spans="1:3">
      <c r="A915" s="33">
        <v>67482</v>
      </c>
      <c r="C915" s="38">
        <v>67482</v>
      </c>
    </row>
    <row r="916" spans="1:3">
      <c r="A916" s="33">
        <v>67566</v>
      </c>
      <c r="C916" s="38">
        <v>67566</v>
      </c>
    </row>
    <row r="917" spans="1:3">
      <c r="A917" s="33">
        <v>67567</v>
      </c>
      <c r="C917" s="38">
        <v>67567</v>
      </c>
    </row>
    <row r="918" spans="1:3">
      <c r="A918" s="33">
        <v>67573</v>
      </c>
      <c r="C918" s="38">
        <v>67573</v>
      </c>
    </row>
    <row r="919" spans="1:3">
      <c r="A919" s="33">
        <v>67598</v>
      </c>
      <c r="C919" s="38">
        <v>67598</v>
      </c>
    </row>
    <row r="920" spans="1:3">
      <c r="A920" s="33">
        <v>67675</v>
      </c>
      <c r="C920" s="38">
        <v>67675</v>
      </c>
    </row>
    <row r="921" spans="1:3">
      <c r="A921" s="33">
        <v>67678</v>
      </c>
      <c r="C921" s="38">
        <v>67678</v>
      </c>
    </row>
    <row r="922" spans="1:3">
      <c r="A922" s="33">
        <v>67687</v>
      </c>
      <c r="C922" s="38">
        <v>67687</v>
      </c>
    </row>
    <row r="923" spans="1:3">
      <c r="A923" s="33">
        <v>67734</v>
      </c>
      <c r="C923" s="38">
        <v>67734</v>
      </c>
    </row>
    <row r="924" spans="1:3">
      <c r="A924" s="33">
        <v>67790</v>
      </c>
      <c r="C924" s="38">
        <v>67790</v>
      </c>
    </row>
    <row r="925" spans="1:3">
      <c r="A925" s="33">
        <v>67846</v>
      </c>
      <c r="C925" s="38">
        <v>67846</v>
      </c>
    </row>
    <row r="926" spans="1:3">
      <c r="A926" s="33">
        <v>67931</v>
      </c>
      <c r="C926" s="38">
        <v>67931</v>
      </c>
    </row>
    <row r="927" spans="1:3">
      <c r="A927" s="33">
        <v>67932</v>
      </c>
      <c r="C927" s="38">
        <v>67932</v>
      </c>
    </row>
    <row r="928" spans="1:3">
      <c r="A928" s="33">
        <v>67938</v>
      </c>
      <c r="C928" s="38">
        <v>67938</v>
      </c>
    </row>
    <row r="929" spans="1:3">
      <c r="A929" s="33">
        <v>67965</v>
      </c>
      <c r="C929" s="38">
        <v>67965</v>
      </c>
    </row>
    <row r="930" spans="1:3">
      <c r="A930" s="33">
        <v>68025</v>
      </c>
      <c r="C930" s="38">
        <v>68025</v>
      </c>
    </row>
    <row r="931" spans="1:3">
      <c r="A931" s="33">
        <v>68028</v>
      </c>
      <c r="C931" s="38">
        <v>68028</v>
      </c>
    </row>
    <row r="932" spans="1:3">
      <c r="A932" s="33">
        <v>68052</v>
      </c>
      <c r="C932" s="38">
        <v>68052</v>
      </c>
    </row>
    <row r="933" spans="1:3">
      <c r="A933" s="33">
        <v>68098</v>
      </c>
      <c r="C933" s="38">
        <v>68098</v>
      </c>
    </row>
    <row r="934" spans="1:3">
      <c r="A934" s="33">
        <v>68154</v>
      </c>
      <c r="C934" s="38">
        <v>68154</v>
      </c>
    </row>
    <row r="935" spans="1:3">
      <c r="A935" s="33">
        <v>68217</v>
      </c>
      <c r="C935" s="38">
        <v>68217</v>
      </c>
    </row>
    <row r="936" spans="1:3">
      <c r="A936" s="33">
        <v>68296</v>
      </c>
      <c r="C936" s="38">
        <v>68296</v>
      </c>
    </row>
    <row r="937" spans="1:3">
      <c r="A937" s="33">
        <v>68297</v>
      </c>
      <c r="C937" s="38">
        <v>68297</v>
      </c>
    </row>
    <row r="938" spans="1:3">
      <c r="A938" s="33">
        <v>68303</v>
      </c>
      <c r="C938" s="38">
        <v>68303</v>
      </c>
    </row>
    <row r="939" spans="1:3">
      <c r="A939" s="33">
        <v>68329</v>
      </c>
      <c r="C939" s="38">
        <v>68329</v>
      </c>
    </row>
    <row r="940" spans="1:3">
      <c r="A940" s="33">
        <v>68410</v>
      </c>
      <c r="C940" s="38">
        <v>68410</v>
      </c>
    </row>
    <row r="941" spans="1:3">
      <c r="A941" s="33">
        <v>68413</v>
      </c>
      <c r="C941" s="38">
        <v>68413</v>
      </c>
    </row>
    <row r="942" spans="1:3">
      <c r="A942" s="33">
        <v>68417</v>
      </c>
      <c r="C942" s="38">
        <v>68417</v>
      </c>
    </row>
    <row r="943" spans="1:3">
      <c r="A943" s="33">
        <v>68462</v>
      </c>
      <c r="C943" s="38">
        <v>68462</v>
      </c>
    </row>
    <row r="944" spans="1:3">
      <c r="A944" s="33">
        <v>68518</v>
      </c>
      <c r="C944" s="38">
        <v>68518</v>
      </c>
    </row>
    <row r="945" spans="1:3">
      <c r="A945" s="33">
        <v>68581</v>
      </c>
      <c r="C945" s="38">
        <v>68581</v>
      </c>
    </row>
    <row r="946" spans="1:3">
      <c r="A946" s="33">
        <v>68661</v>
      </c>
      <c r="C946" s="38">
        <v>68661</v>
      </c>
    </row>
    <row r="947" spans="1:3">
      <c r="A947" s="33">
        <v>68662</v>
      </c>
      <c r="C947" s="38">
        <v>68662</v>
      </c>
    </row>
    <row r="948" spans="1:3">
      <c r="A948" s="33">
        <v>68668</v>
      </c>
      <c r="C948" s="38">
        <v>68668</v>
      </c>
    </row>
    <row r="949" spans="1:3">
      <c r="A949" s="33">
        <v>68693</v>
      </c>
      <c r="C949" s="38">
        <v>68693</v>
      </c>
    </row>
    <row r="950" spans="1:3">
      <c r="A950" s="33">
        <v>68767</v>
      </c>
      <c r="C950" s="38">
        <v>68767</v>
      </c>
    </row>
    <row r="951" spans="1:3">
      <c r="A951" s="33">
        <v>68770</v>
      </c>
      <c r="C951" s="38">
        <v>68770</v>
      </c>
    </row>
    <row r="952" spans="1:3">
      <c r="A952" s="33">
        <v>68833</v>
      </c>
      <c r="C952" s="38">
        <v>68833</v>
      </c>
    </row>
    <row r="953" spans="1:3">
      <c r="A953" s="33">
        <v>68882</v>
      </c>
      <c r="C953" s="38">
        <v>68882</v>
      </c>
    </row>
    <row r="954" spans="1:3">
      <c r="A954" s="33">
        <v>68945</v>
      </c>
      <c r="C954" s="38">
        <v>68945</v>
      </c>
    </row>
    <row r="955" spans="1:3">
      <c r="A955" s="33">
        <v>69029</v>
      </c>
      <c r="C955" s="38">
        <v>69029</v>
      </c>
    </row>
    <row r="956" spans="1:3">
      <c r="A956" s="33">
        <v>69030</v>
      </c>
      <c r="C956" s="38">
        <v>69030</v>
      </c>
    </row>
    <row r="957" spans="1:3">
      <c r="A957" s="33">
        <v>69036</v>
      </c>
      <c r="C957" s="38">
        <v>69036</v>
      </c>
    </row>
    <row r="958" spans="1:3">
      <c r="A958" s="33">
        <v>69059</v>
      </c>
      <c r="C958" s="38">
        <v>69059</v>
      </c>
    </row>
    <row r="959" spans="1:3">
      <c r="A959" s="33">
        <v>69124</v>
      </c>
      <c r="C959" s="38">
        <v>69124</v>
      </c>
    </row>
    <row r="960" spans="1:3">
      <c r="A960" s="33">
        <v>69127</v>
      </c>
      <c r="C960" s="38">
        <v>69127</v>
      </c>
    </row>
    <row r="961" spans="1:3">
      <c r="A961" s="33">
        <v>69148</v>
      </c>
      <c r="C961" s="38">
        <v>69148</v>
      </c>
    </row>
    <row r="962" spans="1:3">
      <c r="A962" s="33">
        <v>69197</v>
      </c>
      <c r="C962" s="38">
        <v>69197</v>
      </c>
    </row>
    <row r="963" spans="1:3">
      <c r="A963" s="33">
        <v>69246</v>
      </c>
      <c r="C963" s="38">
        <v>69246</v>
      </c>
    </row>
    <row r="964" spans="1:3">
      <c r="A964" s="33">
        <v>69309</v>
      </c>
      <c r="C964" s="38">
        <v>69309</v>
      </c>
    </row>
    <row r="965" spans="1:3">
      <c r="A965" s="33">
        <v>69393</v>
      </c>
      <c r="C965" s="38">
        <v>69393</v>
      </c>
    </row>
    <row r="966" spans="1:3">
      <c r="A966" s="33">
        <v>69394</v>
      </c>
      <c r="C966" s="38">
        <v>69394</v>
      </c>
    </row>
    <row r="967" spans="1:3">
      <c r="A967" s="33">
        <v>69400</v>
      </c>
      <c r="C967" s="38">
        <v>69400</v>
      </c>
    </row>
    <row r="968" spans="1:3">
      <c r="A968" s="33">
        <v>69424</v>
      </c>
      <c r="C968" s="38">
        <v>69424</v>
      </c>
    </row>
    <row r="969" spans="1:3">
      <c r="A969" s="33">
        <v>69502</v>
      </c>
      <c r="C969" s="38">
        <v>69502</v>
      </c>
    </row>
    <row r="970" spans="1:3">
      <c r="A970" s="33">
        <v>69505</v>
      </c>
      <c r="C970" s="38">
        <v>69505</v>
      </c>
    </row>
    <row r="971" spans="1:3">
      <c r="A971" s="33">
        <v>69513</v>
      </c>
      <c r="C971" s="38">
        <v>69513</v>
      </c>
    </row>
    <row r="972" spans="1:3">
      <c r="A972" s="33">
        <v>69561</v>
      </c>
      <c r="C972" s="38">
        <v>69561</v>
      </c>
    </row>
    <row r="973" spans="1:3">
      <c r="A973" s="33">
        <v>69617</v>
      </c>
      <c r="C973" s="38">
        <v>69617</v>
      </c>
    </row>
    <row r="974" spans="1:3">
      <c r="A974" s="33">
        <v>69673</v>
      </c>
      <c r="C974" s="38">
        <v>69673</v>
      </c>
    </row>
    <row r="975" spans="1:3">
      <c r="A975" s="33">
        <v>69757</v>
      </c>
      <c r="C975" s="38">
        <v>69757</v>
      </c>
    </row>
    <row r="976" spans="1:3">
      <c r="A976" s="33">
        <v>69758</v>
      </c>
      <c r="C976" s="38">
        <v>69758</v>
      </c>
    </row>
    <row r="977" spans="1:3">
      <c r="A977" s="33">
        <v>69764</v>
      </c>
      <c r="C977" s="38">
        <v>69764</v>
      </c>
    </row>
    <row r="978" spans="1:3">
      <c r="A978" s="33">
        <v>69789</v>
      </c>
      <c r="C978" s="38">
        <v>69789</v>
      </c>
    </row>
    <row r="979" spans="1:3">
      <c r="A979" s="33">
        <v>69859</v>
      </c>
      <c r="C979" s="38">
        <v>69859</v>
      </c>
    </row>
    <row r="980" spans="1:3">
      <c r="A980" s="33">
        <v>69862</v>
      </c>
      <c r="C980" s="38">
        <v>69862</v>
      </c>
    </row>
    <row r="981" spans="1:3">
      <c r="A981" s="33">
        <v>69878</v>
      </c>
      <c r="C981" s="38">
        <v>69878</v>
      </c>
    </row>
    <row r="982" spans="1:3">
      <c r="A982" s="33">
        <v>69925</v>
      </c>
      <c r="C982" s="38">
        <v>69925</v>
      </c>
    </row>
    <row r="983" spans="1:3">
      <c r="A983" s="33">
        <v>69981</v>
      </c>
      <c r="C983" s="38">
        <v>69981</v>
      </c>
    </row>
    <row r="984" spans="1:3">
      <c r="A984" s="33">
        <v>70037</v>
      </c>
      <c r="C984" s="38">
        <v>70037</v>
      </c>
    </row>
    <row r="985" spans="1:3">
      <c r="A985" s="33">
        <v>70122</v>
      </c>
      <c r="C985" s="38">
        <v>70122</v>
      </c>
    </row>
    <row r="986" spans="1:3">
      <c r="A986" s="33">
        <v>70123</v>
      </c>
      <c r="C986" s="38">
        <v>70123</v>
      </c>
    </row>
    <row r="987" spans="1:3">
      <c r="A987" s="33">
        <v>70129</v>
      </c>
      <c r="C987" s="38">
        <v>70129</v>
      </c>
    </row>
    <row r="988" spans="1:3">
      <c r="A988" s="33">
        <v>70156</v>
      </c>
      <c r="C988" s="38">
        <v>70156</v>
      </c>
    </row>
    <row r="989" spans="1:3">
      <c r="A989" s="33">
        <v>70216</v>
      </c>
      <c r="C989" s="38">
        <v>70216</v>
      </c>
    </row>
    <row r="990" spans="1:3">
      <c r="A990" s="33">
        <v>70219</v>
      </c>
      <c r="C990" s="38">
        <v>70219</v>
      </c>
    </row>
    <row r="991" spans="1:3">
      <c r="A991" s="33">
        <v>70244</v>
      </c>
      <c r="C991" s="38">
        <v>70244</v>
      </c>
    </row>
    <row r="992" spans="1:3">
      <c r="A992" s="33">
        <v>70289</v>
      </c>
      <c r="C992" s="38">
        <v>70289</v>
      </c>
    </row>
    <row r="993" spans="1:3">
      <c r="A993" s="33">
        <v>70345</v>
      </c>
      <c r="C993" s="38">
        <v>70345</v>
      </c>
    </row>
    <row r="994" spans="1:3">
      <c r="A994" s="33">
        <v>70408</v>
      </c>
      <c r="C994" s="38">
        <v>70408</v>
      </c>
    </row>
    <row r="995" spans="1:3">
      <c r="A995" s="33">
        <v>70488</v>
      </c>
      <c r="C995" s="38">
        <v>70488</v>
      </c>
    </row>
    <row r="996" spans="1:3">
      <c r="A996" s="33">
        <v>70489</v>
      </c>
      <c r="C996" s="38">
        <v>70489</v>
      </c>
    </row>
    <row r="997" spans="1:3">
      <c r="A997" s="33">
        <v>70495</v>
      </c>
      <c r="C997" s="38">
        <v>70495</v>
      </c>
    </row>
    <row r="998" spans="1:3">
      <c r="A998" s="33">
        <v>70520</v>
      </c>
      <c r="C998" s="38">
        <v>70520</v>
      </c>
    </row>
    <row r="999" spans="1:3">
      <c r="A999" s="33">
        <v>70594</v>
      </c>
      <c r="C999" s="38">
        <v>70594</v>
      </c>
    </row>
    <row r="1000" spans="1:3">
      <c r="A1000" s="33">
        <v>70597</v>
      </c>
      <c r="C1000" s="38">
        <v>70597</v>
      </c>
    </row>
    <row r="1001" spans="1:3">
      <c r="A1001" s="33">
        <v>70653</v>
      </c>
      <c r="C1001" s="38">
        <v>70653</v>
      </c>
    </row>
    <row r="1002" spans="1:3">
      <c r="A1002" s="33">
        <v>70709</v>
      </c>
      <c r="C1002" s="38">
        <v>70709</v>
      </c>
    </row>
    <row r="1003" spans="1:3">
      <c r="A1003" s="33">
        <v>70772</v>
      </c>
      <c r="C1003" s="38">
        <v>70772</v>
      </c>
    </row>
    <row r="1004" spans="1:3">
      <c r="A1004" s="33">
        <v>70853</v>
      </c>
      <c r="C1004" s="38">
        <v>70853</v>
      </c>
    </row>
    <row r="1005" spans="1:3">
      <c r="A1005" s="33">
        <v>70856</v>
      </c>
      <c r="C1005" s="38">
        <v>70856</v>
      </c>
    </row>
    <row r="1006" spans="1:3">
      <c r="A1006" s="33">
        <v>70860</v>
      </c>
      <c r="C1006" s="38">
        <v>70860</v>
      </c>
    </row>
    <row r="1007" spans="1:3">
      <c r="A1007" s="33">
        <v>70885</v>
      </c>
      <c r="C1007" s="38">
        <v>70885</v>
      </c>
    </row>
    <row r="1008" spans="1:3">
      <c r="A1008" s="33">
        <v>70951</v>
      </c>
      <c r="C1008" s="38">
        <v>70951</v>
      </c>
    </row>
    <row r="1009" spans="1:3">
      <c r="A1009" s="33">
        <v>70954</v>
      </c>
      <c r="C1009" s="38">
        <v>70954</v>
      </c>
    </row>
    <row r="1010" spans="1:3">
      <c r="A1010" s="33">
        <v>71024</v>
      </c>
      <c r="C1010" s="38">
        <v>71024</v>
      </c>
    </row>
    <row r="1011" spans="1:3">
      <c r="A1011" s="33">
        <v>71073</v>
      </c>
      <c r="C1011" s="38">
        <v>71073</v>
      </c>
    </row>
    <row r="1012" spans="1:3">
      <c r="A1012" s="33">
        <v>71136</v>
      </c>
      <c r="C1012" s="38">
        <v>71136</v>
      </c>
    </row>
    <row r="1013" spans="1:3">
      <c r="A1013" s="33">
        <v>71220</v>
      </c>
      <c r="C1013" s="38">
        <v>71220</v>
      </c>
    </row>
    <row r="1014" spans="1:3">
      <c r="A1014" s="33">
        <v>71221</v>
      </c>
      <c r="C1014" s="38">
        <v>71221</v>
      </c>
    </row>
    <row r="1015" spans="1:3">
      <c r="A1015" s="33">
        <v>71227</v>
      </c>
      <c r="C1015" s="38">
        <v>71227</v>
      </c>
    </row>
    <row r="1016" spans="1:3">
      <c r="A1016" s="33">
        <v>71250</v>
      </c>
      <c r="C1016" s="38">
        <v>71250</v>
      </c>
    </row>
    <row r="1017" spans="1:3">
      <c r="A1017" s="33">
        <v>71336</v>
      </c>
      <c r="C1017" s="38">
        <v>71336</v>
      </c>
    </row>
    <row r="1018" spans="1:3">
      <c r="A1018" s="33">
        <v>71339</v>
      </c>
      <c r="C1018" s="38">
        <v>71339</v>
      </c>
    </row>
    <row r="1019" spans="1:3">
      <c r="A1019" s="33">
        <v>71388</v>
      </c>
      <c r="C1019" s="38">
        <v>71388</v>
      </c>
    </row>
    <row r="1020" spans="1:3">
      <c r="A1020" s="33">
        <v>71437</v>
      </c>
      <c r="C1020" s="38">
        <v>71437</v>
      </c>
    </row>
    <row r="1021" spans="1:3">
      <c r="A1021" s="33">
        <v>71500</v>
      </c>
      <c r="C1021" s="38">
        <v>71500</v>
      </c>
    </row>
    <row r="1022" spans="1:3">
      <c r="A1022" s="33">
        <v>71584</v>
      </c>
      <c r="C1022" s="38">
        <v>71584</v>
      </c>
    </row>
    <row r="1023" spans="1:3">
      <c r="A1023" s="33">
        <v>71585</v>
      </c>
      <c r="C1023" s="38">
        <v>71585</v>
      </c>
    </row>
    <row r="1024" spans="1:3">
      <c r="A1024" s="33">
        <v>71591</v>
      </c>
      <c r="C1024" s="38">
        <v>71591</v>
      </c>
    </row>
    <row r="1025" spans="1:3">
      <c r="A1025" s="33">
        <v>71615</v>
      </c>
      <c r="C1025" s="38">
        <v>71615</v>
      </c>
    </row>
    <row r="1026" spans="1:3">
      <c r="A1026" s="33">
        <v>71693</v>
      </c>
      <c r="C1026" s="38">
        <v>71693</v>
      </c>
    </row>
    <row r="1027" spans="1:3">
      <c r="A1027" s="33">
        <v>71696</v>
      </c>
      <c r="C1027" s="38">
        <v>71696</v>
      </c>
    </row>
    <row r="1028" spans="1:3">
      <c r="A1028" s="33">
        <v>71705</v>
      </c>
      <c r="C1028" s="38">
        <v>71705</v>
      </c>
    </row>
    <row r="1029" spans="1:3">
      <c r="A1029" s="33">
        <v>71752</v>
      </c>
      <c r="C1029" s="38">
        <v>71752</v>
      </c>
    </row>
    <row r="1030" spans="1:3">
      <c r="A1030" s="33">
        <v>71808</v>
      </c>
      <c r="C1030" s="38">
        <v>71808</v>
      </c>
    </row>
    <row r="1031" spans="1:3">
      <c r="A1031" s="33">
        <v>71864</v>
      </c>
      <c r="C1031" s="38">
        <v>71864</v>
      </c>
    </row>
    <row r="1032" spans="1:3">
      <c r="A1032" s="33">
        <v>71949</v>
      </c>
      <c r="C1032" s="38">
        <v>71949</v>
      </c>
    </row>
    <row r="1033" spans="1:3">
      <c r="A1033" s="33">
        <v>71950</v>
      </c>
      <c r="C1033" s="38">
        <v>71950</v>
      </c>
    </row>
    <row r="1034" spans="1:3">
      <c r="A1034" s="33">
        <v>71956</v>
      </c>
      <c r="C1034" s="38">
        <v>71956</v>
      </c>
    </row>
    <row r="1035" spans="1:3">
      <c r="A1035" s="33">
        <v>71983</v>
      </c>
      <c r="C1035" s="38">
        <v>71983</v>
      </c>
    </row>
    <row r="1036" spans="1:3">
      <c r="A1036" s="33">
        <v>72043</v>
      </c>
      <c r="C1036" s="38">
        <v>72043</v>
      </c>
    </row>
    <row r="1037" spans="1:3">
      <c r="A1037" s="33">
        <v>72046</v>
      </c>
      <c r="C1037" s="38">
        <v>72046</v>
      </c>
    </row>
    <row r="1038" spans="1:3">
      <c r="A1038" s="33">
        <v>72070</v>
      </c>
      <c r="C1038" s="38">
        <v>72070</v>
      </c>
    </row>
    <row r="1039" spans="1:3">
      <c r="A1039" s="33">
        <v>72116</v>
      </c>
      <c r="C1039" s="38">
        <v>72116</v>
      </c>
    </row>
    <row r="1040" spans="1:3">
      <c r="A1040" s="33">
        <v>72172</v>
      </c>
      <c r="C1040" s="38">
        <v>72172</v>
      </c>
    </row>
    <row r="1041" spans="1:3">
      <c r="A1041" s="33">
        <v>72235</v>
      </c>
      <c r="C1041" s="38">
        <v>72235</v>
      </c>
    </row>
    <row r="1042" spans="1:3">
      <c r="A1042" s="33">
        <v>72314</v>
      </c>
      <c r="C1042" s="38">
        <v>72314</v>
      </c>
    </row>
    <row r="1043" spans="1:3">
      <c r="A1043" s="33">
        <v>72315</v>
      </c>
      <c r="C1043" s="38">
        <v>72315</v>
      </c>
    </row>
    <row r="1044" spans="1:3">
      <c r="A1044" s="33">
        <v>72321</v>
      </c>
      <c r="C1044" s="38">
        <v>72321</v>
      </c>
    </row>
    <row r="1045" spans="1:3">
      <c r="A1045" s="33">
        <v>72347</v>
      </c>
      <c r="C1045" s="38">
        <v>72347</v>
      </c>
    </row>
    <row r="1046" spans="1:3">
      <c r="A1046" s="33">
        <v>72428</v>
      </c>
      <c r="C1046" s="38">
        <v>72428</v>
      </c>
    </row>
    <row r="1047" spans="1:3">
      <c r="A1047" s="33">
        <v>72431</v>
      </c>
      <c r="C1047" s="38">
        <v>72431</v>
      </c>
    </row>
    <row r="1048" spans="1:3">
      <c r="A1048" s="33">
        <v>72435</v>
      </c>
      <c r="C1048" s="38">
        <v>72435</v>
      </c>
    </row>
    <row r="1049" spans="1:3">
      <c r="A1049" s="33">
        <v>72480</v>
      </c>
      <c r="C1049" s="38">
        <v>72480</v>
      </c>
    </row>
    <row r="1050" spans="1:3">
      <c r="A1050" s="33">
        <v>72536</v>
      </c>
      <c r="C1050" s="38">
        <v>72536</v>
      </c>
    </row>
    <row r="1051" spans="1:3">
      <c r="A1051" s="33">
        <v>72599</v>
      </c>
      <c r="C1051" s="38">
        <v>72599</v>
      </c>
    </row>
    <row r="1052" spans="1:3">
      <c r="A1052" s="33">
        <v>72679</v>
      </c>
      <c r="C1052" s="38">
        <v>72679</v>
      </c>
    </row>
    <row r="1053" spans="1:3">
      <c r="A1053" s="33">
        <v>72680</v>
      </c>
      <c r="C1053" s="38">
        <v>72680</v>
      </c>
    </row>
    <row r="1054" spans="1:3">
      <c r="A1054" s="33">
        <v>72686</v>
      </c>
      <c r="C1054" s="38">
        <v>72686</v>
      </c>
    </row>
    <row r="1055" spans="1:3">
      <c r="A1055" s="33">
        <v>72711</v>
      </c>
      <c r="C1055" s="38">
        <v>72711</v>
      </c>
    </row>
    <row r="1056" spans="1:3">
      <c r="A1056" s="33">
        <v>72785</v>
      </c>
      <c r="C1056" s="38">
        <v>72785</v>
      </c>
    </row>
    <row r="1057" spans="1:3">
      <c r="A1057" s="33">
        <v>72788</v>
      </c>
      <c r="C1057" s="38">
        <v>72788</v>
      </c>
    </row>
    <row r="1058" spans="1:3">
      <c r="A1058" s="33">
        <v>72844</v>
      </c>
      <c r="C1058" s="38">
        <v>72844</v>
      </c>
    </row>
    <row r="1059" spans="1:3">
      <c r="A1059" s="33">
        <v>72900</v>
      </c>
      <c r="C1059" s="38">
        <v>72900</v>
      </c>
    </row>
    <row r="1060" spans="1:3">
      <c r="A1060" s="33">
        <v>72963</v>
      </c>
      <c r="C1060" s="38">
        <v>72963</v>
      </c>
    </row>
    <row r="1061" spans="1:3">
      <c r="A1061" s="33">
        <v>73044</v>
      </c>
      <c r="C1061" s="38">
        <v>73044</v>
      </c>
    </row>
    <row r="1062" spans="1:3">
      <c r="A1062" s="33">
        <v>73047</v>
      </c>
      <c r="C1062" s="38">
        <v>73047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47</vt:i4>
      </vt:variant>
    </vt:vector>
  </HeadingPairs>
  <TitlesOfParts>
    <vt:vector size="53" baseType="lpstr">
      <vt:lpstr>Global Inputs</vt:lpstr>
      <vt:lpstr>Caplet Pricer</vt:lpstr>
      <vt:lpstr>Cap Pricer</vt:lpstr>
      <vt:lpstr>Methodology</vt:lpstr>
      <vt:lpstr>Data Validation</vt:lpstr>
      <vt:lpstr>Holidays</vt:lpstr>
      <vt:lpstr>'Caplet Pricer'!alpha</vt:lpstr>
      <vt:lpstr>'Caplet Pricer'!AnnuityFactor</vt:lpstr>
      <vt:lpstr>'Caplet Pricer'!beta</vt:lpstr>
      <vt:lpstr>'Cap Pricer'!BuySell</vt:lpstr>
      <vt:lpstr>CapletSABRTermStructureLognormalShift</vt:lpstr>
      <vt:lpstr>'Cap Pricer'!cp</vt:lpstr>
      <vt:lpstr>'Caplet Pricer'!cp</vt:lpstr>
      <vt:lpstr>CurveDate</vt:lpstr>
      <vt:lpstr>'Caplet Pricer'!d_</vt:lpstr>
      <vt:lpstr>'Caplet Pricer'!d1_</vt:lpstr>
      <vt:lpstr>'Caplet Pricer'!d2_</vt:lpstr>
      <vt:lpstr>DCB</vt:lpstr>
      <vt:lpstr>'Caplet Pricer'!DF</vt:lpstr>
      <vt:lpstr>Diff2GoalSeek_AlphaError</vt:lpstr>
      <vt:lpstr>Diff2GoalSeek_Black76BachelierPxDiff</vt:lpstr>
      <vt:lpstr>'Cap Pricer'!EffectiveDate</vt:lpstr>
      <vt:lpstr>'Caplet Pricer'!EffectiveDate</vt:lpstr>
      <vt:lpstr>'Caplet Pricer'!F</vt:lpstr>
      <vt:lpstr>'Caplet Pricer'!F_adj</vt:lpstr>
      <vt:lpstr>'Cap Pricer'!Frequency</vt:lpstr>
      <vt:lpstr>Holidays_NSW</vt:lpstr>
      <vt:lpstr>'Caplet Pricer'!K</vt:lpstr>
      <vt:lpstr>'Cap Pricer'!K_adj</vt:lpstr>
      <vt:lpstr>'Caplet Pricer'!K_adj</vt:lpstr>
      <vt:lpstr>'Cap Pricer'!LogNormalShift</vt:lpstr>
      <vt:lpstr>'Caplet Pricer'!LogNormalShift</vt:lpstr>
      <vt:lpstr>'Cap Pricer'!MaturityDate</vt:lpstr>
      <vt:lpstr>'Caplet Pricer'!MaturityDate</vt:lpstr>
      <vt:lpstr>'Cap Pricer'!NotionalAmount</vt:lpstr>
      <vt:lpstr>'Caplet Pricer'!NotionalAmount</vt:lpstr>
      <vt:lpstr>PaymentOffset</vt:lpstr>
      <vt:lpstr>'Caplet Pricer'!r_</vt:lpstr>
      <vt:lpstr>'Caplet Pricer'!rho</vt:lpstr>
      <vt:lpstr>RollConvention</vt:lpstr>
      <vt:lpstr>RollUserSpecifiedDates</vt:lpstr>
      <vt:lpstr>SettlementDate</vt:lpstr>
      <vt:lpstr>SettlementDelay</vt:lpstr>
      <vt:lpstr>'Caplet Pricer'!tau</vt:lpstr>
      <vt:lpstr>'Caplet Pricer'!Term</vt:lpstr>
      <vt:lpstr>'Caplet Pricer'!Vol_N_per_Caplet_Term_Structure</vt:lpstr>
      <vt:lpstr>'Caplet Pricer'!volvol</vt:lpstr>
      <vt:lpstr>'Cap Pricer'!σN</vt:lpstr>
      <vt:lpstr>'Caplet Pricer'!σN</vt:lpstr>
      <vt:lpstr>'Caplet Pricer'!σNatmf</vt:lpstr>
      <vt:lpstr>'Cap Pricer'!σSLN</vt:lpstr>
      <vt:lpstr>'Caplet Pricer'!σSLN</vt:lpstr>
      <vt:lpstr>'Caplet Pricer'!σSLNatmf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cp:lastPrinted>2024-10-19T07:52:51Z</cp:lastPrinted>
  <dcterms:created xsi:type="dcterms:W3CDTF">2024-10-10T02:30:02Z</dcterms:created>
  <dcterms:modified xsi:type="dcterms:W3CDTF">2024-10-27T03:13:41Z</dcterms:modified>
</cp:coreProperties>
</file>