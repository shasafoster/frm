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UBLIC\excel_models\"/>
    </mc:Choice>
  </mc:AlternateContent>
  <xr:revisionPtr revIDLastSave="0" documentId="13_ncr:1_{EAD0BA52-C61D-400B-A3E8-2D783AA723A8}" xr6:coauthVersionLast="47" xr6:coauthVersionMax="47" xr10:uidLastSave="{00000000-0000-0000-0000-000000000000}"/>
  <bookViews>
    <workbookView xWindow="28680" yWindow="-120" windowWidth="29040" windowHeight="15720" xr2:uid="{F7B801BB-B756-4A6A-8463-0A5FB6AC6C0A}"/>
  </bookViews>
  <sheets>
    <sheet name="Bond Curve Boostrapper" sheetId="14" r:id="rId1"/>
    <sheet name="DataValidation" sheetId="15" state="hidden" r:id="rId2"/>
  </sheets>
  <functionGroups builtInGroupCount="19"/>
  <definedNames>
    <definedName name="_xlpm.c" hidden="1" xlm="1">#NAME?</definedName>
    <definedName name="_xlpm.co" hidden="1" xlm="1">#NAME?</definedName>
    <definedName name="_xlpm.col" hidden="1" xlm="1">#NAME?</definedName>
    <definedName name="_xlpm.cols" hidden="1" xlm="1">#NAME?</definedName>
    <definedName name="_xlpm.colu" hidden="1" xlm="1">#NAME?</definedName>
    <definedName name="_xlpm.colum" hidden="1" xlm="1">#NAME?</definedName>
    <definedName name="_xlpm.column" hidden="1" xlm="1">#NAME?</definedName>
    <definedName name="_xlpm.colun" hidden="1" xlm="1">#NAME?</definedName>
    <definedName name="_xlpm.matrix" hidden="1" xlm="1">#NAME?</definedName>
    <definedName name="_xlpm.row" hidden="1" xlm="1">#NAME?</definedName>
    <definedName name="Freq">'Bond Curve Boostrapper'!$C$7</definedName>
    <definedName name="MaxTenor">'Bond Curve Boostrapper'!$C$10</definedName>
    <definedName name="NbPeriods">'Bond Curve Boostrapper'!$C$13</definedName>
    <definedName name="Par">'Bond Curve Boostrapper'!$C$6</definedName>
    <definedName name="PeriodLength">'Bond Curve Boostrapper'!$C$12</definedName>
    <definedName name="PeriodsPerYear">'Bond Curve Boostrapper'!$C$11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4" l="1"/>
  <c r="G11" i="14" s="1"/>
  <c r="C10" i="14"/>
  <c r="C11" i="14" a="1"/>
  <c r="C11" i="14" s="1"/>
  <c r="C12" i="14" s="1"/>
  <c r="C13" i="14" s="1"/>
  <c r="M10" i="14" a="1"/>
  <c r="I12" i="14" a="1"/>
  <c r="I12" i="14" l="1"/>
  <c r="M10" i="14"/>
  <c r="J12" i="14" a="1"/>
  <c r="J12" i="14" s="1"/>
  <c r="M9" i="14" a="1"/>
  <c r="M9" i="14" s="1"/>
  <c r="M8" i="14" a="1"/>
  <c r="M8" i="14" l="1"/>
  <c r="M2" i="14" a="1"/>
  <c r="M2" i="14" s="1"/>
  <c r="E12" i="14" a="1"/>
  <c r="E12" i="14" s="1"/>
  <c r="C8" i="14" l="1"/>
  <c r="M3" i="14" l="1" a="1"/>
  <c r="M3" i="14"/>
  <c r="C4" i="14"/>
  <c r="M4" i="14" a="1"/>
  <c r="M4" i="14"/>
  <c r="M5" i="14" a="1"/>
  <c r="M5" i="14"/>
  <c r="M6" i="14" a="1"/>
  <c r="M6" i="14"/>
  <c r="M11" i="14" a="1"/>
  <c r="M11" i="14"/>
  <c r="F12" i="14" a="1"/>
  <c r="F12" i="14"/>
  <c r="G12" i="14" a="1"/>
  <c r="G12" i="14"/>
  <c r="H12" i="14" a="1"/>
  <c r="H12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<sst xmlns="http://schemas.openxmlformats.org/spreadsheetml/2006/main" count="31" uniqueCount="26">
  <si>
    <t>Par Rate</t>
  </si>
  <si>
    <t>Tenor</t>
  </si>
  <si>
    <t># Periods</t>
  </si>
  <si>
    <t>Period Length</t>
  </si>
  <si>
    <t>Years</t>
  </si>
  <si>
    <t>Period #</t>
  </si>
  <si>
    <t>CCZR</t>
  </si>
  <si>
    <t>Discount Factor</t>
  </si>
  <si>
    <t># Periods per year</t>
  </si>
  <si>
    <t>#</t>
  </si>
  <si>
    <t>Max Tenor</t>
  </si>
  <si>
    <t>Valuation Date</t>
  </si>
  <si>
    <t>M</t>
  </si>
  <si>
    <t>Coupon Frequency</t>
  </si>
  <si>
    <t>Check</t>
  </si>
  <si>
    <t>Par Value</t>
  </si>
  <si>
    <t>Result check</t>
  </si>
  <si>
    <t>Coupons (discounted)</t>
  </si>
  <si>
    <t>Formula/calulation output</t>
  </si>
  <si>
    <t>Terminal (undiscounted)</t>
  </si>
  <si>
    <r>
      <t xml:space="preserve">This is a par bond bootstrapper. The bootstrapping is performed on a 30/360 bond basis where each coupon period has the exact same length. There is no consideration of weekends or holidays. 
</t>
    </r>
    <r>
      <rPr>
        <b/>
        <sz val="9"/>
        <color theme="1"/>
        <rFont val="Arial"/>
        <family val="2"/>
      </rPr>
      <t>Warning</t>
    </r>
    <r>
      <rPr>
        <sz val="9"/>
        <color theme="1"/>
        <rFont val="Arial"/>
        <family val="2"/>
      </rPr>
      <t xml:space="preserve"> - circular references are enabled to allow for an array formula implementation. See Excel Options &gt; Formulas &gt; Enable iterative calculation.</t>
    </r>
  </si>
  <si>
    <t>User input  / key input assumptions</t>
  </si>
  <si>
    <t>A</t>
  </si>
  <si>
    <t>S</t>
  </si>
  <si>
    <t>Q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</si>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</sst>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#,##0_-;\(#,##0\)_-;\-_-"/>
    <numFmt numFmtId="165" formatCode="_-* #,##0.0000_-;\-* #,##0.0000_-;_-* &quot;-&quot;??_-;_-@_-"/>
    <numFmt numFmtId="166" formatCode="_-* #,##0.000_-;\-* #,##0.000_-;_-* &quot;-&quot;??_-;_-@_-"/>
    <numFmt numFmtId="167" formatCode="0.0000%"/>
    <numFmt numFmtId="168" formatCode="0.000%"/>
    <numFmt numFmtId="169" formatCode="d\-mmm\-yyyy_-;;"/>
    <numFmt numFmtId="170" formatCode="_-* #,##0_-;\-* #,##0_-;_-* &quot;-&quot;??_-;_-@_-"/>
    <numFmt numFmtId="171" formatCode="_-* #,##0.00000_-;\-* #,##0.00000_-;_-* &quot;-&quot;??_-;_-@_-"/>
  </numFmts>
  <fonts count="7" x14ac:knownFonts="1"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rgb="FF0070C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165" fontId="0" fillId="0" borderId="0" xfId="1" applyNumberFormat="1" applyFont="1"/>
    <xf numFmtId="166" fontId="0" fillId="0" borderId="0" xfId="1" applyNumberFormat="1" applyFont="1"/>
    <xf numFmtId="167" fontId="0" fillId="0" borderId="0" xfId="2" applyNumberFormat="1" applyFont="1"/>
    <xf numFmtId="168" fontId="4" fillId="3" borderId="0" xfId="2" applyNumberFormat="1" applyFont="1" applyFill="1"/>
    <xf numFmtId="0" fontId="4" fillId="3" borderId="0" xfId="0" applyFont="1" applyFill="1"/>
    <xf numFmtId="164" fontId="0" fillId="0" borderId="0" xfId="0" applyNumberFormat="1"/>
    <xf numFmtId="43" fontId="0" fillId="0" borderId="0" xfId="1" applyFont="1" applyAlignment="1">
      <alignment horizontal="left" indent="1"/>
    </xf>
    <xf numFmtId="166" fontId="0" fillId="0" borderId="1" xfId="1" applyNumberFormat="1" applyFont="1" applyBorder="1"/>
    <xf numFmtId="0" fontId="0" fillId="0" borderId="1" xfId="0" applyBorder="1"/>
    <xf numFmtId="167" fontId="0" fillId="0" borderId="1" xfId="2" applyNumberFormat="1" applyFont="1" applyBorder="1"/>
    <xf numFmtId="165" fontId="0" fillId="0" borderId="1" xfId="1" applyNumberFormat="1" applyFont="1" applyBorder="1"/>
    <xf numFmtId="164" fontId="0" fillId="0" borderId="1" xfId="0" applyNumberFormat="1" applyBorder="1"/>
    <xf numFmtId="43" fontId="0" fillId="0" borderId="0" xfId="1" applyFont="1"/>
    <xf numFmtId="169" fontId="4" fillId="3" borderId="0" xfId="0" applyNumberFormat="1" applyFont="1" applyFill="1"/>
    <xf numFmtId="168" fontId="0" fillId="0" borderId="0" xfId="2" applyNumberFormat="1" applyFont="1"/>
    <xf numFmtId="170" fontId="5" fillId="0" borderId="0" xfId="1" applyNumberFormat="1" applyFont="1" applyFill="1" applyBorder="1" applyAlignment="1">
      <alignment horizontal="center" vertical="center"/>
    </xf>
    <xf numFmtId="170" fontId="5" fillId="0" borderId="0" xfId="1" applyNumberFormat="1" applyFont="1" applyFill="1" applyBorder="1" applyAlignment="1">
      <alignment horizontal="left" vertical="center"/>
    </xf>
    <xf numFmtId="170" fontId="6" fillId="3" borderId="0" xfId="1" applyNumberFormat="1" applyFont="1" applyFill="1" applyBorder="1" applyAlignment="1">
      <alignment horizontal="center" vertical="center"/>
    </xf>
    <xf numFmtId="171" fontId="0" fillId="0" borderId="0" xfId="1" applyNumberFormat="1" applyFont="1"/>
    <xf numFmtId="0" fontId="0" fillId="0" borderId="0" xfId="0" applyAlignment="1">
      <alignment horizontal="left"/>
    </xf>
    <xf numFmtId="0" fontId="3" fillId="2" borderId="0" xfId="0" applyFont="1" applyFill="1"/>
    <xf numFmtId="167" fontId="0" fillId="0" borderId="0" xfId="2" applyNumberFormat="1" applyFont="1" applyAlignment="1">
      <alignment horizontal="left" vertical="top" wrapText="1"/>
    </xf>
    <xf numFmtId="169" fontId="4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16"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68" formatCode="0.0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EEA8B9-5734-4B88-973C-136EF9B7A1D1}" name="RateInput" displayName="RateInput" ref="B15:C21" totalsRowShown="0" headerRowDxfId="3" dataDxfId="2">
  <autoFilter ref="B15:C21" xr:uid="{17154483-E08B-4375-B994-45F8281A5594}"/>
  <tableColumns count="2">
    <tableColumn id="1" xr3:uid="{4B57282F-815E-487B-9770-1519E262B5C9}" name="Tenor" dataDxfId="1"/>
    <tableColumn id="2" xr3:uid="{38B1F217-F20A-4678-AC08-1F3A35CCCD3B}" name="Par Rate" dataDxfId="0" dataCellStyle="Perce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4F9DC-71FE-4605-9C05-2FFF50153069}">
  <sheetPr codeName="Sheet1"/>
  <dimension ref="A1:BT71"/>
  <sheetViews>
    <sheetView tabSelected="1" workbookViewId="0">
      <selection activeCell="D15" sqref="D15"/>
    </sheetView>
  </sheetViews>
  <sheetFormatPr defaultRowHeight="12" x14ac:dyDescent="0.2"/>
  <cols>
    <col min="1" max="1" width="3.42578125" customWidth="1"/>
    <col min="2" max="2" width="16" bestFit="1" customWidth="1"/>
    <col min="3" max="3" width="11.7109375" bestFit="1" customWidth="1"/>
    <col min="4" max="4" width="9" bestFit="1" customWidth="1"/>
    <col min="5" max="5" width="8" style="3" bestFit="1" customWidth="1"/>
    <col min="6" max="6" width="14.5703125" style="1" bestFit="1" customWidth="1"/>
    <col min="7" max="7" width="8" style="3" bestFit="1" customWidth="1"/>
    <col min="8" max="8" width="8.85546875" style="3" customWidth="1"/>
    <col min="9" max="9" width="7.5703125" bestFit="1" customWidth="1"/>
    <col min="10" max="10" width="6.7109375" style="2" bestFit="1" customWidth="1"/>
    <col min="11" max="11" width="9.5703125" bestFit="1" customWidth="1"/>
    <col min="12" max="12" width="20.5703125" bestFit="1" customWidth="1"/>
    <col min="13" max="72" width="9.5703125" style="1" bestFit="1" customWidth="1"/>
    <col min="73" max="16384" width="9.140625" style="1"/>
  </cols>
  <sheetData>
    <row r="1" spans="1:72" customFormat="1" x14ac:dyDescent="0.2">
      <c r="E1" s="3"/>
      <c r="F1" s="1"/>
      <c r="G1" s="3"/>
      <c r="H1" s="3"/>
      <c r="J1" s="2"/>
    </row>
    <row r="2" spans="1:72" x14ac:dyDescent="0.2">
      <c r="B2" s="23" t="s">
        <v>21</v>
      </c>
      <c r="C2" s="23"/>
      <c r="E2" s="22" t="s">
        <v>20</v>
      </c>
      <c r="F2" s="22"/>
      <c r="G2" s="22"/>
      <c r="H2" s="22"/>
      <c r="I2" s="22"/>
      <c r="J2" s="22"/>
      <c r="L2" s="20" t="s">
        <v>19</v>
      </c>
      <c r="M2" s="1" cm="1">
        <f t="array" ref="M2:BT2">Par+Par*_xlfn.ANCHORARRAY($M8)*PeriodLength</f>
        <v>100.38025</v>
      </c>
      <c r="N2" s="1">
        <v>100.38025</v>
      </c>
      <c r="O2" s="1">
        <v>100.38025</v>
      </c>
      <c r="P2" s="1">
        <v>100.38025</v>
      </c>
      <c r="Q2" s="1">
        <v>100.38025</v>
      </c>
      <c r="R2" s="1">
        <v>100.38025</v>
      </c>
      <c r="S2" s="1">
        <v>100.37876388888888</v>
      </c>
      <c r="T2" s="1">
        <v>100.37727777777778</v>
      </c>
      <c r="U2" s="1">
        <v>100.37579166666667</v>
      </c>
      <c r="V2" s="1">
        <v>100.37430555555555</v>
      </c>
      <c r="W2" s="1">
        <v>100.37281944444445</v>
      </c>
      <c r="X2" s="1">
        <v>100.37133333333334</v>
      </c>
      <c r="Y2" s="1">
        <v>100.37003472222223</v>
      </c>
      <c r="Z2" s="1">
        <v>100.3687361111111</v>
      </c>
      <c r="AA2" s="1">
        <v>100.36743749999999</v>
      </c>
      <c r="AB2" s="1">
        <v>100.36613888888888</v>
      </c>
      <c r="AC2" s="1">
        <v>100.36484027777777</v>
      </c>
      <c r="AD2" s="1">
        <v>100.36354166666666</v>
      </c>
      <c r="AE2" s="1">
        <v>100.36224305555555</v>
      </c>
      <c r="AF2" s="1">
        <v>100.36094444444444</v>
      </c>
      <c r="AG2" s="1">
        <v>100.35964583333333</v>
      </c>
      <c r="AH2" s="1">
        <v>100.35834722222222</v>
      </c>
      <c r="AI2" s="1">
        <v>100.35704861111111</v>
      </c>
      <c r="AJ2" s="1">
        <v>100.35575</v>
      </c>
      <c r="AK2" s="1">
        <v>100.35500694444444</v>
      </c>
      <c r="AL2" s="1">
        <v>100.35426388888889</v>
      </c>
      <c r="AM2" s="1">
        <v>100.35352083333333</v>
      </c>
      <c r="AN2" s="1">
        <v>100.35277777777777</v>
      </c>
      <c r="AO2" s="1">
        <v>100.35203472222223</v>
      </c>
      <c r="AP2" s="1">
        <v>100.35129166666667</v>
      </c>
      <c r="AQ2" s="1">
        <v>100.35054861111111</v>
      </c>
      <c r="AR2" s="1">
        <v>100.34980555555556</v>
      </c>
      <c r="AS2" s="1">
        <v>100.3490625</v>
      </c>
      <c r="AT2" s="1">
        <v>100.34831944444444</v>
      </c>
      <c r="AU2" s="1">
        <v>100.34757638888888</v>
      </c>
      <c r="AV2" s="1">
        <v>100.34683333333334</v>
      </c>
      <c r="AW2" s="1">
        <v>100.34635416666667</v>
      </c>
      <c r="AX2" s="1">
        <v>100.34587500000001</v>
      </c>
      <c r="AY2" s="1">
        <v>100.34539583333333</v>
      </c>
      <c r="AZ2" s="1">
        <v>100.34491666666666</v>
      </c>
      <c r="BA2" s="1">
        <v>100.3444375</v>
      </c>
      <c r="BB2" s="1">
        <v>100.34395833333333</v>
      </c>
      <c r="BC2" s="1">
        <v>100.34347916666667</v>
      </c>
      <c r="BD2" s="1">
        <v>100.343</v>
      </c>
      <c r="BE2" s="1">
        <v>100.34252083333334</v>
      </c>
      <c r="BF2" s="1">
        <v>100.34204166666666</v>
      </c>
      <c r="BG2" s="1">
        <v>100.34156249999999</v>
      </c>
      <c r="BH2" s="1">
        <v>100.34108333333333</v>
      </c>
      <c r="BI2" s="1">
        <v>100.34078472222222</v>
      </c>
      <c r="BJ2" s="1">
        <v>100.3404861111111</v>
      </c>
      <c r="BK2" s="1">
        <v>100.3401875</v>
      </c>
      <c r="BL2" s="1">
        <v>100.33988888888889</v>
      </c>
      <c r="BM2" s="1">
        <v>100.33959027777777</v>
      </c>
      <c r="BN2" s="1">
        <v>100.33929166666667</v>
      </c>
      <c r="BO2" s="1">
        <v>100.33899305555556</v>
      </c>
      <c r="BP2" s="1">
        <v>100.33869444444444</v>
      </c>
      <c r="BQ2" s="1">
        <v>100.33839583333334</v>
      </c>
      <c r="BR2" s="1">
        <v>100.33809722222222</v>
      </c>
      <c r="BS2" s="1">
        <v>100.33779861111111</v>
      </c>
      <c r="BT2" s="1">
        <v>100.33750000000001</v>
      </c>
    </row>
    <row r="3" spans="1:72" x14ac:dyDescent="0.2">
      <c r="B3" s="24" t="s">
        <v>18</v>
      </c>
      <c r="C3" s="24"/>
      <c r="E3" s="22"/>
      <c r="F3" s="22"/>
      <c r="G3" s="22"/>
      <c r="H3" s="22"/>
      <c r="I3" s="22"/>
      <c r="J3" s="22"/>
      <c r="L3" s="20" t="s">
        <v>17</v>
      </c>
      <c r="M3" s="1" cm="1">
        <f t="array" aca="1" ref="M3:BT3" ca="1">TRANSPOSE(_xlfn.LET(
    _xlpm.matrix,_xlfn.ANCHORARRAY( M11),
    _xlfn.BYROW(TRANSPOSE(_xlpm.matrix), _xlfn.LAMBDA(_xlpm.column, SUM(_xlpm.column)))
))</f>
        <v>0</v>
      </c>
      <c r="N3" s="1">
        <f ca="1"/>
        <v>0.37880957658503539</v>
      </c>
      <c r="O3" s="1">
        <f ca="1"/>
        <v>0.75618418621694539</v>
      </c>
      <c r="P3" s="1">
        <f ca="1"/>
        <v>1.1321292646879693</v>
      </c>
      <c r="Q3" s="1">
        <f ca="1"/>
        <v>1.506650227199045</v>
      </c>
      <c r="R3" s="1">
        <f ca="1"/>
        <v>1.8797524684378102</v>
      </c>
      <c r="S3" s="1">
        <f ca="1"/>
        <v>2.2426421725838339</v>
      </c>
      <c r="T3" s="1">
        <f ca="1"/>
        <v>2.6012680960879684</v>
      </c>
      <c r="U3" s="1">
        <f ca="1"/>
        <v>2.9556622148566696</v>
      </c>
      <c r="V3" s="1">
        <f ca="1"/>
        <v>3.3058561343896939</v>
      </c>
      <c r="W3" s="1">
        <f ca="1"/>
        <v>3.6518810935020056</v>
      </c>
      <c r="X3" s="1">
        <f ca="1"/>
        <v>3.9937679679992915</v>
      </c>
      <c r="Y3" s="1">
        <f ca="1"/>
        <v>4.3337432218911935</v>
      </c>
      <c r="Z3" s="1">
        <f ca="1"/>
        <v>4.6699897789947036</v>
      </c>
      <c r="AA3" s="1">
        <f ca="1"/>
        <v>5.0025344053443659</v>
      </c>
      <c r="AB3" s="1">
        <f ca="1"/>
        <v>5.3314035773394819</v>
      </c>
      <c r="AC3" s="1">
        <f ca="1"/>
        <v>5.6566234845141787</v>
      </c>
      <c r="AD3" s="1">
        <f ca="1"/>
        <v>5.9782200322751384</v>
      </c>
      <c r="AE3" s="1">
        <f ca="1"/>
        <v>6.296218844607357</v>
      </c>
      <c r="AF3" s="1">
        <f ca="1"/>
        <v>6.6106452667482607</v>
      </c>
      <c r="AG3" s="1">
        <f ca="1"/>
        <v>6.9215243678305862</v>
      </c>
      <c r="AH3" s="1">
        <f ca="1"/>
        <v>7.2288809434943282</v>
      </c>
      <c r="AI3" s="1">
        <f ca="1"/>
        <v>7.5327395184681345</v>
      </c>
      <c r="AJ3" s="1">
        <f ca="1"/>
        <v>7.8331243491204914</v>
      </c>
      <c r="AK3" s="1">
        <f ca="1"/>
        <v>8.1428022161707982</v>
      </c>
      <c r="AL3" s="1">
        <f ca="1"/>
        <v>8.4500244495775494</v>
      </c>
      <c r="AM3" s="1">
        <f ca="1"/>
        <v>8.7548065474093395</v>
      </c>
      <c r="AN3" s="1">
        <f ca="1"/>
        <v>9.057163880851288</v>
      </c>
      <c r="AO3" s="1">
        <f ca="1"/>
        <v>9.3571116952203131</v>
      </c>
      <c r="AP3" s="1">
        <f ca="1"/>
        <v>9.65466511097123</v>
      </c>
      <c r="AQ3" s="1">
        <f ca="1"/>
        <v>9.9498391246937601</v>
      </c>
      <c r="AR3" s="1">
        <f ca="1"/>
        <v>10.242648610100586</v>
      </c>
      <c r="AS3" s="1">
        <f ca="1"/>
        <v>10.533108319006482</v>
      </c>
      <c r="AT3" s="1">
        <f ca="1"/>
        <v>10.821232882298633</v>
      </c>
      <c r="AU3" s="1">
        <f ca="1"/>
        <v>11.107036810898183</v>
      </c>
      <c r="AV3" s="1">
        <f ca="1"/>
        <v>11.390534496713196</v>
      </c>
      <c r="AW3" s="1">
        <f ca="1"/>
        <v>11.680639748629504</v>
      </c>
      <c r="AX3" s="1">
        <f ca="1"/>
        <v>11.968900281741268</v>
      </c>
      <c r="AY3" s="1">
        <f ca="1"/>
        <v>12.255326585953657</v>
      </c>
      <c r="AZ3" s="1">
        <f ca="1"/>
        <v>12.539929080023274</v>
      </c>
      <c r="BA3" s="1">
        <f ca="1"/>
        <v>12.822718112051501</v>
      </c>
      <c r="BB3" s="1">
        <f ca="1"/>
        <v>13.103703959974098</v>
      </c>
      <c r="BC3" s="1">
        <f ca="1"/>
        <v>13.382896832047209</v>
      </c>
      <c r="BD3" s="1">
        <f ca="1"/>
        <v>13.660306867329627</v>
      </c>
      <c r="BE3" s="1">
        <f ca="1"/>
        <v>13.935944136161458</v>
      </c>
      <c r="BF3" s="1">
        <f ca="1"/>
        <v>14.209818640639186</v>
      </c>
      <c r="BG3" s="1">
        <f ca="1"/>
        <v>14.481940315087165</v>
      </c>
      <c r="BH3" s="1">
        <f ca="1"/>
        <v>14.752319026525514</v>
      </c>
      <c r="BI3" s="1">
        <f ca="1"/>
        <v>15.028927245205201</v>
      </c>
      <c r="BJ3" s="1">
        <f ca="1"/>
        <v>15.304090323348618</v>
      </c>
      <c r="BK3" s="1">
        <f ca="1"/>
        <v>15.577815622152398</v>
      </c>
      <c r="BL3" s="1">
        <f ca="1"/>
        <v>15.850110460738525</v>
      </c>
      <c r="BM3" s="1">
        <f ca="1"/>
        <v>16.120982116405774</v>
      </c>
      <c r="BN3" s="1">
        <f ca="1"/>
        <v>16.390437824879527</v>
      </c>
      <c r="BO3" s="1">
        <f ca="1"/>
        <v>16.658484780560091</v>
      </c>
      <c r="BP3" s="1">
        <f ca="1"/>
        <v>16.925130136769326</v>
      </c>
      <c r="BQ3" s="1">
        <f ca="1"/>
        <v>17.190381005995786</v>
      </c>
      <c r="BR3" s="1">
        <f ca="1"/>
        <v>17.45424446013828</v>
      </c>
      <c r="BS3" s="1">
        <f ca="1"/>
        <v>17.716727530747882</v>
      </c>
      <c r="BT3" s="1">
        <f ca="1"/>
        <v>17.977837209268397</v>
      </c>
    </row>
    <row r="4" spans="1:72" s="3" customFormat="1" ht="12.75" x14ac:dyDescent="0.2">
      <c r="A4"/>
      <c r="B4" s="3" t="s">
        <v>16</v>
      </c>
      <c r="C4" s="16" t="b">
        <f ca="1">AND(_xlfn.ANCHORARRAY(M6))</f>
        <v>1</v>
      </c>
      <c r="D4"/>
      <c r="E4" s="22"/>
      <c r="F4" s="22"/>
      <c r="G4" s="22"/>
      <c r="H4" s="22"/>
      <c r="I4" s="22"/>
      <c r="J4" s="22"/>
      <c r="K4"/>
      <c r="L4" s="20" t="str">
        <f>"NA"&amp;Freq&amp;"C"</f>
        <v>NAMC</v>
      </c>
      <c r="M4" s="3" cm="1">
        <f t="array" aca="1" ref="M4:BT4" ca="1">IF(_xlfn.ANCHORARRAY(M10)=1,_xlfn.ANCHORARRAY(M8),((_xlfn.ANCHORARRAY(M2)/(Par-_xlfn.ANCHORARRAY(M3)))^(1/_xlfn.ANCHORARRAY(M10))-1)*PeriodsPerYear)</f>
        <v>4.5629999999999997E-2</v>
      </c>
      <c r="N4" s="3">
        <f ca="1"/>
        <v>4.5630000000001836E-2</v>
      </c>
      <c r="O4" s="3">
        <f ca="1"/>
        <v>4.5629999999999171E-2</v>
      </c>
      <c r="P4" s="3">
        <f ca="1"/>
        <v>4.5629999999999171E-2</v>
      </c>
      <c r="Q4" s="3">
        <f ca="1"/>
        <v>4.5629999999999171E-2</v>
      </c>
      <c r="R4" s="3">
        <f ca="1"/>
        <v>4.5629999999999171E-2</v>
      </c>
      <c r="S4" s="3">
        <f ca="1"/>
        <v>4.5449627521022329E-2</v>
      </c>
      <c r="T4" s="3">
        <f ca="1"/>
        <v>4.5269183707683069E-2</v>
      </c>
      <c r="U4" s="3">
        <f ca="1"/>
        <v>4.508862232170685E-2</v>
      </c>
      <c r="V4" s="3">
        <f ca="1"/>
        <v>4.4907916504095979E-2</v>
      </c>
      <c r="W4" s="3">
        <f ca="1"/>
        <v>4.4727049976922117E-2</v>
      </c>
      <c r="X4" s="3">
        <f ca="1"/>
        <v>4.4546012644111954E-2</v>
      </c>
      <c r="Y4" s="3">
        <f ca="1"/>
        <v>4.4387795643496375E-2</v>
      </c>
      <c r="Z4" s="3">
        <f ca="1"/>
        <v>4.4229397443987573E-2</v>
      </c>
      <c r="AA4" s="3">
        <f ca="1"/>
        <v>4.4070819889158841E-2</v>
      </c>
      <c r="AB4" s="3">
        <f ca="1"/>
        <v>4.3912064798887762E-2</v>
      </c>
      <c r="AC4" s="3">
        <f ca="1"/>
        <v>4.3753133981301318E-2</v>
      </c>
      <c r="AD4" s="3">
        <f ca="1"/>
        <v>4.3594029240716203E-2</v>
      </c>
      <c r="AE4" s="3">
        <f ca="1"/>
        <v>4.3434752382999875E-2</v>
      </c>
      <c r="AF4" s="3">
        <f ca="1"/>
        <v>4.327530521931422E-2</v>
      </c>
      <c r="AG4" s="3">
        <f ca="1"/>
        <v>4.3115689568734794E-2</v>
      </c>
      <c r="AH4" s="3">
        <f ca="1"/>
        <v>4.2955907260121329E-2</v>
      </c>
      <c r="AI4" s="3">
        <f ca="1"/>
        <v>4.2795960133455324E-2</v>
      </c>
      <c r="AJ4" s="3">
        <f ca="1"/>
        <v>4.2635850040831258E-2</v>
      </c>
      <c r="AK4" s="3">
        <f ca="1"/>
        <v>4.2545064234185581E-2</v>
      </c>
      <c r="AL4" s="3">
        <f ca="1"/>
        <v>4.2454103046728697E-2</v>
      </c>
      <c r="AM4" s="3">
        <f ca="1"/>
        <v>4.2362975306292405E-2</v>
      </c>
      <c r="AN4" s="3">
        <f ca="1"/>
        <v>4.2271688655150186E-2</v>
      </c>
      <c r="AO4" s="3">
        <f ca="1"/>
        <v>4.2180249755338295E-2</v>
      </c>
      <c r="AP4" s="3">
        <f ca="1"/>
        <v>4.2088664452924363E-2</v>
      </c>
      <c r="AQ4" s="3">
        <f ca="1"/>
        <v>4.1996937910480092E-2</v>
      </c>
      <c r="AR4" s="3">
        <f ca="1"/>
        <v>4.1905074714712498E-2</v>
      </c>
      <c r="AS4" s="3">
        <f ca="1"/>
        <v>4.1813078964516137E-2</v>
      </c>
      <c r="AT4" s="3">
        <f ca="1"/>
        <v>4.1720954343491101E-2</v>
      </c>
      <c r="AU4" s="3">
        <f ca="1"/>
        <v>4.1628704180017628E-2</v>
      </c>
      <c r="AV4" s="3">
        <f ca="1"/>
        <v>4.1536331497333379E-2</v>
      </c>
      <c r="AW4" s="3">
        <f ca="1"/>
        <v>4.1477486834612165E-2</v>
      </c>
      <c r="AX4" s="3">
        <f ca="1"/>
        <v>4.1418518114915592E-2</v>
      </c>
      <c r="AY4" s="3">
        <f ca="1"/>
        <v>4.1359430040802003E-2</v>
      </c>
      <c r="AZ4" s="3">
        <f ca="1"/>
        <v>4.1300226863294931E-2</v>
      </c>
      <c r="BA4" s="3">
        <f ca="1"/>
        <v>4.1240912437236155E-2</v>
      </c>
      <c r="BB4" s="3">
        <f ca="1"/>
        <v>4.118149026869844E-2</v>
      </c>
      <c r="BC4" s="3">
        <f ca="1"/>
        <v>4.1121963555806218E-2</v>
      </c>
      <c r="BD4" s="3">
        <f ca="1"/>
        <v>4.106233522398206E-2</v>
      </c>
      <c r="BE4" s="3">
        <f ca="1"/>
        <v>4.1002607956495574E-2</v>
      </c>
      <c r="BF4" s="3">
        <f ca="1"/>
        <v>4.0942784221020823E-2</v>
      </c>
      <c r="BG4" s="3">
        <f ca="1"/>
        <v>4.0882866292815123E-2</v>
      </c>
      <c r="BH4" s="3">
        <f ca="1"/>
        <v>4.0822856274993491E-2</v>
      </c>
      <c r="BI4" s="3">
        <f ca="1"/>
        <v>4.0786224666385706E-2</v>
      </c>
      <c r="BJ4" s="3">
        <f ca="1"/>
        <v>4.0749501396264876E-2</v>
      </c>
      <c r="BK4" s="3">
        <f ca="1"/>
        <v>4.0712689427780724E-2</v>
      </c>
      <c r="BL4" s="3">
        <f ca="1"/>
        <v>4.0675791499332092E-2</v>
      </c>
      <c r="BM4" s="3">
        <f ca="1"/>
        <v>4.063881014585391E-2</v>
      </c>
      <c r="BN4" s="3">
        <f ca="1"/>
        <v>4.060174771772207E-2</v>
      </c>
      <c r="BO4" s="3">
        <f ca="1"/>
        <v>4.0564606397627934E-2</v>
      </c>
      <c r="BP4" s="3">
        <f ca="1"/>
        <v>4.0527388215603644E-2</v>
      </c>
      <c r="BQ4" s="3">
        <f ca="1"/>
        <v>4.0490095062512665E-2</v>
      </c>
      <c r="BR4" s="3">
        <f ca="1"/>
        <v>4.0452728702098817E-2</v>
      </c>
      <c r="BS4" s="3">
        <f ca="1"/>
        <v>4.0415290781844249E-2</v>
      </c>
      <c r="BT4" s="3">
        <f ca="1"/>
        <v>4.0377782842734966E-2</v>
      </c>
    </row>
    <row r="5" spans="1:72" s="19" customFormat="1" x14ac:dyDescent="0.2">
      <c r="A5"/>
      <c r="D5"/>
      <c r="E5" s="22"/>
      <c r="F5" s="22"/>
      <c r="G5" s="22"/>
      <c r="H5" s="22"/>
      <c r="I5" s="22"/>
      <c r="J5" s="22"/>
      <c r="K5"/>
      <c r="L5" s="20" t="s">
        <v>7</v>
      </c>
      <c r="M5" s="19" cm="1">
        <f t="array" aca="1" ref="M5:BT5" ca="1">(1+_xlfn.ANCHORARRAY(M4)/PeriodsPerYear)^(-_xlfn.ANCHORARRAY(M10))</f>
        <v>0.99621190423414974</v>
      </c>
      <c r="N5" s="19">
        <f ca="1"/>
        <v>0.99243815813783021</v>
      </c>
      <c r="O5" s="19">
        <f ca="1"/>
        <v>0.98867870735312036</v>
      </c>
      <c r="P5" s="19">
        <f ca="1"/>
        <v>0.98493349772800975</v>
      </c>
      <c r="Q5" s="19">
        <f ca="1"/>
        <v>0.9812024753156221</v>
      </c>
      <c r="R5" s="19">
        <f ca="1"/>
        <v>0.97748558637343708</v>
      </c>
      <c r="S5" s="19">
        <f ca="1"/>
        <v>0.97388485412736958</v>
      </c>
      <c r="T5" s="19">
        <f ca="1"/>
        <v>0.9703264928098585</v>
      </c>
      <c r="U5" s="19">
        <f ca="1"/>
        <v>0.96681018574093391</v>
      </c>
      <c r="V5" s="19">
        <f ca="1"/>
        <v>0.96333561991212635</v>
      </c>
      <c r="W5" s="19">
        <f ca="1"/>
        <v>0.95990248594965499</v>
      </c>
      <c r="X5" s="19">
        <f ca="1"/>
        <v>0.95651047807807821</v>
      </c>
      <c r="Y5" s="19">
        <f ca="1"/>
        <v>0.95313563498178233</v>
      </c>
      <c r="Z5" s="19">
        <f ca="1"/>
        <v>0.94979785453781485</v>
      </c>
      <c r="AA5" s="19">
        <f ca="1"/>
        <v>0.94649687150432493</v>
      </c>
      <c r="AB5" s="19">
        <f ca="1"/>
        <v>0.94323242351151892</v>
      </c>
      <c r="AC5" s="19">
        <f ca="1"/>
        <v>0.94000425103426277</v>
      </c>
      <c r="AD5" s="19">
        <f ca="1"/>
        <v>0.93681209736495241</v>
      </c>
      <c r="AE5" s="19">
        <f ca="1"/>
        <v>0.93365570858677349</v>
      </c>
      <c r="AF5" s="19">
        <f ca="1"/>
        <v>0.93053483354720989</v>
      </c>
      <c r="AG5" s="19">
        <f ca="1"/>
        <v>0.92744922383190265</v>
      </c>
      <c r="AH5" s="19">
        <f ca="1"/>
        <v>0.92439863373879294</v>
      </c>
      <c r="AI5" s="19">
        <f ca="1"/>
        <v>0.92138282025259066</v>
      </c>
      <c r="AJ5" s="19">
        <f ca="1"/>
        <v>0.9184015430195025</v>
      </c>
      <c r="AK5" s="19">
        <f ca="1"/>
        <v>0.91532251933060738</v>
      </c>
      <c r="AL5" s="19">
        <f ca="1"/>
        <v>0.91226791969482646</v>
      </c>
      <c r="AM5" s="19">
        <f ca="1"/>
        <v>0.90923759021998241</v>
      </c>
      <c r="AN5" s="19">
        <f ca="1"/>
        <v>0.90623137827368794</v>
      </c>
      <c r="AO5" s="19">
        <f ca="1"/>
        <v>0.90324913247331928</v>
      </c>
      <c r="AP5" s="19">
        <f ca="1"/>
        <v>0.90029070267601041</v>
      </c>
      <c r="AQ5" s="19">
        <f ca="1"/>
        <v>0.89735593996878005</v>
      </c>
      <c r="AR5" s="19">
        <f ca="1"/>
        <v>0.89444469665871174</v>
      </c>
      <c r="AS5" s="19">
        <f ca="1"/>
        <v>0.89155682626326083</v>
      </c>
      <c r="AT5" s="19">
        <f ca="1"/>
        <v>0.8886921835006194</v>
      </c>
      <c r="AU5" s="19">
        <f ca="1"/>
        <v>0.88585062428019445</v>
      </c>
      <c r="AV5" s="19">
        <f ca="1"/>
        <v>0.88303200569312401</v>
      </c>
      <c r="AW5" s="19">
        <f ca="1"/>
        <v>0.88014518299967259</v>
      </c>
      <c r="AX5" s="19">
        <f ca="1"/>
        <v>0.87727671633995086</v>
      </c>
      <c r="AY5" s="19">
        <f ca="1"/>
        <v>0.87442650143892953</v>
      </c>
      <c r="AZ5" s="19">
        <f ca="1"/>
        <v>0.87159443472865195</v>
      </c>
      <c r="BA5" s="19">
        <f ca="1"/>
        <v>0.86878041334327849</v>
      </c>
      <c r="BB5" s="19">
        <f ca="1"/>
        <v>0.86598433511427553</v>
      </c>
      <c r="BC5" s="19">
        <f ca="1"/>
        <v>0.86320609856555863</v>
      </c>
      <c r="BD5" s="19">
        <f ca="1"/>
        <v>0.86044560290872563</v>
      </c>
      <c r="BE5" s="19">
        <f ca="1"/>
        <v>0.85770274803827817</v>
      </c>
      <c r="BF5" s="19">
        <f ca="1"/>
        <v>0.85497743452692621</v>
      </c>
      <c r="BG5" s="19">
        <f ca="1"/>
        <v>0.85226956362088435</v>
      </c>
      <c r="BH5" s="19">
        <f ca="1"/>
        <v>0.84957903723524364</v>
      </c>
      <c r="BI5" s="19">
        <f ca="1"/>
        <v>0.84682487774063131</v>
      </c>
      <c r="BJ5" s="19">
        <f ca="1"/>
        <v>0.8440851042206855</v>
      </c>
      <c r="BK5" s="19">
        <f ca="1"/>
        <v>0.8413596434414421</v>
      </c>
      <c r="BL5" s="19">
        <f ca="1"/>
        <v>0.83864842258740457</v>
      </c>
      <c r="BM5" s="19">
        <f ca="1"/>
        <v>0.8359513692589875</v>
      </c>
      <c r="BN5" s="19">
        <f ca="1"/>
        <v>0.83326841147012543</v>
      </c>
      <c r="BO5" s="19">
        <f ca="1"/>
        <v>0.83059947764569775</v>
      </c>
      <c r="BP5" s="19">
        <f ca="1"/>
        <v>0.82794449661917935</v>
      </c>
      <c r="BQ5" s="19">
        <f ca="1"/>
        <v>0.82530339763010441</v>
      </c>
      <c r="BR5" s="19">
        <f ca="1"/>
        <v>0.8226761103217276</v>
      </c>
      <c r="BS5" s="19">
        <f ca="1"/>
        <v>0.82006256473859684</v>
      </c>
      <c r="BT5" s="19">
        <f ca="1"/>
        <v>0.81746269132409333</v>
      </c>
    </row>
    <row r="6" spans="1:72" s="16" customFormat="1" ht="12.75" x14ac:dyDescent="0.2">
      <c r="B6" s="17" t="s">
        <v>15</v>
      </c>
      <c r="C6" s="18">
        <v>100</v>
      </c>
      <c r="E6" s="22"/>
      <c r="F6" s="22"/>
      <c r="G6" s="22"/>
      <c r="H6" s="22"/>
      <c r="I6" s="22"/>
      <c r="J6" s="22"/>
      <c r="L6" s="17" t="s">
        <v>14</v>
      </c>
      <c r="M6" s="16" t="b" cm="1">
        <f t="array" aca="1" ref="M6:BT6" ca="1">(ABS((_xlfn.ANCHORARRAY(M2)*_xlfn.ANCHORARRAY(M5)+_xlfn.ANCHORARRAY(M3))-Par)/Par)&lt;0.001%</f>
        <v>1</v>
      </c>
      <c r="N6" s="16" t="b">
        <f ca="1"/>
        <v>1</v>
      </c>
      <c r="O6" s="16" t="b">
        <f ca="1"/>
        <v>1</v>
      </c>
      <c r="P6" s="16" t="b">
        <f ca="1"/>
        <v>1</v>
      </c>
      <c r="Q6" s="16" t="b">
        <f ca="1"/>
        <v>1</v>
      </c>
      <c r="R6" s="16" t="b">
        <f ca="1"/>
        <v>1</v>
      </c>
      <c r="S6" s="16" t="b">
        <f ca="1"/>
        <v>1</v>
      </c>
      <c r="T6" s="16" t="b">
        <f ca="1"/>
        <v>1</v>
      </c>
      <c r="U6" s="16" t="b">
        <f ca="1"/>
        <v>1</v>
      </c>
      <c r="V6" s="16" t="b">
        <f ca="1"/>
        <v>1</v>
      </c>
      <c r="W6" s="16" t="b">
        <f ca="1"/>
        <v>1</v>
      </c>
      <c r="X6" s="16" t="b">
        <f ca="1"/>
        <v>1</v>
      </c>
      <c r="Y6" s="16" t="b">
        <f ca="1"/>
        <v>1</v>
      </c>
      <c r="Z6" s="16" t="b">
        <f ca="1"/>
        <v>1</v>
      </c>
      <c r="AA6" s="16" t="b">
        <f ca="1"/>
        <v>1</v>
      </c>
      <c r="AB6" s="16" t="b">
        <f ca="1"/>
        <v>1</v>
      </c>
      <c r="AC6" s="16" t="b">
        <f ca="1"/>
        <v>1</v>
      </c>
      <c r="AD6" s="16" t="b">
        <f ca="1"/>
        <v>1</v>
      </c>
      <c r="AE6" s="16" t="b">
        <f ca="1"/>
        <v>1</v>
      </c>
      <c r="AF6" s="16" t="b">
        <f ca="1"/>
        <v>1</v>
      </c>
      <c r="AG6" s="16" t="b">
        <f ca="1"/>
        <v>1</v>
      </c>
      <c r="AH6" s="16" t="b">
        <f ca="1"/>
        <v>1</v>
      </c>
      <c r="AI6" s="16" t="b">
        <f ca="1"/>
        <v>1</v>
      </c>
      <c r="AJ6" s="16" t="b">
        <f ca="1"/>
        <v>1</v>
      </c>
      <c r="AK6" s="16" t="b">
        <f ca="1"/>
        <v>1</v>
      </c>
      <c r="AL6" s="16" t="b">
        <f ca="1"/>
        <v>1</v>
      </c>
      <c r="AM6" s="16" t="b">
        <f ca="1"/>
        <v>1</v>
      </c>
      <c r="AN6" s="16" t="b">
        <f ca="1"/>
        <v>1</v>
      </c>
      <c r="AO6" s="16" t="b">
        <f ca="1"/>
        <v>1</v>
      </c>
      <c r="AP6" s="16" t="b">
        <f ca="1"/>
        <v>1</v>
      </c>
      <c r="AQ6" s="16" t="b">
        <f ca="1"/>
        <v>1</v>
      </c>
      <c r="AR6" s="16" t="b">
        <f ca="1"/>
        <v>1</v>
      </c>
      <c r="AS6" s="16" t="b">
        <f ca="1"/>
        <v>1</v>
      </c>
      <c r="AT6" s="16" t="b">
        <f ca="1"/>
        <v>1</v>
      </c>
      <c r="AU6" s="16" t="b">
        <f ca="1"/>
        <v>1</v>
      </c>
      <c r="AV6" s="16" t="b">
        <f ca="1"/>
        <v>1</v>
      </c>
      <c r="AW6" s="16" t="b">
        <f ca="1"/>
        <v>1</v>
      </c>
      <c r="AX6" s="16" t="b">
        <f ca="1"/>
        <v>1</v>
      </c>
      <c r="AY6" s="16" t="b">
        <f ca="1"/>
        <v>1</v>
      </c>
      <c r="AZ6" s="16" t="b">
        <f ca="1"/>
        <v>1</v>
      </c>
      <c r="BA6" s="16" t="b">
        <f ca="1"/>
        <v>1</v>
      </c>
      <c r="BB6" s="16" t="b">
        <f ca="1"/>
        <v>1</v>
      </c>
      <c r="BC6" s="16" t="b">
        <f ca="1"/>
        <v>1</v>
      </c>
      <c r="BD6" s="16" t="b">
        <f ca="1"/>
        <v>1</v>
      </c>
      <c r="BE6" s="16" t="b">
        <f ca="1"/>
        <v>1</v>
      </c>
      <c r="BF6" s="16" t="b">
        <f ca="1"/>
        <v>1</v>
      </c>
      <c r="BG6" s="16" t="b">
        <f ca="1"/>
        <v>1</v>
      </c>
      <c r="BH6" s="16" t="b">
        <f ca="1"/>
        <v>1</v>
      </c>
      <c r="BI6" s="16" t="b">
        <f ca="1"/>
        <v>1</v>
      </c>
      <c r="BJ6" s="16" t="b">
        <f ca="1"/>
        <v>1</v>
      </c>
      <c r="BK6" s="16" t="b">
        <f ca="1"/>
        <v>1</v>
      </c>
      <c r="BL6" s="16" t="b">
        <f ca="1"/>
        <v>1</v>
      </c>
      <c r="BM6" s="16" t="b">
        <f ca="1"/>
        <v>1</v>
      </c>
      <c r="BN6" s="16" t="b">
        <f ca="1"/>
        <v>1</v>
      </c>
      <c r="BO6" s="16" t="b">
        <f ca="1"/>
        <v>1</v>
      </c>
      <c r="BP6" s="16" t="b">
        <f ca="1"/>
        <v>1</v>
      </c>
      <c r="BQ6" s="16" t="b">
        <f ca="1"/>
        <v>1</v>
      </c>
      <c r="BR6" s="16" t="b">
        <f ca="1"/>
        <v>1</v>
      </c>
      <c r="BS6" s="16" t="b">
        <f ca="1"/>
        <v>1</v>
      </c>
      <c r="BT6" s="16" t="b">
        <f ca="1"/>
        <v>1</v>
      </c>
    </row>
    <row r="7" spans="1:72" customFormat="1" x14ac:dyDescent="0.2">
      <c r="B7" t="s">
        <v>13</v>
      </c>
      <c r="C7" s="5" t="s">
        <v>12</v>
      </c>
      <c r="E7" s="22"/>
      <c r="F7" s="22"/>
      <c r="G7" s="22"/>
      <c r="H7" s="22"/>
      <c r="I7" s="22"/>
      <c r="J7" s="22"/>
      <c r="K7" s="2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</row>
    <row r="8" spans="1:72" s="3" customFormat="1" x14ac:dyDescent="0.2">
      <c r="A8"/>
      <c r="B8" t="s">
        <v>11</v>
      </c>
      <c r="C8" s="14">
        <f ca="1">TODAY()</f>
        <v>45716</v>
      </c>
      <c r="D8"/>
      <c r="E8" s="22"/>
      <c r="F8" s="22"/>
      <c r="G8" s="22"/>
      <c r="H8" s="22"/>
      <c r="I8" s="22"/>
      <c r="J8" s="22"/>
      <c r="K8" s="1"/>
      <c r="L8" t="s">
        <v>0</v>
      </c>
      <c r="M8" s="3" cm="1">
        <f t="array" ref="M8:BT8">Linterp(RateInput[Tenor],RateInput[Par Rate],_xlfn.ANCHORARRAY(M9),0)</f>
        <v>4.5629999999999997E-2</v>
      </c>
      <c r="N8" s="3">
        <v>4.5629999999999997E-2</v>
      </c>
      <c r="O8" s="3">
        <v>4.5629999999999997E-2</v>
      </c>
      <c r="P8" s="3">
        <v>4.5629999999999997E-2</v>
      </c>
      <c r="Q8" s="3">
        <v>4.5629999999999997E-2</v>
      </c>
      <c r="R8" s="3">
        <v>4.5629999999999997E-2</v>
      </c>
      <c r="S8" s="3">
        <v>4.5451666666666661E-2</v>
      </c>
      <c r="T8" s="3">
        <v>4.5273333333333332E-2</v>
      </c>
      <c r="U8" s="3">
        <v>4.5094999999999996E-2</v>
      </c>
      <c r="V8" s="3">
        <v>4.4916666666666667E-2</v>
      </c>
      <c r="W8" s="3">
        <v>4.4738333333333338E-2</v>
      </c>
      <c r="X8" s="3">
        <v>4.4560000000000002E-2</v>
      </c>
      <c r="Y8" s="3">
        <v>4.4404166666666668E-2</v>
      </c>
      <c r="Z8" s="3">
        <v>4.4248333333333334E-2</v>
      </c>
      <c r="AA8" s="3">
        <v>4.40925E-2</v>
      </c>
      <c r="AB8" s="3">
        <v>4.3936666666666666E-2</v>
      </c>
      <c r="AC8" s="3">
        <v>4.3780833333333331E-2</v>
      </c>
      <c r="AD8" s="3">
        <v>4.3624999999999997E-2</v>
      </c>
      <c r="AE8" s="3">
        <v>4.346916666666667E-2</v>
      </c>
      <c r="AF8" s="3">
        <v>4.3313333333333336E-2</v>
      </c>
      <c r="AG8" s="3">
        <v>4.3157500000000001E-2</v>
      </c>
      <c r="AH8" s="3">
        <v>4.3001666666666667E-2</v>
      </c>
      <c r="AI8" s="3">
        <v>4.2845833333333333E-2</v>
      </c>
      <c r="AJ8" s="3">
        <v>4.2689999999999999E-2</v>
      </c>
      <c r="AK8" s="3">
        <v>4.2600833333333331E-2</v>
      </c>
      <c r="AL8" s="3">
        <v>4.2511666666666663E-2</v>
      </c>
      <c r="AM8" s="3">
        <v>4.2422500000000002E-2</v>
      </c>
      <c r="AN8" s="3">
        <v>4.2333333333333334E-2</v>
      </c>
      <c r="AO8" s="3">
        <v>4.2244166666666666E-2</v>
      </c>
      <c r="AP8" s="3">
        <v>4.2154999999999998E-2</v>
      </c>
      <c r="AQ8" s="3">
        <v>4.206583333333333E-2</v>
      </c>
      <c r="AR8" s="3">
        <v>4.1976666666666662E-2</v>
      </c>
      <c r="AS8" s="3">
        <v>4.1887499999999994E-2</v>
      </c>
      <c r="AT8" s="3">
        <v>4.1798333333333333E-2</v>
      </c>
      <c r="AU8" s="3">
        <v>4.1709166666666665E-2</v>
      </c>
      <c r="AV8" s="3">
        <v>4.1619999999999997E-2</v>
      </c>
      <c r="AW8" s="3">
        <v>4.1562499999999995E-2</v>
      </c>
      <c r="AX8" s="3">
        <v>4.1505E-2</v>
      </c>
      <c r="AY8" s="3">
        <v>4.1447499999999998E-2</v>
      </c>
      <c r="AZ8" s="3">
        <v>4.1389999999999996E-2</v>
      </c>
      <c r="BA8" s="3">
        <v>4.1332500000000001E-2</v>
      </c>
      <c r="BB8" s="3">
        <v>4.1274999999999999E-2</v>
      </c>
      <c r="BC8" s="3">
        <v>4.1217499999999997E-2</v>
      </c>
      <c r="BD8" s="3">
        <v>4.1160000000000002E-2</v>
      </c>
      <c r="BE8" s="3">
        <v>4.11025E-2</v>
      </c>
      <c r="BF8" s="3">
        <v>4.1044999999999998E-2</v>
      </c>
      <c r="BG8" s="3">
        <v>4.0987500000000003E-2</v>
      </c>
      <c r="BH8" s="3">
        <v>4.0930000000000001E-2</v>
      </c>
      <c r="BI8" s="3">
        <v>4.0894166666666669E-2</v>
      </c>
      <c r="BJ8" s="3">
        <v>4.0858333333333337E-2</v>
      </c>
      <c r="BK8" s="3">
        <v>4.0822499999999998E-2</v>
      </c>
      <c r="BL8" s="3">
        <v>4.0786666666666666E-2</v>
      </c>
      <c r="BM8" s="3">
        <v>4.0750833333333333E-2</v>
      </c>
      <c r="BN8" s="3">
        <v>4.0715000000000001E-2</v>
      </c>
      <c r="BO8" s="3">
        <v>4.0679166666666669E-2</v>
      </c>
      <c r="BP8" s="3">
        <v>4.0643333333333337E-2</v>
      </c>
      <c r="BQ8" s="3">
        <v>4.0607500000000005E-2</v>
      </c>
      <c r="BR8" s="3">
        <v>4.0571666666666666E-2</v>
      </c>
      <c r="BS8" s="3">
        <v>4.0535833333333333E-2</v>
      </c>
      <c r="BT8" s="3">
        <v>4.0500000000000001E-2</v>
      </c>
    </row>
    <row r="9" spans="1:72" s="13" customFormat="1" x14ac:dyDescent="0.2">
      <c r="A9"/>
      <c r="B9" s="3"/>
      <c r="C9" s="3"/>
      <c r="D9"/>
      <c r="E9" s="3"/>
      <c r="F9" s="1"/>
      <c r="G9" s="3"/>
      <c r="H9" s="3"/>
      <c r="I9"/>
      <c r="J9" s="2"/>
      <c r="K9" s="1"/>
      <c r="L9" t="s">
        <v>1</v>
      </c>
      <c r="M9" s="13" cm="1">
        <f t="array" ref="M9:BT9">_xlfn.ANCHORARRAY(M10)/PeriodsPerYear</f>
        <v>8.3333333333333329E-2</v>
      </c>
      <c r="N9" s="13">
        <v>0.16666666666666666</v>
      </c>
      <c r="O9" s="13">
        <v>0.25</v>
      </c>
      <c r="P9" s="13">
        <v>0.33333333333333331</v>
      </c>
      <c r="Q9" s="13">
        <v>0.41666666666666669</v>
      </c>
      <c r="R9" s="13">
        <v>0.5</v>
      </c>
      <c r="S9" s="13">
        <v>0.58333333333333337</v>
      </c>
      <c r="T9" s="13">
        <v>0.66666666666666663</v>
      </c>
      <c r="U9" s="13">
        <v>0.75</v>
      </c>
      <c r="V9" s="13">
        <v>0.83333333333333337</v>
      </c>
      <c r="W9" s="13">
        <v>0.91666666666666663</v>
      </c>
      <c r="X9" s="13">
        <v>1</v>
      </c>
      <c r="Y9" s="13">
        <v>1.0833333333333333</v>
      </c>
      <c r="Z9" s="13">
        <v>1.1666666666666667</v>
      </c>
      <c r="AA9" s="13">
        <v>1.25</v>
      </c>
      <c r="AB9" s="13">
        <v>1.3333333333333333</v>
      </c>
      <c r="AC9" s="13">
        <v>1.4166666666666667</v>
      </c>
      <c r="AD9" s="13">
        <v>1.5</v>
      </c>
      <c r="AE9" s="13">
        <v>1.5833333333333333</v>
      </c>
      <c r="AF9" s="13">
        <v>1.6666666666666667</v>
      </c>
      <c r="AG9" s="13">
        <v>1.75</v>
      </c>
      <c r="AH9" s="13">
        <v>1.8333333333333333</v>
      </c>
      <c r="AI9" s="13">
        <v>1.9166666666666667</v>
      </c>
      <c r="AJ9" s="13">
        <v>2</v>
      </c>
      <c r="AK9" s="13">
        <v>2.0833333333333335</v>
      </c>
      <c r="AL9" s="13">
        <v>2.1666666666666665</v>
      </c>
      <c r="AM9" s="13">
        <v>2.25</v>
      </c>
      <c r="AN9" s="13">
        <v>2.3333333333333335</v>
      </c>
      <c r="AO9" s="13">
        <v>2.4166666666666665</v>
      </c>
      <c r="AP9" s="13">
        <v>2.5</v>
      </c>
      <c r="AQ9" s="13">
        <v>2.5833333333333335</v>
      </c>
      <c r="AR9" s="13">
        <v>2.6666666666666665</v>
      </c>
      <c r="AS9" s="13">
        <v>2.75</v>
      </c>
      <c r="AT9" s="13">
        <v>2.8333333333333335</v>
      </c>
      <c r="AU9" s="13">
        <v>2.9166666666666665</v>
      </c>
      <c r="AV9" s="13">
        <v>3</v>
      </c>
      <c r="AW9" s="13">
        <v>3.0833333333333335</v>
      </c>
      <c r="AX9" s="13">
        <v>3.1666666666666665</v>
      </c>
      <c r="AY9" s="13">
        <v>3.25</v>
      </c>
      <c r="AZ9" s="13">
        <v>3.3333333333333335</v>
      </c>
      <c r="BA9" s="13">
        <v>3.4166666666666665</v>
      </c>
      <c r="BB9" s="13">
        <v>3.5</v>
      </c>
      <c r="BC9" s="13">
        <v>3.5833333333333335</v>
      </c>
      <c r="BD9" s="13">
        <v>3.6666666666666665</v>
      </c>
      <c r="BE9" s="13">
        <v>3.75</v>
      </c>
      <c r="BF9" s="13">
        <v>3.8333333333333335</v>
      </c>
      <c r="BG9" s="13">
        <v>3.9166666666666665</v>
      </c>
      <c r="BH9" s="13">
        <v>4</v>
      </c>
      <c r="BI9" s="13">
        <v>4.083333333333333</v>
      </c>
      <c r="BJ9" s="13">
        <v>4.166666666666667</v>
      </c>
      <c r="BK9" s="13">
        <v>4.25</v>
      </c>
      <c r="BL9" s="13">
        <v>4.333333333333333</v>
      </c>
      <c r="BM9" s="13">
        <v>4.416666666666667</v>
      </c>
      <c r="BN9" s="13">
        <v>4.5</v>
      </c>
      <c r="BO9" s="13">
        <v>4.583333333333333</v>
      </c>
      <c r="BP9" s="13">
        <v>4.666666666666667</v>
      </c>
      <c r="BQ9" s="13">
        <v>4.75</v>
      </c>
      <c r="BR9" s="13">
        <v>4.833333333333333</v>
      </c>
      <c r="BS9" s="13">
        <v>4.916666666666667</v>
      </c>
      <c r="BT9" s="13">
        <v>5</v>
      </c>
    </row>
    <row r="10" spans="1:72" s="12" customFormat="1" x14ac:dyDescent="0.2">
      <c r="A10"/>
      <c r="B10" t="s">
        <v>10</v>
      </c>
      <c r="C10">
        <f>MAX(RateInput[Tenor])</f>
        <v>5</v>
      </c>
      <c r="D10"/>
      <c r="K10" s="1"/>
      <c r="L10" s="9" t="s">
        <v>9</v>
      </c>
      <c r="M10" s="12" cm="1">
        <f t="array" ref="M10:BT10">CreateArray(NbPeriods)</f>
        <v>1</v>
      </c>
      <c r="N10" s="12">
        <v>2</v>
      </c>
      <c r="O10" s="12">
        <v>3</v>
      </c>
      <c r="P10" s="12">
        <v>4</v>
      </c>
      <c r="Q10" s="12">
        <v>5</v>
      </c>
      <c r="R10" s="12">
        <v>6</v>
      </c>
      <c r="S10" s="12">
        <v>7</v>
      </c>
      <c r="T10" s="12">
        <v>8</v>
      </c>
      <c r="U10" s="12">
        <v>9</v>
      </c>
      <c r="V10" s="12">
        <v>10</v>
      </c>
      <c r="W10" s="12">
        <v>11</v>
      </c>
      <c r="X10" s="12">
        <v>12</v>
      </c>
      <c r="Y10" s="12">
        <v>13</v>
      </c>
      <c r="Z10" s="12">
        <v>14</v>
      </c>
      <c r="AA10" s="12">
        <v>15</v>
      </c>
      <c r="AB10" s="12">
        <v>16</v>
      </c>
      <c r="AC10" s="12">
        <v>17</v>
      </c>
      <c r="AD10" s="12">
        <v>18</v>
      </c>
      <c r="AE10" s="12">
        <v>19</v>
      </c>
      <c r="AF10" s="12">
        <v>20</v>
      </c>
      <c r="AG10" s="12">
        <v>21</v>
      </c>
      <c r="AH10" s="12">
        <v>22</v>
      </c>
      <c r="AI10" s="12">
        <v>23</v>
      </c>
      <c r="AJ10" s="12">
        <v>24</v>
      </c>
      <c r="AK10" s="12">
        <v>25</v>
      </c>
      <c r="AL10" s="12">
        <v>26</v>
      </c>
      <c r="AM10" s="12">
        <v>27</v>
      </c>
      <c r="AN10" s="12">
        <v>28</v>
      </c>
      <c r="AO10" s="12">
        <v>29</v>
      </c>
      <c r="AP10" s="12">
        <v>30</v>
      </c>
      <c r="AQ10" s="12">
        <v>31</v>
      </c>
      <c r="AR10" s="12">
        <v>32</v>
      </c>
      <c r="AS10" s="12">
        <v>33</v>
      </c>
      <c r="AT10" s="12">
        <v>34</v>
      </c>
      <c r="AU10" s="12">
        <v>35</v>
      </c>
      <c r="AV10" s="12">
        <v>36</v>
      </c>
      <c r="AW10" s="12">
        <v>37</v>
      </c>
      <c r="AX10" s="12">
        <v>38</v>
      </c>
      <c r="AY10" s="12">
        <v>39</v>
      </c>
      <c r="AZ10" s="12">
        <v>40</v>
      </c>
      <c r="BA10" s="12">
        <v>41</v>
      </c>
      <c r="BB10" s="12">
        <v>42</v>
      </c>
      <c r="BC10" s="12">
        <v>43</v>
      </c>
      <c r="BD10" s="12">
        <v>44</v>
      </c>
      <c r="BE10" s="12">
        <v>45</v>
      </c>
      <c r="BF10" s="12">
        <v>46</v>
      </c>
      <c r="BG10" s="12">
        <v>47</v>
      </c>
      <c r="BH10" s="12">
        <v>48</v>
      </c>
      <c r="BI10" s="12">
        <v>49</v>
      </c>
      <c r="BJ10" s="12">
        <v>50</v>
      </c>
      <c r="BK10" s="12">
        <v>51</v>
      </c>
      <c r="BL10" s="12">
        <v>52</v>
      </c>
      <c r="BM10" s="12">
        <v>53</v>
      </c>
      <c r="BN10" s="12">
        <v>54</v>
      </c>
      <c r="BO10" s="12">
        <v>55</v>
      </c>
      <c r="BP10" s="12">
        <v>56</v>
      </c>
      <c r="BQ10" s="12">
        <v>57</v>
      </c>
      <c r="BR10" s="12">
        <v>58</v>
      </c>
      <c r="BS10" s="12">
        <v>59</v>
      </c>
      <c r="BT10" s="12">
        <v>60</v>
      </c>
    </row>
    <row r="11" spans="1:72" x14ac:dyDescent="0.2">
      <c r="B11" t="s">
        <v>8</v>
      </c>
      <c r="C11" cm="1">
        <f t="array" ref="C11">_xlfn.IFS(Freq="M",12,Freq="Q",4,Freq="S",2,Freq="A",1)</f>
        <v>12</v>
      </c>
      <c r="E11" s="10" t="s">
        <v>0</v>
      </c>
      <c r="F11" s="11" t="s">
        <v>7</v>
      </c>
      <c r="G11" s="10" t="str">
        <f>L4</f>
        <v>NAMC</v>
      </c>
      <c r="H11" s="10" t="s">
        <v>6</v>
      </c>
      <c r="I11" s="9" t="s">
        <v>5</v>
      </c>
      <c r="J11" s="8" t="s">
        <v>4</v>
      </c>
      <c r="K11" s="1"/>
      <c r="M11" s="1" cm="1">
        <f t="array" aca="1" ref="M11:BT70" ca="1">IF(_xlfn.ANCHORARRAY($J12)&gt;_xlfn.ANCHORARRAY(M$9),0,IF(_xlfn.ANCHORARRAY(M$9)=_xlfn.ANCHORARRAY($J12),0,Par*_xlfn.ANCHORARRAY($M8)*PeriodLength*_xlfn.ANCHORARRAY(F12)))</f>
        <v>0</v>
      </c>
      <c r="N11" s="1">
        <f ca="1"/>
        <v>0.37880957658503539</v>
      </c>
      <c r="O11" s="1">
        <f ca="1"/>
        <v>0.37880957658503539</v>
      </c>
      <c r="P11" s="1">
        <f ca="1"/>
        <v>0.37880957658503539</v>
      </c>
      <c r="Q11" s="1">
        <f ca="1"/>
        <v>0.37880957658503539</v>
      </c>
      <c r="R11" s="1">
        <f ca="1"/>
        <v>0.37880957658503539</v>
      </c>
      <c r="S11" s="1">
        <f ca="1"/>
        <v>0.37732909500513179</v>
      </c>
      <c r="T11" s="1">
        <f ca="1"/>
        <v>0.3758486134252283</v>
      </c>
      <c r="U11" s="1">
        <f ca="1"/>
        <v>0.37436813184532475</v>
      </c>
      <c r="V11" s="1">
        <f ca="1"/>
        <v>0.37288765026542131</v>
      </c>
      <c r="W11" s="1">
        <f ca="1"/>
        <v>0.37140716868551782</v>
      </c>
      <c r="X11" s="1">
        <f ca="1"/>
        <v>0.36992668710561427</v>
      </c>
      <c r="Y11" s="1">
        <f ca="1"/>
        <v>0.36863299525775467</v>
      </c>
      <c r="Z11" s="1">
        <f ca="1"/>
        <v>0.36733930340989507</v>
      </c>
      <c r="AA11" s="1">
        <f ca="1"/>
        <v>0.36604561156203536</v>
      </c>
      <c r="AB11" s="1">
        <f ca="1"/>
        <v>0.36475191971417575</v>
      </c>
      <c r="AC11" s="1">
        <f ca="1"/>
        <v>0.36345822786631615</v>
      </c>
      <c r="AD11" s="1">
        <f ca="1"/>
        <v>0.3621645360184565</v>
      </c>
      <c r="AE11" s="1">
        <f ca="1"/>
        <v>0.36087084417059689</v>
      </c>
      <c r="AF11" s="1">
        <f ca="1"/>
        <v>0.35957715232273724</v>
      </c>
      <c r="AG11" s="1">
        <f ca="1"/>
        <v>0.35828346047487764</v>
      </c>
      <c r="AH11" s="1">
        <f ca="1"/>
        <v>0.35698976862701798</v>
      </c>
      <c r="AI11" s="1">
        <f ca="1"/>
        <v>0.35569607677915838</v>
      </c>
      <c r="AJ11" s="1">
        <f ca="1"/>
        <v>0.35440238493129878</v>
      </c>
      <c r="AK11" s="1">
        <f ca="1"/>
        <v>0.353662144141347</v>
      </c>
      <c r="AL11" s="1">
        <f ca="1"/>
        <v>0.35292190335139517</v>
      </c>
      <c r="AM11" s="1">
        <f ca="1"/>
        <v>0.35218166256144351</v>
      </c>
      <c r="AN11" s="1">
        <f ca="1"/>
        <v>0.35144142177149168</v>
      </c>
      <c r="AO11" s="1">
        <f ca="1"/>
        <v>0.35070118098153991</v>
      </c>
      <c r="AP11" s="1">
        <f ca="1"/>
        <v>0.34996094019158813</v>
      </c>
      <c r="AQ11" s="1">
        <f ca="1"/>
        <v>0.3492206994016363</v>
      </c>
      <c r="AR11" s="1">
        <f ca="1"/>
        <v>0.34848045861168464</v>
      </c>
      <c r="AS11" s="1">
        <f ca="1"/>
        <v>0.34774021782173281</v>
      </c>
      <c r="AT11" s="1">
        <f ca="1"/>
        <v>0.34699997703178115</v>
      </c>
      <c r="AU11" s="1">
        <f ca="1"/>
        <v>0.34625973624182932</v>
      </c>
      <c r="AV11" s="1">
        <f ca="1"/>
        <v>0.3455194954518776</v>
      </c>
      <c r="AW11" s="1">
        <f ca="1"/>
        <v>0.345042143914432</v>
      </c>
      <c r="AX11" s="1">
        <f ca="1"/>
        <v>0.34456479237698651</v>
      </c>
      <c r="AY11" s="1">
        <f ca="1"/>
        <v>0.34408744083954101</v>
      </c>
      <c r="AZ11" s="1">
        <f ca="1"/>
        <v>0.34361008930209541</v>
      </c>
      <c r="BA11" s="1">
        <f ca="1"/>
        <v>0.34313273776464998</v>
      </c>
      <c r="BB11" s="1">
        <f ca="1"/>
        <v>0.34265538622720432</v>
      </c>
      <c r="BC11" s="1">
        <f ca="1"/>
        <v>0.34217803468975883</v>
      </c>
      <c r="BD11" s="1">
        <f ca="1"/>
        <v>0.34170068315231339</v>
      </c>
      <c r="BE11" s="1">
        <f ca="1"/>
        <v>0.34122333161486779</v>
      </c>
      <c r="BF11" s="1">
        <f ca="1"/>
        <v>0.34074598007742224</v>
      </c>
      <c r="BG11" s="1">
        <f ca="1"/>
        <v>0.34026862853997675</v>
      </c>
      <c r="BH11" s="1">
        <f ca="1"/>
        <v>0.3397912770025312</v>
      </c>
      <c r="BI11" s="1">
        <f ca="1"/>
        <v>0.33949379705890576</v>
      </c>
      <c r="BJ11" s="1">
        <f ca="1"/>
        <v>0.33919631711528025</v>
      </c>
      <c r="BK11" s="1">
        <f ca="1"/>
        <v>0.33889883717165481</v>
      </c>
      <c r="BL11" s="1">
        <f ca="1"/>
        <v>0.33860135722802936</v>
      </c>
      <c r="BM11" s="1">
        <f ca="1"/>
        <v>0.33830387728440386</v>
      </c>
      <c r="BN11" s="1">
        <f ca="1"/>
        <v>0.33800639734077836</v>
      </c>
      <c r="BO11" s="1">
        <f ca="1"/>
        <v>0.33770891739715292</v>
      </c>
      <c r="BP11" s="1">
        <f ca="1"/>
        <v>0.33741143745352747</v>
      </c>
      <c r="BQ11" s="1">
        <f ca="1"/>
        <v>0.33711395750990197</v>
      </c>
      <c r="BR11" s="1">
        <f ca="1"/>
        <v>0.33681647756627642</v>
      </c>
      <c r="BS11" s="1">
        <f ca="1"/>
        <v>0.33651899762265097</v>
      </c>
      <c r="BT11" s="1">
        <f ca="1"/>
        <v>0.33622151767902553</v>
      </c>
    </row>
    <row r="12" spans="1:72" x14ac:dyDescent="0.2">
      <c r="B12" t="s">
        <v>3</v>
      </c>
      <c r="C12" s="7">
        <f>1/C11</f>
        <v>8.3333333333333329E-2</v>
      </c>
      <c r="E12" s="3" cm="1">
        <f t="array" ref="E12:E71">TRANSPOSE(_xlfn.ANCHORARRAY(M8))</f>
        <v>4.5629999999999997E-2</v>
      </c>
      <c r="F12" s="1" cm="1">
        <f t="array" aca="1" ref="F12:F71" ca="1">TRANSPOSE(_xlfn.ANCHORARRAY(M5))</f>
        <v>0.99621190423414974</v>
      </c>
      <c r="G12" s="3" cm="1">
        <f t="array" aca="1" ref="G12:G71" ca="1">TRANSPOSE(_xlfn.ANCHORARRAY(M4))</f>
        <v>4.5629999999999997E-2</v>
      </c>
      <c r="H12" s="3" cm="1">
        <f t="array" aca="1" ref="H12:H71" ca="1">LN(_xlfn.ANCHORARRAY(F12))/-_xlfn.ANCHORARRAY(J12)</f>
        <v>4.554346525869727E-2</v>
      </c>
      <c r="I12" cm="1">
        <f t="array" ref="I12:I71">TRANSPOSE(CreateArray(NbPeriods))</f>
        <v>1</v>
      </c>
      <c r="J12" s="2" cm="1">
        <f t="array" ref="J12:J71">_xlfn.ANCHORARRAY(I12)/PeriodsPerYear</f>
        <v>8.3333333333333329E-2</v>
      </c>
      <c r="K12" s="1"/>
      <c r="M12" s="1">
        <f ca="1"/>
        <v>0</v>
      </c>
      <c r="N12" s="1">
        <f ca="1"/>
        <v>0</v>
      </c>
      <c r="O12" s="1">
        <f ca="1"/>
        <v>0.37737460963190994</v>
      </c>
      <c r="P12" s="1">
        <f ca="1"/>
        <v>0.37737460963190994</v>
      </c>
      <c r="Q12" s="1">
        <f ca="1"/>
        <v>0.37737460963190994</v>
      </c>
      <c r="R12" s="1">
        <f ca="1"/>
        <v>0.37737460963190994</v>
      </c>
      <c r="S12" s="1">
        <f ca="1"/>
        <v>0.37589973625801054</v>
      </c>
      <c r="T12" s="1">
        <f ca="1"/>
        <v>0.37442486288411131</v>
      </c>
      <c r="U12" s="1">
        <f ca="1"/>
        <v>0.37294998951021202</v>
      </c>
      <c r="V12" s="1">
        <f ca="1"/>
        <v>0.37147511613631284</v>
      </c>
      <c r="W12" s="1">
        <f ca="1"/>
        <v>0.37000024276241361</v>
      </c>
      <c r="X12" s="1">
        <f ca="1"/>
        <v>0.36852536938851432</v>
      </c>
      <c r="Y12" s="1">
        <f ca="1"/>
        <v>0.36723657816926586</v>
      </c>
      <c r="Z12" s="1">
        <f ca="1"/>
        <v>0.36594778695001745</v>
      </c>
      <c r="AA12" s="1">
        <f ca="1"/>
        <v>0.36465899573076899</v>
      </c>
      <c r="AB12" s="1">
        <f ca="1"/>
        <v>0.36337020451152052</v>
      </c>
      <c r="AC12" s="1">
        <f ca="1"/>
        <v>0.36208141329227211</v>
      </c>
      <c r="AD12" s="1">
        <f ca="1"/>
        <v>0.36079262207302365</v>
      </c>
      <c r="AE12" s="1">
        <f ca="1"/>
        <v>0.3595038308537753</v>
      </c>
      <c r="AF12" s="1">
        <f ca="1"/>
        <v>0.35821503963452678</v>
      </c>
      <c r="AG12" s="1">
        <f ca="1"/>
        <v>0.35692624841527837</v>
      </c>
      <c r="AH12" s="1">
        <f ca="1"/>
        <v>0.35563745719602996</v>
      </c>
      <c r="AI12" s="1">
        <f ca="1"/>
        <v>0.3543486659767815</v>
      </c>
      <c r="AJ12" s="1">
        <f ca="1"/>
        <v>0.35305987475753309</v>
      </c>
      <c r="AK12" s="1">
        <f ca="1"/>
        <v>0.35232243807058344</v>
      </c>
      <c r="AL12" s="1">
        <f ca="1"/>
        <v>0.35158500138363374</v>
      </c>
      <c r="AM12" s="1">
        <f ca="1"/>
        <v>0.35084756469668421</v>
      </c>
      <c r="AN12" s="1">
        <f ca="1"/>
        <v>0.35011012800973451</v>
      </c>
      <c r="AO12" s="1">
        <f ca="1"/>
        <v>0.34937269132278487</v>
      </c>
      <c r="AP12" s="1">
        <f ca="1"/>
        <v>0.34863525463583522</v>
      </c>
      <c r="AQ12" s="1">
        <f ca="1"/>
        <v>0.34789781794888552</v>
      </c>
      <c r="AR12" s="1">
        <f ca="1"/>
        <v>0.34716038126193599</v>
      </c>
      <c r="AS12" s="1">
        <f ca="1"/>
        <v>0.34642294457498629</v>
      </c>
      <c r="AT12" s="1">
        <f ca="1"/>
        <v>0.34568550788803676</v>
      </c>
      <c r="AU12" s="1">
        <f ca="1"/>
        <v>0.34494807120108706</v>
      </c>
      <c r="AV12" s="1">
        <f ca="1"/>
        <v>0.34421063451413741</v>
      </c>
      <c r="AW12" s="1">
        <f ca="1"/>
        <v>0.34373509123002965</v>
      </c>
      <c r="AX12" s="1">
        <f ca="1"/>
        <v>0.34325954794592201</v>
      </c>
      <c r="AY12" s="1">
        <f ca="1"/>
        <v>0.3427840046618143</v>
      </c>
      <c r="AZ12" s="1">
        <f ca="1"/>
        <v>0.34230846137770654</v>
      </c>
      <c r="BA12" s="1">
        <f ca="1"/>
        <v>0.34183291809359889</v>
      </c>
      <c r="BB12" s="1">
        <f ca="1"/>
        <v>0.34135737480949108</v>
      </c>
      <c r="BC12" s="1">
        <f ca="1"/>
        <v>0.34088183152538343</v>
      </c>
      <c r="BD12" s="1">
        <f ca="1"/>
        <v>0.34040628824127578</v>
      </c>
      <c r="BE12" s="1">
        <f ca="1"/>
        <v>0.33993074495716802</v>
      </c>
      <c r="BF12" s="1">
        <f ca="1"/>
        <v>0.33945520167306031</v>
      </c>
      <c r="BG12" s="1">
        <f ca="1"/>
        <v>0.33897965838895261</v>
      </c>
      <c r="BH12" s="1">
        <f ca="1"/>
        <v>0.3385041151048449</v>
      </c>
      <c r="BI12" s="1">
        <f ca="1"/>
        <v>0.33820776204373432</v>
      </c>
      <c r="BJ12" s="1">
        <f ca="1"/>
        <v>0.33791140898262373</v>
      </c>
      <c r="BK12" s="1">
        <f ca="1"/>
        <v>0.33761505592151309</v>
      </c>
      <c r="BL12" s="1">
        <f ca="1"/>
        <v>0.33731870286040255</v>
      </c>
      <c r="BM12" s="1">
        <f ca="1"/>
        <v>0.33702234979929191</v>
      </c>
      <c r="BN12" s="1">
        <f ca="1"/>
        <v>0.33672599673818132</v>
      </c>
      <c r="BO12" s="1">
        <f ca="1"/>
        <v>0.33642964367707073</v>
      </c>
      <c r="BP12" s="1">
        <f ca="1"/>
        <v>0.33613329061596015</v>
      </c>
      <c r="BQ12" s="1">
        <f ca="1"/>
        <v>0.3358369375548495</v>
      </c>
      <c r="BR12" s="1">
        <f ca="1"/>
        <v>0.33554058449373886</v>
      </c>
      <c r="BS12" s="1">
        <f ca="1"/>
        <v>0.33524423143262827</v>
      </c>
      <c r="BT12" s="1">
        <f ca="1"/>
        <v>0.33494787837151768</v>
      </c>
    </row>
    <row r="13" spans="1:72" x14ac:dyDescent="0.2">
      <c r="B13" t="s">
        <v>2</v>
      </c>
      <c r="C13">
        <f>MaxTenor/PeriodLength</f>
        <v>60</v>
      </c>
      <c r="E13" s="3">
        <v>4.5629999999999997E-2</v>
      </c>
      <c r="F13" s="1">
        <f ca="1"/>
        <v>0.99243815813783021</v>
      </c>
      <c r="G13" s="3">
        <f ca="1"/>
        <v>4.5630000000001836E-2</v>
      </c>
      <c r="H13" s="3">
        <f ca="1"/>
        <v>4.5543465258700414E-2</v>
      </c>
      <c r="I13">
        <v>2</v>
      </c>
      <c r="J13" s="2">
        <v>0.16666666666666666</v>
      </c>
      <c r="K13" s="1"/>
      <c r="M13" s="1">
        <f ca="1"/>
        <v>0</v>
      </c>
      <c r="N13" s="1">
        <f ca="1"/>
        <v>0</v>
      </c>
      <c r="O13" s="1">
        <f ca="1"/>
        <v>0</v>
      </c>
      <c r="P13" s="1">
        <f ca="1"/>
        <v>0.37594507847102399</v>
      </c>
      <c r="Q13" s="1">
        <f ca="1"/>
        <v>0.37594507847102399</v>
      </c>
      <c r="R13" s="1">
        <f ca="1"/>
        <v>0.37594507847102399</v>
      </c>
      <c r="S13" s="1">
        <f ca="1"/>
        <v>0.37447579205870746</v>
      </c>
      <c r="T13" s="1">
        <f ca="1"/>
        <v>0.37300650564639104</v>
      </c>
      <c r="U13" s="1">
        <f ca="1"/>
        <v>0.37153721923407462</v>
      </c>
      <c r="V13" s="1">
        <f ca="1"/>
        <v>0.37006793282175826</v>
      </c>
      <c r="W13" s="1">
        <f ca="1"/>
        <v>0.36859864640944184</v>
      </c>
      <c r="X13" s="1">
        <f ca="1"/>
        <v>0.36712935999712537</v>
      </c>
      <c r="Y13" s="1">
        <f ca="1"/>
        <v>0.36584545084243764</v>
      </c>
      <c r="Z13" s="1">
        <f ca="1"/>
        <v>0.36456154168774996</v>
      </c>
      <c r="AA13" s="1">
        <f ca="1"/>
        <v>0.36327763253306211</v>
      </c>
      <c r="AB13" s="1">
        <f ca="1"/>
        <v>0.36199372337837438</v>
      </c>
      <c r="AC13" s="1">
        <f ca="1"/>
        <v>0.3607098142236867</v>
      </c>
      <c r="AD13" s="1">
        <f ca="1"/>
        <v>0.35942590506899896</v>
      </c>
      <c r="AE13" s="1">
        <f ca="1"/>
        <v>0.35814199591431123</v>
      </c>
      <c r="AF13" s="1">
        <f ca="1"/>
        <v>0.35685808675962344</v>
      </c>
      <c r="AG13" s="1">
        <f ca="1"/>
        <v>0.35557417760493576</v>
      </c>
      <c r="AH13" s="1">
        <f ca="1"/>
        <v>0.35429026845024802</v>
      </c>
      <c r="AI13" s="1">
        <f ca="1"/>
        <v>0.35300635929556029</v>
      </c>
      <c r="AJ13" s="1">
        <f ca="1"/>
        <v>0.35172245014087256</v>
      </c>
      <c r="AK13" s="1">
        <f ca="1"/>
        <v>0.35098780693471432</v>
      </c>
      <c r="AL13" s="1">
        <f ca="1"/>
        <v>0.35025316372855608</v>
      </c>
      <c r="AM13" s="1">
        <f ca="1"/>
        <v>0.3495185205223979</v>
      </c>
      <c r="AN13" s="1">
        <f ca="1"/>
        <v>0.34878387731623967</v>
      </c>
      <c r="AO13" s="1">
        <f ca="1"/>
        <v>0.34804923411008143</v>
      </c>
      <c r="AP13" s="1">
        <f ca="1"/>
        <v>0.34731459090392319</v>
      </c>
      <c r="AQ13" s="1">
        <f ca="1"/>
        <v>0.3465799476977649</v>
      </c>
      <c r="AR13" s="1">
        <f ca="1"/>
        <v>0.34584530449160678</v>
      </c>
      <c r="AS13" s="1">
        <f ca="1"/>
        <v>0.34511066128544854</v>
      </c>
      <c r="AT13" s="1">
        <f ca="1"/>
        <v>0.34437601807929036</v>
      </c>
      <c r="AU13" s="1">
        <f ca="1"/>
        <v>0.34364137487313212</v>
      </c>
      <c r="AV13" s="1">
        <f ca="1"/>
        <v>0.34290673166697389</v>
      </c>
      <c r="AW13" s="1">
        <f ca="1"/>
        <v>0.3424329897863671</v>
      </c>
      <c r="AX13" s="1">
        <f ca="1"/>
        <v>0.34195924790576049</v>
      </c>
      <c r="AY13" s="1">
        <f ca="1"/>
        <v>0.34148550602515382</v>
      </c>
      <c r="AZ13" s="1">
        <f ca="1"/>
        <v>0.34101176414454704</v>
      </c>
      <c r="BA13" s="1">
        <f ca="1"/>
        <v>0.34053802226394042</v>
      </c>
      <c r="BB13" s="1">
        <f ca="1"/>
        <v>0.34006428038333364</v>
      </c>
      <c r="BC13" s="1">
        <f ca="1"/>
        <v>0.33959053850272691</v>
      </c>
      <c r="BD13" s="1">
        <f ca="1"/>
        <v>0.3391167966221203</v>
      </c>
      <c r="BE13" s="1">
        <f ca="1"/>
        <v>0.33864305474151352</v>
      </c>
      <c r="BF13" s="1">
        <f ca="1"/>
        <v>0.33816931286090685</v>
      </c>
      <c r="BG13" s="1">
        <f ca="1"/>
        <v>0.33769557098030017</v>
      </c>
      <c r="BH13" s="1">
        <f ca="1"/>
        <v>0.33722182909969345</v>
      </c>
      <c r="BI13" s="1">
        <f ca="1"/>
        <v>0.33692659865235886</v>
      </c>
      <c r="BJ13" s="1">
        <f ca="1"/>
        <v>0.33663136820502421</v>
      </c>
      <c r="BK13" s="1">
        <f ca="1"/>
        <v>0.33633613775768961</v>
      </c>
      <c r="BL13" s="1">
        <f ca="1"/>
        <v>0.33604090731035502</v>
      </c>
      <c r="BM13" s="1">
        <f ca="1"/>
        <v>0.33574567686302043</v>
      </c>
      <c r="BN13" s="1">
        <f ca="1"/>
        <v>0.33545044641568578</v>
      </c>
      <c r="BO13" s="1">
        <f ca="1"/>
        <v>0.33515521596835124</v>
      </c>
      <c r="BP13" s="1">
        <f ca="1"/>
        <v>0.33485998552101659</v>
      </c>
      <c r="BQ13" s="1">
        <f ca="1"/>
        <v>0.33456475507368194</v>
      </c>
      <c r="BR13" s="1">
        <f ca="1"/>
        <v>0.33426952462634729</v>
      </c>
      <c r="BS13" s="1">
        <f ca="1"/>
        <v>0.3339742941790127</v>
      </c>
      <c r="BT13" s="1">
        <f ca="1"/>
        <v>0.3336790637316781</v>
      </c>
    </row>
    <row r="14" spans="1:72" x14ac:dyDescent="0.2">
      <c r="E14" s="3">
        <v>4.5629999999999997E-2</v>
      </c>
      <c r="F14" s="1">
        <f ca="1"/>
        <v>0.98867870735312036</v>
      </c>
      <c r="G14" s="3">
        <f ca="1"/>
        <v>4.5629999999999171E-2</v>
      </c>
      <c r="H14" s="3">
        <f ca="1"/>
        <v>4.5543465258698151E-2</v>
      </c>
      <c r="I14">
        <v>3</v>
      </c>
      <c r="J14" s="2">
        <v>0.25</v>
      </c>
      <c r="K14" s="1"/>
      <c r="M14" s="1">
        <f ca="1"/>
        <v>0</v>
      </c>
      <c r="N14" s="1">
        <f ca="1"/>
        <v>0</v>
      </c>
      <c r="O14" s="1">
        <f ca="1"/>
        <v>0</v>
      </c>
      <c r="P14" s="1">
        <f ca="1"/>
        <v>0</v>
      </c>
      <c r="Q14" s="1">
        <f ca="1"/>
        <v>0.37452096251107569</v>
      </c>
      <c r="R14" s="1">
        <f ca="1"/>
        <v>0.37452096251107569</v>
      </c>
      <c r="S14" s="1">
        <f ca="1"/>
        <v>0.3730572418963965</v>
      </c>
      <c r="T14" s="1">
        <f ca="1"/>
        <v>0.37159352128171741</v>
      </c>
      <c r="U14" s="1">
        <f ca="1"/>
        <v>0.37012980066703827</v>
      </c>
      <c r="V14" s="1">
        <f ca="1"/>
        <v>0.36866608005235924</v>
      </c>
      <c r="W14" s="1">
        <f ca="1"/>
        <v>0.36720235943768009</v>
      </c>
      <c r="X14" s="1">
        <f ca="1"/>
        <v>0.36573863882300095</v>
      </c>
      <c r="Y14" s="1">
        <f ca="1"/>
        <v>0.36445959323914584</v>
      </c>
      <c r="Z14" s="1">
        <f ca="1"/>
        <v>0.36318054765529073</v>
      </c>
      <c r="AA14" s="1">
        <f ca="1"/>
        <v>0.36190150207143557</v>
      </c>
      <c r="AB14" s="1">
        <f ca="1"/>
        <v>0.3606224564875804</v>
      </c>
      <c r="AC14" s="1">
        <f ca="1"/>
        <v>0.35934341090372535</v>
      </c>
      <c r="AD14" s="1">
        <f ca="1"/>
        <v>0.35806436531987018</v>
      </c>
      <c r="AE14" s="1">
        <f ca="1"/>
        <v>0.35678531973601513</v>
      </c>
      <c r="AF14" s="1">
        <f ca="1"/>
        <v>0.35550627415215991</v>
      </c>
      <c r="AG14" s="1">
        <f ca="1"/>
        <v>0.35422722856830485</v>
      </c>
      <c r="AH14" s="1">
        <f ca="1"/>
        <v>0.35294818298444969</v>
      </c>
      <c r="AI14" s="1">
        <f ca="1"/>
        <v>0.35166913740059458</v>
      </c>
      <c r="AJ14" s="1">
        <f ca="1"/>
        <v>0.35039009181673947</v>
      </c>
      <c r="AK14" s="1">
        <f ca="1"/>
        <v>0.3496582315093999</v>
      </c>
      <c r="AL14" s="1">
        <f ca="1"/>
        <v>0.34892637120206027</v>
      </c>
      <c r="AM14" s="1">
        <f ca="1"/>
        <v>0.34819451089472081</v>
      </c>
      <c r="AN14" s="1">
        <f ca="1"/>
        <v>0.34746265058738118</v>
      </c>
      <c r="AO14" s="1">
        <f ca="1"/>
        <v>0.34673079028004167</v>
      </c>
      <c r="AP14" s="1">
        <f ca="1"/>
        <v>0.34599892997270204</v>
      </c>
      <c r="AQ14" s="1">
        <f ca="1"/>
        <v>0.34526706966536241</v>
      </c>
      <c r="AR14" s="1">
        <f ca="1"/>
        <v>0.34453520935802295</v>
      </c>
      <c r="AS14" s="1">
        <f ca="1"/>
        <v>0.34380334905068333</v>
      </c>
      <c r="AT14" s="1">
        <f ca="1"/>
        <v>0.34307148874334387</v>
      </c>
      <c r="AU14" s="1">
        <f ca="1"/>
        <v>0.34233962843600424</v>
      </c>
      <c r="AV14" s="1">
        <f ca="1"/>
        <v>0.34160776812866472</v>
      </c>
      <c r="AW14" s="1">
        <f ca="1"/>
        <v>0.34113582082766997</v>
      </c>
      <c r="AX14" s="1">
        <f ca="1"/>
        <v>0.34066387352667538</v>
      </c>
      <c r="AY14" s="1">
        <f ca="1"/>
        <v>0.34019192622568073</v>
      </c>
      <c r="AZ14" s="1">
        <f ca="1"/>
        <v>0.33971997892468597</v>
      </c>
      <c r="BA14" s="1">
        <f ca="1"/>
        <v>0.33924803162369138</v>
      </c>
      <c r="BB14" s="1">
        <f ca="1"/>
        <v>0.33877608432269662</v>
      </c>
      <c r="BC14" s="1">
        <f ca="1"/>
        <v>0.33830413702170198</v>
      </c>
      <c r="BD14" s="1">
        <f ca="1"/>
        <v>0.33783218972070739</v>
      </c>
      <c r="BE14" s="1">
        <f ca="1"/>
        <v>0.33736024241971263</v>
      </c>
      <c r="BF14" s="1">
        <f ca="1"/>
        <v>0.33688829511871798</v>
      </c>
      <c r="BG14" s="1">
        <f ca="1"/>
        <v>0.33641634781772334</v>
      </c>
      <c r="BH14" s="1">
        <f ca="1"/>
        <v>0.33594440051672864</v>
      </c>
      <c r="BI14" s="1">
        <f ca="1"/>
        <v>0.33565028843060157</v>
      </c>
      <c r="BJ14" s="1">
        <f ca="1"/>
        <v>0.3353561763444744</v>
      </c>
      <c r="BK14" s="1">
        <f ca="1"/>
        <v>0.33506206425834728</v>
      </c>
      <c r="BL14" s="1">
        <f ca="1"/>
        <v>0.33476795217222022</v>
      </c>
      <c r="BM14" s="1">
        <f ca="1"/>
        <v>0.3344738400860931</v>
      </c>
      <c r="BN14" s="1">
        <f ca="1"/>
        <v>0.33417972799996598</v>
      </c>
      <c r="BO14" s="1">
        <f ca="1"/>
        <v>0.33388561591383892</v>
      </c>
      <c r="BP14" s="1">
        <f ca="1"/>
        <v>0.33359150382771174</v>
      </c>
      <c r="BQ14" s="1">
        <f ca="1"/>
        <v>0.33329739174158463</v>
      </c>
      <c r="BR14" s="1">
        <f ca="1"/>
        <v>0.33300327965545745</v>
      </c>
      <c r="BS14" s="1">
        <f ca="1"/>
        <v>0.33270916756933039</v>
      </c>
      <c r="BT14" s="1">
        <f ca="1"/>
        <v>0.33241505548320327</v>
      </c>
    </row>
    <row r="15" spans="1:72" x14ac:dyDescent="0.2">
      <c r="B15" t="s">
        <v>1</v>
      </c>
      <c r="C15" t="s">
        <v>0</v>
      </c>
      <c r="E15" s="3">
        <v>4.5629999999999997E-2</v>
      </c>
      <c r="F15" s="1">
        <f ca="1"/>
        <v>0.98493349772800975</v>
      </c>
      <c r="G15" s="3">
        <f ca="1"/>
        <v>4.5629999999999171E-2</v>
      </c>
      <c r="H15" s="3">
        <f ca="1"/>
        <v>4.5543465258697735E-2</v>
      </c>
      <c r="I15">
        <v>4</v>
      </c>
      <c r="J15" s="2">
        <v>0.33333333333333331</v>
      </c>
      <c r="K15" s="1"/>
      <c r="M15" s="1">
        <f ca="1"/>
        <v>0</v>
      </c>
      <c r="N15" s="1">
        <f ca="1"/>
        <v>0</v>
      </c>
      <c r="O15" s="1">
        <f ca="1"/>
        <v>0</v>
      </c>
      <c r="P15" s="1">
        <f ca="1"/>
        <v>0</v>
      </c>
      <c r="Q15" s="1">
        <f ca="1"/>
        <v>0</v>
      </c>
      <c r="R15" s="1">
        <f ca="1"/>
        <v>0.37310224123876529</v>
      </c>
      <c r="S15" s="1">
        <f ca="1"/>
        <v>0.37164406533794891</v>
      </c>
      <c r="T15" s="1">
        <f ca="1"/>
        <v>0.37018588943713271</v>
      </c>
      <c r="U15" s="1">
        <f ca="1"/>
        <v>0.36872771353631639</v>
      </c>
      <c r="V15" s="1">
        <f ca="1"/>
        <v>0.36726953763550024</v>
      </c>
      <c r="W15" s="1">
        <f ca="1"/>
        <v>0.36581136173468398</v>
      </c>
      <c r="X15" s="1">
        <f ca="1"/>
        <v>0.36435318583386767</v>
      </c>
      <c r="Y15" s="1">
        <f ca="1"/>
        <v>0.36307898539717309</v>
      </c>
      <c r="Z15" s="1">
        <f ca="1"/>
        <v>0.36180478496047852</v>
      </c>
      <c r="AA15" s="1">
        <f ca="1"/>
        <v>0.36053058452378389</v>
      </c>
      <c r="AB15" s="1">
        <f ca="1"/>
        <v>0.35925638408708926</v>
      </c>
      <c r="AC15" s="1">
        <f ca="1"/>
        <v>0.35798218365039469</v>
      </c>
      <c r="AD15" s="1">
        <f ca="1"/>
        <v>0.35670798321370012</v>
      </c>
      <c r="AE15" s="1">
        <f ca="1"/>
        <v>0.35543378277700555</v>
      </c>
      <c r="AF15" s="1">
        <f ca="1"/>
        <v>0.35415958234031086</v>
      </c>
      <c r="AG15" s="1">
        <f ca="1"/>
        <v>0.35288538190361635</v>
      </c>
      <c r="AH15" s="1">
        <f ca="1"/>
        <v>0.35161118146692172</v>
      </c>
      <c r="AI15" s="1">
        <f ca="1"/>
        <v>0.35033698103022715</v>
      </c>
      <c r="AJ15" s="1">
        <f ca="1"/>
        <v>0.34906278059353257</v>
      </c>
      <c r="AK15" s="1">
        <f ca="1"/>
        <v>0.34833369264312442</v>
      </c>
      <c r="AL15" s="1">
        <f ca="1"/>
        <v>0.3476046046927162</v>
      </c>
      <c r="AM15" s="1">
        <f ca="1"/>
        <v>0.34687551674230815</v>
      </c>
      <c r="AN15" s="1">
        <f ca="1"/>
        <v>0.3461464287919</v>
      </c>
      <c r="AO15" s="1">
        <f ca="1"/>
        <v>0.34541734084149189</v>
      </c>
      <c r="AP15" s="1">
        <f ca="1"/>
        <v>0.34468825289108368</v>
      </c>
      <c r="AQ15" s="1">
        <f ca="1"/>
        <v>0.34395916494067552</v>
      </c>
      <c r="AR15" s="1">
        <f ca="1"/>
        <v>0.34323007699026747</v>
      </c>
      <c r="AS15" s="1">
        <f ca="1"/>
        <v>0.34250098903985926</v>
      </c>
      <c r="AT15" s="1">
        <f ca="1"/>
        <v>0.34177190108945121</v>
      </c>
      <c r="AU15" s="1">
        <f ca="1"/>
        <v>0.34104281313904306</v>
      </c>
      <c r="AV15" s="1">
        <f ca="1"/>
        <v>0.34031372518863495</v>
      </c>
      <c r="AW15" s="1">
        <f ca="1"/>
        <v>0.33984356566921275</v>
      </c>
      <c r="AX15" s="1">
        <f ca="1"/>
        <v>0.33937340614979078</v>
      </c>
      <c r="AY15" s="1">
        <f ca="1"/>
        <v>0.33890324663036875</v>
      </c>
      <c r="AZ15" s="1">
        <f ca="1"/>
        <v>0.33843308711094661</v>
      </c>
      <c r="BA15" s="1">
        <f ca="1"/>
        <v>0.33796292759152458</v>
      </c>
      <c r="BB15" s="1">
        <f ca="1"/>
        <v>0.33749276807210243</v>
      </c>
      <c r="BC15" s="1">
        <f ca="1"/>
        <v>0.3370226085526804</v>
      </c>
      <c r="BD15" s="1">
        <f ca="1"/>
        <v>0.33655244903325843</v>
      </c>
      <c r="BE15" s="1">
        <f ca="1"/>
        <v>0.33608228951383623</v>
      </c>
      <c r="BF15" s="1">
        <f ca="1"/>
        <v>0.3356121299944142</v>
      </c>
      <c r="BG15" s="1">
        <f ca="1"/>
        <v>0.33514197047499217</v>
      </c>
      <c r="BH15" s="1">
        <f ca="1"/>
        <v>0.33467181095557008</v>
      </c>
      <c r="BI15" s="1">
        <f ca="1"/>
        <v>0.33437881299419114</v>
      </c>
      <c r="BJ15" s="1">
        <f ca="1"/>
        <v>0.33408581503281215</v>
      </c>
      <c r="BK15" s="1">
        <f ca="1"/>
        <v>0.33379281707143316</v>
      </c>
      <c r="BL15" s="1">
        <f ca="1"/>
        <v>0.33349981911005422</v>
      </c>
      <c r="BM15" s="1">
        <f ca="1"/>
        <v>0.33320682114867528</v>
      </c>
      <c r="BN15" s="1">
        <f ca="1"/>
        <v>0.33291382318729629</v>
      </c>
      <c r="BO15" s="1">
        <f ca="1"/>
        <v>0.33262082522591735</v>
      </c>
      <c r="BP15" s="1">
        <f ca="1"/>
        <v>0.33232782726453836</v>
      </c>
      <c r="BQ15" s="1">
        <f ca="1"/>
        <v>0.33203482930315936</v>
      </c>
      <c r="BR15" s="1">
        <f ca="1"/>
        <v>0.33174183134178031</v>
      </c>
      <c r="BS15" s="1">
        <f ca="1"/>
        <v>0.33144883338040143</v>
      </c>
      <c r="BT15" s="1">
        <f ca="1"/>
        <v>0.33115583541902244</v>
      </c>
    </row>
    <row r="16" spans="1:72" x14ac:dyDescent="0.2">
      <c r="B16" s="5">
        <v>0.5</v>
      </c>
      <c r="C16" s="4">
        <v>4.5629999999999997E-2</v>
      </c>
      <c r="E16" s="3">
        <v>4.5629999999999997E-2</v>
      </c>
      <c r="F16" s="1">
        <f ca="1"/>
        <v>0.9812024753156221</v>
      </c>
      <c r="G16" s="3">
        <f ca="1"/>
        <v>4.5629999999999171E-2</v>
      </c>
      <c r="H16" s="3">
        <f ca="1"/>
        <v>4.554346525869786E-2</v>
      </c>
      <c r="I16">
        <v>5</v>
      </c>
      <c r="J16" s="2">
        <v>0.41666666666666669</v>
      </c>
      <c r="K16" s="1"/>
      <c r="M16" s="1">
        <f ca="1"/>
        <v>0</v>
      </c>
      <c r="N16" s="1">
        <f ca="1"/>
        <v>0</v>
      </c>
      <c r="O16" s="1">
        <f ca="1"/>
        <v>0</v>
      </c>
      <c r="P16" s="1">
        <f ca="1"/>
        <v>0</v>
      </c>
      <c r="Q16" s="1">
        <f ca="1"/>
        <v>0</v>
      </c>
      <c r="R16" s="1">
        <f ca="1"/>
        <v>0</v>
      </c>
      <c r="S16" s="1">
        <f ca="1"/>
        <v>0.37023624202763883</v>
      </c>
      <c r="T16" s="1">
        <f ca="1"/>
        <v>0.36878358983677834</v>
      </c>
      <c r="U16" s="1">
        <f ca="1"/>
        <v>0.36733093764591779</v>
      </c>
      <c r="V16" s="1">
        <f ca="1"/>
        <v>0.36587828545505735</v>
      </c>
      <c r="W16" s="1">
        <f ca="1"/>
        <v>0.36442563326419686</v>
      </c>
      <c r="X16" s="1">
        <f ca="1"/>
        <v>0.36297298107333631</v>
      </c>
      <c r="Y16" s="1">
        <f ca="1"/>
        <v>0.3617036074299208</v>
      </c>
      <c r="Z16" s="1">
        <f ca="1"/>
        <v>0.36043423378650535</v>
      </c>
      <c r="AA16" s="1">
        <f ca="1"/>
        <v>0.35916486014308974</v>
      </c>
      <c r="AB16" s="1">
        <f ca="1"/>
        <v>0.35789548649967423</v>
      </c>
      <c r="AC16" s="1">
        <f ca="1"/>
        <v>0.35662611285625878</v>
      </c>
      <c r="AD16" s="1">
        <f ca="1"/>
        <v>0.35535673921284328</v>
      </c>
      <c r="AE16" s="1">
        <f ca="1"/>
        <v>0.35408736556942777</v>
      </c>
      <c r="AF16" s="1">
        <f ca="1"/>
        <v>0.35281799192601221</v>
      </c>
      <c r="AG16" s="1">
        <f ca="1"/>
        <v>0.35154861828259676</v>
      </c>
      <c r="AH16" s="1">
        <f ca="1"/>
        <v>0.35027924463918125</v>
      </c>
      <c r="AI16" s="1">
        <f ca="1"/>
        <v>0.34900987099576569</v>
      </c>
      <c r="AJ16" s="1">
        <f ca="1"/>
        <v>0.34774049735235024</v>
      </c>
      <c r="AK16" s="1">
        <f ca="1"/>
        <v>0.34701417125691997</v>
      </c>
      <c r="AL16" s="1">
        <f ca="1"/>
        <v>0.34628784516148964</v>
      </c>
      <c r="AM16" s="1">
        <f ca="1"/>
        <v>0.34556151906605947</v>
      </c>
      <c r="AN16" s="1">
        <f ca="1"/>
        <v>0.34483519297062915</v>
      </c>
      <c r="AO16" s="1">
        <f ca="1"/>
        <v>0.34410886687519893</v>
      </c>
      <c r="AP16" s="1">
        <f ca="1"/>
        <v>0.3433825407797686</v>
      </c>
      <c r="AQ16" s="1">
        <f ca="1"/>
        <v>0.34265621468433832</v>
      </c>
      <c r="AR16" s="1">
        <f ca="1"/>
        <v>0.3419298885889081</v>
      </c>
      <c r="AS16" s="1">
        <f ca="1"/>
        <v>0.34120356249347783</v>
      </c>
      <c r="AT16" s="1">
        <f ca="1"/>
        <v>0.34047723639804761</v>
      </c>
      <c r="AU16" s="1">
        <f ca="1"/>
        <v>0.33975091030261734</v>
      </c>
      <c r="AV16" s="1">
        <f ca="1"/>
        <v>0.33902458420718706</v>
      </c>
      <c r="AW16" s="1">
        <f ca="1"/>
        <v>0.33855620569704975</v>
      </c>
      <c r="AX16" s="1">
        <f ca="1"/>
        <v>0.33808782718691255</v>
      </c>
      <c r="AY16" s="1">
        <f ca="1"/>
        <v>0.33761944867677529</v>
      </c>
      <c r="AZ16" s="1">
        <f ca="1"/>
        <v>0.33715107016663792</v>
      </c>
      <c r="BA16" s="1">
        <f ca="1"/>
        <v>0.33668269165650072</v>
      </c>
      <c r="BB16" s="1">
        <f ca="1"/>
        <v>0.33621431314636341</v>
      </c>
      <c r="BC16" s="1">
        <f ca="1"/>
        <v>0.33574593463622615</v>
      </c>
      <c r="BD16" s="1">
        <f ca="1"/>
        <v>0.33527755612608895</v>
      </c>
      <c r="BE16" s="1">
        <f ca="1"/>
        <v>0.33480917761595158</v>
      </c>
      <c r="BF16" s="1">
        <f ca="1"/>
        <v>0.33434079910581432</v>
      </c>
      <c r="BG16" s="1">
        <f ca="1"/>
        <v>0.33387242059567707</v>
      </c>
      <c r="BH16" s="1">
        <f ca="1"/>
        <v>0.33340404208553981</v>
      </c>
      <c r="BI16" s="1">
        <f ca="1"/>
        <v>0.33311215402849775</v>
      </c>
      <c r="BJ16" s="1">
        <f ca="1"/>
        <v>0.3328202659714557</v>
      </c>
      <c r="BK16" s="1">
        <f ca="1"/>
        <v>0.33252837791441359</v>
      </c>
      <c r="BL16" s="1">
        <f ca="1"/>
        <v>0.33223648985737159</v>
      </c>
      <c r="BM16" s="1">
        <f ca="1"/>
        <v>0.33194460180032948</v>
      </c>
      <c r="BN16" s="1">
        <f ca="1"/>
        <v>0.33165271374328742</v>
      </c>
      <c r="BO16" s="1">
        <f ca="1"/>
        <v>0.33136082568624536</v>
      </c>
      <c r="BP16" s="1">
        <f ca="1"/>
        <v>0.33106893762920331</v>
      </c>
      <c r="BQ16" s="1">
        <f ca="1"/>
        <v>0.3307770495721612</v>
      </c>
      <c r="BR16" s="1">
        <f ca="1"/>
        <v>0.33048516151511909</v>
      </c>
      <c r="BS16" s="1">
        <f ca="1"/>
        <v>0.33019327345807709</v>
      </c>
      <c r="BT16" s="1">
        <f ca="1"/>
        <v>0.32990138540103497</v>
      </c>
    </row>
    <row r="17" spans="2:72" x14ac:dyDescent="0.2">
      <c r="B17" s="5">
        <v>1</v>
      </c>
      <c r="C17" s="4">
        <v>4.4560000000000002E-2</v>
      </c>
      <c r="E17" s="3">
        <v>4.5629999999999997E-2</v>
      </c>
      <c r="F17" s="1">
        <f ca="1"/>
        <v>0.97748558637343708</v>
      </c>
      <c r="G17" s="3">
        <f ca="1"/>
        <v>4.5629999999999171E-2</v>
      </c>
      <c r="H17" s="3">
        <f ca="1"/>
        <v>4.5543465258698006E-2</v>
      </c>
      <c r="I17">
        <v>6</v>
      </c>
      <c r="J17" s="2">
        <v>0.5</v>
      </c>
      <c r="K17" s="1"/>
      <c r="M17" s="1">
        <f ca="1"/>
        <v>0</v>
      </c>
      <c r="N17" s="1">
        <f ca="1"/>
        <v>0</v>
      </c>
      <c r="O17" s="1">
        <f ca="1"/>
        <v>0</v>
      </c>
      <c r="P17" s="1">
        <f ca="1"/>
        <v>0</v>
      </c>
      <c r="Q17" s="1">
        <f ca="1"/>
        <v>0</v>
      </c>
      <c r="R17" s="1">
        <f ca="1"/>
        <v>0</v>
      </c>
      <c r="S17" s="1">
        <f ca="1"/>
        <v>0</v>
      </c>
      <c r="T17" s="1">
        <f ca="1"/>
        <v>0.36742511357660923</v>
      </c>
      <c r="U17" s="1">
        <f ca="1"/>
        <v>0.36597781247394767</v>
      </c>
      <c r="V17" s="1">
        <f ca="1"/>
        <v>0.36453051137128628</v>
      </c>
      <c r="W17" s="1">
        <f ca="1"/>
        <v>0.36308321026862478</v>
      </c>
      <c r="X17" s="1">
        <f ca="1"/>
        <v>0.36163590916596328</v>
      </c>
      <c r="Y17" s="1">
        <f ca="1"/>
        <v>0.36037121147345064</v>
      </c>
      <c r="Z17" s="1">
        <f ca="1"/>
        <v>0.35910651378093805</v>
      </c>
      <c r="AA17" s="1">
        <f ca="1"/>
        <v>0.35784181608842536</v>
      </c>
      <c r="AB17" s="1">
        <f ca="1"/>
        <v>0.35657711839591272</v>
      </c>
      <c r="AC17" s="1">
        <f ca="1"/>
        <v>0.35531242070340013</v>
      </c>
      <c r="AD17" s="1">
        <f ca="1"/>
        <v>0.35404772301088749</v>
      </c>
      <c r="AE17" s="1">
        <f ca="1"/>
        <v>0.35278302531837491</v>
      </c>
      <c r="AF17" s="1">
        <f ca="1"/>
        <v>0.35151832762586221</v>
      </c>
      <c r="AG17" s="1">
        <f ca="1"/>
        <v>0.35025362993334963</v>
      </c>
      <c r="AH17" s="1">
        <f ca="1"/>
        <v>0.34898893224083699</v>
      </c>
      <c r="AI17" s="1">
        <f ca="1"/>
        <v>0.34772423454832435</v>
      </c>
      <c r="AJ17" s="1">
        <f ca="1"/>
        <v>0.34645953685581171</v>
      </c>
      <c r="AK17" s="1">
        <f ca="1"/>
        <v>0.34573588630448093</v>
      </c>
      <c r="AL17" s="1">
        <f ca="1"/>
        <v>0.34501223575315015</v>
      </c>
      <c r="AM17" s="1">
        <f ca="1"/>
        <v>0.34428858520181949</v>
      </c>
      <c r="AN17" s="1">
        <f ca="1"/>
        <v>0.34356493465048871</v>
      </c>
      <c r="AO17" s="1">
        <f ca="1"/>
        <v>0.34284128409915793</v>
      </c>
      <c r="AP17" s="1">
        <f ca="1"/>
        <v>0.34211763354782715</v>
      </c>
      <c r="AQ17" s="1">
        <f ca="1"/>
        <v>0.34139398299649637</v>
      </c>
      <c r="AR17" s="1">
        <f ca="1"/>
        <v>0.3406703324451657</v>
      </c>
      <c r="AS17" s="1">
        <f ca="1"/>
        <v>0.33994668189383487</v>
      </c>
      <c r="AT17" s="1">
        <f ca="1"/>
        <v>0.3392230313425042</v>
      </c>
      <c r="AU17" s="1">
        <f ca="1"/>
        <v>0.33849938079117342</v>
      </c>
      <c r="AV17" s="1">
        <f ca="1"/>
        <v>0.3377757302398427</v>
      </c>
      <c r="AW17" s="1">
        <f ca="1"/>
        <v>0.33730907708057323</v>
      </c>
      <c r="AX17" s="1">
        <f ca="1"/>
        <v>0.33684242392130392</v>
      </c>
      <c r="AY17" s="1">
        <f ca="1"/>
        <v>0.33637577076203462</v>
      </c>
      <c r="AZ17" s="1">
        <f ca="1"/>
        <v>0.33590911760276515</v>
      </c>
      <c r="BA17" s="1">
        <f ca="1"/>
        <v>0.33544246444349585</v>
      </c>
      <c r="BB17" s="1">
        <f ca="1"/>
        <v>0.33497581128422643</v>
      </c>
      <c r="BC17" s="1">
        <f ca="1"/>
        <v>0.33450915812495707</v>
      </c>
      <c r="BD17" s="1">
        <f ca="1"/>
        <v>0.33404250496568777</v>
      </c>
      <c r="BE17" s="1">
        <f ca="1"/>
        <v>0.33357585180641836</v>
      </c>
      <c r="BF17" s="1">
        <f ca="1"/>
        <v>0.333109198647149</v>
      </c>
      <c r="BG17" s="1">
        <f ca="1"/>
        <v>0.33264254548787964</v>
      </c>
      <c r="BH17" s="1">
        <f ca="1"/>
        <v>0.33217589232861028</v>
      </c>
      <c r="BI17" s="1">
        <f ca="1"/>
        <v>0.33188507949022505</v>
      </c>
      <c r="BJ17" s="1">
        <f ca="1"/>
        <v>0.33159426665183978</v>
      </c>
      <c r="BK17" s="1">
        <f ca="1"/>
        <v>0.3313034538134545</v>
      </c>
      <c r="BL17" s="1">
        <f ca="1"/>
        <v>0.33101264097506933</v>
      </c>
      <c r="BM17" s="1">
        <f ca="1"/>
        <v>0.33072182813668405</v>
      </c>
      <c r="BN17" s="1">
        <f ca="1"/>
        <v>0.33043101529829877</v>
      </c>
      <c r="BO17" s="1">
        <f ca="1"/>
        <v>0.33014020245991355</v>
      </c>
      <c r="BP17" s="1">
        <f ca="1"/>
        <v>0.32984938962152827</v>
      </c>
      <c r="BQ17" s="1">
        <f ca="1"/>
        <v>0.32955857678314299</v>
      </c>
      <c r="BR17" s="1">
        <f ca="1"/>
        <v>0.32926776394475771</v>
      </c>
      <c r="BS17" s="1">
        <f ca="1"/>
        <v>0.32897695110637248</v>
      </c>
      <c r="BT17" s="1">
        <f ca="1"/>
        <v>0.3286861382679872</v>
      </c>
    </row>
    <row r="18" spans="2:72" x14ac:dyDescent="0.2">
      <c r="B18" s="5">
        <v>2</v>
      </c>
      <c r="C18" s="4">
        <v>4.2689999999999999E-2</v>
      </c>
      <c r="E18" s="3">
        <v>4.5451666666666661E-2</v>
      </c>
      <c r="F18" s="1">
        <f ca="1"/>
        <v>0.97388485412736958</v>
      </c>
      <c r="G18" s="3">
        <f ca="1"/>
        <v>4.5449627521022329E-2</v>
      </c>
      <c r="H18" s="3">
        <f ca="1"/>
        <v>4.5363774702588983E-2</v>
      </c>
      <c r="I18">
        <v>7</v>
      </c>
      <c r="J18" s="2">
        <v>0.58333333333333337</v>
      </c>
      <c r="M18" s="1">
        <f ca="1"/>
        <v>0</v>
      </c>
      <c r="N18" s="1">
        <f ca="1"/>
        <v>0</v>
      </c>
      <c r="O18" s="1">
        <f ca="1"/>
        <v>0</v>
      </c>
      <c r="P18" s="1">
        <f ca="1"/>
        <v>0</v>
      </c>
      <c r="Q18" s="1">
        <f ca="1"/>
        <v>0</v>
      </c>
      <c r="R18" s="1">
        <f ca="1"/>
        <v>0</v>
      </c>
      <c r="S18" s="1">
        <f ca="1"/>
        <v>0</v>
      </c>
      <c r="T18" s="1">
        <f ca="1"/>
        <v>0</v>
      </c>
      <c r="U18" s="1">
        <f ca="1"/>
        <v>0.36464060994383801</v>
      </c>
      <c r="V18" s="1">
        <f ca="1"/>
        <v>0.36319859696146789</v>
      </c>
      <c r="W18" s="1">
        <f ca="1"/>
        <v>0.36175658397909771</v>
      </c>
      <c r="X18" s="1">
        <f ca="1"/>
        <v>0.36031457099672748</v>
      </c>
      <c r="Y18" s="1">
        <f ca="1"/>
        <v>0.35905449423175911</v>
      </c>
      <c r="Z18" s="1">
        <f ca="1"/>
        <v>0.3577944174667908</v>
      </c>
      <c r="AA18" s="1">
        <f ca="1"/>
        <v>0.35653434070182233</v>
      </c>
      <c r="AB18" s="1">
        <f ca="1"/>
        <v>0.35527426393685396</v>
      </c>
      <c r="AC18" s="1">
        <f ca="1"/>
        <v>0.35401418717188565</v>
      </c>
      <c r="AD18" s="1">
        <f ca="1"/>
        <v>0.35275411040691729</v>
      </c>
      <c r="AE18" s="1">
        <f ca="1"/>
        <v>0.35149403364194898</v>
      </c>
      <c r="AF18" s="1">
        <f ca="1"/>
        <v>0.35023395687698056</v>
      </c>
      <c r="AG18" s="1">
        <f ca="1"/>
        <v>0.34897388011201225</v>
      </c>
      <c r="AH18" s="1">
        <f ca="1"/>
        <v>0.34771380334704388</v>
      </c>
      <c r="AI18" s="1">
        <f ca="1"/>
        <v>0.34645372658207552</v>
      </c>
      <c r="AJ18" s="1">
        <f ca="1"/>
        <v>0.34519364981710715</v>
      </c>
      <c r="AK18" s="1">
        <f ca="1"/>
        <v>0.34447264332592203</v>
      </c>
      <c r="AL18" s="1">
        <f ca="1"/>
        <v>0.34375163683473692</v>
      </c>
      <c r="AM18" s="1">
        <f ca="1"/>
        <v>0.34303063034355186</v>
      </c>
      <c r="AN18" s="1">
        <f ca="1"/>
        <v>0.34230962385236674</v>
      </c>
      <c r="AO18" s="1">
        <f ca="1"/>
        <v>0.34158861736118162</v>
      </c>
      <c r="AP18" s="1">
        <f ca="1"/>
        <v>0.34086761086999651</v>
      </c>
      <c r="AQ18" s="1">
        <f ca="1"/>
        <v>0.34014660437881133</v>
      </c>
      <c r="AR18" s="1">
        <f ca="1"/>
        <v>0.33942559788762633</v>
      </c>
      <c r="AS18" s="1">
        <f ca="1"/>
        <v>0.33870459139644116</v>
      </c>
      <c r="AT18" s="1">
        <f ca="1"/>
        <v>0.33798358490525615</v>
      </c>
      <c r="AU18" s="1">
        <f ca="1"/>
        <v>0.33726257841407098</v>
      </c>
      <c r="AV18" s="1">
        <f ca="1"/>
        <v>0.33654157192288592</v>
      </c>
      <c r="AW18" s="1">
        <f ca="1"/>
        <v>0.3360766238117478</v>
      </c>
      <c r="AX18" s="1">
        <f ca="1"/>
        <v>0.33561167570060979</v>
      </c>
      <c r="AY18" s="1">
        <f ca="1"/>
        <v>0.33514672758947178</v>
      </c>
      <c r="AZ18" s="1">
        <f ca="1"/>
        <v>0.33468177947833361</v>
      </c>
      <c r="BA18" s="1">
        <f ca="1"/>
        <v>0.33421683136719565</v>
      </c>
      <c r="BB18" s="1">
        <f ca="1"/>
        <v>0.33375188325605748</v>
      </c>
      <c r="BC18" s="1">
        <f ca="1"/>
        <v>0.33328693514491947</v>
      </c>
      <c r="BD18" s="1">
        <f ca="1"/>
        <v>0.33282198703378152</v>
      </c>
      <c r="BE18" s="1">
        <f ca="1"/>
        <v>0.33235703892264334</v>
      </c>
      <c r="BF18" s="1">
        <f ca="1"/>
        <v>0.33189209081150534</v>
      </c>
      <c r="BG18" s="1">
        <f ca="1"/>
        <v>0.33142714270036727</v>
      </c>
      <c r="BH18" s="1">
        <f ca="1"/>
        <v>0.33096219458922921</v>
      </c>
      <c r="BI18" s="1">
        <f ca="1"/>
        <v>0.33067244431707071</v>
      </c>
      <c r="BJ18" s="1">
        <f ca="1"/>
        <v>0.33038269404491222</v>
      </c>
      <c r="BK18" s="1">
        <f ca="1"/>
        <v>0.33009294377275372</v>
      </c>
      <c r="BL18" s="1">
        <f ca="1"/>
        <v>0.32980319350059528</v>
      </c>
      <c r="BM18" s="1">
        <f ca="1"/>
        <v>0.32951344322843673</v>
      </c>
      <c r="BN18" s="1">
        <f ca="1"/>
        <v>0.32922369295627824</v>
      </c>
      <c r="BO18" s="1">
        <f ca="1"/>
        <v>0.3289339426841198</v>
      </c>
      <c r="BP18" s="1">
        <f ca="1"/>
        <v>0.32864419241196124</v>
      </c>
      <c r="BQ18" s="1">
        <f ca="1"/>
        <v>0.32835444213980275</v>
      </c>
      <c r="BR18" s="1">
        <f ca="1"/>
        <v>0.3280646918676442</v>
      </c>
      <c r="BS18" s="1">
        <f ca="1"/>
        <v>0.3277749415954857</v>
      </c>
      <c r="BT18" s="1">
        <f ca="1"/>
        <v>0.32748519132332721</v>
      </c>
    </row>
    <row r="19" spans="2:72" x14ac:dyDescent="0.2">
      <c r="B19" s="5">
        <v>3</v>
      </c>
      <c r="C19" s="4">
        <v>4.1619999999999997E-2</v>
      </c>
      <c r="E19" s="3">
        <v>4.5273333333333332E-2</v>
      </c>
      <c r="F19" s="1">
        <f ca="1"/>
        <v>0.9703264928098585</v>
      </c>
      <c r="G19" s="3">
        <f ca="1"/>
        <v>4.5269183707683069E-2</v>
      </c>
      <c r="H19" s="3">
        <f ca="1"/>
        <v>4.5184010389446409E-2</v>
      </c>
      <c r="I19">
        <v>8</v>
      </c>
      <c r="J19" s="2">
        <v>0.66666666666666663</v>
      </c>
      <c r="K19" s="6"/>
      <c r="M19" s="1">
        <f ca="1"/>
        <v>0</v>
      </c>
      <c r="N19" s="1">
        <f ca="1"/>
        <v>0</v>
      </c>
      <c r="O19" s="1">
        <f ca="1"/>
        <v>0</v>
      </c>
      <c r="P19" s="1">
        <f ca="1"/>
        <v>0</v>
      </c>
      <c r="Q19" s="1">
        <f ca="1"/>
        <v>0</v>
      </c>
      <c r="R19" s="1">
        <f ca="1"/>
        <v>0</v>
      </c>
      <c r="S19" s="1">
        <f ca="1"/>
        <v>0</v>
      </c>
      <c r="T19" s="1">
        <f ca="1"/>
        <v>0</v>
      </c>
      <c r="U19" s="1">
        <f ca="1"/>
        <v>0</v>
      </c>
      <c r="V19" s="1">
        <f ca="1"/>
        <v>0.36188242369053014</v>
      </c>
      <c r="W19" s="1">
        <f ca="1"/>
        <v>0.36044563633116516</v>
      </c>
      <c r="X19" s="1">
        <f ca="1"/>
        <v>0.35900884897180013</v>
      </c>
      <c r="Y19" s="1">
        <f ca="1"/>
        <v>0.35775333852226154</v>
      </c>
      <c r="Z19" s="1">
        <f ca="1"/>
        <v>0.35649782807272301</v>
      </c>
      <c r="AA19" s="1">
        <f ca="1"/>
        <v>0.35524231762318437</v>
      </c>
      <c r="AB19" s="1">
        <f ca="1"/>
        <v>0.35398680717364578</v>
      </c>
      <c r="AC19" s="1">
        <f ca="1"/>
        <v>0.35273129672410725</v>
      </c>
      <c r="AD19" s="1">
        <f ca="1"/>
        <v>0.35147578627456866</v>
      </c>
      <c r="AE19" s="1">
        <f ca="1"/>
        <v>0.35022027582503013</v>
      </c>
      <c r="AF19" s="1">
        <f ca="1"/>
        <v>0.34896476537549148</v>
      </c>
      <c r="AG19" s="1">
        <f ca="1"/>
        <v>0.34770925492595295</v>
      </c>
      <c r="AH19" s="1">
        <f ca="1"/>
        <v>0.34645374447641436</v>
      </c>
      <c r="AI19" s="1">
        <f ca="1"/>
        <v>0.34519823402687577</v>
      </c>
      <c r="AJ19" s="1">
        <f ca="1"/>
        <v>0.34394272357733724</v>
      </c>
      <c r="AK19" s="1">
        <f ca="1"/>
        <v>0.34322432989765472</v>
      </c>
      <c r="AL19" s="1">
        <f ca="1"/>
        <v>0.34250593621797215</v>
      </c>
      <c r="AM19" s="1">
        <f ca="1"/>
        <v>0.34178754253828975</v>
      </c>
      <c r="AN19" s="1">
        <f ca="1"/>
        <v>0.34106914885860723</v>
      </c>
      <c r="AO19" s="1">
        <f ca="1"/>
        <v>0.34035075517892471</v>
      </c>
      <c r="AP19" s="1">
        <f ca="1"/>
        <v>0.3396323614992422</v>
      </c>
      <c r="AQ19" s="1">
        <f ca="1"/>
        <v>0.33891396781955968</v>
      </c>
      <c r="AR19" s="1">
        <f ca="1"/>
        <v>0.33819557413987722</v>
      </c>
      <c r="AS19" s="1">
        <f ca="1"/>
        <v>0.3374771804601947</v>
      </c>
      <c r="AT19" s="1">
        <f ca="1"/>
        <v>0.33675878678051224</v>
      </c>
      <c r="AU19" s="1">
        <f ca="1"/>
        <v>0.33604039310082973</v>
      </c>
      <c r="AV19" s="1">
        <f ca="1"/>
        <v>0.33532199942114727</v>
      </c>
      <c r="AW19" s="1">
        <f ca="1"/>
        <v>0.33485873620714629</v>
      </c>
      <c r="AX19" s="1">
        <f ca="1"/>
        <v>0.33439547299314548</v>
      </c>
      <c r="AY19" s="1">
        <f ca="1"/>
        <v>0.33393220977914467</v>
      </c>
      <c r="AZ19" s="1">
        <f ca="1"/>
        <v>0.3334689465651437</v>
      </c>
      <c r="BA19" s="1">
        <f ca="1"/>
        <v>0.33300568335114294</v>
      </c>
      <c r="BB19" s="1">
        <f ca="1"/>
        <v>0.33254242013714197</v>
      </c>
      <c r="BC19" s="1">
        <f ca="1"/>
        <v>0.33207915692314116</v>
      </c>
      <c r="BD19" s="1">
        <f ca="1"/>
        <v>0.33161589370914035</v>
      </c>
      <c r="BE19" s="1">
        <f ca="1"/>
        <v>0.33115263049513943</v>
      </c>
      <c r="BF19" s="1">
        <f ca="1"/>
        <v>0.33068936728113857</v>
      </c>
      <c r="BG19" s="1">
        <f ca="1"/>
        <v>0.3302261040671377</v>
      </c>
      <c r="BH19" s="1">
        <f ca="1"/>
        <v>0.32976284085313684</v>
      </c>
      <c r="BI19" s="1">
        <f ca="1"/>
        <v>0.32947414058933921</v>
      </c>
      <c r="BJ19" s="1">
        <f ca="1"/>
        <v>0.32918544032554159</v>
      </c>
      <c r="BK19" s="1">
        <f ca="1"/>
        <v>0.32889674006174391</v>
      </c>
      <c r="BL19" s="1">
        <f ca="1"/>
        <v>0.32860803979794634</v>
      </c>
      <c r="BM19" s="1">
        <f ca="1"/>
        <v>0.32831933953414866</v>
      </c>
      <c r="BN19" s="1">
        <f ca="1"/>
        <v>0.32803063927035103</v>
      </c>
      <c r="BO19" s="1">
        <f ca="1"/>
        <v>0.32774193900655341</v>
      </c>
      <c r="BP19" s="1">
        <f ca="1"/>
        <v>0.32745323874275578</v>
      </c>
      <c r="BQ19" s="1">
        <f ca="1"/>
        <v>0.3271645384789581</v>
      </c>
      <c r="BR19" s="1">
        <f ca="1"/>
        <v>0.32687583821516042</v>
      </c>
      <c r="BS19" s="1">
        <f ca="1"/>
        <v>0.32658713795136279</v>
      </c>
      <c r="BT19" s="1">
        <f ca="1"/>
        <v>0.32629843768756517</v>
      </c>
    </row>
    <row r="20" spans="2:72" x14ac:dyDescent="0.2">
      <c r="B20" s="5">
        <v>4</v>
      </c>
      <c r="C20" s="4">
        <v>4.0930000000000001E-2</v>
      </c>
      <c r="E20" s="3">
        <v>4.5094999999999996E-2</v>
      </c>
      <c r="F20" s="1">
        <f ca="1"/>
        <v>0.96681018574093391</v>
      </c>
      <c r="G20" s="3">
        <f ca="1"/>
        <v>4.508862232170685E-2</v>
      </c>
      <c r="H20" s="3">
        <f ca="1"/>
        <v>4.5004126250803467E-2</v>
      </c>
      <c r="I20">
        <v>9</v>
      </c>
      <c r="J20" s="2">
        <v>0.75</v>
      </c>
      <c r="M20" s="1">
        <f ca="1"/>
        <v>0</v>
      </c>
      <c r="N20" s="1">
        <f ca="1"/>
        <v>0</v>
      </c>
      <c r="O20" s="1">
        <f ca="1"/>
        <v>0</v>
      </c>
      <c r="P20" s="1">
        <f ca="1"/>
        <v>0</v>
      </c>
      <c r="Q20" s="1">
        <f ca="1"/>
        <v>0</v>
      </c>
      <c r="R20" s="1">
        <f ca="1"/>
        <v>0</v>
      </c>
      <c r="S20" s="1">
        <f ca="1"/>
        <v>0</v>
      </c>
      <c r="T20" s="1">
        <f ca="1"/>
        <v>0</v>
      </c>
      <c r="U20" s="1">
        <f ca="1"/>
        <v>0</v>
      </c>
      <c r="V20" s="1">
        <f ca="1"/>
        <v>0</v>
      </c>
      <c r="W20" s="1">
        <f ca="1"/>
        <v>0.35915025062918349</v>
      </c>
      <c r="X20" s="1">
        <f ca="1"/>
        <v>0.35771862686070294</v>
      </c>
      <c r="Y20" s="1">
        <f ca="1"/>
        <v>0.35646762852095593</v>
      </c>
      <c r="Z20" s="1">
        <f ca="1"/>
        <v>0.35521663018120897</v>
      </c>
      <c r="AA20" s="1">
        <f ca="1"/>
        <v>0.3539656318414619</v>
      </c>
      <c r="AB20" s="1">
        <f ca="1"/>
        <v>0.35271463350171489</v>
      </c>
      <c r="AC20" s="1">
        <f ca="1"/>
        <v>0.35146363516196794</v>
      </c>
      <c r="AD20" s="1">
        <f ca="1"/>
        <v>0.35021263682222092</v>
      </c>
      <c r="AE20" s="1">
        <f ca="1"/>
        <v>0.34896163848247397</v>
      </c>
      <c r="AF20" s="1">
        <f ca="1"/>
        <v>0.3477106401427269</v>
      </c>
      <c r="AG20" s="1">
        <f ca="1"/>
        <v>0.34645964180297995</v>
      </c>
      <c r="AH20" s="1">
        <f ca="1"/>
        <v>0.34520864346323293</v>
      </c>
      <c r="AI20" s="1">
        <f ca="1"/>
        <v>0.34395764512348592</v>
      </c>
      <c r="AJ20" s="1">
        <f ca="1"/>
        <v>0.34270664678373897</v>
      </c>
      <c r="AK20" s="1">
        <f ca="1"/>
        <v>0.34199083489949866</v>
      </c>
      <c r="AL20" s="1">
        <f ca="1"/>
        <v>0.34127502301525836</v>
      </c>
      <c r="AM20" s="1">
        <f ca="1"/>
        <v>0.34055921113101817</v>
      </c>
      <c r="AN20" s="1">
        <f ca="1"/>
        <v>0.33984339924677787</v>
      </c>
      <c r="AO20" s="1">
        <f ca="1"/>
        <v>0.33912758736253762</v>
      </c>
      <c r="AP20" s="1">
        <f ca="1"/>
        <v>0.33841177547829732</v>
      </c>
      <c r="AQ20" s="1">
        <f ca="1"/>
        <v>0.33769596359405701</v>
      </c>
      <c r="AR20" s="1">
        <f ca="1"/>
        <v>0.33698015170981682</v>
      </c>
      <c r="AS20" s="1">
        <f ca="1"/>
        <v>0.33626433982557657</v>
      </c>
      <c r="AT20" s="1">
        <f ca="1"/>
        <v>0.33554852794133638</v>
      </c>
      <c r="AU20" s="1">
        <f ca="1"/>
        <v>0.33483271605709608</v>
      </c>
      <c r="AV20" s="1">
        <f ca="1"/>
        <v>0.33411690417285583</v>
      </c>
      <c r="AW20" s="1">
        <f ca="1"/>
        <v>0.33365530585498115</v>
      </c>
      <c r="AX20" s="1">
        <f ca="1"/>
        <v>0.3331937075371067</v>
      </c>
      <c r="AY20" s="1">
        <f ca="1"/>
        <v>0.33273210921923213</v>
      </c>
      <c r="AZ20" s="1">
        <f ca="1"/>
        <v>0.33227051090135751</v>
      </c>
      <c r="BA20" s="1">
        <f ca="1"/>
        <v>0.33180891258348305</v>
      </c>
      <c r="BB20" s="1">
        <f ca="1"/>
        <v>0.33134731426560837</v>
      </c>
      <c r="BC20" s="1">
        <f ca="1"/>
        <v>0.33088571594773386</v>
      </c>
      <c r="BD20" s="1">
        <f ca="1"/>
        <v>0.33042411762985935</v>
      </c>
      <c r="BE20" s="1">
        <f ca="1"/>
        <v>0.32996251931198473</v>
      </c>
      <c r="BF20" s="1">
        <f ca="1"/>
        <v>0.32950092099411016</v>
      </c>
      <c r="BG20" s="1">
        <f ca="1"/>
        <v>0.32903932267623565</v>
      </c>
      <c r="BH20" s="1">
        <f ca="1"/>
        <v>0.32857772435836108</v>
      </c>
      <c r="BI20" s="1">
        <f ca="1"/>
        <v>0.32829006163852625</v>
      </c>
      <c r="BJ20" s="1">
        <f ca="1"/>
        <v>0.32800239891869132</v>
      </c>
      <c r="BK20" s="1">
        <f ca="1"/>
        <v>0.32771473619885644</v>
      </c>
      <c r="BL20" s="1">
        <f ca="1"/>
        <v>0.32742707347902161</v>
      </c>
      <c r="BM20" s="1">
        <f ca="1"/>
        <v>0.32713941075918673</v>
      </c>
      <c r="BN20" s="1">
        <f ca="1"/>
        <v>0.32685174803935185</v>
      </c>
      <c r="BO20" s="1">
        <f ca="1"/>
        <v>0.32656408531951703</v>
      </c>
      <c r="BP20" s="1">
        <f ca="1"/>
        <v>0.32627642259968215</v>
      </c>
      <c r="BQ20" s="1">
        <f ca="1"/>
        <v>0.32598875987984727</v>
      </c>
      <c r="BR20" s="1">
        <f ca="1"/>
        <v>0.32570109716001233</v>
      </c>
      <c r="BS20" s="1">
        <f ca="1"/>
        <v>0.32541343444017751</v>
      </c>
      <c r="BT20" s="1">
        <f ca="1"/>
        <v>0.32512577172034263</v>
      </c>
    </row>
    <row r="21" spans="2:72" x14ac:dyDescent="0.2">
      <c r="B21" s="5">
        <v>5</v>
      </c>
      <c r="C21" s="4">
        <v>4.0500000000000001E-2</v>
      </c>
      <c r="E21" s="3">
        <v>4.4916666666666667E-2</v>
      </c>
      <c r="F21" s="1">
        <f ca="1"/>
        <v>0.96333561991212635</v>
      </c>
      <c r="G21" s="3">
        <f ca="1"/>
        <v>4.4907916504095979E-2</v>
      </c>
      <c r="H21" s="3">
        <f ca="1"/>
        <v>4.4824095522458501E-2</v>
      </c>
      <c r="I21">
        <v>10</v>
      </c>
      <c r="J21" s="2">
        <v>0.83333333333333337</v>
      </c>
      <c r="M21" s="1">
        <f ca="1"/>
        <v>0</v>
      </c>
      <c r="N21" s="1">
        <f ca="1"/>
        <v>0</v>
      </c>
      <c r="O21" s="1">
        <f ca="1"/>
        <v>0</v>
      </c>
      <c r="P21" s="1">
        <f ca="1"/>
        <v>0</v>
      </c>
      <c r="Q21" s="1">
        <f ca="1"/>
        <v>0</v>
      </c>
      <c r="R21" s="1">
        <f ca="1"/>
        <v>0</v>
      </c>
      <c r="S21" s="1">
        <f ca="1"/>
        <v>0</v>
      </c>
      <c r="T21" s="1">
        <f ca="1"/>
        <v>0</v>
      </c>
      <c r="U21" s="1">
        <f ca="1"/>
        <v>0</v>
      </c>
      <c r="V21" s="1">
        <f ca="1"/>
        <v>0</v>
      </c>
      <c r="W21" s="1">
        <f ca="1"/>
        <v>0</v>
      </c>
      <c r="X21" s="1">
        <f ca="1"/>
        <v>0.35644378978263858</v>
      </c>
      <c r="Y21" s="1">
        <f ca="1"/>
        <v>0.35519724974880118</v>
      </c>
      <c r="Z21" s="1">
        <f ca="1"/>
        <v>0.35395070971496378</v>
      </c>
      <c r="AA21" s="1">
        <f ca="1"/>
        <v>0.35270416968112633</v>
      </c>
      <c r="AB21" s="1">
        <f ca="1"/>
        <v>0.35145762964728894</v>
      </c>
      <c r="AC21" s="1">
        <f ca="1"/>
        <v>0.35021108961345154</v>
      </c>
      <c r="AD21" s="1">
        <f ca="1"/>
        <v>0.34896454957961415</v>
      </c>
      <c r="AE21" s="1">
        <f ca="1"/>
        <v>0.34771800954577681</v>
      </c>
      <c r="AF21" s="1">
        <f ca="1"/>
        <v>0.3464714695119393</v>
      </c>
      <c r="AG21" s="1">
        <f ca="1"/>
        <v>0.34522492947810196</v>
      </c>
      <c r="AH21" s="1">
        <f ca="1"/>
        <v>0.34397838944426457</v>
      </c>
      <c r="AI21" s="1">
        <f ca="1"/>
        <v>0.34273184941042711</v>
      </c>
      <c r="AJ21" s="1">
        <f ca="1"/>
        <v>0.34148530937658977</v>
      </c>
      <c r="AK21" s="1">
        <f ca="1"/>
        <v>0.34077204850161325</v>
      </c>
      <c r="AL21" s="1">
        <f ca="1"/>
        <v>0.34005878762663672</v>
      </c>
      <c r="AM21" s="1">
        <f ca="1"/>
        <v>0.33934552675166035</v>
      </c>
      <c r="AN21" s="1">
        <f ca="1"/>
        <v>0.33863226587668382</v>
      </c>
      <c r="AO21" s="1">
        <f ca="1"/>
        <v>0.33791900500170735</v>
      </c>
      <c r="AP21" s="1">
        <f ca="1"/>
        <v>0.33720574412673082</v>
      </c>
      <c r="AQ21" s="1">
        <f ca="1"/>
        <v>0.33649248325175429</v>
      </c>
      <c r="AR21" s="1">
        <f ca="1"/>
        <v>0.33577922237677793</v>
      </c>
      <c r="AS21" s="1">
        <f ca="1"/>
        <v>0.3350659615018014</v>
      </c>
      <c r="AT21" s="1">
        <f ca="1"/>
        <v>0.33435270062682498</v>
      </c>
      <c r="AU21" s="1">
        <f ca="1"/>
        <v>0.33363943975184845</v>
      </c>
      <c r="AV21" s="1">
        <f ca="1"/>
        <v>0.33292617887687198</v>
      </c>
      <c r="AW21" s="1">
        <f ca="1"/>
        <v>0.33246622560235439</v>
      </c>
      <c r="AX21" s="1">
        <f ca="1"/>
        <v>0.33200627232783692</v>
      </c>
      <c r="AY21" s="1">
        <f ca="1"/>
        <v>0.33154631905331938</v>
      </c>
      <c r="AZ21" s="1">
        <f ca="1"/>
        <v>0.33108636577880174</v>
      </c>
      <c r="BA21" s="1">
        <f ca="1"/>
        <v>0.33062641250428432</v>
      </c>
      <c r="BB21" s="1">
        <f ca="1"/>
        <v>0.33016645922976667</v>
      </c>
      <c r="BC21" s="1">
        <f ca="1"/>
        <v>0.32970650595524914</v>
      </c>
      <c r="BD21" s="1">
        <f ca="1"/>
        <v>0.32924655268073166</v>
      </c>
      <c r="BE21" s="1">
        <f ca="1"/>
        <v>0.32878659940621408</v>
      </c>
      <c r="BF21" s="1">
        <f ca="1"/>
        <v>0.32832664613169654</v>
      </c>
      <c r="BG21" s="1">
        <f ca="1"/>
        <v>0.32786669285717901</v>
      </c>
      <c r="BH21" s="1">
        <f ca="1"/>
        <v>0.32740673958266148</v>
      </c>
      <c r="BI21" s="1">
        <f ca="1"/>
        <v>0.32712010203477376</v>
      </c>
      <c r="BJ21" s="1">
        <f ca="1"/>
        <v>0.32683346448688599</v>
      </c>
      <c r="BK21" s="1">
        <f ca="1"/>
        <v>0.32654682693899822</v>
      </c>
      <c r="BL21" s="1">
        <f ca="1"/>
        <v>0.32626018939111051</v>
      </c>
      <c r="BM21" s="1">
        <f ca="1"/>
        <v>0.3259735518432228</v>
      </c>
      <c r="BN21" s="1">
        <f ca="1"/>
        <v>0.32568691429533503</v>
      </c>
      <c r="BO21" s="1">
        <f ca="1"/>
        <v>0.32540027674744731</v>
      </c>
      <c r="BP21" s="1">
        <f ca="1"/>
        <v>0.32511363919955955</v>
      </c>
      <c r="BQ21" s="1">
        <f ca="1"/>
        <v>0.32482700165167178</v>
      </c>
      <c r="BR21" s="1">
        <f ca="1"/>
        <v>0.32454036410378401</v>
      </c>
      <c r="BS21" s="1">
        <f ca="1"/>
        <v>0.32425372655589629</v>
      </c>
      <c r="BT21" s="1">
        <f ca="1"/>
        <v>0.32396708900800852</v>
      </c>
    </row>
    <row r="22" spans="2:72" x14ac:dyDescent="0.2">
      <c r="E22" s="3">
        <v>4.4738333333333338E-2</v>
      </c>
      <c r="F22" s="1">
        <f ca="1"/>
        <v>0.95990248594965499</v>
      </c>
      <c r="G22" s="3">
        <f ca="1"/>
        <v>4.4727049976922117E-2</v>
      </c>
      <c r="H22" s="3">
        <f ca="1"/>
        <v>4.4643901980368529E-2</v>
      </c>
      <c r="I22">
        <v>11</v>
      </c>
      <c r="J22" s="2">
        <v>0.91666666666666663</v>
      </c>
      <c r="M22" s="1">
        <f ca="1"/>
        <v>0</v>
      </c>
      <c r="N22" s="1">
        <f ca="1"/>
        <v>0</v>
      </c>
      <c r="O22" s="1">
        <f ca="1"/>
        <v>0</v>
      </c>
      <c r="P22" s="1">
        <f ca="1"/>
        <v>0</v>
      </c>
      <c r="Q22" s="1">
        <f ca="1"/>
        <v>0</v>
      </c>
      <c r="R22" s="1">
        <f ca="1"/>
        <v>0</v>
      </c>
      <c r="S22" s="1">
        <f ca="1"/>
        <v>0</v>
      </c>
      <c r="T22" s="1">
        <f ca="1"/>
        <v>0</v>
      </c>
      <c r="U22" s="1">
        <f ca="1"/>
        <v>0</v>
      </c>
      <c r="V22" s="1">
        <f ca="1"/>
        <v>0</v>
      </c>
      <c r="W22" s="1">
        <f ca="1"/>
        <v>0</v>
      </c>
      <c r="X22" s="1">
        <f ca="1"/>
        <v>0</v>
      </c>
      <c r="Y22" s="1">
        <f ca="1"/>
        <v>0.35394208905826663</v>
      </c>
      <c r="Z22" s="1">
        <f ca="1"/>
        <v>0.35269995392354031</v>
      </c>
      <c r="AA22" s="1">
        <f ca="1"/>
        <v>0.35145781878881382</v>
      </c>
      <c r="AB22" s="1">
        <f ca="1"/>
        <v>0.35021568365408745</v>
      </c>
      <c r="AC22" s="1">
        <f ca="1"/>
        <v>0.34897354851936108</v>
      </c>
      <c r="AD22" s="1">
        <f ca="1"/>
        <v>0.34773141338463465</v>
      </c>
      <c r="AE22" s="1">
        <f ca="1"/>
        <v>0.34648927824990833</v>
      </c>
      <c r="AF22" s="1">
        <f ca="1"/>
        <v>0.34524714311518184</v>
      </c>
      <c r="AG22" s="1">
        <f ca="1"/>
        <v>0.34400500798045552</v>
      </c>
      <c r="AH22" s="1">
        <f ca="1"/>
        <v>0.34276287284572909</v>
      </c>
      <c r="AI22" s="1">
        <f ca="1"/>
        <v>0.34152073771100266</v>
      </c>
      <c r="AJ22" s="1">
        <f ca="1"/>
        <v>0.34027860257627635</v>
      </c>
      <c r="AK22" s="1">
        <f ca="1"/>
        <v>0.33956786215159329</v>
      </c>
      <c r="AL22" s="1">
        <f ca="1"/>
        <v>0.33885712172691024</v>
      </c>
      <c r="AM22" s="1">
        <f ca="1"/>
        <v>0.33814638130222729</v>
      </c>
      <c r="AN22" s="1">
        <f ca="1"/>
        <v>0.33743564087754424</v>
      </c>
      <c r="AO22" s="1">
        <f ca="1"/>
        <v>0.33672490045286124</v>
      </c>
      <c r="AP22" s="1">
        <f ca="1"/>
        <v>0.33601416002817819</v>
      </c>
      <c r="AQ22" s="1">
        <f ca="1"/>
        <v>0.33530341960349513</v>
      </c>
      <c r="AR22" s="1">
        <f ca="1"/>
        <v>0.33459267917881219</v>
      </c>
      <c r="AS22" s="1">
        <f ca="1"/>
        <v>0.33388193875412914</v>
      </c>
      <c r="AT22" s="1">
        <f ca="1"/>
        <v>0.33317119832944619</v>
      </c>
      <c r="AU22" s="1">
        <f ca="1"/>
        <v>0.33246045790476314</v>
      </c>
      <c r="AV22" s="1">
        <f ca="1"/>
        <v>0.33174971748008014</v>
      </c>
      <c r="AW22" s="1">
        <f ca="1"/>
        <v>0.33129138954266762</v>
      </c>
      <c r="AX22" s="1">
        <f ca="1"/>
        <v>0.33083306160525527</v>
      </c>
      <c r="AY22" s="1">
        <f ca="1"/>
        <v>0.33037473366784292</v>
      </c>
      <c r="AZ22" s="1">
        <f ca="1"/>
        <v>0.32991640573043041</v>
      </c>
      <c r="BA22" s="1">
        <f ca="1"/>
        <v>0.32945807779301806</v>
      </c>
      <c r="BB22" s="1">
        <f ca="1"/>
        <v>0.32899974985560559</v>
      </c>
      <c r="BC22" s="1">
        <f ca="1"/>
        <v>0.32854142191819319</v>
      </c>
      <c r="BD22" s="1">
        <f ca="1"/>
        <v>0.32808309398078084</v>
      </c>
      <c r="BE22" s="1">
        <f ca="1"/>
        <v>0.32762476604336838</v>
      </c>
      <c r="BF22" s="1">
        <f ca="1"/>
        <v>0.32716643810595597</v>
      </c>
      <c r="BG22" s="1">
        <f ca="1"/>
        <v>0.32670811016854356</v>
      </c>
      <c r="BH22" s="1">
        <f ca="1"/>
        <v>0.32624978223113116</v>
      </c>
      <c r="BI22" s="1">
        <f ca="1"/>
        <v>0.32596415757448288</v>
      </c>
      <c r="BJ22" s="1">
        <f ca="1"/>
        <v>0.32567853291783455</v>
      </c>
      <c r="BK22" s="1">
        <f ca="1"/>
        <v>0.32539290826118622</v>
      </c>
      <c r="BL22" s="1">
        <f ca="1"/>
        <v>0.32510728360453794</v>
      </c>
      <c r="BM22" s="1">
        <f ca="1"/>
        <v>0.32482165894788961</v>
      </c>
      <c r="BN22" s="1">
        <f ca="1"/>
        <v>0.32453603429124128</v>
      </c>
      <c r="BO22" s="1">
        <f ca="1"/>
        <v>0.32425040963459301</v>
      </c>
      <c r="BP22" s="1">
        <f ca="1"/>
        <v>0.32396478497794468</v>
      </c>
      <c r="BQ22" s="1">
        <f ca="1"/>
        <v>0.32367916032129634</v>
      </c>
      <c r="BR22" s="1">
        <f ca="1"/>
        <v>0.32339353566464796</v>
      </c>
      <c r="BS22" s="1">
        <f ca="1"/>
        <v>0.32310791100799968</v>
      </c>
      <c r="BT22" s="1">
        <f ca="1"/>
        <v>0.32282228635135135</v>
      </c>
    </row>
    <row r="23" spans="2:72" x14ac:dyDescent="0.2">
      <c r="E23" s="3">
        <v>4.4560000000000002E-2</v>
      </c>
      <c r="F23" s="1">
        <f ca="1"/>
        <v>0.95651047807807821</v>
      </c>
      <c r="G23" s="3">
        <f ca="1"/>
        <v>4.4546012644111954E-2</v>
      </c>
      <c r="H23" s="3">
        <f ca="1"/>
        <v>4.4463535558507968E-2</v>
      </c>
      <c r="I23">
        <v>12</v>
      </c>
      <c r="J23" s="2">
        <v>1</v>
      </c>
      <c r="M23" s="1">
        <f ca="1"/>
        <v>0</v>
      </c>
      <c r="N23" s="1">
        <f ca="1"/>
        <v>0</v>
      </c>
      <c r="O23" s="1">
        <f ca="1"/>
        <v>0</v>
      </c>
      <c r="P23" s="1">
        <f ca="1"/>
        <v>0</v>
      </c>
      <c r="Q23" s="1">
        <f ca="1"/>
        <v>0</v>
      </c>
      <c r="R23" s="1">
        <f ca="1"/>
        <v>0</v>
      </c>
      <c r="S23" s="1">
        <f ca="1"/>
        <v>0</v>
      </c>
      <c r="T23" s="1">
        <f ca="1"/>
        <v>0</v>
      </c>
      <c r="U23" s="1">
        <f ca="1"/>
        <v>0</v>
      </c>
      <c r="V23" s="1">
        <f ca="1"/>
        <v>0</v>
      </c>
      <c r="W23" s="1">
        <f ca="1"/>
        <v>0</v>
      </c>
      <c r="X23" s="1">
        <f ca="1"/>
        <v>0</v>
      </c>
      <c r="Y23" s="1">
        <f ca="1"/>
        <v>0</v>
      </c>
      <c r="Z23" s="1">
        <f ca="1"/>
        <v>0.35145552740460195</v>
      </c>
      <c r="AA23" s="1">
        <f ca="1"/>
        <v>0.3502177748786186</v>
      </c>
      <c r="AB23" s="1">
        <f ca="1"/>
        <v>0.34898002235263531</v>
      </c>
      <c r="AC23" s="1">
        <f ca="1"/>
        <v>0.34774226982665207</v>
      </c>
      <c r="AD23" s="1">
        <f ca="1"/>
        <v>0.34650451730066878</v>
      </c>
      <c r="AE23" s="1">
        <f ca="1"/>
        <v>0.34526676477468554</v>
      </c>
      <c r="AF23" s="1">
        <f ca="1"/>
        <v>0.34402901224870219</v>
      </c>
      <c r="AG23" s="1">
        <f ca="1"/>
        <v>0.3427912597227189</v>
      </c>
      <c r="AH23" s="1">
        <f ca="1"/>
        <v>0.34155350719673561</v>
      </c>
      <c r="AI23" s="1">
        <f ca="1"/>
        <v>0.34031575467075231</v>
      </c>
      <c r="AJ23" s="1">
        <f ca="1"/>
        <v>0.33907800214476908</v>
      </c>
      <c r="AK23" s="1">
        <f ca="1"/>
        <v>0.33836976941599783</v>
      </c>
      <c r="AL23" s="1">
        <f ca="1"/>
        <v>0.33766153668722665</v>
      </c>
      <c r="AM23" s="1">
        <f ca="1"/>
        <v>0.33695330395845552</v>
      </c>
      <c r="AN23" s="1">
        <f ca="1"/>
        <v>0.33624507122968428</v>
      </c>
      <c r="AO23" s="1">
        <f ca="1"/>
        <v>0.33553683850091315</v>
      </c>
      <c r="AP23" s="1">
        <f ca="1"/>
        <v>0.33482860577214191</v>
      </c>
      <c r="AQ23" s="1">
        <f ca="1"/>
        <v>0.33412037304337067</v>
      </c>
      <c r="AR23" s="1">
        <f ca="1"/>
        <v>0.33341214031459954</v>
      </c>
      <c r="AS23" s="1">
        <f ca="1"/>
        <v>0.33270390758582835</v>
      </c>
      <c r="AT23" s="1">
        <f ca="1"/>
        <v>0.33199567485705722</v>
      </c>
      <c r="AU23" s="1">
        <f ca="1"/>
        <v>0.33128744212828598</v>
      </c>
      <c r="AV23" s="1">
        <f ca="1"/>
        <v>0.33057920939951485</v>
      </c>
      <c r="AW23" s="1">
        <f ca="1"/>
        <v>0.33012249857441933</v>
      </c>
      <c r="AX23" s="1">
        <f ca="1"/>
        <v>0.32966578774932398</v>
      </c>
      <c r="AY23" s="1">
        <f ca="1"/>
        <v>0.32920907692422852</v>
      </c>
      <c r="AZ23" s="1">
        <f ca="1"/>
        <v>0.328752366099133</v>
      </c>
      <c r="BA23" s="1">
        <f ca="1"/>
        <v>0.32829565527403765</v>
      </c>
      <c r="BB23" s="1">
        <f ca="1"/>
        <v>0.32783894444894213</v>
      </c>
      <c r="BC23" s="1">
        <f ca="1"/>
        <v>0.32738223362384672</v>
      </c>
      <c r="BD23" s="1">
        <f ca="1"/>
        <v>0.32692552279875137</v>
      </c>
      <c r="BE23" s="1">
        <f ca="1"/>
        <v>0.32646881197365585</v>
      </c>
      <c r="BF23" s="1">
        <f ca="1"/>
        <v>0.32601210114856044</v>
      </c>
      <c r="BG23" s="1">
        <f ca="1"/>
        <v>0.32555539032346503</v>
      </c>
      <c r="BH23" s="1">
        <f ca="1"/>
        <v>0.32509867949836957</v>
      </c>
      <c r="BI23" s="1">
        <f ca="1"/>
        <v>0.32481406260736811</v>
      </c>
      <c r="BJ23" s="1">
        <f ca="1"/>
        <v>0.32452944571636655</v>
      </c>
      <c r="BK23" s="1">
        <f ca="1"/>
        <v>0.32424482882536504</v>
      </c>
      <c r="BL23" s="1">
        <f ca="1"/>
        <v>0.32396021193436358</v>
      </c>
      <c r="BM23" s="1">
        <f ca="1"/>
        <v>0.32367559504336207</v>
      </c>
      <c r="BN23" s="1">
        <f ca="1"/>
        <v>0.32339097815236056</v>
      </c>
      <c r="BO23" s="1">
        <f ca="1"/>
        <v>0.32310636126135911</v>
      </c>
      <c r="BP23" s="1">
        <f ca="1"/>
        <v>0.3228217443703576</v>
      </c>
      <c r="BQ23" s="1">
        <f ca="1"/>
        <v>0.32253712747935603</v>
      </c>
      <c r="BR23" s="1">
        <f ca="1"/>
        <v>0.32225251058835447</v>
      </c>
      <c r="BS23" s="1">
        <f ca="1"/>
        <v>0.32196789369735301</v>
      </c>
      <c r="BT23" s="1">
        <f ca="1"/>
        <v>0.3216832768063515</v>
      </c>
    </row>
    <row r="24" spans="2:72" x14ac:dyDescent="0.2">
      <c r="E24" s="3">
        <v>4.4404166666666668E-2</v>
      </c>
      <c r="F24" s="1">
        <f ca="1"/>
        <v>0.95313563498178233</v>
      </c>
      <c r="G24" s="3">
        <f ca="1"/>
        <v>4.4387795643496375E-2</v>
      </c>
      <c r="H24" s="3">
        <f ca="1"/>
        <v>4.4305902678403862E-2</v>
      </c>
      <c r="I24">
        <v>13</v>
      </c>
      <c r="J24" s="2">
        <v>1.0833333333333333</v>
      </c>
      <c r="M24" s="1">
        <f ca="1"/>
        <v>0</v>
      </c>
      <c r="N24" s="1">
        <f ca="1"/>
        <v>0</v>
      </c>
      <c r="O24" s="1">
        <f ca="1"/>
        <v>0</v>
      </c>
      <c r="P24" s="1">
        <f ca="1"/>
        <v>0</v>
      </c>
      <c r="Q24" s="1">
        <f ca="1"/>
        <v>0</v>
      </c>
      <c r="R24" s="1">
        <f ca="1"/>
        <v>0</v>
      </c>
      <c r="S24" s="1">
        <f ca="1"/>
        <v>0</v>
      </c>
      <c r="T24" s="1">
        <f ca="1"/>
        <v>0</v>
      </c>
      <c r="U24" s="1">
        <f ca="1"/>
        <v>0</v>
      </c>
      <c r="V24" s="1">
        <f ca="1"/>
        <v>0</v>
      </c>
      <c r="W24" s="1">
        <f ca="1"/>
        <v>0</v>
      </c>
      <c r="X24" s="1">
        <f ca="1"/>
        <v>0</v>
      </c>
      <c r="Y24" s="1">
        <f ca="1"/>
        <v>0</v>
      </c>
      <c r="Z24" s="1">
        <f ca="1"/>
        <v>0</v>
      </c>
      <c r="AA24" s="1">
        <f ca="1"/>
        <v>0.3489913491767383</v>
      </c>
      <c r="AB24" s="1">
        <f ca="1"/>
        <v>0.34775793112952602</v>
      </c>
      <c r="AC24" s="1">
        <f ca="1"/>
        <v>0.34652451308231375</v>
      </c>
      <c r="AD24" s="1">
        <f ca="1"/>
        <v>0.34529109503510141</v>
      </c>
      <c r="AE24" s="1">
        <f ca="1"/>
        <v>0.34405767698788914</v>
      </c>
      <c r="AF24" s="1">
        <f ca="1"/>
        <v>0.34282425894067681</v>
      </c>
      <c r="AG24" s="1">
        <f ca="1"/>
        <v>0.34159084089346453</v>
      </c>
      <c r="AH24" s="1">
        <f ca="1"/>
        <v>0.3403574228462522</v>
      </c>
      <c r="AI24" s="1">
        <f ca="1"/>
        <v>0.33912400479903992</v>
      </c>
      <c r="AJ24" s="1">
        <f ca="1"/>
        <v>0.33789058675182765</v>
      </c>
      <c r="AK24" s="1">
        <f ca="1"/>
        <v>0.33718483417935852</v>
      </c>
      <c r="AL24" s="1">
        <f ca="1"/>
        <v>0.33647908160688944</v>
      </c>
      <c r="AM24" s="1">
        <f ca="1"/>
        <v>0.33577332903442042</v>
      </c>
      <c r="AN24" s="1">
        <f ca="1"/>
        <v>0.33506757646195134</v>
      </c>
      <c r="AO24" s="1">
        <f ca="1"/>
        <v>0.33436182388948227</v>
      </c>
      <c r="AP24" s="1">
        <f ca="1"/>
        <v>0.33365607131701314</v>
      </c>
      <c r="AQ24" s="1">
        <f ca="1"/>
        <v>0.33295031874454406</v>
      </c>
      <c r="AR24" s="1">
        <f ca="1"/>
        <v>0.33224456617207504</v>
      </c>
      <c r="AS24" s="1">
        <f ca="1"/>
        <v>0.33153881359960596</v>
      </c>
      <c r="AT24" s="1">
        <f ca="1"/>
        <v>0.33083306102713694</v>
      </c>
      <c r="AU24" s="1">
        <f ca="1"/>
        <v>0.33012730845466781</v>
      </c>
      <c r="AV24" s="1">
        <f ca="1"/>
        <v>0.32942155588219879</v>
      </c>
      <c r="AW24" s="1">
        <f ca="1"/>
        <v>0.32896644441023265</v>
      </c>
      <c r="AX24" s="1">
        <f ca="1"/>
        <v>0.32851133293826668</v>
      </c>
      <c r="AY24" s="1">
        <f ca="1"/>
        <v>0.3280562214663007</v>
      </c>
      <c r="AZ24" s="1">
        <f ca="1"/>
        <v>0.32760110999433456</v>
      </c>
      <c r="BA24" s="1">
        <f ca="1"/>
        <v>0.32714599852236859</v>
      </c>
      <c r="BB24" s="1">
        <f ca="1"/>
        <v>0.3266908870504025</v>
      </c>
      <c r="BC24" s="1">
        <f ca="1"/>
        <v>0.32623577557843647</v>
      </c>
      <c r="BD24" s="1">
        <f ca="1"/>
        <v>0.3257806641064705</v>
      </c>
      <c r="BE24" s="1">
        <f ca="1"/>
        <v>0.32532555263450441</v>
      </c>
      <c r="BF24" s="1">
        <f ca="1"/>
        <v>0.32487044116253838</v>
      </c>
      <c r="BG24" s="1">
        <f ca="1"/>
        <v>0.32441532969057235</v>
      </c>
      <c r="BH24" s="1">
        <f ca="1"/>
        <v>0.32396021821860632</v>
      </c>
      <c r="BI24" s="1">
        <f ca="1"/>
        <v>0.32367659802593185</v>
      </c>
      <c r="BJ24" s="1">
        <f ca="1"/>
        <v>0.32339297783325738</v>
      </c>
      <c r="BK24" s="1">
        <f ca="1"/>
        <v>0.32310935764058285</v>
      </c>
      <c r="BL24" s="1">
        <f ca="1"/>
        <v>0.32282573744790843</v>
      </c>
      <c r="BM24" s="1">
        <f ca="1"/>
        <v>0.32254211725523391</v>
      </c>
      <c r="BN24" s="1">
        <f ca="1"/>
        <v>0.32225849706255943</v>
      </c>
      <c r="BO24" s="1">
        <f ca="1"/>
        <v>0.32197487686988496</v>
      </c>
      <c r="BP24" s="1">
        <f ca="1"/>
        <v>0.32169125667721049</v>
      </c>
      <c r="BQ24" s="1">
        <f ca="1"/>
        <v>0.32140763648453596</v>
      </c>
      <c r="BR24" s="1">
        <f ca="1"/>
        <v>0.32112401629186144</v>
      </c>
      <c r="BS24" s="1">
        <f ca="1"/>
        <v>0.32084039609918696</v>
      </c>
      <c r="BT24" s="1">
        <f ca="1"/>
        <v>0.32055677590651249</v>
      </c>
    </row>
    <row r="25" spans="2:72" x14ac:dyDescent="0.2">
      <c r="E25" s="3">
        <v>4.4248333333333334E-2</v>
      </c>
      <c r="F25" s="1">
        <f ca="1"/>
        <v>0.94979785453781485</v>
      </c>
      <c r="G25" s="3">
        <f ca="1"/>
        <v>4.4229397443987573E-2</v>
      </c>
      <c r="H25" s="3">
        <f ca="1"/>
        <v>4.4148087194111257E-2</v>
      </c>
      <c r="I25">
        <v>14</v>
      </c>
      <c r="J25" s="2">
        <v>1.1666666666666667</v>
      </c>
      <c r="M25" s="1">
        <f ca="1"/>
        <v>0</v>
      </c>
      <c r="N25" s="1">
        <f ca="1"/>
        <v>0</v>
      </c>
      <c r="O25" s="1">
        <f ca="1"/>
        <v>0</v>
      </c>
      <c r="P25" s="1">
        <f ca="1"/>
        <v>0</v>
      </c>
      <c r="Q25" s="1">
        <f ca="1"/>
        <v>0</v>
      </c>
      <c r="R25" s="1">
        <f ca="1"/>
        <v>0</v>
      </c>
      <c r="S25" s="1">
        <f ca="1"/>
        <v>0</v>
      </c>
      <c r="T25" s="1">
        <f ca="1"/>
        <v>0</v>
      </c>
      <c r="U25" s="1">
        <f ca="1"/>
        <v>0</v>
      </c>
      <c r="V25" s="1">
        <f ca="1"/>
        <v>0</v>
      </c>
      <c r="W25" s="1">
        <f ca="1"/>
        <v>0</v>
      </c>
      <c r="X25" s="1">
        <f ca="1"/>
        <v>0</v>
      </c>
      <c r="Y25" s="1">
        <f ca="1"/>
        <v>0</v>
      </c>
      <c r="Z25" s="1">
        <f ca="1"/>
        <v>0</v>
      </c>
      <c r="AA25" s="1">
        <f ca="1"/>
        <v>0</v>
      </c>
      <c r="AB25" s="1">
        <f ca="1"/>
        <v>0.34654931286940294</v>
      </c>
      <c r="AC25" s="1">
        <f ca="1"/>
        <v>0.34532018151543553</v>
      </c>
      <c r="AD25" s="1">
        <f ca="1"/>
        <v>0.34409105016146813</v>
      </c>
      <c r="AE25" s="1">
        <f ca="1"/>
        <v>0.34286191880750072</v>
      </c>
      <c r="AF25" s="1">
        <f ca="1"/>
        <v>0.34163278745353326</v>
      </c>
      <c r="AG25" s="1">
        <f ca="1"/>
        <v>0.34040365609956585</v>
      </c>
      <c r="AH25" s="1">
        <f ca="1"/>
        <v>0.33917452474559845</v>
      </c>
      <c r="AI25" s="1">
        <f ca="1"/>
        <v>0.33794539339163099</v>
      </c>
      <c r="AJ25" s="1">
        <f ca="1"/>
        <v>0.33671626203766358</v>
      </c>
      <c r="AK25" s="1">
        <f ca="1"/>
        <v>0.33601296227897631</v>
      </c>
      <c r="AL25" s="1">
        <f ca="1"/>
        <v>0.33530966252028904</v>
      </c>
      <c r="AM25" s="1">
        <f ca="1"/>
        <v>0.33460636276160188</v>
      </c>
      <c r="AN25" s="1">
        <f ca="1"/>
        <v>0.33390306300291461</v>
      </c>
      <c r="AO25" s="1">
        <f ca="1"/>
        <v>0.3331997632442274</v>
      </c>
      <c r="AP25" s="1">
        <f ca="1"/>
        <v>0.33249646348554007</v>
      </c>
      <c r="AQ25" s="1">
        <f ca="1"/>
        <v>0.3317931637268528</v>
      </c>
      <c r="AR25" s="1">
        <f ca="1"/>
        <v>0.33108986396816564</v>
      </c>
      <c r="AS25" s="1">
        <f ca="1"/>
        <v>0.33038656420947837</v>
      </c>
      <c r="AT25" s="1">
        <f ca="1"/>
        <v>0.32968326445079121</v>
      </c>
      <c r="AU25" s="1">
        <f ca="1"/>
        <v>0.32897996469210394</v>
      </c>
      <c r="AV25" s="1">
        <f ca="1"/>
        <v>0.32827666493341667</v>
      </c>
      <c r="AW25" s="1">
        <f ca="1"/>
        <v>0.32782313518248746</v>
      </c>
      <c r="AX25" s="1">
        <f ca="1"/>
        <v>0.32736960543155835</v>
      </c>
      <c r="AY25" s="1">
        <f ca="1"/>
        <v>0.32691607568062925</v>
      </c>
      <c r="AZ25" s="1">
        <f ca="1"/>
        <v>0.32646254592970003</v>
      </c>
      <c r="BA25" s="1">
        <f ca="1"/>
        <v>0.32600901617877093</v>
      </c>
      <c r="BB25" s="1">
        <f ca="1"/>
        <v>0.32555548642784171</v>
      </c>
      <c r="BC25" s="1">
        <f ca="1"/>
        <v>0.32510195667691255</v>
      </c>
      <c r="BD25" s="1">
        <f ca="1"/>
        <v>0.3246484269259835</v>
      </c>
      <c r="BE25" s="1">
        <f ca="1"/>
        <v>0.32419489717505423</v>
      </c>
      <c r="BF25" s="1">
        <f ca="1"/>
        <v>0.32374136742412513</v>
      </c>
      <c r="BG25" s="1">
        <f ca="1"/>
        <v>0.32328783767319597</v>
      </c>
      <c r="BH25" s="1">
        <f ca="1"/>
        <v>0.32283430792226681</v>
      </c>
      <c r="BI25" s="1">
        <f ca="1"/>
        <v>0.32255167343980373</v>
      </c>
      <c r="BJ25" s="1">
        <f ca="1"/>
        <v>0.3222690389573406</v>
      </c>
      <c r="BK25" s="1">
        <f ca="1"/>
        <v>0.32198640447487753</v>
      </c>
      <c r="BL25" s="1">
        <f ca="1"/>
        <v>0.32170376999241446</v>
      </c>
      <c r="BM25" s="1">
        <f ca="1"/>
        <v>0.32142113550995133</v>
      </c>
      <c r="BN25" s="1">
        <f ca="1"/>
        <v>0.32113850102748825</v>
      </c>
      <c r="BO25" s="1">
        <f ca="1"/>
        <v>0.32085586654502518</v>
      </c>
      <c r="BP25" s="1">
        <f ca="1"/>
        <v>0.32057323206256205</v>
      </c>
      <c r="BQ25" s="1">
        <f ca="1"/>
        <v>0.32029059758009898</v>
      </c>
      <c r="BR25" s="1">
        <f ca="1"/>
        <v>0.32000796309763579</v>
      </c>
      <c r="BS25" s="1">
        <f ca="1"/>
        <v>0.31972532861517272</v>
      </c>
      <c r="BT25" s="1">
        <f ca="1"/>
        <v>0.31944269413270965</v>
      </c>
    </row>
    <row r="26" spans="2:72" x14ac:dyDescent="0.2">
      <c r="E26" s="3">
        <v>4.40925E-2</v>
      </c>
      <c r="F26" s="1">
        <f ca="1"/>
        <v>0.94649687150432493</v>
      </c>
      <c r="G26" s="3">
        <f ca="1"/>
        <v>4.4070819889158841E-2</v>
      </c>
      <c r="H26" s="3">
        <f ca="1"/>
        <v>4.3990090935279294E-2</v>
      </c>
      <c r="I26">
        <v>15</v>
      </c>
      <c r="J26" s="2">
        <v>1.25</v>
      </c>
      <c r="M26" s="1">
        <f ca="1"/>
        <v>0</v>
      </c>
      <c r="N26" s="1">
        <f ca="1"/>
        <v>0</v>
      </c>
      <c r="O26" s="1">
        <f ca="1"/>
        <v>0</v>
      </c>
      <c r="P26" s="1">
        <f ca="1"/>
        <v>0</v>
      </c>
      <c r="Q26" s="1">
        <f ca="1"/>
        <v>0</v>
      </c>
      <c r="R26" s="1">
        <f ca="1"/>
        <v>0</v>
      </c>
      <c r="S26" s="1">
        <f ca="1"/>
        <v>0</v>
      </c>
      <c r="T26" s="1">
        <f ca="1"/>
        <v>0</v>
      </c>
      <c r="U26" s="1">
        <f ca="1"/>
        <v>0</v>
      </c>
      <c r="V26" s="1">
        <f ca="1"/>
        <v>0</v>
      </c>
      <c r="W26" s="1">
        <f ca="1"/>
        <v>0</v>
      </c>
      <c r="X26" s="1">
        <f ca="1"/>
        <v>0</v>
      </c>
      <c r="Y26" s="1">
        <f ca="1"/>
        <v>0</v>
      </c>
      <c r="Z26" s="1">
        <f ca="1"/>
        <v>0</v>
      </c>
      <c r="AA26" s="1">
        <f ca="1"/>
        <v>0</v>
      </c>
      <c r="AB26" s="1">
        <f ca="1"/>
        <v>0</v>
      </c>
      <c r="AC26" s="1">
        <f ca="1"/>
        <v>0.34412917940294907</v>
      </c>
      <c r="AD26" s="1">
        <f ca="1"/>
        <v>0.34290428729741679</v>
      </c>
      <c r="AE26" s="1">
        <f ca="1"/>
        <v>0.34167939519188451</v>
      </c>
      <c r="AF26" s="1">
        <f ca="1"/>
        <v>0.34045450308635211</v>
      </c>
      <c r="AG26" s="1">
        <f ca="1"/>
        <v>0.33922961098081983</v>
      </c>
      <c r="AH26" s="1">
        <f ca="1"/>
        <v>0.33800471887528749</v>
      </c>
      <c r="AI26" s="1">
        <f ca="1"/>
        <v>0.33677982676975515</v>
      </c>
      <c r="AJ26" s="1">
        <f ca="1"/>
        <v>0.33555493466422287</v>
      </c>
      <c r="AK26" s="1">
        <f ca="1"/>
        <v>0.33485406057175249</v>
      </c>
      <c r="AL26" s="1">
        <f ca="1"/>
        <v>0.33415318647928205</v>
      </c>
      <c r="AM26" s="1">
        <f ca="1"/>
        <v>0.33345231238681178</v>
      </c>
      <c r="AN26" s="1">
        <f ca="1"/>
        <v>0.3327514382943414</v>
      </c>
      <c r="AO26" s="1">
        <f ca="1"/>
        <v>0.33205056420187101</v>
      </c>
      <c r="AP26" s="1">
        <f ca="1"/>
        <v>0.33134969010940063</v>
      </c>
      <c r="AQ26" s="1">
        <f ca="1"/>
        <v>0.33064881601693019</v>
      </c>
      <c r="AR26" s="1">
        <f ca="1"/>
        <v>0.32994794192445992</v>
      </c>
      <c r="AS26" s="1">
        <f ca="1"/>
        <v>0.32924706783198954</v>
      </c>
      <c r="AT26" s="1">
        <f ca="1"/>
        <v>0.32854619373951921</v>
      </c>
      <c r="AU26" s="1">
        <f ca="1"/>
        <v>0.32784531964704883</v>
      </c>
      <c r="AV26" s="1">
        <f ca="1"/>
        <v>0.3271444455545785</v>
      </c>
      <c r="AW26" s="1">
        <f ca="1"/>
        <v>0.32669248001831247</v>
      </c>
      <c r="AX26" s="1">
        <f ca="1"/>
        <v>0.32624051448204661</v>
      </c>
      <c r="AY26" s="1">
        <f ca="1"/>
        <v>0.32578854894578069</v>
      </c>
      <c r="AZ26" s="1">
        <f ca="1"/>
        <v>0.32533658340951466</v>
      </c>
      <c r="BA26" s="1">
        <f ca="1"/>
        <v>0.32488461787324879</v>
      </c>
      <c r="BB26" s="1">
        <f ca="1"/>
        <v>0.32443265233698276</v>
      </c>
      <c r="BC26" s="1">
        <f ca="1"/>
        <v>0.3239806868007169</v>
      </c>
      <c r="BD26" s="1">
        <f ca="1"/>
        <v>0.32352872126445104</v>
      </c>
      <c r="BE26" s="1">
        <f ca="1"/>
        <v>0.32307675572818501</v>
      </c>
      <c r="BF26" s="1">
        <f ca="1"/>
        <v>0.32262479019191909</v>
      </c>
      <c r="BG26" s="1">
        <f ca="1"/>
        <v>0.32217282465565317</v>
      </c>
      <c r="BH26" s="1">
        <f ca="1"/>
        <v>0.32172085911938719</v>
      </c>
      <c r="BI26" s="1">
        <f ca="1"/>
        <v>0.32143919943736643</v>
      </c>
      <c r="BJ26" s="1">
        <f ca="1"/>
        <v>0.32115753975534561</v>
      </c>
      <c r="BK26" s="1">
        <f ca="1"/>
        <v>0.32087588007332485</v>
      </c>
      <c r="BL26" s="1">
        <f ca="1"/>
        <v>0.32059422039130409</v>
      </c>
      <c r="BM26" s="1">
        <f ca="1"/>
        <v>0.32031256070928327</v>
      </c>
      <c r="BN26" s="1">
        <f ca="1"/>
        <v>0.32003090102726245</v>
      </c>
      <c r="BO26" s="1">
        <f ca="1"/>
        <v>0.31974924134524169</v>
      </c>
      <c r="BP26" s="1">
        <f ca="1"/>
        <v>0.31946758166322087</v>
      </c>
      <c r="BQ26" s="1">
        <f ca="1"/>
        <v>0.31918592198120005</v>
      </c>
      <c r="BR26" s="1">
        <f ca="1"/>
        <v>0.31890426229917918</v>
      </c>
      <c r="BS26" s="1">
        <f ca="1"/>
        <v>0.31862260261715841</v>
      </c>
      <c r="BT26" s="1">
        <f ca="1"/>
        <v>0.31834094293513759</v>
      </c>
    </row>
    <row r="27" spans="2:72" x14ac:dyDescent="0.2">
      <c r="E27" s="3">
        <v>4.3936666666666666E-2</v>
      </c>
      <c r="F27" s="1">
        <f ca="1"/>
        <v>0.94323242351151892</v>
      </c>
      <c r="G27" s="3">
        <f ca="1"/>
        <v>4.3912064798887762E-2</v>
      </c>
      <c r="H27" s="3">
        <f ca="1"/>
        <v>4.3831915708039799E-2</v>
      </c>
      <c r="I27">
        <v>16</v>
      </c>
      <c r="J27" s="2">
        <v>1.3333333333333333</v>
      </c>
      <c r="M27" s="1">
        <f ca="1"/>
        <v>0</v>
      </c>
      <c r="N27" s="1">
        <f ca="1"/>
        <v>0</v>
      </c>
      <c r="O27" s="1">
        <f ca="1"/>
        <v>0</v>
      </c>
      <c r="P27" s="1">
        <f ca="1"/>
        <v>0</v>
      </c>
      <c r="Q27" s="1">
        <f ca="1"/>
        <v>0</v>
      </c>
      <c r="R27" s="1">
        <f ca="1"/>
        <v>0</v>
      </c>
      <c r="S27" s="1">
        <f ca="1"/>
        <v>0</v>
      </c>
      <c r="T27" s="1">
        <f ca="1"/>
        <v>0</v>
      </c>
      <c r="U27" s="1">
        <f ca="1"/>
        <v>0</v>
      </c>
      <c r="V27" s="1">
        <f ca="1"/>
        <v>0</v>
      </c>
      <c r="W27" s="1">
        <f ca="1"/>
        <v>0</v>
      </c>
      <c r="X27" s="1">
        <f ca="1"/>
        <v>0</v>
      </c>
      <c r="Y27" s="1">
        <f ca="1"/>
        <v>0</v>
      </c>
      <c r="Z27" s="1">
        <f ca="1"/>
        <v>0</v>
      </c>
      <c r="AA27" s="1">
        <f ca="1"/>
        <v>0</v>
      </c>
      <c r="AB27" s="1">
        <f ca="1"/>
        <v>0</v>
      </c>
      <c r="AC27" s="1">
        <f ca="1"/>
        <v>0</v>
      </c>
      <c r="AD27" s="1">
        <f ca="1"/>
        <v>0.34173071209474759</v>
      </c>
      <c r="AE27" s="1">
        <f ca="1"/>
        <v>0.34051001212986287</v>
      </c>
      <c r="AF27" s="1">
        <f ca="1"/>
        <v>0.33928931216497804</v>
      </c>
      <c r="AG27" s="1">
        <f ca="1"/>
        <v>0.33806861220009332</v>
      </c>
      <c r="AH27" s="1">
        <f ca="1"/>
        <v>0.33684791223520849</v>
      </c>
      <c r="AI27" s="1">
        <f ca="1"/>
        <v>0.33562721227032372</v>
      </c>
      <c r="AJ27" s="1">
        <f ca="1"/>
        <v>0.334406512305439</v>
      </c>
      <c r="AK27" s="1">
        <f ca="1"/>
        <v>0.3337080369244621</v>
      </c>
      <c r="AL27" s="1">
        <f ca="1"/>
        <v>0.33300956154348521</v>
      </c>
      <c r="AM27" s="1">
        <f ca="1"/>
        <v>0.33231108616250843</v>
      </c>
      <c r="AN27" s="1">
        <f ca="1"/>
        <v>0.33161261078153154</v>
      </c>
      <c r="AO27" s="1">
        <f ca="1"/>
        <v>0.33091413540055475</v>
      </c>
      <c r="AP27" s="1">
        <f ca="1"/>
        <v>0.33021566001957786</v>
      </c>
      <c r="AQ27" s="1">
        <f ca="1"/>
        <v>0.32951718463860097</v>
      </c>
      <c r="AR27" s="1">
        <f ca="1"/>
        <v>0.32881870925762419</v>
      </c>
      <c r="AS27" s="1">
        <f ca="1"/>
        <v>0.32812023387664729</v>
      </c>
      <c r="AT27" s="1">
        <f ca="1"/>
        <v>0.32742175849567051</v>
      </c>
      <c r="AU27" s="1">
        <f ca="1"/>
        <v>0.32672328311469362</v>
      </c>
      <c r="AV27" s="1">
        <f ca="1"/>
        <v>0.32602480773371678</v>
      </c>
      <c r="AW27" s="1">
        <f ca="1"/>
        <v>0.32557438903009611</v>
      </c>
      <c r="AX27" s="1">
        <f ca="1"/>
        <v>0.32512397032647561</v>
      </c>
      <c r="AY27" s="1">
        <f ca="1"/>
        <v>0.32467355162285505</v>
      </c>
      <c r="AZ27" s="1">
        <f ca="1"/>
        <v>0.32422313291923438</v>
      </c>
      <c r="BA27" s="1">
        <f ca="1"/>
        <v>0.32377271421561388</v>
      </c>
      <c r="BB27" s="1">
        <f ca="1"/>
        <v>0.32332229551199321</v>
      </c>
      <c r="BC27" s="1">
        <f ca="1"/>
        <v>0.32287187680837265</v>
      </c>
      <c r="BD27" s="1">
        <f ca="1"/>
        <v>0.32242145810475215</v>
      </c>
      <c r="BE27" s="1">
        <f ca="1"/>
        <v>0.32197103940113148</v>
      </c>
      <c r="BF27" s="1">
        <f ca="1"/>
        <v>0.32152062069751092</v>
      </c>
      <c r="BG27" s="1">
        <f ca="1"/>
        <v>0.32107020199389036</v>
      </c>
      <c r="BH27" s="1">
        <f ca="1"/>
        <v>0.32061978329026974</v>
      </c>
      <c r="BI27" s="1">
        <f ca="1"/>
        <v>0.32033908757641927</v>
      </c>
      <c r="BJ27" s="1">
        <f ca="1"/>
        <v>0.32005839186256879</v>
      </c>
      <c r="BK27" s="1">
        <f ca="1"/>
        <v>0.31977769614871826</v>
      </c>
      <c r="BL27" s="1">
        <f ca="1"/>
        <v>0.31949700043486778</v>
      </c>
      <c r="BM27" s="1">
        <f ca="1"/>
        <v>0.31921630472101725</v>
      </c>
      <c r="BN27" s="1">
        <f ca="1"/>
        <v>0.31893560900716672</v>
      </c>
      <c r="BO27" s="1">
        <f ca="1"/>
        <v>0.31865491329331624</v>
      </c>
      <c r="BP27" s="1">
        <f ca="1"/>
        <v>0.31837421757946577</v>
      </c>
      <c r="BQ27" s="1">
        <f ca="1"/>
        <v>0.31809352186561524</v>
      </c>
      <c r="BR27" s="1">
        <f ca="1"/>
        <v>0.31781282615176465</v>
      </c>
      <c r="BS27" s="1">
        <f ca="1"/>
        <v>0.31753213043791417</v>
      </c>
      <c r="BT27" s="1">
        <f ca="1"/>
        <v>0.31725143472406364</v>
      </c>
    </row>
    <row r="28" spans="2:72" x14ac:dyDescent="0.2">
      <c r="E28" s="3">
        <v>4.3780833333333331E-2</v>
      </c>
      <c r="F28" s="1">
        <f ca="1"/>
        <v>0.94000425103426277</v>
      </c>
      <c r="G28" s="3">
        <f ca="1"/>
        <v>4.3753133981301318E-2</v>
      </c>
      <c r="H28" s="3">
        <f ca="1"/>
        <v>4.3673563306897478E-2</v>
      </c>
      <c r="I28">
        <v>17</v>
      </c>
      <c r="J28" s="2">
        <v>1.4166666666666667</v>
      </c>
      <c r="M28" s="1">
        <f ca="1"/>
        <v>0</v>
      </c>
      <c r="N28" s="1">
        <f ca="1"/>
        <v>0</v>
      </c>
      <c r="O28" s="1">
        <f ca="1"/>
        <v>0</v>
      </c>
      <c r="P28" s="1">
        <f ca="1"/>
        <v>0</v>
      </c>
      <c r="Q28" s="1">
        <f ca="1"/>
        <v>0</v>
      </c>
      <c r="R28" s="1">
        <f ca="1"/>
        <v>0</v>
      </c>
      <c r="S28" s="1">
        <f ca="1"/>
        <v>0</v>
      </c>
      <c r="T28" s="1">
        <f ca="1"/>
        <v>0</v>
      </c>
      <c r="U28" s="1">
        <f ca="1"/>
        <v>0</v>
      </c>
      <c r="V28" s="1">
        <f ca="1"/>
        <v>0</v>
      </c>
      <c r="W28" s="1">
        <f ca="1"/>
        <v>0</v>
      </c>
      <c r="X28" s="1">
        <f ca="1"/>
        <v>0</v>
      </c>
      <c r="Y28" s="1">
        <f ca="1"/>
        <v>0</v>
      </c>
      <c r="Z28" s="1">
        <f ca="1"/>
        <v>0</v>
      </c>
      <c r="AA28" s="1">
        <f ca="1"/>
        <v>0</v>
      </c>
      <c r="AB28" s="1">
        <f ca="1"/>
        <v>0</v>
      </c>
      <c r="AC28" s="1">
        <f ca="1"/>
        <v>0</v>
      </c>
      <c r="AD28" s="1">
        <f ca="1"/>
        <v>0</v>
      </c>
      <c r="AE28" s="1">
        <f ca="1"/>
        <v>0.339353676630889</v>
      </c>
      <c r="AF28" s="1">
        <f ca="1"/>
        <v>0.33813712203222751</v>
      </c>
      <c r="AG28" s="1">
        <f ca="1"/>
        <v>0.33692056743356613</v>
      </c>
      <c r="AH28" s="1">
        <f ca="1"/>
        <v>0.33570401283490464</v>
      </c>
      <c r="AI28" s="1">
        <f ca="1"/>
        <v>0.33448745823624321</v>
      </c>
      <c r="AJ28" s="1">
        <f ca="1"/>
        <v>0.33327090363758183</v>
      </c>
      <c r="AK28" s="1">
        <f ca="1"/>
        <v>0.33257480020412311</v>
      </c>
      <c r="AL28" s="1">
        <f ca="1"/>
        <v>0.33187869677066439</v>
      </c>
      <c r="AM28" s="1">
        <f ca="1"/>
        <v>0.33118259333720579</v>
      </c>
      <c r="AN28" s="1">
        <f ca="1"/>
        <v>0.33048648990374707</v>
      </c>
      <c r="AO28" s="1">
        <f ca="1"/>
        <v>0.32979038647028841</v>
      </c>
      <c r="AP28" s="1">
        <f ca="1"/>
        <v>0.32909428303682969</v>
      </c>
      <c r="AQ28" s="1">
        <f ca="1"/>
        <v>0.32839817960337098</v>
      </c>
      <c r="AR28" s="1">
        <f ca="1"/>
        <v>0.32770207616991237</v>
      </c>
      <c r="AS28" s="1">
        <f ca="1"/>
        <v>0.32700597273645365</v>
      </c>
      <c r="AT28" s="1">
        <f ca="1"/>
        <v>0.32630986930299505</v>
      </c>
      <c r="AU28" s="1">
        <f ca="1"/>
        <v>0.32561376586953633</v>
      </c>
      <c r="AV28" s="1">
        <f ca="1"/>
        <v>0.32491766243607767</v>
      </c>
      <c r="AW28" s="1">
        <f ca="1"/>
        <v>0.3244687733060902</v>
      </c>
      <c r="AX28" s="1">
        <f ca="1"/>
        <v>0.32401988417610289</v>
      </c>
      <c r="AY28" s="1">
        <f ca="1"/>
        <v>0.32357099504611553</v>
      </c>
      <c r="AZ28" s="1">
        <f ca="1"/>
        <v>0.32312210591612811</v>
      </c>
      <c r="BA28" s="1">
        <f ca="1"/>
        <v>0.3226732167861408</v>
      </c>
      <c r="BB28" s="1">
        <f ca="1"/>
        <v>0.32222432765615333</v>
      </c>
      <c r="BC28" s="1">
        <f ca="1"/>
        <v>0.32177543852616602</v>
      </c>
      <c r="BD28" s="1">
        <f ca="1"/>
        <v>0.32132654939617872</v>
      </c>
      <c r="BE28" s="1">
        <f ca="1"/>
        <v>0.32087766026619124</v>
      </c>
      <c r="BF28" s="1">
        <f ca="1"/>
        <v>0.32042877113620388</v>
      </c>
      <c r="BG28" s="1">
        <f ca="1"/>
        <v>0.31997988200621658</v>
      </c>
      <c r="BH28" s="1">
        <f ca="1"/>
        <v>0.31953099287622916</v>
      </c>
      <c r="BI28" s="1">
        <f ca="1"/>
        <v>0.31925125037493268</v>
      </c>
      <c r="BJ28" s="1">
        <f ca="1"/>
        <v>0.31897150787363621</v>
      </c>
      <c r="BK28" s="1">
        <f ca="1"/>
        <v>0.31869176537233973</v>
      </c>
      <c r="BL28" s="1">
        <f ca="1"/>
        <v>0.31841202287104331</v>
      </c>
      <c r="BM28" s="1">
        <f ca="1"/>
        <v>0.31813228036974678</v>
      </c>
      <c r="BN28" s="1">
        <f ca="1"/>
        <v>0.3178525378684503</v>
      </c>
      <c r="BO28" s="1">
        <f ca="1"/>
        <v>0.31757279536715388</v>
      </c>
      <c r="BP28" s="1">
        <f ca="1"/>
        <v>0.31729305286585735</v>
      </c>
      <c r="BQ28" s="1">
        <f ca="1"/>
        <v>0.31701331036456087</v>
      </c>
      <c r="BR28" s="1">
        <f ca="1"/>
        <v>0.31673356786326434</v>
      </c>
      <c r="BS28" s="1">
        <f ca="1"/>
        <v>0.31645382536196792</v>
      </c>
      <c r="BT28" s="1">
        <f ca="1"/>
        <v>0.31617408286067139</v>
      </c>
    </row>
    <row r="29" spans="2:72" x14ac:dyDescent="0.2">
      <c r="E29" s="3">
        <v>4.3624999999999997E-2</v>
      </c>
      <c r="F29" s="1">
        <f ca="1"/>
        <v>0.93681209736495241</v>
      </c>
      <c r="G29" s="3">
        <f ca="1"/>
        <v>4.3594029240716203E-2</v>
      </c>
      <c r="H29" s="3">
        <f ca="1"/>
        <v>4.3515035522653463E-2</v>
      </c>
      <c r="I29">
        <v>18</v>
      </c>
      <c r="J29" s="2">
        <v>1.5</v>
      </c>
      <c r="M29" s="1">
        <f ca="1"/>
        <v>0</v>
      </c>
      <c r="N29" s="1">
        <f ca="1"/>
        <v>0</v>
      </c>
      <c r="O29" s="1">
        <f ca="1"/>
        <v>0</v>
      </c>
      <c r="P29" s="1">
        <f ca="1"/>
        <v>0</v>
      </c>
      <c r="Q29" s="1">
        <f ca="1"/>
        <v>0</v>
      </c>
      <c r="R29" s="1">
        <f ca="1"/>
        <v>0</v>
      </c>
      <c r="S29" s="1">
        <f ca="1"/>
        <v>0</v>
      </c>
      <c r="T29" s="1">
        <f ca="1"/>
        <v>0</v>
      </c>
      <c r="U29" s="1">
        <f ca="1"/>
        <v>0</v>
      </c>
      <c r="V29" s="1">
        <f ca="1"/>
        <v>0</v>
      </c>
      <c r="W29" s="1">
        <f ca="1"/>
        <v>0</v>
      </c>
      <c r="X29" s="1">
        <f ca="1"/>
        <v>0</v>
      </c>
      <c r="Y29" s="1">
        <f ca="1"/>
        <v>0</v>
      </c>
      <c r="Z29" s="1">
        <f ca="1"/>
        <v>0</v>
      </c>
      <c r="AA29" s="1">
        <f ca="1"/>
        <v>0</v>
      </c>
      <c r="AB29" s="1">
        <f ca="1"/>
        <v>0</v>
      </c>
      <c r="AC29" s="1">
        <f ca="1"/>
        <v>0</v>
      </c>
      <c r="AD29" s="1">
        <f ca="1"/>
        <v>0</v>
      </c>
      <c r="AE29" s="1">
        <f ca="1"/>
        <v>0</v>
      </c>
      <c r="AF29" s="1">
        <f ca="1"/>
        <v>0.33699784103823704</v>
      </c>
      <c r="AG29" s="1">
        <f ca="1"/>
        <v>0.33578538536111396</v>
      </c>
      <c r="AH29" s="1">
        <f ca="1"/>
        <v>0.33457292968399088</v>
      </c>
      <c r="AI29" s="1">
        <f ca="1"/>
        <v>0.33336047400686775</v>
      </c>
      <c r="AJ29" s="1">
        <f ca="1"/>
        <v>0.33214801832974467</v>
      </c>
      <c r="AK29" s="1">
        <f ca="1"/>
        <v>0.33145426026850311</v>
      </c>
      <c r="AL29" s="1">
        <f ca="1"/>
        <v>0.3307605022072615</v>
      </c>
      <c r="AM29" s="1">
        <f ca="1"/>
        <v>0.33006674414602</v>
      </c>
      <c r="AN29" s="1">
        <f ca="1"/>
        <v>0.32937298608477839</v>
      </c>
      <c r="AO29" s="1">
        <f ca="1"/>
        <v>0.32867922802353683</v>
      </c>
      <c r="AP29" s="1">
        <f ca="1"/>
        <v>0.32798546996229527</v>
      </c>
      <c r="AQ29" s="1">
        <f ca="1"/>
        <v>0.32729171190105366</v>
      </c>
      <c r="AR29" s="1">
        <f ca="1"/>
        <v>0.32659795383981216</v>
      </c>
      <c r="AS29" s="1">
        <f ca="1"/>
        <v>0.32590419577857055</v>
      </c>
      <c r="AT29" s="1">
        <f ca="1"/>
        <v>0.32521043771732905</v>
      </c>
      <c r="AU29" s="1">
        <f ca="1"/>
        <v>0.32451667965608749</v>
      </c>
      <c r="AV29" s="1">
        <f ca="1"/>
        <v>0.32382292159484594</v>
      </c>
      <c r="AW29" s="1">
        <f ca="1"/>
        <v>0.323375544901148</v>
      </c>
      <c r="AX29" s="1">
        <f ca="1"/>
        <v>0.32292816820745029</v>
      </c>
      <c r="AY29" s="1">
        <f ca="1"/>
        <v>0.32248079151375247</v>
      </c>
      <c r="AZ29" s="1">
        <f ca="1"/>
        <v>0.32203341482005454</v>
      </c>
      <c r="BA29" s="1">
        <f ca="1"/>
        <v>0.32158603812635678</v>
      </c>
      <c r="BB29" s="1">
        <f ca="1"/>
        <v>0.3211386614326589</v>
      </c>
      <c r="BC29" s="1">
        <f ca="1"/>
        <v>0.32069128473896108</v>
      </c>
      <c r="BD29" s="1">
        <f ca="1"/>
        <v>0.32024390804526331</v>
      </c>
      <c r="BE29" s="1">
        <f ca="1"/>
        <v>0.31979653135156544</v>
      </c>
      <c r="BF29" s="1">
        <f ca="1"/>
        <v>0.31934915465786762</v>
      </c>
      <c r="BG29" s="1">
        <f ca="1"/>
        <v>0.3189017779641698</v>
      </c>
      <c r="BH29" s="1">
        <f ca="1"/>
        <v>0.31845440127047198</v>
      </c>
      <c r="BI29" s="1">
        <f ca="1"/>
        <v>0.31817560130193567</v>
      </c>
      <c r="BJ29" s="1">
        <f ca="1"/>
        <v>0.31789680133339931</v>
      </c>
      <c r="BK29" s="1">
        <f ca="1"/>
        <v>0.31761800136486301</v>
      </c>
      <c r="BL29" s="1">
        <f ca="1"/>
        <v>0.31733920139632671</v>
      </c>
      <c r="BM29" s="1">
        <f ca="1"/>
        <v>0.31706040142779035</v>
      </c>
      <c r="BN29" s="1">
        <f ca="1"/>
        <v>0.31678160145925399</v>
      </c>
      <c r="BO29" s="1">
        <f ca="1"/>
        <v>0.31650280149071774</v>
      </c>
      <c r="BP29" s="1">
        <f ca="1"/>
        <v>0.31622400152218139</v>
      </c>
      <c r="BQ29" s="1">
        <f ca="1"/>
        <v>0.31594520155364503</v>
      </c>
      <c r="BR29" s="1">
        <f ca="1"/>
        <v>0.31566640158510867</v>
      </c>
      <c r="BS29" s="1">
        <f ca="1"/>
        <v>0.31538760161657237</v>
      </c>
      <c r="BT29" s="1">
        <f ca="1"/>
        <v>0.31510880164803601</v>
      </c>
    </row>
    <row r="30" spans="2:72" x14ac:dyDescent="0.2">
      <c r="E30" s="3">
        <v>4.346916666666667E-2</v>
      </c>
      <c r="F30" s="1">
        <f ca="1"/>
        <v>0.93365570858677349</v>
      </c>
      <c r="G30" s="3">
        <f ca="1"/>
        <v>4.3434752382999875E-2</v>
      </c>
      <c r="H30" s="3">
        <f ca="1"/>
        <v>4.3356334147738422E-2</v>
      </c>
      <c r="I30">
        <v>19</v>
      </c>
      <c r="J30" s="2">
        <v>1.5833333333333333</v>
      </c>
      <c r="M30" s="1">
        <f ca="1"/>
        <v>0</v>
      </c>
      <c r="N30" s="1">
        <f ca="1"/>
        <v>0</v>
      </c>
      <c r="O30" s="1">
        <f ca="1"/>
        <v>0</v>
      </c>
      <c r="P30" s="1">
        <f ca="1"/>
        <v>0</v>
      </c>
      <c r="Q30" s="1">
        <f ca="1"/>
        <v>0</v>
      </c>
      <c r="R30" s="1">
        <f ca="1"/>
        <v>0</v>
      </c>
      <c r="S30" s="1">
        <f ca="1"/>
        <v>0</v>
      </c>
      <c r="T30" s="1">
        <f ca="1"/>
        <v>0</v>
      </c>
      <c r="U30" s="1">
        <f ca="1"/>
        <v>0</v>
      </c>
      <c r="V30" s="1">
        <f ca="1"/>
        <v>0</v>
      </c>
      <c r="W30" s="1">
        <f ca="1"/>
        <v>0</v>
      </c>
      <c r="X30" s="1">
        <f ca="1"/>
        <v>0</v>
      </c>
      <c r="Y30" s="1">
        <f ca="1"/>
        <v>0</v>
      </c>
      <c r="Z30" s="1">
        <f ca="1"/>
        <v>0</v>
      </c>
      <c r="AA30" s="1">
        <f ca="1"/>
        <v>0</v>
      </c>
      <c r="AB30" s="1">
        <f ca="1"/>
        <v>0</v>
      </c>
      <c r="AC30" s="1">
        <f ca="1"/>
        <v>0</v>
      </c>
      <c r="AD30" s="1">
        <f ca="1"/>
        <v>0</v>
      </c>
      <c r="AE30" s="1">
        <f ca="1"/>
        <v>0</v>
      </c>
      <c r="AF30" s="1">
        <f ca="1"/>
        <v>0</v>
      </c>
      <c r="AG30" s="1">
        <f ca="1"/>
        <v>0.33466297565678094</v>
      </c>
      <c r="AH30" s="1">
        <f ca="1"/>
        <v>0.33345457278266055</v>
      </c>
      <c r="AI30" s="1">
        <f ca="1"/>
        <v>0.33224616990854022</v>
      </c>
      <c r="AJ30" s="1">
        <f ca="1"/>
        <v>0.33103776703441995</v>
      </c>
      <c r="AK30" s="1">
        <f ca="1"/>
        <v>0.3303463279567147</v>
      </c>
      <c r="AL30" s="1">
        <f ca="1"/>
        <v>0.3296548888790094</v>
      </c>
      <c r="AM30" s="1">
        <f ca="1"/>
        <v>0.32896344980130426</v>
      </c>
      <c r="AN30" s="1">
        <f ca="1"/>
        <v>0.32827201072359902</v>
      </c>
      <c r="AO30" s="1">
        <f ca="1"/>
        <v>0.32758057164589383</v>
      </c>
      <c r="AP30" s="1">
        <f ca="1"/>
        <v>0.32688913256818858</v>
      </c>
      <c r="AQ30" s="1">
        <f ca="1"/>
        <v>0.32619769349048333</v>
      </c>
      <c r="AR30" s="1">
        <f ca="1"/>
        <v>0.32550625441277814</v>
      </c>
      <c r="AS30" s="1">
        <f ca="1"/>
        <v>0.32481481533507289</v>
      </c>
      <c r="AT30" s="1">
        <f ca="1"/>
        <v>0.32412337625736776</v>
      </c>
      <c r="AU30" s="1">
        <f ca="1"/>
        <v>0.32343193717966251</v>
      </c>
      <c r="AV30" s="1">
        <f ca="1"/>
        <v>0.32274049810195732</v>
      </c>
      <c r="AW30" s="1">
        <f ca="1"/>
        <v>0.32229461682754917</v>
      </c>
      <c r="AX30" s="1">
        <f ca="1"/>
        <v>0.3218487355531412</v>
      </c>
      <c r="AY30" s="1">
        <f ca="1"/>
        <v>0.32140285427873322</v>
      </c>
      <c r="AZ30" s="1">
        <f ca="1"/>
        <v>0.32095697300432507</v>
      </c>
      <c r="BA30" s="1">
        <f ca="1"/>
        <v>0.3205110917299171</v>
      </c>
      <c r="BB30" s="1">
        <f ca="1"/>
        <v>0.32006521045550901</v>
      </c>
      <c r="BC30" s="1">
        <f ca="1"/>
        <v>0.31961932918110098</v>
      </c>
      <c r="BD30" s="1">
        <f ca="1"/>
        <v>0.319173447906693</v>
      </c>
      <c r="BE30" s="1">
        <f ca="1"/>
        <v>0.31872756663228491</v>
      </c>
      <c r="BF30" s="1">
        <f ca="1"/>
        <v>0.31828168535787688</v>
      </c>
      <c r="BG30" s="1">
        <f ca="1"/>
        <v>0.3178358040834689</v>
      </c>
      <c r="BH30" s="1">
        <f ca="1"/>
        <v>0.31738992280906081</v>
      </c>
      <c r="BI30" s="1">
        <f ca="1"/>
        <v>0.31711205476848769</v>
      </c>
      <c r="BJ30" s="1">
        <f ca="1"/>
        <v>0.31683418672791458</v>
      </c>
      <c r="BK30" s="1">
        <f ca="1"/>
        <v>0.31655631868734146</v>
      </c>
      <c r="BL30" s="1">
        <f ca="1"/>
        <v>0.31627845064676835</v>
      </c>
      <c r="BM30" s="1">
        <f ca="1"/>
        <v>0.31600058260619523</v>
      </c>
      <c r="BN30" s="1">
        <f ca="1"/>
        <v>0.31572271456562206</v>
      </c>
      <c r="BO30" s="1">
        <f ca="1"/>
        <v>0.31544484652504901</v>
      </c>
      <c r="BP30" s="1">
        <f ca="1"/>
        <v>0.31516697848447583</v>
      </c>
      <c r="BQ30" s="1">
        <f ca="1"/>
        <v>0.31488911044390272</v>
      </c>
      <c r="BR30" s="1">
        <f ca="1"/>
        <v>0.31461124240332955</v>
      </c>
      <c r="BS30" s="1">
        <f ca="1"/>
        <v>0.31433337436275643</v>
      </c>
      <c r="BT30" s="1">
        <f ca="1"/>
        <v>0.31405550632218332</v>
      </c>
    </row>
    <row r="31" spans="2:72" x14ac:dyDescent="0.2">
      <c r="E31" s="3">
        <v>4.3313333333333336E-2</v>
      </c>
      <c r="F31" s="1">
        <f ca="1"/>
        <v>0.93053483354720989</v>
      </c>
      <c r="G31" s="3">
        <f ca="1"/>
        <v>4.327530521931422E-2</v>
      </c>
      <c r="H31" s="3">
        <f ca="1"/>
        <v>4.3197460979947963E-2</v>
      </c>
      <c r="I31">
        <v>20</v>
      </c>
      <c r="J31" s="2">
        <v>1.6666666666666667</v>
      </c>
      <c r="M31" s="1">
        <f ca="1"/>
        <v>0</v>
      </c>
      <c r="N31" s="1">
        <f ca="1"/>
        <v>0</v>
      </c>
      <c r="O31" s="1">
        <f ca="1"/>
        <v>0</v>
      </c>
      <c r="P31" s="1">
        <f ca="1"/>
        <v>0</v>
      </c>
      <c r="Q31" s="1">
        <f ca="1"/>
        <v>0</v>
      </c>
      <c r="R31" s="1">
        <f ca="1"/>
        <v>0</v>
      </c>
      <c r="S31" s="1">
        <f ca="1"/>
        <v>0</v>
      </c>
      <c r="T31" s="1">
        <f ca="1"/>
        <v>0</v>
      </c>
      <c r="U31" s="1">
        <f ca="1"/>
        <v>0</v>
      </c>
      <c r="V31" s="1">
        <f ca="1"/>
        <v>0</v>
      </c>
      <c r="W31" s="1">
        <f ca="1"/>
        <v>0</v>
      </c>
      <c r="X31" s="1">
        <f ca="1"/>
        <v>0</v>
      </c>
      <c r="Y31" s="1">
        <f ca="1"/>
        <v>0</v>
      </c>
      <c r="Z31" s="1">
        <f ca="1"/>
        <v>0</v>
      </c>
      <c r="AA31" s="1">
        <f ca="1"/>
        <v>0</v>
      </c>
      <c r="AB31" s="1">
        <f ca="1"/>
        <v>0</v>
      </c>
      <c r="AC31" s="1">
        <f ca="1"/>
        <v>0</v>
      </c>
      <c r="AD31" s="1">
        <f ca="1"/>
        <v>0</v>
      </c>
      <c r="AE31" s="1">
        <f ca="1"/>
        <v>0</v>
      </c>
      <c r="AF31" s="1">
        <f ca="1"/>
        <v>0</v>
      </c>
      <c r="AG31" s="1">
        <f ca="1"/>
        <v>0</v>
      </c>
      <c r="AH31" s="1">
        <f ca="1"/>
        <v>0.33234885311231832</v>
      </c>
      <c r="AI31" s="1">
        <f ca="1"/>
        <v>0.33114445724525882</v>
      </c>
      <c r="AJ31" s="1">
        <f ca="1"/>
        <v>0.32994006137819937</v>
      </c>
      <c r="AK31" s="1">
        <f ca="1"/>
        <v>0.32925091507993537</v>
      </c>
      <c r="AL31" s="1">
        <f ca="1"/>
        <v>0.32856176878167132</v>
      </c>
      <c r="AM31" s="1">
        <f ca="1"/>
        <v>0.32787262248340743</v>
      </c>
      <c r="AN31" s="1">
        <f ca="1"/>
        <v>0.32718347618514343</v>
      </c>
      <c r="AO31" s="1">
        <f ca="1"/>
        <v>0.32649432988687943</v>
      </c>
      <c r="AP31" s="1">
        <f ca="1"/>
        <v>0.32580518358861543</v>
      </c>
      <c r="AQ31" s="1">
        <f ca="1"/>
        <v>0.32511603729035138</v>
      </c>
      <c r="AR31" s="1">
        <f ca="1"/>
        <v>0.32442689099208749</v>
      </c>
      <c r="AS31" s="1">
        <f ca="1"/>
        <v>0.32373774469382344</v>
      </c>
      <c r="AT31" s="1">
        <f ca="1"/>
        <v>0.32304859839555955</v>
      </c>
      <c r="AU31" s="1">
        <f ca="1"/>
        <v>0.32235945209729555</v>
      </c>
      <c r="AV31" s="1">
        <f ca="1"/>
        <v>0.32167030579903155</v>
      </c>
      <c r="AW31" s="1">
        <f ca="1"/>
        <v>0.32122590304594534</v>
      </c>
      <c r="AX31" s="1">
        <f ca="1"/>
        <v>0.32078150029285929</v>
      </c>
      <c r="AY31" s="1">
        <f ca="1"/>
        <v>0.32033709753977324</v>
      </c>
      <c r="AZ31" s="1">
        <f ca="1"/>
        <v>0.31989269478668703</v>
      </c>
      <c r="BA31" s="1">
        <f ca="1"/>
        <v>0.31944829203360098</v>
      </c>
      <c r="BB31" s="1">
        <f ca="1"/>
        <v>0.31900388928051476</v>
      </c>
      <c r="BC31" s="1">
        <f ca="1"/>
        <v>0.31855948652742866</v>
      </c>
      <c r="BD31" s="1">
        <f ca="1"/>
        <v>0.31811508377434261</v>
      </c>
      <c r="BE31" s="1">
        <f ca="1"/>
        <v>0.31767068102125645</v>
      </c>
      <c r="BF31" s="1">
        <f ca="1"/>
        <v>0.31722627826817035</v>
      </c>
      <c r="BG31" s="1">
        <f ca="1"/>
        <v>0.31678187551508424</v>
      </c>
      <c r="BH31" s="1">
        <f ca="1"/>
        <v>0.31633747276199808</v>
      </c>
      <c r="BI31" s="1">
        <f ca="1"/>
        <v>0.31606052611877056</v>
      </c>
      <c r="BJ31" s="1">
        <f ca="1"/>
        <v>0.31578357947554297</v>
      </c>
      <c r="BK31" s="1">
        <f ca="1"/>
        <v>0.31550663283231534</v>
      </c>
      <c r="BL31" s="1">
        <f ca="1"/>
        <v>0.31522968618908781</v>
      </c>
      <c r="BM31" s="1">
        <f ca="1"/>
        <v>0.31495273954586023</v>
      </c>
      <c r="BN31" s="1">
        <f ca="1"/>
        <v>0.31467579290263265</v>
      </c>
      <c r="BO31" s="1">
        <f ca="1"/>
        <v>0.31439884625940506</v>
      </c>
      <c r="BP31" s="1">
        <f ca="1"/>
        <v>0.31412189961617748</v>
      </c>
      <c r="BQ31" s="1">
        <f ca="1"/>
        <v>0.3138449529729499</v>
      </c>
      <c r="BR31" s="1">
        <f ca="1"/>
        <v>0.31356800632972226</v>
      </c>
      <c r="BS31" s="1">
        <f ca="1"/>
        <v>0.31329105968649473</v>
      </c>
      <c r="BT31" s="1">
        <f ca="1"/>
        <v>0.31301411304326709</v>
      </c>
    </row>
    <row r="32" spans="2:72" x14ac:dyDescent="0.2">
      <c r="E32" s="3">
        <v>4.3157500000000001E-2</v>
      </c>
      <c r="F32" s="1">
        <f ca="1"/>
        <v>0.92744922383190265</v>
      </c>
      <c r="G32" s="3">
        <f ca="1"/>
        <v>4.3115689568734794E-2</v>
      </c>
      <c r="H32" s="3">
        <f ca="1"/>
        <v>4.3038417825047907E-2</v>
      </c>
      <c r="I32">
        <v>21</v>
      </c>
      <c r="J32" s="2">
        <v>1.75</v>
      </c>
      <c r="M32" s="1">
        <f ca="1"/>
        <v>0</v>
      </c>
      <c r="N32" s="1">
        <f ca="1"/>
        <v>0</v>
      </c>
      <c r="O32" s="1">
        <f ca="1"/>
        <v>0</v>
      </c>
      <c r="P32" s="1">
        <f ca="1"/>
        <v>0</v>
      </c>
      <c r="Q32" s="1">
        <f ca="1"/>
        <v>0</v>
      </c>
      <c r="R32" s="1">
        <f ca="1"/>
        <v>0</v>
      </c>
      <c r="S32" s="1">
        <f ca="1"/>
        <v>0</v>
      </c>
      <c r="T32" s="1">
        <f ca="1"/>
        <v>0</v>
      </c>
      <c r="U32" s="1">
        <f ca="1"/>
        <v>0</v>
      </c>
      <c r="V32" s="1">
        <f ca="1"/>
        <v>0</v>
      </c>
      <c r="W32" s="1">
        <f ca="1"/>
        <v>0</v>
      </c>
      <c r="X32" s="1">
        <f ca="1"/>
        <v>0</v>
      </c>
      <c r="Y32" s="1">
        <f ca="1"/>
        <v>0</v>
      </c>
      <c r="Z32" s="1">
        <f ca="1"/>
        <v>0</v>
      </c>
      <c r="AA32" s="1">
        <f ca="1"/>
        <v>0</v>
      </c>
      <c r="AB32" s="1">
        <f ca="1"/>
        <v>0</v>
      </c>
      <c r="AC32" s="1">
        <f ca="1"/>
        <v>0</v>
      </c>
      <c r="AD32" s="1">
        <f ca="1"/>
        <v>0</v>
      </c>
      <c r="AE32" s="1">
        <f ca="1"/>
        <v>0</v>
      </c>
      <c r="AF32" s="1">
        <f ca="1"/>
        <v>0</v>
      </c>
      <c r="AG32" s="1">
        <f ca="1"/>
        <v>0</v>
      </c>
      <c r="AH32" s="1">
        <f ca="1"/>
        <v>0</v>
      </c>
      <c r="AI32" s="1">
        <f ca="1"/>
        <v>0.33005524828944471</v>
      </c>
      <c r="AJ32" s="1">
        <f ca="1"/>
        <v>0.3288548139525756</v>
      </c>
      <c r="AK32" s="1">
        <f ca="1"/>
        <v>0.32816793441222797</v>
      </c>
      <c r="AL32" s="1">
        <f ca="1"/>
        <v>0.32748105487188039</v>
      </c>
      <c r="AM32" s="1">
        <f ca="1"/>
        <v>0.32679417533153288</v>
      </c>
      <c r="AN32" s="1">
        <f ca="1"/>
        <v>0.32610729579118525</v>
      </c>
      <c r="AO32" s="1">
        <f ca="1"/>
        <v>0.32542041625083767</v>
      </c>
      <c r="AP32" s="1">
        <f ca="1"/>
        <v>0.3247335367104901</v>
      </c>
      <c r="AQ32" s="1">
        <f ca="1"/>
        <v>0.32404665717014247</v>
      </c>
      <c r="AR32" s="1">
        <f ca="1"/>
        <v>0.32335977762979495</v>
      </c>
      <c r="AS32" s="1">
        <f ca="1"/>
        <v>0.32267289808944738</v>
      </c>
      <c r="AT32" s="1">
        <f ca="1"/>
        <v>0.32198601854909986</v>
      </c>
      <c r="AU32" s="1">
        <f ca="1"/>
        <v>0.32129913900875223</v>
      </c>
      <c r="AV32" s="1">
        <f ca="1"/>
        <v>0.32061225946840466</v>
      </c>
      <c r="AW32" s="1">
        <f ca="1"/>
        <v>0.32016931845640478</v>
      </c>
      <c r="AX32" s="1">
        <f ca="1"/>
        <v>0.31972637744440502</v>
      </c>
      <c r="AY32" s="1">
        <f ca="1"/>
        <v>0.3192834364324052</v>
      </c>
      <c r="AZ32" s="1">
        <f ca="1"/>
        <v>0.31884049542040527</v>
      </c>
      <c r="BA32" s="1">
        <f ca="1"/>
        <v>0.3183975544084055</v>
      </c>
      <c r="BB32" s="1">
        <f ca="1"/>
        <v>0.31795461339640557</v>
      </c>
      <c r="BC32" s="1">
        <f ca="1"/>
        <v>0.31751167238440575</v>
      </c>
      <c r="BD32" s="1">
        <f ca="1"/>
        <v>0.31706873137240599</v>
      </c>
      <c r="BE32" s="1">
        <f ca="1"/>
        <v>0.31662579036040611</v>
      </c>
      <c r="BF32" s="1">
        <f ca="1"/>
        <v>0.31618284934840629</v>
      </c>
      <c r="BG32" s="1">
        <f ca="1"/>
        <v>0.31573990833640647</v>
      </c>
      <c r="BH32" s="1">
        <f ca="1"/>
        <v>0.3152969673244066</v>
      </c>
      <c r="BI32" s="1">
        <f ca="1"/>
        <v>0.31502093162127631</v>
      </c>
      <c r="BJ32" s="1">
        <f ca="1"/>
        <v>0.31474489591814597</v>
      </c>
      <c r="BK32" s="1">
        <f ca="1"/>
        <v>0.31446886021501558</v>
      </c>
      <c r="BL32" s="1">
        <f ca="1"/>
        <v>0.31419282451188529</v>
      </c>
      <c r="BM32" s="1">
        <f ca="1"/>
        <v>0.31391678880875495</v>
      </c>
      <c r="BN32" s="1">
        <f ca="1"/>
        <v>0.31364075310562461</v>
      </c>
      <c r="BO32" s="1">
        <f ca="1"/>
        <v>0.31336471740249433</v>
      </c>
      <c r="BP32" s="1">
        <f ca="1"/>
        <v>0.31308868169936399</v>
      </c>
      <c r="BQ32" s="1">
        <f ca="1"/>
        <v>0.31281264599623365</v>
      </c>
      <c r="BR32" s="1">
        <f ca="1"/>
        <v>0.3125366102931032</v>
      </c>
      <c r="BS32" s="1">
        <f ca="1"/>
        <v>0.31226057458997292</v>
      </c>
      <c r="BT32" s="1">
        <f ca="1"/>
        <v>0.31198453888684258</v>
      </c>
    </row>
    <row r="33" spans="5:72" x14ac:dyDescent="0.2">
      <c r="E33" s="3">
        <v>4.3001666666666667E-2</v>
      </c>
      <c r="F33" s="1">
        <f ca="1"/>
        <v>0.92439863373879294</v>
      </c>
      <c r="G33" s="3">
        <f ca="1"/>
        <v>4.2955907260121329E-2</v>
      </c>
      <c r="H33" s="3">
        <f ca="1"/>
        <v>4.2879206498644198E-2</v>
      </c>
      <c r="I33">
        <v>22</v>
      </c>
      <c r="J33" s="2">
        <v>1.8333333333333333</v>
      </c>
      <c r="M33" s="1">
        <f ca="1"/>
        <v>0</v>
      </c>
      <c r="N33" s="1">
        <f ca="1"/>
        <v>0</v>
      </c>
      <c r="O33" s="1">
        <f ca="1"/>
        <v>0</v>
      </c>
      <c r="P33" s="1">
        <f ca="1"/>
        <v>0</v>
      </c>
      <c r="Q33" s="1">
        <f ca="1"/>
        <v>0</v>
      </c>
      <c r="R33" s="1">
        <f ca="1"/>
        <v>0</v>
      </c>
      <c r="S33" s="1">
        <f ca="1"/>
        <v>0</v>
      </c>
      <c r="T33" s="1">
        <f ca="1"/>
        <v>0</v>
      </c>
      <c r="U33" s="1">
        <f ca="1"/>
        <v>0</v>
      </c>
      <c r="V33" s="1">
        <f ca="1"/>
        <v>0</v>
      </c>
      <c r="W33" s="1">
        <f ca="1"/>
        <v>0</v>
      </c>
      <c r="X33" s="1">
        <f ca="1"/>
        <v>0</v>
      </c>
      <c r="Y33" s="1">
        <f ca="1"/>
        <v>0</v>
      </c>
      <c r="Z33" s="1">
        <f ca="1"/>
        <v>0</v>
      </c>
      <c r="AA33" s="1">
        <f ca="1"/>
        <v>0</v>
      </c>
      <c r="AB33" s="1">
        <f ca="1"/>
        <v>0</v>
      </c>
      <c r="AC33" s="1">
        <f ca="1"/>
        <v>0</v>
      </c>
      <c r="AD33" s="1">
        <f ca="1"/>
        <v>0</v>
      </c>
      <c r="AE33" s="1">
        <f ca="1"/>
        <v>0</v>
      </c>
      <c r="AF33" s="1">
        <f ca="1"/>
        <v>0</v>
      </c>
      <c r="AG33" s="1">
        <f ca="1"/>
        <v>0</v>
      </c>
      <c r="AH33" s="1">
        <f ca="1"/>
        <v>0</v>
      </c>
      <c r="AI33" s="1">
        <f ca="1"/>
        <v>0</v>
      </c>
      <c r="AJ33" s="1">
        <f ca="1"/>
        <v>0.32778193830485913</v>
      </c>
      <c r="AK33" s="1">
        <f ca="1"/>
        <v>0.32709729968147699</v>
      </c>
      <c r="AL33" s="1">
        <f ca="1"/>
        <v>0.3264126610580948</v>
      </c>
      <c r="AM33" s="1">
        <f ca="1"/>
        <v>0.32572802243471272</v>
      </c>
      <c r="AN33" s="1">
        <f ca="1"/>
        <v>0.32504338381133058</v>
      </c>
      <c r="AO33" s="1">
        <f ca="1"/>
        <v>0.32435874518794844</v>
      </c>
      <c r="AP33" s="1">
        <f ca="1"/>
        <v>0.3236741065645663</v>
      </c>
      <c r="AQ33" s="1">
        <f ca="1"/>
        <v>0.32298946794118411</v>
      </c>
      <c r="AR33" s="1">
        <f ca="1"/>
        <v>0.32230482931780202</v>
      </c>
      <c r="AS33" s="1">
        <f ca="1"/>
        <v>0.32162019069441988</v>
      </c>
      <c r="AT33" s="1">
        <f ca="1"/>
        <v>0.3209355520710378</v>
      </c>
      <c r="AU33" s="1">
        <f ca="1"/>
        <v>0.32025091344765566</v>
      </c>
      <c r="AV33" s="1">
        <f ca="1"/>
        <v>0.31956627482427352</v>
      </c>
      <c r="AW33" s="1">
        <f ca="1"/>
        <v>0.31912477888956908</v>
      </c>
      <c r="AX33" s="1">
        <f ca="1"/>
        <v>0.31868328295486481</v>
      </c>
      <c r="AY33" s="1">
        <f ca="1"/>
        <v>0.31824178702016043</v>
      </c>
      <c r="AZ33" s="1">
        <f ca="1"/>
        <v>0.31780029108545599</v>
      </c>
      <c r="BA33" s="1">
        <f ca="1"/>
        <v>0.31735879515075172</v>
      </c>
      <c r="BB33" s="1">
        <f ca="1"/>
        <v>0.31691729921604728</v>
      </c>
      <c r="BC33" s="1">
        <f ca="1"/>
        <v>0.31647580328134289</v>
      </c>
      <c r="BD33" s="1">
        <f ca="1"/>
        <v>0.31603430734663862</v>
      </c>
      <c r="BE33" s="1">
        <f ca="1"/>
        <v>0.31559281141193418</v>
      </c>
      <c r="BF33" s="1">
        <f ca="1"/>
        <v>0.31515131547722985</v>
      </c>
      <c r="BG33" s="1">
        <f ca="1"/>
        <v>0.31470981954252547</v>
      </c>
      <c r="BH33" s="1">
        <f ca="1"/>
        <v>0.31426832360782109</v>
      </c>
      <c r="BI33" s="1">
        <f ca="1"/>
        <v>0.31399318846010682</v>
      </c>
      <c r="BJ33" s="1">
        <f ca="1"/>
        <v>0.3137180533123925</v>
      </c>
      <c r="BK33" s="1">
        <f ca="1"/>
        <v>0.31344291816467817</v>
      </c>
      <c r="BL33" s="1">
        <f ca="1"/>
        <v>0.31316778301696391</v>
      </c>
      <c r="BM33" s="1">
        <f ca="1"/>
        <v>0.31289264786924958</v>
      </c>
      <c r="BN33" s="1">
        <f ca="1"/>
        <v>0.31261751272153521</v>
      </c>
      <c r="BO33" s="1">
        <f ca="1"/>
        <v>0.31234237757382094</v>
      </c>
      <c r="BP33" s="1">
        <f ca="1"/>
        <v>0.31206724242610662</v>
      </c>
      <c r="BQ33" s="1">
        <f ca="1"/>
        <v>0.31179210727839229</v>
      </c>
      <c r="BR33" s="1">
        <f ca="1"/>
        <v>0.31151697213067792</v>
      </c>
      <c r="BS33" s="1">
        <f ca="1"/>
        <v>0.31124183698296365</v>
      </c>
      <c r="BT33" s="1">
        <f ca="1"/>
        <v>0.31096670183524933</v>
      </c>
    </row>
    <row r="34" spans="5:72" x14ac:dyDescent="0.2">
      <c r="E34" s="3">
        <v>4.2845833333333333E-2</v>
      </c>
      <c r="F34" s="1">
        <f ca="1"/>
        <v>0.92138282025259066</v>
      </c>
      <c r="G34" s="3">
        <f ca="1"/>
        <v>4.2795960133455324E-2</v>
      </c>
      <c r="H34" s="3">
        <f ca="1"/>
        <v>4.2719828827515252E-2</v>
      </c>
      <c r="I34">
        <v>23</v>
      </c>
      <c r="J34" s="2">
        <v>1.9166666666666667</v>
      </c>
      <c r="M34" s="1">
        <f ca="1"/>
        <v>0</v>
      </c>
      <c r="N34" s="1">
        <f ca="1"/>
        <v>0</v>
      </c>
      <c r="O34" s="1">
        <f ca="1"/>
        <v>0</v>
      </c>
      <c r="P34" s="1">
        <f ca="1"/>
        <v>0</v>
      </c>
      <c r="Q34" s="1">
        <f ca="1"/>
        <v>0</v>
      </c>
      <c r="R34" s="1">
        <f ca="1"/>
        <v>0</v>
      </c>
      <c r="S34" s="1">
        <f ca="1"/>
        <v>0</v>
      </c>
      <c r="T34" s="1">
        <f ca="1"/>
        <v>0</v>
      </c>
      <c r="U34" s="1">
        <f ca="1"/>
        <v>0</v>
      </c>
      <c r="V34" s="1">
        <f ca="1"/>
        <v>0</v>
      </c>
      <c r="W34" s="1">
        <f ca="1"/>
        <v>0</v>
      </c>
      <c r="X34" s="1">
        <f ca="1"/>
        <v>0</v>
      </c>
      <c r="Y34" s="1">
        <f ca="1"/>
        <v>0</v>
      </c>
      <c r="Z34" s="1">
        <f ca="1"/>
        <v>0</v>
      </c>
      <c r="AA34" s="1">
        <f ca="1"/>
        <v>0</v>
      </c>
      <c r="AB34" s="1">
        <f ca="1"/>
        <v>0</v>
      </c>
      <c r="AC34" s="1">
        <f ca="1"/>
        <v>0</v>
      </c>
      <c r="AD34" s="1">
        <f ca="1"/>
        <v>0</v>
      </c>
      <c r="AE34" s="1">
        <f ca="1"/>
        <v>0</v>
      </c>
      <c r="AF34" s="1">
        <f ca="1"/>
        <v>0</v>
      </c>
      <c r="AG34" s="1">
        <f ca="1"/>
        <v>0</v>
      </c>
      <c r="AH34" s="1">
        <f ca="1"/>
        <v>0</v>
      </c>
      <c r="AI34" s="1">
        <f ca="1"/>
        <v>0</v>
      </c>
      <c r="AJ34" s="1">
        <f ca="1"/>
        <v>0</v>
      </c>
      <c r="AK34" s="1">
        <f ca="1"/>
        <v>0.32603892556041653</v>
      </c>
      <c r="AL34" s="1">
        <f ca="1"/>
        <v>0.32535650219164508</v>
      </c>
      <c r="AM34" s="1">
        <f ca="1"/>
        <v>0.32467407882287369</v>
      </c>
      <c r="AN34" s="1">
        <f ca="1"/>
        <v>0.32399165545410225</v>
      </c>
      <c r="AO34" s="1">
        <f ca="1"/>
        <v>0.3233092320853308</v>
      </c>
      <c r="AP34" s="1">
        <f ca="1"/>
        <v>0.32262680871655935</v>
      </c>
      <c r="AQ34" s="1">
        <f ca="1"/>
        <v>0.32194438534778785</v>
      </c>
      <c r="AR34" s="1">
        <f ca="1"/>
        <v>0.32126196197901652</v>
      </c>
      <c r="AS34" s="1">
        <f ca="1"/>
        <v>0.32057953861024502</v>
      </c>
      <c r="AT34" s="1">
        <f ca="1"/>
        <v>0.31989711524147368</v>
      </c>
      <c r="AU34" s="1">
        <f ca="1"/>
        <v>0.31921469187270218</v>
      </c>
      <c r="AV34" s="1">
        <f ca="1"/>
        <v>0.31853226850393079</v>
      </c>
      <c r="AW34" s="1">
        <f ca="1"/>
        <v>0.31809220109790054</v>
      </c>
      <c r="AX34" s="1">
        <f ca="1"/>
        <v>0.3176521336918704</v>
      </c>
      <c r="AY34" s="1">
        <f ca="1"/>
        <v>0.31721206628584026</v>
      </c>
      <c r="AZ34" s="1">
        <f ca="1"/>
        <v>0.31677199887981</v>
      </c>
      <c r="BA34" s="1">
        <f ca="1"/>
        <v>0.31633193147377991</v>
      </c>
      <c r="BB34" s="1">
        <f ca="1"/>
        <v>0.31589186406774966</v>
      </c>
      <c r="BC34" s="1">
        <f ca="1"/>
        <v>0.31545179666171946</v>
      </c>
      <c r="BD34" s="1">
        <f ca="1"/>
        <v>0.31501172925568938</v>
      </c>
      <c r="BE34" s="1">
        <f ca="1"/>
        <v>0.31457166184965912</v>
      </c>
      <c r="BF34" s="1">
        <f ca="1"/>
        <v>0.31413159444362898</v>
      </c>
      <c r="BG34" s="1">
        <f ca="1"/>
        <v>0.31369152703759884</v>
      </c>
      <c r="BH34" s="1">
        <f ca="1"/>
        <v>0.31325145963156859</v>
      </c>
      <c r="BI34" s="1">
        <f ca="1"/>
        <v>0.31297721472636142</v>
      </c>
      <c r="BJ34" s="1">
        <f ca="1"/>
        <v>0.3127029698211542</v>
      </c>
      <c r="BK34" s="1">
        <f ca="1"/>
        <v>0.31242872491594698</v>
      </c>
      <c r="BL34" s="1">
        <f ca="1"/>
        <v>0.31215448001073981</v>
      </c>
      <c r="BM34" s="1">
        <f ca="1"/>
        <v>0.31188023510553259</v>
      </c>
      <c r="BN34" s="1">
        <f ca="1"/>
        <v>0.31160599020032537</v>
      </c>
      <c r="BO34" s="1">
        <f ca="1"/>
        <v>0.3113317452951182</v>
      </c>
      <c r="BP34" s="1">
        <f ca="1"/>
        <v>0.31105750038991098</v>
      </c>
      <c r="BQ34" s="1">
        <f ca="1"/>
        <v>0.31078325548470376</v>
      </c>
      <c r="BR34" s="1">
        <f ca="1"/>
        <v>0.31050901057949648</v>
      </c>
      <c r="BS34" s="1">
        <f ca="1"/>
        <v>0.31023476567428931</v>
      </c>
      <c r="BT34" s="1">
        <f ca="1"/>
        <v>0.30996052076908204</v>
      </c>
    </row>
    <row r="35" spans="5:72" x14ac:dyDescent="0.2">
      <c r="E35" s="3">
        <v>4.2689999999999999E-2</v>
      </c>
      <c r="F35" s="1">
        <f ca="1"/>
        <v>0.9184015430195025</v>
      </c>
      <c r="G35" s="3">
        <f ca="1"/>
        <v>4.2635850040831258E-2</v>
      </c>
      <c r="H35" s="3">
        <f ca="1"/>
        <v>4.2560286650596184E-2</v>
      </c>
      <c r="I35">
        <v>24</v>
      </c>
      <c r="J35" s="2">
        <v>2</v>
      </c>
      <c r="M35" s="1">
        <f ca="1"/>
        <v>0</v>
      </c>
      <c r="N35" s="1">
        <f ca="1"/>
        <v>0</v>
      </c>
      <c r="O35" s="1">
        <f ca="1"/>
        <v>0</v>
      </c>
      <c r="P35" s="1">
        <f ca="1"/>
        <v>0</v>
      </c>
      <c r="Q35" s="1">
        <f ca="1"/>
        <v>0</v>
      </c>
      <c r="R35" s="1">
        <f ca="1"/>
        <v>0</v>
      </c>
      <c r="S35" s="1">
        <f ca="1"/>
        <v>0</v>
      </c>
      <c r="T35" s="1">
        <f ca="1"/>
        <v>0</v>
      </c>
      <c r="U35" s="1">
        <f ca="1"/>
        <v>0</v>
      </c>
      <c r="V35" s="1">
        <f ca="1"/>
        <v>0</v>
      </c>
      <c r="W35" s="1">
        <f ca="1"/>
        <v>0</v>
      </c>
      <c r="X35" s="1">
        <f ca="1"/>
        <v>0</v>
      </c>
      <c r="Y35" s="1">
        <f ca="1"/>
        <v>0</v>
      </c>
      <c r="Z35" s="1">
        <f ca="1"/>
        <v>0</v>
      </c>
      <c r="AA35" s="1">
        <f ca="1"/>
        <v>0</v>
      </c>
      <c r="AB35" s="1">
        <f ca="1"/>
        <v>0</v>
      </c>
      <c r="AC35" s="1">
        <f ca="1"/>
        <v>0</v>
      </c>
      <c r="AD35" s="1">
        <f ca="1"/>
        <v>0</v>
      </c>
      <c r="AE35" s="1">
        <f ca="1"/>
        <v>0</v>
      </c>
      <c r="AF35" s="1">
        <f ca="1"/>
        <v>0</v>
      </c>
      <c r="AG35" s="1">
        <f ca="1"/>
        <v>0</v>
      </c>
      <c r="AH35" s="1">
        <f ca="1"/>
        <v>0</v>
      </c>
      <c r="AI35" s="1">
        <f ca="1"/>
        <v>0</v>
      </c>
      <c r="AJ35" s="1">
        <f ca="1"/>
        <v>0</v>
      </c>
      <c r="AK35" s="1">
        <f ca="1"/>
        <v>0</v>
      </c>
      <c r="AL35" s="1">
        <f ca="1"/>
        <v>0.32426571528563608</v>
      </c>
      <c r="AM35" s="1">
        <f ca="1"/>
        <v>0.32358557980252245</v>
      </c>
      <c r="AN35" s="1">
        <f ca="1"/>
        <v>0.32290544431940871</v>
      </c>
      <c r="AO35" s="1">
        <f ca="1"/>
        <v>0.32222530883629497</v>
      </c>
      <c r="AP35" s="1">
        <f ca="1"/>
        <v>0.32154517335318122</v>
      </c>
      <c r="AQ35" s="1">
        <f ca="1"/>
        <v>0.32086503787006748</v>
      </c>
      <c r="AR35" s="1">
        <f ca="1"/>
        <v>0.32018490238695385</v>
      </c>
      <c r="AS35" s="1">
        <f ca="1"/>
        <v>0.31950476690384011</v>
      </c>
      <c r="AT35" s="1">
        <f ca="1"/>
        <v>0.31882463142072642</v>
      </c>
      <c r="AU35" s="1">
        <f ca="1"/>
        <v>0.31814449593761268</v>
      </c>
      <c r="AV35" s="1">
        <f ca="1"/>
        <v>0.31746436045449899</v>
      </c>
      <c r="AW35" s="1">
        <f ca="1"/>
        <v>0.31702576841398633</v>
      </c>
      <c r="AX35" s="1">
        <f ca="1"/>
        <v>0.31658717637347383</v>
      </c>
      <c r="AY35" s="1">
        <f ca="1"/>
        <v>0.31614858433296128</v>
      </c>
      <c r="AZ35" s="1">
        <f ca="1"/>
        <v>0.31570999229244862</v>
      </c>
      <c r="BA35" s="1">
        <f ca="1"/>
        <v>0.31527140025193606</v>
      </c>
      <c r="BB35" s="1">
        <f ca="1"/>
        <v>0.3148328082114234</v>
      </c>
      <c r="BC35" s="1">
        <f ca="1"/>
        <v>0.31439421617091085</v>
      </c>
      <c r="BD35" s="1">
        <f ca="1"/>
        <v>0.31395562413039835</v>
      </c>
      <c r="BE35" s="1">
        <f ca="1"/>
        <v>0.31351703208988568</v>
      </c>
      <c r="BF35" s="1">
        <f ca="1"/>
        <v>0.31307844004937313</v>
      </c>
      <c r="BG35" s="1">
        <f ca="1"/>
        <v>0.31263984800886058</v>
      </c>
      <c r="BH35" s="1">
        <f ca="1"/>
        <v>0.31220125596834797</v>
      </c>
      <c r="BI35" s="1">
        <f ca="1"/>
        <v>0.31192793049382567</v>
      </c>
      <c r="BJ35" s="1">
        <f ca="1"/>
        <v>0.31165460501930331</v>
      </c>
      <c r="BK35" s="1">
        <f ca="1"/>
        <v>0.31138127954478095</v>
      </c>
      <c r="BL35" s="1">
        <f ca="1"/>
        <v>0.31110795407025865</v>
      </c>
      <c r="BM35" s="1">
        <f ca="1"/>
        <v>0.31083462859573635</v>
      </c>
      <c r="BN35" s="1">
        <f ca="1"/>
        <v>0.31056130312121399</v>
      </c>
      <c r="BO35" s="1">
        <f ca="1"/>
        <v>0.31028797764669169</v>
      </c>
      <c r="BP35" s="1">
        <f ca="1"/>
        <v>0.31001465217216934</v>
      </c>
      <c r="BQ35" s="1">
        <f ca="1"/>
        <v>0.30974132669764698</v>
      </c>
      <c r="BR35" s="1">
        <f ca="1"/>
        <v>0.30946800122312462</v>
      </c>
      <c r="BS35" s="1">
        <f ca="1"/>
        <v>0.30919467574860232</v>
      </c>
      <c r="BT35" s="1">
        <f ca="1"/>
        <v>0.30892135027407996</v>
      </c>
    </row>
    <row r="36" spans="5:72" x14ac:dyDescent="0.2">
      <c r="E36" s="3">
        <v>4.2600833333333331E-2</v>
      </c>
      <c r="F36" s="1">
        <f ca="1"/>
        <v>0.91532251933060738</v>
      </c>
      <c r="G36" s="3">
        <f ca="1"/>
        <v>4.2545064234185581E-2</v>
      </c>
      <c r="H36" s="3">
        <f ca="1"/>
        <v>4.2469821921795436E-2</v>
      </c>
      <c r="I36">
        <v>25</v>
      </c>
      <c r="J36" s="2">
        <v>2.0833333333333335</v>
      </c>
      <c r="M36" s="1">
        <f ca="1"/>
        <v>0</v>
      </c>
      <c r="N36" s="1">
        <f ca="1"/>
        <v>0</v>
      </c>
      <c r="O36" s="1">
        <f ca="1"/>
        <v>0</v>
      </c>
      <c r="P36" s="1">
        <f ca="1"/>
        <v>0</v>
      </c>
      <c r="Q36" s="1">
        <f ca="1"/>
        <v>0</v>
      </c>
      <c r="R36" s="1">
        <f ca="1"/>
        <v>0</v>
      </c>
      <c r="S36" s="1">
        <f ca="1"/>
        <v>0</v>
      </c>
      <c r="T36" s="1">
        <f ca="1"/>
        <v>0</v>
      </c>
      <c r="U36" s="1">
        <f ca="1"/>
        <v>0</v>
      </c>
      <c r="V36" s="1">
        <f ca="1"/>
        <v>0</v>
      </c>
      <c r="W36" s="1">
        <f ca="1"/>
        <v>0</v>
      </c>
      <c r="X36" s="1">
        <f ca="1"/>
        <v>0</v>
      </c>
      <c r="Y36" s="1">
        <f ca="1"/>
        <v>0</v>
      </c>
      <c r="Z36" s="1">
        <f ca="1"/>
        <v>0</v>
      </c>
      <c r="AA36" s="1">
        <f ca="1"/>
        <v>0</v>
      </c>
      <c r="AB36" s="1">
        <f ca="1"/>
        <v>0</v>
      </c>
      <c r="AC36" s="1">
        <f ca="1"/>
        <v>0</v>
      </c>
      <c r="AD36" s="1">
        <f ca="1"/>
        <v>0</v>
      </c>
      <c r="AE36" s="1">
        <f ca="1"/>
        <v>0</v>
      </c>
      <c r="AF36" s="1">
        <f ca="1"/>
        <v>0</v>
      </c>
      <c r="AG36" s="1">
        <f ca="1"/>
        <v>0</v>
      </c>
      <c r="AH36" s="1">
        <f ca="1"/>
        <v>0</v>
      </c>
      <c r="AI36" s="1">
        <f ca="1"/>
        <v>0</v>
      </c>
      <c r="AJ36" s="1">
        <f ca="1"/>
        <v>0</v>
      </c>
      <c r="AK36" s="1">
        <f ca="1"/>
        <v>0</v>
      </c>
      <c r="AL36" s="1">
        <f ca="1"/>
        <v>0</v>
      </c>
      <c r="AM36" s="1">
        <f ca="1"/>
        <v>0.32250571519378146</v>
      </c>
      <c r="AN36" s="1">
        <f ca="1"/>
        <v>0.32182784944789711</v>
      </c>
      <c r="AO36" s="1">
        <f ca="1"/>
        <v>0.32114998370201275</v>
      </c>
      <c r="AP36" s="1">
        <f ca="1"/>
        <v>0.32047211795612834</v>
      </c>
      <c r="AQ36" s="1">
        <f ca="1"/>
        <v>0.31979425221024399</v>
      </c>
      <c r="AR36" s="1">
        <f ca="1"/>
        <v>0.31911638646435969</v>
      </c>
      <c r="AS36" s="1">
        <f ca="1"/>
        <v>0.31843852071847528</v>
      </c>
      <c r="AT36" s="1">
        <f ca="1"/>
        <v>0.31776065497259104</v>
      </c>
      <c r="AU36" s="1">
        <f ca="1"/>
        <v>0.31708278922670663</v>
      </c>
      <c r="AV36" s="1">
        <f ca="1"/>
        <v>0.31640492348082233</v>
      </c>
      <c r="AW36" s="1">
        <f ca="1"/>
        <v>0.31596779510263512</v>
      </c>
      <c r="AX36" s="1">
        <f ca="1"/>
        <v>0.31553066672444807</v>
      </c>
      <c r="AY36" s="1">
        <f ca="1"/>
        <v>0.31509353834626103</v>
      </c>
      <c r="AZ36" s="1">
        <f ca="1"/>
        <v>0.31465640996807381</v>
      </c>
      <c r="BA36" s="1">
        <f ca="1"/>
        <v>0.31421928158988677</v>
      </c>
      <c r="BB36" s="1">
        <f ca="1"/>
        <v>0.31378215321169961</v>
      </c>
      <c r="BC36" s="1">
        <f ca="1"/>
        <v>0.31334502483351251</v>
      </c>
      <c r="BD36" s="1">
        <f ca="1"/>
        <v>0.31290789645532552</v>
      </c>
      <c r="BE36" s="1">
        <f ca="1"/>
        <v>0.31247076807713831</v>
      </c>
      <c r="BF36" s="1">
        <f ca="1"/>
        <v>0.31203363969895126</v>
      </c>
      <c r="BG36" s="1">
        <f ca="1"/>
        <v>0.31159651132076416</v>
      </c>
      <c r="BH36" s="1">
        <f ca="1"/>
        <v>0.311159382942577</v>
      </c>
      <c r="BI36" s="1">
        <f ca="1"/>
        <v>0.31088696960544598</v>
      </c>
      <c r="BJ36" s="1">
        <f ca="1"/>
        <v>0.31061455626831486</v>
      </c>
      <c r="BK36" s="1">
        <f ca="1"/>
        <v>0.31034214293118373</v>
      </c>
      <c r="BL36" s="1">
        <f ca="1"/>
        <v>0.31006972959405271</v>
      </c>
      <c r="BM36" s="1">
        <f ca="1"/>
        <v>0.30979731625692158</v>
      </c>
      <c r="BN36" s="1">
        <f ca="1"/>
        <v>0.30952490291979051</v>
      </c>
      <c r="BO36" s="1">
        <f ca="1"/>
        <v>0.30925248958265944</v>
      </c>
      <c r="BP36" s="1">
        <f ca="1"/>
        <v>0.30898007624552831</v>
      </c>
      <c r="BQ36" s="1">
        <f ca="1"/>
        <v>0.30870766290839724</v>
      </c>
      <c r="BR36" s="1">
        <f ca="1"/>
        <v>0.30843524957126606</v>
      </c>
      <c r="BS36" s="1">
        <f ca="1"/>
        <v>0.30816283623413498</v>
      </c>
      <c r="BT36" s="1">
        <f ca="1"/>
        <v>0.30789042289700391</v>
      </c>
    </row>
    <row r="37" spans="5:72" x14ac:dyDescent="0.2">
      <c r="E37" s="3">
        <v>4.2511666666666663E-2</v>
      </c>
      <c r="F37" s="1">
        <f ca="1"/>
        <v>0.91226791969482646</v>
      </c>
      <c r="G37" s="3">
        <f ca="1"/>
        <v>4.2454103046728697E-2</v>
      </c>
      <c r="H37" s="3">
        <f ca="1"/>
        <v>4.2379181748474069E-2</v>
      </c>
      <c r="I37">
        <v>26</v>
      </c>
      <c r="J37" s="2">
        <v>2.1666666666666665</v>
      </c>
      <c r="M37" s="1">
        <f ca="1"/>
        <v>0</v>
      </c>
      <c r="N37" s="1">
        <f ca="1"/>
        <v>0</v>
      </c>
      <c r="O37" s="1">
        <f ca="1"/>
        <v>0</v>
      </c>
      <c r="P37" s="1">
        <f ca="1"/>
        <v>0</v>
      </c>
      <c r="Q37" s="1">
        <f ca="1"/>
        <v>0</v>
      </c>
      <c r="R37" s="1">
        <f ca="1"/>
        <v>0</v>
      </c>
      <c r="S37" s="1">
        <f ca="1"/>
        <v>0</v>
      </c>
      <c r="T37" s="1">
        <f ca="1"/>
        <v>0</v>
      </c>
      <c r="U37" s="1">
        <f ca="1"/>
        <v>0</v>
      </c>
      <c r="V37" s="1">
        <f ca="1"/>
        <v>0</v>
      </c>
      <c r="W37" s="1">
        <f ca="1"/>
        <v>0</v>
      </c>
      <c r="X37" s="1">
        <f ca="1"/>
        <v>0</v>
      </c>
      <c r="Y37" s="1">
        <f ca="1"/>
        <v>0</v>
      </c>
      <c r="Z37" s="1">
        <f ca="1"/>
        <v>0</v>
      </c>
      <c r="AA37" s="1">
        <f ca="1"/>
        <v>0</v>
      </c>
      <c r="AB37" s="1">
        <f ca="1"/>
        <v>0</v>
      </c>
      <c r="AC37" s="1">
        <f ca="1"/>
        <v>0</v>
      </c>
      <c r="AD37" s="1">
        <f ca="1"/>
        <v>0</v>
      </c>
      <c r="AE37" s="1">
        <f ca="1"/>
        <v>0</v>
      </c>
      <c r="AF37" s="1">
        <f ca="1"/>
        <v>0</v>
      </c>
      <c r="AG37" s="1">
        <f ca="1"/>
        <v>0</v>
      </c>
      <c r="AH37" s="1">
        <f ca="1"/>
        <v>0</v>
      </c>
      <c r="AI37" s="1">
        <f ca="1"/>
        <v>0</v>
      </c>
      <c r="AJ37" s="1">
        <f ca="1"/>
        <v>0</v>
      </c>
      <c r="AK37" s="1">
        <f ca="1"/>
        <v>0</v>
      </c>
      <c r="AL37" s="1">
        <f ca="1"/>
        <v>0</v>
      </c>
      <c r="AM37" s="1">
        <f ca="1"/>
        <v>0</v>
      </c>
      <c r="AN37" s="1">
        <f ca="1"/>
        <v>0.32075881654982707</v>
      </c>
      <c r="AO37" s="1">
        <f ca="1"/>
        <v>0.32008320250709421</v>
      </c>
      <c r="AP37" s="1">
        <f ca="1"/>
        <v>0.31940758846436129</v>
      </c>
      <c r="AQ37" s="1">
        <f ca="1"/>
        <v>0.31873197442162832</v>
      </c>
      <c r="AR37" s="1">
        <f ca="1"/>
        <v>0.31805636037889551</v>
      </c>
      <c r="AS37" s="1">
        <f ca="1"/>
        <v>0.31738074633616253</v>
      </c>
      <c r="AT37" s="1">
        <f ca="1"/>
        <v>0.31670513229342973</v>
      </c>
      <c r="AU37" s="1">
        <f ca="1"/>
        <v>0.31602951825069681</v>
      </c>
      <c r="AV37" s="1">
        <f ca="1"/>
        <v>0.31535390420796389</v>
      </c>
      <c r="AW37" s="1">
        <f ca="1"/>
        <v>0.31491822786265006</v>
      </c>
      <c r="AX37" s="1">
        <f ca="1"/>
        <v>0.3144825515173364</v>
      </c>
      <c r="AY37" s="1">
        <f ca="1"/>
        <v>0.31404687517202268</v>
      </c>
      <c r="AZ37" s="1">
        <f ca="1"/>
        <v>0.31361119882670885</v>
      </c>
      <c r="BA37" s="1">
        <f ca="1"/>
        <v>0.31317552248139519</v>
      </c>
      <c r="BB37" s="1">
        <f ca="1"/>
        <v>0.31273984613608136</v>
      </c>
      <c r="BC37" s="1">
        <f ca="1"/>
        <v>0.31230416979076764</v>
      </c>
      <c r="BD37" s="1">
        <f ca="1"/>
        <v>0.31186849344545398</v>
      </c>
      <c r="BE37" s="1">
        <f ca="1"/>
        <v>0.31143281710014015</v>
      </c>
      <c r="BF37" s="1">
        <f ca="1"/>
        <v>0.31099714075482643</v>
      </c>
      <c r="BG37" s="1">
        <f ca="1"/>
        <v>0.31056146440951271</v>
      </c>
      <c r="BH37" s="1">
        <f ca="1"/>
        <v>0.31012578806419894</v>
      </c>
      <c r="BI37" s="1">
        <f ca="1"/>
        <v>0.30985427961711942</v>
      </c>
      <c r="BJ37" s="1">
        <f ca="1"/>
        <v>0.30958277117003985</v>
      </c>
      <c r="BK37" s="1">
        <f ca="1"/>
        <v>0.30931126272296022</v>
      </c>
      <c r="BL37" s="1">
        <f ca="1"/>
        <v>0.30903975427588071</v>
      </c>
      <c r="BM37" s="1">
        <f ca="1"/>
        <v>0.30876824582880114</v>
      </c>
      <c r="BN37" s="1">
        <f ca="1"/>
        <v>0.30849673738172151</v>
      </c>
      <c r="BO37" s="1">
        <f ca="1"/>
        <v>0.30822522893464199</v>
      </c>
      <c r="BP37" s="1">
        <f ca="1"/>
        <v>0.30795372048756237</v>
      </c>
      <c r="BQ37" s="1">
        <f ca="1"/>
        <v>0.30768221204048279</v>
      </c>
      <c r="BR37" s="1">
        <f ca="1"/>
        <v>0.30741070359340317</v>
      </c>
      <c r="BS37" s="1">
        <f ca="1"/>
        <v>0.3071391951463236</v>
      </c>
      <c r="BT37" s="1">
        <f ca="1"/>
        <v>0.30686768669924402</v>
      </c>
    </row>
    <row r="38" spans="5:72" x14ac:dyDescent="0.2">
      <c r="E38" s="3">
        <v>4.2422500000000002E-2</v>
      </c>
      <c r="F38" s="1">
        <f ca="1"/>
        <v>0.90923759021998241</v>
      </c>
      <c r="G38" s="3">
        <f ca="1"/>
        <v>4.2362975306292405E-2</v>
      </c>
      <c r="H38" s="3">
        <f ca="1"/>
        <v>4.2288374923436962E-2</v>
      </c>
      <c r="I38">
        <v>27</v>
      </c>
      <c r="J38" s="2">
        <v>2.25</v>
      </c>
      <c r="M38" s="1">
        <f ca="1"/>
        <v>0</v>
      </c>
      <c r="N38" s="1">
        <f ca="1"/>
        <v>0</v>
      </c>
      <c r="O38" s="1">
        <f ca="1"/>
        <v>0</v>
      </c>
      <c r="P38" s="1">
        <f ca="1"/>
        <v>0</v>
      </c>
      <c r="Q38" s="1">
        <f ca="1"/>
        <v>0</v>
      </c>
      <c r="R38" s="1">
        <f ca="1"/>
        <v>0</v>
      </c>
      <c r="S38" s="1">
        <f ca="1"/>
        <v>0</v>
      </c>
      <c r="T38" s="1">
        <f ca="1"/>
        <v>0</v>
      </c>
      <c r="U38" s="1">
        <f ca="1"/>
        <v>0</v>
      </c>
      <c r="V38" s="1">
        <f ca="1"/>
        <v>0</v>
      </c>
      <c r="W38" s="1">
        <f ca="1"/>
        <v>0</v>
      </c>
      <c r="X38" s="1">
        <f ca="1"/>
        <v>0</v>
      </c>
      <c r="Y38" s="1">
        <f ca="1"/>
        <v>0</v>
      </c>
      <c r="Z38" s="1">
        <f ca="1"/>
        <v>0</v>
      </c>
      <c r="AA38" s="1">
        <f ca="1"/>
        <v>0</v>
      </c>
      <c r="AB38" s="1">
        <f ca="1"/>
        <v>0</v>
      </c>
      <c r="AC38" s="1">
        <f ca="1"/>
        <v>0</v>
      </c>
      <c r="AD38" s="1">
        <f ca="1"/>
        <v>0</v>
      </c>
      <c r="AE38" s="1">
        <f ca="1"/>
        <v>0</v>
      </c>
      <c r="AF38" s="1">
        <f ca="1"/>
        <v>0</v>
      </c>
      <c r="AG38" s="1">
        <f ca="1"/>
        <v>0</v>
      </c>
      <c r="AH38" s="1">
        <f ca="1"/>
        <v>0</v>
      </c>
      <c r="AI38" s="1">
        <f ca="1"/>
        <v>0</v>
      </c>
      <c r="AJ38" s="1">
        <f ca="1"/>
        <v>0</v>
      </c>
      <c r="AK38" s="1">
        <f ca="1"/>
        <v>0</v>
      </c>
      <c r="AL38" s="1">
        <f ca="1"/>
        <v>0</v>
      </c>
      <c r="AM38" s="1">
        <f ca="1"/>
        <v>0</v>
      </c>
      <c r="AN38" s="1">
        <f ca="1"/>
        <v>0</v>
      </c>
      <c r="AO38" s="1">
        <f ca="1"/>
        <v>0.3190249115196393</v>
      </c>
      <c r="AP38" s="1">
        <f ca="1"/>
        <v>0.31835153125939425</v>
      </c>
      <c r="AQ38" s="1">
        <f ca="1"/>
        <v>0.3176781509991492</v>
      </c>
      <c r="AR38" s="1">
        <f ca="1"/>
        <v>0.31700477073890421</v>
      </c>
      <c r="AS38" s="1">
        <f ca="1"/>
        <v>0.31633139047865916</v>
      </c>
      <c r="AT38" s="1">
        <f ca="1"/>
        <v>0.31565801021841416</v>
      </c>
      <c r="AU38" s="1">
        <f ca="1"/>
        <v>0.31498462995816912</v>
      </c>
      <c r="AV38" s="1">
        <f ca="1"/>
        <v>0.31431124969792407</v>
      </c>
      <c r="AW38" s="1">
        <f ca="1"/>
        <v>0.31387701382916788</v>
      </c>
      <c r="AX38" s="1">
        <f ca="1"/>
        <v>0.31344277796041181</v>
      </c>
      <c r="AY38" s="1">
        <f ca="1"/>
        <v>0.31300854209165568</v>
      </c>
      <c r="AZ38" s="1">
        <f ca="1"/>
        <v>0.31257430622289945</v>
      </c>
      <c r="BA38" s="1">
        <f ca="1"/>
        <v>0.31214007035414337</v>
      </c>
      <c r="BB38" s="1">
        <f ca="1"/>
        <v>0.31170583448538719</v>
      </c>
      <c r="BC38" s="1">
        <f ca="1"/>
        <v>0.31127159861663106</v>
      </c>
      <c r="BD38" s="1">
        <f ca="1"/>
        <v>0.31083736274787499</v>
      </c>
      <c r="BE38" s="1">
        <f ca="1"/>
        <v>0.31040312687911875</v>
      </c>
      <c r="BF38" s="1">
        <f ca="1"/>
        <v>0.30996889101036262</v>
      </c>
      <c r="BG38" s="1">
        <f ca="1"/>
        <v>0.30953465514160655</v>
      </c>
      <c r="BH38" s="1">
        <f ca="1"/>
        <v>0.30910041927285037</v>
      </c>
      <c r="BI38" s="1">
        <f ca="1"/>
        <v>0.30882980851406033</v>
      </c>
      <c r="BJ38" s="1">
        <f ca="1"/>
        <v>0.30855919775527024</v>
      </c>
      <c r="BK38" s="1">
        <f ca="1"/>
        <v>0.30828858699648021</v>
      </c>
      <c r="BL38" s="1">
        <f ca="1"/>
        <v>0.30801797623769017</v>
      </c>
      <c r="BM38" s="1">
        <f ca="1"/>
        <v>0.30774736547890008</v>
      </c>
      <c r="BN38" s="1">
        <f ca="1"/>
        <v>0.30747675472011005</v>
      </c>
      <c r="BO38" s="1">
        <f ca="1"/>
        <v>0.30720614396132001</v>
      </c>
      <c r="BP38" s="1">
        <f ca="1"/>
        <v>0.30693553320252992</v>
      </c>
      <c r="BQ38" s="1">
        <f ca="1"/>
        <v>0.30666492244373988</v>
      </c>
      <c r="BR38" s="1">
        <f ca="1"/>
        <v>0.30639431168494974</v>
      </c>
      <c r="BS38" s="1">
        <f ca="1"/>
        <v>0.3061237009261597</v>
      </c>
      <c r="BT38" s="1">
        <f ca="1"/>
        <v>0.30585309016736967</v>
      </c>
    </row>
    <row r="39" spans="5:72" x14ac:dyDescent="0.2">
      <c r="E39" s="3">
        <v>4.2333333333333334E-2</v>
      </c>
      <c r="F39" s="1">
        <f ca="1"/>
        <v>0.90623137827368794</v>
      </c>
      <c r="G39" s="3">
        <f ca="1"/>
        <v>4.2271688655150186E-2</v>
      </c>
      <c r="H39" s="3">
        <f ca="1"/>
        <v>4.2197409058354493E-2</v>
      </c>
      <c r="I39">
        <v>28</v>
      </c>
      <c r="J39" s="2">
        <v>2.3333333333333335</v>
      </c>
      <c r="M39" s="1">
        <f ca="1"/>
        <v>0</v>
      </c>
      <c r="N39" s="1">
        <f ca="1"/>
        <v>0</v>
      </c>
      <c r="O39" s="1">
        <f ca="1"/>
        <v>0</v>
      </c>
      <c r="P39" s="1">
        <f ca="1"/>
        <v>0</v>
      </c>
      <c r="Q39" s="1">
        <f ca="1"/>
        <v>0</v>
      </c>
      <c r="R39" s="1">
        <f ca="1"/>
        <v>0</v>
      </c>
      <c r="S39" s="1">
        <f ca="1"/>
        <v>0</v>
      </c>
      <c r="T39" s="1">
        <f ca="1"/>
        <v>0</v>
      </c>
      <c r="U39" s="1">
        <f ca="1"/>
        <v>0</v>
      </c>
      <c r="V39" s="1">
        <f ca="1"/>
        <v>0</v>
      </c>
      <c r="W39" s="1">
        <f ca="1"/>
        <v>0</v>
      </c>
      <c r="X39" s="1">
        <f ca="1"/>
        <v>0</v>
      </c>
      <c r="Y39" s="1">
        <f ca="1"/>
        <v>0</v>
      </c>
      <c r="Z39" s="1">
        <f ca="1"/>
        <v>0</v>
      </c>
      <c r="AA39" s="1">
        <f ca="1"/>
        <v>0</v>
      </c>
      <c r="AB39" s="1">
        <f ca="1"/>
        <v>0</v>
      </c>
      <c r="AC39" s="1">
        <f ca="1"/>
        <v>0</v>
      </c>
      <c r="AD39" s="1">
        <f ca="1"/>
        <v>0</v>
      </c>
      <c r="AE39" s="1">
        <f ca="1"/>
        <v>0</v>
      </c>
      <c r="AF39" s="1">
        <f ca="1"/>
        <v>0</v>
      </c>
      <c r="AG39" s="1">
        <f ca="1"/>
        <v>0</v>
      </c>
      <c r="AH39" s="1">
        <f ca="1"/>
        <v>0</v>
      </c>
      <c r="AI39" s="1">
        <f ca="1"/>
        <v>0</v>
      </c>
      <c r="AJ39" s="1">
        <f ca="1"/>
        <v>0</v>
      </c>
      <c r="AK39" s="1">
        <f ca="1"/>
        <v>0</v>
      </c>
      <c r="AL39" s="1">
        <f ca="1"/>
        <v>0</v>
      </c>
      <c r="AM39" s="1">
        <f ca="1"/>
        <v>0</v>
      </c>
      <c r="AN39" s="1">
        <f ca="1"/>
        <v>0</v>
      </c>
      <c r="AO39" s="1">
        <f ca="1"/>
        <v>0</v>
      </c>
      <c r="AP39" s="1">
        <f ca="1"/>
        <v>0.3173038931617731</v>
      </c>
      <c r="AQ39" s="1">
        <f ca="1"/>
        <v>0.31663272887583799</v>
      </c>
      <c r="AR39" s="1">
        <f ca="1"/>
        <v>0.31596156458990304</v>
      </c>
      <c r="AS39" s="1">
        <f ca="1"/>
        <v>0.31529040030396793</v>
      </c>
      <c r="AT39" s="1">
        <f ca="1"/>
        <v>0.31461923601803299</v>
      </c>
      <c r="AU39" s="1">
        <f ca="1"/>
        <v>0.31394807173209793</v>
      </c>
      <c r="AV39" s="1">
        <f ca="1"/>
        <v>0.31327690744616288</v>
      </c>
      <c r="AW39" s="1">
        <f ca="1"/>
        <v>0.31284410057018602</v>
      </c>
      <c r="AX39" s="1">
        <f ca="1"/>
        <v>0.31241129369420928</v>
      </c>
      <c r="AY39" s="1">
        <f ca="1"/>
        <v>0.31197848681823254</v>
      </c>
      <c r="AZ39" s="1">
        <f ca="1"/>
        <v>0.31154567994225563</v>
      </c>
      <c r="BA39" s="1">
        <f ca="1"/>
        <v>0.31111287306627894</v>
      </c>
      <c r="BB39" s="1">
        <f ca="1"/>
        <v>0.31068006619030203</v>
      </c>
      <c r="BC39" s="1">
        <f ca="1"/>
        <v>0.31024725931432529</v>
      </c>
      <c r="BD39" s="1">
        <f ca="1"/>
        <v>0.30981445243834854</v>
      </c>
      <c r="BE39" s="1">
        <f ca="1"/>
        <v>0.30938164556237169</v>
      </c>
      <c r="BF39" s="1">
        <f ca="1"/>
        <v>0.30894883868639489</v>
      </c>
      <c r="BG39" s="1">
        <f ca="1"/>
        <v>0.30851603181041809</v>
      </c>
      <c r="BH39" s="1">
        <f ca="1"/>
        <v>0.30808322493444129</v>
      </c>
      <c r="BI39" s="1">
        <f ca="1"/>
        <v>0.30781350470738333</v>
      </c>
      <c r="BJ39" s="1">
        <f ca="1"/>
        <v>0.30754378448032532</v>
      </c>
      <c r="BK39" s="1">
        <f ca="1"/>
        <v>0.30727406425326731</v>
      </c>
      <c r="BL39" s="1">
        <f ca="1"/>
        <v>0.3070043440262093</v>
      </c>
      <c r="BM39" s="1">
        <f ca="1"/>
        <v>0.30673462379915128</v>
      </c>
      <c r="BN39" s="1">
        <f ca="1"/>
        <v>0.30646490357209327</v>
      </c>
      <c r="BO39" s="1">
        <f ca="1"/>
        <v>0.30619518334503532</v>
      </c>
      <c r="BP39" s="1">
        <f ca="1"/>
        <v>0.3059254631179773</v>
      </c>
      <c r="BQ39" s="1">
        <f ca="1"/>
        <v>0.30565574289091929</v>
      </c>
      <c r="BR39" s="1">
        <f ca="1"/>
        <v>0.30538602266386122</v>
      </c>
      <c r="BS39" s="1">
        <f ca="1"/>
        <v>0.30511630243680327</v>
      </c>
      <c r="BT39" s="1">
        <f ca="1"/>
        <v>0.30484658220974525</v>
      </c>
    </row>
    <row r="40" spans="5:72" x14ac:dyDescent="0.2">
      <c r="E40" s="3">
        <v>4.2244166666666666E-2</v>
      </c>
      <c r="F40" s="1">
        <f ca="1"/>
        <v>0.90324913247331928</v>
      </c>
      <c r="G40" s="3">
        <f ca="1"/>
        <v>4.2180249755338295E-2</v>
      </c>
      <c r="H40" s="3">
        <f ca="1"/>
        <v>4.2106290788313218E-2</v>
      </c>
      <c r="I40">
        <v>29</v>
      </c>
      <c r="J40" s="2">
        <v>2.4166666666666665</v>
      </c>
      <c r="M40" s="1">
        <f ca="1"/>
        <v>0</v>
      </c>
      <c r="N40" s="1">
        <f ca="1"/>
        <v>0</v>
      </c>
      <c r="O40" s="1">
        <f ca="1"/>
        <v>0</v>
      </c>
      <c r="P40" s="1">
        <f ca="1"/>
        <v>0</v>
      </c>
      <c r="Q40" s="1">
        <f ca="1"/>
        <v>0</v>
      </c>
      <c r="R40" s="1">
        <f ca="1"/>
        <v>0</v>
      </c>
      <c r="S40" s="1">
        <f ca="1"/>
        <v>0</v>
      </c>
      <c r="T40" s="1">
        <f ca="1"/>
        <v>0</v>
      </c>
      <c r="U40" s="1">
        <f ca="1"/>
        <v>0</v>
      </c>
      <c r="V40" s="1">
        <f ca="1"/>
        <v>0</v>
      </c>
      <c r="W40" s="1">
        <f ca="1"/>
        <v>0</v>
      </c>
      <c r="X40" s="1">
        <f ca="1"/>
        <v>0</v>
      </c>
      <c r="Y40" s="1">
        <f ca="1"/>
        <v>0</v>
      </c>
      <c r="Z40" s="1">
        <f ca="1"/>
        <v>0</v>
      </c>
      <c r="AA40" s="1">
        <f ca="1"/>
        <v>0</v>
      </c>
      <c r="AB40" s="1">
        <f ca="1"/>
        <v>0</v>
      </c>
      <c r="AC40" s="1">
        <f ca="1"/>
        <v>0</v>
      </c>
      <c r="AD40" s="1">
        <f ca="1"/>
        <v>0</v>
      </c>
      <c r="AE40" s="1">
        <f ca="1"/>
        <v>0</v>
      </c>
      <c r="AF40" s="1">
        <f ca="1"/>
        <v>0</v>
      </c>
      <c r="AG40" s="1">
        <f ca="1"/>
        <v>0</v>
      </c>
      <c r="AH40" s="1">
        <f ca="1"/>
        <v>0</v>
      </c>
      <c r="AI40" s="1">
        <f ca="1"/>
        <v>0</v>
      </c>
      <c r="AJ40" s="1">
        <f ca="1"/>
        <v>0</v>
      </c>
      <c r="AK40" s="1">
        <f ca="1"/>
        <v>0</v>
      </c>
      <c r="AL40" s="1">
        <f ca="1"/>
        <v>0</v>
      </c>
      <c r="AM40" s="1">
        <f ca="1"/>
        <v>0</v>
      </c>
      <c r="AN40" s="1">
        <f ca="1"/>
        <v>0</v>
      </c>
      <c r="AO40" s="1">
        <f ca="1"/>
        <v>0</v>
      </c>
      <c r="AP40" s="1">
        <f ca="1"/>
        <v>0</v>
      </c>
      <c r="AQ40" s="1">
        <f ca="1"/>
        <v>0.31559565541932166</v>
      </c>
      <c r="AR40" s="1">
        <f ca="1"/>
        <v>0.31492668941108332</v>
      </c>
      <c r="AS40" s="1">
        <f ca="1"/>
        <v>0.31425772340284486</v>
      </c>
      <c r="AT40" s="1">
        <f ca="1"/>
        <v>0.31358875739460645</v>
      </c>
      <c r="AU40" s="1">
        <f ca="1"/>
        <v>0.312919791386368</v>
      </c>
      <c r="AV40" s="1">
        <f ca="1"/>
        <v>0.31225082537812959</v>
      </c>
      <c r="AW40" s="1">
        <f ca="1"/>
        <v>0.31181943608309726</v>
      </c>
      <c r="AX40" s="1">
        <f ca="1"/>
        <v>0.31138804678806509</v>
      </c>
      <c r="AY40" s="1">
        <f ca="1"/>
        <v>0.31095665749303286</v>
      </c>
      <c r="AZ40" s="1">
        <f ca="1"/>
        <v>0.31052526819800053</v>
      </c>
      <c r="BA40" s="1">
        <f ca="1"/>
        <v>0.31009387890296836</v>
      </c>
      <c r="BB40" s="1">
        <f ca="1"/>
        <v>0.30966248960793602</v>
      </c>
      <c r="BC40" s="1">
        <f ca="1"/>
        <v>0.30923110031290379</v>
      </c>
      <c r="BD40" s="1">
        <f ca="1"/>
        <v>0.30879971101787157</v>
      </c>
      <c r="BE40" s="1">
        <f ca="1"/>
        <v>0.30836832172283929</v>
      </c>
      <c r="BF40" s="1">
        <f ca="1"/>
        <v>0.30793693242780701</v>
      </c>
      <c r="BG40" s="1">
        <f ca="1"/>
        <v>0.30750554313277478</v>
      </c>
      <c r="BH40" s="1">
        <f ca="1"/>
        <v>0.3070741538377425</v>
      </c>
      <c r="BI40" s="1">
        <f ca="1"/>
        <v>0.30680531703069347</v>
      </c>
      <c r="BJ40" s="1">
        <f ca="1"/>
        <v>0.30653648022364438</v>
      </c>
      <c r="BK40" s="1">
        <f ca="1"/>
        <v>0.30626764341659529</v>
      </c>
      <c r="BL40" s="1">
        <f ca="1"/>
        <v>0.3059988066095462</v>
      </c>
      <c r="BM40" s="1">
        <f ca="1"/>
        <v>0.30572996980249711</v>
      </c>
      <c r="BN40" s="1">
        <f ca="1"/>
        <v>0.30546113299544803</v>
      </c>
      <c r="BO40" s="1">
        <f ca="1"/>
        <v>0.30519229618839899</v>
      </c>
      <c r="BP40" s="1">
        <f ca="1"/>
        <v>0.3049234593813499</v>
      </c>
      <c r="BQ40" s="1">
        <f ca="1"/>
        <v>0.30465462257430076</v>
      </c>
      <c r="BR40" s="1">
        <f ca="1"/>
        <v>0.30438578576725162</v>
      </c>
      <c r="BS40" s="1">
        <f ca="1"/>
        <v>0.30411694896020258</v>
      </c>
      <c r="BT40" s="1">
        <f ca="1"/>
        <v>0.30384811215315349</v>
      </c>
    </row>
    <row r="41" spans="5:72" x14ac:dyDescent="0.2">
      <c r="E41" s="3">
        <v>4.2154999999999998E-2</v>
      </c>
      <c r="F41" s="1">
        <f ca="1"/>
        <v>0.90029070267601041</v>
      </c>
      <c r="G41" s="3">
        <f ca="1"/>
        <v>4.2088664452924363E-2</v>
      </c>
      <c r="H41" s="3">
        <f ca="1"/>
        <v>4.2015025935484576E-2</v>
      </c>
      <c r="I41">
        <v>30</v>
      </c>
      <c r="J41" s="2">
        <v>2.5</v>
      </c>
      <c r="M41" s="1">
        <f ca="1"/>
        <v>0</v>
      </c>
      <c r="N41" s="1">
        <f ca="1"/>
        <v>0</v>
      </c>
      <c r="O41" s="1">
        <f ca="1"/>
        <v>0</v>
      </c>
      <c r="P41" s="1">
        <f ca="1"/>
        <v>0</v>
      </c>
      <c r="Q41" s="1">
        <f ca="1"/>
        <v>0</v>
      </c>
      <c r="R41" s="1">
        <f ca="1"/>
        <v>0</v>
      </c>
      <c r="S41" s="1">
        <f ca="1"/>
        <v>0</v>
      </c>
      <c r="T41" s="1">
        <f ca="1"/>
        <v>0</v>
      </c>
      <c r="U41" s="1">
        <f ca="1"/>
        <v>0</v>
      </c>
      <c r="V41" s="1">
        <f ca="1"/>
        <v>0</v>
      </c>
      <c r="W41" s="1">
        <f ca="1"/>
        <v>0</v>
      </c>
      <c r="X41" s="1">
        <f ca="1"/>
        <v>0</v>
      </c>
      <c r="Y41" s="1">
        <f ca="1"/>
        <v>0</v>
      </c>
      <c r="Z41" s="1">
        <f ca="1"/>
        <v>0</v>
      </c>
      <c r="AA41" s="1">
        <f ca="1"/>
        <v>0</v>
      </c>
      <c r="AB41" s="1">
        <f ca="1"/>
        <v>0</v>
      </c>
      <c r="AC41" s="1">
        <f ca="1"/>
        <v>0</v>
      </c>
      <c r="AD41" s="1">
        <f ca="1"/>
        <v>0</v>
      </c>
      <c r="AE41" s="1">
        <f ca="1"/>
        <v>0</v>
      </c>
      <c r="AF41" s="1">
        <f ca="1"/>
        <v>0</v>
      </c>
      <c r="AG41" s="1">
        <f ca="1"/>
        <v>0</v>
      </c>
      <c r="AH41" s="1">
        <f ca="1"/>
        <v>0</v>
      </c>
      <c r="AI41" s="1">
        <f ca="1"/>
        <v>0</v>
      </c>
      <c r="AJ41" s="1">
        <f ca="1"/>
        <v>0</v>
      </c>
      <c r="AK41" s="1">
        <f ca="1"/>
        <v>0</v>
      </c>
      <c r="AL41" s="1">
        <f ca="1"/>
        <v>0</v>
      </c>
      <c r="AM41" s="1">
        <f ca="1"/>
        <v>0</v>
      </c>
      <c r="AN41" s="1">
        <f ca="1"/>
        <v>0</v>
      </c>
      <c r="AO41" s="1">
        <f ca="1"/>
        <v>0</v>
      </c>
      <c r="AP41" s="1">
        <f ca="1"/>
        <v>0</v>
      </c>
      <c r="AQ41" s="1">
        <f ca="1"/>
        <v>0</v>
      </c>
      <c r="AR41" s="1">
        <f ca="1"/>
        <v>0.31390009311185685</v>
      </c>
      <c r="AS41" s="1">
        <f ca="1"/>
        <v>0.31323330779535224</v>
      </c>
      <c r="AT41" s="1">
        <f ca="1"/>
        <v>0.3125665224788477</v>
      </c>
      <c r="AU41" s="1">
        <f ca="1"/>
        <v>0.31189973716234309</v>
      </c>
      <c r="AV41" s="1">
        <f ca="1"/>
        <v>0.31123295184583855</v>
      </c>
      <c r="AW41" s="1">
        <f ca="1"/>
        <v>0.31080296879127006</v>
      </c>
      <c r="AX41" s="1">
        <f ca="1"/>
        <v>0.3103729857367018</v>
      </c>
      <c r="AY41" s="1">
        <f ca="1"/>
        <v>0.30994300268213343</v>
      </c>
      <c r="AZ41" s="1">
        <f ca="1"/>
        <v>0.309513019627565</v>
      </c>
      <c r="BA41" s="1">
        <f ca="1"/>
        <v>0.30908303657299668</v>
      </c>
      <c r="BB41" s="1">
        <f ca="1"/>
        <v>0.30865305351842826</v>
      </c>
      <c r="BC41" s="1">
        <f ca="1"/>
        <v>0.30822307046385988</v>
      </c>
      <c r="BD41" s="1">
        <f ca="1"/>
        <v>0.30779308740929157</v>
      </c>
      <c r="BE41" s="1">
        <f ca="1"/>
        <v>0.30736310435472314</v>
      </c>
      <c r="BF41" s="1">
        <f ca="1"/>
        <v>0.30693312130015477</v>
      </c>
      <c r="BG41" s="1">
        <f ca="1"/>
        <v>0.30650313824558645</v>
      </c>
      <c r="BH41" s="1">
        <f ca="1"/>
        <v>0.30607315519101802</v>
      </c>
      <c r="BI41" s="1">
        <f ca="1"/>
        <v>0.30580519473672185</v>
      </c>
      <c r="BJ41" s="1">
        <f ca="1"/>
        <v>0.30553723428242557</v>
      </c>
      <c r="BK41" s="1">
        <f ca="1"/>
        <v>0.30526927382812935</v>
      </c>
      <c r="BL41" s="1">
        <f ca="1"/>
        <v>0.30500131337383313</v>
      </c>
      <c r="BM41" s="1">
        <f ca="1"/>
        <v>0.3047333529195369</v>
      </c>
      <c r="BN41" s="1">
        <f ca="1"/>
        <v>0.30446539246524068</v>
      </c>
      <c r="BO41" s="1">
        <f ca="1"/>
        <v>0.30419743201094446</v>
      </c>
      <c r="BP41" s="1">
        <f ca="1"/>
        <v>0.30392947155664823</v>
      </c>
      <c r="BQ41" s="1">
        <f ca="1"/>
        <v>0.30366151110235196</v>
      </c>
      <c r="BR41" s="1">
        <f ca="1"/>
        <v>0.30339355064805568</v>
      </c>
      <c r="BS41" s="1">
        <f ca="1"/>
        <v>0.30312559019375951</v>
      </c>
      <c r="BT41" s="1">
        <f ca="1"/>
        <v>0.30285762973946323</v>
      </c>
    </row>
    <row r="42" spans="5:72" x14ac:dyDescent="0.2">
      <c r="E42" s="3">
        <v>4.206583333333333E-2</v>
      </c>
      <c r="F42" s="1">
        <f ca="1"/>
        <v>0.89735593996878005</v>
      </c>
      <c r="G42" s="3">
        <f ca="1"/>
        <v>4.1996937910480092E-2</v>
      </c>
      <c r="H42" s="3">
        <f ca="1"/>
        <v>4.1923619641094971E-2</v>
      </c>
      <c r="I42">
        <v>31</v>
      </c>
      <c r="J42" s="2">
        <v>2.5833333333333335</v>
      </c>
      <c r="M42" s="1">
        <f ca="1"/>
        <v>0</v>
      </c>
      <c r="N42" s="1">
        <f ca="1"/>
        <v>0</v>
      </c>
      <c r="O42" s="1">
        <f ca="1"/>
        <v>0</v>
      </c>
      <c r="P42" s="1">
        <f ca="1"/>
        <v>0</v>
      </c>
      <c r="Q42" s="1">
        <f ca="1"/>
        <v>0</v>
      </c>
      <c r="R42" s="1">
        <f ca="1"/>
        <v>0</v>
      </c>
      <c r="S42" s="1">
        <f ca="1"/>
        <v>0</v>
      </c>
      <c r="T42" s="1">
        <f ca="1"/>
        <v>0</v>
      </c>
      <c r="U42" s="1">
        <f ca="1"/>
        <v>0</v>
      </c>
      <c r="V42" s="1">
        <f ca="1"/>
        <v>0</v>
      </c>
      <c r="W42" s="1">
        <f ca="1"/>
        <v>0</v>
      </c>
      <c r="X42" s="1">
        <f ca="1"/>
        <v>0</v>
      </c>
      <c r="Y42" s="1">
        <f ca="1"/>
        <v>0</v>
      </c>
      <c r="Z42" s="1">
        <f ca="1"/>
        <v>0</v>
      </c>
      <c r="AA42" s="1">
        <f ca="1"/>
        <v>0</v>
      </c>
      <c r="AB42" s="1">
        <f ca="1"/>
        <v>0</v>
      </c>
      <c r="AC42" s="1">
        <f ca="1"/>
        <v>0</v>
      </c>
      <c r="AD42" s="1">
        <f ca="1"/>
        <v>0</v>
      </c>
      <c r="AE42" s="1">
        <f ca="1"/>
        <v>0</v>
      </c>
      <c r="AF42" s="1">
        <f ca="1"/>
        <v>0</v>
      </c>
      <c r="AG42" s="1">
        <f ca="1"/>
        <v>0</v>
      </c>
      <c r="AH42" s="1">
        <f ca="1"/>
        <v>0</v>
      </c>
      <c r="AI42" s="1">
        <f ca="1"/>
        <v>0</v>
      </c>
      <c r="AJ42" s="1">
        <f ca="1"/>
        <v>0</v>
      </c>
      <c r="AK42" s="1">
        <f ca="1"/>
        <v>0</v>
      </c>
      <c r="AL42" s="1">
        <f ca="1"/>
        <v>0</v>
      </c>
      <c r="AM42" s="1">
        <f ca="1"/>
        <v>0</v>
      </c>
      <c r="AN42" s="1">
        <f ca="1"/>
        <v>0</v>
      </c>
      <c r="AO42" s="1">
        <f ca="1"/>
        <v>0</v>
      </c>
      <c r="AP42" s="1">
        <f ca="1"/>
        <v>0</v>
      </c>
      <c r="AQ42" s="1">
        <f ca="1"/>
        <v>0</v>
      </c>
      <c r="AR42" s="1">
        <f ca="1"/>
        <v>0</v>
      </c>
      <c r="AS42" s="1">
        <f ca="1"/>
        <v>0.31221710192743152</v>
      </c>
      <c r="AT42" s="1">
        <f ca="1"/>
        <v>0.31155247982644213</v>
      </c>
      <c r="AU42" s="1">
        <f ca="1"/>
        <v>0.31088785772545263</v>
      </c>
      <c r="AV42" s="1">
        <f ca="1"/>
        <v>0.31022323562446319</v>
      </c>
      <c r="AW42" s="1">
        <f ca="1"/>
        <v>0.30979464754064745</v>
      </c>
      <c r="AX42" s="1">
        <f ca="1"/>
        <v>0.30936605945683193</v>
      </c>
      <c r="AY42" s="1">
        <f ca="1"/>
        <v>0.3089374713730163</v>
      </c>
      <c r="AZ42" s="1">
        <f ca="1"/>
        <v>0.30850888328920056</v>
      </c>
      <c r="BA42" s="1">
        <f ca="1"/>
        <v>0.30808029520538505</v>
      </c>
      <c r="BB42" s="1">
        <f ca="1"/>
        <v>0.30765170712156931</v>
      </c>
      <c r="BC42" s="1">
        <f ca="1"/>
        <v>0.30722311903775373</v>
      </c>
      <c r="BD42" s="1">
        <f ca="1"/>
        <v>0.30679453095393816</v>
      </c>
      <c r="BE42" s="1">
        <f ca="1"/>
        <v>0.30636594287012242</v>
      </c>
      <c r="BF42" s="1">
        <f ca="1"/>
        <v>0.30593735478630685</v>
      </c>
      <c r="BG42" s="1">
        <f ca="1"/>
        <v>0.30550876670249122</v>
      </c>
      <c r="BH42" s="1">
        <f ca="1"/>
        <v>0.30508017861867553</v>
      </c>
      <c r="BI42" s="1">
        <f ca="1"/>
        <v>0.3048130874939789</v>
      </c>
      <c r="BJ42" s="1">
        <f ca="1"/>
        <v>0.3045459963692822</v>
      </c>
      <c r="BK42" s="1">
        <f ca="1"/>
        <v>0.30427890524458545</v>
      </c>
      <c r="BL42" s="1">
        <f ca="1"/>
        <v>0.30401181411988881</v>
      </c>
      <c r="BM42" s="1">
        <f ca="1"/>
        <v>0.30374472299519212</v>
      </c>
      <c r="BN42" s="1">
        <f ca="1"/>
        <v>0.30347763187049537</v>
      </c>
      <c r="BO42" s="1">
        <f ca="1"/>
        <v>0.30321054074579873</v>
      </c>
      <c r="BP42" s="1">
        <f ca="1"/>
        <v>0.30294344962110203</v>
      </c>
      <c r="BQ42" s="1">
        <f ca="1"/>
        <v>0.30267635849640534</v>
      </c>
      <c r="BR42" s="1">
        <f ca="1"/>
        <v>0.30240926737170853</v>
      </c>
      <c r="BS42" s="1">
        <f ca="1"/>
        <v>0.3021421762470119</v>
      </c>
      <c r="BT42" s="1">
        <f ca="1"/>
        <v>0.3018750851223152</v>
      </c>
    </row>
    <row r="43" spans="5:72" x14ac:dyDescent="0.2">
      <c r="E43" s="3">
        <v>4.1976666666666662E-2</v>
      </c>
      <c r="F43" s="1">
        <f ca="1"/>
        <v>0.89444469665871174</v>
      </c>
      <c r="G43" s="3">
        <f ca="1"/>
        <v>4.1905074714712498E-2</v>
      </c>
      <c r="H43" s="3">
        <f ca="1"/>
        <v>4.1832076472663703E-2</v>
      </c>
      <c r="I43">
        <v>32</v>
      </c>
      <c r="J43" s="2">
        <v>2.6666666666666665</v>
      </c>
      <c r="M43" s="1">
        <f ca="1"/>
        <v>0</v>
      </c>
      <c r="N43" s="1">
        <f ca="1"/>
        <v>0</v>
      </c>
      <c r="O43" s="1">
        <f ca="1"/>
        <v>0</v>
      </c>
      <c r="P43" s="1">
        <f ca="1"/>
        <v>0</v>
      </c>
      <c r="Q43" s="1">
        <f ca="1"/>
        <v>0</v>
      </c>
      <c r="R43" s="1">
        <f ca="1"/>
        <v>0</v>
      </c>
      <c r="S43" s="1">
        <f ca="1"/>
        <v>0</v>
      </c>
      <c r="T43" s="1">
        <f ca="1"/>
        <v>0</v>
      </c>
      <c r="U43" s="1">
        <f ca="1"/>
        <v>0</v>
      </c>
      <c r="V43" s="1">
        <f ca="1"/>
        <v>0</v>
      </c>
      <c r="W43" s="1">
        <f ca="1"/>
        <v>0</v>
      </c>
      <c r="X43" s="1">
        <f ca="1"/>
        <v>0</v>
      </c>
      <c r="Y43" s="1">
        <f ca="1"/>
        <v>0</v>
      </c>
      <c r="Z43" s="1">
        <f ca="1"/>
        <v>0</v>
      </c>
      <c r="AA43" s="1">
        <f ca="1"/>
        <v>0</v>
      </c>
      <c r="AB43" s="1">
        <f ca="1"/>
        <v>0</v>
      </c>
      <c r="AC43" s="1">
        <f ca="1"/>
        <v>0</v>
      </c>
      <c r="AD43" s="1">
        <f ca="1"/>
        <v>0</v>
      </c>
      <c r="AE43" s="1">
        <f ca="1"/>
        <v>0</v>
      </c>
      <c r="AF43" s="1">
        <f ca="1"/>
        <v>0</v>
      </c>
      <c r="AG43" s="1">
        <f ca="1"/>
        <v>0</v>
      </c>
      <c r="AH43" s="1">
        <f ca="1"/>
        <v>0</v>
      </c>
      <c r="AI43" s="1">
        <f ca="1"/>
        <v>0</v>
      </c>
      <c r="AJ43" s="1">
        <f ca="1"/>
        <v>0</v>
      </c>
      <c r="AK43" s="1">
        <f ca="1"/>
        <v>0</v>
      </c>
      <c r="AL43" s="1">
        <f ca="1"/>
        <v>0</v>
      </c>
      <c r="AM43" s="1">
        <f ca="1"/>
        <v>0</v>
      </c>
      <c r="AN43" s="1">
        <f ca="1"/>
        <v>0</v>
      </c>
      <c r="AO43" s="1">
        <f ca="1"/>
        <v>0</v>
      </c>
      <c r="AP43" s="1">
        <f ca="1"/>
        <v>0</v>
      </c>
      <c r="AQ43" s="1">
        <f ca="1"/>
        <v>0</v>
      </c>
      <c r="AR43" s="1">
        <f ca="1"/>
        <v>0</v>
      </c>
      <c r="AS43" s="1">
        <f ca="1"/>
        <v>0</v>
      </c>
      <c r="AT43" s="1">
        <f ca="1"/>
        <v>0.31054657841467109</v>
      </c>
      <c r="AU43" s="1">
        <f ca="1"/>
        <v>0.30988410216182266</v>
      </c>
      <c r="AV43" s="1">
        <f ca="1"/>
        <v>0.30922162590897428</v>
      </c>
      <c r="AW43" s="1">
        <f ca="1"/>
        <v>0.30879442159638976</v>
      </c>
      <c r="AX43" s="1">
        <f ca="1"/>
        <v>0.30836721728380534</v>
      </c>
      <c r="AY43" s="1">
        <f ca="1"/>
        <v>0.30794001297122087</v>
      </c>
      <c r="AZ43" s="1">
        <f ca="1"/>
        <v>0.30751280865863634</v>
      </c>
      <c r="BA43" s="1">
        <f ca="1"/>
        <v>0.30708560434605192</v>
      </c>
      <c r="BB43" s="1">
        <f ca="1"/>
        <v>0.30665840003346734</v>
      </c>
      <c r="BC43" s="1">
        <f ca="1"/>
        <v>0.30623119572088292</v>
      </c>
      <c r="BD43" s="1">
        <f ca="1"/>
        <v>0.3058039914082985</v>
      </c>
      <c r="BE43" s="1">
        <f ca="1"/>
        <v>0.30537678709571392</v>
      </c>
      <c r="BF43" s="1">
        <f ca="1"/>
        <v>0.3049495827831295</v>
      </c>
      <c r="BG43" s="1">
        <f ca="1"/>
        <v>0.30452237847054503</v>
      </c>
      <c r="BH43" s="1">
        <f ca="1"/>
        <v>0.3040951741579605</v>
      </c>
      <c r="BI43" s="1">
        <f ca="1"/>
        <v>0.3038289453834514</v>
      </c>
      <c r="BJ43" s="1">
        <f ca="1"/>
        <v>0.30356271660894218</v>
      </c>
      <c r="BK43" s="1">
        <f ca="1"/>
        <v>0.30329648783443303</v>
      </c>
      <c r="BL43" s="1">
        <f ca="1"/>
        <v>0.30303025905992387</v>
      </c>
      <c r="BM43" s="1">
        <f ca="1"/>
        <v>0.30276403028541471</v>
      </c>
      <c r="BN43" s="1">
        <f ca="1"/>
        <v>0.30249780151090555</v>
      </c>
      <c r="BO43" s="1">
        <f ca="1"/>
        <v>0.30223157273639639</v>
      </c>
      <c r="BP43" s="1">
        <f ca="1"/>
        <v>0.30196534396188723</v>
      </c>
      <c r="BQ43" s="1">
        <f ca="1"/>
        <v>0.30169911518737802</v>
      </c>
      <c r="BR43" s="1">
        <f ca="1"/>
        <v>0.30143288641286881</v>
      </c>
      <c r="BS43" s="1">
        <f ca="1"/>
        <v>0.3011666576383597</v>
      </c>
      <c r="BT43" s="1">
        <f ca="1"/>
        <v>0.30090042886385049</v>
      </c>
    </row>
    <row r="44" spans="5:72" x14ac:dyDescent="0.2">
      <c r="E44" s="3">
        <v>4.1887499999999994E-2</v>
      </c>
      <c r="F44" s="1">
        <f ca="1"/>
        <v>0.89155682626326083</v>
      </c>
      <c r="G44" s="3">
        <f ca="1"/>
        <v>4.1813078964516137E-2</v>
      </c>
      <c r="H44" s="3">
        <f ca="1"/>
        <v>4.174040051172484E-2</v>
      </c>
      <c r="I44">
        <v>33</v>
      </c>
      <c r="J44" s="2">
        <v>2.75</v>
      </c>
      <c r="M44" s="1">
        <f ca="1"/>
        <v>0</v>
      </c>
      <c r="N44" s="1">
        <f ca="1"/>
        <v>0</v>
      </c>
      <c r="O44" s="1">
        <f ca="1"/>
        <v>0</v>
      </c>
      <c r="P44" s="1">
        <f ca="1"/>
        <v>0</v>
      </c>
      <c r="Q44" s="1">
        <f ca="1"/>
        <v>0</v>
      </c>
      <c r="R44" s="1">
        <f ca="1"/>
        <v>0</v>
      </c>
      <c r="S44" s="1">
        <f ca="1"/>
        <v>0</v>
      </c>
      <c r="T44" s="1">
        <f ca="1"/>
        <v>0</v>
      </c>
      <c r="U44" s="1">
        <f ca="1"/>
        <v>0</v>
      </c>
      <c r="V44" s="1">
        <f ca="1"/>
        <v>0</v>
      </c>
      <c r="W44" s="1">
        <f ca="1"/>
        <v>0</v>
      </c>
      <c r="X44" s="1">
        <f ca="1"/>
        <v>0</v>
      </c>
      <c r="Y44" s="1">
        <f ca="1"/>
        <v>0</v>
      </c>
      <c r="Z44" s="1">
        <f ca="1"/>
        <v>0</v>
      </c>
      <c r="AA44" s="1">
        <f ca="1"/>
        <v>0</v>
      </c>
      <c r="AB44" s="1">
        <f ca="1"/>
        <v>0</v>
      </c>
      <c r="AC44" s="1">
        <f ca="1"/>
        <v>0</v>
      </c>
      <c r="AD44" s="1">
        <f ca="1"/>
        <v>0</v>
      </c>
      <c r="AE44" s="1">
        <f ca="1"/>
        <v>0</v>
      </c>
      <c r="AF44" s="1">
        <f ca="1"/>
        <v>0</v>
      </c>
      <c r="AG44" s="1">
        <f ca="1"/>
        <v>0</v>
      </c>
      <c r="AH44" s="1">
        <f ca="1"/>
        <v>0</v>
      </c>
      <c r="AI44" s="1">
        <f ca="1"/>
        <v>0</v>
      </c>
      <c r="AJ44" s="1">
        <f ca="1"/>
        <v>0</v>
      </c>
      <c r="AK44" s="1">
        <f ca="1"/>
        <v>0</v>
      </c>
      <c r="AL44" s="1">
        <f ca="1"/>
        <v>0</v>
      </c>
      <c r="AM44" s="1">
        <f ca="1"/>
        <v>0</v>
      </c>
      <c r="AN44" s="1">
        <f ca="1"/>
        <v>0</v>
      </c>
      <c r="AO44" s="1">
        <f ca="1"/>
        <v>0</v>
      </c>
      <c r="AP44" s="1">
        <f ca="1"/>
        <v>0</v>
      </c>
      <c r="AQ44" s="1">
        <f ca="1"/>
        <v>0</v>
      </c>
      <c r="AR44" s="1">
        <f ca="1"/>
        <v>0</v>
      </c>
      <c r="AS44" s="1">
        <f ca="1"/>
        <v>0</v>
      </c>
      <c r="AT44" s="1">
        <f ca="1"/>
        <v>0</v>
      </c>
      <c r="AU44" s="1">
        <f ca="1"/>
        <v>0.30888841997492705</v>
      </c>
      <c r="AV44" s="1">
        <f ca="1"/>
        <v>0.30822807231079818</v>
      </c>
      <c r="AW44" s="1">
        <f ca="1"/>
        <v>0.30780224063953737</v>
      </c>
      <c r="AX44" s="1">
        <f ca="1"/>
        <v>0.30737640896827673</v>
      </c>
      <c r="AY44" s="1">
        <f ca="1"/>
        <v>0.30695057729701603</v>
      </c>
      <c r="AZ44" s="1">
        <f ca="1"/>
        <v>0.30652474562575527</v>
      </c>
      <c r="BA44" s="1">
        <f ca="1"/>
        <v>0.30609891395449462</v>
      </c>
      <c r="BB44" s="1">
        <f ca="1"/>
        <v>0.30567308228323381</v>
      </c>
      <c r="BC44" s="1">
        <f ca="1"/>
        <v>0.30524725061197311</v>
      </c>
      <c r="BD44" s="1">
        <f ca="1"/>
        <v>0.30482141894071246</v>
      </c>
      <c r="BE44" s="1">
        <f ca="1"/>
        <v>0.30439558726945171</v>
      </c>
      <c r="BF44" s="1">
        <f ca="1"/>
        <v>0.303969755598191</v>
      </c>
      <c r="BG44" s="1">
        <f ca="1"/>
        <v>0.3035439239269303</v>
      </c>
      <c r="BH44" s="1">
        <f ca="1"/>
        <v>0.30311809225566955</v>
      </c>
      <c r="BI44" s="1">
        <f ca="1"/>
        <v>0.30285271889531873</v>
      </c>
      <c r="BJ44" s="1">
        <f ca="1"/>
        <v>0.30258734553496786</v>
      </c>
      <c r="BK44" s="1">
        <f ca="1"/>
        <v>0.30232197217461693</v>
      </c>
      <c r="BL44" s="1">
        <f ca="1"/>
        <v>0.30205659881426611</v>
      </c>
      <c r="BM44" s="1">
        <f ca="1"/>
        <v>0.30179122545391524</v>
      </c>
      <c r="BN44" s="1">
        <f ca="1"/>
        <v>0.30152585209356431</v>
      </c>
      <c r="BO44" s="1">
        <f ca="1"/>
        <v>0.30126047873321349</v>
      </c>
      <c r="BP44" s="1">
        <f ca="1"/>
        <v>0.30099510537286256</v>
      </c>
      <c r="BQ44" s="1">
        <f ca="1"/>
        <v>0.30072973201251169</v>
      </c>
      <c r="BR44" s="1">
        <f ca="1"/>
        <v>0.30046435865216076</v>
      </c>
      <c r="BS44" s="1">
        <f ca="1"/>
        <v>0.30019898529180988</v>
      </c>
      <c r="BT44" s="1">
        <f ca="1"/>
        <v>0.29993361193145901</v>
      </c>
    </row>
    <row r="45" spans="5:72" x14ac:dyDescent="0.2">
      <c r="E45" s="3">
        <v>4.1798333333333333E-2</v>
      </c>
      <c r="F45" s="1">
        <f ca="1"/>
        <v>0.8886921835006194</v>
      </c>
      <c r="G45" s="3">
        <f ca="1"/>
        <v>4.1720954343491101E-2</v>
      </c>
      <c r="H45" s="3">
        <f ca="1"/>
        <v>4.1648595426077573E-2</v>
      </c>
      <c r="I45">
        <v>34</v>
      </c>
      <c r="J45" s="2">
        <v>2.8333333333333335</v>
      </c>
      <c r="M45" s="1">
        <f ca="1"/>
        <v>0</v>
      </c>
      <c r="N45" s="1">
        <f ca="1"/>
        <v>0</v>
      </c>
      <c r="O45" s="1">
        <f ca="1"/>
        <v>0</v>
      </c>
      <c r="P45" s="1">
        <f ca="1"/>
        <v>0</v>
      </c>
      <c r="Q45" s="1">
        <f ca="1"/>
        <v>0</v>
      </c>
      <c r="R45" s="1">
        <f ca="1"/>
        <v>0</v>
      </c>
      <c r="S45" s="1">
        <f ca="1"/>
        <v>0</v>
      </c>
      <c r="T45" s="1">
        <f ca="1"/>
        <v>0</v>
      </c>
      <c r="U45" s="1">
        <f ca="1"/>
        <v>0</v>
      </c>
      <c r="V45" s="1">
        <f ca="1"/>
        <v>0</v>
      </c>
      <c r="W45" s="1">
        <f ca="1"/>
        <v>0</v>
      </c>
      <c r="X45" s="1">
        <f ca="1"/>
        <v>0</v>
      </c>
      <c r="Y45" s="1">
        <f ca="1"/>
        <v>0</v>
      </c>
      <c r="Z45" s="1">
        <f ca="1"/>
        <v>0</v>
      </c>
      <c r="AA45" s="1">
        <f ca="1"/>
        <v>0</v>
      </c>
      <c r="AB45" s="1">
        <f ca="1"/>
        <v>0</v>
      </c>
      <c r="AC45" s="1">
        <f ca="1"/>
        <v>0</v>
      </c>
      <c r="AD45" s="1">
        <f ca="1"/>
        <v>0</v>
      </c>
      <c r="AE45" s="1">
        <f ca="1"/>
        <v>0</v>
      </c>
      <c r="AF45" s="1">
        <f ca="1"/>
        <v>0</v>
      </c>
      <c r="AG45" s="1">
        <f ca="1"/>
        <v>0</v>
      </c>
      <c r="AH45" s="1">
        <f ca="1"/>
        <v>0</v>
      </c>
      <c r="AI45" s="1">
        <f ca="1"/>
        <v>0</v>
      </c>
      <c r="AJ45" s="1">
        <f ca="1"/>
        <v>0</v>
      </c>
      <c r="AK45" s="1">
        <f ca="1"/>
        <v>0</v>
      </c>
      <c r="AL45" s="1">
        <f ca="1"/>
        <v>0</v>
      </c>
      <c r="AM45" s="1">
        <f ca="1"/>
        <v>0</v>
      </c>
      <c r="AN45" s="1">
        <f ca="1"/>
        <v>0</v>
      </c>
      <c r="AO45" s="1">
        <f ca="1"/>
        <v>0</v>
      </c>
      <c r="AP45" s="1">
        <f ca="1"/>
        <v>0</v>
      </c>
      <c r="AQ45" s="1">
        <f ca="1"/>
        <v>0</v>
      </c>
      <c r="AR45" s="1">
        <f ca="1"/>
        <v>0</v>
      </c>
      <c r="AS45" s="1">
        <f ca="1"/>
        <v>0</v>
      </c>
      <c r="AT45" s="1">
        <f ca="1"/>
        <v>0</v>
      </c>
      <c r="AU45" s="1">
        <f ca="1"/>
        <v>0</v>
      </c>
      <c r="AV45" s="1">
        <f ca="1"/>
        <v>0.30724252485451409</v>
      </c>
      <c r="AW45" s="1">
        <f ca="1"/>
        <v>0.3068180547637131</v>
      </c>
      <c r="AX45" s="1">
        <f ca="1"/>
        <v>0.30639358467291222</v>
      </c>
      <c r="AY45" s="1">
        <f ca="1"/>
        <v>0.30596911458211135</v>
      </c>
      <c r="AZ45" s="1">
        <f ca="1"/>
        <v>0.30554464449131036</v>
      </c>
      <c r="BA45" s="1">
        <f ca="1"/>
        <v>0.30512017440050948</v>
      </c>
      <c r="BB45" s="1">
        <f ca="1"/>
        <v>0.30469570430970849</v>
      </c>
      <c r="BC45" s="1">
        <f ca="1"/>
        <v>0.30427123421890756</v>
      </c>
      <c r="BD45" s="1">
        <f ca="1"/>
        <v>0.30384676412810674</v>
      </c>
      <c r="BE45" s="1">
        <f ca="1"/>
        <v>0.3034222940373057</v>
      </c>
      <c r="BF45" s="1">
        <f ca="1"/>
        <v>0.30299782394650482</v>
      </c>
      <c r="BG45" s="1">
        <f ca="1"/>
        <v>0.30257335385570389</v>
      </c>
      <c r="BH45" s="1">
        <f ca="1"/>
        <v>0.30214888376490295</v>
      </c>
      <c r="BI45" s="1">
        <f ca="1"/>
        <v>0.3018843589257082</v>
      </c>
      <c r="BJ45" s="1">
        <f ca="1"/>
        <v>0.30161983408651344</v>
      </c>
      <c r="BK45" s="1">
        <f ca="1"/>
        <v>0.30135530924731863</v>
      </c>
      <c r="BL45" s="1">
        <f ca="1"/>
        <v>0.30109078440812387</v>
      </c>
      <c r="BM45" s="1">
        <f ca="1"/>
        <v>0.30082625956892911</v>
      </c>
      <c r="BN45" s="1">
        <f ca="1"/>
        <v>0.3005617347297343</v>
      </c>
      <c r="BO45" s="1">
        <f ca="1"/>
        <v>0.30029720989053954</v>
      </c>
      <c r="BP45" s="1">
        <f ca="1"/>
        <v>0.30003268505134478</v>
      </c>
      <c r="BQ45" s="1">
        <f ca="1"/>
        <v>0.29976816021214997</v>
      </c>
      <c r="BR45" s="1">
        <f ca="1"/>
        <v>0.29950363537295516</v>
      </c>
      <c r="BS45" s="1">
        <f ca="1"/>
        <v>0.2992391105337604</v>
      </c>
      <c r="BT45" s="1">
        <f ca="1"/>
        <v>0.29897458569456559</v>
      </c>
    </row>
    <row r="46" spans="5:72" x14ac:dyDescent="0.2">
      <c r="E46" s="3">
        <v>4.1709166666666665E-2</v>
      </c>
      <c r="F46" s="1">
        <f ca="1"/>
        <v>0.88585062428019445</v>
      </c>
      <c r="G46" s="3">
        <f ca="1"/>
        <v>4.1628704180017628E-2</v>
      </c>
      <c r="H46" s="3">
        <f ca="1"/>
        <v>4.155666452963773E-2</v>
      </c>
      <c r="I46">
        <v>35</v>
      </c>
      <c r="J46" s="2">
        <v>2.9166666666666665</v>
      </c>
      <c r="M46" s="1">
        <f ca="1"/>
        <v>0</v>
      </c>
      <c r="N46" s="1">
        <f ca="1"/>
        <v>0</v>
      </c>
      <c r="O46" s="1">
        <f ca="1"/>
        <v>0</v>
      </c>
      <c r="P46" s="1">
        <f ca="1"/>
        <v>0</v>
      </c>
      <c r="Q46" s="1">
        <f ca="1"/>
        <v>0</v>
      </c>
      <c r="R46" s="1">
        <f ca="1"/>
        <v>0</v>
      </c>
      <c r="S46" s="1">
        <f ca="1"/>
        <v>0</v>
      </c>
      <c r="T46" s="1">
        <f ca="1"/>
        <v>0</v>
      </c>
      <c r="U46" s="1">
        <f ca="1"/>
        <v>0</v>
      </c>
      <c r="V46" s="1">
        <f ca="1"/>
        <v>0</v>
      </c>
      <c r="W46" s="1">
        <f ca="1"/>
        <v>0</v>
      </c>
      <c r="X46" s="1">
        <f ca="1"/>
        <v>0</v>
      </c>
      <c r="Y46" s="1">
        <f ca="1"/>
        <v>0</v>
      </c>
      <c r="Z46" s="1">
        <f ca="1"/>
        <v>0</v>
      </c>
      <c r="AA46" s="1">
        <f ca="1"/>
        <v>0</v>
      </c>
      <c r="AB46" s="1">
        <f ca="1"/>
        <v>0</v>
      </c>
      <c r="AC46" s="1">
        <f ca="1"/>
        <v>0</v>
      </c>
      <c r="AD46" s="1">
        <f ca="1"/>
        <v>0</v>
      </c>
      <c r="AE46" s="1">
        <f ca="1"/>
        <v>0</v>
      </c>
      <c r="AF46" s="1">
        <f ca="1"/>
        <v>0</v>
      </c>
      <c r="AG46" s="1">
        <f ca="1"/>
        <v>0</v>
      </c>
      <c r="AH46" s="1">
        <f ca="1"/>
        <v>0</v>
      </c>
      <c r="AI46" s="1">
        <f ca="1"/>
        <v>0</v>
      </c>
      <c r="AJ46" s="1">
        <f ca="1"/>
        <v>0</v>
      </c>
      <c r="AK46" s="1">
        <f ca="1"/>
        <v>0</v>
      </c>
      <c r="AL46" s="1">
        <f ca="1"/>
        <v>0</v>
      </c>
      <c r="AM46" s="1">
        <f ca="1"/>
        <v>0</v>
      </c>
      <c r="AN46" s="1">
        <f ca="1"/>
        <v>0</v>
      </c>
      <c r="AO46" s="1">
        <f ca="1"/>
        <v>0</v>
      </c>
      <c r="AP46" s="1">
        <f ca="1"/>
        <v>0</v>
      </c>
      <c r="AQ46" s="1">
        <f ca="1"/>
        <v>0</v>
      </c>
      <c r="AR46" s="1">
        <f ca="1"/>
        <v>0</v>
      </c>
      <c r="AS46" s="1">
        <f ca="1"/>
        <v>0</v>
      </c>
      <c r="AT46" s="1">
        <f ca="1"/>
        <v>0</v>
      </c>
      <c r="AU46" s="1">
        <f ca="1"/>
        <v>0</v>
      </c>
      <c r="AV46" s="1">
        <f ca="1"/>
        <v>0</v>
      </c>
      <c r="AW46" s="1">
        <f ca="1"/>
        <v>0.30584181447183711</v>
      </c>
      <c r="AX46" s="1">
        <f ca="1"/>
        <v>0.30541869496910928</v>
      </c>
      <c r="AY46" s="1">
        <f ca="1"/>
        <v>0.30499557546638134</v>
      </c>
      <c r="AZ46" s="1">
        <f ca="1"/>
        <v>0.30457245596365329</v>
      </c>
      <c r="BA46" s="1">
        <f ca="1"/>
        <v>0.3041493364609254</v>
      </c>
      <c r="BB46" s="1">
        <f ca="1"/>
        <v>0.3037262169581974</v>
      </c>
      <c r="BC46" s="1">
        <f ca="1"/>
        <v>0.30330309745546946</v>
      </c>
      <c r="BD46" s="1">
        <f ca="1"/>
        <v>0.30287997795274157</v>
      </c>
      <c r="BE46" s="1">
        <f ca="1"/>
        <v>0.30245685845001352</v>
      </c>
      <c r="BF46" s="1">
        <f ca="1"/>
        <v>0.30203373894728558</v>
      </c>
      <c r="BG46" s="1">
        <f ca="1"/>
        <v>0.30161061944455764</v>
      </c>
      <c r="BH46" s="1">
        <f ca="1"/>
        <v>0.30118749994182969</v>
      </c>
      <c r="BI46" s="1">
        <f ca="1"/>
        <v>0.30092381677346303</v>
      </c>
      <c r="BJ46" s="1">
        <f ca="1"/>
        <v>0.3006601336050963</v>
      </c>
      <c r="BK46" s="1">
        <f ca="1"/>
        <v>0.30039645043672958</v>
      </c>
      <c r="BL46" s="1">
        <f ca="1"/>
        <v>0.30013276726836297</v>
      </c>
      <c r="BM46" s="1">
        <f ca="1"/>
        <v>0.29986908409999624</v>
      </c>
      <c r="BN46" s="1">
        <f ca="1"/>
        <v>0.29960540093162952</v>
      </c>
      <c r="BO46" s="1">
        <f ca="1"/>
        <v>0.29934171776326285</v>
      </c>
      <c r="BP46" s="1">
        <f ca="1"/>
        <v>0.29907803459489618</v>
      </c>
      <c r="BQ46" s="1">
        <f ca="1"/>
        <v>0.29881435142652946</v>
      </c>
      <c r="BR46" s="1">
        <f ca="1"/>
        <v>0.29855066825816268</v>
      </c>
      <c r="BS46" s="1">
        <f ca="1"/>
        <v>0.29828698508979601</v>
      </c>
      <c r="BT46" s="1">
        <f ca="1"/>
        <v>0.29802330192142934</v>
      </c>
    </row>
    <row r="47" spans="5:72" x14ac:dyDescent="0.2">
      <c r="E47" s="3">
        <v>4.1619999999999997E-2</v>
      </c>
      <c r="F47" s="1">
        <f ca="1"/>
        <v>0.88303200569312401</v>
      </c>
      <c r="G47" s="3">
        <f ca="1"/>
        <v>4.1536331497333379E-2</v>
      </c>
      <c r="H47" s="3">
        <f ca="1"/>
        <v>4.1464610832329211E-2</v>
      </c>
      <c r="I47">
        <v>36</v>
      </c>
      <c r="J47" s="2">
        <v>3</v>
      </c>
      <c r="M47" s="1">
        <f ca="1"/>
        <v>0</v>
      </c>
      <c r="N47" s="1">
        <f ca="1"/>
        <v>0</v>
      </c>
      <c r="O47" s="1">
        <f ca="1"/>
        <v>0</v>
      </c>
      <c r="P47" s="1">
        <f ca="1"/>
        <v>0</v>
      </c>
      <c r="Q47" s="1">
        <f ca="1"/>
        <v>0</v>
      </c>
      <c r="R47" s="1">
        <f ca="1"/>
        <v>0</v>
      </c>
      <c r="S47" s="1">
        <f ca="1"/>
        <v>0</v>
      </c>
      <c r="T47" s="1">
        <f ca="1"/>
        <v>0</v>
      </c>
      <c r="U47" s="1">
        <f ca="1"/>
        <v>0</v>
      </c>
      <c r="V47" s="1">
        <f ca="1"/>
        <v>0</v>
      </c>
      <c r="W47" s="1">
        <f ca="1"/>
        <v>0</v>
      </c>
      <c r="X47" s="1">
        <f ca="1"/>
        <v>0</v>
      </c>
      <c r="Y47" s="1">
        <f ca="1"/>
        <v>0</v>
      </c>
      <c r="Z47" s="1">
        <f ca="1"/>
        <v>0</v>
      </c>
      <c r="AA47" s="1">
        <f ca="1"/>
        <v>0</v>
      </c>
      <c r="AB47" s="1">
        <f ca="1"/>
        <v>0</v>
      </c>
      <c r="AC47" s="1">
        <f ca="1"/>
        <v>0</v>
      </c>
      <c r="AD47" s="1">
        <f ca="1"/>
        <v>0</v>
      </c>
      <c r="AE47" s="1">
        <f ca="1"/>
        <v>0</v>
      </c>
      <c r="AF47" s="1">
        <f ca="1"/>
        <v>0</v>
      </c>
      <c r="AG47" s="1">
        <f ca="1"/>
        <v>0</v>
      </c>
      <c r="AH47" s="1">
        <f ca="1"/>
        <v>0</v>
      </c>
      <c r="AI47" s="1">
        <f ca="1"/>
        <v>0</v>
      </c>
      <c r="AJ47" s="1">
        <f ca="1"/>
        <v>0</v>
      </c>
      <c r="AK47" s="1">
        <f ca="1"/>
        <v>0</v>
      </c>
      <c r="AL47" s="1">
        <f ca="1"/>
        <v>0</v>
      </c>
      <c r="AM47" s="1">
        <f ca="1"/>
        <v>0</v>
      </c>
      <c r="AN47" s="1">
        <f ca="1"/>
        <v>0</v>
      </c>
      <c r="AO47" s="1">
        <f ca="1"/>
        <v>0</v>
      </c>
      <c r="AP47" s="1">
        <f ca="1"/>
        <v>0</v>
      </c>
      <c r="AQ47" s="1">
        <f ca="1"/>
        <v>0</v>
      </c>
      <c r="AR47" s="1">
        <f ca="1"/>
        <v>0</v>
      </c>
      <c r="AS47" s="1">
        <f ca="1"/>
        <v>0</v>
      </c>
      <c r="AT47" s="1">
        <f ca="1"/>
        <v>0</v>
      </c>
      <c r="AU47" s="1">
        <f ca="1"/>
        <v>0</v>
      </c>
      <c r="AV47" s="1">
        <f ca="1"/>
        <v>0</v>
      </c>
      <c r="AW47" s="1">
        <f ca="1"/>
        <v>0</v>
      </c>
      <c r="AX47" s="1">
        <f ca="1"/>
        <v>0.30442021517001172</v>
      </c>
      <c r="AY47" s="1">
        <f ca="1"/>
        <v>0.30399847893649107</v>
      </c>
      <c r="AZ47" s="1">
        <f ca="1"/>
        <v>0.30357674270297036</v>
      </c>
      <c r="BA47" s="1">
        <f ca="1"/>
        <v>0.30315500646944976</v>
      </c>
      <c r="BB47" s="1">
        <f ca="1"/>
        <v>0.302733270235929</v>
      </c>
      <c r="BC47" s="1">
        <f ca="1"/>
        <v>0.30231153400240834</v>
      </c>
      <c r="BD47" s="1">
        <f ca="1"/>
        <v>0.30188979776888775</v>
      </c>
      <c r="BE47" s="1">
        <f ca="1"/>
        <v>0.30146806153536698</v>
      </c>
      <c r="BF47" s="1">
        <f ca="1"/>
        <v>0.30104632530184633</v>
      </c>
      <c r="BG47" s="1">
        <f ca="1"/>
        <v>0.30062458906832568</v>
      </c>
      <c r="BH47" s="1">
        <f ca="1"/>
        <v>0.30020285283480497</v>
      </c>
      <c r="BI47" s="1">
        <f ca="1"/>
        <v>0.29994003170377037</v>
      </c>
      <c r="BJ47" s="1">
        <f ca="1"/>
        <v>0.29967721057273572</v>
      </c>
      <c r="BK47" s="1">
        <f ca="1"/>
        <v>0.29941438944170112</v>
      </c>
      <c r="BL47" s="1">
        <f ca="1"/>
        <v>0.29915156831066653</v>
      </c>
      <c r="BM47" s="1">
        <f ca="1"/>
        <v>0.29888874717963188</v>
      </c>
      <c r="BN47" s="1">
        <f ca="1"/>
        <v>0.29862592604859722</v>
      </c>
      <c r="BO47" s="1">
        <f ca="1"/>
        <v>0.29836310491756263</v>
      </c>
      <c r="BP47" s="1">
        <f ca="1"/>
        <v>0.29810028378652803</v>
      </c>
      <c r="BQ47" s="1">
        <f ca="1"/>
        <v>0.29783746265549338</v>
      </c>
      <c r="BR47" s="1">
        <f ca="1"/>
        <v>0.29757464152445867</v>
      </c>
      <c r="BS47" s="1">
        <f ca="1"/>
        <v>0.29731182039342413</v>
      </c>
      <c r="BT47" s="1">
        <f ca="1"/>
        <v>0.29704899926238948</v>
      </c>
    </row>
    <row r="48" spans="5:72" x14ac:dyDescent="0.2">
      <c r="E48" s="3">
        <v>4.1562499999999995E-2</v>
      </c>
      <c r="F48" s="1">
        <f ca="1"/>
        <v>0.88014518299967259</v>
      </c>
      <c r="G48" s="3">
        <f ca="1"/>
        <v>4.1477486834612165E-2</v>
      </c>
      <c r="H48" s="3">
        <f ca="1"/>
        <v>4.1405969006352884E-2</v>
      </c>
      <c r="I48">
        <v>37</v>
      </c>
      <c r="J48" s="2">
        <v>3.0833333333333335</v>
      </c>
      <c r="M48" s="1">
        <f ca="1"/>
        <v>0</v>
      </c>
      <c r="N48" s="1">
        <f ca="1"/>
        <v>0</v>
      </c>
      <c r="O48" s="1">
        <f ca="1"/>
        <v>0</v>
      </c>
      <c r="P48" s="1">
        <f ca="1"/>
        <v>0</v>
      </c>
      <c r="Q48" s="1">
        <f ca="1"/>
        <v>0</v>
      </c>
      <c r="R48" s="1">
        <f ca="1"/>
        <v>0</v>
      </c>
      <c r="S48" s="1">
        <f ca="1"/>
        <v>0</v>
      </c>
      <c r="T48" s="1">
        <f ca="1"/>
        <v>0</v>
      </c>
      <c r="U48" s="1">
        <f ca="1"/>
        <v>0</v>
      </c>
      <c r="V48" s="1">
        <f ca="1"/>
        <v>0</v>
      </c>
      <c r="W48" s="1">
        <f ca="1"/>
        <v>0</v>
      </c>
      <c r="X48" s="1">
        <f ca="1"/>
        <v>0</v>
      </c>
      <c r="Y48" s="1">
        <f ca="1"/>
        <v>0</v>
      </c>
      <c r="Z48" s="1">
        <f ca="1"/>
        <v>0</v>
      </c>
      <c r="AA48" s="1">
        <f ca="1"/>
        <v>0</v>
      </c>
      <c r="AB48" s="1">
        <f ca="1"/>
        <v>0</v>
      </c>
      <c r="AC48" s="1">
        <f ca="1"/>
        <v>0</v>
      </c>
      <c r="AD48" s="1">
        <f ca="1"/>
        <v>0</v>
      </c>
      <c r="AE48" s="1">
        <f ca="1"/>
        <v>0</v>
      </c>
      <c r="AF48" s="1">
        <f ca="1"/>
        <v>0</v>
      </c>
      <c r="AG48" s="1">
        <f ca="1"/>
        <v>0</v>
      </c>
      <c r="AH48" s="1">
        <f ca="1"/>
        <v>0</v>
      </c>
      <c r="AI48" s="1">
        <f ca="1"/>
        <v>0</v>
      </c>
      <c r="AJ48" s="1">
        <f ca="1"/>
        <v>0</v>
      </c>
      <c r="AK48" s="1">
        <f ca="1"/>
        <v>0</v>
      </c>
      <c r="AL48" s="1">
        <f ca="1"/>
        <v>0</v>
      </c>
      <c r="AM48" s="1">
        <f ca="1"/>
        <v>0</v>
      </c>
      <c r="AN48" s="1">
        <f ca="1"/>
        <v>0</v>
      </c>
      <c r="AO48" s="1">
        <f ca="1"/>
        <v>0</v>
      </c>
      <c r="AP48" s="1">
        <f ca="1"/>
        <v>0</v>
      </c>
      <c r="AQ48" s="1">
        <f ca="1"/>
        <v>0</v>
      </c>
      <c r="AR48" s="1">
        <f ca="1"/>
        <v>0</v>
      </c>
      <c r="AS48" s="1">
        <f ca="1"/>
        <v>0</v>
      </c>
      <c r="AT48" s="1">
        <f ca="1"/>
        <v>0</v>
      </c>
      <c r="AU48" s="1">
        <f ca="1"/>
        <v>0</v>
      </c>
      <c r="AV48" s="1">
        <f ca="1"/>
        <v>0</v>
      </c>
      <c r="AW48" s="1">
        <f ca="1"/>
        <v>0</v>
      </c>
      <c r="AX48" s="1">
        <f ca="1"/>
        <v>0</v>
      </c>
      <c r="AY48" s="1">
        <f ca="1"/>
        <v>0.30300772250416763</v>
      </c>
      <c r="AZ48" s="1">
        <f ca="1"/>
        <v>0.30258736074425463</v>
      </c>
      <c r="BA48" s="1">
        <f ca="1"/>
        <v>0.30216699898434185</v>
      </c>
      <c r="BB48" s="1">
        <f ca="1"/>
        <v>0.30174663722442885</v>
      </c>
      <c r="BC48" s="1">
        <f ca="1"/>
        <v>0.30132627546451601</v>
      </c>
      <c r="BD48" s="1">
        <f ca="1"/>
        <v>0.30090591370460318</v>
      </c>
      <c r="BE48" s="1">
        <f ca="1"/>
        <v>0.30048555194469018</v>
      </c>
      <c r="BF48" s="1">
        <f ca="1"/>
        <v>0.30006519018477734</v>
      </c>
      <c r="BG48" s="1">
        <f ca="1"/>
        <v>0.29964482842486445</v>
      </c>
      <c r="BH48" s="1">
        <f ca="1"/>
        <v>0.29922446666495156</v>
      </c>
      <c r="BI48" s="1">
        <f ca="1"/>
        <v>0.29896250208993341</v>
      </c>
      <c r="BJ48" s="1">
        <f ca="1"/>
        <v>0.29870053751491521</v>
      </c>
      <c r="BK48" s="1">
        <f ca="1"/>
        <v>0.29843857293989701</v>
      </c>
      <c r="BL48" s="1">
        <f ca="1"/>
        <v>0.29817660836487886</v>
      </c>
      <c r="BM48" s="1">
        <f ca="1"/>
        <v>0.29791464378986066</v>
      </c>
      <c r="BN48" s="1">
        <f ca="1"/>
        <v>0.29765267921484251</v>
      </c>
      <c r="BO48" s="1">
        <f ca="1"/>
        <v>0.29739071463982436</v>
      </c>
      <c r="BP48" s="1">
        <f ca="1"/>
        <v>0.29712875006480616</v>
      </c>
      <c r="BQ48" s="1">
        <f ca="1"/>
        <v>0.29686678548978795</v>
      </c>
      <c r="BR48" s="1">
        <f ca="1"/>
        <v>0.2966048209147697</v>
      </c>
      <c r="BS48" s="1">
        <f ca="1"/>
        <v>0.2963428563397516</v>
      </c>
      <c r="BT48" s="1">
        <f ca="1"/>
        <v>0.2960808917647334</v>
      </c>
    </row>
    <row r="49" spans="5:72" x14ac:dyDescent="0.2">
      <c r="E49" s="3">
        <v>4.1505E-2</v>
      </c>
      <c r="F49" s="1">
        <f ca="1"/>
        <v>0.87727671633995086</v>
      </c>
      <c r="G49" s="3">
        <f ca="1"/>
        <v>4.1418518114915592E-2</v>
      </c>
      <c r="H49" s="3">
        <f ca="1"/>
        <v>4.1347203263543388E-2</v>
      </c>
      <c r="I49">
        <v>38</v>
      </c>
      <c r="J49" s="2">
        <v>3.1666666666666665</v>
      </c>
      <c r="M49" s="1">
        <f ca="1"/>
        <v>0</v>
      </c>
      <c r="N49" s="1">
        <f ca="1"/>
        <v>0</v>
      </c>
      <c r="O49" s="1">
        <f ca="1"/>
        <v>0</v>
      </c>
      <c r="P49" s="1">
        <f ca="1"/>
        <v>0</v>
      </c>
      <c r="Q49" s="1">
        <f ca="1"/>
        <v>0</v>
      </c>
      <c r="R49" s="1">
        <f ca="1"/>
        <v>0</v>
      </c>
      <c r="S49" s="1">
        <f ca="1"/>
        <v>0</v>
      </c>
      <c r="T49" s="1">
        <f ca="1"/>
        <v>0</v>
      </c>
      <c r="U49" s="1">
        <f ca="1"/>
        <v>0</v>
      </c>
      <c r="V49" s="1">
        <f ca="1"/>
        <v>0</v>
      </c>
      <c r="W49" s="1">
        <f ca="1"/>
        <v>0</v>
      </c>
      <c r="X49" s="1">
        <f ca="1"/>
        <v>0</v>
      </c>
      <c r="Y49" s="1">
        <f ca="1"/>
        <v>0</v>
      </c>
      <c r="Z49" s="1">
        <f ca="1"/>
        <v>0</v>
      </c>
      <c r="AA49" s="1">
        <f ca="1"/>
        <v>0</v>
      </c>
      <c r="AB49" s="1">
        <f ca="1"/>
        <v>0</v>
      </c>
      <c r="AC49" s="1">
        <f ca="1"/>
        <v>0</v>
      </c>
      <c r="AD49" s="1">
        <f ca="1"/>
        <v>0</v>
      </c>
      <c r="AE49" s="1">
        <f ca="1"/>
        <v>0</v>
      </c>
      <c r="AF49" s="1">
        <f ca="1"/>
        <v>0</v>
      </c>
      <c r="AG49" s="1">
        <f ca="1"/>
        <v>0</v>
      </c>
      <c r="AH49" s="1">
        <f ca="1"/>
        <v>0</v>
      </c>
      <c r="AI49" s="1">
        <f ca="1"/>
        <v>0</v>
      </c>
      <c r="AJ49" s="1">
        <f ca="1"/>
        <v>0</v>
      </c>
      <c r="AK49" s="1">
        <f ca="1"/>
        <v>0</v>
      </c>
      <c r="AL49" s="1">
        <f ca="1"/>
        <v>0</v>
      </c>
      <c r="AM49" s="1">
        <f ca="1"/>
        <v>0</v>
      </c>
      <c r="AN49" s="1">
        <f ca="1"/>
        <v>0</v>
      </c>
      <c r="AO49" s="1">
        <f ca="1"/>
        <v>0</v>
      </c>
      <c r="AP49" s="1">
        <f ca="1"/>
        <v>0</v>
      </c>
      <c r="AQ49" s="1">
        <f ca="1"/>
        <v>0</v>
      </c>
      <c r="AR49" s="1">
        <f ca="1"/>
        <v>0</v>
      </c>
      <c r="AS49" s="1">
        <f ca="1"/>
        <v>0</v>
      </c>
      <c r="AT49" s="1">
        <f ca="1"/>
        <v>0</v>
      </c>
      <c r="AU49" s="1">
        <f ca="1"/>
        <v>0</v>
      </c>
      <c r="AV49" s="1">
        <f ca="1"/>
        <v>0</v>
      </c>
      <c r="AW49" s="1">
        <f ca="1"/>
        <v>0</v>
      </c>
      <c r="AX49" s="1">
        <f ca="1"/>
        <v>0</v>
      </c>
      <c r="AY49" s="1">
        <f ca="1"/>
        <v>0</v>
      </c>
      <c r="AZ49" s="1">
        <f ca="1"/>
        <v>0.30160427412131069</v>
      </c>
      <c r="BA49" s="1">
        <f ca="1"/>
        <v>0.30118527808937129</v>
      </c>
      <c r="BB49" s="1">
        <f ca="1"/>
        <v>0.30076628205743172</v>
      </c>
      <c r="BC49" s="1">
        <f ca="1"/>
        <v>0.30034728602549227</v>
      </c>
      <c r="BD49" s="1">
        <f ca="1"/>
        <v>0.29992828999355287</v>
      </c>
      <c r="BE49" s="1">
        <f ca="1"/>
        <v>0.2995092939616133</v>
      </c>
      <c r="BF49" s="1">
        <f ca="1"/>
        <v>0.29909029792967384</v>
      </c>
      <c r="BG49" s="1">
        <f ca="1"/>
        <v>0.29867130189773433</v>
      </c>
      <c r="BH49" s="1">
        <f ca="1"/>
        <v>0.29825230586579482</v>
      </c>
      <c r="BI49" s="1">
        <f ca="1"/>
        <v>0.2979911923966152</v>
      </c>
      <c r="BJ49" s="1">
        <f ca="1"/>
        <v>0.29773007892743553</v>
      </c>
      <c r="BK49" s="1">
        <f ca="1"/>
        <v>0.2974689654582558</v>
      </c>
      <c r="BL49" s="1">
        <f ca="1"/>
        <v>0.29720785198907618</v>
      </c>
      <c r="BM49" s="1">
        <f ca="1"/>
        <v>0.2969467385198965</v>
      </c>
      <c r="BN49" s="1">
        <f ca="1"/>
        <v>0.29668562505071677</v>
      </c>
      <c r="BO49" s="1">
        <f ca="1"/>
        <v>0.29642451158153715</v>
      </c>
      <c r="BP49" s="1">
        <f ca="1"/>
        <v>0.29616339811235748</v>
      </c>
      <c r="BQ49" s="1">
        <f ca="1"/>
        <v>0.29590228464317775</v>
      </c>
      <c r="BR49" s="1">
        <f ca="1"/>
        <v>0.29564117117399802</v>
      </c>
      <c r="BS49" s="1">
        <f ca="1"/>
        <v>0.2953800577048184</v>
      </c>
      <c r="BT49" s="1">
        <f ca="1"/>
        <v>0.29511894423563867</v>
      </c>
    </row>
    <row r="50" spans="5:72" x14ac:dyDescent="0.2">
      <c r="E50" s="3">
        <v>4.1447499999999998E-2</v>
      </c>
      <c r="F50" s="1">
        <f ca="1"/>
        <v>0.87442650143892953</v>
      </c>
      <c r="G50" s="3">
        <f ca="1"/>
        <v>4.1359430040802003E-2</v>
      </c>
      <c r="H50" s="3">
        <f ca="1"/>
        <v>4.1288318288488765E-2</v>
      </c>
      <c r="I50">
        <v>39</v>
      </c>
      <c r="J50" s="2">
        <v>3.25</v>
      </c>
      <c r="M50" s="1">
        <f ca="1"/>
        <v>0</v>
      </c>
      <c r="N50" s="1">
        <f ca="1"/>
        <v>0</v>
      </c>
      <c r="O50" s="1">
        <f ca="1"/>
        <v>0</v>
      </c>
      <c r="P50" s="1">
        <f ca="1"/>
        <v>0</v>
      </c>
      <c r="Q50" s="1">
        <f ca="1"/>
        <v>0</v>
      </c>
      <c r="R50" s="1">
        <f ca="1"/>
        <v>0</v>
      </c>
      <c r="S50" s="1">
        <f ca="1"/>
        <v>0</v>
      </c>
      <c r="T50" s="1">
        <f ca="1"/>
        <v>0</v>
      </c>
      <c r="U50" s="1">
        <f ca="1"/>
        <v>0</v>
      </c>
      <c r="V50" s="1">
        <f ca="1"/>
        <v>0</v>
      </c>
      <c r="W50" s="1">
        <f ca="1"/>
        <v>0</v>
      </c>
      <c r="X50" s="1">
        <f ca="1"/>
        <v>0</v>
      </c>
      <c r="Y50" s="1">
        <f ca="1"/>
        <v>0</v>
      </c>
      <c r="Z50" s="1">
        <f ca="1"/>
        <v>0</v>
      </c>
      <c r="AA50" s="1">
        <f ca="1"/>
        <v>0</v>
      </c>
      <c r="AB50" s="1">
        <f ca="1"/>
        <v>0</v>
      </c>
      <c r="AC50" s="1">
        <f ca="1"/>
        <v>0</v>
      </c>
      <c r="AD50" s="1">
        <f ca="1"/>
        <v>0</v>
      </c>
      <c r="AE50" s="1">
        <f ca="1"/>
        <v>0</v>
      </c>
      <c r="AF50" s="1">
        <f ca="1"/>
        <v>0</v>
      </c>
      <c r="AG50" s="1">
        <f ca="1"/>
        <v>0</v>
      </c>
      <c r="AH50" s="1">
        <f ca="1"/>
        <v>0</v>
      </c>
      <c r="AI50" s="1">
        <f ca="1"/>
        <v>0</v>
      </c>
      <c r="AJ50" s="1">
        <f ca="1"/>
        <v>0</v>
      </c>
      <c r="AK50" s="1">
        <f ca="1"/>
        <v>0</v>
      </c>
      <c r="AL50" s="1">
        <f ca="1"/>
        <v>0</v>
      </c>
      <c r="AM50" s="1">
        <f ca="1"/>
        <v>0</v>
      </c>
      <c r="AN50" s="1">
        <f ca="1"/>
        <v>0</v>
      </c>
      <c r="AO50" s="1">
        <f ca="1"/>
        <v>0</v>
      </c>
      <c r="AP50" s="1">
        <f ca="1"/>
        <v>0</v>
      </c>
      <c r="AQ50" s="1">
        <f ca="1"/>
        <v>0</v>
      </c>
      <c r="AR50" s="1">
        <f ca="1"/>
        <v>0</v>
      </c>
      <c r="AS50" s="1">
        <f ca="1"/>
        <v>0</v>
      </c>
      <c r="AT50" s="1">
        <f ca="1"/>
        <v>0</v>
      </c>
      <c r="AU50" s="1">
        <f ca="1"/>
        <v>0</v>
      </c>
      <c r="AV50" s="1">
        <f ca="1"/>
        <v>0</v>
      </c>
      <c r="AW50" s="1">
        <f ca="1"/>
        <v>0</v>
      </c>
      <c r="AX50" s="1">
        <f ca="1"/>
        <v>0</v>
      </c>
      <c r="AY50" s="1">
        <f ca="1"/>
        <v>0</v>
      </c>
      <c r="AZ50" s="1">
        <f ca="1"/>
        <v>0</v>
      </c>
      <c r="BA50" s="1">
        <f ca="1"/>
        <v>0.30020980811185005</v>
      </c>
      <c r="BB50" s="1">
        <f ca="1"/>
        <v>0.29979216911187584</v>
      </c>
      <c r="BC50" s="1">
        <f ca="1"/>
        <v>0.29937453011190174</v>
      </c>
      <c r="BD50" s="1">
        <f ca="1"/>
        <v>0.29895689111192764</v>
      </c>
      <c r="BE50" s="1">
        <f ca="1"/>
        <v>0.29853925211195342</v>
      </c>
      <c r="BF50" s="1">
        <f ca="1"/>
        <v>0.29812161311197932</v>
      </c>
      <c r="BG50" s="1">
        <f ca="1"/>
        <v>0.29770397411200517</v>
      </c>
      <c r="BH50" s="1">
        <f ca="1"/>
        <v>0.29728633511203101</v>
      </c>
      <c r="BI50" s="1">
        <f ca="1"/>
        <v>0.29702606732943843</v>
      </c>
      <c r="BJ50" s="1">
        <f ca="1"/>
        <v>0.29676579954684584</v>
      </c>
      <c r="BK50" s="1">
        <f ca="1"/>
        <v>0.29650553176425326</v>
      </c>
      <c r="BL50" s="1">
        <f ca="1"/>
        <v>0.29624526398166073</v>
      </c>
      <c r="BM50" s="1">
        <f ca="1"/>
        <v>0.2959849961990681</v>
      </c>
      <c r="BN50" s="1">
        <f ca="1"/>
        <v>0.29572472841647551</v>
      </c>
      <c r="BO50" s="1">
        <f ca="1"/>
        <v>0.29546446063388299</v>
      </c>
      <c r="BP50" s="1">
        <f ca="1"/>
        <v>0.2952041928512904</v>
      </c>
      <c r="BQ50" s="1">
        <f ca="1"/>
        <v>0.29494392506869777</v>
      </c>
      <c r="BR50" s="1">
        <f ca="1"/>
        <v>0.29468365728610513</v>
      </c>
      <c r="BS50" s="1">
        <f ca="1"/>
        <v>0.2944233895035126</v>
      </c>
      <c r="BT50" s="1">
        <f ca="1"/>
        <v>0.29416312172092002</v>
      </c>
    </row>
    <row r="51" spans="5:72" x14ac:dyDescent="0.2">
      <c r="E51" s="3">
        <v>4.1389999999999996E-2</v>
      </c>
      <c r="F51" s="1">
        <f ca="1"/>
        <v>0.87159443472865195</v>
      </c>
      <c r="G51" s="3">
        <f ca="1"/>
        <v>4.1300226863294931E-2</v>
      </c>
      <c r="H51" s="3">
        <f ca="1"/>
        <v>4.1229318315877395E-2</v>
      </c>
      <c r="I51">
        <v>40</v>
      </c>
      <c r="J51" s="2">
        <v>3.3333333333333335</v>
      </c>
      <c r="M51" s="1">
        <f ca="1"/>
        <v>0</v>
      </c>
      <c r="N51" s="1">
        <f ca="1"/>
        <v>0</v>
      </c>
      <c r="O51" s="1">
        <f ca="1"/>
        <v>0</v>
      </c>
      <c r="P51" s="1">
        <f ca="1"/>
        <v>0</v>
      </c>
      <c r="Q51" s="1">
        <f ca="1"/>
        <v>0</v>
      </c>
      <c r="R51" s="1">
        <f ca="1"/>
        <v>0</v>
      </c>
      <c r="S51" s="1">
        <f ca="1"/>
        <v>0</v>
      </c>
      <c r="T51" s="1">
        <f ca="1"/>
        <v>0</v>
      </c>
      <c r="U51" s="1">
        <f ca="1"/>
        <v>0</v>
      </c>
      <c r="V51" s="1">
        <f ca="1"/>
        <v>0</v>
      </c>
      <c r="W51" s="1">
        <f ca="1"/>
        <v>0</v>
      </c>
      <c r="X51" s="1">
        <f ca="1"/>
        <v>0</v>
      </c>
      <c r="Y51" s="1">
        <f ca="1"/>
        <v>0</v>
      </c>
      <c r="Z51" s="1">
        <f ca="1"/>
        <v>0</v>
      </c>
      <c r="AA51" s="1">
        <f ca="1"/>
        <v>0</v>
      </c>
      <c r="AB51" s="1">
        <f ca="1"/>
        <v>0</v>
      </c>
      <c r="AC51" s="1">
        <f ca="1"/>
        <v>0</v>
      </c>
      <c r="AD51" s="1">
        <f ca="1"/>
        <v>0</v>
      </c>
      <c r="AE51" s="1">
        <f ca="1"/>
        <v>0</v>
      </c>
      <c r="AF51" s="1">
        <f ca="1"/>
        <v>0</v>
      </c>
      <c r="AG51" s="1">
        <f ca="1"/>
        <v>0</v>
      </c>
      <c r="AH51" s="1">
        <f ca="1"/>
        <v>0</v>
      </c>
      <c r="AI51" s="1">
        <f ca="1"/>
        <v>0</v>
      </c>
      <c r="AJ51" s="1">
        <f ca="1"/>
        <v>0</v>
      </c>
      <c r="AK51" s="1">
        <f ca="1"/>
        <v>0</v>
      </c>
      <c r="AL51" s="1">
        <f ca="1"/>
        <v>0</v>
      </c>
      <c r="AM51" s="1">
        <f ca="1"/>
        <v>0</v>
      </c>
      <c r="AN51" s="1">
        <f ca="1"/>
        <v>0</v>
      </c>
      <c r="AO51" s="1">
        <f ca="1"/>
        <v>0</v>
      </c>
      <c r="AP51" s="1">
        <f ca="1"/>
        <v>0</v>
      </c>
      <c r="AQ51" s="1">
        <f ca="1"/>
        <v>0</v>
      </c>
      <c r="AR51" s="1">
        <f ca="1"/>
        <v>0</v>
      </c>
      <c r="AS51" s="1">
        <f ca="1"/>
        <v>0</v>
      </c>
      <c r="AT51" s="1">
        <f ca="1"/>
        <v>0</v>
      </c>
      <c r="AU51" s="1">
        <f ca="1"/>
        <v>0</v>
      </c>
      <c r="AV51" s="1">
        <f ca="1"/>
        <v>0</v>
      </c>
      <c r="AW51" s="1">
        <f ca="1"/>
        <v>0</v>
      </c>
      <c r="AX51" s="1">
        <f ca="1"/>
        <v>0</v>
      </c>
      <c r="AY51" s="1">
        <f ca="1"/>
        <v>0</v>
      </c>
      <c r="AZ51" s="1">
        <f ca="1"/>
        <v>0</v>
      </c>
      <c r="BA51" s="1">
        <f ca="1"/>
        <v>0</v>
      </c>
      <c r="BB51" s="1">
        <f ca="1"/>
        <v>0.29882426300619841</v>
      </c>
      <c r="BC51" s="1">
        <f ca="1"/>
        <v>0.29840797239147149</v>
      </c>
      <c r="BD51" s="1">
        <f ca="1"/>
        <v>0.29799168177674457</v>
      </c>
      <c r="BE51" s="1">
        <f ca="1"/>
        <v>0.29757539116201748</v>
      </c>
      <c r="BF51" s="1">
        <f ca="1"/>
        <v>0.2971591005472905</v>
      </c>
      <c r="BG51" s="1">
        <f ca="1"/>
        <v>0.29674280993256358</v>
      </c>
      <c r="BH51" s="1">
        <f ca="1"/>
        <v>0.29632651931783655</v>
      </c>
      <c r="BI51" s="1">
        <f ca="1"/>
        <v>0.29606709183329655</v>
      </c>
      <c r="BJ51" s="1">
        <f ca="1"/>
        <v>0.29580766434875655</v>
      </c>
      <c r="BK51" s="1">
        <f ca="1"/>
        <v>0.29554823686421655</v>
      </c>
      <c r="BL51" s="1">
        <f ca="1"/>
        <v>0.29528880937967655</v>
      </c>
      <c r="BM51" s="1">
        <f ca="1"/>
        <v>0.29502938189513656</v>
      </c>
      <c r="BN51" s="1">
        <f ca="1"/>
        <v>0.2947699544105965</v>
      </c>
      <c r="BO51" s="1">
        <f ca="1"/>
        <v>0.29451052692605656</v>
      </c>
      <c r="BP51" s="1">
        <f ca="1"/>
        <v>0.29425109944151656</v>
      </c>
      <c r="BQ51" s="1">
        <f ca="1"/>
        <v>0.29399167195697651</v>
      </c>
      <c r="BR51" s="1">
        <f ca="1"/>
        <v>0.29373224447243645</v>
      </c>
      <c r="BS51" s="1">
        <f ca="1"/>
        <v>0.29347281698789646</v>
      </c>
      <c r="BT51" s="1">
        <f ca="1"/>
        <v>0.29321338950335646</v>
      </c>
    </row>
    <row r="52" spans="5:72" x14ac:dyDescent="0.2">
      <c r="E52" s="3">
        <v>4.1332500000000001E-2</v>
      </c>
      <c r="F52" s="1">
        <f ca="1"/>
        <v>0.86878041334327849</v>
      </c>
      <c r="G52" s="3">
        <f ca="1"/>
        <v>4.1240912437236155E-2</v>
      </c>
      <c r="H52" s="3">
        <f ca="1"/>
        <v>4.1170207185653208E-2</v>
      </c>
      <c r="I52">
        <v>41</v>
      </c>
      <c r="J52" s="2">
        <v>3.4166666666666665</v>
      </c>
      <c r="M52" s="1">
        <f ca="1"/>
        <v>0</v>
      </c>
      <c r="N52" s="1">
        <f ca="1"/>
        <v>0</v>
      </c>
      <c r="O52" s="1">
        <f ca="1"/>
        <v>0</v>
      </c>
      <c r="P52" s="1">
        <f ca="1"/>
        <v>0</v>
      </c>
      <c r="Q52" s="1">
        <f ca="1"/>
        <v>0</v>
      </c>
      <c r="R52" s="1">
        <f ca="1"/>
        <v>0</v>
      </c>
      <c r="S52" s="1">
        <f ca="1"/>
        <v>0</v>
      </c>
      <c r="T52" s="1">
        <f ca="1"/>
        <v>0</v>
      </c>
      <c r="U52" s="1">
        <f ca="1"/>
        <v>0</v>
      </c>
      <c r="V52" s="1">
        <f ca="1"/>
        <v>0</v>
      </c>
      <c r="W52" s="1">
        <f ca="1"/>
        <v>0</v>
      </c>
      <c r="X52" s="1">
        <f ca="1"/>
        <v>0</v>
      </c>
      <c r="Y52" s="1">
        <f ca="1"/>
        <v>0</v>
      </c>
      <c r="Z52" s="1">
        <f ca="1"/>
        <v>0</v>
      </c>
      <c r="AA52" s="1">
        <f ca="1"/>
        <v>0</v>
      </c>
      <c r="AB52" s="1">
        <f ca="1"/>
        <v>0</v>
      </c>
      <c r="AC52" s="1">
        <f ca="1"/>
        <v>0</v>
      </c>
      <c r="AD52" s="1">
        <f ca="1"/>
        <v>0</v>
      </c>
      <c r="AE52" s="1">
        <f ca="1"/>
        <v>0</v>
      </c>
      <c r="AF52" s="1">
        <f ca="1"/>
        <v>0</v>
      </c>
      <c r="AG52" s="1">
        <f ca="1"/>
        <v>0</v>
      </c>
      <c r="AH52" s="1">
        <f ca="1"/>
        <v>0</v>
      </c>
      <c r="AI52" s="1">
        <f ca="1"/>
        <v>0</v>
      </c>
      <c r="AJ52" s="1">
        <f ca="1"/>
        <v>0</v>
      </c>
      <c r="AK52" s="1">
        <f ca="1"/>
        <v>0</v>
      </c>
      <c r="AL52" s="1">
        <f ca="1"/>
        <v>0</v>
      </c>
      <c r="AM52" s="1">
        <f ca="1"/>
        <v>0</v>
      </c>
      <c r="AN52" s="1">
        <f ca="1"/>
        <v>0</v>
      </c>
      <c r="AO52" s="1">
        <f ca="1"/>
        <v>0</v>
      </c>
      <c r="AP52" s="1">
        <f ca="1"/>
        <v>0</v>
      </c>
      <c r="AQ52" s="1">
        <f ca="1"/>
        <v>0</v>
      </c>
      <c r="AR52" s="1">
        <f ca="1"/>
        <v>0</v>
      </c>
      <c r="AS52" s="1">
        <f ca="1"/>
        <v>0</v>
      </c>
      <c r="AT52" s="1">
        <f ca="1"/>
        <v>0</v>
      </c>
      <c r="AU52" s="1">
        <f ca="1"/>
        <v>0</v>
      </c>
      <c r="AV52" s="1">
        <f ca="1"/>
        <v>0</v>
      </c>
      <c r="AW52" s="1">
        <f ca="1"/>
        <v>0</v>
      </c>
      <c r="AX52" s="1">
        <f ca="1"/>
        <v>0</v>
      </c>
      <c r="AY52" s="1">
        <f ca="1"/>
        <v>0</v>
      </c>
      <c r="AZ52" s="1">
        <f ca="1"/>
        <v>0</v>
      </c>
      <c r="BA52" s="1">
        <f ca="1"/>
        <v>0</v>
      </c>
      <c r="BB52" s="1">
        <f ca="1"/>
        <v>0</v>
      </c>
      <c r="BC52" s="1">
        <f ca="1"/>
        <v>0.29744757777143871</v>
      </c>
      <c r="BD52" s="1">
        <f ca="1"/>
        <v>0.29703262694419652</v>
      </c>
      <c r="BE52" s="1">
        <f ca="1"/>
        <v>0.29661767611695422</v>
      </c>
      <c r="BF52" s="1">
        <f ca="1"/>
        <v>0.29620272528971198</v>
      </c>
      <c r="BG52" s="1">
        <f ca="1"/>
        <v>0.29578777446246973</v>
      </c>
      <c r="BH52" s="1">
        <f ca="1"/>
        <v>0.29537282363522743</v>
      </c>
      <c r="BI52" s="1">
        <f ca="1"/>
        <v>0.29511423109071416</v>
      </c>
      <c r="BJ52" s="1">
        <f ca="1"/>
        <v>0.29485563854620089</v>
      </c>
      <c r="BK52" s="1">
        <f ca="1"/>
        <v>0.29459704600168757</v>
      </c>
      <c r="BL52" s="1">
        <f ca="1"/>
        <v>0.29433845345717435</v>
      </c>
      <c r="BM52" s="1">
        <f ca="1"/>
        <v>0.29407986091266103</v>
      </c>
      <c r="BN52" s="1">
        <f ca="1"/>
        <v>0.2938212683681477</v>
      </c>
      <c r="BO52" s="1">
        <f ca="1"/>
        <v>0.29356267582363449</v>
      </c>
      <c r="BP52" s="1">
        <f ca="1"/>
        <v>0.29330408327912116</v>
      </c>
      <c r="BQ52" s="1">
        <f ca="1"/>
        <v>0.29304549073460789</v>
      </c>
      <c r="BR52" s="1">
        <f ca="1"/>
        <v>0.29278689819009451</v>
      </c>
      <c r="BS52" s="1">
        <f ca="1"/>
        <v>0.29252830564558124</v>
      </c>
      <c r="BT52" s="1">
        <f ca="1"/>
        <v>0.29226971310106797</v>
      </c>
    </row>
    <row r="53" spans="5:72" x14ac:dyDescent="0.2">
      <c r="E53" s="3">
        <v>4.1274999999999999E-2</v>
      </c>
      <c r="F53" s="1">
        <f ca="1"/>
        <v>0.86598433511427553</v>
      </c>
      <c r="G53" s="3">
        <f ca="1"/>
        <v>4.118149026869844E-2</v>
      </c>
      <c r="H53" s="3">
        <f ca="1"/>
        <v>4.1110988390256474E-2</v>
      </c>
      <c r="I53">
        <v>42</v>
      </c>
      <c r="J53" s="2">
        <v>3.5</v>
      </c>
      <c r="M53" s="1">
        <f ca="1"/>
        <v>0</v>
      </c>
      <c r="N53" s="1">
        <f ca="1"/>
        <v>0</v>
      </c>
      <c r="O53" s="1">
        <f ca="1"/>
        <v>0</v>
      </c>
      <c r="P53" s="1">
        <f ca="1"/>
        <v>0</v>
      </c>
      <c r="Q53" s="1">
        <f ca="1"/>
        <v>0</v>
      </c>
      <c r="R53" s="1">
        <f ca="1"/>
        <v>0</v>
      </c>
      <c r="S53" s="1">
        <f ca="1"/>
        <v>0</v>
      </c>
      <c r="T53" s="1">
        <f ca="1"/>
        <v>0</v>
      </c>
      <c r="U53" s="1">
        <f ca="1"/>
        <v>0</v>
      </c>
      <c r="V53" s="1">
        <f ca="1"/>
        <v>0</v>
      </c>
      <c r="W53" s="1">
        <f ca="1"/>
        <v>0</v>
      </c>
      <c r="X53" s="1">
        <f ca="1"/>
        <v>0</v>
      </c>
      <c r="Y53" s="1">
        <f ca="1"/>
        <v>0</v>
      </c>
      <c r="Z53" s="1">
        <f ca="1"/>
        <v>0</v>
      </c>
      <c r="AA53" s="1">
        <f ca="1"/>
        <v>0</v>
      </c>
      <c r="AB53" s="1">
        <f ca="1"/>
        <v>0</v>
      </c>
      <c r="AC53" s="1">
        <f ca="1"/>
        <v>0</v>
      </c>
      <c r="AD53" s="1">
        <f ca="1"/>
        <v>0</v>
      </c>
      <c r="AE53" s="1">
        <f ca="1"/>
        <v>0</v>
      </c>
      <c r="AF53" s="1">
        <f ca="1"/>
        <v>0</v>
      </c>
      <c r="AG53" s="1">
        <f ca="1"/>
        <v>0</v>
      </c>
      <c r="AH53" s="1">
        <f ca="1"/>
        <v>0</v>
      </c>
      <c r="AI53" s="1">
        <f ca="1"/>
        <v>0</v>
      </c>
      <c r="AJ53" s="1">
        <f ca="1"/>
        <v>0</v>
      </c>
      <c r="AK53" s="1">
        <f ca="1"/>
        <v>0</v>
      </c>
      <c r="AL53" s="1">
        <f ca="1"/>
        <v>0</v>
      </c>
      <c r="AM53" s="1">
        <f ca="1"/>
        <v>0</v>
      </c>
      <c r="AN53" s="1">
        <f ca="1"/>
        <v>0</v>
      </c>
      <c r="AO53" s="1">
        <f ca="1"/>
        <v>0</v>
      </c>
      <c r="AP53" s="1">
        <f ca="1"/>
        <v>0</v>
      </c>
      <c r="AQ53" s="1">
        <f ca="1"/>
        <v>0</v>
      </c>
      <c r="AR53" s="1">
        <f ca="1"/>
        <v>0</v>
      </c>
      <c r="AS53" s="1">
        <f ca="1"/>
        <v>0</v>
      </c>
      <c r="AT53" s="1">
        <f ca="1"/>
        <v>0</v>
      </c>
      <c r="AU53" s="1">
        <f ca="1"/>
        <v>0</v>
      </c>
      <c r="AV53" s="1">
        <f ca="1"/>
        <v>0</v>
      </c>
      <c r="AW53" s="1">
        <f ca="1"/>
        <v>0</v>
      </c>
      <c r="AX53" s="1">
        <f ca="1"/>
        <v>0</v>
      </c>
      <c r="AY53" s="1">
        <f ca="1"/>
        <v>0</v>
      </c>
      <c r="AZ53" s="1">
        <f ca="1"/>
        <v>0</v>
      </c>
      <c r="BA53" s="1">
        <f ca="1"/>
        <v>0</v>
      </c>
      <c r="BB53" s="1">
        <f ca="1"/>
        <v>0</v>
      </c>
      <c r="BC53" s="1">
        <f ca="1"/>
        <v>0</v>
      </c>
      <c r="BD53" s="1">
        <f ca="1"/>
        <v>0.29607969180798666</v>
      </c>
      <c r="BE53" s="1">
        <f ca="1"/>
        <v>0.29566607221909058</v>
      </c>
      <c r="BF53" s="1">
        <f ca="1"/>
        <v>0.29525245263019456</v>
      </c>
      <c r="BG53" s="1">
        <f ca="1"/>
        <v>0.2948388330412986</v>
      </c>
      <c r="BH53" s="1">
        <f ca="1"/>
        <v>0.29442521345240258</v>
      </c>
      <c r="BI53" s="1">
        <f ca="1"/>
        <v>0.29416745052019205</v>
      </c>
      <c r="BJ53" s="1">
        <f ca="1"/>
        <v>0.29390968758798153</v>
      </c>
      <c r="BK53" s="1">
        <f ca="1"/>
        <v>0.29365192465577095</v>
      </c>
      <c r="BL53" s="1">
        <f ca="1"/>
        <v>0.29339416172356042</v>
      </c>
      <c r="BM53" s="1">
        <f ca="1"/>
        <v>0.29313639879134989</v>
      </c>
      <c r="BN53" s="1">
        <f ca="1"/>
        <v>0.29287863585913931</v>
      </c>
      <c r="BO53" s="1">
        <f ca="1"/>
        <v>0.29262087292692879</v>
      </c>
      <c r="BP53" s="1">
        <f ca="1"/>
        <v>0.29236310999471826</v>
      </c>
      <c r="BQ53" s="1">
        <f ca="1"/>
        <v>0.29210534706250768</v>
      </c>
      <c r="BR53" s="1">
        <f ca="1"/>
        <v>0.2918475841302971</v>
      </c>
      <c r="BS53" s="1">
        <f ca="1"/>
        <v>0.29158982119808657</v>
      </c>
      <c r="BT53" s="1">
        <f ca="1"/>
        <v>0.29133205826587599</v>
      </c>
    </row>
    <row r="54" spans="5:72" x14ac:dyDescent="0.2">
      <c r="E54" s="3">
        <v>4.1217499999999997E-2</v>
      </c>
      <c r="F54" s="1">
        <f ca="1"/>
        <v>0.86320609856555863</v>
      </c>
      <c r="G54" s="3">
        <f ca="1"/>
        <v>4.1121963555806218E-2</v>
      </c>
      <c r="H54" s="3">
        <f ca="1"/>
        <v>4.1051665115299278E-2</v>
      </c>
      <c r="I54">
        <v>43</v>
      </c>
      <c r="J54" s="2">
        <v>3.5833333333333335</v>
      </c>
      <c r="M54" s="1">
        <f ca="1"/>
        <v>0</v>
      </c>
      <c r="N54" s="1">
        <f ca="1"/>
        <v>0</v>
      </c>
      <c r="O54" s="1">
        <f ca="1"/>
        <v>0</v>
      </c>
      <c r="P54" s="1">
        <f ca="1"/>
        <v>0</v>
      </c>
      <c r="Q54" s="1">
        <f ca="1"/>
        <v>0</v>
      </c>
      <c r="R54" s="1">
        <f ca="1"/>
        <v>0</v>
      </c>
      <c r="S54" s="1">
        <f ca="1"/>
        <v>0</v>
      </c>
      <c r="T54" s="1">
        <f ca="1"/>
        <v>0</v>
      </c>
      <c r="U54" s="1">
        <f ca="1"/>
        <v>0</v>
      </c>
      <c r="V54" s="1">
        <f ca="1"/>
        <v>0</v>
      </c>
      <c r="W54" s="1">
        <f ca="1"/>
        <v>0</v>
      </c>
      <c r="X54" s="1">
        <f ca="1"/>
        <v>0</v>
      </c>
      <c r="Y54" s="1">
        <f ca="1"/>
        <v>0</v>
      </c>
      <c r="Z54" s="1">
        <f ca="1"/>
        <v>0</v>
      </c>
      <c r="AA54" s="1">
        <f ca="1"/>
        <v>0</v>
      </c>
      <c r="AB54" s="1">
        <f ca="1"/>
        <v>0</v>
      </c>
      <c r="AC54" s="1">
        <f ca="1"/>
        <v>0</v>
      </c>
      <c r="AD54" s="1">
        <f ca="1"/>
        <v>0</v>
      </c>
      <c r="AE54" s="1">
        <f ca="1"/>
        <v>0</v>
      </c>
      <c r="AF54" s="1">
        <f ca="1"/>
        <v>0</v>
      </c>
      <c r="AG54" s="1">
        <f ca="1"/>
        <v>0</v>
      </c>
      <c r="AH54" s="1">
        <f ca="1"/>
        <v>0</v>
      </c>
      <c r="AI54" s="1">
        <f ca="1"/>
        <v>0</v>
      </c>
      <c r="AJ54" s="1">
        <f ca="1"/>
        <v>0</v>
      </c>
      <c r="AK54" s="1">
        <f ca="1"/>
        <v>0</v>
      </c>
      <c r="AL54" s="1">
        <f ca="1"/>
        <v>0</v>
      </c>
      <c r="AM54" s="1">
        <f ca="1"/>
        <v>0</v>
      </c>
      <c r="AN54" s="1">
        <f ca="1"/>
        <v>0</v>
      </c>
      <c r="AO54" s="1">
        <f ca="1"/>
        <v>0</v>
      </c>
      <c r="AP54" s="1">
        <f ca="1"/>
        <v>0</v>
      </c>
      <c r="AQ54" s="1">
        <f ca="1"/>
        <v>0</v>
      </c>
      <c r="AR54" s="1">
        <f ca="1"/>
        <v>0</v>
      </c>
      <c r="AS54" s="1">
        <f ca="1"/>
        <v>0</v>
      </c>
      <c r="AT54" s="1">
        <f ca="1"/>
        <v>0</v>
      </c>
      <c r="AU54" s="1">
        <f ca="1"/>
        <v>0</v>
      </c>
      <c r="AV54" s="1">
        <f ca="1"/>
        <v>0</v>
      </c>
      <c r="AW54" s="1">
        <f ca="1"/>
        <v>0</v>
      </c>
      <c r="AX54" s="1">
        <f ca="1"/>
        <v>0</v>
      </c>
      <c r="AY54" s="1">
        <f ca="1"/>
        <v>0</v>
      </c>
      <c r="AZ54" s="1">
        <f ca="1"/>
        <v>0</v>
      </c>
      <c r="BA54" s="1">
        <f ca="1"/>
        <v>0</v>
      </c>
      <c r="BB54" s="1">
        <f ca="1"/>
        <v>0</v>
      </c>
      <c r="BC54" s="1">
        <f ca="1"/>
        <v>0</v>
      </c>
      <c r="BD54" s="1">
        <f ca="1"/>
        <v>0</v>
      </c>
      <c r="BE54" s="1">
        <f ca="1"/>
        <v>0.29472054494629907</v>
      </c>
      <c r="BF54" s="1">
        <f ca="1"/>
        <v>0.29430824809490536</v>
      </c>
      <c r="BG54" s="1">
        <f ca="1"/>
        <v>0.29389595124351159</v>
      </c>
      <c r="BH54" s="1">
        <f ca="1"/>
        <v>0.29348365439211782</v>
      </c>
      <c r="BI54" s="1">
        <f ca="1"/>
        <v>0.29322671577458259</v>
      </c>
      <c r="BJ54" s="1">
        <f ca="1"/>
        <v>0.29296977715704736</v>
      </c>
      <c r="BK54" s="1">
        <f ca="1"/>
        <v>0.29271283853951208</v>
      </c>
      <c r="BL54" s="1">
        <f ca="1"/>
        <v>0.29245589992197685</v>
      </c>
      <c r="BM54" s="1">
        <f ca="1"/>
        <v>0.29219896130444162</v>
      </c>
      <c r="BN54" s="1">
        <f ca="1"/>
        <v>0.29194202268690633</v>
      </c>
      <c r="BO54" s="1">
        <f ca="1"/>
        <v>0.29168508406937116</v>
      </c>
      <c r="BP54" s="1">
        <f ca="1"/>
        <v>0.29142814545183587</v>
      </c>
      <c r="BQ54" s="1">
        <f ca="1"/>
        <v>0.29117120683430064</v>
      </c>
      <c r="BR54" s="1">
        <f ca="1"/>
        <v>0.29091426821676536</v>
      </c>
      <c r="BS54" s="1">
        <f ca="1"/>
        <v>0.29065732959923013</v>
      </c>
      <c r="BT54" s="1">
        <f ca="1"/>
        <v>0.29040039098169484</v>
      </c>
    </row>
    <row r="55" spans="5:72" x14ac:dyDescent="0.2">
      <c r="E55" s="3">
        <v>4.1160000000000002E-2</v>
      </c>
      <c r="F55" s="1">
        <f ca="1"/>
        <v>0.86044560290872563</v>
      </c>
      <c r="G55" s="3">
        <f ca="1"/>
        <v>4.106233522398206E-2</v>
      </c>
      <c r="H55" s="3">
        <f ca="1"/>
        <v>4.0992240274677585E-2</v>
      </c>
      <c r="I55">
        <v>44</v>
      </c>
      <c r="J55" s="2">
        <v>3.6666666666666665</v>
      </c>
      <c r="M55" s="1">
        <f ca="1"/>
        <v>0</v>
      </c>
      <c r="N55" s="1">
        <f ca="1"/>
        <v>0</v>
      </c>
      <c r="O55" s="1">
        <f ca="1"/>
        <v>0</v>
      </c>
      <c r="P55" s="1">
        <f ca="1"/>
        <v>0</v>
      </c>
      <c r="Q55" s="1">
        <f ca="1"/>
        <v>0</v>
      </c>
      <c r="R55" s="1">
        <f ca="1"/>
        <v>0</v>
      </c>
      <c r="S55" s="1">
        <f ca="1"/>
        <v>0</v>
      </c>
      <c r="T55" s="1">
        <f ca="1"/>
        <v>0</v>
      </c>
      <c r="U55" s="1">
        <f ca="1"/>
        <v>0</v>
      </c>
      <c r="V55" s="1">
        <f ca="1"/>
        <v>0</v>
      </c>
      <c r="W55" s="1">
        <f ca="1"/>
        <v>0</v>
      </c>
      <c r="X55" s="1">
        <f ca="1"/>
        <v>0</v>
      </c>
      <c r="Y55" s="1">
        <f ca="1"/>
        <v>0</v>
      </c>
      <c r="Z55" s="1">
        <f ca="1"/>
        <v>0</v>
      </c>
      <c r="AA55" s="1">
        <f ca="1"/>
        <v>0</v>
      </c>
      <c r="AB55" s="1">
        <f ca="1"/>
        <v>0</v>
      </c>
      <c r="AC55" s="1">
        <f ca="1"/>
        <v>0</v>
      </c>
      <c r="AD55" s="1">
        <f ca="1"/>
        <v>0</v>
      </c>
      <c r="AE55" s="1">
        <f ca="1"/>
        <v>0</v>
      </c>
      <c r="AF55" s="1">
        <f ca="1"/>
        <v>0</v>
      </c>
      <c r="AG55" s="1">
        <f ca="1"/>
        <v>0</v>
      </c>
      <c r="AH55" s="1">
        <f ca="1"/>
        <v>0</v>
      </c>
      <c r="AI55" s="1">
        <f ca="1"/>
        <v>0</v>
      </c>
      <c r="AJ55" s="1">
        <f ca="1"/>
        <v>0</v>
      </c>
      <c r="AK55" s="1">
        <f ca="1"/>
        <v>0</v>
      </c>
      <c r="AL55" s="1">
        <f ca="1"/>
        <v>0</v>
      </c>
      <c r="AM55" s="1">
        <f ca="1"/>
        <v>0</v>
      </c>
      <c r="AN55" s="1">
        <f ca="1"/>
        <v>0</v>
      </c>
      <c r="AO55" s="1">
        <f ca="1"/>
        <v>0</v>
      </c>
      <c r="AP55" s="1">
        <f ca="1"/>
        <v>0</v>
      </c>
      <c r="AQ55" s="1">
        <f ca="1"/>
        <v>0</v>
      </c>
      <c r="AR55" s="1">
        <f ca="1"/>
        <v>0</v>
      </c>
      <c r="AS55" s="1">
        <f ca="1"/>
        <v>0</v>
      </c>
      <c r="AT55" s="1">
        <f ca="1"/>
        <v>0</v>
      </c>
      <c r="AU55" s="1">
        <f ca="1"/>
        <v>0</v>
      </c>
      <c r="AV55" s="1">
        <f ca="1"/>
        <v>0</v>
      </c>
      <c r="AW55" s="1">
        <f ca="1"/>
        <v>0</v>
      </c>
      <c r="AX55" s="1">
        <f ca="1"/>
        <v>0</v>
      </c>
      <c r="AY55" s="1">
        <f ca="1"/>
        <v>0</v>
      </c>
      <c r="AZ55" s="1">
        <f ca="1"/>
        <v>0</v>
      </c>
      <c r="BA55" s="1">
        <f ca="1"/>
        <v>0</v>
      </c>
      <c r="BB55" s="1">
        <f ca="1"/>
        <v>0</v>
      </c>
      <c r="BC55" s="1">
        <f ca="1"/>
        <v>0</v>
      </c>
      <c r="BD55" s="1">
        <f ca="1"/>
        <v>0</v>
      </c>
      <c r="BE55" s="1">
        <f ca="1"/>
        <v>0</v>
      </c>
      <c r="BF55" s="1">
        <f ca="1"/>
        <v>0.29337007744359272</v>
      </c>
      <c r="BG55" s="1">
        <f ca="1"/>
        <v>0.29295909487682437</v>
      </c>
      <c r="BH55" s="1">
        <f ca="1"/>
        <v>0.29254811231005601</v>
      </c>
      <c r="BI55" s="1">
        <f ca="1"/>
        <v>0.29229199273946127</v>
      </c>
      <c r="BJ55" s="1">
        <f ca="1"/>
        <v>0.29203587316886653</v>
      </c>
      <c r="BK55" s="1">
        <f ca="1"/>
        <v>0.29177975359827174</v>
      </c>
      <c r="BL55" s="1">
        <f ca="1"/>
        <v>0.291523634027677</v>
      </c>
      <c r="BM55" s="1">
        <f ca="1"/>
        <v>0.29126751445708221</v>
      </c>
      <c r="BN55" s="1">
        <f ca="1"/>
        <v>0.29101139488648747</v>
      </c>
      <c r="BO55" s="1">
        <f ca="1"/>
        <v>0.29075527531589274</v>
      </c>
      <c r="BP55" s="1">
        <f ca="1"/>
        <v>0.29049915574529794</v>
      </c>
      <c r="BQ55" s="1">
        <f ca="1"/>
        <v>0.29024303617470321</v>
      </c>
      <c r="BR55" s="1">
        <f ca="1"/>
        <v>0.28998691660410836</v>
      </c>
      <c r="BS55" s="1">
        <f ca="1"/>
        <v>0.28973079703351362</v>
      </c>
      <c r="BT55" s="1">
        <f ca="1"/>
        <v>0.28947467746291883</v>
      </c>
    </row>
    <row r="56" spans="5:72" x14ac:dyDescent="0.2">
      <c r="E56" s="3">
        <v>4.11025E-2</v>
      </c>
      <c r="F56" s="1">
        <f ca="1"/>
        <v>0.85770274803827817</v>
      </c>
      <c r="G56" s="3">
        <f ca="1"/>
        <v>4.1002607956495574E-2</v>
      </c>
      <c r="H56" s="3">
        <f ca="1"/>
        <v>4.0932716541016372E-2</v>
      </c>
      <c r="I56">
        <v>45</v>
      </c>
      <c r="J56" s="2">
        <v>3.75</v>
      </c>
      <c r="M56" s="1">
        <f ca="1"/>
        <v>0</v>
      </c>
      <c r="N56" s="1">
        <f ca="1"/>
        <v>0</v>
      </c>
      <c r="O56" s="1">
        <f ca="1"/>
        <v>0</v>
      </c>
      <c r="P56" s="1">
        <f ca="1"/>
        <v>0</v>
      </c>
      <c r="Q56" s="1">
        <f ca="1"/>
        <v>0</v>
      </c>
      <c r="R56" s="1">
        <f ca="1"/>
        <v>0</v>
      </c>
      <c r="S56" s="1">
        <f ca="1"/>
        <v>0</v>
      </c>
      <c r="T56" s="1">
        <f ca="1"/>
        <v>0</v>
      </c>
      <c r="U56" s="1">
        <f ca="1"/>
        <v>0</v>
      </c>
      <c r="V56" s="1">
        <f ca="1"/>
        <v>0</v>
      </c>
      <c r="W56" s="1">
        <f ca="1"/>
        <v>0</v>
      </c>
      <c r="X56" s="1">
        <f ca="1"/>
        <v>0</v>
      </c>
      <c r="Y56" s="1">
        <f ca="1"/>
        <v>0</v>
      </c>
      <c r="Z56" s="1">
        <f ca="1"/>
        <v>0</v>
      </c>
      <c r="AA56" s="1">
        <f ca="1"/>
        <v>0</v>
      </c>
      <c r="AB56" s="1">
        <f ca="1"/>
        <v>0</v>
      </c>
      <c r="AC56" s="1">
        <f ca="1"/>
        <v>0</v>
      </c>
      <c r="AD56" s="1">
        <f ca="1"/>
        <v>0</v>
      </c>
      <c r="AE56" s="1">
        <f ca="1"/>
        <v>0</v>
      </c>
      <c r="AF56" s="1">
        <f ca="1"/>
        <v>0</v>
      </c>
      <c r="AG56" s="1">
        <f ca="1"/>
        <v>0</v>
      </c>
      <c r="AH56" s="1">
        <f ca="1"/>
        <v>0</v>
      </c>
      <c r="AI56" s="1">
        <f ca="1"/>
        <v>0</v>
      </c>
      <c r="AJ56" s="1">
        <f ca="1"/>
        <v>0</v>
      </c>
      <c r="AK56" s="1">
        <f ca="1"/>
        <v>0</v>
      </c>
      <c r="AL56" s="1">
        <f ca="1"/>
        <v>0</v>
      </c>
      <c r="AM56" s="1">
        <f ca="1"/>
        <v>0</v>
      </c>
      <c r="AN56" s="1">
        <f ca="1"/>
        <v>0</v>
      </c>
      <c r="AO56" s="1">
        <f ca="1"/>
        <v>0</v>
      </c>
      <c r="AP56" s="1">
        <f ca="1"/>
        <v>0</v>
      </c>
      <c r="AQ56" s="1">
        <f ca="1"/>
        <v>0</v>
      </c>
      <c r="AR56" s="1">
        <f ca="1"/>
        <v>0</v>
      </c>
      <c r="AS56" s="1">
        <f ca="1"/>
        <v>0</v>
      </c>
      <c r="AT56" s="1">
        <f ca="1"/>
        <v>0</v>
      </c>
      <c r="AU56" s="1">
        <f ca="1"/>
        <v>0</v>
      </c>
      <c r="AV56" s="1">
        <f ca="1"/>
        <v>0</v>
      </c>
      <c r="AW56" s="1">
        <f ca="1"/>
        <v>0</v>
      </c>
      <c r="AX56" s="1">
        <f ca="1"/>
        <v>0</v>
      </c>
      <c r="AY56" s="1">
        <f ca="1"/>
        <v>0</v>
      </c>
      <c r="AZ56" s="1">
        <f ca="1"/>
        <v>0</v>
      </c>
      <c r="BA56" s="1">
        <f ca="1"/>
        <v>0</v>
      </c>
      <c r="BB56" s="1">
        <f ca="1"/>
        <v>0</v>
      </c>
      <c r="BC56" s="1">
        <f ca="1"/>
        <v>0</v>
      </c>
      <c r="BD56" s="1">
        <f ca="1"/>
        <v>0</v>
      </c>
      <c r="BE56" s="1">
        <f ca="1"/>
        <v>0</v>
      </c>
      <c r="BF56" s="1">
        <f ca="1"/>
        <v>0</v>
      </c>
      <c r="BG56" s="1">
        <f ca="1"/>
        <v>0.29202822998060324</v>
      </c>
      <c r="BH56" s="1">
        <f ca="1"/>
        <v>0.29161855329322572</v>
      </c>
      <c r="BI56" s="1">
        <f ca="1"/>
        <v>0.29136324753152676</v>
      </c>
      <c r="BJ56" s="1">
        <f ca="1"/>
        <v>0.29110794176982774</v>
      </c>
      <c r="BK56" s="1">
        <f ca="1"/>
        <v>0.29085263600812866</v>
      </c>
      <c r="BL56" s="1">
        <f ca="1"/>
        <v>0.2905973302464297</v>
      </c>
      <c r="BM56" s="1">
        <f ca="1"/>
        <v>0.29034202448473068</v>
      </c>
      <c r="BN56" s="1">
        <f ca="1"/>
        <v>0.29008671872303166</v>
      </c>
      <c r="BO56" s="1">
        <f ca="1"/>
        <v>0.28983141296133269</v>
      </c>
      <c r="BP56" s="1">
        <f ca="1"/>
        <v>0.28957610719963367</v>
      </c>
      <c r="BQ56" s="1">
        <f ca="1"/>
        <v>0.28932080143793465</v>
      </c>
      <c r="BR56" s="1">
        <f ca="1"/>
        <v>0.28906549567623557</v>
      </c>
      <c r="BS56" s="1">
        <f ca="1"/>
        <v>0.28881018991453661</v>
      </c>
      <c r="BT56" s="1">
        <f ca="1"/>
        <v>0.28855488415283759</v>
      </c>
    </row>
    <row r="57" spans="5:72" x14ac:dyDescent="0.2">
      <c r="E57" s="3">
        <v>4.1044999999999998E-2</v>
      </c>
      <c r="F57" s="1">
        <f ca="1"/>
        <v>0.85497743452692621</v>
      </c>
      <c r="G57" s="3">
        <f ca="1"/>
        <v>4.0942784221020823E-2</v>
      </c>
      <c r="H57" s="3">
        <f ca="1"/>
        <v>4.0873096372129471E-2</v>
      </c>
      <c r="I57">
        <v>46</v>
      </c>
      <c r="J57" s="2">
        <v>3.8333333333333335</v>
      </c>
      <c r="M57" s="1">
        <f ca="1"/>
        <v>0</v>
      </c>
      <c r="N57" s="1">
        <f ca="1"/>
        <v>0</v>
      </c>
      <c r="O57" s="1">
        <f ca="1"/>
        <v>0</v>
      </c>
      <c r="P57" s="1">
        <f ca="1"/>
        <v>0</v>
      </c>
      <c r="Q57" s="1">
        <f ca="1"/>
        <v>0</v>
      </c>
      <c r="R57" s="1">
        <f ca="1"/>
        <v>0</v>
      </c>
      <c r="S57" s="1">
        <f ca="1"/>
        <v>0</v>
      </c>
      <c r="T57" s="1">
        <f ca="1"/>
        <v>0</v>
      </c>
      <c r="U57" s="1">
        <f ca="1"/>
        <v>0</v>
      </c>
      <c r="V57" s="1">
        <f ca="1"/>
        <v>0</v>
      </c>
      <c r="W57" s="1">
        <f ca="1"/>
        <v>0</v>
      </c>
      <c r="X57" s="1">
        <f ca="1"/>
        <v>0</v>
      </c>
      <c r="Y57" s="1">
        <f ca="1"/>
        <v>0</v>
      </c>
      <c r="Z57" s="1">
        <f ca="1"/>
        <v>0</v>
      </c>
      <c r="AA57" s="1">
        <f ca="1"/>
        <v>0</v>
      </c>
      <c r="AB57" s="1">
        <f ca="1"/>
        <v>0</v>
      </c>
      <c r="AC57" s="1">
        <f ca="1"/>
        <v>0</v>
      </c>
      <c r="AD57" s="1">
        <f ca="1"/>
        <v>0</v>
      </c>
      <c r="AE57" s="1">
        <f ca="1"/>
        <v>0</v>
      </c>
      <c r="AF57" s="1">
        <f ca="1"/>
        <v>0</v>
      </c>
      <c r="AG57" s="1">
        <f ca="1"/>
        <v>0</v>
      </c>
      <c r="AH57" s="1">
        <f ca="1"/>
        <v>0</v>
      </c>
      <c r="AI57" s="1">
        <f ca="1"/>
        <v>0</v>
      </c>
      <c r="AJ57" s="1">
        <f ca="1"/>
        <v>0</v>
      </c>
      <c r="AK57" s="1">
        <f ca="1"/>
        <v>0</v>
      </c>
      <c r="AL57" s="1">
        <f ca="1"/>
        <v>0</v>
      </c>
      <c r="AM57" s="1">
        <f ca="1"/>
        <v>0</v>
      </c>
      <c r="AN57" s="1">
        <f ca="1"/>
        <v>0</v>
      </c>
      <c r="AO57" s="1">
        <f ca="1"/>
        <v>0</v>
      </c>
      <c r="AP57" s="1">
        <f ca="1"/>
        <v>0</v>
      </c>
      <c r="AQ57" s="1">
        <f ca="1"/>
        <v>0</v>
      </c>
      <c r="AR57" s="1">
        <f ca="1"/>
        <v>0</v>
      </c>
      <c r="AS57" s="1">
        <f ca="1"/>
        <v>0</v>
      </c>
      <c r="AT57" s="1">
        <f ca="1"/>
        <v>0</v>
      </c>
      <c r="AU57" s="1">
        <f ca="1"/>
        <v>0</v>
      </c>
      <c r="AV57" s="1">
        <f ca="1"/>
        <v>0</v>
      </c>
      <c r="AW57" s="1">
        <f ca="1"/>
        <v>0</v>
      </c>
      <c r="AX57" s="1">
        <f ca="1"/>
        <v>0</v>
      </c>
      <c r="AY57" s="1">
        <f ca="1"/>
        <v>0</v>
      </c>
      <c r="AZ57" s="1">
        <f ca="1"/>
        <v>0</v>
      </c>
      <c r="BA57" s="1">
        <f ca="1"/>
        <v>0</v>
      </c>
      <c r="BB57" s="1">
        <f ca="1"/>
        <v>0</v>
      </c>
      <c r="BC57" s="1">
        <f ca="1"/>
        <v>0</v>
      </c>
      <c r="BD57" s="1">
        <f ca="1"/>
        <v>0</v>
      </c>
      <c r="BE57" s="1">
        <f ca="1"/>
        <v>0</v>
      </c>
      <c r="BF57" s="1">
        <f ca="1"/>
        <v>0</v>
      </c>
      <c r="BG57" s="1">
        <f ca="1"/>
        <v>0</v>
      </c>
      <c r="BH57" s="1">
        <f ca="1"/>
        <v>0.29069494365835663</v>
      </c>
      <c r="BI57" s="1">
        <f ca="1"/>
        <v>0.29044044649699763</v>
      </c>
      <c r="BJ57" s="1">
        <f ca="1"/>
        <v>0.29018594933563863</v>
      </c>
      <c r="BK57" s="1">
        <f ca="1"/>
        <v>0.28993145217427957</v>
      </c>
      <c r="BL57" s="1">
        <f ca="1"/>
        <v>0.28967695501292062</v>
      </c>
      <c r="BM57" s="1">
        <f ca="1"/>
        <v>0.28942245785156157</v>
      </c>
      <c r="BN57" s="1">
        <f ca="1"/>
        <v>0.28916796069020256</v>
      </c>
      <c r="BO57" s="1">
        <f ca="1"/>
        <v>0.28891346352884356</v>
      </c>
      <c r="BP57" s="1">
        <f ca="1"/>
        <v>0.28865896636748456</v>
      </c>
      <c r="BQ57" s="1">
        <f ca="1"/>
        <v>0.2884044692061255</v>
      </c>
      <c r="BR57" s="1">
        <f ca="1"/>
        <v>0.28814997204476644</v>
      </c>
      <c r="BS57" s="1">
        <f ca="1"/>
        <v>0.28789547488340744</v>
      </c>
      <c r="BT57" s="1">
        <f ca="1"/>
        <v>0.28764097772204844</v>
      </c>
    </row>
    <row r="58" spans="5:72" x14ac:dyDescent="0.2">
      <c r="E58" s="3">
        <v>4.0987500000000003E-2</v>
      </c>
      <c r="F58" s="1">
        <f ca="1"/>
        <v>0.85226956362088435</v>
      </c>
      <c r="G58" s="3">
        <f ca="1"/>
        <v>4.0882866292815123E-2</v>
      </c>
      <c r="H58" s="3">
        <f ca="1"/>
        <v>4.0813382034114366E-2</v>
      </c>
      <c r="I58">
        <v>47</v>
      </c>
      <c r="J58" s="2">
        <v>3.9166666666666665</v>
      </c>
      <c r="M58" s="1">
        <f ca="1"/>
        <v>0</v>
      </c>
      <c r="N58" s="1">
        <f ca="1"/>
        <v>0</v>
      </c>
      <c r="O58" s="1">
        <f ca="1"/>
        <v>0</v>
      </c>
      <c r="P58" s="1">
        <f ca="1"/>
        <v>0</v>
      </c>
      <c r="Q58" s="1">
        <f ca="1"/>
        <v>0</v>
      </c>
      <c r="R58" s="1">
        <f ca="1"/>
        <v>0</v>
      </c>
      <c r="S58" s="1">
        <f ca="1"/>
        <v>0</v>
      </c>
      <c r="T58" s="1">
        <f ca="1"/>
        <v>0</v>
      </c>
      <c r="U58" s="1">
        <f ca="1"/>
        <v>0</v>
      </c>
      <c r="V58" s="1">
        <f ca="1"/>
        <v>0</v>
      </c>
      <c r="W58" s="1">
        <f ca="1"/>
        <v>0</v>
      </c>
      <c r="X58" s="1">
        <f ca="1"/>
        <v>0</v>
      </c>
      <c r="Y58" s="1">
        <f ca="1"/>
        <v>0</v>
      </c>
      <c r="Z58" s="1">
        <f ca="1"/>
        <v>0</v>
      </c>
      <c r="AA58" s="1">
        <f ca="1"/>
        <v>0</v>
      </c>
      <c r="AB58" s="1">
        <f ca="1"/>
        <v>0</v>
      </c>
      <c r="AC58" s="1">
        <f ca="1"/>
        <v>0</v>
      </c>
      <c r="AD58" s="1">
        <f ca="1"/>
        <v>0</v>
      </c>
      <c r="AE58" s="1">
        <f ca="1"/>
        <v>0</v>
      </c>
      <c r="AF58" s="1">
        <f ca="1"/>
        <v>0</v>
      </c>
      <c r="AG58" s="1">
        <f ca="1"/>
        <v>0</v>
      </c>
      <c r="AH58" s="1">
        <f ca="1"/>
        <v>0</v>
      </c>
      <c r="AI58" s="1">
        <f ca="1"/>
        <v>0</v>
      </c>
      <c r="AJ58" s="1">
        <f ca="1"/>
        <v>0</v>
      </c>
      <c r="AK58" s="1">
        <f ca="1"/>
        <v>0</v>
      </c>
      <c r="AL58" s="1">
        <f ca="1"/>
        <v>0</v>
      </c>
      <c r="AM58" s="1">
        <f ca="1"/>
        <v>0</v>
      </c>
      <c r="AN58" s="1">
        <f ca="1"/>
        <v>0</v>
      </c>
      <c r="AO58" s="1">
        <f ca="1"/>
        <v>0</v>
      </c>
      <c r="AP58" s="1">
        <f ca="1"/>
        <v>0</v>
      </c>
      <c r="AQ58" s="1">
        <f ca="1"/>
        <v>0</v>
      </c>
      <c r="AR58" s="1">
        <f ca="1"/>
        <v>0</v>
      </c>
      <c r="AS58" s="1">
        <f ca="1"/>
        <v>0</v>
      </c>
      <c r="AT58" s="1">
        <f ca="1"/>
        <v>0</v>
      </c>
      <c r="AU58" s="1">
        <f ca="1"/>
        <v>0</v>
      </c>
      <c r="AV58" s="1">
        <f ca="1"/>
        <v>0</v>
      </c>
      <c r="AW58" s="1">
        <f ca="1"/>
        <v>0</v>
      </c>
      <c r="AX58" s="1">
        <f ca="1"/>
        <v>0</v>
      </c>
      <c r="AY58" s="1">
        <f ca="1"/>
        <v>0</v>
      </c>
      <c r="AZ58" s="1">
        <f ca="1"/>
        <v>0</v>
      </c>
      <c r="BA58" s="1">
        <f ca="1"/>
        <v>0</v>
      </c>
      <c r="BB58" s="1">
        <f ca="1"/>
        <v>0</v>
      </c>
      <c r="BC58" s="1">
        <f ca="1"/>
        <v>0</v>
      </c>
      <c r="BD58" s="1">
        <f ca="1"/>
        <v>0</v>
      </c>
      <c r="BE58" s="1">
        <f ca="1"/>
        <v>0</v>
      </c>
      <c r="BF58" s="1">
        <f ca="1"/>
        <v>0</v>
      </c>
      <c r="BG58" s="1">
        <f ca="1"/>
        <v>0</v>
      </c>
      <c r="BH58" s="1">
        <f ca="1"/>
        <v>0</v>
      </c>
      <c r="BI58" s="1">
        <f ca="1"/>
        <v>0.2895235562100355</v>
      </c>
      <c r="BJ58" s="1">
        <f ca="1"/>
        <v>0.28926986246974995</v>
      </c>
      <c r="BK58" s="1">
        <f ca="1"/>
        <v>0.28901616872946445</v>
      </c>
      <c r="BL58" s="1">
        <f ca="1"/>
        <v>0.28876247498917895</v>
      </c>
      <c r="BM58" s="1">
        <f ca="1"/>
        <v>0.2885087812488934</v>
      </c>
      <c r="BN58" s="1">
        <f ca="1"/>
        <v>0.28825508750860784</v>
      </c>
      <c r="BO58" s="1">
        <f ca="1"/>
        <v>0.2880013937683224</v>
      </c>
      <c r="BP58" s="1">
        <f ca="1"/>
        <v>0.28774770002803685</v>
      </c>
      <c r="BQ58" s="1">
        <f ca="1"/>
        <v>0.28749400628775129</v>
      </c>
      <c r="BR58" s="1">
        <f ca="1"/>
        <v>0.28724031254746574</v>
      </c>
      <c r="BS58" s="1">
        <f ca="1"/>
        <v>0.28698661880718024</v>
      </c>
      <c r="BT58" s="1">
        <f ca="1"/>
        <v>0.28673292506689468</v>
      </c>
    </row>
    <row r="59" spans="5:72" x14ac:dyDescent="0.2">
      <c r="E59" s="3">
        <v>4.0930000000000001E-2</v>
      </c>
      <c r="F59" s="1">
        <f ca="1"/>
        <v>0.84957903723524364</v>
      </c>
      <c r="G59" s="3">
        <f ca="1"/>
        <v>4.0822856274993491E-2</v>
      </c>
      <c r="H59" s="3">
        <f ca="1"/>
        <v>4.0753575621548507E-2</v>
      </c>
      <c r="I59">
        <v>48</v>
      </c>
      <c r="J59" s="2">
        <v>4</v>
      </c>
      <c r="M59" s="1">
        <f ca="1"/>
        <v>0</v>
      </c>
      <c r="N59" s="1">
        <f ca="1"/>
        <v>0</v>
      </c>
      <c r="O59" s="1">
        <f ca="1"/>
        <v>0</v>
      </c>
      <c r="P59" s="1">
        <f ca="1"/>
        <v>0</v>
      </c>
      <c r="Q59" s="1">
        <f ca="1"/>
        <v>0</v>
      </c>
      <c r="R59" s="1">
        <f ca="1"/>
        <v>0</v>
      </c>
      <c r="S59" s="1">
        <f ca="1"/>
        <v>0</v>
      </c>
      <c r="T59" s="1">
        <f ca="1"/>
        <v>0</v>
      </c>
      <c r="U59" s="1">
        <f ca="1"/>
        <v>0</v>
      </c>
      <c r="V59" s="1">
        <f ca="1"/>
        <v>0</v>
      </c>
      <c r="W59" s="1">
        <f ca="1"/>
        <v>0</v>
      </c>
      <c r="X59" s="1">
        <f ca="1"/>
        <v>0</v>
      </c>
      <c r="Y59" s="1">
        <f ca="1"/>
        <v>0</v>
      </c>
      <c r="Z59" s="1">
        <f ca="1"/>
        <v>0</v>
      </c>
      <c r="AA59" s="1">
        <f ca="1"/>
        <v>0</v>
      </c>
      <c r="AB59" s="1">
        <f ca="1"/>
        <v>0</v>
      </c>
      <c r="AC59" s="1">
        <f ca="1"/>
        <v>0</v>
      </c>
      <c r="AD59" s="1">
        <f ca="1"/>
        <v>0</v>
      </c>
      <c r="AE59" s="1">
        <f ca="1"/>
        <v>0</v>
      </c>
      <c r="AF59" s="1">
        <f ca="1"/>
        <v>0</v>
      </c>
      <c r="AG59" s="1">
        <f ca="1"/>
        <v>0</v>
      </c>
      <c r="AH59" s="1">
        <f ca="1"/>
        <v>0</v>
      </c>
      <c r="AI59" s="1">
        <f ca="1"/>
        <v>0</v>
      </c>
      <c r="AJ59" s="1">
        <f ca="1"/>
        <v>0</v>
      </c>
      <c r="AK59" s="1">
        <f ca="1"/>
        <v>0</v>
      </c>
      <c r="AL59" s="1">
        <f ca="1"/>
        <v>0</v>
      </c>
      <c r="AM59" s="1">
        <f ca="1"/>
        <v>0</v>
      </c>
      <c r="AN59" s="1">
        <f ca="1"/>
        <v>0</v>
      </c>
      <c r="AO59" s="1">
        <f ca="1"/>
        <v>0</v>
      </c>
      <c r="AP59" s="1">
        <f ca="1"/>
        <v>0</v>
      </c>
      <c r="AQ59" s="1">
        <f ca="1"/>
        <v>0</v>
      </c>
      <c r="AR59" s="1">
        <f ca="1"/>
        <v>0</v>
      </c>
      <c r="AS59" s="1">
        <f ca="1"/>
        <v>0</v>
      </c>
      <c r="AT59" s="1">
        <f ca="1"/>
        <v>0</v>
      </c>
      <c r="AU59" s="1">
        <f ca="1"/>
        <v>0</v>
      </c>
      <c r="AV59" s="1">
        <f ca="1"/>
        <v>0</v>
      </c>
      <c r="AW59" s="1">
        <f ca="1"/>
        <v>0</v>
      </c>
      <c r="AX59" s="1">
        <f ca="1"/>
        <v>0</v>
      </c>
      <c r="AY59" s="1">
        <f ca="1"/>
        <v>0</v>
      </c>
      <c r="AZ59" s="1">
        <f ca="1"/>
        <v>0</v>
      </c>
      <c r="BA59" s="1">
        <f ca="1"/>
        <v>0</v>
      </c>
      <c r="BB59" s="1">
        <f ca="1"/>
        <v>0</v>
      </c>
      <c r="BC59" s="1">
        <f ca="1"/>
        <v>0</v>
      </c>
      <c r="BD59" s="1">
        <f ca="1"/>
        <v>0</v>
      </c>
      <c r="BE59" s="1">
        <f ca="1"/>
        <v>0</v>
      </c>
      <c r="BF59" s="1">
        <f ca="1"/>
        <v>0</v>
      </c>
      <c r="BG59" s="1">
        <f ca="1"/>
        <v>0</v>
      </c>
      <c r="BH59" s="1">
        <f ca="1"/>
        <v>0</v>
      </c>
      <c r="BI59" s="1">
        <f ca="1"/>
        <v>0</v>
      </c>
      <c r="BJ59" s="1">
        <f ca="1"/>
        <v>0.28833210941404969</v>
      </c>
      <c r="BK59" s="1">
        <f ca="1"/>
        <v>0.28807923809639097</v>
      </c>
      <c r="BL59" s="1">
        <f ca="1"/>
        <v>0.28782636677873236</v>
      </c>
      <c r="BM59" s="1">
        <f ca="1"/>
        <v>0.28757349546107369</v>
      </c>
      <c r="BN59" s="1">
        <f ca="1"/>
        <v>0.28732062414341503</v>
      </c>
      <c r="BO59" s="1">
        <f ca="1"/>
        <v>0.28706775282575642</v>
      </c>
      <c r="BP59" s="1">
        <f ca="1"/>
        <v>0.28681488150809775</v>
      </c>
      <c r="BQ59" s="1">
        <f ca="1"/>
        <v>0.28656201019043903</v>
      </c>
      <c r="BR59" s="1">
        <f ca="1"/>
        <v>0.28630913887278031</v>
      </c>
      <c r="BS59" s="1">
        <f ca="1"/>
        <v>0.2860562675551217</v>
      </c>
      <c r="BT59" s="1">
        <f ca="1"/>
        <v>0.28580339623746304</v>
      </c>
    </row>
    <row r="60" spans="5:72" x14ac:dyDescent="0.2">
      <c r="E60" s="3">
        <v>4.0894166666666669E-2</v>
      </c>
      <c r="F60" s="1">
        <f ca="1"/>
        <v>0.84682487774063131</v>
      </c>
      <c r="G60" s="3">
        <f ca="1"/>
        <v>4.0786224666385706E-2</v>
      </c>
      <c r="H60" s="3">
        <f ca="1"/>
        <v>4.0717068152150711E-2</v>
      </c>
      <c r="I60">
        <v>49</v>
      </c>
      <c r="J60" s="2">
        <v>4.083333333333333</v>
      </c>
      <c r="M60" s="1">
        <f ca="1"/>
        <v>0</v>
      </c>
      <c r="N60" s="1">
        <f ca="1"/>
        <v>0</v>
      </c>
      <c r="O60" s="1">
        <f ca="1"/>
        <v>0</v>
      </c>
      <c r="P60" s="1">
        <f ca="1"/>
        <v>0</v>
      </c>
      <c r="Q60" s="1">
        <f ca="1"/>
        <v>0</v>
      </c>
      <c r="R60" s="1">
        <f ca="1"/>
        <v>0</v>
      </c>
      <c r="S60" s="1">
        <f ca="1"/>
        <v>0</v>
      </c>
      <c r="T60" s="1">
        <f ca="1"/>
        <v>0</v>
      </c>
      <c r="U60" s="1">
        <f ca="1"/>
        <v>0</v>
      </c>
      <c r="V60" s="1">
        <f ca="1"/>
        <v>0</v>
      </c>
      <c r="W60" s="1">
        <f ca="1"/>
        <v>0</v>
      </c>
      <c r="X60" s="1">
        <f ca="1"/>
        <v>0</v>
      </c>
      <c r="Y60" s="1">
        <f ca="1"/>
        <v>0</v>
      </c>
      <c r="Z60" s="1">
        <f ca="1"/>
        <v>0</v>
      </c>
      <c r="AA60" s="1">
        <f ca="1"/>
        <v>0</v>
      </c>
      <c r="AB60" s="1">
        <f ca="1"/>
        <v>0</v>
      </c>
      <c r="AC60" s="1">
        <f ca="1"/>
        <v>0</v>
      </c>
      <c r="AD60" s="1">
        <f ca="1"/>
        <v>0</v>
      </c>
      <c r="AE60" s="1">
        <f ca="1"/>
        <v>0</v>
      </c>
      <c r="AF60" s="1">
        <f ca="1"/>
        <v>0</v>
      </c>
      <c r="AG60" s="1">
        <f ca="1"/>
        <v>0</v>
      </c>
      <c r="AH60" s="1">
        <f ca="1"/>
        <v>0</v>
      </c>
      <c r="AI60" s="1">
        <f ca="1"/>
        <v>0</v>
      </c>
      <c r="AJ60" s="1">
        <f ca="1"/>
        <v>0</v>
      </c>
      <c r="AK60" s="1">
        <f ca="1"/>
        <v>0</v>
      </c>
      <c r="AL60" s="1">
        <f ca="1"/>
        <v>0</v>
      </c>
      <c r="AM60" s="1">
        <f ca="1"/>
        <v>0</v>
      </c>
      <c r="AN60" s="1">
        <f ca="1"/>
        <v>0</v>
      </c>
      <c r="AO60" s="1">
        <f ca="1"/>
        <v>0</v>
      </c>
      <c r="AP60" s="1">
        <f ca="1"/>
        <v>0</v>
      </c>
      <c r="AQ60" s="1">
        <f ca="1"/>
        <v>0</v>
      </c>
      <c r="AR60" s="1">
        <f ca="1"/>
        <v>0</v>
      </c>
      <c r="AS60" s="1">
        <f ca="1"/>
        <v>0</v>
      </c>
      <c r="AT60" s="1">
        <f ca="1"/>
        <v>0</v>
      </c>
      <c r="AU60" s="1">
        <f ca="1"/>
        <v>0</v>
      </c>
      <c r="AV60" s="1">
        <f ca="1"/>
        <v>0</v>
      </c>
      <c r="AW60" s="1">
        <f ca="1"/>
        <v>0</v>
      </c>
      <c r="AX60" s="1">
        <f ca="1"/>
        <v>0</v>
      </c>
      <c r="AY60" s="1">
        <f ca="1"/>
        <v>0</v>
      </c>
      <c r="AZ60" s="1">
        <f ca="1"/>
        <v>0</v>
      </c>
      <c r="BA60" s="1">
        <f ca="1"/>
        <v>0</v>
      </c>
      <c r="BB60" s="1">
        <f ca="1"/>
        <v>0</v>
      </c>
      <c r="BC60" s="1">
        <f ca="1"/>
        <v>0</v>
      </c>
      <c r="BD60" s="1">
        <f ca="1"/>
        <v>0</v>
      </c>
      <c r="BE60" s="1">
        <f ca="1"/>
        <v>0</v>
      </c>
      <c r="BF60" s="1">
        <f ca="1"/>
        <v>0</v>
      </c>
      <c r="BG60" s="1">
        <f ca="1"/>
        <v>0</v>
      </c>
      <c r="BH60" s="1">
        <f ca="1"/>
        <v>0</v>
      </c>
      <c r="BI60" s="1">
        <f ca="1"/>
        <v>0</v>
      </c>
      <c r="BJ60" s="1">
        <f ca="1"/>
        <v>0</v>
      </c>
      <c r="BK60" s="1">
        <f ca="1"/>
        <v>0.28714720139207445</v>
      </c>
      <c r="BL60" s="1">
        <f ca="1"/>
        <v>0.2868951482012308</v>
      </c>
      <c r="BM60" s="1">
        <f ca="1"/>
        <v>0.28664309501038709</v>
      </c>
      <c r="BN60" s="1">
        <f ca="1"/>
        <v>0.28639104181954339</v>
      </c>
      <c r="BO60" s="1">
        <f ca="1"/>
        <v>0.28613898862869974</v>
      </c>
      <c r="BP60" s="1">
        <f ca="1"/>
        <v>0.28588693543785609</v>
      </c>
      <c r="BQ60" s="1">
        <f ca="1"/>
        <v>0.28563488224701239</v>
      </c>
      <c r="BR60" s="1">
        <f ca="1"/>
        <v>0.28538282905616869</v>
      </c>
      <c r="BS60" s="1">
        <f ca="1"/>
        <v>0.28513077586532504</v>
      </c>
      <c r="BT60" s="1">
        <f ca="1"/>
        <v>0.28487872267448133</v>
      </c>
    </row>
    <row r="61" spans="5:72" x14ac:dyDescent="0.2">
      <c r="E61" s="3">
        <v>4.0858333333333337E-2</v>
      </c>
      <c r="F61" s="1">
        <f ca="1"/>
        <v>0.8440851042206855</v>
      </c>
      <c r="G61" s="3">
        <f ca="1"/>
        <v>4.0749501396264876E-2</v>
      </c>
      <c r="H61" s="3">
        <f ca="1"/>
        <v>4.0680469220382313E-2</v>
      </c>
      <c r="I61">
        <v>50</v>
      </c>
      <c r="J61" s="2">
        <v>4.166666666666667</v>
      </c>
      <c r="M61" s="1">
        <f ca="1"/>
        <v>0</v>
      </c>
      <c r="N61" s="1">
        <f ca="1"/>
        <v>0</v>
      </c>
      <c r="O61" s="1">
        <f ca="1"/>
        <v>0</v>
      </c>
      <c r="P61" s="1">
        <f ca="1"/>
        <v>0</v>
      </c>
      <c r="Q61" s="1">
        <f ca="1"/>
        <v>0</v>
      </c>
      <c r="R61" s="1">
        <f ca="1"/>
        <v>0</v>
      </c>
      <c r="S61" s="1">
        <f ca="1"/>
        <v>0</v>
      </c>
      <c r="T61" s="1">
        <f ca="1"/>
        <v>0</v>
      </c>
      <c r="U61" s="1">
        <f ca="1"/>
        <v>0</v>
      </c>
      <c r="V61" s="1">
        <f ca="1"/>
        <v>0</v>
      </c>
      <c r="W61" s="1">
        <f ca="1"/>
        <v>0</v>
      </c>
      <c r="X61" s="1">
        <f ca="1"/>
        <v>0</v>
      </c>
      <c r="Y61" s="1">
        <f ca="1"/>
        <v>0</v>
      </c>
      <c r="Z61" s="1">
        <f ca="1"/>
        <v>0</v>
      </c>
      <c r="AA61" s="1">
        <f ca="1"/>
        <v>0</v>
      </c>
      <c r="AB61" s="1">
        <f ca="1"/>
        <v>0</v>
      </c>
      <c r="AC61" s="1">
        <f ca="1"/>
        <v>0</v>
      </c>
      <c r="AD61" s="1">
        <f ca="1"/>
        <v>0</v>
      </c>
      <c r="AE61" s="1">
        <f ca="1"/>
        <v>0</v>
      </c>
      <c r="AF61" s="1">
        <f ca="1"/>
        <v>0</v>
      </c>
      <c r="AG61" s="1">
        <f ca="1"/>
        <v>0</v>
      </c>
      <c r="AH61" s="1">
        <f ca="1"/>
        <v>0</v>
      </c>
      <c r="AI61" s="1">
        <f ca="1"/>
        <v>0</v>
      </c>
      <c r="AJ61" s="1">
        <f ca="1"/>
        <v>0</v>
      </c>
      <c r="AK61" s="1">
        <f ca="1"/>
        <v>0</v>
      </c>
      <c r="AL61" s="1">
        <f ca="1"/>
        <v>0</v>
      </c>
      <c r="AM61" s="1">
        <f ca="1"/>
        <v>0</v>
      </c>
      <c r="AN61" s="1">
        <f ca="1"/>
        <v>0</v>
      </c>
      <c r="AO61" s="1">
        <f ca="1"/>
        <v>0</v>
      </c>
      <c r="AP61" s="1">
        <f ca="1"/>
        <v>0</v>
      </c>
      <c r="AQ61" s="1">
        <f ca="1"/>
        <v>0</v>
      </c>
      <c r="AR61" s="1">
        <f ca="1"/>
        <v>0</v>
      </c>
      <c r="AS61" s="1">
        <f ca="1"/>
        <v>0</v>
      </c>
      <c r="AT61" s="1">
        <f ca="1"/>
        <v>0</v>
      </c>
      <c r="AU61" s="1">
        <f ca="1"/>
        <v>0</v>
      </c>
      <c r="AV61" s="1">
        <f ca="1"/>
        <v>0</v>
      </c>
      <c r="AW61" s="1">
        <f ca="1"/>
        <v>0</v>
      </c>
      <c r="AX61" s="1">
        <f ca="1"/>
        <v>0</v>
      </c>
      <c r="AY61" s="1">
        <f ca="1"/>
        <v>0</v>
      </c>
      <c r="AZ61" s="1">
        <f ca="1"/>
        <v>0</v>
      </c>
      <c r="BA61" s="1">
        <f ca="1"/>
        <v>0</v>
      </c>
      <c r="BB61" s="1">
        <f ca="1"/>
        <v>0</v>
      </c>
      <c r="BC61" s="1">
        <f ca="1"/>
        <v>0</v>
      </c>
      <c r="BD61" s="1">
        <f ca="1"/>
        <v>0</v>
      </c>
      <c r="BE61" s="1">
        <f ca="1"/>
        <v>0</v>
      </c>
      <c r="BF61" s="1">
        <f ca="1"/>
        <v>0</v>
      </c>
      <c r="BG61" s="1">
        <f ca="1"/>
        <v>0</v>
      </c>
      <c r="BH61" s="1">
        <f ca="1"/>
        <v>0</v>
      </c>
      <c r="BI61" s="1">
        <f ca="1"/>
        <v>0</v>
      </c>
      <c r="BJ61" s="1">
        <f ca="1"/>
        <v>0</v>
      </c>
      <c r="BK61" s="1">
        <f ca="1"/>
        <v>0</v>
      </c>
      <c r="BL61" s="1">
        <f ca="1"/>
        <v>0.28596879436526351</v>
      </c>
      <c r="BM61" s="1">
        <f ca="1"/>
        <v>0.2857175550272914</v>
      </c>
      <c r="BN61" s="1">
        <f ca="1"/>
        <v>0.28546631568931929</v>
      </c>
      <c r="BO61" s="1">
        <f ca="1"/>
        <v>0.28521507635134724</v>
      </c>
      <c r="BP61" s="1">
        <f ca="1"/>
        <v>0.28496383701337513</v>
      </c>
      <c r="BQ61" s="1">
        <f ca="1"/>
        <v>0.28471259767540302</v>
      </c>
      <c r="BR61" s="1">
        <f ca="1"/>
        <v>0.28446135833743086</v>
      </c>
      <c r="BS61" s="1">
        <f ca="1"/>
        <v>0.28421011899945881</v>
      </c>
      <c r="BT61" s="1">
        <f ca="1"/>
        <v>0.2839588796614867</v>
      </c>
    </row>
    <row r="62" spans="5:72" x14ac:dyDescent="0.2">
      <c r="E62" s="3">
        <v>4.0822499999999998E-2</v>
      </c>
      <c r="F62" s="1">
        <f ca="1"/>
        <v>0.8413596434414421</v>
      </c>
      <c r="G62" s="3">
        <f ca="1"/>
        <v>4.0712689427780724E-2</v>
      </c>
      <c r="H62" s="3">
        <f ca="1"/>
        <v>4.0643781778539778E-2</v>
      </c>
      <c r="I62">
        <v>51</v>
      </c>
      <c r="J62" s="2">
        <v>4.25</v>
      </c>
      <c r="M62" s="1">
        <f ca="1"/>
        <v>0</v>
      </c>
      <c r="N62" s="1">
        <f ca="1"/>
        <v>0</v>
      </c>
      <c r="O62" s="1">
        <f ca="1"/>
        <v>0</v>
      </c>
      <c r="P62" s="1">
        <f ca="1"/>
        <v>0</v>
      </c>
      <c r="Q62" s="1">
        <f ca="1"/>
        <v>0</v>
      </c>
      <c r="R62" s="1">
        <f ca="1"/>
        <v>0</v>
      </c>
      <c r="S62" s="1">
        <f ca="1"/>
        <v>0</v>
      </c>
      <c r="T62" s="1">
        <f ca="1"/>
        <v>0</v>
      </c>
      <c r="U62" s="1">
        <f ca="1"/>
        <v>0</v>
      </c>
      <c r="V62" s="1">
        <f ca="1"/>
        <v>0</v>
      </c>
      <c r="W62" s="1">
        <f ca="1"/>
        <v>0</v>
      </c>
      <c r="X62" s="1">
        <f ca="1"/>
        <v>0</v>
      </c>
      <c r="Y62" s="1">
        <f ca="1"/>
        <v>0</v>
      </c>
      <c r="Z62" s="1">
        <f ca="1"/>
        <v>0</v>
      </c>
      <c r="AA62" s="1">
        <f ca="1"/>
        <v>0</v>
      </c>
      <c r="AB62" s="1">
        <f ca="1"/>
        <v>0</v>
      </c>
      <c r="AC62" s="1">
        <f ca="1"/>
        <v>0</v>
      </c>
      <c r="AD62" s="1">
        <f ca="1"/>
        <v>0</v>
      </c>
      <c r="AE62" s="1">
        <f ca="1"/>
        <v>0</v>
      </c>
      <c r="AF62" s="1">
        <f ca="1"/>
        <v>0</v>
      </c>
      <c r="AG62" s="1">
        <f ca="1"/>
        <v>0</v>
      </c>
      <c r="AH62" s="1">
        <f ca="1"/>
        <v>0</v>
      </c>
      <c r="AI62" s="1">
        <f ca="1"/>
        <v>0</v>
      </c>
      <c r="AJ62" s="1">
        <f ca="1"/>
        <v>0</v>
      </c>
      <c r="AK62" s="1">
        <f ca="1"/>
        <v>0</v>
      </c>
      <c r="AL62" s="1">
        <f ca="1"/>
        <v>0</v>
      </c>
      <c r="AM62" s="1">
        <f ca="1"/>
        <v>0</v>
      </c>
      <c r="AN62" s="1">
        <f ca="1"/>
        <v>0</v>
      </c>
      <c r="AO62" s="1">
        <f ca="1"/>
        <v>0</v>
      </c>
      <c r="AP62" s="1">
        <f ca="1"/>
        <v>0</v>
      </c>
      <c r="AQ62" s="1">
        <f ca="1"/>
        <v>0</v>
      </c>
      <c r="AR62" s="1">
        <f ca="1"/>
        <v>0</v>
      </c>
      <c r="AS62" s="1">
        <f ca="1"/>
        <v>0</v>
      </c>
      <c r="AT62" s="1">
        <f ca="1"/>
        <v>0</v>
      </c>
      <c r="AU62" s="1">
        <f ca="1"/>
        <v>0</v>
      </c>
      <c r="AV62" s="1">
        <f ca="1"/>
        <v>0</v>
      </c>
      <c r="AW62" s="1">
        <f ca="1"/>
        <v>0</v>
      </c>
      <c r="AX62" s="1">
        <f ca="1"/>
        <v>0</v>
      </c>
      <c r="AY62" s="1">
        <f ca="1"/>
        <v>0</v>
      </c>
      <c r="AZ62" s="1">
        <f ca="1"/>
        <v>0</v>
      </c>
      <c r="BA62" s="1">
        <f ca="1"/>
        <v>0</v>
      </c>
      <c r="BB62" s="1">
        <f ca="1"/>
        <v>0</v>
      </c>
      <c r="BC62" s="1">
        <f ca="1"/>
        <v>0</v>
      </c>
      <c r="BD62" s="1">
        <f ca="1"/>
        <v>0</v>
      </c>
      <c r="BE62" s="1">
        <f ca="1"/>
        <v>0</v>
      </c>
      <c r="BF62" s="1">
        <f ca="1"/>
        <v>0</v>
      </c>
      <c r="BG62" s="1">
        <f ca="1"/>
        <v>0</v>
      </c>
      <c r="BH62" s="1">
        <f ca="1"/>
        <v>0</v>
      </c>
      <c r="BI62" s="1">
        <f ca="1"/>
        <v>0</v>
      </c>
      <c r="BJ62" s="1">
        <f ca="1"/>
        <v>0</v>
      </c>
      <c r="BK62" s="1">
        <f ca="1"/>
        <v>0</v>
      </c>
      <c r="BL62" s="1">
        <f ca="1"/>
        <v>0</v>
      </c>
      <c r="BM62" s="1">
        <f ca="1"/>
        <v>0.28479685078435191</v>
      </c>
      <c r="BN62" s="1">
        <f ca="1"/>
        <v>0.28454642104705147</v>
      </c>
      <c r="BO62" s="1">
        <f ca="1"/>
        <v>0.28429599130975108</v>
      </c>
      <c r="BP62" s="1">
        <f ca="1"/>
        <v>0.2840455615724507</v>
      </c>
      <c r="BQ62" s="1">
        <f ca="1"/>
        <v>0.28379513183515026</v>
      </c>
      <c r="BR62" s="1">
        <f ca="1"/>
        <v>0.28354470209784982</v>
      </c>
      <c r="BS62" s="1">
        <f ca="1"/>
        <v>0.28329427236054944</v>
      </c>
      <c r="BT62" s="1">
        <f ca="1"/>
        <v>0.283043842623249</v>
      </c>
    </row>
    <row r="63" spans="5:72" x14ac:dyDescent="0.2">
      <c r="E63" s="3">
        <v>4.0786666666666666E-2</v>
      </c>
      <c r="F63" s="1">
        <f ca="1"/>
        <v>0.83864842258740457</v>
      </c>
      <c r="G63" s="3">
        <f ca="1"/>
        <v>4.0675791499332092E-2</v>
      </c>
      <c r="H63" s="3">
        <f ca="1"/>
        <v>4.0607008554956844E-2</v>
      </c>
      <c r="I63">
        <v>52</v>
      </c>
      <c r="J63" s="2">
        <v>4.333333333333333</v>
      </c>
      <c r="M63" s="1">
        <f ca="1"/>
        <v>0</v>
      </c>
      <c r="N63" s="1">
        <f ca="1"/>
        <v>0</v>
      </c>
      <c r="O63" s="1">
        <f ca="1"/>
        <v>0</v>
      </c>
      <c r="P63" s="1">
        <f ca="1"/>
        <v>0</v>
      </c>
      <c r="Q63" s="1">
        <f ca="1"/>
        <v>0</v>
      </c>
      <c r="R63" s="1">
        <f ca="1"/>
        <v>0</v>
      </c>
      <c r="S63" s="1">
        <f ca="1"/>
        <v>0</v>
      </c>
      <c r="T63" s="1">
        <f ca="1"/>
        <v>0</v>
      </c>
      <c r="U63" s="1">
        <f ca="1"/>
        <v>0</v>
      </c>
      <c r="V63" s="1">
        <f ca="1"/>
        <v>0</v>
      </c>
      <c r="W63" s="1">
        <f ca="1"/>
        <v>0</v>
      </c>
      <c r="X63" s="1">
        <f ca="1"/>
        <v>0</v>
      </c>
      <c r="Y63" s="1">
        <f ca="1"/>
        <v>0</v>
      </c>
      <c r="Z63" s="1">
        <f ca="1"/>
        <v>0</v>
      </c>
      <c r="AA63" s="1">
        <f ca="1"/>
        <v>0</v>
      </c>
      <c r="AB63" s="1">
        <f ca="1"/>
        <v>0</v>
      </c>
      <c r="AC63" s="1">
        <f ca="1"/>
        <v>0</v>
      </c>
      <c r="AD63" s="1">
        <f ca="1"/>
        <v>0</v>
      </c>
      <c r="AE63" s="1">
        <f ca="1"/>
        <v>0</v>
      </c>
      <c r="AF63" s="1">
        <f ca="1"/>
        <v>0</v>
      </c>
      <c r="AG63" s="1">
        <f ca="1"/>
        <v>0</v>
      </c>
      <c r="AH63" s="1">
        <f ca="1"/>
        <v>0</v>
      </c>
      <c r="AI63" s="1">
        <f ca="1"/>
        <v>0</v>
      </c>
      <c r="AJ63" s="1">
        <f ca="1"/>
        <v>0</v>
      </c>
      <c r="AK63" s="1">
        <f ca="1"/>
        <v>0</v>
      </c>
      <c r="AL63" s="1">
        <f ca="1"/>
        <v>0</v>
      </c>
      <c r="AM63" s="1">
        <f ca="1"/>
        <v>0</v>
      </c>
      <c r="AN63" s="1">
        <f ca="1"/>
        <v>0</v>
      </c>
      <c r="AO63" s="1">
        <f ca="1"/>
        <v>0</v>
      </c>
      <c r="AP63" s="1">
        <f ca="1"/>
        <v>0</v>
      </c>
      <c r="AQ63" s="1">
        <f ca="1"/>
        <v>0</v>
      </c>
      <c r="AR63" s="1">
        <f ca="1"/>
        <v>0</v>
      </c>
      <c r="AS63" s="1">
        <f ca="1"/>
        <v>0</v>
      </c>
      <c r="AT63" s="1">
        <f ca="1"/>
        <v>0</v>
      </c>
      <c r="AU63" s="1">
        <f ca="1"/>
        <v>0</v>
      </c>
      <c r="AV63" s="1">
        <f ca="1"/>
        <v>0</v>
      </c>
      <c r="AW63" s="1">
        <f ca="1"/>
        <v>0</v>
      </c>
      <c r="AX63" s="1">
        <f ca="1"/>
        <v>0</v>
      </c>
      <c r="AY63" s="1">
        <f ca="1"/>
        <v>0</v>
      </c>
      <c r="AZ63" s="1">
        <f ca="1"/>
        <v>0</v>
      </c>
      <c r="BA63" s="1">
        <f ca="1"/>
        <v>0</v>
      </c>
      <c r="BB63" s="1">
        <f ca="1"/>
        <v>0</v>
      </c>
      <c r="BC63" s="1">
        <f ca="1"/>
        <v>0</v>
      </c>
      <c r="BD63" s="1">
        <f ca="1"/>
        <v>0</v>
      </c>
      <c r="BE63" s="1">
        <f ca="1"/>
        <v>0</v>
      </c>
      <c r="BF63" s="1">
        <f ca="1"/>
        <v>0</v>
      </c>
      <c r="BG63" s="1">
        <f ca="1"/>
        <v>0</v>
      </c>
      <c r="BH63" s="1">
        <f ca="1"/>
        <v>0</v>
      </c>
      <c r="BI63" s="1">
        <f ca="1"/>
        <v>0</v>
      </c>
      <c r="BJ63" s="1">
        <f ca="1"/>
        <v>0</v>
      </c>
      <c r="BK63" s="1">
        <f ca="1"/>
        <v>0</v>
      </c>
      <c r="BL63" s="1">
        <f ca="1"/>
        <v>0</v>
      </c>
      <c r="BM63" s="1">
        <f ca="1"/>
        <v>0</v>
      </c>
      <c r="BN63" s="1">
        <f ca="1"/>
        <v>0.28363133332816398</v>
      </c>
      <c r="BO63" s="1">
        <f ca="1"/>
        <v>0.28338170896095471</v>
      </c>
      <c r="BP63" s="1">
        <f ca="1"/>
        <v>0.28313208459374545</v>
      </c>
      <c r="BQ63" s="1">
        <f ca="1"/>
        <v>0.28288246022653613</v>
      </c>
      <c r="BR63" s="1">
        <f ca="1"/>
        <v>0.2826328358593268</v>
      </c>
      <c r="BS63" s="1">
        <f ca="1"/>
        <v>0.28238321149211754</v>
      </c>
      <c r="BT63" s="1">
        <f ca="1"/>
        <v>0.28213358712490827</v>
      </c>
    </row>
    <row r="64" spans="5:72" x14ac:dyDescent="0.2">
      <c r="E64" s="3">
        <v>4.0750833333333333E-2</v>
      </c>
      <c r="F64" s="1">
        <f ca="1"/>
        <v>0.8359513692589875</v>
      </c>
      <c r="G64" s="3">
        <f ca="1"/>
        <v>4.063881014585391E-2</v>
      </c>
      <c r="H64" s="3">
        <f ca="1"/>
        <v>4.0570152075227912E-2</v>
      </c>
      <c r="I64">
        <v>53</v>
      </c>
      <c r="J64" s="2">
        <v>4.416666666666667</v>
      </c>
      <c r="M64" s="1">
        <f ca="1"/>
        <v>0</v>
      </c>
      <c r="N64" s="1">
        <f ca="1"/>
        <v>0</v>
      </c>
      <c r="O64" s="1">
        <f ca="1"/>
        <v>0</v>
      </c>
      <c r="P64" s="1">
        <f ca="1"/>
        <v>0</v>
      </c>
      <c r="Q64" s="1">
        <f ca="1"/>
        <v>0</v>
      </c>
      <c r="R64" s="1">
        <f ca="1"/>
        <v>0</v>
      </c>
      <c r="S64" s="1">
        <f ca="1"/>
        <v>0</v>
      </c>
      <c r="T64" s="1">
        <f ca="1"/>
        <v>0</v>
      </c>
      <c r="U64" s="1">
        <f ca="1"/>
        <v>0</v>
      </c>
      <c r="V64" s="1">
        <f ca="1"/>
        <v>0</v>
      </c>
      <c r="W64" s="1">
        <f ca="1"/>
        <v>0</v>
      </c>
      <c r="X64" s="1">
        <f ca="1"/>
        <v>0</v>
      </c>
      <c r="Y64" s="1">
        <f ca="1"/>
        <v>0</v>
      </c>
      <c r="Z64" s="1">
        <f ca="1"/>
        <v>0</v>
      </c>
      <c r="AA64" s="1">
        <f ca="1"/>
        <v>0</v>
      </c>
      <c r="AB64" s="1">
        <f ca="1"/>
        <v>0</v>
      </c>
      <c r="AC64" s="1">
        <f ca="1"/>
        <v>0</v>
      </c>
      <c r="AD64" s="1">
        <f ca="1"/>
        <v>0</v>
      </c>
      <c r="AE64" s="1">
        <f ca="1"/>
        <v>0</v>
      </c>
      <c r="AF64" s="1">
        <f ca="1"/>
        <v>0</v>
      </c>
      <c r="AG64" s="1">
        <f ca="1"/>
        <v>0</v>
      </c>
      <c r="AH64" s="1">
        <f ca="1"/>
        <v>0</v>
      </c>
      <c r="AI64" s="1">
        <f ca="1"/>
        <v>0</v>
      </c>
      <c r="AJ64" s="1">
        <f ca="1"/>
        <v>0</v>
      </c>
      <c r="AK64" s="1">
        <f ca="1"/>
        <v>0</v>
      </c>
      <c r="AL64" s="1">
        <f ca="1"/>
        <v>0</v>
      </c>
      <c r="AM64" s="1">
        <f ca="1"/>
        <v>0</v>
      </c>
      <c r="AN64" s="1">
        <f ca="1"/>
        <v>0</v>
      </c>
      <c r="AO64" s="1">
        <f ca="1"/>
        <v>0</v>
      </c>
      <c r="AP64" s="1">
        <f ca="1"/>
        <v>0</v>
      </c>
      <c r="AQ64" s="1">
        <f ca="1"/>
        <v>0</v>
      </c>
      <c r="AR64" s="1">
        <f ca="1"/>
        <v>0</v>
      </c>
      <c r="AS64" s="1">
        <f ca="1"/>
        <v>0</v>
      </c>
      <c r="AT64" s="1">
        <f ca="1"/>
        <v>0</v>
      </c>
      <c r="AU64" s="1">
        <f ca="1"/>
        <v>0</v>
      </c>
      <c r="AV64" s="1">
        <f ca="1"/>
        <v>0</v>
      </c>
      <c r="AW64" s="1">
        <f ca="1"/>
        <v>0</v>
      </c>
      <c r="AX64" s="1">
        <f ca="1"/>
        <v>0</v>
      </c>
      <c r="AY64" s="1">
        <f ca="1"/>
        <v>0</v>
      </c>
      <c r="AZ64" s="1">
        <f ca="1"/>
        <v>0</v>
      </c>
      <c r="BA64" s="1">
        <f ca="1"/>
        <v>0</v>
      </c>
      <c r="BB64" s="1">
        <f ca="1"/>
        <v>0</v>
      </c>
      <c r="BC64" s="1">
        <f ca="1"/>
        <v>0</v>
      </c>
      <c r="BD64" s="1">
        <f ca="1"/>
        <v>0</v>
      </c>
      <c r="BE64" s="1">
        <f ca="1"/>
        <v>0</v>
      </c>
      <c r="BF64" s="1">
        <f ca="1"/>
        <v>0</v>
      </c>
      <c r="BG64" s="1">
        <f ca="1"/>
        <v>0</v>
      </c>
      <c r="BH64" s="1">
        <f ca="1"/>
        <v>0</v>
      </c>
      <c r="BI64" s="1">
        <f ca="1"/>
        <v>0</v>
      </c>
      <c r="BJ64" s="1">
        <f ca="1"/>
        <v>0</v>
      </c>
      <c r="BK64" s="1">
        <f ca="1"/>
        <v>0</v>
      </c>
      <c r="BL64" s="1">
        <f ca="1"/>
        <v>0</v>
      </c>
      <c r="BM64" s="1">
        <f ca="1"/>
        <v>0</v>
      </c>
      <c r="BN64" s="1">
        <f ca="1"/>
        <v>0</v>
      </c>
      <c r="BO64" s="1">
        <f ca="1"/>
        <v>0.28247220490218178</v>
      </c>
      <c r="BP64" s="1">
        <f ca="1"/>
        <v>0.28222338169597888</v>
      </c>
      <c r="BQ64" s="1">
        <f ca="1"/>
        <v>0.28197455848977598</v>
      </c>
      <c r="BR64" s="1">
        <f ca="1"/>
        <v>0.28172573528357303</v>
      </c>
      <c r="BS64" s="1">
        <f ca="1"/>
        <v>0.28147691207737019</v>
      </c>
      <c r="BT64" s="1">
        <f ca="1"/>
        <v>0.28122808887116729</v>
      </c>
    </row>
    <row r="65" spans="5:72" x14ac:dyDescent="0.2">
      <c r="E65" s="3">
        <v>4.0715000000000001E-2</v>
      </c>
      <c r="F65" s="1">
        <f ca="1"/>
        <v>0.83326841147012543</v>
      </c>
      <c r="G65" s="3">
        <f ca="1"/>
        <v>4.060174771772207E-2</v>
      </c>
      <c r="H65" s="3">
        <f ca="1"/>
        <v>4.0533214681033901E-2</v>
      </c>
      <c r="I65">
        <v>54</v>
      </c>
      <c r="J65" s="2">
        <v>4.5</v>
      </c>
      <c r="M65" s="1">
        <f ca="1"/>
        <v>0</v>
      </c>
      <c r="N65" s="1">
        <f ca="1"/>
        <v>0</v>
      </c>
      <c r="O65" s="1">
        <f ca="1"/>
        <v>0</v>
      </c>
      <c r="P65" s="1">
        <f ca="1"/>
        <v>0</v>
      </c>
      <c r="Q65" s="1">
        <f ca="1"/>
        <v>0</v>
      </c>
      <c r="R65" s="1">
        <f ca="1"/>
        <v>0</v>
      </c>
      <c r="S65" s="1">
        <f ca="1"/>
        <v>0</v>
      </c>
      <c r="T65" s="1">
        <f ca="1"/>
        <v>0</v>
      </c>
      <c r="U65" s="1">
        <f ca="1"/>
        <v>0</v>
      </c>
      <c r="V65" s="1">
        <f ca="1"/>
        <v>0</v>
      </c>
      <c r="W65" s="1">
        <f ca="1"/>
        <v>0</v>
      </c>
      <c r="X65" s="1">
        <f ca="1"/>
        <v>0</v>
      </c>
      <c r="Y65" s="1">
        <f ca="1"/>
        <v>0</v>
      </c>
      <c r="Z65" s="1">
        <f ca="1"/>
        <v>0</v>
      </c>
      <c r="AA65" s="1">
        <f ca="1"/>
        <v>0</v>
      </c>
      <c r="AB65" s="1">
        <f ca="1"/>
        <v>0</v>
      </c>
      <c r="AC65" s="1">
        <f ca="1"/>
        <v>0</v>
      </c>
      <c r="AD65" s="1">
        <f ca="1"/>
        <v>0</v>
      </c>
      <c r="AE65" s="1">
        <f ca="1"/>
        <v>0</v>
      </c>
      <c r="AF65" s="1">
        <f ca="1"/>
        <v>0</v>
      </c>
      <c r="AG65" s="1">
        <f ca="1"/>
        <v>0</v>
      </c>
      <c r="AH65" s="1">
        <f ca="1"/>
        <v>0</v>
      </c>
      <c r="AI65" s="1">
        <f ca="1"/>
        <v>0</v>
      </c>
      <c r="AJ65" s="1">
        <f ca="1"/>
        <v>0</v>
      </c>
      <c r="AK65" s="1">
        <f ca="1"/>
        <v>0</v>
      </c>
      <c r="AL65" s="1">
        <f ca="1"/>
        <v>0</v>
      </c>
      <c r="AM65" s="1">
        <f ca="1"/>
        <v>0</v>
      </c>
      <c r="AN65" s="1">
        <f ca="1"/>
        <v>0</v>
      </c>
      <c r="AO65" s="1">
        <f ca="1"/>
        <v>0</v>
      </c>
      <c r="AP65" s="1">
        <f ca="1"/>
        <v>0</v>
      </c>
      <c r="AQ65" s="1">
        <f ca="1"/>
        <v>0</v>
      </c>
      <c r="AR65" s="1">
        <f ca="1"/>
        <v>0</v>
      </c>
      <c r="AS65" s="1">
        <f ca="1"/>
        <v>0</v>
      </c>
      <c r="AT65" s="1">
        <f ca="1"/>
        <v>0</v>
      </c>
      <c r="AU65" s="1">
        <f ca="1"/>
        <v>0</v>
      </c>
      <c r="AV65" s="1">
        <f ca="1"/>
        <v>0</v>
      </c>
      <c r="AW65" s="1">
        <f ca="1"/>
        <v>0</v>
      </c>
      <c r="AX65" s="1">
        <f ca="1"/>
        <v>0</v>
      </c>
      <c r="AY65" s="1">
        <f ca="1"/>
        <v>0</v>
      </c>
      <c r="AZ65" s="1">
        <f ca="1"/>
        <v>0</v>
      </c>
      <c r="BA65" s="1">
        <f ca="1"/>
        <v>0</v>
      </c>
      <c r="BB65" s="1">
        <f ca="1"/>
        <v>0</v>
      </c>
      <c r="BC65" s="1">
        <f ca="1"/>
        <v>0</v>
      </c>
      <c r="BD65" s="1">
        <f ca="1"/>
        <v>0</v>
      </c>
      <c r="BE65" s="1">
        <f ca="1"/>
        <v>0</v>
      </c>
      <c r="BF65" s="1">
        <f ca="1"/>
        <v>0</v>
      </c>
      <c r="BG65" s="1">
        <f ca="1"/>
        <v>0</v>
      </c>
      <c r="BH65" s="1">
        <f ca="1"/>
        <v>0</v>
      </c>
      <c r="BI65" s="1">
        <f ca="1"/>
        <v>0</v>
      </c>
      <c r="BJ65" s="1">
        <f ca="1"/>
        <v>0</v>
      </c>
      <c r="BK65" s="1">
        <f ca="1"/>
        <v>0</v>
      </c>
      <c r="BL65" s="1">
        <f ca="1"/>
        <v>0</v>
      </c>
      <c r="BM65" s="1">
        <f ca="1"/>
        <v>0</v>
      </c>
      <c r="BN65" s="1">
        <f ca="1"/>
        <v>0</v>
      </c>
      <c r="BO65" s="1">
        <f ca="1"/>
        <v>0</v>
      </c>
      <c r="BP65" s="1">
        <f ca="1"/>
        <v>0.28131942863705539</v>
      </c>
      <c r="BQ65" s="1">
        <f ca="1"/>
        <v>0.28107140240414724</v>
      </c>
      <c r="BR65" s="1">
        <f ca="1"/>
        <v>0.28082337617123909</v>
      </c>
      <c r="BS65" s="1">
        <f ca="1"/>
        <v>0.28057534993833105</v>
      </c>
      <c r="BT65" s="1">
        <f ca="1"/>
        <v>0.28032732370542296</v>
      </c>
    </row>
    <row r="66" spans="5:72" x14ac:dyDescent="0.2">
      <c r="E66" s="3">
        <v>4.0679166666666669E-2</v>
      </c>
      <c r="F66" s="1">
        <f ca="1"/>
        <v>0.83059947764569775</v>
      </c>
      <c r="G66" s="3">
        <f ca="1"/>
        <v>4.0564606397627934E-2</v>
      </c>
      <c r="H66" s="3">
        <f ca="1"/>
        <v>4.0496198546966553E-2</v>
      </c>
      <c r="I66">
        <v>55</v>
      </c>
      <c r="J66" s="2">
        <v>4.583333333333333</v>
      </c>
      <c r="M66" s="1">
        <f ca="1"/>
        <v>0</v>
      </c>
      <c r="N66" s="1">
        <f ca="1"/>
        <v>0</v>
      </c>
      <c r="O66" s="1">
        <f ca="1"/>
        <v>0</v>
      </c>
      <c r="P66" s="1">
        <f ca="1"/>
        <v>0</v>
      </c>
      <c r="Q66" s="1">
        <f ca="1"/>
        <v>0</v>
      </c>
      <c r="R66" s="1">
        <f ca="1"/>
        <v>0</v>
      </c>
      <c r="S66" s="1">
        <f ca="1"/>
        <v>0</v>
      </c>
      <c r="T66" s="1">
        <f ca="1"/>
        <v>0</v>
      </c>
      <c r="U66" s="1">
        <f ca="1"/>
        <v>0</v>
      </c>
      <c r="V66" s="1">
        <f ca="1"/>
        <v>0</v>
      </c>
      <c r="W66" s="1">
        <f ca="1"/>
        <v>0</v>
      </c>
      <c r="X66" s="1">
        <f ca="1"/>
        <v>0</v>
      </c>
      <c r="Y66" s="1">
        <f ca="1"/>
        <v>0</v>
      </c>
      <c r="Z66" s="1">
        <f ca="1"/>
        <v>0</v>
      </c>
      <c r="AA66" s="1">
        <f ca="1"/>
        <v>0</v>
      </c>
      <c r="AB66" s="1">
        <f ca="1"/>
        <v>0</v>
      </c>
      <c r="AC66" s="1">
        <f ca="1"/>
        <v>0</v>
      </c>
      <c r="AD66" s="1">
        <f ca="1"/>
        <v>0</v>
      </c>
      <c r="AE66" s="1">
        <f ca="1"/>
        <v>0</v>
      </c>
      <c r="AF66" s="1">
        <f ca="1"/>
        <v>0</v>
      </c>
      <c r="AG66" s="1">
        <f ca="1"/>
        <v>0</v>
      </c>
      <c r="AH66" s="1">
        <f ca="1"/>
        <v>0</v>
      </c>
      <c r="AI66" s="1">
        <f ca="1"/>
        <v>0</v>
      </c>
      <c r="AJ66" s="1">
        <f ca="1"/>
        <v>0</v>
      </c>
      <c r="AK66" s="1">
        <f ca="1"/>
        <v>0</v>
      </c>
      <c r="AL66" s="1">
        <f ca="1"/>
        <v>0</v>
      </c>
      <c r="AM66" s="1">
        <f ca="1"/>
        <v>0</v>
      </c>
      <c r="AN66" s="1">
        <f ca="1"/>
        <v>0</v>
      </c>
      <c r="AO66" s="1">
        <f ca="1"/>
        <v>0</v>
      </c>
      <c r="AP66" s="1">
        <f ca="1"/>
        <v>0</v>
      </c>
      <c r="AQ66" s="1">
        <f ca="1"/>
        <v>0</v>
      </c>
      <c r="AR66" s="1">
        <f ca="1"/>
        <v>0</v>
      </c>
      <c r="AS66" s="1">
        <f ca="1"/>
        <v>0</v>
      </c>
      <c r="AT66" s="1">
        <f ca="1"/>
        <v>0</v>
      </c>
      <c r="AU66" s="1">
        <f ca="1"/>
        <v>0</v>
      </c>
      <c r="AV66" s="1">
        <f ca="1"/>
        <v>0</v>
      </c>
      <c r="AW66" s="1">
        <f ca="1"/>
        <v>0</v>
      </c>
      <c r="AX66" s="1">
        <f ca="1"/>
        <v>0</v>
      </c>
      <c r="AY66" s="1">
        <f ca="1"/>
        <v>0</v>
      </c>
      <c r="AZ66" s="1">
        <f ca="1"/>
        <v>0</v>
      </c>
      <c r="BA66" s="1">
        <f ca="1"/>
        <v>0</v>
      </c>
      <c r="BB66" s="1">
        <f ca="1"/>
        <v>0</v>
      </c>
      <c r="BC66" s="1">
        <f ca="1"/>
        <v>0</v>
      </c>
      <c r="BD66" s="1">
        <f ca="1"/>
        <v>0</v>
      </c>
      <c r="BE66" s="1">
        <f ca="1"/>
        <v>0</v>
      </c>
      <c r="BF66" s="1">
        <f ca="1"/>
        <v>0</v>
      </c>
      <c r="BG66" s="1">
        <f ca="1"/>
        <v>0</v>
      </c>
      <c r="BH66" s="1">
        <f ca="1"/>
        <v>0</v>
      </c>
      <c r="BI66" s="1">
        <f ca="1"/>
        <v>0</v>
      </c>
      <c r="BJ66" s="1">
        <f ca="1"/>
        <v>0</v>
      </c>
      <c r="BK66" s="1">
        <f ca="1"/>
        <v>0</v>
      </c>
      <c r="BL66" s="1">
        <f ca="1"/>
        <v>0</v>
      </c>
      <c r="BM66" s="1">
        <f ca="1"/>
        <v>0</v>
      </c>
      <c r="BN66" s="1">
        <f ca="1"/>
        <v>0</v>
      </c>
      <c r="BO66" s="1">
        <f ca="1"/>
        <v>0</v>
      </c>
      <c r="BP66" s="1">
        <f ca="1"/>
        <v>0</v>
      </c>
      <c r="BQ66" s="1">
        <f ca="1"/>
        <v>0.28017296788719437</v>
      </c>
      <c r="BR66" s="1">
        <f ca="1"/>
        <v>0.27992573446112057</v>
      </c>
      <c r="BS66" s="1">
        <f ca="1"/>
        <v>0.27967850103504682</v>
      </c>
      <c r="BT66" s="1">
        <f ca="1"/>
        <v>0.27943126760897302</v>
      </c>
    </row>
    <row r="67" spans="5:72" x14ac:dyDescent="0.2">
      <c r="E67" s="3">
        <v>4.0643333333333337E-2</v>
      </c>
      <c r="F67" s="1">
        <f ca="1"/>
        <v>0.82794449661917935</v>
      </c>
      <c r="G67" s="3">
        <f ca="1"/>
        <v>4.0527388215603644E-2</v>
      </c>
      <c r="H67" s="3">
        <f ca="1"/>
        <v>4.045910569549669E-2</v>
      </c>
      <c r="I67">
        <v>56</v>
      </c>
      <c r="J67" s="2">
        <v>4.666666666666667</v>
      </c>
      <c r="M67" s="1">
        <f ca="1"/>
        <v>0</v>
      </c>
      <c r="N67" s="1">
        <f ca="1"/>
        <v>0</v>
      </c>
      <c r="O67" s="1">
        <f ca="1"/>
        <v>0</v>
      </c>
      <c r="P67" s="1">
        <f ca="1"/>
        <v>0</v>
      </c>
      <c r="Q67" s="1">
        <f ca="1"/>
        <v>0</v>
      </c>
      <c r="R67" s="1">
        <f ca="1"/>
        <v>0</v>
      </c>
      <c r="S67" s="1">
        <f ca="1"/>
        <v>0</v>
      </c>
      <c r="T67" s="1">
        <f ca="1"/>
        <v>0</v>
      </c>
      <c r="U67" s="1">
        <f ca="1"/>
        <v>0</v>
      </c>
      <c r="V67" s="1">
        <f ca="1"/>
        <v>0</v>
      </c>
      <c r="W67" s="1">
        <f ca="1"/>
        <v>0</v>
      </c>
      <c r="X67" s="1">
        <f ca="1"/>
        <v>0</v>
      </c>
      <c r="Y67" s="1">
        <f ca="1"/>
        <v>0</v>
      </c>
      <c r="Z67" s="1">
        <f ca="1"/>
        <v>0</v>
      </c>
      <c r="AA67" s="1">
        <f ca="1"/>
        <v>0</v>
      </c>
      <c r="AB67" s="1">
        <f ca="1"/>
        <v>0</v>
      </c>
      <c r="AC67" s="1">
        <f ca="1"/>
        <v>0</v>
      </c>
      <c r="AD67" s="1">
        <f ca="1"/>
        <v>0</v>
      </c>
      <c r="AE67" s="1">
        <f ca="1"/>
        <v>0</v>
      </c>
      <c r="AF67" s="1">
        <f ca="1"/>
        <v>0</v>
      </c>
      <c r="AG67" s="1">
        <f ca="1"/>
        <v>0</v>
      </c>
      <c r="AH67" s="1">
        <f ca="1"/>
        <v>0</v>
      </c>
      <c r="AI67" s="1">
        <f ca="1"/>
        <v>0</v>
      </c>
      <c r="AJ67" s="1">
        <f ca="1"/>
        <v>0</v>
      </c>
      <c r="AK67" s="1">
        <f ca="1"/>
        <v>0</v>
      </c>
      <c r="AL67" s="1">
        <f ca="1"/>
        <v>0</v>
      </c>
      <c r="AM67" s="1">
        <f ca="1"/>
        <v>0</v>
      </c>
      <c r="AN67" s="1">
        <f ca="1"/>
        <v>0</v>
      </c>
      <c r="AO67" s="1">
        <f ca="1"/>
        <v>0</v>
      </c>
      <c r="AP67" s="1">
        <f ca="1"/>
        <v>0</v>
      </c>
      <c r="AQ67" s="1">
        <f ca="1"/>
        <v>0</v>
      </c>
      <c r="AR67" s="1">
        <f ca="1"/>
        <v>0</v>
      </c>
      <c r="AS67" s="1">
        <f ca="1"/>
        <v>0</v>
      </c>
      <c r="AT67" s="1">
        <f ca="1"/>
        <v>0</v>
      </c>
      <c r="AU67" s="1">
        <f ca="1"/>
        <v>0</v>
      </c>
      <c r="AV67" s="1">
        <f ca="1"/>
        <v>0</v>
      </c>
      <c r="AW67" s="1">
        <f ca="1"/>
        <v>0</v>
      </c>
      <c r="AX67" s="1">
        <f ca="1"/>
        <v>0</v>
      </c>
      <c r="AY67" s="1">
        <f ca="1"/>
        <v>0</v>
      </c>
      <c r="AZ67" s="1">
        <f ca="1"/>
        <v>0</v>
      </c>
      <c r="BA67" s="1">
        <f ca="1"/>
        <v>0</v>
      </c>
      <c r="BB67" s="1">
        <f ca="1"/>
        <v>0</v>
      </c>
      <c r="BC67" s="1">
        <f ca="1"/>
        <v>0</v>
      </c>
      <c r="BD67" s="1">
        <f ca="1"/>
        <v>0</v>
      </c>
      <c r="BE67" s="1">
        <f ca="1"/>
        <v>0</v>
      </c>
      <c r="BF67" s="1">
        <f ca="1"/>
        <v>0</v>
      </c>
      <c r="BG67" s="1">
        <f ca="1"/>
        <v>0</v>
      </c>
      <c r="BH67" s="1">
        <f ca="1"/>
        <v>0</v>
      </c>
      <c r="BI67" s="1">
        <f ca="1"/>
        <v>0</v>
      </c>
      <c r="BJ67" s="1">
        <f ca="1"/>
        <v>0</v>
      </c>
      <c r="BK67" s="1">
        <f ca="1"/>
        <v>0</v>
      </c>
      <c r="BL67" s="1">
        <f ca="1"/>
        <v>0</v>
      </c>
      <c r="BM67" s="1">
        <f ca="1"/>
        <v>0</v>
      </c>
      <c r="BN67" s="1">
        <f ca="1"/>
        <v>0</v>
      </c>
      <c r="BO67" s="1">
        <f ca="1"/>
        <v>0</v>
      </c>
      <c r="BP67" s="1">
        <f ca="1"/>
        <v>0</v>
      </c>
      <c r="BQ67" s="1">
        <f ca="1"/>
        <v>0</v>
      </c>
      <c r="BR67" s="1">
        <f ca="1"/>
        <v>0.27903278622930039</v>
      </c>
      <c r="BS67" s="1">
        <f ca="1"/>
        <v>0.2787863414647303</v>
      </c>
      <c r="BT67" s="1">
        <f ca="1"/>
        <v>0.27853989670016022</v>
      </c>
    </row>
    <row r="68" spans="5:72" x14ac:dyDescent="0.2">
      <c r="E68" s="3">
        <v>4.0607500000000005E-2</v>
      </c>
      <c r="F68" s="1">
        <f ca="1"/>
        <v>0.82530339763010441</v>
      </c>
      <c r="G68" s="3">
        <f ca="1"/>
        <v>4.0490095062512665E-2</v>
      </c>
      <c r="H68" s="3">
        <f ca="1"/>
        <v>4.0421938010418067E-2</v>
      </c>
      <c r="I68">
        <v>57</v>
      </c>
      <c r="J68" s="2">
        <v>4.75</v>
      </c>
      <c r="M68" s="1">
        <f ca="1"/>
        <v>0</v>
      </c>
      <c r="N68" s="1">
        <f ca="1"/>
        <v>0</v>
      </c>
      <c r="O68" s="1">
        <f ca="1"/>
        <v>0</v>
      </c>
      <c r="P68" s="1">
        <f ca="1"/>
        <v>0</v>
      </c>
      <c r="Q68" s="1">
        <f ca="1"/>
        <v>0</v>
      </c>
      <c r="R68" s="1">
        <f ca="1"/>
        <v>0</v>
      </c>
      <c r="S68" s="1">
        <f ca="1"/>
        <v>0</v>
      </c>
      <c r="T68" s="1">
        <f ca="1"/>
        <v>0</v>
      </c>
      <c r="U68" s="1">
        <f ca="1"/>
        <v>0</v>
      </c>
      <c r="V68" s="1">
        <f ca="1"/>
        <v>0</v>
      </c>
      <c r="W68" s="1">
        <f ca="1"/>
        <v>0</v>
      </c>
      <c r="X68" s="1">
        <f ca="1"/>
        <v>0</v>
      </c>
      <c r="Y68" s="1">
        <f ca="1"/>
        <v>0</v>
      </c>
      <c r="Z68" s="1">
        <f ca="1"/>
        <v>0</v>
      </c>
      <c r="AA68" s="1">
        <f ca="1"/>
        <v>0</v>
      </c>
      <c r="AB68" s="1">
        <f ca="1"/>
        <v>0</v>
      </c>
      <c r="AC68" s="1">
        <f ca="1"/>
        <v>0</v>
      </c>
      <c r="AD68" s="1">
        <f ca="1"/>
        <v>0</v>
      </c>
      <c r="AE68" s="1">
        <f ca="1"/>
        <v>0</v>
      </c>
      <c r="AF68" s="1">
        <f ca="1"/>
        <v>0</v>
      </c>
      <c r="AG68" s="1">
        <f ca="1"/>
        <v>0</v>
      </c>
      <c r="AH68" s="1">
        <f ca="1"/>
        <v>0</v>
      </c>
      <c r="AI68" s="1">
        <f ca="1"/>
        <v>0</v>
      </c>
      <c r="AJ68" s="1">
        <f ca="1"/>
        <v>0</v>
      </c>
      <c r="AK68" s="1">
        <f ca="1"/>
        <v>0</v>
      </c>
      <c r="AL68" s="1">
        <f ca="1"/>
        <v>0</v>
      </c>
      <c r="AM68" s="1">
        <f ca="1"/>
        <v>0</v>
      </c>
      <c r="AN68" s="1">
        <f ca="1"/>
        <v>0</v>
      </c>
      <c r="AO68" s="1">
        <f ca="1"/>
        <v>0</v>
      </c>
      <c r="AP68" s="1">
        <f ca="1"/>
        <v>0</v>
      </c>
      <c r="AQ68" s="1">
        <f ca="1"/>
        <v>0</v>
      </c>
      <c r="AR68" s="1">
        <f ca="1"/>
        <v>0</v>
      </c>
      <c r="AS68" s="1">
        <f ca="1"/>
        <v>0</v>
      </c>
      <c r="AT68" s="1">
        <f ca="1"/>
        <v>0</v>
      </c>
      <c r="AU68" s="1">
        <f ca="1"/>
        <v>0</v>
      </c>
      <c r="AV68" s="1">
        <f ca="1"/>
        <v>0</v>
      </c>
      <c r="AW68" s="1">
        <f ca="1"/>
        <v>0</v>
      </c>
      <c r="AX68" s="1">
        <f ca="1"/>
        <v>0</v>
      </c>
      <c r="AY68" s="1">
        <f ca="1"/>
        <v>0</v>
      </c>
      <c r="AZ68" s="1">
        <f ca="1"/>
        <v>0</v>
      </c>
      <c r="BA68" s="1">
        <f ca="1"/>
        <v>0</v>
      </c>
      <c r="BB68" s="1">
        <f ca="1"/>
        <v>0</v>
      </c>
      <c r="BC68" s="1">
        <f ca="1"/>
        <v>0</v>
      </c>
      <c r="BD68" s="1">
        <f ca="1"/>
        <v>0</v>
      </c>
      <c r="BE68" s="1">
        <f ca="1"/>
        <v>0</v>
      </c>
      <c r="BF68" s="1">
        <f ca="1"/>
        <v>0</v>
      </c>
      <c r="BG68" s="1">
        <f ca="1"/>
        <v>0</v>
      </c>
      <c r="BH68" s="1">
        <f ca="1"/>
        <v>0</v>
      </c>
      <c r="BI68" s="1">
        <f ca="1"/>
        <v>0</v>
      </c>
      <c r="BJ68" s="1">
        <f ca="1"/>
        <v>0</v>
      </c>
      <c r="BK68" s="1">
        <f ca="1"/>
        <v>0</v>
      </c>
      <c r="BL68" s="1">
        <f ca="1"/>
        <v>0</v>
      </c>
      <c r="BM68" s="1">
        <f ca="1"/>
        <v>0</v>
      </c>
      <c r="BN68" s="1">
        <f ca="1"/>
        <v>0</v>
      </c>
      <c r="BO68" s="1">
        <f ca="1"/>
        <v>0</v>
      </c>
      <c r="BP68" s="1">
        <f ca="1"/>
        <v>0</v>
      </c>
      <c r="BQ68" s="1">
        <f ca="1"/>
        <v>0</v>
      </c>
      <c r="BR68" s="1">
        <f ca="1"/>
        <v>0</v>
      </c>
      <c r="BS68" s="1">
        <f ca="1"/>
        <v>0.27789884746097077</v>
      </c>
      <c r="BT68" s="1">
        <f ca="1"/>
        <v>0.27765318723358307</v>
      </c>
    </row>
    <row r="69" spans="5:72" x14ac:dyDescent="0.2">
      <c r="E69" s="3">
        <v>4.0571666666666666E-2</v>
      </c>
      <c r="F69" s="1">
        <f ca="1"/>
        <v>0.8226761103217276</v>
      </c>
      <c r="G69" s="3">
        <f ca="1"/>
        <v>4.0452728702098817E-2</v>
      </c>
      <c r="H69" s="3">
        <f ca="1"/>
        <v>4.0384697248855524E-2</v>
      </c>
      <c r="I69">
        <v>58</v>
      </c>
      <c r="J69" s="2">
        <v>4.833333333333333</v>
      </c>
      <c r="M69" s="1">
        <f ca="1"/>
        <v>0</v>
      </c>
      <c r="N69" s="1">
        <f ca="1"/>
        <v>0</v>
      </c>
      <c r="O69" s="1">
        <f ca="1"/>
        <v>0</v>
      </c>
      <c r="P69" s="1">
        <f ca="1"/>
        <v>0</v>
      </c>
      <c r="Q69" s="1">
        <f ca="1"/>
        <v>0</v>
      </c>
      <c r="R69" s="1">
        <f ca="1"/>
        <v>0</v>
      </c>
      <c r="S69" s="1">
        <f ca="1"/>
        <v>0</v>
      </c>
      <c r="T69" s="1">
        <f ca="1"/>
        <v>0</v>
      </c>
      <c r="U69" s="1">
        <f ca="1"/>
        <v>0</v>
      </c>
      <c r="V69" s="1">
        <f ca="1"/>
        <v>0</v>
      </c>
      <c r="W69" s="1">
        <f ca="1"/>
        <v>0</v>
      </c>
      <c r="X69" s="1">
        <f ca="1"/>
        <v>0</v>
      </c>
      <c r="Y69" s="1">
        <f ca="1"/>
        <v>0</v>
      </c>
      <c r="Z69" s="1">
        <f ca="1"/>
        <v>0</v>
      </c>
      <c r="AA69" s="1">
        <f ca="1"/>
        <v>0</v>
      </c>
      <c r="AB69" s="1">
        <f ca="1"/>
        <v>0</v>
      </c>
      <c r="AC69" s="1">
        <f ca="1"/>
        <v>0</v>
      </c>
      <c r="AD69" s="1">
        <f ca="1"/>
        <v>0</v>
      </c>
      <c r="AE69" s="1">
        <f ca="1"/>
        <v>0</v>
      </c>
      <c r="AF69" s="1">
        <f ca="1"/>
        <v>0</v>
      </c>
      <c r="AG69" s="1">
        <f ca="1"/>
        <v>0</v>
      </c>
      <c r="AH69" s="1">
        <f ca="1"/>
        <v>0</v>
      </c>
      <c r="AI69" s="1">
        <f ca="1"/>
        <v>0</v>
      </c>
      <c r="AJ69" s="1">
        <f ca="1"/>
        <v>0</v>
      </c>
      <c r="AK69" s="1">
        <f ca="1"/>
        <v>0</v>
      </c>
      <c r="AL69" s="1">
        <f ca="1"/>
        <v>0</v>
      </c>
      <c r="AM69" s="1">
        <f ca="1"/>
        <v>0</v>
      </c>
      <c r="AN69" s="1">
        <f ca="1"/>
        <v>0</v>
      </c>
      <c r="AO69" s="1">
        <f ca="1"/>
        <v>0</v>
      </c>
      <c r="AP69" s="1">
        <f ca="1"/>
        <v>0</v>
      </c>
      <c r="AQ69" s="1">
        <f ca="1"/>
        <v>0</v>
      </c>
      <c r="AR69" s="1">
        <f ca="1"/>
        <v>0</v>
      </c>
      <c r="AS69" s="1">
        <f ca="1"/>
        <v>0</v>
      </c>
      <c r="AT69" s="1">
        <f ca="1"/>
        <v>0</v>
      </c>
      <c r="AU69" s="1">
        <f ca="1"/>
        <v>0</v>
      </c>
      <c r="AV69" s="1">
        <f ca="1"/>
        <v>0</v>
      </c>
      <c r="AW69" s="1">
        <f ca="1"/>
        <v>0</v>
      </c>
      <c r="AX69" s="1">
        <f ca="1"/>
        <v>0</v>
      </c>
      <c r="AY69" s="1">
        <f ca="1"/>
        <v>0</v>
      </c>
      <c r="AZ69" s="1">
        <f ca="1"/>
        <v>0</v>
      </c>
      <c r="BA69" s="1">
        <f ca="1"/>
        <v>0</v>
      </c>
      <c r="BB69" s="1">
        <f ca="1"/>
        <v>0</v>
      </c>
      <c r="BC69" s="1">
        <f ca="1"/>
        <v>0</v>
      </c>
      <c r="BD69" s="1">
        <f ca="1"/>
        <v>0</v>
      </c>
      <c r="BE69" s="1">
        <f ca="1"/>
        <v>0</v>
      </c>
      <c r="BF69" s="1">
        <f ca="1"/>
        <v>0</v>
      </c>
      <c r="BG69" s="1">
        <f ca="1"/>
        <v>0</v>
      </c>
      <c r="BH69" s="1">
        <f ca="1"/>
        <v>0</v>
      </c>
      <c r="BI69" s="1">
        <f ca="1"/>
        <v>0</v>
      </c>
      <c r="BJ69" s="1">
        <f ca="1"/>
        <v>0</v>
      </c>
      <c r="BK69" s="1">
        <f ca="1"/>
        <v>0</v>
      </c>
      <c r="BL69" s="1">
        <f ca="1"/>
        <v>0</v>
      </c>
      <c r="BM69" s="1">
        <f ca="1"/>
        <v>0</v>
      </c>
      <c r="BN69" s="1">
        <f ca="1"/>
        <v>0</v>
      </c>
      <c r="BO69" s="1">
        <f ca="1"/>
        <v>0</v>
      </c>
      <c r="BP69" s="1">
        <f ca="1"/>
        <v>0</v>
      </c>
      <c r="BQ69" s="1">
        <f ca="1"/>
        <v>0</v>
      </c>
      <c r="BR69" s="1">
        <f ca="1"/>
        <v>0</v>
      </c>
      <c r="BS69" s="1">
        <f ca="1"/>
        <v>0</v>
      </c>
      <c r="BT69" s="1">
        <f ca="1"/>
        <v>0.27677111559927642</v>
      </c>
    </row>
    <row r="70" spans="5:72" x14ac:dyDescent="0.2">
      <c r="E70" s="3">
        <v>4.0535833333333333E-2</v>
      </c>
      <c r="F70" s="1">
        <f ca="1"/>
        <v>0.82006256473859684</v>
      </c>
      <c r="G70" s="3">
        <f ca="1"/>
        <v>4.0415290781844249E-2</v>
      </c>
      <c r="H70" s="3">
        <f ca="1"/>
        <v>4.0347385052077495E-2</v>
      </c>
      <c r="I70">
        <v>59</v>
      </c>
      <c r="J70" s="2">
        <v>4.916666666666667</v>
      </c>
      <c r="M70" s="1">
        <f ca="1"/>
        <v>0</v>
      </c>
      <c r="N70" s="1">
        <f ca="1"/>
        <v>0</v>
      </c>
      <c r="O70" s="1">
        <f ca="1"/>
        <v>0</v>
      </c>
      <c r="P70" s="1">
        <f ca="1"/>
        <v>0</v>
      </c>
      <c r="Q70" s="1">
        <f ca="1"/>
        <v>0</v>
      </c>
      <c r="R70" s="1">
        <f ca="1"/>
        <v>0</v>
      </c>
      <c r="S70" s="1">
        <f ca="1"/>
        <v>0</v>
      </c>
      <c r="T70" s="1">
        <f ca="1"/>
        <v>0</v>
      </c>
      <c r="U70" s="1">
        <f ca="1"/>
        <v>0</v>
      </c>
      <c r="V70" s="1">
        <f ca="1"/>
        <v>0</v>
      </c>
      <c r="W70" s="1">
        <f ca="1"/>
        <v>0</v>
      </c>
      <c r="X70" s="1">
        <f ca="1"/>
        <v>0</v>
      </c>
      <c r="Y70" s="1">
        <f ca="1"/>
        <v>0</v>
      </c>
      <c r="Z70" s="1">
        <f ca="1"/>
        <v>0</v>
      </c>
      <c r="AA70" s="1">
        <f ca="1"/>
        <v>0</v>
      </c>
      <c r="AB70" s="1">
        <f ca="1"/>
        <v>0</v>
      </c>
      <c r="AC70" s="1">
        <f ca="1"/>
        <v>0</v>
      </c>
      <c r="AD70" s="1">
        <f ca="1"/>
        <v>0</v>
      </c>
      <c r="AE70" s="1">
        <f ca="1"/>
        <v>0</v>
      </c>
      <c r="AF70" s="1">
        <f ca="1"/>
        <v>0</v>
      </c>
      <c r="AG70" s="1">
        <f ca="1"/>
        <v>0</v>
      </c>
      <c r="AH70" s="1">
        <f ca="1"/>
        <v>0</v>
      </c>
      <c r="AI70" s="1">
        <f ca="1"/>
        <v>0</v>
      </c>
      <c r="AJ70" s="1">
        <f ca="1"/>
        <v>0</v>
      </c>
      <c r="AK70" s="1">
        <f ca="1"/>
        <v>0</v>
      </c>
      <c r="AL70" s="1">
        <f ca="1"/>
        <v>0</v>
      </c>
      <c r="AM70" s="1">
        <f ca="1"/>
        <v>0</v>
      </c>
      <c r="AN70" s="1">
        <f ca="1"/>
        <v>0</v>
      </c>
      <c r="AO70" s="1">
        <f ca="1"/>
        <v>0</v>
      </c>
      <c r="AP70" s="1">
        <f ca="1"/>
        <v>0</v>
      </c>
      <c r="AQ70" s="1">
        <f ca="1"/>
        <v>0</v>
      </c>
      <c r="AR70" s="1">
        <f ca="1"/>
        <v>0</v>
      </c>
      <c r="AS70" s="1">
        <f ca="1"/>
        <v>0</v>
      </c>
      <c r="AT70" s="1">
        <f ca="1"/>
        <v>0</v>
      </c>
      <c r="AU70" s="1">
        <f ca="1"/>
        <v>0</v>
      </c>
      <c r="AV70" s="1">
        <f ca="1"/>
        <v>0</v>
      </c>
      <c r="AW70" s="1">
        <f ca="1"/>
        <v>0</v>
      </c>
      <c r="AX70" s="1">
        <f ca="1"/>
        <v>0</v>
      </c>
      <c r="AY70" s="1">
        <f ca="1"/>
        <v>0</v>
      </c>
      <c r="AZ70" s="1">
        <f ca="1"/>
        <v>0</v>
      </c>
      <c r="BA70" s="1">
        <f ca="1"/>
        <v>0</v>
      </c>
      <c r="BB70" s="1">
        <f ca="1"/>
        <v>0</v>
      </c>
      <c r="BC70" s="1">
        <f ca="1"/>
        <v>0</v>
      </c>
      <c r="BD70" s="1">
        <f ca="1"/>
        <v>0</v>
      </c>
      <c r="BE70" s="1">
        <f ca="1"/>
        <v>0</v>
      </c>
      <c r="BF70" s="1">
        <f ca="1"/>
        <v>0</v>
      </c>
      <c r="BG70" s="1">
        <f ca="1"/>
        <v>0</v>
      </c>
      <c r="BH70" s="1">
        <f ca="1"/>
        <v>0</v>
      </c>
      <c r="BI70" s="1">
        <f ca="1"/>
        <v>0</v>
      </c>
      <c r="BJ70" s="1">
        <f ca="1"/>
        <v>0</v>
      </c>
      <c r="BK70" s="1">
        <f ca="1"/>
        <v>0</v>
      </c>
      <c r="BL70" s="1">
        <f ca="1"/>
        <v>0</v>
      </c>
      <c r="BM70" s="1">
        <f ca="1"/>
        <v>0</v>
      </c>
      <c r="BN70" s="1">
        <f ca="1"/>
        <v>0</v>
      </c>
      <c r="BO70" s="1">
        <f ca="1"/>
        <v>0</v>
      </c>
      <c r="BP70" s="1">
        <f ca="1"/>
        <v>0</v>
      </c>
      <c r="BQ70" s="1">
        <f ca="1"/>
        <v>0</v>
      </c>
      <c r="BR70" s="1">
        <f ca="1"/>
        <v>0</v>
      </c>
      <c r="BS70" s="1">
        <f ca="1"/>
        <v>0</v>
      </c>
      <c r="BT70" s="1">
        <f ca="1"/>
        <v>0</v>
      </c>
    </row>
    <row r="71" spans="5:72" x14ac:dyDescent="0.2">
      <c r="E71" s="3">
        <v>4.0500000000000001E-2</v>
      </c>
      <c r="F71" s="1">
        <f ca="1"/>
        <v>0.81746269132409333</v>
      </c>
      <c r="G71" s="3">
        <f ca="1"/>
        <v>4.0377782842734966E-2</v>
      </c>
      <c r="H71" s="3">
        <f ca="1"/>
        <v>4.0310002955239385E-2</v>
      </c>
      <c r="I71">
        <v>60</v>
      </c>
      <c r="J71" s="2">
        <v>5</v>
      </c>
    </row>
  </sheetData>
  <mergeCells count="3">
    <mergeCell ref="E2:J8"/>
    <mergeCell ref="B2:C2"/>
    <mergeCell ref="B3:C3"/>
  </mergeCells>
  <conditionalFormatting sqref="M6:XFD6">
    <cfRule type="cellIs" priority="9" stopIfTrue="1" operator="equal">
      <formula>""</formula>
    </cfRule>
    <cfRule type="containsBlanks" priority="10" stopIfTrue="1">
      <formula>LEN(TRIM(M6))=0</formula>
    </cfRule>
    <cfRule type="cellIs" dxfId="15" priority="16" stopIfTrue="1" operator="equal">
      <formula>"PASS"</formula>
    </cfRule>
  </conditionalFormatting>
  <conditionalFormatting sqref="M6:XFD6">
    <cfRule type="cellIs" dxfId="14" priority="12" stopIfTrue="1" operator="equal">
      <formula>"FAIL"</formula>
    </cfRule>
  </conditionalFormatting>
  <conditionalFormatting sqref="M6:XFD6">
    <cfRule type="containsText" dxfId="13" priority="13" stopIfTrue="1" operator="containsText" text="No">
      <formula>NOT(ISERROR(SEARCH("No",M6)))</formula>
    </cfRule>
  </conditionalFormatting>
  <conditionalFormatting sqref="M6:XFD6">
    <cfRule type="cellIs" dxfId="12" priority="11" stopIfTrue="1" operator="equal">
      <formula>FALSE</formula>
    </cfRule>
    <cfRule type="cellIs" dxfId="11" priority="14" stopIfTrue="1" operator="equal">
      <formula>TRUE</formula>
    </cfRule>
    <cfRule type="containsText" dxfId="10" priority="15" stopIfTrue="1" operator="containsText" text="Yes">
      <formula>NOT(ISERROR(SEARCH("Yes",M6)))</formula>
    </cfRule>
  </conditionalFormatting>
  <conditionalFormatting sqref="C4">
    <cfRule type="cellIs" priority="1" stopIfTrue="1" operator="equal">
      <formula>""</formula>
    </cfRule>
    <cfRule type="containsBlanks" priority="2" stopIfTrue="1">
      <formula>LEN(TRIM(C4))=0</formula>
    </cfRule>
    <cfRule type="cellIs" dxfId="9" priority="8" stopIfTrue="1" operator="equal">
      <formula>"PASS"</formula>
    </cfRule>
  </conditionalFormatting>
  <conditionalFormatting sqref="C4">
    <cfRule type="cellIs" dxfId="8" priority="4" stopIfTrue="1" operator="equal">
      <formula>"FAIL"</formula>
    </cfRule>
  </conditionalFormatting>
  <conditionalFormatting sqref="C4">
    <cfRule type="containsText" dxfId="7" priority="5" stopIfTrue="1" operator="containsText" text="No">
      <formula>NOT(ISERROR(SEARCH("No",C4)))</formula>
    </cfRule>
  </conditionalFormatting>
  <conditionalFormatting sqref="C4">
    <cfRule type="cellIs" dxfId="6" priority="3" stopIfTrue="1" operator="equal">
      <formula>FALSE</formula>
    </cfRule>
    <cfRule type="cellIs" dxfId="5" priority="6" stopIfTrue="1" operator="equal">
      <formula>TRUE</formula>
    </cfRule>
    <cfRule type="containsText" dxfId="4" priority="7" stopIfTrue="1" operator="containsText" text="Yes">
      <formula>NOT(ISERROR(SEARCH("Yes",C4)))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C6DB2-DB03-43AB-A1C4-B68113E4D9B2}">
  <sheetPr codeName="Sheet2"/>
  <dimension ref="A1:A5"/>
  <sheetViews>
    <sheetView workbookViewId="0"/>
  </sheetViews>
  <sheetFormatPr defaultRowHeight="12" x14ac:dyDescent="0.2"/>
  <sheetData>
    <row r="1" spans="1:1" x14ac:dyDescent="0.2">
      <c r="A1" s="21" t="s">
        <v>25</v>
      </c>
    </row>
    <row r="2" spans="1:1" x14ac:dyDescent="0.2">
      <c r="A2" t="s">
        <v>12</v>
      </c>
    </row>
    <row r="3" spans="1:1" x14ac:dyDescent="0.2">
      <c r="A3" t="s">
        <v>24</v>
      </c>
    </row>
    <row r="4" spans="1:1" x14ac:dyDescent="0.2">
      <c r="A4" t="s">
        <v>23</v>
      </c>
    </row>
    <row r="5" spans="1:1" x14ac:dyDescent="0.2">
      <c r="A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Bond Curve Boostrapper</vt:lpstr>
      <vt:lpstr>DataValidation</vt:lpstr>
      <vt:lpstr>Freq</vt:lpstr>
      <vt:lpstr>MaxTenor</vt:lpstr>
      <vt:lpstr>NbPeriods</vt:lpstr>
      <vt:lpstr>Par</vt:lpstr>
      <vt:lpstr>PeriodLength</vt:lpstr>
      <vt:lpstr>PeriodsPerYear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Shasa Foster</dc:creator>
  <cp:lastModifiedBy>Shasa Foster</cp:lastModifiedBy>
  <dcterms:created xsi:type="dcterms:W3CDTF">2025-02-26T06:49:26Z</dcterms:created>
  <dcterms:modified xsi:type="dcterms:W3CDTF">2025-02-28T03:05:57Z</dcterms:modified>
</cp:coreProperties>
</file>