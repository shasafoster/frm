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shasa\Documents\FRM_PUBLIC\excel_models\"/>
    </mc:Choice>
  </mc:AlternateContent>
  <xr:revisionPtr revIDLastSave="0" documentId="13_ncr:1_{3375590E-3B7E-4336-A535-3CA08211F2AD}" xr6:coauthVersionLast="47" xr6:coauthVersionMax="47" xr10:uidLastSave="{00000000-0000-0000-0000-000000000000}"/>
  <bookViews>
    <workbookView xWindow="28680" yWindow="0" windowWidth="29040" windowHeight="15720" activeTab="1" xr2:uid="{C244690A-5393-4DB0-B22C-CF3887CEECC8}"/>
  </bookViews>
  <sheets>
    <sheet name="README" sheetId="17" r:id="rId1"/>
    <sheet name="Input" sheetId="2" r:id="rId2"/>
    <sheet name="QuoteLeg" sheetId="31" r:id="rId3"/>
    <sheet name="ReferenceLeg" sheetId="30" r:id="rId4"/>
    <sheet name="Curves" sheetId="18" r:id="rId5"/>
    <sheet name="Utilities" sheetId="25" r:id="rId6"/>
    <sheet name="ASX Futures" sheetId="5" r:id="rId7"/>
  </sheets>
  <functionGroups builtInGroupCount="19"/>
  <definedNames>
    <definedName name="___xlc_DefaultDisplayOption___" hidden="1">"caption"</definedName>
    <definedName name="___xlc_DisplayNullValues___" hidden="1">TRUE</definedName>
    <definedName name="___xlc_DisplayNullValuesAs___" hidden="1">"___xlc_DisplayNullValuesAs_empty___"</definedName>
    <definedName name="___xlc_PromptForInsertOnDrill___" hidden="1">FALSE</definedName>
    <definedName name="___xlc_SuppressNULLSOnDrill___" hidden="1">TRUE</definedName>
    <definedName name="___xlc_SuppressZerosOnDrill___" hidden="1">FALSE</definedName>
    <definedName name="__123Graph_A" hidden="1">#REF!</definedName>
    <definedName name="__123Graph_B" hidden="1">#REF!</definedName>
    <definedName name="__123Graph_C" hidden="1">#REF!</definedName>
    <definedName name="__123Graph_D" hidden="1">#REF!</definedName>
    <definedName name="__123Graph_X" hidden="1">#REF!</definedName>
    <definedName name="__DSComments" hidden="1">"First draft of QMS (part of the Bid Manager's Pack)"</definedName>
    <definedName name="__DSCreated" hidden="1">" November 8, 1992"</definedName>
    <definedName name="__DSRevision" hidden="1">1</definedName>
    <definedName name="__DSSubject" hidden="1">"Quotation Management Summary"</definedName>
    <definedName name="__DSTitle" hidden="1">"QMS"</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4</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4</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 hidden="1">Input!$Z$3:$AU$23</definedName>
    <definedName name="_Key1" hidden="1">#REF!</definedName>
    <definedName name="_Order1" hidden="1">0</definedName>
    <definedName name="_Sort" hidden="1">#REF!</definedName>
    <definedName name="_UUID_" hidden="1">262297</definedName>
    <definedName name="_xlpm.RolledDate" hidden="1" xlm="1">#NAME?</definedName>
    <definedName name="_xlpm.RolledEDate" hidden="1" xlm="1">#NAME?</definedName>
    <definedName name="_xlpm.RolledEnDate" hidden="1" xlm="1">#NAME?</definedName>
    <definedName name="_xlpm.RolledEndDate" hidden="1" xlm="1">#NAME?</definedName>
    <definedName name="_xlpm.RolledEtDate" hidden="1" xlm="1">#NAME?</definedName>
    <definedName name="_xlpm.RolledEtiDate" hidden="1" xlm="1">#NAME?</definedName>
    <definedName name="_xlpm.STACK" hidden="1" xlm="1">#NAME?</definedName>
    <definedName name="abcd"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AccessDatabase" hidden="1">"C:\DATA\Kevin\Kevin's Model.mdb"</definedName>
    <definedName name="anscount" hidden="1">4</definedName>
    <definedName name="Apply_OIS_Dual_Curve_Stripping">Input!$C$10</definedName>
    <definedName name="ApplyFutures">Input!$C$11</definedName>
    <definedName name="AS2DocOpenMode" hidden="1">"AS2DocumentEdit"</definedName>
    <definedName name="AS2NamedRange" hidden="1">53</definedName>
    <definedName name="AS2ReportLS" hidden="1">1</definedName>
    <definedName name="AS2StaticLS" hidden="1">#REF!</definedName>
    <definedName name="AS2SyncStepLS" hidden="1">0</definedName>
    <definedName name="AS2TickmarkLS" hidden="1">#REF!</definedName>
    <definedName name="AS2VersionLS" hidden="1">300</definedName>
    <definedName name="BG_Del" hidden="1">15</definedName>
    <definedName name="BG_Ins" hidden="1">4</definedName>
    <definedName name="BG_Mod" hidden="1">6</definedName>
    <definedName name="CCY">Input!$C$8</definedName>
    <definedName name="CIQWBGuid" hidden="1">"AP UK Retail Portfolio.xlsx"</definedName>
    <definedName name="CIQWBGuid_1" hidden="1">"AP UK Retail Portfolio.xlsx"</definedName>
    <definedName name="Copy" hidden="1">{#N/A,#N/A,FALSE,"Aging Summary";#N/A,#N/A,FALSE,"Ratio Analysis";#N/A,#N/A,FALSE,"Test 120 Day Accts";#N/A,#N/A,FALSE,"Tickmarks"}</definedName>
    <definedName name="CurveDate">Input!$C$7</definedName>
    <definedName name="Cwvu.Incomplete._.Note." hidden="1">#REF!,#REF!</definedName>
    <definedName name="DA_1812294739000001735" hidden="1">#REF!</definedName>
    <definedName name="DA_1812294739000001745" hidden="1">#REF!</definedName>
    <definedName name="DA_1812294739000001748" hidden="1">#REF!</definedName>
    <definedName name="DA_1812294739000003151" hidden="1">#REF!</definedName>
    <definedName name="DayCount_AUD">Utilities!$D$42</definedName>
    <definedName name="DayCount_SOFR">Utilities!$D$43</definedName>
    <definedName name="DayCountBasis" localSheetId="2">QuoteLeg!$N$2</definedName>
    <definedName name="DayCountBasis" localSheetId="3">ReferenceLeg!$N$2</definedName>
    <definedName name="DCB_CCZR">Input!$D$17</definedName>
    <definedName name="Diff_2_Goal_Seek">Input!$C$29</definedName>
    <definedName name="DiscountingIndex" localSheetId="2">QuoteLeg!$B$7</definedName>
    <definedName name="DiscountingIndex" localSheetId="3">ReferenceLeg!$B$7</definedName>
    <definedName name="EF"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ExchangeNotionals" localSheetId="2">QuoteLeg!$C$7</definedName>
    <definedName name="ExchangeNotionals" localSheetId="3">ReferenceLeg!$C$7</definedName>
    <definedName name="FCBS_Quote_Type">Input!$C$9</definedName>
    <definedName name="FixingOffset" localSheetId="2">QuoteLeg!$M$7</definedName>
    <definedName name="FixingOffset" localSheetId="3">ReferenceLeg!$M$7</definedName>
    <definedName name="FloatingIndex" localSheetId="2">QuoteLeg!$H$7</definedName>
    <definedName name="FloatingIndex" localSheetId="3">ReferenceLeg!$H$7</definedName>
    <definedName name="Floorspace" hidden="1">{"Linkages",#N/A,TRUE,"Linkages";"Finassum",#N/A,TRUE,"Linkages";"insto_returns",#N/A,TRUE,"Insto Returns";"BAA",#N/A,TRUE,"BAA Returns";"impact_fin",#N/A,TRUE,"Impact on BAA";"ratios",#N/A,TRUE,"Key Ratios";"annual_data",#N/A,TRUE,"Annual Data"}</definedName>
    <definedName name="FuturesPriority">Input!$C$12</definedName>
    <definedName name="ghjghj" hidden="1">{#N/A,#N/A,FALSE,"Aging Summary";#N/A,#N/A,FALSE,"Ratio Analysis";#N/A,#N/A,FALSE,"Test 120 Day Accts";#N/A,#N/A,FALSE,"Tickmarks"}</definedName>
    <definedName name="GlobalIndex">Input!$C$26</definedName>
    <definedName name="Holidays" localSheetId="2">QuoteLeg!$AE$11:$AE$1071</definedName>
    <definedName name="Holidays_NSWPublic">Utilities!$B$101:$B$1161</definedName>
    <definedName name="Holidays_NY_Public">Utilities!$C$101:$C$1533</definedName>
    <definedName name="i" hidden="1">#REF!</definedName>
    <definedName name="IncludePaymentsOnValuationDate">Utilities!$C$47</definedName>
    <definedName name="Index" localSheetId="2">QuoteLeg!$C$3</definedName>
    <definedName name="Index" localSheetId="3">ReferenceLeg!$C$3</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sFixed" localSheetId="2">QuoteLeg!$F$3</definedName>
    <definedName name="IsFixed" localSheetId="3">ReferenceLeg!$F$3</definedName>
    <definedName name="jumk" hidden="1">{"Linkages",#N/A,TRUE,"Linkages";"Finassum",#N/A,TRUE,"Linkages";"insto_returns",#N/A,TRUE,"Insto Returns";"BAA",#N/A,TRUE,"BAA Returns";"impact_fin",#N/A,TRUE,"Impact on BAA";"ratios",#N/A,TRUE,"Key Ratios";"annual_data",#N/A,TRUE,"Annual Data"}</definedName>
    <definedName name="kk" hidden="1">#REF!</definedName>
    <definedName name="kkk" hidden="1">#REF!</definedName>
    <definedName name="LegNumber" localSheetId="2">QuoteLeg!$C$4</definedName>
    <definedName name="LegNumber" localSheetId="3">ReferenceLeg!$C$4</definedName>
    <definedName name="limcount" hidden="1">2</definedName>
    <definedName name="Notional">Utilities!$C$45</definedName>
    <definedName name="OISPaymentDelay">Input!$C$17</definedName>
    <definedName name="Pal_Workbook_GUID" hidden="1">"6WX2IDCBFB8ADL8IIZZW8T6I"</definedName>
    <definedName name="Payment_Offset" localSheetId="2">QuoteLeg!$L$7</definedName>
    <definedName name="Payment_Offset" localSheetId="3">ReferenceLeg!$L$7</definedName>
    <definedName name="Quote" localSheetId="2">QuoteLeg!$C$2</definedName>
    <definedName name="Quote" localSheetId="3">ReferenceLeg!$C$2</definedName>
    <definedName name="QuoteGlobal">Input!$C$23</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ollConvention">Utilities!$C$48</definedName>
    <definedName name="RollUserSpecifiedDates">Utilities!$C$46</definedName>
    <definedName name="saff" hidden="1">{"Linkages",#N/A,TRUE,"Linkages";"Finassum",#N/A,TRUE,"Linkages";"insto_returns",#N/A,TRUE,"Insto Returns";"BAA",#N/A,TRUE,"BAA Returns";"impact_fin",#N/A,TRUE,"Impact on BAA";"ratios",#N/A,TRUE,"Key Ratios";"annual_data",#N/A,TRUE,"Annual Data"}</definedName>
    <definedName name="sencount" hidden="1">2</definedName>
    <definedName name="SettlementDelayAUD">Input!$C$15</definedName>
    <definedName name="SettlementDelayUSD">Input!$C$16</definedName>
    <definedName name="Swap_Value">Input!$C$29</definedName>
    <definedName name="TextRefCopyRangeCount" hidden="1">1</definedName>
    <definedName name="v" hidden="1">#REF!</definedName>
    <definedName name="vvv" hidden="1">#REF!</definedName>
    <definedName name="wrn.Aging._.and._.Trend._.Analysis." hidden="1">{#N/A,#N/A,FALSE,"Aging Summary";#N/A,#N/A,FALSE,"Ratio Analysis";#N/A,#N/A,FALSE,"Test 120 Day Accts";#N/A,#N/A,FALSE,"Tickmarks"}</definedName>
    <definedName name="wrn.APAC." hidden="1">{"Linkages",#N/A,TRUE,"Linkages";"Finassum",#N/A,TRUE,"Linkages";"insto_returns",#N/A,TRUE,"Insto Returns";"BAA",#N/A,TRUE,"BAA Returns";"impact_fin",#N/A,TRUE,"Impact on BAA";"ratios",#N/A,TRUE,"Key Ratios";"annual_data",#N/A,TRUE,"Annual Data"}</definedName>
    <definedName name="wrn.BPLAN."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wrn.Complete." hidden="1">{"Linkages",#N/A,TRUE,"Linkages";"Busplan",#N/A,TRUE,"Linkages";"traffic",#N/A,TRUE,"Linkages";"Finassum",#N/A,TRUE,"Linkages";"Key_drivers",#N/A,TRUE,"Rev Drivers";"Cash_flow",#N/A,TRUE,"Cashflow";"balancesheet",#N/A,TRUE,"Balance Sheet";"tax_schedule",#N/A,TRUE,"Tax Schedule";"franking",#N/A,TRUE,"Tax Schedule";"Term",#N/A,TRUE,"BankDebt";"sub",#N/A,TRUE,"BankDebt";"capex",#N/A,TRUE,"BankDebt";"insto_returns",#N/A,TRUE,"Insto Returns";"BAA_plc",#N/A,TRUE,"BAA Returns";"impact_fin",#N/A,TRUE,"Impact on BAA";"ratios",#N/A,TRUE,"Key Ratios";"annual_data",#N/A,TRUE,"Annual Data"}</definedName>
    <definedName name="wrn.Depr." hidden="1">{"tax_schedule",#N/A,TRUE,"Tax Schedule";"profit_loss",#N/A,TRUE,"ProfitLoss";"impact_fin",#N/A,TRUE,"Impact on BAA";"annual_data",#N/A,TRUE,"Annual Data"}</definedName>
    <definedName name="wrn.Print._.Runs." hidden="1">{"ratios",#N/A,FALSE,"Key Ratios";#N/A,#N/A,FALSE,"Annual Data";#N/A,#N/A,FALSE,"Balance Sheet"}</definedName>
    <definedName name="wrn.Printout2." hidden="1">{"Linkages",#N/A,FALSE,"Linkages";"Busplan",#N/A,FALSE,"Linkages";"traffic",#N/A,FALSE,"Linkages";"Finassum",#N/A,FALSE,"Linkages"}</definedName>
    <definedName name="www" hidden="1">#REF!</definedName>
    <definedName name="wwww" hidden="1">#REF!</definedName>
    <definedName name="XREF_COLUMN_1" hidden="1">#REF!</definedName>
    <definedName name="XREF_COLUMN_2" hidden="1">#REF!</definedName>
    <definedName name="XREF_COLUMN_3" hidden="1">#REF!</definedName>
    <definedName name="XREF_COLUMN_4" hidden="1">#REF!</definedName>
    <definedName name="XREF_COLUMN_5" hidden="1">#REF!</definedName>
    <definedName name="XRefColumnsCount" hidden="1">5</definedName>
    <definedName name="XRefCopy1" hidden="1">#REF!</definedName>
    <definedName name="XRefCopy2" hidden="1">#REF!</definedName>
    <definedName name="XRefCopy3" hidden="1">#REF!</definedName>
    <definedName name="XRefCopyRangeCount" hidden="1">3</definedName>
    <definedName name="XRefPaste1" hidden="1">#REF!</definedName>
    <definedName name="XRefPaste2" hidden="1">#REF!</definedName>
    <definedName name="XRefPasteRangeCount" hidden="1">2</definedName>
    <definedName name="y" hidden="1">#REF!</definedName>
    <definedName name="yu"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42" i="2" l="1"/>
  <c r="BU42" i="2" s="1"/>
  <c r="BT43" i="2"/>
  <c r="BU43" i="2" s="1"/>
  <c r="BT44" i="2"/>
  <c r="BU44" i="2" s="1"/>
  <c r="BT45" i="2"/>
  <c r="BU45" i="2" s="1"/>
  <c r="BT46" i="2"/>
  <c r="BU46" i="2" s="1"/>
  <c r="BT47" i="2"/>
  <c r="BU47" i="2" s="1"/>
  <c r="BT48" i="2"/>
  <c r="BU48" i="2" s="1"/>
  <c r="BT49" i="2"/>
  <c r="BU49" i="2" s="1"/>
  <c r="BT50" i="2"/>
  <c r="BU50" i="2" s="1"/>
  <c r="BT51" i="2"/>
  <c r="BU51" i="2" s="1"/>
  <c r="BT52" i="2"/>
  <c r="BU52" i="2" s="1"/>
  <c r="BT53" i="2"/>
  <c r="BU53" i="2" s="1"/>
  <c r="BT54" i="2"/>
  <c r="BU54" i="2" s="1"/>
  <c r="BT55" i="2"/>
  <c r="BU55" i="2" s="1"/>
  <c r="BT56" i="2"/>
  <c r="BU56" i="2" s="1"/>
  <c r="BT57" i="2"/>
  <c r="BU57" i="2" s="1"/>
  <c r="BT58" i="2"/>
  <c r="BU58" i="2" s="1"/>
  <c r="BT59" i="2"/>
  <c r="BU59" i="2" s="1"/>
  <c r="BT60" i="2"/>
  <c r="BU60" i="2" s="1"/>
  <c r="BT61" i="2"/>
  <c r="BU61" i="2" s="1"/>
  <c r="BT62" i="2"/>
  <c r="BU62" i="2" s="1"/>
  <c r="BT63" i="2"/>
  <c r="BU63" i="2" s="1"/>
  <c r="BT64" i="2"/>
  <c r="BU64" i="2" s="1"/>
  <c r="BT65" i="2"/>
  <c r="BU65" i="2" s="1"/>
  <c r="BT66" i="2"/>
  <c r="BU66" i="2" s="1"/>
  <c r="BT67" i="2"/>
  <c r="BU67" i="2" s="1"/>
  <c r="BT68" i="2"/>
  <c r="BU68" i="2" s="1"/>
  <c r="BT69" i="2"/>
  <c r="BU69" i="2" s="1"/>
  <c r="BT70" i="2"/>
  <c r="BU70" i="2" s="1"/>
  <c r="BT71" i="2"/>
  <c r="BU71" i="2" s="1"/>
  <c r="BT72" i="2"/>
  <c r="BU72" i="2" s="1"/>
  <c r="BT73" i="2"/>
  <c r="BU73" i="2" s="1"/>
  <c r="BT74" i="2"/>
  <c r="BU74" i="2" s="1"/>
  <c r="BT75" i="2"/>
  <c r="BU75" i="2" s="1"/>
  <c r="BG4" i="2"/>
  <c r="BG5" i="2"/>
  <c r="BG6" i="2"/>
  <c r="BG7" i="2"/>
  <c r="BG8" i="2"/>
  <c r="BG9" i="2"/>
  <c r="BG10" i="2"/>
  <c r="BG11" i="2"/>
  <c r="BG12" i="2"/>
  <c r="BG13" i="2"/>
  <c r="BG14" i="2"/>
  <c r="BG15" i="2"/>
  <c r="BG16" i="2"/>
  <c r="BG17" i="2"/>
  <c r="BG18" i="2"/>
  <c r="BG19" i="2"/>
  <c r="E20" i="25"/>
  <c r="E19" i="25"/>
  <c r="E18" i="25"/>
  <c r="E17" i="25"/>
  <c r="E14" i="25"/>
  <c r="E13" i="25"/>
  <c r="C3" i="31" l="1"/>
  <c r="C2" i="31"/>
  <c r="C3" i="30"/>
  <c r="C2" i="30"/>
  <c r="BD44" i="2"/>
  <c r="BE44" i="2" s="1"/>
  <c r="BF44" i="2" l="1"/>
  <c r="BD45" i="2"/>
  <c r="BE45" i="2" l="1"/>
  <c r="BF45" i="2" s="1"/>
  <c r="BD46" i="2"/>
  <c r="BE46" i="2" s="1"/>
  <c r="BF46" i="2" l="1"/>
  <c r="BD47" i="2"/>
  <c r="BE47" i="2" l="1"/>
  <c r="BF47" i="2" s="1"/>
  <c r="BD48" i="2"/>
  <c r="BD49" i="2"/>
  <c r="BE49" i="2" s="1"/>
  <c r="BF49" i="2" l="1"/>
  <c r="BA49" i="2"/>
  <c r="AZ49" i="2" a="1"/>
  <c r="AZ49" i="2" s="1"/>
  <c r="AY49" i="2"/>
  <c r="BE48" i="2"/>
  <c r="BF48" i="2" s="1"/>
  <c r="BD50" i="2"/>
  <c r="BE50" i="2" s="1"/>
  <c r="BD51" i="2"/>
  <c r="BA51" i="2" s="1"/>
  <c r="BD52" i="2"/>
  <c r="BA52" i="2" s="1"/>
  <c r="BE51" i="2" l="1"/>
  <c r="AY51" i="2"/>
  <c r="BF51" i="2"/>
  <c r="AZ51" i="2" a="1"/>
  <c r="AZ51" i="2" s="1"/>
  <c r="AZ52" i="2" a="1"/>
  <c r="AZ52" i="2" s="1"/>
  <c r="BF50" i="2"/>
  <c r="AY52" i="2"/>
  <c r="BF52" i="2"/>
  <c r="BE52" i="2"/>
  <c r="BD53" i="2"/>
  <c r="BE53" i="2" s="1"/>
  <c r="BF53" i="2" l="1"/>
  <c r="BD54" i="2"/>
  <c r="BE54" i="2" s="1"/>
  <c r="BF54" i="2" l="1"/>
  <c r="BD55" i="2"/>
  <c r="BE55" i="2" l="1"/>
  <c r="BF55" i="2" s="1"/>
  <c r="BD56" i="2"/>
  <c r="BE56" i="2" s="1"/>
  <c r="BF56" i="2" l="1"/>
  <c r="BD57" i="2"/>
  <c r="BE57" i="2" l="1"/>
  <c r="BF57" i="2" s="1"/>
  <c r="BD58" i="2"/>
  <c r="BD59" i="2"/>
  <c r="AY59" i="2" s="1"/>
  <c r="BF59" i="2" l="1"/>
  <c r="BE59" i="2"/>
  <c r="AZ59" i="2" a="1"/>
  <c r="AZ59" i="2" s="1"/>
  <c r="BA59" i="2"/>
  <c r="BE58" i="2"/>
  <c r="BF58" i="2" s="1"/>
  <c r="L20" i="25" s="1"/>
  <c r="BD24" i="2"/>
  <c r="BE24" i="2" l="1"/>
  <c r="BF24" i="2" s="1"/>
  <c r="BD25" i="2"/>
  <c r="BE25" i="2" l="1"/>
  <c r="BF25" i="2" s="1"/>
  <c r="BD26" i="2"/>
  <c r="BE26" i="2" s="1"/>
  <c r="BF26" i="2" l="1"/>
  <c r="BD27" i="2"/>
  <c r="BE27" i="2" l="1"/>
  <c r="BF27" i="2" s="1"/>
  <c r="BD28" i="2"/>
  <c r="BD29" i="2"/>
  <c r="AY29" i="2" s="1"/>
  <c r="BE29" i="2" l="1"/>
  <c r="BF29" i="2" s="1"/>
  <c r="BA29" i="2"/>
  <c r="BE28" i="2"/>
  <c r="BF28" i="2" s="1"/>
  <c r="BD30" i="2"/>
  <c r="BE30" i="2" s="1"/>
  <c r="BD31" i="2"/>
  <c r="BA31" i="2" s="1"/>
  <c r="BD32" i="2"/>
  <c r="BE32" i="2" s="1"/>
  <c r="BF30" i="2" l="1"/>
  <c r="BE31" i="2"/>
  <c r="BF32" i="2" s="1"/>
  <c r="AY31" i="2"/>
  <c r="BA32" i="2"/>
  <c r="AY32" i="2"/>
  <c r="BD33" i="2"/>
  <c r="BE33" i="2" s="1"/>
  <c r="BF31" i="2" l="1"/>
  <c r="BF33" i="2"/>
  <c r="BD34" i="2"/>
  <c r="BE34" i="2" s="1"/>
  <c r="BF34" i="2" l="1"/>
  <c r="BD35" i="2"/>
  <c r="BE35" i="2" l="1"/>
  <c r="BF35" i="2" s="1"/>
  <c r="BD36" i="2"/>
  <c r="BE36" i="2" s="1"/>
  <c r="BF36" i="2" l="1"/>
  <c r="BD37" i="2"/>
  <c r="BE37" i="2" s="1"/>
  <c r="BF37" i="2" l="1"/>
  <c r="BD38" i="2"/>
  <c r="BD39" i="2"/>
  <c r="AY39" i="2" s="1"/>
  <c r="BF39" i="2" l="1"/>
  <c r="BE39" i="2"/>
  <c r="BA39" i="2"/>
  <c r="BE38" i="2"/>
  <c r="BF38" i="2" s="1"/>
  <c r="D42" i="25"/>
  <c r="D43" i="25"/>
  <c r="N24" i="25"/>
  <c r="N23" i="25"/>
  <c r="N22" i="25"/>
  <c r="N21" i="25"/>
  <c r="N20" i="25"/>
  <c r="N19" i="25"/>
  <c r="N18" i="25"/>
  <c r="N17" i="25"/>
  <c r="N16" i="25"/>
  <c r="N15" i="25"/>
  <c r="N14" i="25"/>
  <c r="N13" i="25"/>
  <c r="C10" i="25"/>
  <c r="C9" i="25"/>
  <c r="B24" i="25"/>
  <c r="K23" i="25"/>
  <c r="P23" i="25" s="1" a="1"/>
  <c r="P23" i="25" s="1"/>
  <c r="B23" i="25"/>
  <c r="B22" i="25"/>
  <c r="B21" i="25"/>
  <c r="B20" i="25"/>
  <c r="B19" i="25"/>
  <c r="B18" i="25"/>
  <c r="B17" i="25"/>
  <c r="B16" i="25"/>
  <c r="B15" i="25"/>
  <c r="B14" i="25"/>
  <c r="B13" i="25"/>
  <c r="CW20" i="2"/>
  <c r="CY20" i="2" s="1"/>
  <c r="CW19" i="2"/>
  <c r="CY19" i="2" s="1"/>
  <c r="CW16" i="2"/>
  <c r="CY16" i="2" s="1"/>
  <c r="CW12" i="2"/>
  <c r="CY12" i="2" s="1"/>
  <c r="CW11" i="2"/>
  <c r="CY11" i="2" s="1"/>
  <c r="CW8" i="2"/>
  <c r="CY8" i="2" s="1"/>
  <c r="CW4" i="2"/>
  <c r="CW21" i="2"/>
  <c r="CY21" i="2" s="1"/>
  <c r="CQ21" i="2"/>
  <c r="CR21" i="2" s="1"/>
  <c r="CU21" i="2" s="1" a="1"/>
  <c r="CU21" i="2" s="1"/>
  <c r="CQ20" i="2"/>
  <c r="CR20" i="2" s="1"/>
  <c r="CU20" i="2" s="1" a="1"/>
  <c r="CU20" i="2" s="1"/>
  <c r="CV20" i="2" s="1"/>
  <c r="CQ19" i="2"/>
  <c r="CR19" i="2" s="1"/>
  <c r="CU19" i="2" s="1" a="1"/>
  <c r="CU19" i="2" s="1"/>
  <c r="CV19" i="2" s="1"/>
  <c r="CW18" i="2"/>
  <c r="CY18" i="2" s="1"/>
  <c r="CQ18" i="2"/>
  <c r="CR18" i="2" s="1"/>
  <c r="CU18" i="2" s="1" a="1"/>
  <c r="CU18" i="2" s="1"/>
  <c r="CW17" i="2"/>
  <c r="CY17" i="2" s="1"/>
  <c r="CQ17" i="2"/>
  <c r="CR17" i="2" s="1"/>
  <c r="CU17" i="2" s="1" a="1"/>
  <c r="CU17" i="2" s="1"/>
  <c r="CQ16" i="2"/>
  <c r="CR16" i="2" s="1"/>
  <c r="CU16" i="2" s="1" a="1"/>
  <c r="CU16" i="2" s="1"/>
  <c r="CV16" i="2" s="1"/>
  <c r="CW15" i="2"/>
  <c r="CY15" i="2" s="1"/>
  <c r="CQ15" i="2"/>
  <c r="CR15" i="2" s="1"/>
  <c r="CU15" i="2" s="1" a="1"/>
  <c r="CU15" i="2" s="1"/>
  <c r="CV15" i="2" s="1"/>
  <c r="CW14" i="2"/>
  <c r="CY14" i="2" s="1"/>
  <c r="CQ14" i="2"/>
  <c r="CR14" i="2" s="1"/>
  <c r="CU14" i="2" s="1" a="1"/>
  <c r="CU14" i="2" s="1"/>
  <c r="CW13" i="2"/>
  <c r="CY13" i="2" s="1"/>
  <c r="CQ13" i="2"/>
  <c r="CR13" i="2" s="1"/>
  <c r="CU13" i="2" s="1" a="1"/>
  <c r="CU13" i="2" s="1"/>
  <c r="CQ12" i="2"/>
  <c r="CR12" i="2" s="1"/>
  <c r="CU12" i="2" s="1" a="1"/>
  <c r="CU12" i="2" s="1"/>
  <c r="CV12" i="2" s="1"/>
  <c r="CQ11" i="2"/>
  <c r="CR11" i="2" s="1"/>
  <c r="CU11" i="2" s="1" a="1"/>
  <c r="CU11" i="2" s="1"/>
  <c r="CV11" i="2" s="1"/>
  <c r="CW10" i="2"/>
  <c r="CY10" i="2" s="1"/>
  <c r="CQ10" i="2"/>
  <c r="CR10" i="2" s="1"/>
  <c r="CU10" i="2" s="1" a="1"/>
  <c r="CU10" i="2" s="1"/>
  <c r="CW9" i="2"/>
  <c r="CY9" i="2" s="1"/>
  <c r="CQ9" i="2"/>
  <c r="CR9" i="2" s="1"/>
  <c r="CU9" i="2" s="1" a="1"/>
  <c r="CU9" i="2" s="1"/>
  <c r="CQ8" i="2"/>
  <c r="CR8" i="2" s="1"/>
  <c r="CU8" i="2" s="1" a="1"/>
  <c r="CU8" i="2" s="1"/>
  <c r="CV8" i="2" s="1"/>
  <c r="CW7" i="2"/>
  <c r="CQ7" i="2"/>
  <c r="CR7" i="2" s="1"/>
  <c r="CU7" i="2" s="1" a="1"/>
  <c r="CU7" i="2" s="1"/>
  <c r="CV7" i="2" s="1"/>
  <c r="CW6" i="2"/>
  <c r="CY6" i="2" s="1"/>
  <c r="CQ6" i="2"/>
  <c r="CR6" i="2" s="1"/>
  <c r="CU6" i="2" s="1" a="1"/>
  <c r="CU6" i="2" s="1"/>
  <c r="CV6" i="2" s="1"/>
  <c r="CW5" i="2"/>
  <c r="CY5" i="2" s="1"/>
  <c r="CQ5" i="2"/>
  <c r="CR5" i="2" s="1"/>
  <c r="CU5" i="2" s="1" a="1"/>
  <c r="CU5" i="2" s="1"/>
  <c r="CV5" i="2" s="1"/>
  <c r="CQ4" i="2"/>
  <c r="CR4" i="2" s="1"/>
  <c r="CU4" i="2" s="1" a="1"/>
  <c r="CU4" i="2" s="1"/>
  <c r="CV4" i="2" s="1"/>
  <c r="BT5" i="2"/>
  <c r="BU5" i="2" s="1"/>
  <c r="BX5" i="2" s="1" a="1"/>
  <c r="BX5" i="2" s="1"/>
  <c r="BY5" i="2" s="1"/>
  <c r="BZ5" i="2"/>
  <c r="CB5" i="2" s="1"/>
  <c r="CC5" i="2" s="1"/>
  <c r="L18" i="25" l="1"/>
  <c r="CY4" i="2"/>
  <c r="AD4" i="18" a="1"/>
  <c r="AD4" i="18" s="1"/>
  <c r="H7" i="30"/>
  <c r="J7" i="31"/>
  <c r="D7" i="31"/>
  <c r="F3" i="31" s="1"/>
  <c r="M7" i="31"/>
  <c r="M7" i="30"/>
  <c r="B7" i="31"/>
  <c r="AE11" i="31" s="1" a="1"/>
  <c r="AE11" i="31" s="1"/>
  <c r="C7" i="31"/>
  <c r="H7" i="31"/>
  <c r="L7" i="31"/>
  <c r="B7" i="30"/>
  <c r="AE11" i="30" s="1" a="1"/>
  <c r="AE11" i="30" s="1"/>
  <c r="J7" i="30"/>
  <c r="L7" i="30"/>
  <c r="C7" i="30"/>
  <c r="D7" i="30"/>
  <c r="F3" i="30" s="1"/>
  <c r="CX20" i="2"/>
  <c r="CX17" i="2"/>
  <c r="CE5" i="2"/>
  <c r="CN20" i="2" a="1"/>
  <c r="CN20" i="2" s="1"/>
  <c r="CN17" i="2" a="1"/>
  <c r="CN17" i="2" s="1"/>
  <c r="CN5" i="2" a="1"/>
  <c r="CN5" i="2" s="1"/>
  <c r="CX19" i="2"/>
  <c r="CN4" i="2" a="1"/>
  <c r="CN4" i="2" s="1"/>
  <c r="CX12" i="2"/>
  <c r="CX4" i="2"/>
  <c r="CX11" i="2"/>
  <c r="CX18" i="2"/>
  <c r="CX10" i="2"/>
  <c r="CX9" i="2"/>
  <c r="CX16" i="2"/>
  <c r="CX8" i="2"/>
  <c r="CX15" i="2"/>
  <c r="CX7" i="2"/>
  <c r="CX14" i="2"/>
  <c r="CX6" i="2"/>
  <c r="CX21" i="2"/>
  <c r="CX13" i="2"/>
  <c r="CX5" i="2"/>
  <c r="CZ17" i="2"/>
  <c r="CZ6" i="2"/>
  <c r="CZ5" i="2"/>
  <c r="CZ20" i="2"/>
  <c r="CZ4" i="2"/>
  <c r="CY7" i="2"/>
  <c r="CM7" i="2"/>
  <c r="CV9" i="2"/>
  <c r="CM9" i="2"/>
  <c r="CM17" i="2"/>
  <c r="CV17" i="2"/>
  <c r="CV13" i="2"/>
  <c r="CM13" i="2"/>
  <c r="CM18" i="2"/>
  <c r="CV18" i="2"/>
  <c r="CV10" i="2"/>
  <c r="CM10" i="2"/>
  <c r="CM12" i="2"/>
  <c r="CM5" i="2"/>
  <c r="CM6" i="2"/>
  <c r="CM4" i="2"/>
  <c r="CM11" i="2"/>
  <c r="CM8" i="2"/>
  <c r="CM14" i="2"/>
  <c r="CV14" i="2"/>
  <c r="CM16" i="2"/>
  <c r="CV21" i="2"/>
  <c r="CM21" i="2"/>
  <c r="CM15" i="2"/>
  <c r="CM19" i="2"/>
  <c r="CM20" i="2"/>
  <c r="CH5" i="2"/>
  <c r="CD5" i="2"/>
  <c r="BP5" i="2"/>
  <c r="BT6" i="2"/>
  <c r="BU6" i="2" s="1"/>
  <c r="BZ6" i="2"/>
  <c r="BT7" i="2"/>
  <c r="BU7" i="2" s="1"/>
  <c r="BX7" i="2" s="1" a="1"/>
  <c r="BX7" i="2" s="1"/>
  <c r="BY7" i="2" s="1"/>
  <c r="BZ7" i="2"/>
  <c r="BR7" i="2" s="1"/>
  <c r="BT8" i="2"/>
  <c r="BU8" i="2" s="1"/>
  <c r="BX8" i="2" s="1" a="1"/>
  <c r="BX8" i="2" s="1"/>
  <c r="BY8" i="2" s="1"/>
  <c r="BZ8" i="2"/>
  <c r="CB8" i="2" s="1"/>
  <c r="CE8" i="2" s="1"/>
  <c r="CZ11" i="2" l="1"/>
  <c r="AA4" i="18" a="1"/>
  <c r="AA4" i="18" s="1"/>
  <c r="CZ7" i="2"/>
  <c r="CZ8" i="2"/>
  <c r="CZ16" i="2"/>
  <c r="CZ13" i="2"/>
  <c r="CZ9" i="2"/>
  <c r="CZ21" i="2"/>
  <c r="CZ10" i="2"/>
  <c r="CZ14" i="2"/>
  <c r="CZ18" i="2"/>
  <c r="CZ19" i="2"/>
  <c r="CZ12" i="2"/>
  <c r="CZ15" i="2"/>
  <c r="CB6" i="2"/>
  <c r="CC6" i="2" s="1"/>
  <c r="CH6" i="2" s="1"/>
  <c r="BQ8" i="2" a="1"/>
  <c r="BQ8" i="2" s="1"/>
  <c r="BR8" i="2"/>
  <c r="CC8" i="2"/>
  <c r="CD8" i="2" s="1"/>
  <c r="CB7" i="2"/>
  <c r="CE7" i="2" s="1"/>
  <c r="CG8" i="2"/>
  <c r="BQ7" i="2" a="1"/>
  <c r="BQ7" i="2" s="1"/>
  <c r="BP8" i="2"/>
  <c r="BX6" i="2" a="1"/>
  <c r="BX6" i="2" s="1"/>
  <c r="BY6" i="2" s="1"/>
  <c r="BP7" i="2"/>
  <c r="CF8" i="2" a="1"/>
  <c r="CF8" i="2" s="1"/>
  <c r="BT9" i="2"/>
  <c r="BU9" i="2" s="1"/>
  <c r="BZ9" i="2"/>
  <c r="CN16" i="2" a="1"/>
  <c r="I24" i="25" l="1"/>
  <c r="L23" i="25"/>
  <c r="I7" i="31" s="1"/>
  <c r="J23" i="25"/>
  <c r="I23" i="25"/>
  <c r="J24" i="25"/>
  <c r="BX9" i="2" a="1"/>
  <c r="BX9" i="2" s="1"/>
  <c r="BY9" i="2" s="1"/>
  <c r="CE6" i="2"/>
  <c r="CN16" i="2"/>
  <c r="CH8" i="2"/>
  <c r="CF7" i="2" a="1"/>
  <c r="CF7" i="2" s="1"/>
  <c r="CD6" i="2"/>
  <c r="CC7" i="2"/>
  <c r="CH7" i="2" s="1"/>
  <c r="CB9" i="2"/>
  <c r="CC9" i="2" s="1"/>
  <c r="CG7" i="2"/>
  <c r="BP6" i="2"/>
  <c r="BT10" i="2"/>
  <c r="BU10" i="2" s="1"/>
  <c r="BZ10" i="2"/>
  <c r="CN21" i="2" a="1"/>
  <c r="CN14" i="2" a="1"/>
  <c r="CN9" i="2" a="1"/>
  <c r="CN18" i="2" a="1"/>
  <c r="CN19" i="2" a="1"/>
  <c r="CN10" i="2" a="1"/>
  <c r="CN8" i="2" a="1"/>
  <c r="CN6" i="2" a="1"/>
  <c r="CN12" i="2" a="1"/>
  <c r="CN7" i="2" a="1"/>
  <c r="CN11" i="2" a="1"/>
  <c r="CN15" i="2" a="1"/>
  <c r="CN13" i="2" a="1"/>
  <c r="CN12" i="2" l="1"/>
  <c r="CN10" i="2"/>
  <c r="CN21" i="2"/>
  <c r="CN18" i="2"/>
  <c r="CN11" i="2"/>
  <c r="CN9" i="2"/>
  <c r="CN13" i="2"/>
  <c r="CN6" i="2"/>
  <c r="CN8" i="2"/>
  <c r="CN15" i="2"/>
  <c r="CN19" i="2"/>
  <c r="CN14" i="2"/>
  <c r="CN7" i="2"/>
  <c r="BX10" i="2" a="1"/>
  <c r="BX10" i="2" s="1"/>
  <c r="BY10" i="2" s="1"/>
  <c r="BP9" i="2"/>
  <c r="CE9" i="2"/>
  <c r="CD7" i="2"/>
  <c r="CB10" i="2"/>
  <c r="CC10" i="2" s="1"/>
  <c r="CH9" i="2"/>
  <c r="CD9" i="2"/>
  <c r="BT11" i="2"/>
  <c r="BU11" i="2" s="1"/>
  <c r="BZ11" i="2"/>
  <c r="BP10" i="2" l="1"/>
  <c r="BX11" i="2" a="1"/>
  <c r="BX11" i="2" s="1"/>
  <c r="BY11" i="2" s="1"/>
  <c r="CE10" i="2"/>
  <c r="CH10" i="2"/>
  <c r="CD10" i="2"/>
  <c r="CB11" i="2"/>
  <c r="BT12" i="2"/>
  <c r="BU12" i="2" s="1"/>
  <c r="BZ12" i="2"/>
  <c r="BP11" i="2" l="1"/>
  <c r="CE11" i="2"/>
  <c r="CB12" i="2"/>
  <c r="CC12" i="2" s="1"/>
  <c r="CH12" i="2" s="1"/>
  <c r="BX12" i="2" a="1"/>
  <c r="BX12" i="2" s="1"/>
  <c r="BY12" i="2" s="1"/>
  <c r="CC11" i="2"/>
  <c r="BT13" i="2"/>
  <c r="BU13" i="2" s="1"/>
  <c r="BZ13" i="2"/>
  <c r="BX13" i="2" l="1" a="1"/>
  <c r="BX13" i="2" s="1"/>
  <c r="BY13" i="2" s="1"/>
  <c r="CE12" i="2"/>
  <c r="CD12" i="2"/>
  <c r="CB13" i="2"/>
  <c r="CC13" i="2" s="1"/>
  <c r="CH11" i="2"/>
  <c r="CD11" i="2"/>
  <c r="BP12" i="2"/>
  <c r="BT14" i="2"/>
  <c r="BU14" i="2" s="1"/>
  <c r="BZ14" i="2"/>
  <c r="BP13" i="2" l="1"/>
  <c r="BX14" i="2" a="1"/>
  <c r="BX14" i="2" s="1"/>
  <c r="BY14" i="2" s="1"/>
  <c r="CE13" i="2"/>
  <c r="CB14" i="2"/>
  <c r="CC14" i="2" s="1"/>
  <c r="CH13" i="2"/>
  <c r="CD13" i="2"/>
  <c r="BT15" i="2"/>
  <c r="BU15" i="2" s="1"/>
  <c r="BZ15" i="2"/>
  <c r="BP14" i="2" l="1"/>
  <c r="CE14" i="2"/>
  <c r="CH14" i="2"/>
  <c r="CD14" i="2"/>
  <c r="CB15" i="2"/>
  <c r="CC15" i="2" s="1"/>
  <c r="CH15" i="2" s="1"/>
  <c r="BX15" i="2" a="1"/>
  <c r="BX15" i="2" s="1"/>
  <c r="BY15" i="2" s="1"/>
  <c r="BT16" i="2"/>
  <c r="BU16" i="2" s="1"/>
  <c r="BZ16" i="2"/>
  <c r="BX16" i="2" l="1" a="1"/>
  <c r="BX16" i="2" s="1"/>
  <c r="BY16" i="2" s="1"/>
  <c r="CE15" i="2"/>
  <c r="CD15" i="2"/>
  <c r="CB16" i="2"/>
  <c r="CC16" i="2" s="1"/>
  <c r="BP15" i="2"/>
  <c r="BT17" i="2"/>
  <c r="BU17" i="2" s="1"/>
  <c r="BZ17" i="2"/>
  <c r="BP16" i="2" l="1"/>
  <c r="BX17" i="2" a="1"/>
  <c r="BX17" i="2" s="1"/>
  <c r="BY17" i="2" s="1"/>
  <c r="CE16" i="2"/>
  <c r="CB17" i="2"/>
  <c r="CC17" i="2" s="1"/>
  <c r="CD17" i="2" s="1"/>
  <c r="CH16" i="2"/>
  <c r="CD16" i="2"/>
  <c r="BT18" i="2"/>
  <c r="BU18" i="2" s="1"/>
  <c r="BZ18" i="2"/>
  <c r="BP17" i="2" l="1"/>
  <c r="CE17" i="2"/>
  <c r="BX18" i="2" a="1"/>
  <c r="BX18" i="2" s="1"/>
  <c r="BY18" i="2" s="1"/>
  <c r="CH17" i="2"/>
  <c r="CB18" i="2"/>
  <c r="CC18" i="2" s="1"/>
  <c r="CH18" i="2" s="1"/>
  <c r="BT19" i="2"/>
  <c r="BU19" i="2" s="1"/>
  <c r="BZ19" i="2"/>
  <c r="BP18" i="2" l="1"/>
  <c r="BX19" i="2" a="1"/>
  <c r="BX19" i="2" s="1"/>
  <c r="BY19" i="2" s="1"/>
  <c r="CE18" i="2"/>
  <c r="CB19" i="2"/>
  <c r="CC19" i="2" s="1"/>
  <c r="CH19" i="2" s="1"/>
  <c r="CD18" i="2"/>
  <c r="BT20" i="2"/>
  <c r="BU20" i="2" s="1"/>
  <c r="BZ20" i="2"/>
  <c r="BT21" i="2"/>
  <c r="BU21" i="2" s="1"/>
  <c r="BX21" i="2" s="1" a="1"/>
  <c r="BX21" i="2" s="1"/>
  <c r="BY21" i="2" s="1"/>
  <c r="BZ21" i="2"/>
  <c r="BT22" i="2"/>
  <c r="BU22" i="2" s="1"/>
  <c r="BX22" i="2" s="1" a="1"/>
  <c r="BX22" i="2" s="1"/>
  <c r="BY22" i="2" s="1"/>
  <c r="BZ22" i="2"/>
  <c r="BT23" i="2"/>
  <c r="BU23" i="2" s="1"/>
  <c r="BX23" i="2" s="1" a="1"/>
  <c r="BX23" i="2" s="1"/>
  <c r="BY23" i="2" s="1"/>
  <c r="BZ23" i="2"/>
  <c r="BX20" i="2" l="1" a="1"/>
  <c r="BX20" i="2" s="1"/>
  <c r="BY20" i="2" s="1"/>
  <c r="BP19" i="2"/>
  <c r="CE19" i="2"/>
  <c r="CD19" i="2"/>
  <c r="BP22" i="2"/>
  <c r="BR22" i="2"/>
  <c r="BQ21" i="2" a="1"/>
  <c r="BQ21" i="2" s="1"/>
  <c r="BR21" i="2"/>
  <c r="CB20" i="2"/>
  <c r="CC20" i="2" s="1"/>
  <c r="CD20" i="2" s="1"/>
  <c r="BQ23" i="2" a="1"/>
  <c r="BQ23" i="2" s="1"/>
  <c r="BR23" i="2"/>
  <c r="CB22" i="2"/>
  <c r="CB23" i="2"/>
  <c r="CE23" i="2" s="1"/>
  <c r="CB21" i="2"/>
  <c r="BP23" i="2"/>
  <c r="BP21" i="2"/>
  <c r="BQ22" i="2" a="1"/>
  <c r="BQ22" i="2" s="1"/>
  <c r="BT24" i="2"/>
  <c r="BU24" i="2" s="1"/>
  <c r="BZ24" i="2"/>
  <c r="CF21" i="2" l="1" a="1"/>
  <c r="CF21" i="2" s="1"/>
  <c r="CE21" i="2"/>
  <c r="CG22" i="2"/>
  <c r="CE22" i="2"/>
  <c r="BP20" i="2"/>
  <c r="CE20" i="2"/>
  <c r="BX24" i="2" a="1"/>
  <c r="BX24" i="2" s="1"/>
  <c r="CC22" i="2"/>
  <c r="CH22" i="2" s="1"/>
  <c r="CF22" i="2" a="1"/>
  <c r="CF22" i="2" s="1"/>
  <c r="CH20" i="2"/>
  <c r="CB24" i="2"/>
  <c r="CE24" i="2" s="1"/>
  <c r="CC21" i="2"/>
  <c r="CG21" i="2"/>
  <c r="CG23" i="2"/>
  <c r="CC23" i="2"/>
  <c r="CF23" i="2" a="1"/>
  <c r="CF23" i="2" s="1"/>
  <c r="BT25" i="2"/>
  <c r="BU25" i="2" s="1"/>
  <c r="BX25" i="2" s="1" a="1"/>
  <c r="BX25" i="2" s="1"/>
  <c r="BY25" i="2" s="1"/>
  <c r="BZ25" i="2"/>
  <c r="BP24" i="2" l="1"/>
  <c r="BY24" i="2"/>
  <c r="CD22" i="2"/>
  <c r="CG24" i="2"/>
  <c r="CF24" i="2" a="1"/>
  <c r="CF24" i="2" s="1"/>
  <c r="CB25" i="2"/>
  <c r="CC24" i="2"/>
  <c r="CD24" i="2" s="1"/>
  <c r="CD23" i="2"/>
  <c r="CH23" i="2"/>
  <c r="CH21" i="2"/>
  <c r="CD21" i="2"/>
  <c r="BP25" i="2"/>
  <c r="BT26" i="2"/>
  <c r="BU26" i="2" s="1"/>
  <c r="BX26" i="2" s="1" a="1"/>
  <c r="BX26" i="2" s="1"/>
  <c r="BY26" i="2" s="1"/>
  <c r="BZ26" i="2"/>
  <c r="CG25" i="2" l="1"/>
  <c r="CE25" i="2"/>
  <c r="CF25" i="2" a="1"/>
  <c r="CF25" i="2" s="1"/>
  <c r="CC25" i="2"/>
  <c r="CD25" i="2" s="1"/>
  <c r="CB26" i="2"/>
  <c r="BP26" i="2"/>
  <c r="BT27" i="2"/>
  <c r="BU27" i="2" s="1"/>
  <c r="BX27" i="2" s="1" a="1"/>
  <c r="BX27" i="2" s="1"/>
  <c r="BY27" i="2" s="1"/>
  <c r="BZ27" i="2"/>
  <c r="CC26" i="2" l="1"/>
  <c r="CD26" i="2" s="1"/>
  <c r="CE26" i="2"/>
  <c r="CF26" i="2" a="1"/>
  <c r="CF26" i="2" s="1"/>
  <c r="CG26" i="2"/>
  <c r="CB27" i="2"/>
  <c r="BP27" i="2"/>
  <c r="BT28" i="2"/>
  <c r="BU28" i="2" s="1"/>
  <c r="BX28" i="2" s="1" a="1"/>
  <c r="BX28" i="2" s="1"/>
  <c r="BY28" i="2" s="1"/>
  <c r="BZ28" i="2"/>
  <c r="CF27" i="2" l="1" a="1"/>
  <c r="CF27" i="2" s="1"/>
  <c r="CE27" i="2"/>
  <c r="CG27" i="2"/>
  <c r="CB28" i="2"/>
  <c r="CC27" i="2"/>
  <c r="CD27" i="2" s="1"/>
  <c r="BP28" i="2"/>
  <c r="BT29" i="2"/>
  <c r="BU29" i="2" s="1"/>
  <c r="BZ29" i="2"/>
  <c r="CF28" i="2" l="1" a="1"/>
  <c r="CF28" i="2" s="1"/>
  <c r="CE28" i="2"/>
  <c r="BX29" i="2" a="1"/>
  <c r="BX29" i="2" s="1"/>
  <c r="BP29" i="2" s="1"/>
  <c r="CC28" i="2"/>
  <c r="CD28" i="2" s="1"/>
  <c r="CG28" i="2"/>
  <c r="CB29" i="2"/>
  <c r="CE29" i="2" s="1"/>
  <c r="BT30" i="2"/>
  <c r="BU30" i="2" s="1"/>
  <c r="BX30" i="2" s="1" a="1"/>
  <c r="BX30" i="2" s="1"/>
  <c r="BY30" i="2" s="1"/>
  <c r="BZ30" i="2"/>
  <c r="BY29" i="2" l="1"/>
  <c r="CG29" i="2"/>
  <c r="CF29" i="2" a="1"/>
  <c r="CF29" i="2" s="1"/>
  <c r="CC29" i="2"/>
  <c r="CD29" i="2" s="1"/>
  <c r="CB30" i="2"/>
  <c r="BP30" i="2"/>
  <c r="BT31" i="2"/>
  <c r="BU31" i="2" s="1"/>
  <c r="BX31" i="2" s="1" a="1"/>
  <c r="BX31" i="2" s="1"/>
  <c r="BY31" i="2" s="1"/>
  <c r="BZ31" i="2"/>
  <c r="CG30" i="2" l="1"/>
  <c r="CE30" i="2"/>
  <c r="CC30" i="2"/>
  <c r="CD30" i="2" s="1"/>
  <c r="CB31" i="2"/>
  <c r="CF30" i="2" a="1"/>
  <c r="CF30" i="2" s="1"/>
  <c r="BP31" i="2"/>
  <c r="BT32" i="2"/>
  <c r="BU32" i="2" s="1"/>
  <c r="BX32" i="2" s="1" a="1"/>
  <c r="BX32" i="2" s="1"/>
  <c r="BY32" i="2" s="1"/>
  <c r="BZ32" i="2"/>
  <c r="CC31" i="2" l="1"/>
  <c r="CD31" i="2" s="1"/>
  <c r="CE31" i="2"/>
  <c r="CF31" i="2" a="1"/>
  <c r="CF31" i="2" s="1"/>
  <c r="CG31" i="2"/>
  <c r="BP32" i="2"/>
  <c r="CB32" i="2"/>
  <c r="CE32" i="2" s="1"/>
  <c r="BT33" i="2"/>
  <c r="BU33" i="2" s="1"/>
  <c r="BX33" i="2" s="1" a="1"/>
  <c r="BX33" i="2" s="1"/>
  <c r="BY33" i="2" s="1"/>
  <c r="BZ33" i="2"/>
  <c r="CB33" i="2" s="1"/>
  <c r="CE33" i="2" s="1"/>
  <c r="CF33" i="2" l="1" a="1"/>
  <c r="CF33" i="2" s="1"/>
  <c r="CC33" i="2"/>
  <c r="CD33" i="2" s="1"/>
  <c r="CG33" i="2"/>
  <c r="BP33" i="2"/>
  <c r="CG32" i="2"/>
  <c r="CC32" i="2"/>
  <c r="CF32" i="2" a="1"/>
  <c r="CF32" i="2" s="1"/>
  <c r="BT34" i="2"/>
  <c r="BU34" i="2" s="1"/>
  <c r="BX34" i="2" s="1" a="1"/>
  <c r="BX34" i="2" s="1"/>
  <c r="BY34" i="2" s="1"/>
  <c r="BZ34" i="2"/>
  <c r="CB34" i="2" l="1"/>
  <c r="BP34" i="2"/>
  <c r="CD32" i="2"/>
  <c r="BT35" i="2"/>
  <c r="BU35" i="2" s="1"/>
  <c r="BX35" i="2" s="1" a="1"/>
  <c r="BX35" i="2" s="1"/>
  <c r="BY35" i="2" s="1"/>
  <c r="BZ35" i="2"/>
  <c r="CG34" i="2" l="1"/>
  <c r="CE34" i="2"/>
  <c r="CF34" i="2" a="1"/>
  <c r="CF34" i="2" s="1"/>
  <c r="CC34" i="2"/>
  <c r="CD34" i="2" s="1"/>
  <c r="CB35" i="2"/>
  <c r="BP35" i="2"/>
  <c r="BT36" i="2"/>
  <c r="BU36" i="2" s="1"/>
  <c r="BX36" i="2" s="1" a="1"/>
  <c r="BX36" i="2" s="1"/>
  <c r="BY36" i="2" s="1"/>
  <c r="BZ36" i="2"/>
  <c r="CF35" i="2" l="1" a="1"/>
  <c r="CF35" i="2" s="1"/>
  <c r="CE35" i="2"/>
  <c r="CC35" i="2"/>
  <c r="CD35" i="2" s="1"/>
  <c r="CG35" i="2"/>
  <c r="CB36" i="2"/>
  <c r="BP36" i="2"/>
  <c r="BT37" i="2"/>
  <c r="BU37" i="2" s="1"/>
  <c r="BX37" i="2" s="1" a="1"/>
  <c r="BX37" i="2" s="1"/>
  <c r="BY37" i="2" s="1"/>
  <c r="BZ37" i="2"/>
  <c r="CF36" i="2" l="1" a="1"/>
  <c r="CF36" i="2" s="1"/>
  <c r="CE36" i="2"/>
  <c r="CG36" i="2"/>
  <c r="CC36" i="2"/>
  <c r="CD36" i="2" s="1"/>
  <c r="CB37" i="2"/>
  <c r="BP37" i="2"/>
  <c r="BT4" i="2"/>
  <c r="BU4" i="2" s="1"/>
  <c r="BZ4" i="2"/>
  <c r="M21" i="2"/>
  <c r="P21" i="2" s="1"/>
  <c r="K21" i="2"/>
  <c r="V21" i="2" s="1"/>
  <c r="M20" i="2"/>
  <c r="P20" i="2" s="1"/>
  <c r="K20" i="2"/>
  <c r="V20" i="2" s="1"/>
  <c r="M19" i="2"/>
  <c r="P19" i="2" s="1"/>
  <c r="K19" i="2"/>
  <c r="V19" i="2" s="1"/>
  <c r="M18" i="2"/>
  <c r="P18" i="2" s="1"/>
  <c r="K18" i="2"/>
  <c r="V18" i="2" s="1"/>
  <c r="M14" i="2"/>
  <c r="P14" i="2" s="1"/>
  <c r="K14" i="2"/>
  <c r="V14" i="2" s="1"/>
  <c r="M13" i="2"/>
  <c r="P13" i="2" s="1"/>
  <c r="K13" i="2"/>
  <c r="V13" i="2" s="1"/>
  <c r="M12" i="2"/>
  <c r="P12" i="2" s="1"/>
  <c r="K12" i="2"/>
  <c r="V12" i="2" s="1"/>
  <c r="M11" i="2"/>
  <c r="P11" i="2" s="1"/>
  <c r="K11" i="2"/>
  <c r="V11" i="2" s="1"/>
  <c r="D17" i="2"/>
  <c r="AB4" i="18" s="1" a="1"/>
  <c r="AB4" i="18" s="1"/>
  <c r="AC4" i="18" s="1" a="1"/>
  <c r="AC4" i="18" s="1"/>
  <c r="BC4" i="2"/>
  <c r="BB44" i="2" s="1"/>
  <c r="BC5" i="2"/>
  <c r="BB45" i="2" s="1"/>
  <c r="BC6" i="2"/>
  <c r="BB46" i="2" s="1"/>
  <c r="BC7" i="2"/>
  <c r="BB47" i="2" s="1"/>
  <c r="BC8" i="2"/>
  <c r="BB48" i="2" s="1"/>
  <c r="BC9" i="2"/>
  <c r="BB49" i="2" s="1"/>
  <c r="BC10" i="2"/>
  <c r="BB50" i="2" s="1"/>
  <c r="BC11" i="2"/>
  <c r="BB51" i="2" s="1"/>
  <c r="BC12" i="2"/>
  <c r="BB52" i="2" s="1"/>
  <c r="BC13" i="2"/>
  <c r="BB53" i="2" s="1"/>
  <c r="BC14" i="2"/>
  <c r="BB54" i="2" s="1"/>
  <c r="BC15" i="2"/>
  <c r="BB55" i="2" s="1"/>
  <c r="BC16" i="2"/>
  <c r="BB56" i="2" s="1"/>
  <c r="BC17" i="2"/>
  <c r="BB57" i="2" s="1"/>
  <c r="BC18" i="2"/>
  <c r="BB58" i="2" s="1"/>
  <c r="BC19" i="2"/>
  <c r="BB59" i="2" s="1"/>
  <c r="BZ71" i="2"/>
  <c r="BZ70" i="2"/>
  <c r="BZ69" i="2"/>
  <c r="BZ68" i="2"/>
  <c r="BZ64" i="2"/>
  <c r="BZ63" i="2"/>
  <c r="BZ53" i="2"/>
  <c r="BZ52" i="2"/>
  <c r="BZ47" i="2"/>
  <c r="BZ44" i="2"/>
  <c r="BZ42" i="2"/>
  <c r="BZ75" i="2"/>
  <c r="BX75" i="2" a="1"/>
  <c r="BX75" i="2" s="1"/>
  <c r="BY75" i="2" s="1"/>
  <c r="BZ74" i="2"/>
  <c r="BX74" i="2" a="1"/>
  <c r="BX74" i="2" s="1"/>
  <c r="BY74" i="2" s="1"/>
  <c r="BZ73" i="2"/>
  <c r="BX73" i="2" a="1"/>
  <c r="BX73" i="2" s="1"/>
  <c r="BY73" i="2" s="1"/>
  <c r="BZ72" i="2"/>
  <c r="BX72" i="2" a="1"/>
  <c r="BX72" i="2" s="1"/>
  <c r="BY72" i="2" s="1"/>
  <c r="BX71" i="2" a="1"/>
  <c r="BX71" i="2" s="1"/>
  <c r="BY71" i="2" s="1"/>
  <c r="BX70" i="2" a="1"/>
  <c r="BX70" i="2" s="1"/>
  <c r="BY70" i="2" s="1"/>
  <c r="BX69" i="2" a="1"/>
  <c r="BX69" i="2" s="1"/>
  <c r="BY69" i="2" s="1"/>
  <c r="BX68" i="2" a="1"/>
  <c r="BX68" i="2" s="1"/>
  <c r="BY68" i="2" s="1"/>
  <c r="BZ67" i="2"/>
  <c r="BX67" i="2" a="1"/>
  <c r="BX67" i="2" s="1"/>
  <c r="BY67" i="2" s="1"/>
  <c r="BZ66" i="2"/>
  <c r="BX66" i="2" a="1"/>
  <c r="BX66" i="2" s="1"/>
  <c r="BY66" i="2" s="1"/>
  <c r="BZ65" i="2"/>
  <c r="BX65" i="2" a="1"/>
  <c r="BX65" i="2" s="1"/>
  <c r="BY65" i="2" s="1"/>
  <c r="BX63" i="2" a="1"/>
  <c r="BX63" i="2" s="1"/>
  <c r="BY63" i="2" s="1"/>
  <c r="BZ62" i="2"/>
  <c r="BX62" i="2" a="1"/>
  <c r="BX62" i="2" s="1"/>
  <c r="BY62" i="2" s="1"/>
  <c r="BZ61" i="2"/>
  <c r="BX61" i="2" a="1"/>
  <c r="BX61" i="2" s="1"/>
  <c r="BY61" i="2" s="1"/>
  <c r="BZ60" i="2"/>
  <c r="BX60" i="2" a="1"/>
  <c r="BX60" i="2" s="1"/>
  <c r="BY60" i="2" s="1"/>
  <c r="BZ59" i="2"/>
  <c r="BZ58" i="2"/>
  <c r="BX58" i="2" a="1"/>
  <c r="BX58" i="2" s="1"/>
  <c r="BY58" i="2" s="1"/>
  <c r="BZ57" i="2"/>
  <c r="BX57" i="2" a="1"/>
  <c r="BX57" i="2" s="1"/>
  <c r="BY57" i="2" s="1"/>
  <c r="BZ56" i="2"/>
  <c r="BX56" i="2" a="1"/>
  <c r="BX56" i="2" s="1"/>
  <c r="BY56" i="2" s="1"/>
  <c r="BZ55" i="2"/>
  <c r="BX55" i="2" a="1"/>
  <c r="BX55" i="2" s="1"/>
  <c r="BY55" i="2" s="1"/>
  <c r="BZ54" i="2"/>
  <c r="BX54" i="2" a="1"/>
  <c r="BX54" i="2" s="1"/>
  <c r="BY54" i="2" s="1"/>
  <c r="BX53" i="2" a="1"/>
  <c r="BX53" i="2" s="1"/>
  <c r="BY53" i="2" s="1"/>
  <c r="BX52" i="2" a="1"/>
  <c r="BX52" i="2" s="1"/>
  <c r="BY52" i="2" s="1"/>
  <c r="BZ51" i="2"/>
  <c r="BX51" i="2" a="1"/>
  <c r="BX51" i="2" s="1"/>
  <c r="BY51" i="2" s="1"/>
  <c r="BZ50" i="2"/>
  <c r="BX50" i="2" a="1"/>
  <c r="BX50" i="2" s="1"/>
  <c r="BY50" i="2" s="1"/>
  <c r="BZ49" i="2"/>
  <c r="BX49" i="2" a="1"/>
  <c r="BX49" i="2" s="1"/>
  <c r="BY49" i="2" s="1"/>
  <c r="BZ48" i="2"/>
  <c r="BX48" i="2" a="1"/>
  <c r="BX48" i="2" s="1"/>
  <c r="BY48" i="2" s="1"/>
  <c r="BX47" i="2" a="1"/>
  <c r="BX47" i="2" s="1"/>
  <c r="BY47" i="2" s="1"/>
  <c r="BZ46" i="2"/>
  <c r="BX46" i="2" a="1"/>
  <c r="BX46" i="2" s="1"/>
  <c r="BY46" i="2" s="1"/>
  <c r="BZ45" i="2"/>
  <c r="BX45" i="2" a="1"/>
  <c r="BX45" i="2" s="1"/>
  <c r="BY45" i="2" s="1"/>
  <c r="BX44" i="2" a="1"/>
  <c r="BX44" i="2" s="1"/>
  <c r="BY44" i="2" s="1"/>
  <c r="BZ43" i="2"/>
  <c r="BX43" i="2" a="1"/>
  <c r="BX43" i="2" s="1"/>
  <c r="BY43" i="2" s="1"/>
  <c r="BX42" i="2" a="1"/>
  <c r="BX42" i="2" s="1"/>
  <c r="K4" i="2"/>
  <c r="V4" i="2" s="1"/>
  <c r="M4" i="2"/>
  <c r="K5" i="2"/>
  <c r="V5" i="2" s="1"/>
  <c r="M5" i="2"/>
  <c r="P5" i="2" s="1"/>
  <c r="K6" i="2"/>
  <c r="V6" i="2" s="1"/>
  <c r="M6" i="2"/>
  <c r="P6" i="2" s="1"/>
  <c r="K7" i="2"/>
  <c r="V7" i="2" s="1"/>
  <c r="M7" i="2"/>
  <c r="P7" i="2" s="1"/>
  <c r="BY42" i="2" l="1"/>
  <c r="BB38" i="2"/>
  <c r="BB30" i="2"/>
  <c r="BB37" i="2"/>
  <c r="BB29" i="2"/>
  <c r="BB36" i="2"/>
  <c r="BB28" i="2"/>
  <c r="BB35" i="2"/>
  <c r="BB27" i="2"/>
  <c r="BB34" i="2"/>
  <c r="BB26" i="2"/>
  <c r="BB33" i="2"/>
  <c r="BB25" i="2"/>
  <c r="BB32" i="2"/>
  <c r="BB24" i="2"/>
  <c r="BB39" i="2"/>
  <c r="BB31" i="2"/>
  <c r="CO7" i="2"/>
  <c r="CG37" i="2"/>
  <c r="CE37" i="2"/>
  <c r="Q14" i="2"/>
  <c r="R14" i="2" s="1"/>
  <c r="Q21" i="2"/>
  <c r="R21" i="2" s="1"/>
  <c r="Q7" i="2"/>
  <c r="R7" i="2" s="1"/>
  <c r="Q11" i="2"/>
  <c r="R11" i="2" s="1"/>
  <c r="Q18" i="2"/>
  <c r="R18" i="2" s="1"/>
  <c r="BX4" i="2" a="1"/>
  <c r="BX4" i="2" s="1"/>
  <c r="BP4" i="2" s="1"/>
  <c r="Q6" i="2"/>
  <c r="R6" i="2" s="1"/>
  <c r="Q12" i="2"/>
  <c r="R12" i="2" s="1"/>
  <c r="Q5" i="2"/>
  <c r="R5" i="2" s="1"/>
  <c r="Q13" i="2"/>
  <c r="R13" i="2" s="1"/>
  <c r="Q20" i="2"/>
  <c r="R20" i="2" s="1"/>
  <c r="I7" i="30"/>
  <c r="BX64" i="2" a="1"/>
  <c r="BX64" i="2" s="1"/>
  <c r="BX59" i="2" a="1"/>
  <c r="BX59" i="2" s="1"/>
  <c r="CF37" i="2" a="1"/>
  <c r="CF37" i="2" s="1"/>
  <c r="CC37" i="2"/>
  <c r="CD37" i="2" s="1"/>
  <c r="CB42" i="2"/>
  <c r="CB69" i="2"/>
  <c r="CE69" i="2" s="1"/>
  <c r="CB48" i="2"/>
  <c r="CB66" i="2"/>
  <c r="CE66" i="2" s="1"/>
  <c r="CB72" i="2"/>
  <c r="CE72" i="2" s="1"/>
  <c r="CB44" i="2"/>
  <c r="CC44" i="2" s="1"/>
  <c r="CB70" i="2"/>
  <c r="CG70" i="2" s="1"/>
  <c r="CB49" i="2"/>
  <c r="CB54" i="2"/>
  <c r="CC54" i="2" s="1"/>
  <c r="CH54" i="2" s="1"/>
  <c r="CB58" i="2"/>
  <c r="CC58" i="2" s="1"/>
  <c r="CD58" i="2" s="1"/>
  <c r="CB62" i="2"/>
  <c r="CF62" i="2" s="1" a="1"/>
  <c r="CF62" i="2" s="1"/>
  <c r="CB73" i="2"/>
  <c r="CF73" i="2" s="1" a="1"/>
  <c r="CF73" i="2" s="1"/>
  <c r="CB52" i="2"/>
  <c r="CC52" i="2" s="1"/>
  <c r="CH52" i="2" s="1"/>
  <c r="CB50" i="2"/>
  <c r="CC50" i="2" s="1"/>
  <c r="CH50" i="2" s="1"/>
  <c r="CB74" i="2"/>
  <c r="CE74" i="2" s="1"/>
  <c r="CB46" i="2"/>
  <c r="CB64" i="2"/>
  <c r="CE64" i="2" s="1"/>
  <c r="CB56" i="2"/>
  <c r="CC56" i="2" s="1"/>
  <c r="CB60" i="2"/>
  <c r="CC60" i="2" s="1"/>
  <c r="CD60" i="2" s="1"/>
  <c r="CB65" i="2"/>
  <c r="CG65" i="2" s="1"/>
  <c r="CB75" i="2"/>
  <c r="CE75" i="2" s="1"/>
  <c r="CB68" i="2"/>
  <c r="CF68" i="2" s="1" a="1"/>
  <c r="CF68" i="2" s="1"/>
  <c r="CB4" i="2"/>
  <c r="T18" i="2"/>
  <c r="Q19" i="2"/>
  <c r="R19" i="2" s="1"/>
  <c r="T11" i="2"/>
  <c r="P4" i="2"/>
  <c r="CB45" i="2"/>
  <c r="CB61" i="2"/>
  <c r="CB47" i="2"/>
  <c r="CB51" i="2"/>
  <c r="CB53" i="2"/>
  <c r="CB55" i="2"/>
  <c r="CB57" i="2"/>
  <c r="CB59" i="2"/>
  <c r="CB43" i="2"/>
  <c r="CB63" i="2"/>
  <c r="CB67" i="2"/>
  <c r="CB71" i="2"/>
  <c r="CF42" i="2" l="1" a="1"/>
  <c r="CF42" i="2" s="1"/>
  <c r="CC42" i="2"/>
  <c r="CH42" i="2" s="1"/>
  <c r="CC4" i="2"/>
  <c r="G4" i="18" s="1" a="1"/>
  <c r="G4" i="18" s="1"/>
  <c r="H4" i="18" s="1" a="1"/>
  <c r="H4" i="18" s="1"/>
  <c r="I17" i="25"/>
  <c r="I18" i="25"/>
  <c r="I20" i="25"/>
  <c r="I19" i="25"/>
  <c r="Q4" i="2"/>
  <c r="R4" i="2" s="1"/>
  <c r="BY4" i="2"/>
  <c r="CF5" i="2" a="1"/>
  <c r="CF5" i="2" s="1"/>
  <c r="CE4" i="2"/>
  <c r="BY64" i="2"/>
  <c r="BY59" i="2"/>
  <c r="CF64" i="2" a="1"/>
  <c r="CF64" i="2" s="1"/>
  <c r="CC64" i="2"/>
  <c r="CD64" i="2" s="1"/>
  <c r="CC74" i="2"/>
  <c r="CD74" i="2" s="1"/>
  <c r="CG74" i="2"/>
  <c r="CG60" i="2"/>
  <c r="CC62" i="2"/>
  <c r="CD62" i="2" s="1"/>
  <c r="CG69" i="2"/>
  <c r="CG62" i="2"/>
  <c r="CF65" i="2" a="1"/>
  <c r="CF65" i="2" s="1"/>
  <c r="CH58" i="2"/>
  <c r="CF60" i="2" a="1"/>
  <c r="CF60" i="2" s="1"/>
  <c r="CC65" i="2"/>
  <c r="CD65" i="2" s="1"/>
  <c r="CC66" i="2"/>
  <c r="CD66" i="2" s="1"/>
  <c r="CF66" i="2" a="1"/>
  <c r="CF66" i="2" s="1"/>
  <c r="CG66" i="2"/>
  <c r="CG64" i="2"/>
  <c r="CF69" i="2" a="1"/>
  <c r="CF69" i="2" s="1"/>
  <c r="CE62" i="2"/>
  <c r="CD50" i="2"/>
  <c r="CC69" i="2"/>
  <c r="CD69" i="2" s="1"/>
  <c r="CF72" i="2" a="1"/>
  <c r="CF72" i="2" s="1"/>
  <c r="CD52" i="2"/>
  <c r="CF75" i="2" a="1"/>
  <c r="CF75" i="2" s="1"/>
  <c r="CC72" i="2"/>
  <c r="CD72" i="2" s="1"/>
  <c r="CG72" i="2"/>
  <c r="CE70" i="2"/>
  <c r="CC70" i="2"/>
  <c r="CD70" i="2" s="1"/>
  <c r="CF70" i="2" a="1"/>
  <c r="CF70" i="2" s="1"/>
  <c r="CF74" i="2" a="1"/>
  <c r="CF74" i="2" s="1"/>
  <c r="CG68" i="2"/>
  <c r="CC49" i="2"/>
  <c r="CD49" i="2" s="1"/>
  <c r="CC46" i="2"/>
  <c r="CH46" i="2" s="1"/>
  <c r="CC68" i="2"/>
  <c r="CD68" i="2" s="1"/>
  <c r="CE68" i="2"/>
  <c r="CE60" i="2"/>
  <c r="CF4" i="2" a="1"/>
  <c r="CF4" i="2" s="1"/>
  <c r="CE65" i="2"/>
  <c r="CD54" i="2"/>
  <c r="CC75" i="2"/>
  <c r="CD75" i="2" s="1"/>
  <c r="CE73" i="2"/>
  <c r="CC48" i="2"/>
  <c r="CD48" i="2" s="1"/>
  <c r="CG75" i="2"/>
  <c r="CC73" i="2"/>
  <c r="CD73" i="2" s="1"/>
  <c r="CG73" i="2"/>
  <c r="T4" i="2"/>
  <c r="CE61" i="2"/>
  <c r="CE63" i="2"/>
  <c r="CE71" i="2"/>
  <c r="CE59" i="2"/>
  <c r="CE67" i="2"/>
  <c r="CG61" i="2"/>
  <c r="CC61" i="2"/>
  <c r="CD61" i="2" s="1"/>
  <c r="CF61" i="2" a="1"/>
  <c r="CF61" i="2" s="1"/>
  <c r="CC45" i="2"/>
  <c r="CC59" i="2"/>
  <c r="CG59" i="2"/>
  <c r="CF59" i="2" a="1"/>
  <c r="CF59" i="2" s="1"/>
  <c r="CD44" i="2"/>
  <c r="CH44" i="2"/>
  <c r="CD56" i="2"/>
  <c r="CH56" i="2"/>
  <c r="CC57" i="2"/>
  <c r="CC53" i="2"/>
  <c r="CC71" i="2"/>
  <c r="CG71" i="2"/>
  <c r="CF71" i="2" a="1"/>
  <c r="CF71" i="2" s="1"/>
  <c r="CC43" i="2"/>
  <c r="CC55" i="2"/>
  <c r="CC63" i="2"/>
  <c r="CG63" i="2"/>
  <c r="CF63" i="2" a="1"/>
  <c r="CF63" i="2" s="1"/>
  <c r="CC51" i="2"/>
  <c r="CC47" i="2"/>
  <c r="CC67" i="2"/>
  <c r="CG67" i="2"/>
  <c r="CF67" i="2" a="1"/>
  <c r="CF67" i="2" s="1"/>
  <c r="CD4" i="2" l="1"/>
  <c r="CH29" i="2" s="1"/>
  <c r="CH4" i="2"/>
  <c r="CD42" i="2"/>
  <c r="V4" i="18" a="1"/>
  <c r="V4" i="18" s="1"/>
  <c r="W4" i="18" s="1" a="1"/>
  <c r="W4" i="18" s="1"/>
  <c r="CH49" i="2"/>
  <c r="CD46" i="2"/>
  <c r="CH48" i="2"/>
  <c r="CH30" i="2"/>
  <c r="CH45" i="2"/>
  <c r="CD45" i="2"/>
  <c r="CD55" i="2"/>
  <c r="CH55" i="2"/>
  <c r="CD47" i="2"/>
  <c r="CH47" i="2"/>
  <c r="CD59" i="2"/>
  <c r="CD53" i="2"/>
  <c r="CH53" i="2"/>
  <c r="CD67" i="2"/>
  <c r="CD63" i="2"/>
  <c r="CD43" i="2"/>
  <c r="CH43" i="2"/>
  <c r="CD51" i="2"/>
  <c r="CH51" i="2"/>
  <c r="CD71" i="2"/>
  <c r="CD57" i="2"/>
  <c r="CH57" i="2"/>
  <c r="CH27" i="2" l="1"/>
  <c r="CH36" i="2"/>
  <c r="CH34" i="2"/>
  <c r="CH35" i="2"/>
  <c r="CH32" i="2"/>
  <c r="CH25" i="2"/>
  <c r="CH26" i="2"/>
  <c r="CH33" i="2"/>
  <c r="CH24" i="2"/>
  <c r="CH31" i="2"/>
  <c r="CH28" i="2"/>
  <c r="CH37" i="2"/>
  <c r="CH71" i="2"/>
  <c r="CH60" i="2"/>
  <c r="CH61" i="2"/>
  <c r="CH63" i="2"/>
  <c r="CH59" i="2"/>
  <c r="CH68" i="2"/>
  <c r="CH74" i="2"/>
  <c r="CH64" i="2"/>
  <c r="CH62" i="2"/>
  <c r="CH70" i="2"/>
  <c r="CH65" i="2"/>
  <c r="CH73" i="2"/>
  <c r="CH72" i="2"/>
  <c r="CH69" i="2"/>
  <c r="CH75" i="2"/>
  <c r="CH66" i="2"/>
  <c r="CH67" i="2"/>
  <c r="J15" i="25" l="1"/>
  <c r="I15" i="25"/>
  <c r="J16" i="25"/>
  <c r="H15" i="25"/>
  <c r="I16" i="25"/>
  <c r="H21" i="25"/>
  <c r="J22" i="25"/>
  <c r="I22" i="25"/>
  <c r="I21" i="25"/>
  <c r="J21" i="25"/>
  <c r="CG5" i="2"/>
  <c r="CG4" i="2"/>
  <c r="S18" i="2"/>
  <c r="U18" i="2" s="1"/>
  <c r="S20" i="2"/>
  <c r="S14" i="2"/>
  <c r="S12" i="2"/>
  <c r="S21" i="2"/>
  <c r="S13" i="2"/>
  <c r="S11" i="2"/>
  <c r="U11" i="2" s="1"/>
  <c r="S19" i="2"/>
  <c r="S6" i="2"/>
  <c r="S5" i="2"/>
  <c r="S7" i="2"/>
  <c r="S4" i="2"/>
  <c r="U4" i="2" s="1"/>
  <c r="J4" i="2" s="1"/>
  <c r="CE56" i="2"/>
  <c r="CE42" i="2"/>
  <c r="CE48" i="2"/>
  <c r="CE52" i="2"/>
  <c r="CE44" i="2"/>
  <c r="CE49" i="2"/>
  <c r="CE50" i="2"/>
  <c r="CE54" i="2"/>
  <c r="CE58" i="2"/>
  <c r="CE46" i="2"/>
  <c r="CE43" i="2"/>
  <c r="CE53" i="2"/>
  <c r="CE57" i="2"/>
  <c r="CE55" i="2"/>
  <c r="CE47" i="2"/>
  <c r="CE51" i="2"/>
  <c r="CE45" i="2"/>
  <c r="CF9" i="2" l="1" a="1"/>
  <c r="CF9" i="2" s="1"/>
  <c r="CG9" i="2" s="1"/>
  <c r="CF17" i="2" a="1"/>
  <c r="CF17" i="2" s="1"/>
  <c r="CG17" i="2" s="1"/>
  <c r="CF10" i="2" a="1"/>
  <c r="CF10" i="2" s="1"/>
  <c r="CG10" i="2" s="1"/>
  <c r="CF18" i="2" a="1"/>
  <c r="CF18" i="2" s="1"/>
  <c r="CG18" i="2" s="1"/>
  <c r="CF12" i="2" a="1"/>
  <c r="CF12" i="2" s="1"/>
  <c r="CG12" i="2" s="1"/>
  <c r="CF19" i="2" a="1"/>
  <c r="CF19" i="2" s="1"/>
  <c r="CG19" i="2" s="1"/>
  <c r="CF11" i="2" a="1"/>
  <c r="CF11" i="2" s="1"/>
  <c r="CG11" i="2" s="1"/>
  <c r="CF20" i="2" a="1"/>
  <c r="CF20" i="2" s="1"/>
  <c r="CG20" i="2" s="1"/>
  <c r="CF13" i="2" a="1"/>
  <c r="CF13" i="2" s="1"/>
  <c r="CG13" i="2" s="1"/>
  <c r="CF14" i="2" a="1"/>
  <c r="CF14" i="2" s="1"/>
  <c r="CG14" i="2" s="1"/>
  <c r="CF15" i="2" a="1"/>
  <c r="CF15" i="2" s="1"/>
  <c r="CG15" i="2" s="1"/>
  <c r="CF6" i="2" a="1"/>
  <c r="CF6" i="2" s="1"/>
  <c r="CG6" i="2" s="1"/>
  <c r="CF16" i="2" a="1"/>
  <c r="CF16" i="2" s="1"/>
  <c r="CG16" i="2" s="1"/>
  <c r="T12" i="2"/>
  <c r="U12" i="2" s="1"/>
  <c r="T13" i="2"/>
  <c r="U13" i="2" s="1"/>
  <c r="I11" i="2"/>
  <c r="T14" i="2"/>
  <c r="U14" i="2" s="1"/>
  <c r="J11" i="2"/>
  <c r="J18" i="2"/>
  <c r="I18" i="2"/>
  <c r="T19" i="2"/>
  <c r="U19" i="2" s="1"/>
  <c r="T20" i="2"/>
  <c r="U20" i="2" s="1"/>
  <c r="T21" i="2"/>
  <c r="U21" i="2" s="1"/>
  <c r="BB4" i="2"/>
  <c r="BB5" i="2"/>
  <c r="BB6" i="2"/>
  <c r="BB7" i="2"/>
  <c r="BB8" i="2"/>
  <c r="BB9" i="2"/>
  <c r="BB10" i="2"/>
  <c r="BB11" i="2"/>
  <c r="BB12" i="2"/>
  <c r="BB13" i="2"/>
  <c r="BB14" i="2"/>
  <c r="BB15" i="2"/>
  <c r="BB16" i="2"/>
  <c r="BB17" i="2"/>
  <c r="BB18" i="2"/>
  <c r="BB19" i="2"/>
  <c r="J4" i="18" l="1" a="1"/>
  <c r="J4" i="18" s="1"/>
  <c r="I4" i="18" s="1" a="1"/>
  <c r="I4" i="18" s="1"/>
  <c r="BD6" i="2"/>
  <c r="BD4" i="2"/>
  <c r="BD12" i="2"/>
  <c r="BC32" i="2" s="1"/>
  <c r="BD19" i="2"/>
  <c r="BD11" i="2"/>
  <c r="BD10" i="2"/>
  <c r="BD9" i="2"/>
  <c r="BD16" i="2"/>
  <c r="BD8" i="2"/>
  <c r="BD18" i="2"/>
  <c r="BD17" i="2"/>
  <c r="BD15" i="2"/>
  <c r="BD7" i="2"/>
  <c r="BD14" i="2"/>
  <c r="BD13" i="2"/>
  <c r="BD5" i="2"/>
  <c r="I19" i="2"/>
  <c r="J19" i="2"/>
  <c r="I14" i="2"/>
  <c r="J14" i="2"/>
  <c r="I21" i="2"/>
  <c r="J21" i="2"/>
  <c r="J13" i="2"/>
  <c r="I13" i="2"/>
  <c r="I20" i="2"/>
  <c r="J20" i="2"/>
  <c r="J12" i="2"/>
  <c r="I12" i="2"/>
  <c r="AF4" i="2"/>
  <c r="AF5" i="2"/>
  <c r="AF6" i="2"/>
  <c r="AF7" i="2"/>
  <c r="AF8" i="2"/>
  <c r="AF9" i="2"/>
  <c r="AF10" i="2"/>
  <c r="AF11" i="2"/>
  <c r="AF12" i="2"/>
  <c r="AF13" i="2"/>
  <c r="AF14" i="2"/>
  <c r="AF15" i="2"/>
  <c r="AF16" i="2"/>
  <c r="AF17" i="2"/>
  <c r="AF18" i="2"/>
  <c r="AF19" i="2"/>
  <c r="AF20" i="2"/>
  <c r="AF21" i="2"/>
  <c r="AF22" i="2"/>
  <c r="AF23" i="2"/>
  <c r="BC30" i="2" l="1"/>
  <c r="AY30" i="2" s="1"/>
  <c r="BC27" i="2"/>
  <c r="AY27" i="2" s="1"/>
  <c r="BC31" i="2"/>
  <c r="BC33" i="2"/>
  <c r="BA33" i="2" s="1"/>
  <c r="BC55" i="2"/>
  <c r="BA55" i="2" s="1"/>
  <c r="BC39" i="2"/>
  <c r="BC37" i="2"/>
  <c r="BA37" i="2" s="1"/>
  <c r="BC38" i="2"/>
  <c r="AY38" i="2" s="1"/>
  <c r="BC29" i="2"/>
  <c r="BC28" i="2"/>
  <c r="AY28" i="2" s="1"/>
  <c r="BC26" i="2"/>
  <c r="AY26" i="2" s="1"/>
  <c r="BC45" i="2"/>
  <c r="AY45" i="2" s="1"/>
  <c r="BC25" i="2"/>
  <c r="AY25" i="2" s="1"/>
  <c r="BC56" i="2"/>
  <c r="BC59" i="2"/>
  <c r="BC34" i="2"/>
  <c r="AY34" i="2" s="1"/>
  <c r="BC53" i="2"/>
  <c r="BC57" i="2"/>
  <c r="BC49" i="2"/>
  <c r="BC52" i="2"/>
  <c r="BC35" i="2"/>
  <c r="AY35" i="2" s="1"/>
  <c r="BC54" i="2"/>
  <c r="BC58" i="2"/>
  <c r="BC50" i="2"/>
  <c r="BC44" i="2"/>
  <c r="BC36" i="2"/>
  <c r="AY36" i="2" s="1"/>
  <c r="BC24" i="2"/>
  <c r="BA24" i="2" s="1"/>
  <c r="BC47" i="2"/>
  <c r="BC48" i="2"/>
  <c r="BC51" i="2"/>
  <c r="BC46" i="2"/>
  <c r="AE14" i="2"/>
  <c r="AM14" i="2"/>
  <c r="AE15" i="2"/>
  <c r="AM15" i="2"/>
  <c r="AE13" i="2"/>
  <c r="AM13" i="2"/>
  <c r="AE21" i="2"/>
  <c r="AM21" i="2"/>
  <c r="AE20" i="2"/>
  <c r="AM20" i="2"/>
  <c r="AE12" i="2"/>
  <c r="AM12" i="2"/>
  <c r="AE23" i="2"/>
  <c r="AM23" i="2"/>
  <c r="AE22" i="2"/>
  <c r="AM22" i="2"/>
  <c r="AE19" i="2"/>
  <c r="AM19" i="2"/>
  <c r="AE18" i="2"/>
  <c r="AM18" i="2"/>
  <c r="AE17" i="2"/>
  <c r="AM17" i="2"/>
  <c r="AE16" i="2"/>
  <c r="AM16" i="2"/>
  <c r="AL23" i="2"/>
  <c r="AL15" i="2"/>
  <c r="AL22" i="2"/>
  <c r="AL14" i="2"/>
  <c r="AL21" i="2"/>
  <c r="AL13" i="2"/>
  <c r="AL12" i="2"/>
  <c r="AL19" i="2"/>
  <c r="AL18" i="2"/>
  <c r="AL17" i="2"/>
  <c r="AL20" i="2"/>
  <c r="AL16" i="2"/>
  <c r="AC18" i="2"/>
  <c r="AC17" i="2"/>
  <c r="AC16" i="2"/>
  <c r="AC19" i="2"/>
  <c r="AC23" i="2"/>
  <c r="AC15" i="2"/>
  <c r="AC22" i="2"/>
  <c r="AC14" i="2"/>
  <c r="AC21" i="2"/>
  <c r="AC13" i="2"/>
  <c r="AC20" i="2"/>
  <c r="AC12" i="2"/>
  <c r="AN23" i="2" a="1"/>
  <c r="AN23" i="2" s="1"/>
  <c r="AN22" i="2" a="1"/>
  <c r="AN22" i="2" s="1"/>
  <c r="AN19" i="2" a="1"/>
  <c r="AN19" i="2" s="1"/>
  <c r="AN17" i="2" a="1"/>
  <c r="AN17" i="2" s="1"/>
  <c r="AN16" i="2" a="1"/>
  <c r="AN16" i="2" s="1"/>
  <c r="AN18" i="2" a="1"/>
  <c r="AN18" i="2" s="1"/>
  <c r="AN15" i="2" a="1"/>
  <c r="AN15" i="2" s="1"/>
  <c r="AN14" i="2" a="1"/>
  <c r="AN14" i="2" s="1"/>
  <c r="AN21" i="2" a="1"/>
  <c r="AN21" i="2" s="1"/>
  <c r="AN13" i="2" a="1"/>
  <c r="AN13" i="2" s="1"/>
  <c r="AN20" i="2" a="1"/>
  <c r="AN20" i="2" s="1"/>
  <c r="AN12" i="2" a="1"/>
  <c r="AN12" i="2" s="1"/>
  <c r="AD18" i="2"/>
  <c r="AD17" i="2"/>
  <c r="AD16" i="2"/>
  <c r="AD23" i="2"/>
  <c r="AD15" i="2"/>
  <c r="AD22" i="2"/>
  <c r="AD14" i="2"/>
  <c r="AD19" i="2"/>
  <c r="AD21" i="2"/>
  <c r="AD13" i="2"/>
  <c r="AD20" i="2"/>
  <c r="AD12" i="2"/>
  <c r="AH18" i="2"/>
  <c r="AH19" i="2"/>
  <c r="AH13" i="2"/>
  <c r="AH21" i="2"/>
  <c r="AG22" i="2"/>
  <c r="AG14" i="2"/>
  <c r="AG6" i="2"/>
  <c r="AH6" i="2" s="1"/>
  <c r="AG21" i="2"/>
  <c r="AG13" i="2"/>
  <c r="AG5" i="2"/>
  <c r="AH5" i="2" s="1"/>
  <c r="AH17" i="2"/>
  <c r="AG20" i="2"/>
  <c r="AG12" i="2"/>
  <c r="AG4" i="2"/>
  <c r="AH4" i="2" s="1"/>
  <c r="AH16" i="2"/>
  <c r="AG19" i="2"/>
  <c r="AG11" i="2"/>
  <c r="AH11" i="2" s="1"/>
  <c r="AH23" i="2"/>
  <c r="AH15" i="2"/>
  <c r="AG23" i="2"/>
  <c r="AG15" i="2"/>
  <c r="AG7" i="2"/>
  <c r="AH7" i="2" s="1"/>
  <c r="AG18" i="2"/>
  <c r="AG10" i="2"/>
  <c r="AH10" i="2" s="1"/>
  <c r="AH22" i="2"/>
  <c r="AH14" i="2"/>
  <c r="AG17" i="2"/>
  <c r="AG9" i="2"/>
  <c r="AH9" i="2" s="1"/>
  <c r="AG16" i="2"/>
  <c r="AG8" i="2"/>
  <c r="AH8" i="2" s="1"/>
  <c r="AH20" i="2"/>
  <c r="AH12" i="2"/>
  <c r="BA27" i="2" l="1"/>
  <c r="AY55" i="2"/>
  <c r="BA38" i="2"/>
  <c r="AY33" i="2"/>
  <c r="AY37" i="2"/>
  <c r="BA30" i="2"/>
  <c r="BA28" i="2"/>
  <c r="BA45" i="2"/>
  <c r="BA26" i="2"/>
  <c r="BA25" i="2"/>
  <c r="BA35" i="2"/>
  <c r="J19" i="25"/>
  <c r="J17" i="25"/>
  <c r="BA34" i="2"/>
  <c r="J18" i="25"/>
  <c r="AY46" i="2"/>
  <c r="BA46" i="2"/>
  <c r="BA36" i="2"/>
  <c r="J20" i="25"/>
  <c r="AY48" i="2"/>
  <c r="BA48" i="2"/>
  <c r="AY44" i="2"/>
  <c r="BA44" i="2"/>
  <c r="AY47" i="2"/>
  <c r="BA47" i="2"/>
  <c r="AY50" i="2"/>
  <c r="BA50" i="2"/>
  <c r="BA58" i="2"/>
  <c r="AY58" i="2"/>
  <c r="AY57" i="2"/>
  <c r="BA57" i="2"/>
  <c r="AY54" i="2"/>
  <c r="BA54" i="2"/>
  <c r="AY53" i="2"/>
  <c r="BA53" i="2"/>
  <c r="AY24" i="2"/>
  <c r="AY56" i="2"/>
  <c r="BA56" i="2"/>
  <c r="BP74" i="2"/>
  <c r="BP72" i="2"/>
  <c r="BP43" i="2"/>
  <c r="BP68" i="2"/>
  <c r="BP66" i="2"/>
  <c r="BP73" i="2"/>
  <c r="BP62" i="2"/>
  <c r="BP67" i="2"/>
  <c r="BP75" i="2"/>
  <c r="BP64" i="2"/>
  <c r="BP42" i="2"/>
  <c r="BP60" i="2"/>
  <c r="BP70" i="2"/>
  <c r="BP69" i="2"/>
  <c r="BP63" i="2"/>
  <c r="BP71" i="2"/>
  <c r="BP59" i="2"/>
  <c r="BP61" i="2"/>
  <c r="BP65" i="2"/>
  <c r="I5" i="5"/>
  <c r="J5" i="5"/>
  <c r="K5" i="5" s="1" a="1"/>
  <c r="K5" i="5" s="1"/>
  <c r="L5" i="5" s="1"/>
  <c r="I6" i="5"/>
  <c r="J6" i="5"/>
  <c r="K6" i="5" s="1" a="1"/>
  <c r="K6" i="5" s="1"/>
  <c r="L6" i="5" s="1"/>
  <c r="I7" i="5"/>
  <c r="J7" i="5"/>
  <c r="K7" i="5" s="1" a="1"/>
  <c r="K7" i="5" s="1"/>
  <c r="L7" i="5" s="1"/>
  <c r="I8" i="5"/>
  <c r="J8" i="5"/>
  <c r="K8" i="5" s="1" a="1"/>
  <c r="K8" i="5" s="1"/>
  <c r="L8" i="5" s="1"/>
  <c r="I9" i="5"/>
  <c r="J9" i="5"/>
  <c r="K9" i="5" s="1" a="1"/>
  <c r="K9" i="5" s="1"/>
  <c r="L9" i="5" s="1"/>
  <c r="I10" i="5"/>
  <c r="J10" i="5"/>
  <c r="K10" i="5" s="1" a="1"/>
  <c r="K10" i="5" s="1"/>
  <c r="L10" i="5" s="1"/>
  <c r="I11" i="5"/>
  <c r="J11" i="5"/>
  <c r="K11" i="5" s="1" a="1"/>
  <c r="K11" i="5" s="1"/>
  <c r="L11" i="5" s="1"/>
  <c r="I12" i="5"/>
  <c r="J12" i="5"/>
  <c r="K12" i="5" s="1" a="1"/>
  <c r="K12" i="5" s="1"/>
  <c r="L12" i="5" s="1"/>
  <c r="I13" i="5"/>
  <c r="J13" i="5"/>
  <c r="K13" i="5" s="1" a="1"/>
  <c r="K13" i="5" s="1"/>
  <c r="L13" i="5" s="1"/>
  <c r="I14" i="5"/>
  <c r="J14" i="5"/>
  <c r="K14" i="5" s="1" a="1"/>
  <c r="K14" i="5" s="1"/>
  <c r="L14" i="5" s="1"/>
  <c r="I15" i="5"/>
  <c r="J15" i="5"/>
  <c r="K15" i="5" s="1" a="1"/>
  <c r="K15" i="5" s="1"/>
  <c r="L15" i="5" s="1"/>
  <c r="I16" i="5"/>
  <c r="J16" i="5"/>
  <c r="K16" i="5" s="1" a="1"/>
  <c r="K16" i="5" s="1"/>
  <c r="L16" i="5" s="1"/>
  <c r="I17" i="5"/>
  <c r="J17" i="5"/>
  <c r="K17" i="5" s="1" a="1"/>
  <c r="K17" i="5" s="1"/>
  <c r="L17" i="5" s="1"/>
  <c r="I18" i="5"/>
  <c r="J18" i="5"/>
  <c r="K18" i="5" s="1" a="1"/>
  <c r="K18" i="5" s="1"/>
  <c r="L18" i="5" s="1"/>
  <c r="I19" i="5"/>
  <c r="J19" i="5"/>
  <c r="K19" i="5" s="1" a="1"/>
  <c r="K19" i="5" s="1"/>
  <c r="L19" i="5" s="1"/>
  <c r="I20" i="5"/>
  <c r="J20" i="5"/>
  <c r="K20" i="5" s="1" a="1"/>
  <c r="K20" i="5" s="1"/>
  <c r="L20" i="5" s="1"/>
  <c r="I21" i="5"/>
  <c r="J21" i="5"/>
  <c r="K21" i="5" s="1" a="1"/>
  <c r="K21" i="5" s="1"/>
  <c r="L21" i="5" s="1"/>
  <c r="H26" i="5"/>
  <c r="H27" i="5"/>
  <c r="I27" i="5" s="1"/>
  <c r="H28" i="5"/>
  <c r="J28" i="5" s="1"/>
  <c r="K28" i="5" s="1" a="1"/>
  <c r="K28" i="5" s="1"/>
  <c r="L28" i="5" s="1"/>
  <c r="H29" i="5"/>
  <c r="J29" i="5" s="1"/>
  <c r="K29" i="5" s="1" a="1"/>
  <c r="K29" i="5" s="1"/>
  <c r="L29" i="5" s="1"/>
  <c r="H30" i="5"/>
  <c r="J30" i="5" s="1"/>
  <c r="K30" i="5" s="1" a="1"/>
  <c r="K30" i="5" s="1"/>
  <c r="L30" i="5" s="1"/>
  <c r="H31" i="5"/>
  <c r="I31" i="5" s="1"/>
  <c r="H32" i="5"/>
  <c r="I32" i="5" s="1"/>
  <c r="H33" i="5"/>
  <c r="H34" i="5"/>
  <c r="H35" i="5"/>
  <c r="I35" i="5" s="1"/>
  <c r="H36" i="5"/>
  <c r="J36" i="5" s="1"/>
  <c r="K36" i="5" s="1" a="1"/>
  <c r="K36" i="5" s="1"/>
  <c r="L36" i="5" s="1"/>
  <c r="H37" i="5"/>
  <c r="H38" i="5"/>
  <c r="J38" i="5" s="1"/>
  <c r="K38" i="5" s="1" a="1"/>
  <c r="K38" i="5" s="1"/>
  <c r="L38" i="5" s="1"/>
  <c r="H39" i="5"/>
  <c r="J39" i="5" s="1"/>
  <c r="K39" i="5" s="1" a="1"/>
  <c r="K39" i="5" s="1"/>
  <c r="L39" i="5" s="1"/>
  <c r="T7" i="2" l="1"/>
  <c r="U7" i="2" s="1"/>
  <c r="J7" i="2" s="1"/>
  <c r="T6" i="2"/>
  <c r="U6" i="2" s="1"/>
  <c r="J6" i="2" s="1"/>
  <c r="T5" i="2"/>
  <c r="U5" i="2" s="1"/>
  <c r="J5" i="2" s="1"/>
  <c r="CF43" i="2" a="1"/>
  <c r="CF43" i="2" s="1"/>
  <c r="CG43" i="2" s="1"/>
  <c r="BP57" i="2"/>
  <c r="BP50" i="2"/>
  <c r="BP58" i="2"/>
  <c r="CG42" i="2"/>
  <c r="BP54" i="2"/>
  <c r="BP55" i="2"/>
  <c r="BP49" i="2"/>
  <c r="BP46" i="2"/>
  <c r="BP52" i="2"/>
  <c r="BP56" i="2"/>
  <c r="BP44" i="2"/>
  <c r="BP45" i="2"/>
  <c r="BP53" i="2"/>
  <c r="BP47" i="2"/>
  <c r="BP51" i="2"/>
  <c r="BP48" i="2"/>
  <c r="I4" i="2"/>
  <c r="AI6" i="2"/>
  <c r="AI7" i="2"/>
  <c r="AI8" i="2"/>
  <c r="AJ6" i="2"/>
  <c r="AK6" i="2" s="1"/>
  <c r="AI4" i="2"/>
  <c r="AI11" i="2"/>
  <c r="AJ11" i="2"/>
  <c r="AK11" i="2" s="1"/>
  <c r="AJ10" i="2"/>
  <c r="AK10" i="2" s="1"/>
  <c r="AJ7" i="2"/>
  <c r="AK7" i="2" s="1"/>
  <c r="AI10" i="2"/>
  <c r="AJ9" i="2"/>
  <c r="AK9" i="2" s="1"/>
  <c r="AI9" i="2"/>
  <c r="AJ8" i="2"/>
  <c r="AK8" i="2" s="1"/>
  <c r="AJ5" i="2"/>
  <c r="AK5" i="2" s="1"/>
  <c r="AI5" i="2"/>
  <c r="AJ4" i="2"/>
  <c r="AK4" i="2" s="1"/>
  <c r="J27" i="5"/>
  <c r="K27" i="5" s="1" a="1"/>
  <c r="K27" i="5" s="1"/>
  <c r="L27" i="5" s="1"/>
  <c r="I39" i="5"/>
  <c r="J32" i="5"/>
  <c r="K32" i="5" s="1" a="1"/>
  <c r="K32" i="5" s="1"/>
  <c r="L32" i="5" s="1"/>
  <c r="I36" i="5"/>
  <c r="I28" i="5"/>
  <c r="J31" i="5"/>
  <c r="K31" i="5" s="1" a="1"/>
  <c r="K31" i="5" s="1"/>
  <c r="L31" i="5" s="1"/>
  <c r="J35" i="5"/>
  <c r="K35" i="5" s="1" a="1"/>
  <c r="K35" i="5" s="1"/>
  <c r="L35" i="5" s="1"/>
  <c r="I38" i="5"/>
  <c r="I30" i="5"/>
  <c r="J37" i="5"/>
  <c r="K37" i="5" s="1" a="1"/>
  <c r="K37" i="5" s="1"/>
  <c r="L37" i="5" s="1"/>
  <c r="I37" i="5"/>
  <c r="I33" i="5"/>
  <c r="J33" i="5"/>
  <c r="K33" i="5" s="1" a="1"/>
  <c r="K33" i="5" s="1"/>
  <c r="L33" i="5" s="1"/>
  <c r="I29" i="5"/>
  <c r="I26" i="5"/>
  <c r="J26" i="5"/>
  <c r="K26" i="5" s="1" a="1"/>
  <c r="K26" i="5" s="1"/>
  <c r="L26" i="5" s="1"/>
  <c r="I34" i="5"/>
  <c r="J34" i="5"/>
  <c r="K34" i="5" s="1" a="1"/>
  <c r="K34" i="5" s="1"/>
  <c r="L34" i="5" s="1"/>
  <c r="AL7" i="2" l="1"/>
  <c r="AC7" i="2" s="1"/>
  <c r="AL5" i="2"/>
  <c r="AC5" i="2" s="1"/>
  <c r="AL8" i="2"/>
  <c r="AC8" i="2" s="1"/>
  <c r="AL4" i="2"/>
  <c r="AL9" i="2"/>
  <c r="AC9" i="2" s="1"/>
  <c r="AL10" i="2"/>
  <c r="AC10" i="2" s="1"/>
  <c r="AL11" i="2"/>
  <c r="AC11" i="2" s="1"/>
  <c r="AL6" i="2"/>
  <c r="AC6" i="2" s="1"/>
  <c r="CF57" i="2" a="1"/>
  <c r="CF57" i="2" s="1"/>
  <c r="CG57" i="2" s="1"/>
  <c r="CF52" i="2" a="1"/>
  <c r="CF52" i="2" s="1"/>
  <c r="CG52" i="2" s="1"/>
  <c r="CF55" i="2" a="1"/>
  <c r="CF55" i="2" s="1"/>
  <c r="CG55" i="2" s="1"/>
  <c r="CF48" i="2" a="1"/>
  <c r="CF48" i="2" s="1"/>
  <c r="CG48" i="2" s="1"/>
  <c r="CF51" i="2" a="1"/>
  <c r="CF51" i="2" s="1"/>
  <c r="CG51" i="2" s="1"/>
  <c r="CF47" i="2" a="1"/>
  <c r="CF47" i="2" s="1"/>
  <c r="CG47" i="2" s="1"/>
  <c r="CF54" i="2" a="1"/>
  <c r="CF54" i="2" s="1"/>
  <c r="CG54" i="2" s="1"/>
  <c r="CF58" i="2" a="1"/>
  <c r="CF58" i="2" s="1"/>
  <c r="CG58" i="2" s="1"/>
  <c r="CF50" i="2" a="1"/>
  <c r="CF50" i="2" s="1"/>
  <c r="CG50" i="2" s="1"/>
  <c r="CF53" i="2" a="1"/>
  <c r="CF53" i="2" s="1"/>
  <c r="CG53" i="2" s="1"/>
  <c r="CF45" i="2" a="1"/>
  <c r="CF45" i="2" s="1"/>
  <c r="CG45" i="2" s="1"/>
  <c r="CF44" i="2" a="1"/>
  <c r="CF44" i="2" s="1"/>
  <c r="CG44" i="2" s="1"/>
  <c r="CF56" i="2" a="1"/>
  <c r="CF56" i="2" s="1"/>
  <c r="CG56" i="2" s="1"/>
  <c r="CF46" i="2" a="1"/>
  <c r="CF46" i="2" s="1"/>
  <c r="CG46" i="2" s="1"/>
  <c r="CF49" i="2" a="1"/>
  <c r="CF49" i="2" s="1"/>
  <c r="CG49" i="2" s="1"/>
  <c r="I6" i="2"/>
  <c r="I7" i="2"/>
  <c r="I5" i="2"/>
  <c r="AC4" i="2" l="1"/>
  <c r="AP4" i="2" a="1"/>
  <c r="AP4" i="2" s="1"/>
  <c r="Y4" i="18" a="1"/>
  <c r="Y4" i="18" s="1"/>
  <c r="X4" i="18" s="1" a="1"/>
  <c r="X4" i="18" s="1"/>
  <c r="AM4" i="2"/>
  <c r="AM9" i="2"/>
  <c r="AM5" i="2"/>
  <c r="AM7" i="2"/>
  <c r="AM6" i="2"/>
  <c r="AM10" i="2"/>
  <c r="AM8" i="2"/>
  <c r="AM11" i="2"/>
  <c r="AR4" i="2" l="1" a="1"/>
  <c r="AR4" i="2" s="1"/>
  <c r="AS4" i="2" s="1" a="1"/>
  <c r="AS4" i="2" s="1"/>
  <c r="AT4" i="2" s="1" a="1"/>
  <c r="AT4" i="2" s="1"/>
  <c r="BH12" i="2"/>
  <c r="BI12" i="2" s="1" a="1"/>
  <c r="BI12" i="2" s="1"/>
  <c r="BH11" i="2"/>
  <c r="BI11" i="2" s="1" a="1"/>
  <c r="BI11" i="2" s="1"/>
  <c r="BH4" i="2"/>
  <c r="BI4" i="2" s="1" a="1"/>
  <c r="BI4" i="2" s="1"/>
  <c r="BH16" i="2"/>
  <c r="BI16" i="2" s="1" a="1"/>
  <c r="BI16" i="2" s="1"/>
  <c r="BH13" i="2"/>
  <c r="BI13" i="2" s="1" a="1"/>
  <c r="BI13" i="2" s="1"/>
  <c r="BH18" i="2"/>
  <c r="BI18" i="2" s="1" a="1"/>
  <c r="BI18" i="2" s="1"/>
  <c r="BH5" i="2"/>
  <c r="BI5" i="2" s="1" a="1"/>
  <c r="BI5" i="2" s="1"/>
  <c r="BH10" i="2"/>
  <c r="BI10" i="2" s="1" a="1"/>
  <c r="BI10" i="2" s="1"/>
  <c r="BH9" i="2"/>
  <c r="BI9" i="2" s="1" a="1"/>
  <c r="BI9" i="2" s="1"/>
  <c r="BH17" i="2"/>
  <c r="BI17" i="2" s="1" a="1"/>
  <c r="BI17" i="2" s="1"/>
  <c r="BH6" i="2"/>
  <c r="BI6" i="2" s="1" a="1"/>
  <c r="BI6" i="2" s="1"/>
  <c r="BH15" i="2"/>
  <c r="BI15" i="2" s="1" a="1"/>
  <c r="BI15" i="2" s="1"/>
  <c r="BH14" i="2"/>
  <c r="BI14" i="2" s="1" a="1"/>
  <c r="BI14" i="2" s="1"/>
  <c r="BH7" i="2"/>
  <c r="BI7" i="2" s="1" a="1"/>
  <c r="BI7" i="2" s="1"/>
  <c r="BH19" i="2"/>
  <c r="BI19" i="2" s="1" a="1"/>
  <c r="BI19" i="2" s="1"/>
  <c r="BH8" i="2"/>
  <c r="BI8" i="2" s="1" a="1"/>
  <c r="BI8" i="2" s="1"/>
  <c r="BQ56" i="2" a="1"/>
  <c r="BQ59" i="2" a="1"/>
  <c r="BQ72" i="2" a="1"/>
  <c r="BQ57" i="2" a="1"/>
  <c r="BQ44" i="2" a="1"/>
  <c r="BQ42" i="2" a="1"/>
  <c r="BQ47" i="2" a="1"/>
  <c r="BQ58" i="2" a="1"/>
  <c r="BQ68" i="2" a="1"/>
  <c r="BQ75" i="2" a="1"/>
  <c r="BQ66" i="2" a="1"/>
  <c r="BQ74" i="2" a="1"/>
  <c r="BQ63" i="2" a="1"/>
  <c r="BQ54" i="2" a="1"/>
  <c r="BQ46" i="2" a="1"/>
  <c r="BQ65" i="2" a="1"/>
  <c r="BQ64" i="2" a="1"/>
  <c r="BQ45" i="2" a="1"/>
  <c r="BQ52" i="2" a="1"/>
  <c r="BQ73" i="2" a="1"/>
  <c r="BQ43" i="2" a="1"/>
  <c r="BQ60" i="2" a="1"/>
  <c r="BQ70" i="2" a="1"/>
  <c r="BQ61" i="2" a="1"/>
  <c r="BQ53" i="2" a="1"/>
  <c r="BQ67" i="2" a="1"/>
  <c r="BQ49" i="2" a="1"/>
  <c r="BQ62" i="2" a="1"/>
  <c r="BQ71" i="2" a="1"/>
  <c r="BQ48" i="2" a="1"/>
  <c r="BQ69" i="2" a="1"/>
  <c r="BQ50" i="2" a="1"/>
  <c r="BQ55" i="2" a="1"/>
  <c r="BQ51" i="2" a="1"/>
  <c r="BQ47" i="2" l="1"/>
  <c r="BA11" i="2"/>
  <c r="BA15" i="2"/>
  <c r="BA17" i="2"/>
  <c r="BA14" i="2"/>
  <c r="BA12" i="2"/>
  <c r="BA19" i="2"/>
  <c r="BA8" i="2"/>
  <c r="BA5" i="2"/>
  <c r="BA18" i="2"/>
  <c r="BA7" i="2"/>
  <c r="BA9" i="2"/>
  <c r="BA16" i="2"/>
  <c r="BA13" i="2"/>
  <c r="BA10" i="2"/>
  <c r="BA6" i="2"/>
  <c r="BQ48" i="2"/>
  <c r="BQ69" i="2"/>
  <c r="BQ71" i="2"/>
  <c r="BQ58" i="2"/>
  <c r="BQ53" i="2"/>
  <c r="BQ59" i="2"/>
  <c r="BQ51" i="2"/>
  <c r="BQ72" i="2"/>
  <c r="BQ57" i="2"/>
  <c r="BQ75" i="2"/>
  <c r="BQ70" i="2"/>
  <c r="BQ67" i="2"/>
  <c r="BQ49" i="2"/>
  <c r="BQ65" i="2"/>
  <c r="BQ52" i="2"/>
  <c r="BQ61" i="2"/>
  <c r="BQ73" i="2"/>
  <c r="BQ43" i="2"/>
  <c r="BQ74" i="2"/>
  <c r="BQ42" i="2"/>
  <c r="BR42" i="2" s="1"/>
  <c r="BQ68" i="2"/>
  <c r="BQ50" i="2"/>
  <c r="BQ54" i="2"/>
  <c r="BQ63" i="2"/>
  <c r="BQ64" i="2"/>
  <c r="BQ46" i="2"/>
  <c r="BQ66" i="2"/>
  <c r="BQ56" i="2"/>
  <c r="BQ60" i="2"/>
  <c r="BQ45" i="2"/>
  <c r="BQ44" i="2"/>
  <c r="BQ62" i="2"/>
  <c r="BQ55" i="2"/>
  <c r="H13" i="2"/>
  <c r="H14" i="2"/>
  <c r="H21" i="2"/>
  <c r="H12" i="2"/>
  <c r="H20" i="2"/>
  <c r="H19" i="2"/>
  <c r="H6" i="2"/>
  <c r="H5" i="2"/>
  <c r="H7" i="2"/>
  <c r="BA4" i="2" l="1"/>
  <c r="Q4" i="18" a="1"/>
  <c r="Q4" i="18" s="1"/>
  <c r="R4" i="18" s="1" a="1"/>
  <c r="R4" i="18" s="1"/>
  <c r="T4" i="18" a="1"/>
  <c r="T4" i="18" s="1"/>
  <c r="L4" i="18" a="1"/>
  <c r="L4" i="18" s="1"/>
  <c r="O4" i="18" a="1"/>
  <c r="O4" i="18" s="1"/>
  <c r="W18" i="2" a="1"/>
  <c r="W18" i="2" s="1"/>
  <c r="X18" i="2" a="1"/>
  <c r="X18" i="2" s="1"/>
  <c r="W11" i="2" a="1"/>
  <c r="W11" i="2" s="1"/>
  <c r="X11" i="2" a="1"/>
  <c r="X11" i="2" s="1"/>
  <c r="W4" i="2" a="1"/>
  <c r="W4" i="2" s="1"/>
  <c r="X4" i="2" a="1"/>
  <c r="X4" i="2" s="1"/>
  <c r="H18" i="2"/>
  <c r="H11" i="2"/>
  <c r="H4" i="2"/>
  <c r="AY8" i="2"/>
  <c r="AZ8" i="2"/>
  <c r="AY10" i="2"/>
  <c r="AZ10" i="2"/>
  <c r="AZ6" i="2"/>
  <c r="AY6" i="2"/>
  <c r="AY16" i="2"/>
  <c r="AZ16" i="2"/>
  <c r="AY9" i="2"/>
  <c r="AZ9" i="2"/>
  <c r="AZ15" i="2"/>
  <c r="AY15" i="2"/>
  <c r="AZ12" i="2"/>
  <c r="AY12" i="2"/>
  <c r="AZ13" i="2"/>
  <c r="AY13" i="2"/>
  <c r="AZ11" i="2"/>
  <c r="AY11" i="2"/>
  <c r="AY7" i="2"/>
  <c r="AZ7" i="2"/>
  <c r="AZ5" i="2"/>
  <c r="AY5" i="2"/>
  <c r="AZ14" i="2"/>
  <c r="AY14" i="2"/>
  <c r="AY18" i="2"/>
  <c r="AZ18" i="2"/>
  <c r="AZ19" i="2"/>
  <c r="AY19" i="2"/>
  <c r="AY17" i="2"/>
  <c r="AZ17" i="2"/>
  <c r="BJ11" i="2"/>
  <c r="BK11" i="2"/>
  <c r="BJ14" i="2"/>
  <c r="BJ8" i="2"/>
  <c r="BJ10" i="2"/>
  <c r="BJ6" i="2"/>
  <c r="BJ16" i="2"/>
  <c r="BK9" i="2"/>
  <c r="BJ9" i="2"/>
  <c r="BJ15" i="2"/>
  <c r="BJ12" i="2"/>
  <c r="BK12" i="2"/>
  <c r="BJ4" i="2"/>
  <c r="BJ13" i="2"/>
  <c r="BJ7" i="2"/>
  <c r="BJ18" i="2"/>
  <c r="BJ5" i="2"/>
  <c r="BJ19" i="2"/>
  <c r="BK19" i="2"/>
  <c r="BJ17" i="2"/>
  <c r="AN4" i="2" a="1"/>
  <c r="M4" i="18" l="1" a="1"/>
  <c r="M4" i="18" s="1"/>
  <c r="N4" i="18" s="1" a="1"/>
  <c r="N4" i="18" s="1"/>
  <c r="S4" i="18" a="1"/>
  <c r="S4" i="18" s="1"/>
  <c r="BK5" i="2"/>
  <c r="AZ4" i="2"/>
  <c r="BK4" i="2"/>
  <c r="AY4" i="2"/>
  <c r="BK17" i="2"/>
  <c r="BK14" i="2"/>
  <c r="BK10" i="2"/>
  <c r="BK15" i="2"/>
  <c r="BK13" i="2"/>
  <c r="BK18" i="2"/>
  <c r="BK16" i="2"/>
  <c r="BK8" i="2"/>
  <c r="BK7" i="2"/>
  <c r="BK6" i="2"/>
  <c r="AN4" i="2"/>
  <c r="AZ29" i="2" a="1"/>
  <c r="AZ31" i="2" a="1"/>
  <c r="AZ32" i="2" a="1"/>
  <c r="AZ39" i="2" a="1"/>
  <c r="AZ57" i="2" a="1"/>
  <c r="AZ38" i="2" a="1"/>
  <c r="AZ58" i="2" a="1"/>
  <c r="AZ37" i="2" a="1"/>
  <c r="AZ55" i="2" a="1"/>
  <c r="AZ33" i="2" a="1"/>
  <c r="AZ50" i="2" a="1"/>
  <c r="AZ26" i="2" a="1"/>
  <c r="AZ25" i="2" a="1"/>
  <c r="AZ36" i="2" a="1"/>
  <c r="AZ30" i="2" a="1"/>
  <c r="AZ45" i="2" a="1"/>
  <c r="AZ53" i="2" a="1"/>
  <c r="AZ54" i="2" a="1"/>
  <c r="AZ35" i="2" a="1"/>
  <c r="AZ46" i="2" a="1"/>
  <c r="AZ34" i="2" a="1"/>
  <c r="AZ28" i="2" a="1"/>
  <c r="AZ24" i="2" a="1"/>
  <c r="AZ27" i="2" a="1"/>
  <c r="AZ56" i="2" a="1"/>
  <c r="AZ47" i="2" a="1"/>
  <c r="AZ44" i="2" a="1"/>
  <c r="AZ48" i="2" a="1"/>
  <c r="AZ39" i="2" l="1"/>
  <c r="AZ32" i="2"/>
  <c r="AZ31" i="2"/>
  <c r="AZ29" i="2"/>
  <c r="AZ54" i="2"/>
  <c r="AZ25" i="2"/>
  <c r="AZ33" i="2"/>
  <c r="AZ36" i="2"/>
  <c r="AZ37" i="2"/>
  <c r="AZ26" i="2"/>
  <c r="AZ34" i="2"/>
  <c r="AZ27" i="2"/>
  <c r="AZ38" i="2"/>
  <c r="AZ30" i="2"/>
  <c r="AZ24" i="2"/>
  <c r="AZ35" i="2"/>
  <c r="AZ28" i="2"/>
  <c r="H13" i="25"/>
  <c r="E7" i="31" s="1"/>
  <c r="AZ48" i="2"/>
  <c r="AZ55" i="2"/>
  <c r="AZ58" i="2"/>
  <c r="AZ47" i="2"/>
  <c r="AZ57" i="2"/>
  <c r="AZ56" i="2"/>
  <c r="AZ53" i="2"/>
  <c r="AZ46" i="2"/>
  <c r="AZ45" i="2"/>
  <c r="AZ50" i="2"/>
  <c r="AZ44" i="2"/>
  <c r="E7" i="30"/>
  <c r="O13" i="25"/>
  <c r="J13" i="25"/>
  <c r="O14" i="25"/>
  <c r="I13" i="25"/>
  <c r="J14" i="25"/>
  <c r="I14" i="25"/>
  <c r="AO4" i="2"/>
  <c r="AN5" i="2" a="1"/>
  <c r="AE4" i="2" l="1"/>
  <c r="B4" i="18" a="1"/>
  <c r="B4" i="18" s="1"/>
  <c r="C4" i="18" s="1" a="1"/>
  <c r="C4" i="18" s="1"/>
  <c r="F7" i="31"/>
  <c r="F7" i="30"/>
  <c r="G7" i="31"/>
  <c r="G7" i="30"/>
  <c r="K7" i="31"/>
  <c r="K7" i="30"/>
  <c r="AN5" i="2"/>
  <c r="AD4" i="2"/>
  <c r="B12" i="30" a="1"/>
  <c r="B12" i="31" a="1"/>
  <c r="B12" i="31" l="1"/>
  <c r="B12" i="30"/>
  <c r="C12" i="30" s="1" a="1"/>
  <c r="C12" i="30" s="1"/>
  <c r="AO5" i="2"/>
  <c r="Q11" i="30" a="1"/>
  <c r="Q11" i="31" a="1"/>
  <c r="C12" i="31" l="1" a="1"/>
  <c r="C12" i="31" s="1"/>
  <c r="AE5" i="2"/>
  <c r="Q11" i="31"/>
  <c r="Q11" i="30"/>
  <c r="AD5" i="2"/>
  <c r="AN6" i="2" a="1"/>
  <c r="D11" i="30" a="1"/>
  <c r="D11" i="31" a="1"/>
  <c r="D11" i="31" l="1"/>
  <c r="E12" i="31" a="1"/>
  <c r="E12" i="31" s="1"/>
  <c r="F12" i="30" a="1"/>
  <c r="F12" i="30" s="1"/>
  <c r="P11" i="30" a="1"/>
  <c r="P11" i="30" s="1"/>
  <c r="P11" i="31" a="1"/>
  <c r="P11" i="31" s="1"/>
  <c r="D11" i="30"/>
  <c r="E12" i="30" a="1"/>
  <c r="E12" i="30" s="1"/>
  <c r="F12" i="31" a="1"/>
  <c r="F12" i="31" s="1"/>
  <c r="AN6" i="2"/>
  <c r="AO6" i="2" s="1"/>
  <c r="R11" i="30" a="1"/>
  <c r="R11" i="31" a="1"/>
  <c r="AE6" i="2" l="1"/>
  <c r="R11" i="30"/>
  <c r="S11" i="30" s="1" a="1"/>
  <c r="S11" i="30" s="1"/>
  <c r="R11" i="31"/>
  <c r="K11" i="30" a="1"/>
  <c r="K11" i="30" s="1"/>
  <c r="I11" i="30" a="1"/>
  <c r="I11" i="30" s="1"/>
  <c r="AD6" i="2"/>
  <c r="AN7" i="2" a="1"/>
  <c r="T11" i="30" l="1" a="1"/>
  <c r="T11" i="30" s="1"/>
  <c r="S11" i="31" a="1"/>
  <c r="S11" i="31" s="1"/>
  <c r="T11" i="31" a="1"/>
  <c r="T11" i="31" s="1"/>
  <c r="I11" i="31" a="1"/>
  <c r="I11" i="31" s="1"/>
  <c r="K11" i="31" a="1"/>
  <c r="K11" i="31" s="1"/>
  <c r="AN7" i="2"/>
  <c r="AO7" i="2" l="1"/>
  <c r="AE7" i="2" l="1"/>
  <c r="AD7" i="2"/>
  <c r="AN8" i="2" a="1"/>
  <c r="AN8" i="2" l="1"/>
  <c r="AO8" i="2" s="1"/>
  <c r="AE8" i="2" s="1"/>
  <c r="AD8" i="2" l="1"/>
  <c r="AN9" i="2" a="1"/>
  <c r="AN9" i="2" l="1"/>
  <c r="AO9" i="2" l="1"/>
  <c r="AE9" i="2" s="1"/>
  <c r="AD9" i="2" l="1"/>
  <c r="AN10" i="2" a="1"/>
  <c r="AN10" i="2" l="1"/>
  <c r="AO10" i="2" l="1"/>
  <c r="AE10" i="2" s="1"/>
  <c r="AD10" i="2" l="1"/>
  <c r="AN11" i="2" a="1"/>
  <c r="AN11" i="2" l="1"/>
  <c r="AO11" i="2" s="1"/>
  <c r="AE11" i="2" l="1"/>
  <c r="AQ4" i="2" a="1"/>
  <c r="AQ4" i="2" s="1"/>
  <c r="AD11" i="2"/>
  <c r="AU4" i="2" l="1" a="1"/>
  <c r="AU4" i="2" s="1"/>
  <c r="E4" i="18" s="1" a="1"/>
  <c r="E4" i="18" s="1"/>
  <c r="D4" i="18" s="1" a="1"/>
  <c r="D4" i="18" s="1"/>
  <c r="AB11" i="31" a="1"/>
  <c r="AB11" i="31" s="1"/>
  <c r="Y11" i="31" a="1"/>
  <c r="Y11" i="31" s="1"/>
  <c r="AB11" i="30" a="1"/>
  <c r="AB11" i="30" s="1"/>
  <c r="Y11" i="30" a="1"/>
  <c r="Y11" i="30" s="1"/>
  <c r="AC11" i="31" l="1" a="1"/>
  <c r="AC11" i="31" s="1"/>
  <c r="Z11" i="31" a="1"/>
  <c r="Z11" i="31" s="1"/>
  <c r="AC11" i="30" a="1"/>
  <c r="AC11" i="30" s="1"/>
  <c r="Z11" i="30" a="1"/>
  <c r="Z11" i="30" s="1"/>
  <c r="CO5" i="2"/>
  <c r="CO20" i="2"/>
  <c r="CO4" i="2"/>
  <c r="CO17" i="2"/>
  <c r="BR67" i="2"/>
  <c r="BQ36" i="2" a="1"/>
  <c r="BQ37" i="2" a="1"/>
  <c r="BQ14" i="2" a="1"/>
  <c r="BQ15" i="2" a="1"/>
  <c r="BQ10" i="2" a="1"/>
  <c r="BQ19" i="2" a="1"/>
  <c r="U11" i="31" a="1"/>
  <c r="BQ29" i="2" a="1"/>
  <c r="BQ32" i="2" a="1"/>
  <c r="BQ25" i="2" a="1"/>
  <c r="BQ20" i="2" a="1"/>
  <c r="BQ30" i="2" a="1"/>
  <c r="M11" i="30" a="1"/>
  <c r="V11" i="30" a="1"/>
  <c r="BQ17" i="2" a="1"/>
  <c r="BQ35" i="2" a="1"/>
  <c r="BQ12" i="2" a="1"/>
  <c r="BQ11" i="2" a="1"/>
  <c r="BQ13" i="2" a="1"/>
  <c r="BQ27" i="2" a="1"/>
  <c r="BQ18" i="2" a="1"/>
  <c r="BQ16" i="2" a="1"/>
  <c r="BQ5" i="2" a="1"/>
  <c r="BQ26" i="2" a="1"/>
  <c r="BQ34" i="2" a="1"/>
  <c r="BQ31" i="2" a="1"/>
  <c r="M11" i="31" a="1"/>
  <c r="BQ28" i="2" a="1"/>
  <c r="BQ4" i="2" a="1"/>
  <c r="BQ6" i="2" a="1"/>
  <c r="BQ24" i="2" a="1"/>
  <c r="BQ33" i="2" a="1"/>
  <c r="BQ9" i="2" a="1"/>
  <c r="M11" i="31" l="1"/>
  <c r="L11" i="31" s="1" a="1"/>
  <c r="L11" i="31" s="1"/>
  <c r="U11" i="31"/>
  <c r="V11" i="30"/>
  <c r="M11" i="30"/>
  <c r="L11" i="30" s="1" a="1"/>
  <c r="L11" i="30" s="1"/>
  <c r="BQ36" i="2"/>
  <c r="BR36" i="2" s="1"/>
  <c r="CO6" i="2"/>
  <c r="BQ16" i="2"/>
  <c r="BR16" i="2" s="1"/>
  <c r="BQ24" i="2"/>
  <c r="BR24" i="2" s="1"/>
  <c r="BQ18" i="2"/>
  <c r="BR18" i="2" s="1"/>
  <c r="CO14" i="2"/>
  <c r="BQ12" i="2"/>
  <c r="BR12" i="2" s="1"/>
  <c r="CO21" i="2"/>
  <c r="BQ30" i="2"/>
  <c r="BR30" i="2" s="1"/>
  <c r="BQ6" i="2"/>
  <c r="BR6" i="2" s="1"/>
  <c r="CO13" i="2"/>
  <c r="BQ15" i="2"/>
  <c r="BR15" i="2" s="1"/>
  <c r="BQ27" i="2"/>
  <c r="BR27" i="2" s="1"/>
  <c r="BQ14" i="2"/>
  <c r="BR14" i="2" s="1"/>
  <c r="BQ37" i="2"/>
  <c r="BR37" i="2" s="1"/>
  <c r="CO10" i="2"/>
  <c r="BQ31" i="2"/>
  <c r="BR31" i="2" s="1"/>
  <c r="BQ35" i="2"/>
  <c r="BR35" i="2" s="1"/>
  <c r="BQ34" i="2"/>
  <c r="BR34" i="2" s="1"/>
  <c r="BQ20" i="2"/>
  <c r="BR20" i="2" s="1"/>
  <c r="BQ11" i="2"/>
  <c r="BR11" i="2" s="1"/>
  <c r="BQ13" i="2"/>
  <c r="BR13" i="2" s="1"/>
  <c r="BQ28" i="2"/>
  <c r="BR28" i="2" s="1"/>
  <c r="CO19" i="2"/>
  <c r="CO8" i="2"/>
  <c r="BQ19" i="2"/>
  <c r="BR19" i="2" s="1"/>
  <c r="BQ32" i="2"/>
  <c r="BR32" i="2" s="1"/>
  <c r="CO9" i="2"/>
  <c r="CO12" i="2"/>
  <c r="BQ10" i="2"/>
  <c r="BR10" i="2" s="1"/>
  <c r="BQ9" i="2"/>
  <c r="BR9" i="2" s="1"/>
  <c r="BQ25" i="2"/>
  <c r="BR25" i="2" s="1"/>
  <c r="BQ4" i="2"/>
  <c r="BR4" i="2" s="1"/>
  <c r="BQ33" i="2"/>
  <c r="BR33" i="2" s="1"/>
  <c r="CO18" i="2"/>
  <c r="BQ29" i="2"/>
  <c r="BR29" i="2" s="1"/>
  <c r="BQ17" i="2"/>
  <c r="BR17" i="2" s="1"/>
  <c r="BQ5" i="2"/>
  <c r="BR5" i="2" s="1"/>
  <c r="CO15" i="2"/>
  <c r="CO16" i="2"/>
  <c r="CO11" i="2"/>
  <c r="BQ26" i="2"/>
  <c r="BR26" i="2" s="1"/>
  <c r="BR73" i="2"/>
  <c r="BR57" i="2"/>
  <c r="BR62" i="2"/>
  <c r="BR52" i="2"/>
  <c r="BR49" i="2"/>
  <c r="BR45" i="2"/>
  <c r="BR46" i="2"/>
  <c r="BR61" i="2"/>
  <c r="BR68" i="2"/>
  <c r="BR48" i="2"/>
  <c r="BR70" i="2"/>
  <c r="BR44" i="2"/>
  <c r="BR72" i="2"/>
  <c r="BR64" i="2"/>
  <c r="BR63" i="2"/>
  <c r="BR71" i="2"/>
  <c r="BR53" i="2"/>
  <c r="BR75" i="2"/>
  <c r="BR50" i="2"/>
  <c r="BR66" i="2"/>
  <c r="BR55" i="2"/>
  <c r="BR47" i="2"/>
  <c r="BR43" i="2"/>
  <c r="BR58" i="2"/>
  <c r="BR60" i="2"/>
  <c r="BR54" i="2"/>
  <c r="BR65" i="2"/>
  <c r="BR59" i="2"/>
  <c r="BR51" i="2"/>
  <c r="BR69" i="2"/>
  <c r="BR56" i="2"/>
  <c r="BR74" i="2"/>
  <c r="U11" i="30" a="1"/>
  <c r="V11" i="31" a="1"/>
  <c r="V11" i="31" l="1"/>
  <c r="W11" i="31" s="1" a="1"/>
  <c r="W11" i="31" s="1"/>
  <c r="G12" i="31" s="1" a="1"/>
  <c r="G12" i="31" s="1"/>
  <c r="H11" i="31" s="1" a="1"/>
  <c r="H11" i="31" s="1"/>
  <c r="J11" i="31" s="1" a="1"/>
  <c r="J11" i="31" s="1"/>
  <c r="N11" i="31" s="1" a="1"/>
  <c r="N11" i="31" s="1"/>
  <c r="F2" i="31" s="1"/>
  <c r="C27" i="2" s="1"/>
  <c r="U11" i="30"/>
  <c r="W11" i="30" s="1" a="1"/>
  <c r="W11" i="30" s="1"/>
  <c r="G12" i="30" s="1" a="1"/>
  <c r="G12" i="30" s="1"/>
  <c r="H11" i="30" s="1" a="1"/>
  <c r="H11" i="30" s="1"/>
  <c r="J11" i="30" s="1" a="1"/>
  <c r="J11" i="30" s="1"/>
  <c r="N11" i="30" s="1" a="1"/>
  <c r="N11" i="30" s="1"/>
  <c r="F2" i="30" s="1"/>
  <c r="C28" i="2" s="1"/>
  <c r="C2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BE3" authorId="0" shapeId="0" xr:uid="{99E84E30-B371-4A0C-A6CC-40B6161C2976}">
      <text>
        <r>
          <rPr>
            <sz val="9"/>
            <color indexed="81"/>
            <rFont val="Tahoma"/>
            <family val="2"/>
          </rPr>
          <t>For BBSW 3M fixed rate swaps, the market convention fixed rate payment frequency differs across tenors. 
For tenors &lt;=3Y (i.e. 1Y, 2Y and 3Y tenors), the convention is quarterly. 
For tenors &gt;3Y (i.e. 4Y, 5Y, …), the convention is semi-annual.
This is a unique phenomenon of the Australian swap market, and is not observed in other major currency swap markets.</t>
        </r>
      </text>
    </comment>
    <comment ref="CL3" authorId="0" shapeId="0" xr:uid="{12933133-A537-4715-8EBB-873B85D3D4B9}">
      <text>
        <r>
          <rPr>
            <sz val="9"/>
            <color indexed="81"/>
            <rFont val="Tahoma"/>
            <family val="2"/>
          </rPr>
          <t>Added to the AONIA/BBSW 3M leg of the currency basis swap.</t>
        </r>
      </text>
    </comment>
    <comment ref="AN4" authorId="0" shapeId="0" xr:uid="{0C735831-6D64-420E-8E3B-3D91D91995B4}">
      <text>
        <r>
          <rPr>
            <sz val="9"/>
            <color indexed="81"/>
            <rFont val="Tahoma"/>
            <family val="2"/>
          </rPr>
          <t>Discount factor for 1st future is dependent on cash rate bootstrapping.</t>
        </r>
      </text>
    </comment>
    <comment ref="AN5" authorId="0" shapeId="0" xr:uid="{07D58FE9-6E6A-46E1-A928-95B6EB4C89E4}">
      <text>
        <r>
          <rPr>
            <sz val="9"/>
            <color indexed="81"/>
            <rFont val="Tahoma"/>
            <family val="2"/>
          </rPr>
          <t>Discount factor from 2nd future is dependent on bootstrapping from prior future so need a 'rolling' formulae.</t>
        </r>
      </text>
    </comment>
    <comment ref="B10" authorId="0" shapeId="0" xr:uid="{0A9FD8AF-7232-4BFB-B174-19DE70ED91E2}">
      <text>
        <r>
          <rPr>
            <sz val="9"/>
            <color indexed="81"/>
            <rFont val="Tahoma"/>
            <family val="2"/>
          </rPr>
          <t>The dual curve stripping is applied in a stepwise process as if the BBSW and AONIA curves are independent.
The AONIA curve is solved first and then applied as the discount curve for the BBSW swaps when bootstrapping the BBSW curves. 
This is a simplistic implementation as the BBSW and AONIA curves are interdependent. 
Given the interdependency, the technically correct approach (though significantly more complex) is to solve the curves simultaneously in a non-linear optimisation problem.</t>
        </r>
      </text>
    </comment>
    <comment ref="B12" authorId="0" shapeId="0" xr:uid="{2FEBBB70-CB5B-4DE4-9B09-9665279DA9B0}">
      <text>
        <r>
          <rPr>
            <sz val="9"/>
            <color indexed="81"/>
            <rFont val="Tahoma"/>
            <family val="2"/>
          </rPr>
          <t>In the Australian market, the back-end bank bill futures crossover with the effective tenors of the 1Y and 2Y swaps. 
The futures are more liquid (and observable as they are exchange-traded) and hence futures are usually prioritised over swaps.</t>
        </r>
      </text>
    </comment>
    <comment ref="B17" authorId="0" shapeId="0" xr:uid="{F2C30440-9B09-4362-9575-2C35AA9524F6}">
      <text>
        <r>
          <rPr>
            <sz val="9"/>
            <color indexed="81"/>
            <rFont val="Tahoma"/>
            <family val="2"/>
          </rPr>
          <t>Coupons dependent on overnight rates are required to have a payment delay as the days fixing is not observable until the next business day.
Hence, these coupons require a payment delay. For AONIA and SOFR a 2 day payment delay is market convention.</t>
        </r>
      </text>
    </comment>
    <comment ref="B18" authorId="0" shapeId="0" xr:uid="{014703F1-E772-40FF-8F96-34EA0796FE59}">
      <text>
        <r>
          <rPr>
            <sz val="9"/>
            <color indexed="81"/>
            <rFont val="Tahoma"/>
            <family val="2"/>
          </rPr>
          <t xml:space="preserve">Unlike discount factors which are invariant to day count convention, zero rates are dependent on a day count convention. 
The displayed zero rates in this model, are calculated per this specified convention. </t>
        </r>
      </text>
    </comment>
    <comment ref="B23" authorId="0" shapeId="0" xr:uid="{AE9645DE-4EDD-4B80-A4A8-A7054322DD56}">
      <text>
        <r>
          <rPr>
            <sz val="9"/>
            <color indexed="81"/>
            <rFont val="Tahoma"/>
            <family val="2"/>
          </rPr>
          <t>The numerical solves of BBSW 1M / BBSW 6M are dependent on the prior solve of BBSW 3M curve. 
The numerical solve of the FCB Adjusted AUD discount curve is dependent on prior solve of the SOFR curve and the reference AUD curve (either BBSW 3M or AONIA). 
If OIS Dual Curve stripping is applied, the numerical solve of BBSW 3M/1M/6M and are dependent on the prior solve of the AONIA curve.</t>
        </r>
        <r>
          <rPr>
            <b/>
            <sz val="9"/>
            <color indexed="81"/>
            <rFont val="Tahoma"/>
            <family val="2"/>
          </rPr>
          <t xml:space="preserve"> </t>
        </r>
      </text>
    </comment>
    <comment ref="AX23" authorId="0" shapeId="0" xr:uid="{DEC37BC0-A882-4FCD-B8A4-D160296FBCAD}">
      <text>
        <r>
          <rPr>
            <sz val="9"/>
            <color indexed="81"/>
            <rFont val="Tahoma"/>
            <family val="2"/>
          </rPr>
          <t>Added to the BBSW 3M leg of the basis swap.</t>
        </r>
      </text>
    </comment>
    <comment ref="AX43" authorId="0" shapeId="0" xr:uid="{7146791D-C481-4D1D-9175-107F7F985B9F}">
      <text>
        <r>
          <rPr>
            <sz val="9"/>
            <color indexed="81"/>
            <rFont val="Tahoma"/>
            <family val="2"/>
          </rPr>
          <t>Added to the BBSW 3M leg of the basis swap.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37229094-F666-4CD5-9D45-94CD2B858FC3}">
      <text>
        <r>
          <rPr>
            <sz val="9"/>
            <color indexed="81"/>
            <rFont val="Tahoma"/>
            <family val="2"/>
          </rPr>
          <t>Initial notional exchange assumed to pay on 1st accrual start date (no payment delay). 
Final notional exchange assumed to pay on last accrual end date (no payment delay).
This means if a leg is an OIS leg (with a default of 2 day payment delay on the OIS coupon) the final OIS coupon payment will be 2 business days after the notional repayment.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9C53A95A-AFE1-494A-9B0B-8817CD5D7E9E}">
      <text>
        <r>
          <rPr>
            <sz val="9"/>
            <color indexed="81"/>
            <rFont val="Tahoma"/>
            <family val="2"/>
          </rPr>
          <t>Initial notional exchange assumed to pay on 1st accrual start date (no payment delay). 
Final notional exchange assumed to pay on last accrual end date (no payment delay).
This means if a leg is an OIS leg (with a default of 2 day payment delay on the OIS coupon) the final OIS coupon payment will be 2 business days after the notional repayment.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<sst xmlns="http://schemas.openxmlformats.org/spreadsheetml/2006/main" count="967" uniqueCount="340">
  <si>
    <t/>
  </si>
  <si>
    <t>Year</t>
  </si>
  <si>
    <t>40Y</t>
  </si>
  <si>
    <t>30Y</t>
  </si>
  <si>
    <t>25Y</t>
  </si>
  <si>
    <t>20Y</t>
  </si>
  <si>
    <t>15Y</t>
  </si>
  <si>
    <t>12Y</t>
  </si>
  <si>
    <t>10Y</t>
  </si>
  <si>
    <t>9Y</t>
  </si>
  <si>
    <t>8Y</t>
  </si>
  <si>
    <t>7Y</t>
  </si>
  <si>
    <t>6Y</t>
  </si>
  <si>
    <t>5Y</t>
  </si>
  <si>
    <t>4Y</t>
  </si>
  <si>
    <t>3Y</t>
  </si>
  <si>
    <t>2Y</t>
  </si>
  <si>
    <t>Month</t>
  </si>
  <si>
    <t>21M</t>
  </si>
  <si>
    <t>18M</t>
  </si>
  <si>
    <t>15M</t>
  </si>
  <si>
    <t>1Y</t>
  </si>
  <si>
    <t>11M</t>
  </si>
  <si>
    <t>10M</t>
  </si>
  <si>
    <t>Q</t>
  </si>
  <si>
    <t>S</t>
  </si>
  <si>
    <t>9M</t>
  </si>
  <si>
    <t>8M</t>
  </si>
  <si>
    <t>7M</t>
  </si>
  <si>
    <t>6M</t>
  </si>
  <si>
    <t>5M</t>
  </si>
  <si>
    <t>ACT/365</t>
  </si>
  <si>
    <t>4M</t>
  </si>
  <si>
    <t>3M</t>
  </si>
  <si>
    <t>Futures Priority</t>
  </si>
  <si>
    <t>2M</t>
  </si>
  <si>
    <t>Apply Futures?</t>
  </si>
  <si>
    <t>1M</t>
  </si>
  <si>
    <t>3W</t>
  </si>
  <si>
    <t>2W</t>
  </si>
  <si>
    <t>1W</t>
  </si>
  <si>
    <t>ACT/360</t>
  </si>
  <si>
    <t>TN</t>
  </si>
  <si>
    <t>ON</t>
  </si>
  <si>
    <t>Tenor</t>
  </si>
  <si>
    <t>Date</t>
  </si>
  <si>
    <t>DF(T2)</t>
  </si>
  <si>
    <t>DF(T1)</t>
  </si>
  <si>
    <t>1+r𝛿</t>
  </si>
  <si>
    <t>Offset</t>
  </si>
  <si>
    <t>Settle Delay</t>
  </si>
  <si>
    <t>Rate</t>
  </si>
  <si>
    <t>Years</t>
  </si>
  <si>
    <t>Applied</t>
  </si>
  <si>
    <t>Maturity Date (T2)</t>
  </si>
  <si>
    <t>Settle Date (T1)</t>
  </si>
  <si>
    <t>Par Swap Rate</t>
  </si>
  <si>
    <t>Float Freq.</t>
  </si>
  <si>
    <t>Fixed Freq.</t>
  </si>
  <si>
    <t>Tenor &gt; Max(Futures)</t>
  </si>
  <si>
    <t>Date (T2)</t>
  </si>
  <si>
    <t>𝛿(T1,T2)</t>
  </si>
  <si>
    <t>Forward Rate</t>
  </si>
  <si>
    <t>Futures Rate</t>
  </si>
  <si>
    <t>Accrual End Date, T2</t>
  </si>
  <si>
    <t>Accrual Start Date, T1</t>
  </si>
  <si>
    <t>Convexity (bps)</t>
  </si>
  <si>
    <t>Price</t>
  </si>
  <si>
    <t xml:space="preserve">Future </t>
  </si>
  <si>
    <t>Offset Type</t>
  </si>
  <si>
    <t>User input</t>
  </si>
  <si>
    <t>SOFR</t>
  </si>
  <si>
    <t>Calculation helpers</t>
  </si>
  <si>
    <t>Array Formulae Calculations</t>
  </si>
  <si>
    <t>Legend</t>
  </si>
  <si>
    <t>Dec26</t>
  </si>
  <si>
    <t>ZBZ6</t>
  </si>
  <si>
    <t>Sep26</t>
  </si>
  <si>
    <t>ZBU6</t>
  </si>
  <si>
    <t>Jun26</t>
  </si>
  <si>
    <t>ZBM6</t>
  </si>
  <si>
    <t>Mar26</t>
  </si>
  <si>
    <t>ZBH6</t>
  </si>
  <si>
    <t>Dec25</t>
  </si>
  <si>
    <t>ZBZ5</t>
  </si>
  <si>
    <t>Sep25</t>
  </si>
  <si>
    <t>ZBU5</t>
  </si>
  <si>
    <t>Jun25</t>
  </si>
  <si>
    <t>ZBM5</t>
  </si>
  <si>
    <t>Mar25</t>
  </si>
  <si>
    <t>ZBH5</t>
  </si>
  <si>
    <t>Dec24</t>
  </si>
  <si>
    <t>ZBZ4</t>
  </si>
  <si>
    <t>Sep24</t>
  </si>
  <si>
    <t>ZBU4</t>
  </si>
  <si>
    <t>Settlement Day The business day following the last permitted day of trading.</t>
  </si>
  <si>
    <t>Jun24</t>
  </si>
  <si>
    <t>ZBM4</t>
  </si>
  <si>
    <t>Contract Expiry = The first Wednesday after the 9th of each deliver month (Mar, Jun, Sep, Dec)</t>
  </si>
  <si>
    <t>Mar24</t>
  </si>
  <si>
    <t>ZBH4</t>
  </si>
  <si>
    <t>Settlement Value = 100 - [BKBM 3M FRA settlement rate at 10:45am]</t>
  </si>
  <si>
    <t>Dec23</t>
  </si>
  <si>
    <t>ZBZ3</t>
  </si>
  <si>
    <t>Sep23</t>
  </si>
  <si>
    <t>ZBU3</t>
  </si>
  <si>
    <t>Key Contract Notes</t>
  </si>
  <si>
    <t>Month Name</t>
  </si>
  <si>
    <t>Month $</t>
  </si>
  <si>
    <t>Settlement Day</t>
  </si>
  <si>
    <t>Contract Expiry</t>
  </si>
  <si>
    <t>BBG Ticker</t>
  </si>
  <si>
    <t>IRU7</t>
  </si>
  <si>
    <t>IRM7</t>
  </si>
  <si>
    <t>IRH7</t>
  </si>
  <si>
    <t>IRZ6</t>
  </si>
  <si>
    <t>IRU6</t>
  </si>
  <si>
    <t>IRM6</t>
  </si>
  <si>
    <t>IRH6</t>
  </si>
  <si>
    <t>IRZ5</t>
  </si>
  <si>
    <t>IRUS</t>
  </si>
  <si>
    <t>IRM5</t>
  </si>
  <si>
    <t>IRH5</t>
  </si>
  <si>
    <t>IRZ4</t>
  </si>
  <si>
    <t>IRU4</t>
  </si>
  <si>
    <t>Contract Expiry = Business day immediately prior to settlement day</t>
  </si>
  <si>
    <t>IRM4</t>
  </si>
  <si>
    <t>Settlement Day = 2nd Friday of each delivery month (Mar, Jun, Sep, Dec).</t>
  </si>
  <si>
    <t>IRH4</t>
  </si>
  <si>
    <t>Settlement Value = 100 - [Last BBSW 3M Fixing]</t>
  </si>
  <si>
    <t>IRZ3</t>
  </si>
  <si>
    <t>IRU3</t>
  </si>
  <si>
    <t>Interpolation method choice and rationale</t>
  </si>
  <si>
    <t>CCZR</t>
  </si>
  <si>
    <t>A</t>
  </si>
  <si>
    <t>M</t>
  </si>
  <si>
    <t>30/360</t>
  </si>
  <si>
    <t>Above Swaps</t>
  </si>
  <si>
    <t>Preceding</t>
  </si>
  <si>
    <t>AONIA</t>
  </si>
  <si>
    <t>Modified Preceding</t>
  </si>
  <si>
    <t>Following</t>
  </si>
  <si>
    <t>None</t>
  </si>
  <si>
    <t>Modified Following</t>
  </si>
  <si>
    <t>Float</t>
  </si>
  <si>
    <t>Fixed</t>
  </si>
  <si>
    <t>ACT/ACT</t>
  </si>
  <si>
    <t>Day Roll Convention</t>
  </si>
  <si>
    <t>Holidays</t>
  </si>
  <si>
    <t>Day Count</t>
  </si>
  <si>
    <t>Effective Date (T1)</t>
  </si>
  <si>
    <t>Business Day</t>
  </si>
  <si>
    <t>1+r*𝛿(T1,T2)</t>
  </si>
  <si>
    <t>Calculate Effective Date and Maturity Date of Tenor</t>
  </si>
  <si>
    <t>Analytical Calculation of Discount Factors and Zero Rates</t>
  </si>
  <si>
    <t>ASX Ticker</t>
  </si>
  <si>
    <t>Data Validation</t>
  </si>
  <si>
    <t>Tick Size: 0.01</t>
  </si>
  <si>
    <t>Tick Value: Varies</t>
  </si>
  <si>
    <t>ASX Australian 90 Day Bank Accepted Bill Futures</t>
  </si>
  <si>
    <t>https://www.asx.com.au/content/dam/asx/participants/derivatives-market/90-Day-bank-bill-futures-factsheet.pdf</t>
  </si>
  <si>
    <t>https://www.asx.com.au/content/dam/asx/participants/derivatives-market/90-day-nz-bank-bill-factsheet.pdf</t>
  </si>
  <si>
    <t>ASX NZ 90 DAY BANK BILL FUTURES</t>
  </si>
  <si>
    <t>BBU3</t>
  </si>
  <si>
    <t>BBZ3</t>
  </si>
  <si>
    <t>BBH4</t>
  </si>
  <si>
    <t>BBM4</t>
  </si>
  <si>
    <t>BBU4</t>
  </si>
  <si>
    <t>BBZ4</t>
  </si>
  <si>
    <t>BBH5</t>
  </si>
  <si>
    <t>BBM5</t>
  </si>
  <si>
    <t>BBU5</t>
  </si>
  <si>
    <t>BBZ5</t>
  </si>
  <si>
    <t>BBH6</t>
  </si>
  <si>
    <t>BBM6</t>
  </si>
  <si>
    <t>BBU6</t>
  </si>
  <si>
    <t>BBZ6</t>
  </si>
  <si>
    <t>SEP24</t>
  </si>
  <si>
    <t>DEC24</t>
  </si>
  <si>
    <t>MAR25</t>
  </si>
  <si>
    <t>JUN25</t>
  </si>
  <si>
    <t>SEP25</t>
  </si>
  <si>
    <t>DEC25</t>
  </si>
  <si>
    <t>MAR26</t>
  </si>
  <si>
    <t>JUN26</t>
  </si>
  <si>
    <t>Valid Input</t>
  </si>
  <si>
    <t>Futures date schedule is based on ASX definition.</t>
  </si>
  <si>
    <t>Flags</t>
  </si>
  <si>
    <t>Has Settle Delay</t>
  </si>
  <si>
    <t>DF</t>
  </si>
  <si>
    <t>Analytical Bootstrap Results</t>
  </si>
  <si>
    <t>Discounting</t>
  </si>
  <si>
    <t>Exchange Notionals</t>
  </si>
  <si>
    <t>Leg Type</t>
  </si>
  <si>
    <t>Start Date</t>
  </si>
  <si>
    <t>End Date</t>
  </si>
  <si>
    <t>Notional</t>
  </si>
  <si>
    <t>Fixed Rate (%)</t>
  </si>
  <si>
    <t>Index</t>
  </si>
  <si>
    <t>Spread (bps)</t>
  </si>
  <si>
    <t>Payment Freq.</t>
  </si>
  <si>
    <t>Bool</t>
  </si>
  <si>
    <t>Simple Forward Rate</t>
  </si>
  <si>
    <t>Days</t>
  </si>
  <si>
    <t>Fixing End</t>
  </si>
  <si>
    <t>Fixing Start</t>
  </si>
  <si>
    <t>Fwd Cpn #</t>
  </si>
  <si>
    <t>RF Disc. Factor</t>
  </si>
  <si>
    <t>RF CC Disc. Rate</t>
  </si>
  <si>
    <t>Total Payment</t>
  </si>
  <si>
    <t>Cpn Cashflow</t>
  </si>
  <si>
    <t>Coupon Rate</t>
  </si>
  <si>
    <t>Cpn Year %</t>
  </si>
  <si>
    <t>Days in Cpn Period</t>
  </si>
  <si>
    <t>Pay Date</t>
  </si>
  <si>
    <t>Accrual End</t>
  </si>
  <si>
    <t>Accrual Start</t>
  </si>
  <si>
    <t>Pure Forward Fixings</t>
  </si>
  <si>
    <t>Cpn Payment Offset</t>
  </si>
  <si>
    <t xml:space="preserve">Leg # </t>
  </si>
  <si>
    <t>Neither</t>
  </si>
  <si>
    <t>RollUserSpecifiedDates</t>
  </si>
  <si>
    <t>IncludePaymentsOnValuationDate</t>
  </si>
  <si>
    <t>Total PV</t>
  </si>
  <si>
    <t>PV</t>
  </si>
  <si>
    <t>Quote</t>
  </si>
  <si>
    <t>Flag</t>
  </si>
  <si>
    <t>Numerical Solve</t>
  </si>
  <si>
    <t>AUD Instrument Settlement Delay (days)</t>
  </si>
  <si>
    <t>BBSW_3M</t>
  </si>
  <si>
    <t>IsFixed</t>
  </si>
  <si>
    <t>Reference</t>
  </si>
  <si>
    <t>Quote Leg Value</t>
  </si>
  <si>
    <t>Reference Leg Value</t>
  </si>
  <si>
    <t>Swap Value</t>
  </si>
  <si>
    <t>BBSW 3M Par Swap Rate</t>
  </si>
  <si>
    <t>AONIA Par Swap Rate</t>
  </si>
  <si>
    <t>BBSW 1M Basis Spread</t>
  </si>
  <si>
    <t>BBSW 6M Basis Spread</t>
  </si>
  <si>
    <t>Solved DF</t>
  </si>
  <si>
    <t>Maturity Date, T2</t>
  </si>
  <si>
    <t>Effective Date, T1</t>
  </si>
  <si>
    <t>Numerical Bootstrap Results</t>
  </si>
  <si>
    <t>Maturity</t>
  </si>
  <si>
    <t>Leg</t>
  </si>
  <si>
    <t>Forward Curve</t>
  </si>
  <si>
    <t>Discount Curve</t>
  </si>
  <si>
    <t>Final Payment Date (T3)</t>
  </si>
  <si>
    <t>Analytical Solve</t>
  </si>
  <si>
    <t>Valid</t>
  </si>
  <si>
    <t>Bootstrap Results</t>
  </si>
  <si>
    <t>BBSW_1M</t>
  </si>
  <si>
    <t>Basis Spread</t>
  </si>
  <si>
    <t>BBSW_6M</t>
  </si>
  <si>
    <t>ASX Settlement Date</t>
  </si>
  <si>
    <t>ASX Expiry Date</t>
  </si>
  <si>
    <t>ASX 90D Bank Bill Futures</t>
  </si>
  <si>
    <t>Bank Bill 3M Rates</t>
  </si>
  <si>
    <t>Bank Bill 1M Rates</t>
  </si>
  <si>
    <t>Bank Bill 6M Rates</t>
  </si>
  <si>
    <t>SOFR Par Swap Rate</t>
  </si>
  <si>
    <t>Array Formulae</t>
  </si>
  <si>
    <t>Analytical calcs.</t>
  </si>
  <si>
    <t>FCB Spread (on AUD leg)</t>
  </si>
  <si>
    <t>SOFR 3M vs BBSW 3M</t>
  </si>
  <si>
    <t>SOFR 3M vs AONIA 3M</t>
  </si>
  <si>
    <t>Both</t>
  </si>
  <si>
    <t>FCBS Quote Type</t>
  </si>
  <si>
    <t>AUD Index</t>
  </si>
  <si>
    <t>FCB Spread</t>
  </si>
  <si>
    <t>AUD FCB Adjusted</t>
  </si>
  <si>
    <t>AUD_FCB_ADJ</t>
  </si>
  <si>
    <t xml:space="preserve"> </t>
  </si>
  <si>
    <t>Quote to numerically solve</t>
  </si>
  <si>
    <t>Solver helpers (do not edit)</t>
  </si>
  <si>
    <t>Quotes requiring numerical solve</t>
  </si>
  <si>
    <t>Hardcoded</t>
  </si>
  <si>
    <t>Not relevant</t>
  </si>
  <si>
    <t>Formulae Driven</t>
  </si>
  <si>
    <t>Day Count Basis String</t>
  </si>
  <si>
    <t>Day Count Basis Index</t>
  </si>
  <si>
    <t>Coupon Payment Delay</t>
  </si>
  <si>
    <t>Discounting Index</t>
  </si>
  <si>
    <t>Forward Index</t>
  </si>
  <si>
    <t>[Quote] - [Leg Type] Id</t>
  </si>
  <si>
    <t>Day Count Str</t>
  </si>
  <si>
    <t>Day Count Index</t>
  </si>
  <si>
    <t>Leg Bucket</t>
  </si>
  <si>
    <t>SOFR Curve Day Count Basis</t>
  </si>
  <si>
    <t>BBSW/AONIA Curve Day Count Basis</t>
  </si>
  <si>
    <t>AONIA/SOFR Coupon Payment Delay</t>
  </si>
  <si>
    <t>Roll Convention</t>
  </si>
  <si>
    <t>NSW Public &amp; Bank Holidays</t>
  </si>
  <si>
    <t>NY Public and Bank Holidays</t>
  </si>
  <si>
    <t>Fixing Offset</t>
  </si>
  <si>
    <t>Tenor Specific Swap Key Terms</t>
  </si>
  <si>
    <t>Apply OIS Dual Curve Stripping</t>
  </si>
  <si>
    <t>Below Swaps</t>
  </si>
  <si>
    <t>Tenor &lt; Min Swap Tenor</t>
  </si>
  <si>
    <t>Mandatory input for defining the discount factor at settle date</t>
  </si>
  <si>
    <t>The effective date (also know as the settlement date) defines when interest/yield begins accruing.</t>
  </si>
  <si>
    <t xml:space="preserve">For all quotes (money market securities, futures, swaps) understanding the effective period of the instrument is critical. </t>
  </si>
  <si>
    <t xml:space="preserve">For money market securities and swaps this effective date is typically 0-2 business days after the trade date - i.e a 0-2 day settlement delay. </t>
  </si>
  <si>
    <t xml:space="preserve">For futures, the effective period is forward starting, and is defined by the future contract specifications. </t>
  </si>
  <si>
    <t>USD Instrument Settlement Delay (days)</t>
  </si>
  <si>
    <t xml:space="preserve">The BKBM 3M FRA defines the 3M forward rate starting from the Settlement Day. </t>
  </si>
  <si>
    <t>The BBSW 3M fixing defines the 3M forward rate starting from the Settlement Day.</t>
  </si>
  <si>
    <t>If observing the futures prior to the Settlement Day for the purpose implying the 3M forward rate, the rate should be adjusted for convexity, though the impact is usually small.</t>
  </si>
  <si>
    <t>Motivation</t>
  </si>
  <si>
    <t>Payment Delay</t>
  </si>
  <si>
    <t>BBSW 3M Par Swaps</t>
  </si>
  <si>
    <t>Coupons dependent on overnight rates are required to have a payment delay as the days fixing is not observable until the next business day.</t>
  </si>
  <si>
    <t>Fiddly Specifics</t>
  </si>
  <si>
    <t xml:space="preserve">Hence, these coupons require a payment delay. For AONIA and SOFR a 2 day payment delay is market convention. </t>
  </si>
  <si>
    <t>For single currency swaps (e.g. AONIA fixed rate swaps, AONIA vs BBSW basis swaps, SOFR fixed rate swaps), the payment delay is also applied to the non OIS leg.</t>
  </si>
  <si>
    <t xml:space="preserve">However, for cross currency swaps, e.g. for a SOFR vs BBSW basis swap, only the SOFR leg has the payment delay. The notional exchange does not have a delay. </t>
  </si>
  <si>
    <t>Swap Valuations</t>
  </si>
  <si>
    <t xml:space="preserve">This would greatly simplify the process but unfortunately it is not accurate enough for most practical purposes. </t>
  </si>
  <si>
    <t>Curve Date / Trade date of par instruments (T0)</t>
  </si>
  <si>
    <t>Zero-coupon?</t>
  </si>
  <si>
    <t>Everything else, edit at own risk.</t>
  </si>
  <si>
    <t>Day count basis of displayed CCZR</t>
  </si>
  <si>
    <t>Final Coupon Payment Date (T3)</t>
  </si>
  <si>
    <t>For any multi-period swaps, full discounted cashflow valuations of the par swaps, are required (per tab "QuoteLeg" and "ReferenceLeg").</t>
  </si>
  <si>
    <t>Simplified bootstrapping methods use par swap quotes/basis spreads in single-line analytical formulae.</t>
  </si>
  <si>
    <t xml:space="preserve">For single-period swaps (e.g. &lt;=1Y AONIA and SOFR fixed rate swaps) the bootstrapping can be completed single-line analytical formulae as there is just 1 payment. </t>
  </si>
  <si>
    <t>Effective Date</t>
  </si>
  <si>
    <t>Business Days and Holidays</t>
  </si>
  <si>
    <t xml:space="preserve">The instruments used to bootstrap swap curves are money market securities (e.g. bank bills), futures and swap rates. </t>
  </si>
  <si>
    <t>Bank bills and swap rates are primarily traded between commercial banks and hence respect commercial bank business days.</t>
  </si>
  <si>
    <t xml:space="preserve">Futures trade in accordance to the trading schedule of the futures exchange and the future is defined by its contract definition. </t>
  </si>
  <si>
    <t>In Australia commercial bank non-business days are weekends, public holidays and the August banking holiday for NSW institutions.</t>
  </si>
  <si>
    <t>The purpose of this excel model, is to demonstrate, with minimal VBA code, how to bootstrap Australian swap curves from par instruments, and show all the fiddly specifics, that are required to get the bootstrap right to a fraction of a basis point. 
Ultimetely the fiddly specifics all relate to understanding the exact payoff definition of the instrument.</t>
  </si>
  <si>
    <t>AONIA Quote Type</t>
  </si>
  <si>
    <t>Global Settings</t>
  </si>
  <si>
    <t>BBSW 3M vs AONIA 3M Basis Spreads</t>
  </si>
  <si>
    <t>Other helper Tables</t>
  </si>
  <si>
    <t>Swap Quote Definitions</t>
  </si>
  <si>
    <t>Fixed Rate 1Y vs AONIA 1Y</t>
  </si>
  <si>
    <t xml:space="preserve">Linear interpolation of the natural logarithm of the discount factor curve (i.e log-linear interpolation) was applied whenever interpolation was required. This result in a piecewise flat forward rate curve, which has a 'step function' shape. This method is commonly used in banks and corporate treasury systems.
Cubic splines and quadratic polynomials curve fits are commonly used in practice but are not practical for an excel model. 
Linear interpolation of the zero rate curve is another common choice and is feasible in excel. However it is inferier to log-linear interpolation due to the forward rate curve shape, which has an illogical 'sawtooth' shape.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</si>
</sst>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0.0000_-;\-* #,##0.0000_-;_-* &quot;-&quot;??_-;_-@_-"/>
    <numFmt numFmtId="165" formatCode="d\-mmm\-yy_-;;"/>
    <numFmt numFmtId="166" formatCode="0.00000%"/>
    <numFmt numFmtId="167" formatCode="#,##0_-;\(#,##0\)_-;\-_-"/>
    <numFmt numFmtId="168" formatCode="_-* #,##0.00000_-;\-* #,##0.00000_-;_-* &quot;-&quot;??_-;_-@_-"/>
    <numFmt numFmtId="169" formatCode="d\-mmm\-yyyy_-;;"/>
    <numFmt numFmtId="170" formatCode="_-* #,##0.0_-;\-* #,##0.0_-;_-* &quot;-&quot;??_-;_-@_-"/>
    <numFmt numFmtId="171" formatCode="_-* #,##0.000_-;\-* #,##0.000_-;_-* &quot;-&quot;??_-;_-@_-"/>
    <numFmt numFmtId="172" formatCode="_-* #,##0_-;\-* #,##0_-;_-* &quot;-&quot;??_-;_-@_-"/>
    <numFmt numFmtId="173" formatCode="ddd\ d\-mmm\-yy_-;;"/>
    <numFmt numFmtId="174" formatCode="[$-409]d\-mmm\-yyyy;@"/>
    <numFmt numFmtId="175" formatCode="0.000%"/>
    <numFmt numFmtId="176" formatCode="ddd\ d\-mmm\-yyyy_-;;"/>
    <numFmt numFmtId="177" formatCode="mmm\-yyyy_-;;"/>
    <numFmt numFmtId="178" formatCode="ddd\ d\-mmm\-yyyy"/>
    <numFmt numFmtId="179" formatCode="_(* #,##0.00_);_(* \(#,##0.00\);_(* &quot;-&quot;??_);_(@_)"/>
    <numFmt numFmtId="180" formatCode="_(* #,##0.0000_);_(* \(#,##0.0000\);_(* &quot;-&quot;??_);_(@_)"/>
    <numFmt numFmtId="181" formatCode="_(* #,##0.00000_);_(* \(#,##0.00000\);_(* &quot;-&quot;??_);_(@_)"/>
    <numFmt numFmtId="182" formatCode="_(* #,##0.000000_);_(* \(#,##0.000000\);_(* &quot;-&quot;??_);_(@_)"/>
    <numFmt numFmtId="183" formatCode="0.0000%"/>
    <numFmt numFmtId="184" formatCode="#,##0.000_-;\(#,##0.000\)_-;\-_-"/>
  </numFmts>
  <fonts count="19">
    <font>
      <sz val="9"/>
      <color theme="1"/>
      <name val="Arial"/>
      <family val="2"/>
    </font>
    <font>
      <sz val="9"/>
      <color theme="1"/>
      <name val="Arial"/>
      <family val="2"/>
    </font>
    <font>
      <b/>
      <sz val="9"/>
      <color theme="0"/>
      <name val="Arial"/>
      <family val="2"/>
    </font>
    <font>
      <b/>
      <sz val="9"/>
      <color theme="1"/>
      <name val="Arial"/>
      <family val="2"/>
    </font>
    <font>
      <sz val="9"/>
      <color theme="0"/>
      <name val="Arial"/>
      <family val="2"/>
    </font>
    <font>
      <sz val="11"/>
      <color theme="1"/>
      <name val="Aptos Narrow"/>
      <family val="2"/>
      <scheme val="minor"/>
    </font>
    <font>
      <sz val="10"/>
      <name val="Arial"/>
      <family val="2"/>
    </font>
    <font>
      <sz val="10"/>
      <color theme="1"/>
      <name val="Arial"/>
      <family val="2"/>
    </font>
    <font>
      <u/>
      <sz val="9"/>
      <color theme="10"/>
      <name val="Arial"/>
      <family val="2"/>
    </font>
    <font>
      <sz val="9"/>
      <name val="Arial"/>
      <family val="2"/>
    </font>
    <font>
      <u/>
      <sz val="9"/>
      <name val="Arial"/>
      <family val="2"/>
    </font>
    <font>
      <sz val="9"/>
      <color rgb="FF0070C0"/>
      <name val="Arial"/>
      <family val="2"/>
    </font>
    <font>
      <b/>
      <sz val="9"/>
      <name val="Arial"/>
      <family val="2"/>
    </font>
    <font>
      <u/>
      <sz val="9"/>
      <color theme="1"/>
      <name val="Arial"/>
      <family val="2"/>
    </font>
    <font>
      <sz val="8"/>
      <name val="Arial"/>
      <family val="2"/>
    </font>
    <font>
      <sz val="9"/>
      <color indexed="81"/>
      <name val="Tahoma"/>
      <family val="2"/>
    </font>
    <font>
      <sz val="9"/>
      <color rgb="FF000000"/>
      <name val="Arial"/>
      <family val="2"/>
    </font>
    <font>
      <b/>
      <u/>
      <sz val="9"/>
      <color theme="1"/>
      <name val="Arial"/>
      <family val="2"/>
    </font>
    <font>
      <b/>
      <sz val="9"/>
      <color indexed="81"/>
      <name val="Tahoma"/>
      <family val="2"/>
    </font>
  </fonts>
  <fills count="10">
    <fill>
      <patternFill patternType="none"/>
    </fill>
    <fill>
      <patternFill patternType="gray125"/>
    </fill>
    <fill>
      <patternFill patternType="solid">
        <fgColor theme="7" tint="0.79998168889431442"/>
        <bgColor indexed="64"/>
      </patternFill>
    </fill>
    <fill>
      <patternFill patternType="solid">
        <fgColor theme="1"/>
        <bgColor indexed="64"/>
      </patternFill>
    </fill>
    <fill>
      <patternFill patternType="solid">
        <fgColor theme="0"/>
        <bgColor indexed="64"/>
      </patternFill>
    </fill>
    <fill>
      <patternFill patternType="solid">
        <fgColor theme="4"/>
        <bgColor theme="4"/>
      </patternFill>
    </fill>
    <fill>
      <patternFill patternType="solid">
        <fgColor theme="7" tint="0.39997558519241921"/>
        <bgColor indexed="64"/>
      </patternFill>
    </fill>
    <fill>
      <patternFill patternType="lightUp"/>
    </fill>
    <fill>
      <patternFill patternType="solid">
        <fgColor theme="0" tint="-4.9989318521683403E-2"/>
        <bgColor indexed="64"/>
      </patternFill>
    </fill>
    <fill>
      <patternFill patternType="solid">
        <fgColor theme="6" tint="0.79998168889431442"/>
        <bgColor indexed="64"/>
      </patternFill>
    </fill>
  </fills>
  <borders count="18">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theme="4"/>
      </right>
      <top style="thin">
        <color theme="4"/>
      </top>
      <bottom/>
      <diagonal/>
    </border>
    <border>
      <left style="thin">
        <color indexed="64"/>
      </left>
      <right/>
      <top style="thin">
        <color indexed="64"/>
      </top>
      <bottom style="double">
        <color indexed="64"/>
      </bottom>
      <diagonal/>
    </border>
  </borders>
  <cellStyleXfs count="11">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6" fillId="0" borderId="0"/>
    <xf numFmtId="0" fontId="8" fillId="0" borderId="0" applyNumberFormat="0" applyFill="0" applyBorder="0" applyAlignment="0" applyProtection="0"/>
    <xf numFmtId="0" fontId="7" fillId="0" borderId="0"/>
    <xf numFmtId="179" fontId="7" fillId="0" borderId="0" applyFont="0" applyFill="0" applyBorder="0" applyAlignment="0" applyProtection="0"/>
    <xf numFmtId="9" fontId="7" fillId="0" borderId="0" applyFont="0" applyFill="0" applyBorder="0" applyAlignment="0" applyProtection="0"/>
  </cellStyleXfs>
  <cellXfs count="358">
    <xf numFmtId="0" fontId="0" fillId="0" borderId="0" xfId="0"/>
    <xf numFmtId="0" fontId="0" fillId="0" borderId="2" xfId="0" applyBorder="1"/>
    <xf numFmtId="0" fontId="9" fillId="0" borderId="0" xfId="3" applyFont="1"/>
    <xf numFmtId="169" fontId="9" fillId="0" borderId="0" xfId="3" applyNumberFormat="1" applyFont="1"/>
    <xf numFmtId="0" fontId="9" fillId="0" borderId="15" xfId="3" applyFont="1" applyBorder="1"/>
    <xf numFmtId="168" fontId="9" fillId="0" borderId="0" xfId="4" applyNumberFormat="1" applyFont="1" applyFill="1" applyBorder="1" applyProtection="1"/>
    <xf numFmtId="170" fontId="9" fillId="0" borderId="0" xfId="4" applyNumberFormat="1" applyFont="1" applyFill="1" applyBorder="1" applyProtection="1"/>
    <xf numFmtId="0" fontId="9" fillId="0" borderId="0" xfId="3" applyFont="1" applyAlignment="1">
      <alignment horizontal="right"/>
    </xf>
    <xf numFmtId="167" fontId="9" fillId="0" borderId="0" xfId="3" applyNumberFormat="1" applyFont="1"/>
    <xf numFmtId="165" fontId="9" fillId="0" borderId="0" xfId="3" applyNumberFormat="1" applyFont="1"/>
    <xf numFmtId="0" fontId="10" fillId="0" borderId="0" xfId="3" applyFont="1"/>
    <xf numFmtId="0" fontId="9" fillId="0" borderId="4" xfId="3" applyFont="1" applyBorder="1" applyAlignment="1">
      <alignment horizontal="centerContinuous"/>
    </xf>
    <xf numFmtId="0" fontId="9" fillId="0" borderId="9" xfId="3" applyFont="1" applyBorder="1" applyAlignment="1">
      <alignment horizontal="centerContinuous"/>
    </xf>
    <xf numFmtId="0" fontId="9" fillId="0" borderId="11" xfId="3" applyFont="1" applyBorder="1" applyAlignment="1">
      <alignment horizontal="centerContinuous"/>
    </xf>
    <xf numFmtId="0" fontId="9" fillId="0" borderId="10" xfId="3" applyFont="1" applyBorder="1" applyAlignment="1">
      <alignment horizontal="centerContinuous"/>
    </xf>
    <xf numFmtId="0" fontId="9" fillId="0" borderId="14" xfId="3" applyFont="1" applyBorder="1"/>
    <xf numFmtId="0" fontId="9" fillId="0" borderId="15" xfId="3" applyFont="1" applyBorder="1" applyAlignment="1">
      <alignment horizontal="center"/>
    </xf>
    <xf numFmtId="0" fontId="9" fillId="0" borderId="13" xfId="3" applyFont="1" applyBorder="1" applyAlignment="1">
      <alignment horizontal="center"/>
    </xf>
    <xf numFmtId="0" fontId="9" fillId="0" borderId="10" xfId="3" applyFont="1" applyBorder="1"/>
    <xf numFmtId="0" fontId="9" fillId="0" borderId="12" xfId="3" applyFont="1" applyBorder="1"/>
    <xf numFmtId="43" fontId="9" fillId="0" borderId="6" xfId="4" applyFont="1" applyFill="1" applyBorder="1" applyProtection="1"/>
    <xf numFmtId="169" fontId="9" fillId="0" borderId="0" xfId="4" applyNumberFormat="1" applyFont="1" applyFill="1" applyBorder="1" applyProtection="1"/>
    <xf numFmtId="167" fontId="9" fillId="0" borderId="0" xfId="4" applyNumberFormat="1" applyFont="1" applyFill="1" applyBorder="1" applyProtection="1"/>
    <xf numFmtId="173" fontId="9" fillId="0" borderId="0" xfId="4" applyNumberFormat="1" applyFont="1" applyFill="1" applyBorder="1" applyProtection="1"/>
    <xf numFmtId="173" fontId="9" fillId="0" borderId="10" xfId="3" applyNumberFormat="1" applyFont="1" applyBorder="1"/>
    <xf numFmtId="164" fontId="9" fillId="0" borderId="11" xfId="4" applyNumberFormat="1" applyFont="1" applyFill="1" applyBorder="1"/>
    <xf numFmtId="168" fontId="9" fillId="0" borderId="11" xfId="4" applyNumberFormat="1" applyFont="1" applyFill="1" applyBorder="1" applyProtection="1"/>
    <xf numFmtId="169" fontId="9" fillId="0" borderId="6" xfId="3" applyNumberFormat="1" applyFont="1" applyBorder="1"/>
    <xf numFmtId="172" fontId="9" fillId="0" borderId="0" xfId="4" applyNumberFormat="1" applyFont="1" applyFill="1" applyBorder="1" applyAlignment="1" applyProtection="1">
      <alignment horizontal="center" vertical="center"/>
    </xf>
    <xf numFmtId="171" fontId="9" fillId="0" borderId="0" xfId="4" applyNumberFormat="1" applyFont="1" applyFill="1" applyBorder="1" applyProtection="1"/>
    <xf numFmtId="168" fontId="9" fillId="0" borderId="0" xfId="4" quotePrefix="1" applyNumberFormat="1" applyFont="1" applyFill="1" applyBorder="1" applyAlignment="1" applyProtection="1">
      <alignment horizontal="center"/>
    </xf>
    <xf numFmtId="15" fontId="9" fillId="0" borderId="0" xfId="6" quotePrefix="1" applyNumberFormat="1" applyFont="1" applyAlignment="1">
      <alignment horizontal="right"/>
    </xf>
    <xf numFmtId="168" fontId="9" fillId="0" borderId="5" xfId="4" quotePrefix="1" applyNumberFormat="1" applyFont="1" applyFill="1" applyBorder="1" applyAlignment="1" applyProtection="1">
      <alignment horizontal="center"/>
    </xf>
    <xf numFmtId="168" fontId="11" fillId="2" borderId="4" xfId="4" applyNumberFormat="1" applyFont="1" applyFill="1" applyBorder="1" applyProtection="1">
      <protection locked="0"/>
    </xf>
    <xf numFmtId="167" fontId="9" fillId="0" borderId="6" xfId="3" applyNumberFormat="1" applyFont="1" applyBorder="1"/>
    <xf numFmtId="173" fontId="9" fillId="0" borderId="0" xfId="3" applyNumberFormat="1" applyFont="1"/>
    <xf numFmtId="173" fontId="9" fillId="0" borderId="11" xfId="3" applyNumberFormat="1" applyFont="1" applyBorder="1"/>
    <xf numFmtId="176" fontId="9" fillId="0" borderId="11" xfId="3" applyNumberFormat="1" applyFont="1" applyBorder="1"/>
    <xf numFmtId="176" fontId="9" fillId="0" borderId="0" xfId="3" applyNumberFormat="1" applyFont="1"/>
    <xf numFmtId="176" fontId="9" fillId="0" borderId="5" xfId="3" applyNumberFormat="1" applyFont="1" applyBorder="1"/>
    <xf numFmtId="171" fontId="11" fillId="2" borderId="4" xfId="4" applyNumberFormat="1" applyFont="1" applyFill="1" applyBorder="1" applyProtection="1">
      <protection locked="0"/>
    </xf>
    <xf numFmtId="172" fontId="9" fillId="0" borderId="6" xfId="4" applyNumberFormat="1" applyFont="1" applyFill="1" applyBorder="1" applyAlignment="1" applyProtection="1">
      <alignment horizontal="center" vertical="center"/>
    </xf>
    <xf numFmtId="175" fontId="9" fillId="0" borderId="0" xfId="5" applyNumberFormat="1" applyFont="1" applyFill="1" applyBorder="1" applyProtection="1"/>
    <xf numFmtId="167" fontId="9" fillId="0" borderId="11" xfId="3" applyNumberFormat="1" applyFont="1" applyBorder="1"/>
    <xf numFmtId="165" fontId="9" fillId="0" borderId="0" xfId="4" applyNumberFormat="1" applyFont="1" applyFill="1" applyBorder="1" applyProtection="1"/>
    <xf numFmtId="0" fontId="9" fillId="0" borderId="8" xfId="3" applyFont="1" applyBorder="1"/>
    <xf numFmtId="167" fontId="9" fillId="0" borderId="6" xfId="4" applyNumberFormat="1" applyFont="1" applyFill="1" applyBorder="1" applyProtection="1"/>
    <xf numFmtId="173" fontId="9" fillId="0" borderId="5" xfId="3" applyNumberFormat="1" applyFont="1" applyBorder="1"/>
    <xf numFmtId="164" fontId="9" fillId="0" borderId="0" xfId="4" applyNumberFormat="1" applyFont="1" applyFill="1" applyBorder="1"/>
    <xf numFmtId="168" fontId="9" fillId="0" borderId="0" xfId="4" applyNumberFormat="1" applyFont="1" applyFill="1" applyBorder="1" applyAlignment="1" applyProtection="1">
      <alignment horizontal="center"/>
    </xf>
    <xf numFmtId="15" fontId="9" fillId="0" borderId="0" xfId="6" applyNumberFormat="1" applyFont="1" applyAlignment="1">
      <alignment horizontal="right"/>
    </xf>
    <xf numFmtId="168" fontId="9" fillId="0" borderId="5" xfId="4" applyNumberFormat="1" applyFont="1" applyFill="1" applyBorder="1" applyAlignment="1" applyProtection="1">
      <alignment horizontal="center"/>
    </xf>
    <xf numFmtId="0" fontId="9" fillId="0" borderId="4" xfId="3" applyFont="1" applyBorder="1"/>
    <xf numFmtId="169" fontId="11" fillId="2" borderId="4" xfId="3" applyNumberFormat="1" applyFont="1" applyFill="1" applyBorder="1" applyAlignment="1" applyProtection="1">
      <alignment horizontal="center"/>
      <protection locked="0"/>
    </xf>
    <xf numFmtId="0" fontId="11" fillId="2" borderId="4" xfId="3" applyFont="1" applyFill="1" applyBorder="1" applyAlignment="1" applyProtection="1">
      <alignment horizontal="center"/>
      <protection locked="0"/>
    </xf>
    <xf numFmtId="0" fontId="9" fillId="0" borderId="5" xfId="3" applyFont="1" applyBorder="1"/>
    <xf numFmtId="0" fontId="11" fillId="2" borderId="4" xfId="3" applyFont="1" applyFill="1" applyBorder="1" applyAlignment="1">
      <alignment horizontal="center"/>
    </xf>
    <xf numFmtId="172" fontId="9" fillId="0" borderId="2" xfId="4" applyNumberFormat="1" applyFont="1" applyFill="1" applyBorder="1" applyAlignment="1" applyProtection="1">
      <alignment horizontal="center" vertical="center"/>
    </xf>
    <xf numFmtId="168" fontId="9" fillId="0" borderId="2" xfId="4" applyNumberFormat="1" applyFont="1" applyFill="1" applyBorder="1" applyAlignment="1" applyProtection="1">
      <alignment horizontal="center"/>
    </xf>
    <xf numFmtId="15" fontId="9" fillId="0" borderId="2" xfId="6" applyNumberFormat="1" applyFont="1" applyBorder="1" applyAlignment="1">
      <alignment horizontal="right"/>
    </xf>
    <xf numFmtId="168" fontId="9" fillId="0" borderId="1" xfId="4" applyNumberFormat="1" applyFont="1" applyFill="1" applyBorder="1" applyAlignment="1" applyProtection="1">
      <alignment horizontal="center"/>
    </xf>
    <xf numFmtId="164" fontId="9" fillId="0" borderId="0" xfId="4" applyNumberFormat="1" applyFont="1" applyFill="1" applyBorder="1" applyAlignment="1" applyProtection="1">
      <alignment horizontal="center"/>
    </xf>
    <xf numFmtId="0" fontId="9" fillId="4" borderId="1" xfId="3" applyFont="1" applyFill="1" applyBorder="1" applyAlignment="1">
      <alignment vertical="center"/>
    </xf>
    <xf numFmtId="0" fontId="9" fillId="4" borderId="3" xfId="3" applyFont="1" applyFill="1" applyBorder="1" applyAlignment="1">
      <alignment vertical="center"/>
    </xf>
    <xf numFmtId="0" fontId="9" fillId="4" borderId="2" xfId="3" applyFont="1" applyFill="1" applyBorder="1" applyAlignment="1">
      <alignment vertical="center"/>
    </xf>
    <xf numFmtId="169" fontId="9" fillId="4" borderId="2" xfId="3" applyNumberFormat="1" applyFont="1" applyFill="1" applyBorder="1" applyAlignment="1">
      <alignment vertical="center"/>
    </xf>
    <xf numFmtId="168" fontId="9" fillId="4" borderId="2" xfId="4" applyNumberFormat="1" applyFont="1" applyFill="1" applyBorder="1" applyAlignment="1" applyProtection="1">
      <alignment vertical="center"/>
    </xf>
    <xf numFmtId="0" fontId="9" fillId="0" borderId="15" xfId="3" applyFont="1" applyBorder="1" applyAlignment="1">
      <alignment horizontal="centerContinuous"/>
    </xf>
    <xf numFmtId="0" fontId="9" fillId="0" borderId="14" xfId="3" applyFont="1" applyBorder="1" applyAlignment="1">
      <alignment horizontal="centerContinuous"/>
    </xf>
    <xf numFmtId="0" fontId="9" fillId="0" borderId="13" xfId="3" applyFont="1" applyBorder="1" applyAlignment="1">
      <alignment horizontal="centerContinuous"/>
    </xf>
    <xf numFmtId="168" fontId="11" fillId="6" borderId="4" xfId="4" applyNumberFormat="1" applyFont="1" applyFill="1" applyBorder="1" applyProtection="1">
      <protection locked="0"/>
    </xf>
    <xf numFmtId="0" fontId="1" fillId="0" borderId="0" xfId="3" applyFont="1"/>
    <xf numFmtId="0" fontId="1" fillId="0" borderId="0" xfId="3" applyFont="1" applyAlignment="1">
      <alignment wrapText="1"/>
    </xf>
    <xf numFmtId="0" fontId="12" fillId="0" borderId="0" xfId="3" applyFont="1"/>
    <xf numFmtId="0" fontId="3" fillId="0" borderId="0" xfId="3" applyFont="1"/>
    <xf numFmtId="0" fontId="4" fillId="0" borderId="0" xfId="3" applyFont="1"/>
    <xf numFmtId="0" fontId="8" fillId="0" borderId="0" xfId="7"/>
    <xf numFmtId="0" fontId="13" fillId="0" borderId="0" xfId="3" applyFont="1"/>
    <xf numFmtId="176" fontId="9" fillId="0" borderId="9" xfId="6" applyNumberFormat="1" applyFont="1" applyBorder="1" applyAlignment="1">
      <alignment horizontal="center"/>
    </xf>
    <xf numFmtId="176" fontId="9" fillId="0" borderId="11" xfId="6" applyNumberFormat="1" applyFont="1" applyBorder="1" applyAlignment="1">
      <alignment horizontal="center"/>
    </xf>
    <xf numFmtId="175" fontId="9" fillId="0" borderId="11" xfId="2" applyNumberFormat="1" applyFont="1" applyBorder="1" applyAlignment="1">
      <alignment horizontal="center"/>
    </xf>
    <xf numFmtId="164" fontId="9" fillId="0" borderId="0" xfId="1" applyNumberFormat="1" applyFont="1" applyBorder="1" applyAlignment="1">
      <alignment horizontal="center"/>
    </xf>
    <xf numFmtId="176" fontId="9" fillId="0" borderId="0" xfId="6" applyNumberFormat="1" applyFont="1" applyAlignment="1">
      <alignment horizontal="center"/>
    </xf>
    <xf numFmtId="175" fontId="9" fillId="0" borderId="0" xfId="2" applyNumberFormat="1" applyFont="1" applyBorder="1" applyAlignment="1">
      <alignment horizontal="center"/>
    </xf>
    <xf numFmtId="177" fontId="11" fillId="2" borderId="4" xfId="4" applyNumberFormat="1" applyFont="1" applyFill="1" applyBorder="1" applyAlignment="1">
      <alignment horizontal="center"/>
    </xf>
    <xf numFmtId="164" fontId="11" fillId="2" borderId="4" xfId="4" applyNumberFormat="1" applyFont="1" applyFill="1" applyBorder="1" applyAlignment="1">
      <alignment horizontal="center"/>
    </xf>
    <xf numFmtId="0" fontId="9" fillId="0" borderId="2" xfId="3" applyFont="1" applyBorder="1" applyAlignment="1">
      <alignment vertical="center"/>
    </xf>
    <xf numFmtId="0" fontId="9" fillId="0" borderId="1" xfId="3" applyFont="1" applyBorder="1" applyAlignment="1">
      <alignment vertical="center"/>
    </xf>
    <xf numFmtId="0" fontId="12" fillId="0" borderId="3" xfId="3" applyFont="1" applyBorder="1" applyAlignment="1">
      <alignment vertical="center"/>
    </xf>
    <xf numFmtId="0" fontId="12" fillId="0" borderId="2" xfId="3" applyFont="1" applyBorder="1" applyAlignment="1">
      <alignment vertical="center"/>
    </xf>
    <xf numFmtId="0" fontId="12" fillId="0" borderId="1" xfId="3" applyFont="1" applyBorder="1" applyAlignment="1">
      <alignment vertical="center"/>
    </xf>
    <xf numFmtId="176" fontId="9" fillId="0" borderId="6" xfId="6" applyNumberFormat="1" applyFont="1" applyBorder="1" applyAlignment="1">
      <alignment horizontal="center"/>
    </xf>
    <xf numFmtId="176" fontId="9" fillId="0" borderId="3" xfId="6" applyNumberFormat="1" applyFont="1" applyBorder="1" applyAlignment="1">
      <alignment horizontal="center"/>
    </xf>
    <xf numFmtId="175" fontId="9" fillId="0" borderId="2" xfId="2" applyNumberFormat="1" applyFont="1" applyBorder="1" applyAlignment="1">
      <alignment horizontal="center"/>
    </xf>
    <xf numFmtId="176" fontId="9" fillId="0" borderId="2" xfId="6" applyNumberFormat="1" applyFont="1" applyBorder="1" applyAlignment="1">
      <alignment horizontal="center"/>
    </xf>
    <xf numFmtId="168" fontId="9" fillId="0" borderId="17" xfId="1" applyNumberFormat="1" applyFont="1" applyBorder="1" applyAlignment="1">
      <alignment horizontal="center"/>
    </xf>
    <xf numFmtId="168" fontId="9" fillId="0" borderId="6" xfId="1" applyNumberFormat="1" applyFont="1" applyBorder="1" applyAlignment="1">
      <alignment horizontal="center"/>
    </xf>
    <xf numFmtId="168" fontId="9" fillId="0" borderId="3" xfId="1" applyNumberFormat="1" applyFont="1" applyBorder="1" applyAlignment="1">
      <alignment horizontal="center"/>
    </xf>
    <xf numFmtId="164" fontId="9" fillId="0" borderId="10" xfId="1" applyNumberFormat="1" applyFont="1" applyBorder="1" applyAlignment="1">
      <alignment horizontal="center"/>
    </xf>
    <xf numFmtId="164" fontId="9" fillId="0" borderId="5" xfId="1" applyNumberFormat="1" applyFont="1" applyBorder="1" applyAlignment="1">
      <alignment horizontal="center"/>
    </xf>
    <xf numFmtId="164" fontId="9" fillId="0" borderId="1" xfId="1" applyNumberFormat="1" applyFont="1" applyBorder="1" applyAlignment="1">
      <alignment horizontal="center"/>
    </xf>
    <xf numFmtId="0" fontId="12" fillId="0" borderId="7" xfId="3" applyFont="1" applyBorder="1" applyAlignment="1">
      <alignment vertical="center"/>
    </xf>
    <xf numFmtId="168" fontId="11" fillId="2" borderId="12" xfId="4" applyNumberFormat="1" applyFont="1" applyFill="1" applyBorder="1" applyProtection="1">
      <protection locked="0"/>
    </xf>
    <xf numFmtId="174" fontId="9" fillId="0" borderId="0" xfId="6" quotePrefix="1" applyNumberFormat="1" applyFont="1" applyAlignment="1">
      <alignment horizontal="center"/>
    </xf>
    <xf numFmtId="0" fontId="9" fillId="4" borderId="2" xfId="3" applyFont="1" applyFill="1" applyBorder="1"/>
    <xf numFmtId="0" fontId="9" fillId="4" borderId="3" xfId="3" applyFont="1" applyFill="1" applyBorder="1"/>
    <xf numFmtId="0" fontId="9" fillId="4" borderId="6" xfId="3" applyFont="1" applyFill="1" applyBorder="1"/>
    <xf numFmtId="0" fontId="9" fillId="4" borderId="0" xfId="3" applyFont="1" applyFill="1"/>
    <xf numFmtId="0" fontId="9" fillId="4" borderId="5" xfId="3" applyFont="1" applyFill="1" applyBorder="1" applyAlignment="1">
      <alignment horizontal="left"/>
    </xf>
    <xf numFmtId="167" fontId="9" fillId="0" borderId="11" xfId="4" applyNumberFormat="1" applyFont="1" applyFill="1" applyBorder="1" applyProtection="1">
      <protection locked="0"/>
    </xf>
    <xf numFmtId="167" fontId="9" fillId="0" borderId="0" xfId="4" applyNumberFormat="1" applyFont="1" applyFill="1" applyBorder="1" applyProtection="1">
      <protection locked="0"/>
    </xf>
    <xf numFmtId="0" fontId="9" fillId="4" borderId="5" xfId="3" applyFont="1" applyFill="1" applyBorder="1"/>
    <xf numFmtId="168" fontId="9" fillId="0" borderId="0" xfId="1" applyNumberFormat="1" applyFont="1" applyBorder="1"/>
    <xf numFmtId="168" fontId="9" fillId="0" borderId="0" xfId="1" applyNumberFormat="1" applyFont="1" applyFill="1" applyBorder="1" applyProtection="1"/>
    <xf numFmtId="168" fontId="9" fillId="0" borderId="0" xfId="1" applyNumberFormat="1" applyFont="1"/>
    <xf numFmtId="165" fontId="9" fillId="0" borderId="6" xfId="4" applyNumberFormat="1" applyFont="1" applyFill="1" applyBorder="1" applyProtection="1">
      <protection locked="0"/>
    </xf>
    <xf numFmtId="0" fontId="9" fillId="0" borderId="12" xfId="3" applyFont="1" applyBorder="1" applyAlignment="1">
      <alignment horizontal="centerContinuous"/>
    </xf>
    <xf numFmtId="165" fontId="9" fillId="0" borderId="9" xfId="4" applyNumberFormat="1" applyFont="1" applyFill="1" applyBorder="1" applyAlignment="1">
      <alignment horizontal="center"/>
    </xf>
    <xf numFmtId="165" fontId="9" fillId="0" borderId="6" xfId="4" applyNumberFormat="1" applyFont="1" applyFill="1" applyBorder="1" applyAlignment="1">
      <alignment horizontal="center"/>
    </xf>
    <xf numFmtId="165" fontId="9" fillId="0" borderId="3" xfId="4" applyNumberFormat="1" applyFont="1" applyFill="1" applyBorder="1" applyAlignment="1">
      <alignment horizontal="center"/>
    </xf>
    <xf numFmtId="0" fontId="12" fillId="0" borderId="3" xfId="3" applyFont="1" applyBorder="1" applyAlignment="1">
      <alignment horizontal="center" vertical="center"/>
    </xf>
    <xf numFmtId="0" fontId="12" fillId="0" borderId="1" xfId="3" applyFont="1" applyBorder="1" applyAlignment="1">
      <alignment horizontal="center" vertical="center"/>
    </xf>
    <xf numFmtId="0" fontId="12" fillId="0" borderId="14" xfId="3" applyFont="1" applyBorder="1" applyAlignment="1">
      <alignment horizontal="center" vertical="center"/>
    </xf>
    <xf numFmtId="168" fontId="9" fillId="0" borderId="11" xfId="4" applyNumberFormat="1" applyFont="1" applyFill="1" applyBorder="1" applyAlignment="1">
      <alignment horizontal="center"/>
    </xf>
    <xf numFmtId="168" fontId="9" fillId="0" borderId="0" xfId="4" applyNumberFormat="1" applyFont="1" applyFill="1" applyBorder="1" applyAlignment="1">
      <alignment horizontal="center"/>
    </xf>
    <xf numFmtId="168" fontId="9" fillId="0" borderId="2" xfId="4" applyNumberFormat="1" applyFont="1" applyFill="1" applyBorder="1" applyAlignment="1">
      <alignment horizontal="center"/>
    </xf>
    <xf numFmtId="178" fontId="9" fillId="0" borderId="0" xfId="6" quotePrefix="1" applyNumberFormat="1" applyFont="1" applyAlignment="1">
      <alignment horizontal="right"/>
    </xf>
    <xf numFmtId="178" fontId="9" fillId="0" borderId="0" xfId="6" applyNumberFormat="1" applyFont="1" applyAlignment="1">
      <alignment horizontal="right"/>
    </xf>
    <xf numFmtId="178" fontId="9" fillId="0" borderId="0" xfId="6" applyNumberFormat="1" applyFont="1" applyAlignment="1">
      <alignment horizontal="center"/>
    </xf>
    <xf numFmtId="178" fontId="9" fillId="0" borderId="2" xfId="6" applyNumberFormat="1" applyFont="1" applyBorder="1" applyAlignment="1">
      <alignment horizontal="center"/>
    </xf>
    <xf numFmtId="0" fontId="9" fillId="0" borderId="0" xfId="3" applyFont="1" applyAlignment="1">
      <alignment horizontal="center"/>
    </xf>
    <xf numFmtId="166" fontId="9" fillId="0" borderId="10" xfId="2" applyNumberFormat="1" applyFont="1" applyFill="1" applyBorder="1" applyAlignment="1">
      <alignment horizontal="center"/>
    </xf>
    <xf numFmtId="166" fontId="9" fillId="0" borderId="5" xfId="2" applyNumberFormat="1" applyFont="1" applyFill="1" applyBorder="1" applyAlignment="1">
      <alignment horizontal="center"/>
    </xf>
    <xf numFmtId="166" fontId="9" fillId="0" borderId="1" xfId="2" applyNumberFormat="1" applyFont="1" applyFill="1" applyBorder="1" applyAlignment="1">
      <alignment horizontal="center"/>
    </xf>
    <xf numFmtId="168" fontId="9" fillId="0" borderId="0" xfId="1" applyNumberFormat="1" applyFont="1" applyFill="1" applyBorder="1" applyAlignment="1" applyProtection="1">
      <alignment horizontal="center" vertical="center"/>
    </xf>
    <xf numFmtId="0" fontId="9" fillId="4" borderId="15" xfId="3" applyFont="1" applyFill="1" applyBorder="1" applyAlignment="1">
      <alignment vertical="center"/>
    </xf>
    <xf numFmtId="0" fontId="9" fillId="4" borderId="13" xfId="3" applyFont="1" applyFill="1" applyBorder="1" applyAlignment="1">
      <alignment vertical="center"/>
    </xf>
    <xf numFmtId="168" fontId="11" fillId="2" borderId="4" xfId="4" applyNumberFormat="1" applyFont="1" applyFill="1" applyBorder="1" applyAlignment="1">
      <alignment horizontal="center"/>
    </xf>
    <xf numFmtId="167" fontId="11" fillId="2" borderId="4" xfId="4" applyNumberFormat="1" applyFont="1" applyFill="1" applyBorder="1" applyAlignment="1">
      <alignment horizontal="center"/>
    </xf>
    <xf numFmtId="175" fontId="0" fillId="0" borderId="0" xfId="2" applyNumberFormat="1" applyFont="1"/>
    <xf numFmtId="165" fontId="9" fillId="0" borderId="3" xfId="4" applyNumberFormat="1" applyFont="1" applyFill="1" applyBorder="1" applyProtection="1">
      <protection locked="0"/>
    </xf>
    <xf numFmtId="166" fontId="9" fillId="0" borderId="5" xfId="2" applyNumberFormat="1" applyFont="1" applyFill="1" applyBorder="1" applyProtection="1">
      <protection locked="0"/>
    </xf>
    <xf numFmtId="168" fontId="9" fillId="0" borderId="0" xfId="4" applyNumberFormat="1" applyFont="1" applyFill="1" applyBorder="1" applyProtection="1">
      <protection locked="0"/>
    </xf>
    <xf numFmtId="175" fontId="9" fillId="0" borderId="5" xfId="2" applyNumberFormat="1" applyFont="1" applyFill="1" applyBorder="1" applyProtection="1">
      <protection locked="0"/>
    </xf>
    <xf numFmtId="175" fontId="9" fillId="0" borderId="1" xfId="2" applyNumberFormat="1" applyFont="1" applyFill="1" applyBorder="1" applyProtection="1">
      <protection locked="0"/>
    </xf>
    <xf numFmtId="0" fontId="9" fillId="4" borderId="14" xfId="3" applyFont="1" applyFill="1" applyBorder="1" applyAlignment="1">
      <alignment vertical="center"/>
    </xf>
    <xf numFmtId="168" fontId="9" fillId="0" borderId="2" xfId="4" applyNumberFormat="1" applyFont="1" applyFill="1" applyBorder="1" applyProtection="1">
      <protection locked="0"/>
    </xf>
    <xf numFmtId="0" fontId="1" fillId="0" borderId="0" xfId="0" applyFont="1"/>
    <xf numFmtId="165" fontId="1" fillId="0" borderId="0" xfId="0" applyNumberFormat="1" applyFont="1"/>
    <xf numFmtId="0" fontId="9" fillId="4" borderId="9" xfId="3" applyFont="1" applyFill="1" applyBorder="1"/>
    <xf numFmtId="164" fontId="9" fillId="0" borderId="0" xfId="1" applyNumberFormat="1" applyFont="1" applyBorder="1"/>
    <xf numFmtId="164" fontId="9" fillId="0" borderId="0" xfId="1" applyNumberFormat="1" applyFont="1"/>
    <xf numFmtId="0" fontId="9" fillId="4" borderId="11" xfId="3" applyFont="1" applyFill="1" applyBorder="1"/>
    <xf numFmtId="164" fontId="9" fillId="0" borderId="6" xfId="1" applyNumberFormat="1" applyFont="1" applyBorder="1"/>
    <xf numFmtId="164" fontId="9" fillId="0" borderId="3" xfId="1" applyNumberFormat="1" applyFont="1" applyBorder="1"/>
    <xf numFmtId="164" fontId="9" fillId="0" borderId="2" xfId="1" applyNumberFormat="1" applyFont="1" applyBorder="1"/>
    <xf numFmtId="168" fontId="9" fillId="0" borderId="2" xfId="1" applyNumberFormat="1" applyFont="1" applyBorder="1"/>
    <xf numFmtId="174" fontId="9" fillId="0" borderId="0" xfId="6" applyNumberFormat="1" applyFont="1" applyAlignment="1">
      <alignment horizontal="center"/>
    </xf>
    <xf numFmtId="172" fontId="9" fillId="0" borderId="0" xfId="4" applyNumberFormat="1" applyFont="1" applyFill="1" applyAlignment="1" applyProtection="1">
      <alignment horizontal="center" vertical="center"/>
    </xf>
    <xf numFmtId="168" fontId="0" fillId="0" borderId="0" xfId="1" applyNumberFormat="1" applyFont="1"/>
    <xf numFmtId="173" fontId="4" fillId="3" borderId="0" xfId="8" applyNumberFormat="1" applyFont="1" applyFill="1" applyAlignment="1">
      <alignment horizontal="centerContinuous"/>
    </xf>
    <xf numFmtId="168" fontId="4" fillId="3" borderId="0" xfId="1" applyNumberFormat="1" applyFont="1" applyFill="1" applyAlignment="1" applyProtection="1">
      <alignment horizontal="centerContinuous"/>
    </xf>
    <xf numFmtId="173" fontId="0" fillId="0" borderId="0" xfId="0" applyNumberFormat="1"/>
    <xf numFmtId="0" fontId="9" fillId="4" borderId="0" xfId="3" applyFont="1" applyFill="1" applyAlignment="1">
      <alignment horizontal="left"/>
    </xf>
    <xf numFmtId="165" fontId="9" fillId="0" borderId="9" xfId="4" applyNumberFormat="1" applyFont="1" applyFill="1" applyBorder="1" applyProtection="1">
      <protection locked="0"/>
    </xf>
    <xf numFmtId="165" fontId="9" fillId="0" borderId="0" xfId="3" applyNumberFormat="1" applyFont="1" applyAlignment="1">
      <alignment horizontal="right"/>
    </xf>
    <xf numFmtId="168" fontId="9" fillId="0" borderId="11" xfId="4" applyNumberFormat="1" applyFont="1" applyFill="1" applyBorder="1" applyProtection="1">
      <protection locked="0"/>
    </xf>
    <xf numFmtId="0" fontId="1" fillId="0" borderId="4" xfId="0" applyFont="1" applyBorder="1"/>
    <xf numFmtId="0" fontId="11" fillId="2" borderId="4" xfId="0" applyFont="1" applyFill="1" applyBorder="1"/>
    <xf numFmtId="165" fontId="9" fillId="0" borderId="15" xfId="3" applyNumberFormat="1" applyFont="1" applyBorder="1" applyAlignment="1">
      <alignment horizontal="centerContinuous"/>
    </xf>
    <xf numFmtId="165" fontId="9" fillId="4" borderId="6" xfId="3" applyNumberFormat="1" applyFont="1" applyFill="1" applyBorder="1" applyAlignment="1">
      <alignment horizontal="center"/>
    </xf>
    <xf numFmtId="0" fontId="9" fillId="4" borderId="0" xfId="3" applyFont="1" applyFill="1" applyAlignment="1">
      <alignment horizontal="center"/>
    </xf>
    <xf numFmtId="0" fontId="9" fillId="4" borderId="5" xfId="3" applyFont="1" applyFill="1" applyBorder="1" applyAlignment="1">
      <alignment horizontal="center"/>
    </xf>
    <xf numFmtId="175" fontId="9" fillId="0" borderId="10" xfId="2" applyNumberFormat="1" applyFont="1" applyFill="1" applyBorder="1" applyProtection="1">
      <protection locked="0"/>
    </xf>
    <xf numFmtId="170" fontId="9" fillId="0" borderId="0" xfId="4" applyNumberFormat="1" applyFont="1" applyFill="1" applyBorder="1" applyAlignment="1" applyProtection="1">
      <alignment horizontal="center"/>
    </xf>
    <xf numFmtId="165" fontId="9" fillId="0" borderId="0" xfId="5" applyNumberFormat="1" applyFont="1" applyFill="1" applyBorder="1" applyProtection="1"/>
    <xf numFmtId="167" fontId="9" fillId="0" borderId="0" xfId="5" applyNumberFormat="1" applyFont="1" applyFill="1" applyBorder="1" applyProtection="1"/>
    <xf numFmtId="171" fontId="9" fillId="0" borderId="4" xfId="4" applyNumberFormat="1" applyFont="1" applyFill="1" applyBorder="1" applyProtection="1">
      <protection locked="0"/>
    </xf>
    <xf numFmtId="165" fontId="9" fillId="0" borderId="4" xfId="4" applyNumberFormat="1" applyFont="1" applyFill="1" applyBorder="1" applyProtection="1">
      <protection locked="0"/>
    </xf>
    <xf numFmtId="183" fontId="9" fillId="0" borderId="4" xfId="2" applyNumberFormat="1" applyFont="1" applyFill="1" applyBorder="1" applyProtection="1">
      <protection locked="0"/>
    </xf>
    <xf numFmtId="183" fontId="0" fillId="0" borderId="0" xfId="2" applyNumberFormat="1" applyFont="1"/>
    <xf numFmtId="169" fontId="9" fillId="0" borderId="3" xfId="3" applyNumberFormat="1" applyFont="1" applyBorder="1"/>
    <xf numFmtId="176" fontId="0" fillId="0" borderId="0" xfId="0" applyNumberFormat="1"/>
    <xf numFmtId="168" fontId="9" fillId="0" borderId="5" xfId="4" applyNumberFormat="1" applyFont="1" applyFill="1" applyBorder="1" applyProtection="1"/>
    <xf numFmtId="168" fontId="9" fillId="0" borderId="1" xfId="4" applyNumberFormat="1" applyFont="1" applyFill="1" applyBorder="1" applyProtection="1"/>
    <xf numFmtId="168" fontId="9" fillId="0" borderId="10" xfId="1" applyNumberFormat="1" applyFont="1" applyBorder="1" applyAlignment="1">
      <alignment horizontal="center"/>
    </xf>
    <xf numFmtId="168" fontId="9" fillId="0" borderId="5" xfId="1" applyNumberFormat="1" applyFont="1" applyBorder="1" applyAlignment="1">
      <alignment horizontal="center"/>
    </xf>
    <xf numFmtId="168" fontId="9" fillId="0" borderId="1" xfId="1" applyNumberFormat="1" applyFont="1" applyBorder="1" applyAlignment="1">
      <alignment horizontal="center"/>
    </xf>
    <xf numFmtId="167" fontId="9" fillId="0" borderId="3" xfId="4" applyNumberFormat="1" applyFont="1" applyFill="1" applyBorder="1" applyProtection="1"/>
    <xf numFmtId="168" fontId="9" fillId="0" borderId="2" xfId="4" applyNumberFormat="1" applyFont="1" applyFill="1" applyBorder="1" applyProtection="1"/>
    <xf numFmtId="168" fontId="11" fillId="2" borderId="4" xfId="4" applyNumberFormat="1" applyFont="1" applyFill="1" applyBorder="1"/>
    <xf numFmtId="0" fontId="9" fillId="0" borderId="4" xfId="3" applyFont="1" applyBorder="1" applyAlignment="1">
      <alignment horizontal="center"/>
    </xf>
    <xf numFmtId="0" fontId="0" fillId="0" borderId="9" xfId="0" applyBorder="1"/>
    <xf numFmtId="0" fontId="0" fillId="0" borderId="6" xfId="0" applyBorder="1"/>
    <xf numFmtId="0" fontId="0" fillId="0" borderId="3" xfId="0" applyBorder="1"/>
    <xf numFmtId="175" fontId="9" fillId="0" borderId="0" xfId="2" applyNumberFormat="1" applyFont="1"/>
    <xf numFmtId="167" fontId="0" fillId="0" borderId="5" xfId="0" applyNumberFormat="1" applyBorder="1"/>
    <xf numFmtId="167" fontId="0" fillId="0" borderId="1" xfId="1" applyNumberFormat="1" applyFont="1" applyBorder="1"/>
    <xf numFmtId="0" fontId="9" fillId="0" borderId="13" xfId="3" applyFont="1" applyBorder="1"/>
    <xf numFmtId="0" fontId="0" fillId="8" borderId="4" xfId="0" applyFill="1" applyBorder="1"/>
    <xf numFmtId="0" fontId="0" fillId="0" borderId="4" xfId="0" applyBorder="1"/>
    <xf numFmtId="168" fontId="0" fillId="7" borderId="4" xfId="1" applyNumberFormat="1" applyFont="1" applyFill="1" applyBorder="1" applyProtection="1"/>
    <xf numFmtId="173" fontId="0" fillId="0" borderId="4" xfId="9" applyNumberFormat="1" applyFont="1" applyBorder="1" applyAlignment="1" applyProtection="1">
      <alignment horizontal="left"/>
    </xf>
    <xf numFmtId="175" fontId="9" fillId="0" borderId="4" xfId="10" applyNumberFormat="1" applyFont="1" applyFill="1" applyBorder="1" applyProtection="1"/>
    <xf numFmtId="167" fontId="9" fillId="0" borderId="4" xfId="8" applyNumberFormat="1" applyFont="1" applyBorder="1" applyProtection="1">
      <protection locked="0"/>
    </xf>
    <xf numFmtId="180" fontId="4" fillId="3" borderId="9" xfId="9" applyNumberFormat="1" applyFont="1" applyFill="1" applyBorder="1" applyAlignment="1" applyProtection="1">
      <alignment horizontal="left"/>
    </xf>
    <xf numFmtId="0" fontId="0" fillId="8" borderId="0" xfId="0" applyFill="1" applyAlignment="1">
      <alignment vertical="center"/>
    </xf>
    <xf numFmtId="0" fontId="0" fillId="8" borderId="0" xfId="0" applyFill="1"/>
    <xf numFmtId="169" fontId="0" fillId="8" borderId="0" xfId="9" applyNumberFormat="1" applyFont="1" applyFill="1" applyBorder="1" applyProtection="1"/>
    <xf numFmtId="169" fontId="0" fillId="8" borderId="0" xfId="8" applyNumberFormat="1" applyFont="1" applyFill="1"/>
    <xf numFmtId="168" fontId="0" fillId="0" borderId="0" xfId="1" applyNumberFormat="1" applyFont="1" applyBorder="1" applyProtection="1"/>
    <xf numFmtId="169" fontId="0" fillId="0" borderId="0" xfId="8" applyNumberFormat="1" applyFont="1"/>
    <xf numFmtId="169" fontId="0" fillId="0" borderId="0" xfId="10" applyNumberFormat="1" applyFont="1" applyBorder="1" applyProtection="1"/>
    <xf numFmtId="175" fontId="0" fillId="7" borderId="0" xfId="10" applyNumberFormat="1" applyFont="1" applyFill="1" applyBorder="1" applyProtection="1"/>
    <xf numFmtId="167" fontId="0" fillId="8" borderId="0" xfId="10" applyNumberFormat="1" applyFont="1" applyFill="1" applyBorder="1"/>
    <xf numFmtId="167" fontId="0" fillId="0" borderId="0" xfId="10" applyNumberFormat="1" applyFont="1" applyFill="1" applyBorder="1"/>
    <xf numFmtId="180" fontId="0" fillId="0" borderId="0" xfId="9" applyNumberFormat="1" applyFont="1" applyBorder="1" applyProtection="1"/>
    <xf numFmtId="168" fontId="0" fillId="7" borderId="0" xfId="1" applyNumberFormat="1" applyFont="1" applyFill="1" applyBorder="1" applyProtection="1"/>
    <xf numFmtId="184" fontId="0" fillId="0" borderId="0" xfId="8" applyNumberFormat="1" applyFont="1"/>
    <xf numFmtId="180" fontId="0" fillId="8" borderId="0" xfId="9" applyNumberFormat="1" applyFont="1" applyFill="1" applyBorder="1" applyProtection="1"/>
    <xf numFmtId="169" fontId="0" fillId="0" borderId="2" xfId="10" applyNumberFormat="1" applyFont="1" applyBorder="1" applyProtection="1"/>
    <xf numFmtId="184" fontId="0" fillId="0" borderId="2" xfId="8" applyNumberFormat="1" applyFont="1" applyBorder="1"/>
    <xf numFmtId="180" fontId="4" fillId="3" borderId="14" xfId="9" applyNumberFormat="1" applyFont="1" applyFill="1" applyBorder="1" applyAlignment="1" applyProtection="1">
      <alignment horizontal="left"/>
    </xf>
    <xf numFmtId="167" fontId="0" fillId="8" borderId="0" xfId="10" applyNumberFormat="1" applyFont="1" applyFill="1" applyBorder="1" applyProtection="1"/>
    <xf numFmtId="180" fontId="4" fillId="3" borderId="2" xfId="9" applyNumberFormat="1" applyFont="1" applyFill="1" applyBorder="1" applyAlignment="1" applyProtection="1">
      <alignment horizontal="left"/>
    </xf>
    <xf numFmtId="180" fontId="4" fillId="3" borderId="3" xfId="9" applyNumberFormat="1" applyFont="1" applyFill="1" applyBorder="1" applyAlignment="1" applyProtection="1">
      <alignment horizontal="left"/>
    </xf>
    <xf numFmtId="168" fontId="9" fillId="9" borderId="4" xfId="4" applyNumberFormat="1" applyFont="1" applyFill="1" applyBorder="1" applyAlignment="1">
      <alignment horizontal="center"/>
    </xf>
    <xf numFmtId="180" fontId="4" fillId="3" borderId="9" xfId="1" applyNumberFormat="1" applyFont="1" applyFill="1" applyBorder="1" applyAlignment="1" applyProtection="1">
      <alignment horizontal="left"/>
    </xf>
    <xf numFmtId="0" fontId="4" fillId="3" borderId="0" xfId="0" applyFont="1" applyFill="1"/>
    <xf numFmtId="0" fontId="17" fillId="0" borderId="0" xfId="0" applyFont="1"/>
    <xf numFmtId="176" fontId="0" fillId="0" borderId="2" xfId="0" applyNumberFormat="1" applyBorder="1"/>
    <xf numFmtId="167" fontId="0" fillId="8" borderId="4" xfId="0" applyNumberFormat="1" applyFill="1" applyBorder="1"/>
    <xf numFmtId="184" fontId="0" fillId="8" borderId="0" xfId="8" applyNumberFormat="1" applyFont="1" applyFill="1"/>
    <xf numFmtId="173" fontId="0" fillId="0" borderId="0" xfId="9" applyNumberFormat="1" applyFont="1" applyProtection="1"/>
    <xf numFmtId="183" fontId="0" fillId="0" borderId="0" xfId="10" applyNumberFormat="1" applyFont="1" applyProtection="1"/>
    <xf numFmtId="182" fontId="0" fillId="0" borderId="0" xfId="9" applyNumberFormat="1" applyFont="1"/>
    <xf numFmtId="10" fontId="0" fillId="0" borderId="0" xfId="10" applyNumberFormat="1" applyFont="1" applyProtection="1"/>
    <xf numFmtId="181" fontId="0" fillId="0" borderId="0" xfId="9" applyNumberFormat="1" applyFont="1" applyProtection="1"/>
    <xf numFmtId="0" fontId="0" fillId="0" borderId="0" xfId="8" applyFont="1"/>
    <xf numFmtId="165" fontId="0" fillId="0" borderId="0" xfId="9" applyNumberFormat="1" applyFont="1" applyProtection="1"/>
    <xf numFmtId="167" fontId="0" fillId="0" borderId="0" xfId="9" applyNumberFormat="1" applyFont="1" applyProtection="1"/>
    <xf numFmtId="180" fontId="0" fillId="0" borderId="0" xfId="9" applyNumberFormat="1" applyFont="1" applyProtection="1"/>
    <xf numFmtId="167" fontId="11" fillId="2" borderId="4" xfId="8" applyNumberFormat="1" applyFont="1" applyFill="1" applyBorder="1" applyProtection="1">
      <protection locked="0"/>
    </xf>
    <xf numFmtId="179" fontId="0" fillId="0" borderId="0" xfId="9" applyFont="1" applyProtection="1"/>
    <xf numFmtId="169" fontId="0" fillId="0" borderId="0" xfId="9" applyNumberFormat="1" applyFont="1" applyFill="1" applyProtection="1"/>
    <xf numFmtId="181" fontId="0" fillId="0" borderId="0" xfId="9" applyNumberFormat="1" applyFont="1" applyFill="1" applyProtection="1"/>
    <xf numFmtId="180" fontId="4" fillId="3" borderId="11" xfId="9" applyNumberFormat="1" applyFont="1" applyFill="1" applyBorder="1" applyAlignment="1" applyProtection="1">
      <alignment horizontal="left"/>
    </xf>
    <xf numFmtId="0" fontId="4" fillId="3" borderId="11" xfId="8" applyFont="1" applyFill="1" applyBorder="1" applyAlignment="1">
      <alignment horizontal="left"/>
    </xf>
    <xf numFmtId="183" fontId="4" fillId="3" borderId="11" xfId="10" applyNumberFormat="1" applyFont="1" applyFill="1" applyBorder="1" applyAlignment="1">
      <alignment horizontal="left"/>
    </xf>
    <xf numFmtId="169" fontId="0" fillId="0" borderId="3" xfId="9" applyNumberFormat="1" applyFont="1" applyBorder="1" applyProtection="1"/>
    <xf numFmtId="169" fontId="0" fillId="0" borderId="2" xfId="8" applyNumberFormat="1" applyFont="1" applyBorder="1"/>
    <xf numFmtId="168" fontId="0" fillId="0" borderId="2" xfId="1" applyNumberFormat="1" applyFont="1" applyBorder="1" applyProtection="1"/>
    <xf numFmtId="167" fontId="0" fillId="0" borderId="2" xfId="8" applyNumberFormat="1" applyFont="1" applyBorder="1"/>
    <xf numFmtId="167" fontId="0" fillId="0" borderId="2" xfId="10" applyNumberFormat="1" applyFont="1" applyBorder="1"/>
    <xf numFmtId="180" fontId="0" fillId="0" borderId="2" xfId="9" applyNumberFormat="1" applyFont="1" applyBorder="1" applyProtection="1"/>
    <xf numFmtId="167" fontId="0" fillId="0" borderId="2" xfId="9" applyNumberFormat="1" applyFont="1" applyBorder="1" applyProtection="1"/>
    <xf numFmtId="167" fontId="0" fillId="0" borderId="1" xfId="9" applyNumberFormat="1" applyFont="1" applyBorder="1" applyProtection="1"/>
    <xf numFmtId="169" fontId="0" fillId="0" borderId="0" xfId="9" applyNumberFormat="1" applyFont="1" applyBorder="1" applyProtection="1"/>
    <xf numFmtId="166" fontId="0" fillId="0" borderId="0" xfId="2" applyNumberFormat="1" applyFont="1" applyBorder="1" applyProtection="1"/>
    <xf numFmtId="167" fontId="0" fillId="0" borderId="0" xfId="8" applyNumberFormat="1" applyFont="1"/>
    <xf numFmtId="167" fontId="0" fillId="0" borderId="0" xfId="10" applyNumberFormat="1" applyFont="1" applyBorder="1"/>
    <xf numFmtId="167" fontId="0" fillId="0" borderId="0" xfId="10" applyNumberFormat="1" applyFont="1" applyProtection="1"/>
    <xf numFmtId="169" fontId="0" fillId="0" borderId="0" xfId="9" applyNumberFormat="1" applyFont="1" applyProtection="1"/>
    <xf numFmtId="10" fontId="4" fillId="3" borderId="0" xfId="10" applyNumberFormat="1" applyFont="1" applyFill="1" applyAlignment="1" applyProtection="1">
      <alignment horizontal="centerContinuous"/>
    </xf>
    <xf numFmtId="169" fontId="4" fillId="3" borderId="0" xfId="10" applyNumberFormat="1" applyFont="1" applyFill="1" applyAlignment="1" applyProtection="1">
      <alignment horizontal="centerContinuous"/>
    </xf>
    <xf numFmtId="167" fontId="4" fillId="3" borderId="0" xfId="10" applyNumberFormat="1" applyFont="1" applyFill="1" applyAlignment="1" applyProtection="1">
      <alignment horizontal="centerContinuous"/>
    </xf>
    <xf numFmtId="180" fontId="4" fillId="3" borderId="0" xfId="9" applyNumberFormat="1" applyFont="1" applyFill="1" applyAlignment="1" applyProtection="1">
      <alignment horizontal="centerContinuous"/>
    </xf>
    <xf numFmtId="182" fontId="4" fillId="3" borderId="0" xfId="9" applyNumberFormat="1" applyFont="1" applyFill="1" applyAlignment="1" applyProtection="1">
      <alignment horizontal="centerContinuous"/>
    </xf>
    <xf numFmtId="182" fontId="4" fillId="3" borderId="0" xfId="9" applyNumberFormat="1" applyFont="1" applyFill="1" applyAlignment="1">
      <alignment horizontal="centerContinuous"/>
    </xf>
    <xf numFmtId="175" fontId="4" fillId="3" borderId="0" xfId="10" applyNumberFormat="1" applyFont="1" applyFill="1" applyAlignment="1" applyProtection="1">
      <alignment horizontal="centerContinuous"/>
    </xf>
    <xf numFmtId="169" fontId="4" fillId="3" borderId="0" xfId="8" applyNumberFormat="1" applyFont="1" applyFill="1" applyAlignment="1">
      <alignment horizontal="centerContinuous"/>
    </xf>
    <xf numFmtId="181" fontId="4" fillId="3" borderId="0" xfId="9" applyNumberFormat="1" applyFont="1" applyFill="1" applyAlignment="1" applyProtection="1">
      <alignment horizontal="centerContinuous"/>
    </xf>
    <xf numFmtId="173" fontId="0" fillId="0" borderId="0" xfId="9" applyNumberFormat="1" applyFont="1" applyBorder="1" applyProtection="1"/>
    <xf numFmtId="0" fontId="4" fillId="3" borderId="0" xfId="8" applyFont="1" applyFill="1"/>
    <xf numFmtId="180" fontId="4" fillId="3" borderId="0" xfId="9" applyNumberFormat="1" applyFont="1" applyFill="1" applyBorder="1" applyProtection="1"/>
    <xf numFmtId="167" fontId="4" fillId="3" borderId="0" xfId="8" applyNumberFormat="1" applyFont="1" applyFill="1"/>
    <xf numFmtId="183" fontId="4" fillId="3" borderId="0" xfId="10" applyNumberFormat="1" applyFont="1" applyFill="1" applyBorder="1"/>
    <xf numFmtId="10" fontId="0" fillId="0" borderId="0" xfId="10" applyNumberFormat="1" applyFont="1" applyBorder="1" applyProtection="1"/>
    <xf numFmtId="169" fontId="4" fillId="3" borderId="0" xfId="8" applyNumberFormat="1" applyFont="1" applyFill="1"/>
    <xf numFmtId="180" fontId="4" fillId="3" borderId="0" xfId="9" applyNumberFormat="1" applyFont="1" applyFill="1" applyProtection="1"/>
    <xf numFmtId="175" fontId="4" fillId="3" borderId="0" xfId="10" applyNumberFormat="1" applyFont="1" applyFill="1" applyProtection="1"/>
    <xf numFmtId="165" fontId="4" fillId="3" borderId="0" xfId="8" applyNumberFormat="1" applyFont="1" applyFill="1"/>
    <xf numFmtId="173" fontId="0" fillId="7" borderId="0" xfId="10" applyNumberFormat="1" applyFont="1" applyFill="1" applyBorder="1" applyAlignment="1" applyProtection="1">
      <alignment horizontal="center"/>
    </xf>
    <xf numFmtId="173" fontId="0" fillId="0" borderId="0" xfId="8" applyNumberFormat="1" applyFont="1"/>
    <xf numFmtId="167" fontId="0" fillId="0" borderId="0" xfId="10" applyNumberFormat="1" applyFont="1" applyBorder="1" applyProtection="1"/>
    <xf numFmtId="183" fontId="0" fillId="0" borderId="0" xfId="10" applyNumberFormat="1" applyFont="1" applyBorder="1" applyProtection="1"/>
    <xf numFmtId="181" fontId="0" fillId="0" borderId="0" xfId="9" applyNumberFormat="1" applyFont="1" applyBorder="1" applyProtection="1"/>
    <xf numFmtId="167" fontId="0" fillId="0" borderId="0" xfId="9" applyNumberFormat="1" applyFont="1" applyBorder="1" applyProtection="1"/>
    <xf numFmtId="167" fontId="0" fillId="0" borderId="0" xfId="9" applyNumberFormat="1" applyFont="1" applyBorder="1"/>
    <xf numFmtId="169" fontId="0" fillId="0" borderId="0" xfId="9" applyNumberFormat="1" applyFont="1" applyBorder="1"/>
    <xf numFmtId="180" fontId="0" fillId="0" borderId="0" xfId="9" applyNumberFormat="1" applyFont="1" applyFill="1" applyBorder="1"/>
    <xf numFmtId="182" fontId="0" fillId="0" borderId="0" xfId="9" applyNumberFormat="1" applyFont="1" applyBorder="1"/>
    <xf numFmtId="175" fontId="0" fillId="0" borderId="0" xfId="10" applyNumberFormat="1" applyFont="1" applyBorder="1"/>
    <xf numFmtId="169" fontId="0" fillId="0" borderId="0" xfId="9" applyNumberFormat="1" applyFont="1" applyFill="1" applyBorder="1" applyProtection="1"/>
    <xf numFmtId="165" fontId="0" fillId="0" borderId="0" xfId="8" applyNumberFormat="1" applyFont="1"/>
    <xf numFmtId="167" fontId="0" fillId="0" borderId="0" xfId="9" applyNumberFormat="1" applyFont="1" applyAlignment="1" applyProtection="1">
      <alignment horizontal="right"/>
    </xf>
    <xf numFmtId="183" fontId="0" fillId="0" borderId="0" xfId="2" applyNumberFormat="1" applyFont="1" applyProtection="1"/>
    <xf numFmtId="167" fontId="0" fillId="0" borderId="0" xfId="9" applyNumberFormat="1" applyFont="1"/>
    <xf numFmtId="169" fontId="0" fillId="0" borderId="0" xfId="9" applyNumberFormat="1" applyFont="1"/>
    <xf numFmtId="180" fontId="0" fillId="0" borderId="0" xfId="9" applyNumberFormat="1" applyFont="1"/>
    <xf numFmtId="175" fontId="0" fillId="0" borderId="0" xfId="10" applyNumberFormat="1" applyFont="1"/>
    <xf numFmtId="173" fontId="0" fillId="0" borderId="0" xfId="10" applyNumberFormat="1" applyFont="1" applyProtection="1"/>
    <xf numFmtId="167" fontId="0" fillId="0" borderId="0" xfId="10" applyNumberFormat="1" applyFont="1" applyAlignment="1" applyProtection="1">
      <alignment horizontal="right"/>
    </xf>
    <xf numFmtId="167" fontId="0" fillId="0" borderId="0" xfId="9" applyNumberFormat="1" applyFont="1" applyBorder="1" applyAlignment="1" applyProtection="1">
      <alignment horizontal="right"/>
    </xf>
    <xf numFmtId="183" fontId="0" fillId="0" borderId="0" xfId="2" applyNumberFormat="1" applyFont="1" applyBorder="1" applyProtection="1"/>
    <xf numFmtId="180" fontId="0" fillId="0" borderId="0" xfId="9" applyNumberFormat="1" applyFont="1" applyBorder="1"/>
    <xf numFmtId="181" fontId="0" fillId="0" borderId="0" xfId="9" applyNumberFormat="1" applyFont="1" applyFill="1" applyBorder="1" applyProtection="1"/>
    <xf numFmtId="181" fontId="0" fillId="0" borderId="0" xfId="9" applyNumberFormat="1" applyFont="1"/>
    <xf numFmtId="167" fontId="0" fillId="0" borderId="0" xfId="0" applyNumberFormat="1"/>
    <xf numFmtId="181" fontId="0" fillId="0" borderId="0" xfId="0" applyNumberFormat="1"/>
    <xf numFmtId="165" fontId="0" fillId="0" borderId="0" xfId="0" applyNumberFormat="1"/>
    <xf numFmtId="0" fontId="9" fillId="4" borderId="10" xfId="3" applyFont="1" applyFill="1" applyBorder="1"/>
    <xf numFmtId="167" fontId="9" fillId="0" borderId="5" xfId="4" applyNumberFormat="1" applyFont="1" applyFill="1" applyBorder="1" applyProtection="1"/>
    <xf numFmtId="172" fontId="9" fillId="0" borderId="3" xfId="4" applyNumberFormat="1" applyFont="1" applyFill="1" applyBorder="1" applyAlignment="1" applyProtection="1">
      <alignment horizontal="center" vertical="center"/>
    </xf>
    <xf numFmtId="167" fontId="9" fillId="0" borderId="1" xfId="4" applyNumberFormat="1" applyFont="1" applyFill="1" applyBorder="1" applyProtection="1"/>
    <xf numFmtId="175" fontId="4" fillId="3" borderId="0" xfId="2" applyNumberFormat="1" applyFont="1" applyFill="1" applyAlignment="1">
      <alignment horizontal="centerContinuous"/>
    </xf>
    <xf numFmtId="170" fontId="0" fillId="0" borderId="0" xfId="1" applyNumberFormat="1" applyFont="1"/>
    <xf numFmtId="170" fontId="4" fillId="3" borderId="0" xfId="1" applyNumberFormat="1" applyFont="1" applyFill="1" applyAlignment="1">
      <alignment horizontal="centerContinuous"/>
    </xf>
    <xf numFmtId="0" fontId="0" fillId="0" borderId="0" xfId="3" applyFont="1"/>
    <xf numFmtId="0" fontId="0" fillId="0" borderId="0" xfId="3" applyFont="1" applyAlignment="1">
      <alignment wrapText="1"/>
    </xf>
    <xf numFmtId="0" fontId="9" fillId="0" borderId="0" xfId="3" applyFont="1" applyAlignment="1">
      <alignment vertical="center"/>
    </xf>
    <xf numFmtId="0" fontId="1" fillId="0" borderId="0" xfId="3" applyFont="1" applyAlignment="1">
      <alignment vertical="center"/>
    </xf>
    <xf numFmtId="169" fontId="1" fillId="0" borderId="0" xfId="3" applyNumberFormat="1" applyFont="1" applyAlignment="1">
      <alignment vertical="center"/>
    </xf>
    <xf numFmtId="17" fontId="1" fillId="0" borderId="0" xfId="3" applyNumberFormat="1" applyFont="1" applyAlignment="1">
      <alignment vertical="center"/>
    </xf>
    <xf numFmtId="178" fontId="1" fillId="0" borderId="0" xfId="3" applyNumberFormat="1" applyFont="1" applyAlignment="1">
      <alignment vertical="center"/>
    </xf>
    <xf numFmtId="0" fontId="4" fillId="0" borderId="0" xfId="3" applyFont="1" applyAlignment="1">
      <alignment vertical="center"/>
    </xf>
    <xf numFmtId="0" fontId="2" fillId="5" borderId="16" xfId="3" applyFont="1" applyFill="1" applyBorder="1" applyAlignment="1">
      <alignment vertical="center"/>
    </xf>
    <xf numFmtId="0" fontId="3" fillId="0" borderId="0" xfId="3" applyFont="1" applyAlignment="1">
      <alignment wrapText="1"/>
    </xf>
    <xf numFmtId="167" fontId="0" fillId="0" borderId="0" xfId="10" applyNumberFormat="1" applyFont="1" applyFill="1" applyBorder="1" applyProtection="1"/>
    <xf numFmtId="0" fontId="9" fillId="0" borderId="10" xfId="0" applyFont="1" applyBorder="1"/>
    <xf numFmtId="0" fontId="13" fillId="0" borderId="0" xfId="0" applyFont="1"/>
    <xf numFmtId="0" fontId="2" fillId="3" borderId="0" xfId="0" applyFont="1" applyFill="1"/>
    <xf numFmtId="168" fontId="11" fillId="6" borderId="15" xfId="4" applyNumberFormat="1" applyFont="1" applyFill="1" applyBorder="1" applyProtection="1">
      <protection locked="0"/>
    </xf>
    <xf numFmtId="168" fontId="11" fillId="2" borderId="15" xfId="4" applyNumberFormat="1" applyFont="1" applyFill="1" applyBorder="1" applyProtection="1">
      <protection locked="0"/>
    </xf>
    <xf numFmtId="174" fontId="9" fillId="0" borderId="6" xfId="6" quotePrefix="1" applyNumberFormat="1" applyFont="1" applyBorder="1" applyAlignment="1">
      <alignment horizontal="center"/>
    </xf>
    <xf numFmtId="174" fontId="9" fillId="0" borderId="6" xfId="6" applyNumberFormat="1" applyFont="1" applyBorder="1" applyAlignment="1">
      <alignment horizontal="center"/>
    </xf>
    <xf numFmtId="174" fontId="9" fillId="0" borderId="3" xfId="6" applyNumberFormat="1" applyFont="1" applyBorder="1" applyAlignment="1">
      <alignment horizontal="center"/>
    </xf>
    <xf numFmtId="167" fontId="9" fillId="0" borderId="2" xfId="4" applyNumberFormat="1" applyFont="1" applyFill="1" applyBorder="1" applyProtection="1">
      <protection locked="0"/>
    </xf>
    <xf numFmtId="173" fontId="9" fillId="0" borderId="2" xfId="3" applyNumberFormat="1" applyFont="1" applyBorder="1"/>
    <xf numFmtId="167" fontId="9" fillId="0" borderId="2" xfId="3" applyNumberFormat="1" applyFont="1" applyBorder="1"/>
    <xf numFmtId="0" fontId="9" fillId="4" borderId="6" xfId="3" applyFont="1" applyFill="1" applyBorder="1" applyAlignment="1">
      <alignment horizontal="left"/>
    </xf>
    <xf numFmtId="0" fontId="9" fillId="4" borderId="1" xfId="3" applyFont="1" applyFill="1" applyBorder="1"/>
    <xf numFmtId="168" fontId="9" fillId="0" borderId="9" xfId="4" applyNumberFormat="1" applyFont="1" applyFill="1" applyBorder="1" applyProtection="1">
      <protection locked="0"/>
    </xf>
    <xf numFmtId="168" fontId="9" fillId="0" borderId="6" xfId="4" applyNumberFormat="1" applyFont="1" applyFill="1" applyBorder="1" applyProtection="1">
      <protection locked="0"/>
    </xf>
    <xf numFmtId="168" fontId="9" fillId="0" borderId="3" xfId="4" applyNumberFormat="1" applyFont="1" applyFill="1" applyBorder="1" applyProtection="1">
      <protection locked="0"/>
    </xf>
    <xf numFmtId="173" fontId="9" fillId="0" borderId="1" xfId="3" applyNumberFormat="1" applyFont="1" applyBorder="1"/>
    <xf numFmtId="168" fontId="9" fillId="0" borderId="5" xfId="1" applyNumberFormat="1" applyFont="1" applyBorder="1"/>
    <xf numFmtId="168" fontId="9" fillId="0" borderId="1" xfId="1" applyNumberFormat="1" applyFont="1" applyBorder="1"/>
    <xf numFmtId="0" fontId="11" fillId="6" borderId="4" xfId="3" applyFont="1" applyFill="1" applyBorder="1" applyAlignment="1">
      <alignment horizontal="left"/>
    </xf>
    <xf numFmtId="0" fontId="11" fillId="2" borderId="4" xfId="3" applyFont="1" applyFill="1" applyBorder="1" applyAlignment="1">
      <alignment horizontal="left"/>
    </xf>
    <xf numFmtId="0" fontId="9" fillId="0" borderId="4" xfId="3" applyFont="1" applyBorder="1" applyAlignment="1">
      <alignment horizontal="left"/>
    </xf>
    <xf numFmtId="0" fontId="9" fillId="0" borderId="15" xfId="3" applyFont="1" applyBorder="1" applyAlignment="1">
      <alignment horizontal="center" vertical="center"/>
    </xf>
    <xf numFmtId="0" fontId="9" fillId="0" borderId="14" xfId="3" applyFont="1" applyBorder="1" applyAlignment="1">
      <alignment horizontal="center" vertical="center"/>
    </xf>
    <xf numFmtId="0" fontId="9" fillId="0" borderId="9" xfId="3" applyFont="1" applyBorder="1" applyAlignment="1">
      <alignment horizontal="center"/>
    </xf>
    <xf numFmtId="0" fontId="9" fillId="0" borderId="11" xfId="3" applyFont="1" applyBorder="1" applyAlignment="1">
      <alignment horizontal="center"/>
    </xf>
    <xf numFmtId="0" fontId="9" fillId="0" borderId="10" xfId="3" applyFont="1" applyBorder="1" applyAlignment="1">
      <alignment horizontal="center"/>
    </xf>
    <xf numFmtId="0" fontId="9" fillId="0" borderId="4" xfId="3" applyFont="1" applyBorder="1" applyAlignment="1">
      <alignment horizontal="center"/>
    </xf>
    <xf numFmtId="169" fontId="4" fillId="3" borderId="0" xfId="8" applyNumberFormat="1" applyFont="1" applyFill="1" applyAlignment="1">
      <alignment horizontal="center" wrapText="1"/>
    </xf>
  </cellXfs>
  <cellStyles count="11">
    <cellStyle name="Comma" xfId="1" builtinId="3"/>
    <cellStyle name="Comma 2" xfId="4" xr:uid="{9B1868BE-1712-40BA-8137-72545F0916E7}"/>
    <cellStyle name="Comma 3" xfId="9" xr:uid="{A59A3DC0-14E3-4E3E-8EAD-EA9AB888B427}"/>
    <cellStyle name="Hyperlink" xfId="7" builtinId="8"/>
    <cellStyle name="Normal" xfId="0" builtinId="0"/>
    <cellStyle name="Normal 2" xfId="3" xr:uid="{CDA5B24F-9A89-4D2E-8FD5-4E70A9638F53}"/>
    <cellStyle name="Normal 3" xfId="8" xr:uid="{CC7B503A-15EA-4C6C-97B1-0B4600F2FE49}"/>
    <cellStyle name="Normal_UploadYC" xfId="6" xr:uid="{07C396B4-65BD-4ECF-973E-6AC6B791A20D}"/>
    <cellStyle name="Percent" xfId="2" builtinId="5"/>
    <cellStyle name="Percent 2" xfId="5" xr:uid="{7E828249-57EE-4BAE-8120-A8BAB7499953}"/>
    <cellStyle name="Percent 3" xfId="10" xr:uid="{F59D5650-4484-4B38-824F-2DD5947AF8DD}"/>
  </cellStyles>
  <dxfs count="265">
    <dxf>
      <font>
        <b val="0"/>
        <i val="0"/>
        <strike val="0"/>
        <condense val="0"/>
        <extend val="0"/>
        <outline val="0"/>
        <shadow val="0"/>
        <u val="none"/>
        <vertAlign val="baseline"/>
        <sz val="9"/>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2" formatCode="mmm\-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80" formatCode="_(* #,##0.0000_);_(* \(#,##0.0000\);_(* &quot;-&quot;??_);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7" formatCode="#,##0_-;\(#,##0\)_-;\-_-"/>
      <fill>
        <patternFill patternType="none">
          <fgColor indexed="64"/>
          <bgColor indexed="65"/>
        </patternFill>
      </fill>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numFmt numFmtId="184" formatCode="#,##0.000_-;\(#,##0.000\)_-;\-_-"/>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9" formatCode="d\-mmm\-yyyy_-;;"/>
      <protection locked="1" hidden="0"/>
    </dxf>
    <dxf>
      <font>
        <b val="0"/>
        <i val="0"/>
        <strike val="0"/>
        <condense val="0"/>
        <extend val="0"/>
        <outline val="0"/>
        <shadow val="0"/>
        <u val="none"/>
        <vertAlign val="baseline"/>
        <sz val="9"/>
        <color theme="1"/>
        <name val="Arial"/>
        <family val="2"/>
        <scheme val="none"/>
      </font>
      <numFmt numFmtId="169" formatCode="d\-mmm\-yyyy_-;;"/>
      <protection locked="1" hidden="0"/>
    </dxf>
    <dxf>
      <font>
        <b val="0"/>
        <i val="0"/>
        <strike val="0"/>
        <condense val="0"/>
        <extend val="0"/>
        <outline val="0"/>
        <shadow val="0"/>
        <u val="none"/>
        <vertAlign val="baseline"/>
        <sz val="9"/>
        <color theme="1"/>
        <name val="Arial"/>
        <family val="2"/>
        <scheme val="none"/>
      </font>
      <numFmt numFmtId="168" formatCode="_-* #,##0.00000_-;\-* #,##0.00000_-;_-* &quot;-&quot;??_-;_-@_-"/>
      <fill>
        <patternFill patternType="lightUp">
          <fgColor indexed="64"/>
          <bgColor indexed="65"/>
        </patternFill>
      </fill>
      <protection locked="1" hidden="0"/>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fill>
        <patternFill patternType="solid">
          <fgColor indexed="64"/>
          <bgColor theme="0" tint="-4.9989318521683403E-2"/>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theme="0"/>
        <name val="Arial"/>
        <family val="2"/>
        <scheme val="none"/>
      </font>
      <numFmt numFmtId="180" formatCode="_(* #,##0.0000_);_(* \(#,##0.0000\);_(* &quot;-&quot;??_);_(@_)"/>
      <fill>
        <patternFill patternType="solid">
          <fgColor indexed="64"/>
          <bgColor theme="1"/>
        </patternFill>
      </fill>
      <alignment horizontal="left" vertical="bottom" textRotation="0" wrapText="0" indent="0" justifyLastLine="0" shrinkToFit="0" readingOrder="0"/>
      <protection locked="1" hidden="0"/>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outline="0">
        <left style="thin">
          <color indexed="64"/>
        </left>
      </border>
      <protection locked="1" hidden="0"/>
    </dxf>
    <dxf>
      <font>
        <b val="0"/>
        <i val="0"/>
        <strike val="0"/>
        <condense val="0"/>
        <extend val="0"/>
        <outline val="0"/>
        <shadow val="0"/>
        <u val="none"/>
        <vertAlign val="baseline"/>
        <sz val="9"/>
        <color auto="1"/>
        <name val="Arial"/>
        <family val="2"/>
        <scheme val="none"/>
      </font>
      <numFmt numFmtId="183" formatCode="0.0000%"/>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1" formatCode="_-* #,##0.000_-;\-* #,##0.000_-;_-* &quot;-&quot;??_-;_-@_-"/>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Arial"/>
        <family val="2"/>
        <scheme val="none"/>
      </font>
      <numFmt numFmtId="171" formatCode="_-* #,##0.000_-;\-* #,##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outline="0">
        <right style="thin">
          <color indexed="64"/>
        </right>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outline="0">
        <left style="thin">
          <color indexed="64"/>
        </left>
      </border>
      <protection locked="1" hidden="0"/>
    </dxf>
    <dxf>
      <font>
        <b val="0"/>
        <i val="0"/>
        <strike val="0"/>
        <condense val="0"/>
        <extend val="0"/>
        <outline val="0"/>
        <shadow val="0"/>
        <u val="none"/>
        <vertAlign val="baseline"/>
        <sz val="9"/>
        <color auto="1"/>
        <name val="Arial"/>
        <family val="2"/>
        <scheme val="none"/>
      </font>
      <numFmt numFmtId="183" formatCode="0.0000%"/>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1" formatCode="_-* #,##0.000_-;\-* #,##0.000_-;_-* &quot;-&quot;??_-;_-@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Arial"/>
        <family val="2"/>
        <scheme val="none"/>
      </font>
      <numFmt numFmtId="171" formatCode="_-* #,##0.000_-;\-* #,##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right/>
        <top/>
        <bottom/>
        <vertical/>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border diagonalUp="0" diagonalDown="0">
        <left/>
        <right style="thin">
          <color indexed="64"/>
        </right>
        <vertical/>
      </border>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vertical/>
      </border>
      <protection locked="1" hidden="0"/>
    </dxf>
    <dxf>
      <font>
        <b val="0"/>
        <i val="0"/>
        <strike val="0"/>
        <condense val="0"/>
        <extend val="0"/>
        <outline val="0"/>
        <shadow val="0"/>
        <u val="none"/>
        <vertAlign val="baseline"/>
        <sz val="9"/>
        <color auto="1"/>
        <name val="Arial"/>
        <family val="2"/>
        <scheme val="none"/>
      </font>
      <numFmt numFmtId="168" formatCode="_-* #,##0.00000_-;\-* #,##0.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68" formatCode="_-* #,##0.00000_-;\-* #,##0.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4" formatCode="_-* #,##0.0000_-;\-* #,##0.0000_-;_-* &quot;-&quot;??_-;_-@_-"/>
      <border diagonalUp="0" diagonalDown="0">
        <left style="thin">
          <color indexed="64"/>
        </left>
      </border>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border>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border diagonalUp="0" diagonalDown="0">
        <left style="thin">
          <color indexed="64"/>
        </left>
      </border>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right/>
        <top/>
        <bottom/>
        <vertical/>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border diagonalUp="0" diagonalDown="0">
        <left style="thin">
          <color indexed="64"/>
        </left>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border>
      <protection locked="1" hidden="0"/>
    </dxf>
    <dxf>
      <font>
        <b val="0"/>
        <i val="0"/>
        <strike val="0"/>
        <condense val="0"/>
        <extend val="0"/>
        <outline val="0"/>
        <shadow val="0"/>
        <u val="none"/>
        <vertAlign val="baseline"/>
        <sz val="9"/>
        <color auto="1"/>
        <name val="Arial"/>
        <family val="2"/>
        <scheme val="none"/>
      </font>
      <numFmt numFmtId="176" formatCode="ddd\ d\-mmm\-yyyy_-;;"/>
      <fill>
        <patternFill patternType="none">
          <fgColor indexed="64"/>
          <bgColor auto="1"/>
        </patternFill>
      </fill>
      <border diagonalUp="0" diagonalDown="0" outline="0">
        <left/>
        <right style="thin">
          <color indexed="64"/>
        </right>
        <top/>
        <bottom/>
      </border>
    </dxf>
    <dxf>
      <font>
        <b val="0"/>
        <i val="0"/>
        <strike val="0"/>
        <condense val="0"/>
        <extend val="0"/>
        <outline val="0"/>
        <shadow val="0"/>
        <u val="none"/>
        <vertAlign val="baseline"/>
        <sz val="9"/>
        <color auto="1"/>
        <name val="Arial"/>
        <family val="2"/>
        <scheme val="none"/>
      </font>
      <numFmt numFmtId="176" formatCode="ddd\ d\-mmm\-yyyy_-;;"/>
      <fill>
        <patternFill patternType="none">
          <fgColor indexed="64"/>
          <bgColor auto="1"/>
        </patternFill>
      </fill>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auto="1"/>
        </patternFill>
      </fill>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238125</xdr:colOff>
          <xdr:row>19</xdr:row>
          <xdr:rowOff>95250</xdr:rowOff>
        </xdr:from>
        <xdr:to>
          <xdr:col>1</xdr:col>
          <xdr:colOff>1543050</xdr:colOff>
          <xdr:row>21</xdr:row>
          <xdr:rowOff>28575</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Numerical Solve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600075</xdr:colOff>
      <xdr:row>95</xdr:row>
      <xdr:rowOff>0</xdr:rowOff>
    </xdr:from>
    <xdr:to>
      <xdr:col>4</xdr:col>
      <xdr:colOff>228600</xdr:colOff>
      <xdr:row>98</xdr:row>
      <xdr:rowOff>57150</xdr:rowOff>
    </xdr:to>
    <xdr:sp macro="" textlink="">
      <xdr:nvSpPr>
        <xdr:cNvPr id="2" name="TextBox 1">
          <a:extLst>
            <a:ext uri="{FF2B5EF4-FFF2-40B4-BE49-F238E27FC236}">
              <a16:creationId xmlns:a16="http://schemas.microsoft.com/office/drawing/2014/main" id="{E44F1D82-7789-4201-A3A7-D86FECE97139}"/>
            </a:ext>
          </a:extLst>
        </xdr:cNvPr>
        <xdr:cNvSpPr txBox="1"/>
      </xdr:nvSpPr>
      <xdr:spPr>
        <a:xfrm>
          <a:off x="600075" y="14478000"/>
          <a:ext cx="4867275" cy="514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000">
              <a:latin typeface="Arial" panose="020B0604020202020204" pitchFamily="34" charset="0"/>
              <a:cs typeface="Arial" panose="020B0604020202020204" pitchFamily="34" charset="0"/>
            </a:rPr>
            <a:t>Sourced from:</a:t>
          </a:r>
        </a:p>
        <a:p>
          <a:r>
            <a:rPr lang="en-NZ" sz="1000">
              <a:latin typeface="Arial" panose="020B0604020202020204" pitchFamily="34" charset="0"/>
              <a:cs typeface="Arial" panose="020B0604020202020204" pitchFamily="34" charset="0"/>
            </a:rPr>
            <a:t>https://github.com/shasafoster/frm</a:t>
          </a:r>
        </a:p>
        <a:p>
          <a:endParaRPr lang="en-NZ" sz="1000">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5753C1A-B0D0-48B3-B71F-8A5F9F6428CB}" name="BBSW3MSwaps" displayName="BBSW3MSwaps" ref="AW3:BL19" totalsRowShown="0" headerRowDxfId="225" dataDxfId="223" headerRowBorderDxfId="224" tableBorderDxfId="222" headerRowCellStyle="Normal 2" dataCellStyle="Comma 2">
  <autoFilter ref="AW3:BL19" xr:uid="{75753C1A-B0D0-48B3-B71F-8A5F9F6428CB}"/>
  <tableColumns count="16">
    <tableColumn id="1" xr3:uid="{04C0EB9F-0232-4E37-AD66-EFA82279BAB4}" name="Tenor" dataDxfId="221" dataCellStyle="Normal 2"/>
    <tableColumn id="2" xr3:uid="{08384A7F-0589-4785-80FC-39E402010D14}" name="Par Swap Rate" dataDxfId="220" dataCellStyle="Comma 2"/>
    <tableColumn id="18" xr3:uid="{EC997422-6124-4121-BDF2-4F3B088AFD68}" name="Maturity" dataDxfId="219" dataCellStyle="Comma 2">
      <calculatedColumnFormula>IF(BBSW3MSwaps[[#This Row],[Numerical Solve]],BBSW3MSwaps[[#This Row],[Maturity Date, T2]],"")</calculatedColumnFormula>
    </tableColumn>
    <tableColumn id="17" xr3:uid="{792BC3F3-D394-4359-B1A2-4070A466FE97}" name="DF" dataDxfId="218" dataCellStyle="Comma 2">
      <calculatedColumnFormula>IF(BBSW3MSwaps[[#This Row],[Numerical Solve]],BBSW3MSwaps[[#This Row],[Solved DF]],"")</calculatedColumnFormula>
    </tableColumn>
    <tableColumn id="16" xr3:uid="{7AC5CFDF-B5C6-4490-B029-617019195BB9}" name="CCZR" dataDxfId="217" dataCellStyle="Percent">
      <calculatedColumnFormula>IF(BBSW3MSwaps[[#This Row],[Numerical Solve]],-1*LN(BBSW3MSwaps[[#This Row],[Solved DF]])/YEARFRAC(CurveDate,BBSW3MSwaps[[#This Row],[Maturity Date, T2]],DCB_CCZR),"")</calculatedColumnFormula>
    </tableColumn>
    <tableColumn id="3" xr3:uid="{41041596-E59A-459D-AB57-A15850F41DDA}" name="Years" dataDxfId="216" dataCellStyle="Normal 2">
      <calculatedColumnFormula>LEFT(BBSW3MSwaps[[#This Row],[Tenor]],LEN(BBSW3MSwaps[[#This Row],[Tenor]])-1)</calculatedColumnFormula>
    </tableColumn>
    <tableColumn id="5" xr3:uid="{94231CC7-B1B4-4E8F-AB4D-E0EBE721FE34}" name="Effective Date, T1" dataDxfId="215" dataCellStyle="Normal 2">
      <calculatedColumnFormula>WORKDAY(CurveDate,SettlementDelayAUD,Holidays_NSWPublic)</calculatedColumnFormula>
    </tableColumn>
    <tableColumn id="6" xr3:uid="{D1720CFB-3455-45FE-A7C0-73F552F286FC}" name="Maturity Date, T2" dataDxfId="214" dataCellStyle="Normal 2">
      <calculatedColumnFormula>WORKDAY(EDATE(BBSW3MSwaps[[#This Row],[Effective Date, T1]],BBSW3MSwaps[[#This Row],[Years]]*12)-1,1,Holidays_NSWPublic)</calculatedColumnFormula>
    </tableColumn>
    <tableColumn id="7" xr3:uid="{F5841010-AE90-4981-94B2-7DCF4A662A18}" name="Fixed Freq." dataDxfId="213" dataCellStyle="Normal 2"/>
    <tableColumn id="8" xr3:uid="{8FF73B48-5A05-45ED-A4F4-4C28038E2AFE}" name="Float Freq." dataDxfId="212" dataCellStyle="Normal 2"/>
    <tableColumn id="9" xr3:uid="{C13A8556-29E7-4433-9B64-672C2227549E}" name="Valid Input" dataDxfId="211" dataCellStyle="Comma 2">
      <calculatedColumnFormula>BBSW3MSwaps[[#This Row],[Par Swap Rate]]&lt;&gt;""</calculatedColumnFormula>
    </tableColumn>
    <tableColumn id="10" xr3:uid="{E4D93F7A-9770-44AF-8338-90C7958F0526}" name="Tenor &gt; Max(Futures)" dataDxfId="210" dataCellStyle="Comma 2">
      <calculatedColumnFormula>BBSW3MSwaps[[#This Row],[Maturity Date, T2]]&gt;MAX(_xlfn.ANCHORARRAY($AP$4))</calculatedColumnFormula>
    </tableColumn>
    <tableColumn id="11" xr3:uid="{38CE2682-85F4-4D28-BF11-B1A268B617D2}" name="Numerical Solve" dataDxfId="209" dataCellStyle="Comma 2">
      <calculatedColumnFormula array="1">_xlfn.IFS(
NOT(ApplyFutures),BBSW3MSwaps[[#This Row],[Valid Input]],
FuturesPriority="Below Swaps",BBSW3MSwaps[[#This Row],[Valid Input]],
FuturesPriority="Above Swaps",AND(BBSW3MSwaps[[#This Row],[Valid Input]],BBSW3MSwaps[[#This Row],[Tenor &gt; Max(Futures)]]))</calculatedColumnFormula>
    </tableColumn>
    <tableColumn id="12" xr3:uid="{DD8D487A-8377-45F6-BABC-31380AAFDAB4}" name="Flag" dataDxfId="208" dataCellStyle="Comma 2">
      <calculatedColumnFormula>BBSW3MSwaps[[#This Row],[Numerical Solve]]*1</calculatedColumnFormula>
    </tableColumn>
    <tableColumn id="4" xr3:uid="{4CEEB261-F147-4672-8BCA-D7586BFFF666}" name="Index" dataDxfId="207" dataCellStyle="Comma 2">
      <calculatedColumnFormula>IF(BBSW3MSwaps[[#This Row],[Numerical Solve]],SUM(BBSW3MSwaps[[#Headers],[Flag]]:BBSW3MSwaps[[#This Row],[Flag]]),0)</calculatedColumnFormula>
    </tableColumn>
    <tableColumn id="13" xr3:uid="{E7E82639-A9CD-4BE0-A462-3DB20969D685}" name="Solved DF" dataDxfId="206" dataCellStyle="Comma"/>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4375C24-CCC3-4E29-9CBA-143DBC78A1D9}" name="AONIA" displayName="AONIA" ref="BN3:CI37" totalsRowShown="0" headerRowDxfId="205" dataDxfId="204" tableBorderDxfId="203" headerRowCellStyle="Normal 2" dataCellStyle="Comma 2">
  <autoFilter ref="BN3:CI37" xr:uid="{74375C24-CCC3-4E29-9CBA-143DBC78A1D9}"/>
  <tableColumns count="22">
    <tableColumn id="1" xr3:uid="{7AA3AF9F-1708-4CCC-8C94-AE3E27CD158E}" name="Tenor" dataDxfId="202" dataCellStyle="Normal_UploadYC"/>
    <tableColumn id="2" xr3:uid="{A1B87115-77FB-4989-A743-D4CDD72CCECF}" name="Par Swap Rate" dataDxfId="201" dataCellStyle="Comma 2"/>
    <tableColumn id="32" xr3:uid="{4D9C06DB-7803-44B6-9139-7C2A0A66FBDB}" name="Maturity" dataDxfId="200" dataCellStyle="Comma 2">
      <calculatedColumnFormula>IF(AONIA[[#This Row],[Valid]],AONIA[[#This Row],[Maturity Date (T2)]],"")</calculatedColumnFormula>
    </tableColumn>
    <tableColumn id="33" xr3:uid="{8C5D7B42-B237-4C06-B6C7-5B6DDC792D5D}" name="DF" dataDxfId="199" dataCellStyle="Comma 2">
      <calculatedColumnFormula array="1">IF(AONIA[[#This Row],[Valid]],Linterp(_xlfn.ANCHORARRAY(Curves!$G$4),_xlfn.ANCHORARRAY(Curves!$J$4),AONIA[[#This Row],[Maturity]],-1,TRUE),"")</calculatedColumnFormula>
    </tableColumn>
    <tableColumn id="34" xr3:uid="{74318D4F-BB1A-417A-A72B-F275A28D9F18}" name="CCZR" dataDxfId="198" dataCellStyle="Percent">
      <calculatedColumnFormula>IF(AONIA[[#This Row],[Valid]],-1*LN(AONIA[[#This Row],[DF]])/YEARFRAC(CurveDate,AONIA[[#This Row],[Maturity]],DCB_CCZR),"")</calculatedColumnFormula>
    </tableColumn>
    <tableColumn id="3" xr3:uid="{BCA075B2-A63C-427A-AA46-BE4E253685B1}" name="Has Settle Delay" dataDxfId="197" dataCellStyle="Comma 2"/>
    <tableColumn id="4" xr3:uid="{0B19A235-05F3-491D-9D58-B18B7443FACE}" name="Settle Delay" dataDxfId="196" dataCellStyle="Comma 2">
      <calculatedColumnFormula>IF(AONIA[[#This Row],[Has Settle Delay]],SettlementDelayAUD,0)</calculatedColumnFormula>
    </tableColumn>
    <tableColumn id="5" xr3:uid="{8501B0FB-22F5-42BE-BFAC-EBFF0FFEAAF3}" name="Settle Date (T1)" dataDxfId="195" dataCellStyle="Normal 2">
      <calculatedColumnFormula>WORKDAY(CurveDate,AONIA[[#This Row],[Settle Delay]],Holidays_NSWPublic)</calculatedColumnFormula>
    </tableColumn>
    <tableColumn id="6" xr3:uid="{488BB660-46AC-4810-94DE-F42E9BEA0422}" name="Offset" dataDxfId="194" dataCellStyle="Normal 2"/>
    <tableColumn id="7" xr3:uid="{FD332920-49BB-4D6D-B412-E5D7C7048FD6}" name="Offset Type" dataDxfId="193" dataCellStyle="Normal 2"/>
    <tableColumn id="8" xr3:uid="{C1996984-276A-4421-8513-9BCDFCB5392F}" name="Maturity Date (T2)" dataDxfId="192" dataCellStyle="Normal 2">
      <calculatedColumnFormula array="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calculatedColumnFormula>
    </tableColumn>
    <tableColumn id="19" xr3:uid="{E6AFF22F-0E49-4374-A22D-6B0983119BE0}" name="Final Payment Date (T3)" dataDxfId="191" dataCellStyle="Normal 2">
      <calculatedColumnFormula>WORKDAY(AONIA[[#This Row],[Maturity Date (T2)]],OISPaymentDelay,Holidays_NSWPublic)</calculatedColumnFormula>
    </tableColumn>
    <tableColumn id="18" xr3:uid="{98CBC889-4848-42C9-890C-5C621AD6367D}" name="Valid" dataDxfId="190" dataCellStyle="Comma 2">
      <calculatedColumnFormula>AONIA[[#This Row],[Par Swap Rate]]&lt;&gt;""</calculatedColumnFormula>
    </tableColumn>
    <tableColumn id="16" xr3:uid="{E372DC26-A478-4EC7-83EC-9B3EBF9A821A}" name="Zero-coupon?" dataDxfId="189" dataCellStyle="Comma 2"/>
    <tableColumn id="27" xr3:uid="{D3082997-691B-4C1B-82C4-5C277E479C7C}" name="Analytical Solve" dataDxfId="188" dataCellStyle="Comma 2">
      <calculatedColumnFormula>AND(AONIA[[#This Row],[Valid]],AONIA[[#This Row],[Zero-coupon?]])</calculatedColumnFormula>
    </tableColumn>
    <tableColumn id="30" xr3:uid="{5FE601CE-7EFF-40F7-9FBB-CF6B1F891096}" name="Numerical Solve" dataDxfId="187" dataCellStyle="Comma 2">
      <calculatedColumnFormula>AND(AONIA[[#This Row],[Valid]],NOT(AONIA[[#This Row],[Analytical Solve]]))</calculatedColumnFormula>
    </tableColumn>
    <tableColumn id="9" xr3:uid="{C6FA6867-1629-494B-909A-FCD818959A5F}" name="Flag" dataDxfId="186" dataCellStyle="Comma 2">
      <calculatedColumnFormula>AONIA[[#This Row],[Numerical Solve]]*1</calculatedColumnFormula>
    </tableColumn>
    <tableColumn id="15" xr3:uid="{227F1392-1531-4009-A877-A90CD5E837E0}" name="1+r𝛿" dataDxfId="185" dataCellStyle="Comma">
      <calculatedColumnFormula>IF(AONIA[[#This Row],[Analytical Solve]],1+AONIA[[#This Row],[Par Swap Rate]]%*YEARFRAC(AONIA[[#This Row],[Settle Date (T1)]],AONIA[[#This Row],[Maturity Date (T2)]],DayCount_AUD),"")</calculatedColumnFormula>
    </tableColumn>
    <tableColumn id="23" xr3:uid="{D2A842AB-76D3-4E52-8F34-5FC1684B5600}" name="DF(T1)" dataDxfId="184" dataCellStyle="Comma">
      <calculatedColumnFormula array="1">IF(AONIA[[#This Row],[Analytical Solve]],_xlfn.IFS(AONIA[[#This Row],[Settle Date (T1)]]=CurveDate,1,TRUE,_xlfn.XLOOKUP(AONIA[[#This Row],[Settle Date (T1)]],AONIA[Maturity Date (T2)],AONIA[DF(T2)])),"")</calculatedColumnFormula>
    </tableColumn>
    <tableColumn id="22" xr3:uid="{90D76997-8083-40F8-A725-A7FFC74DF54E}" name="DF(T2)" dataDxfId="183" dataCellStyle="Comma">
      <calculatedColumnFormula>IF(AONIA[[#This Row],[Analytical Solve]],AONIA[[#This Row],[DF(T1)]]/AONIA[[#This Row],[1+r𝛿]],"")</calculatedColumnFormula>
    </tableColumn>
    <tableColumn id="10" xr3:uid="{F086C451-3E39-491E-8F44-E7A56F3D95FF}" name="Index" dataDxfId="182" dataCellStyle="Comma 2">
      <calculatedColumnFormula>IF(AONIA[[#This Row],[Numerical Solve]],SUM(AONIA[[#Headers],[Flag]]:AONIA[[#This Row],[Flag]]),0)</calculatedColumnFormula>
    </tableColumn>
    <tableColumn id="11" xr3:uid="{C90B20ED-F5CC-40A9-973F-DFF6108426A9}" name="Solved DF" dataDxfId="181" dataCellStyle="Comma 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B6515C-E03D-42CB-B140-38EC4D4F94D7}" name="BankBillRates3M" displayName="BankBillRates3M" ref="F3:V7" totalsRowShown="0" headerRowDxfId="180" dataDxfId="178" headerRowBorderDxfId="179" tableBorderDxfId="177" headerRowCellStyle="Normal 2" dataCellStyle="Comma 2">
  <autoFilter ref="F3:V7" xr:uid="{4EB6515C-E03D-42CB-B140-38EC4D4F94D7}"/>
  <tableColumns count="17">
    <tableColumn id="1" xr3:uid="{45FA817A-C3D9-4D4F-8DB0-BCCABE17FA2E}" name="Tenor" dataDxfId="176" dataCellStyle="Normal 2"/>
    <tableColumn id="2" xr3:uid="{059088A2-7C62-495B-A04F-3C4BA11AF01F}" name="Rate" dataDxfId="175" dataCellStyle="Comma 2"/>
    <tableColumn id="19" xr3:uid="{D8CE80F6-3267-4849-BCE3-E6DBC4301013}" name="Maturity" dataDxfId="174" dataCellStyle="Comma 2"/>
    <tableColumn id="20" xr3:uid="{1F74FC2B-8BF4-4B9E-A3E0-E96FF57CB1FC}" name="DF" dataDxfId="173" dataCellStyle="Comma 2"/>
    <tableColumn id="18" xr3:uid="{C43AF84F-E6B9-4073-9415-C37C496016D0}" name="CCZR" dataDxfId="172" dataCellStyle="Percent"/>
    <tableColumn id="21" xr3:uid="{52F57048-D382-47DC-9E97-8725B2B67AA5}" name="Valid Input" dataDxfId="171" dataCellStyle="Comma 2"/>
    <tableColumn id="3" xr3:uid="{ADCCE7AC-B077-4168-B54C-27B33EA75E54}" name="Has Settle Delay" dataDxfId="170" dataCellStyle="Comma 2"/>
    <tableColumn id="4" xr3:uid="{3C8152EE-79F1-40AB-A019-09BBE0E88D87}" name="Settle Delay" dataDxfId="169" dataCellStyle="Comma 2">
      <calculatedColumnFormula>IF(BankBillRates3M[[#This Row],[Has Settle Delay]],SettlementDelayAUD,0)</calculatedColumnFormula>
    </tableColumn>
    <tableColumn id="5" xr3:uid="{6940987D-4F7D-4AC0-A1E2-768C8B2721F4}" name="Offset Type" dataDxfId="168" dataCellStyle="Comma 2"/>
    <tableColumn id="6" xr3:uid="{559A9F1F-CBD4-44FB-8850-C77B85094025}" name="Offset" dataDxfId="167" dataCellStyle="Comma 2"/>
    <tableColumn id="7" xr3:uid="{7D207076-A72E-4E64-A3EA-31D6976D4F65}" name="Effective Date (T1)" dataDxfId="166" dataCellStyle="Comma 2">
      <calculatedColumnFormula>WORKDAY(CurveDate,BankBillRates3M[[#This Row],[Settle Delay]],Holidays_NSWPublic)</calculatedColumnFormula>
    </tableColumn>
    <tableColumn id="8" xr3:uid="{20C63C44-D465-4D75-8895-62E948389739}" name="Maturity Date (T2)" dataDxfId="165" dataCellStyle="Normal 2">
      <calculatedColumnFormula>IF(BankBillRates3M[[#This Row],[Offset Type]]="Business Day",WORKDAY(BankBillRates3M[[#This Row],[Effective Date (T1)]],BankBillRates3M[[#This Row],[Offset]],Holidays_NSWPublic),WORKDAY(EDATE(BankBillRates3M[[#This Row],[Effective Date (T1)]],BankBillRates3M[[#This Row],[Offset]])-1,1,Holidays_NSWPublic))</calculatedColumnFormula>
    </tableColumn>
    <tableColumn id="9" xr3:uid="{4FCECFE8-ABAB-446B-8FFC-0450A6E56725}" name="𝛿(T1,T2)" dataDxfId="164" dataCellStyle="Comma 2">
      <calculatedColumnFormula>IF(NOT(BankBillRates3M[[#This Row],[Valid Input]]),"",YEARFRAC(BankBillRates3M[[#This Row],[Effective Date (T1)]],BankBillRates3M[[#This Row],[Maturity Date (T2)]],DayCount_AUD))</calculatedColumnFormula>
    </tableColumn>
    <tableColumn id="11" xr3:uid="{4CC1989B-168B-40EE-AA75-49525DD70B0D}" name="1+r*𝛿(T1,T2)" dataDxfId="163" dataCellStyle="Comma 2">
      <calculatedColumnFormula>IF(NOT(BankBillRates3M[[#This Row],[Valid Input]]),"",1+BankBillRates3M[[#This Row],[Rate]]%*BankBillRates3M[[#This Row],[𝛿(T1,T2)]])</calculatedColumnFormula>
    </tableColumn>
    <tableColumn id="12" xr3:uid="{FC8BBEC0-94AE-4335-BBEC-3E7DF86D8809}" name="DF(T1)" dataDxfId="162" dataCellStyle="Comma 2">
      <calculatedColumnFormula>IF(NOT(BankBillRates3M[[#This Row],[Valid Input]]),"",IF(BankBillRates3M[[#This Row],[Effective Date (T1)]]=CurveDate,1,_xlfn.XLOOKUP(BankBillRates3M[[#This Row],[Effective Date (T1)]],BankBillRates3M[Maturity Date (T2)],BankBillRates3M[DF(T2)])))</calculatedColumnFormula>
    </tableColumn>
    <tableColumn id="13" xr3:uid="{CCA02536-BE72-4B69-B20E-ECD8FAAE9B35}" name="DF(T2)" dataDxfId="161" dataCellStyle="Comma 2">
      <calculatedColumnFormula>IF(NOT(BankBillRates3M[[#This Row],[Valid Input]]),"",BankBillRates3M[[#This Row],[DF(T1)]]/BankBillRates3M[[#This Row],[1+r*𝛿(T1,T2)]])</calculatedColumnFormula>
    </tableColumn>
    <tableColumn id="15" xr3:uid="{CC79AAFE-F5DC-4EA1-B04B-89A31AE269DF}" name="Applied" dataDxfId="160" dataCellStyle="Comma 2">
      <calculatedColumnFormula>BankBillRates3M[[#This Row],[Valid Input]]</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2CFDF11-DCFD-4947-A5F9-23B5EBC63E39}" name="SOFR" displayName="SOFR" ref="BN41:CI75" totalsRowShown="0" headerRowDxfId="159" dataDxfId="158" tableBorderDxfId="157" headerRowCellStyle="Normal 2" dataCellStyle="Comma 2">
  <autoFilter ref="BN41:CI75" xr:uid="{02CFDF11-DCFD-4947-A5F9-23B5EBC63E39}"/>
  <tableColumns count="22">
    <tableColumn id="1" xr3:uid="{4BA3F639-53A1-4B88-84D7-7C6C925E93BB}" name="Tenor" dataDxfId="156" dataCellStyle="Normal_UploadYC"/>
    <tableColumn id="2" xr3:uid="{C3AF6EF4-E819-413D-9C10-947C0A177CE6}" name="Par Swap Rate" dataDxfId="155" dataCellStyle="Comma 2"/>
    <tableColumn id="32" xr3:uid="{8710FEFF-4496-4623-8373-04DC3227FAFB}" name="Maturity" dataDxfId="154" dataCellStyle="Comma 2">
      <calculatedColumnFormula>IF(SOFR[[#This Row],[Valid]],SOFR[[#This Row],[Maturity Date (T2)]],"")</calculatedColumnFormula>
    </tableColumn>
    <tableColumn id="33" xr3:uid="{7E98AD84-702D-43E7-B632-3765D571AC68}" name="DF" dataDxfId="153" dataCellStyle="Comma 2">
      <calculatedColumnFormula array="1">IF(SOFR[[#This Row],[Valid]],Linterp(_xlfn.ANCHORARRAY(Curves!$V$4),_xlfn.ANCHORARRAY(Curves!$Y$4),SOFR[[#This Row],[Maturity]],-1,TRUE),"")</calculatedColumnFormula>
    </tableColumn>
    <tableColumn id="34" xr3:uid="{90B98480-953B-446C-87DF-9B5C4C9F9EF3}" name="CCZR" dataDxfId="152" dataCellStyle="Percent">
      <calculatedColumnFormula>IF(SOFR[[#This Row],[Valid]],-1*LN(SOFR[[#This Row],[DF]])/YEARFRAC(CurveDate,SOFR[[#This Row],[Maturity]],DCB_CCZR),"")</calculatedColumnFormula>
    </tableColumn>
    <tableColumn id="3" xr3:uid="{89D10F54-7FC0-4FEF-A3D4-1FB5553CF74D}" name="Has Settle Delay" dataDxfId="151" dataCellStyle="Comma 2"/>
    <tableColumn id="4" xr3:uid="{E533B4FA-C352-49EC-957C-2FB4EA9C5DF3}" name="Settle Delay" dataDxfId="150" dataCellStyle="Comma 2">
      <calculatedColumnFormula>IF(SOFR[[#This Row],[Has Settle Delay]],SettlementDelayUSD,0)</calculatedColumnFormula>
    </tableColumn>
    <tableColumn id="5" xr3:uid="{9BF3BA29-6E3A-4C00-B7A0-47EBD96B2F84}" name="Settle Date (T1)" dataDxfId="149" dataCellStyle="Normal 2">
      <calculatedColumnFormula>WORKDAY(CurveDate,SOFR[[#This Row],[Settle Delay]],Holidays_NY_Public)</calculatedColumnFormula>
    </tableColumn>
    <tableColumn id="6" xr3:uid="{A476F9BC-1F99-4D72-BA49-E4152BF6F88C}" name="Offset" dataDxfId="148" dataCellStyle="Normal 2"/>
    <tableColumn id="7" xr3:uid="{84B0236A-6A94-400B-A25B-D2F5223513F5}" name="Offset Type" dataDxfId="147" dataCellStyle="Normal 2"/>
    <tableColumn id="8" xr3:uid="{8C7C1136-1EAA-4D32-A444-E7F3A77B2DE9}" name="Maturity Date (T2)" dataDxfId="146" dataCellStyle="Normal 2">
      <calculatedColumnFormula array="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calculatedColumnFormula>
    </tableColumn>
    <tableColumn id="19" xr3:uid="{D839299D-88F7-4AC6-9147-980692413A58}" name="Final Payment Date (T3)" dataDxfId="145" dataCellStyle="Normal 2">
      <calculatedColumnFormula>WORKDAY(SOFR[[#This Row],[Maturity Date (T2)]],OISPaymentDelay,Holidays_NY_Public)</calculatedColumnFormula>
    </tableColumn>
    <tableColumn id="18" xr3:uid="{E04221B8-DD0F-45F8-88D0-C32F2846C9E9}" name="Valid" dataDxfId="144" dataCellStyle="Comma 2">
      <calculatedColumnFormula>SOFR[[#This Row],[Par Swap Rate]]&lt;&gt;""</calculatedColumnFormula>
    </tableColumn>
    <tableColumn id="16" xr3:uid="{022C5428-EAF5-46FA-A635-767335E070D0}" name="Zero-coupon?" dataDxfId="143" dataCellStyle="Comma 2"/>
    <tableColumn id="27" xr3:uid="{8208CCDF-5E13-43B0-836B-279750C3088F}" name="Analytical Solve" dataDxfId="142" dataCellStyle="Comma 2">
      <calculatedColumnFormula>AND(SOFR[[#This Row],[Valid]],SOFR[[#This Row],[Zero-coupon?]])</calculatedColumnFormula>
    </tableColumn>
    <tableColumn id="30" xr3:uid="{6A8151A2-9707-41EB-8EAD-67ADF8F3C44C}" name="Numerical Solve" dataDxfId="141" dataCellStyle="Comma 2">
      <calculatedColumnFormula>AND(SOFR[[#This Row],[Valid]],NOT(SOFR[[#This Row],[Analytical Solve]]))</calculatedColumnFormula>
    </tableColumn>
    <tableColumn id="9" xr3:uid="{F321E394-F213-48B9-A92B-B9AEC7C1E6E8}" name="Flag" dataDxfId="140" dataCellStyle="Comma 2">
      <calculatedColumnFormula>SOFR[[#This Row],[Numerical Solve]]*1</calculatedColumnFormula>
    </tableColumn>
    <tableColumn id="15" xr3:uid="{7DDF9CE1-F1C3-4164-A4E8-1654A3E7E7CA}" name="1+r𝛿" dataDxfId="139" dataCellStyle="Comma">
      <calculatedColumnFormula>IF(SOFR[[#This Row],[Analytical Solve]],1+SOFR[[#This Row],[Par Swap Rate]]%*YEARFRAC(SOFR[[#This Row],[Settle Date (T1)]],SOFR[[#This Row],[Maturity Date (T2)]],DayCount_SOFR),"")</calculatedColumnFormula>
    </tableColumn>
    <tableColumn id="23" xr3:uid="{1DDD1A79-3783-497E-8F99-8B95EAF26375}" name="DF(T1)" dataDxfId="138" dataCellStyle="Comma">
      <calculatedColumnFormula array="1">IF(SOFR[[#This Row],[Analytical Solve]],_xlfn.IFS(SOFR[[#This Row],[Settle Date (T1)]]=CurveDate,1,TRUE,_xlfn.XLOOKUP(SOFR[[#This Row],[Settle Date (T1)]],SOFR[Maturity Date (T2)],SOFR[DF(T2)])),"")</calculatedColumnFormula>
    </tableColumn>
    <tableColumn id="22" xr3:uid="{E9C09BC8-0708-4DF7-8192-C55E4EE77AA0}" name="DF(T2)" dataDxfId="137" dataCellStyle="Comma">
      <calculatedColumnFormula>IF(SOFR[[#This Row],[Analytical Solve]],SOFR[[#This Row],[DF(T1)]]/SOFR[[#This Row],[1+r𝛿]],"")</calculatedColumnFormula>
    </tableColumn>
    <tableColumn id="10" xr3:uid="{517FE254-60E1-4997-B76A-BFBA2F53FCB8}" name="Index" dataDxfId="136" dataCellStyle="Comma 2">
      <calculatedColumnFormula>IF(SOFR[[#This Row],[Numerical Solve]],SUM(SOFR[[#Headers],[Flag]]:SOFR[[#This Row],[Flag]]),0)</calculatedColumnFormula>
    </tableColumn>
    <tableColumn id="11" xr3:uid="{03137EBE-A4FA-4584-AE81-E05322A2EBE2}" name="Solved DF" dataDxfId="135" dataCellStyle="Comma 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C29782-FA10-4A0A-A9B3-A288C433B77B}" name="BankBillRates1M" displayName="BankBillRates1M" ref="F10:V14" totalsRowShown="0" headerRowDxfId="134" dataDxfId="132" headerRowBorderDxfId="133" tableBorderDxfId="131" headerRowCellStyle="Normal 2" dataCellStyle="Comma 2">
  <autoFilter ref="F10:V14" xr:uid="{6FC29782-FA10-4A0A-A9B3-A288C433B77B}"/>
  <tableColumns count="17">
    <tableColumn id="1" xr3:uid="{E75897C1-5459-4E1D-B0DB-3E31FF9C2F2E}" name="Tenor" dataDxfId="130" dataCellStyle="Normal 2"/>
    <tableColumn id="2" xr3:uid="{B86B8F74-F002-43E4-B409-7426133E9FE5}" name="Rate" dataDxfId="129" dataCellStyle="Comma 2"/>
    <tableColumn id="19" xr3:uid="{836F232B-AA63-411D-9ED7-205257BA0DAB}" name="Maturity" dataDxfId="128" dataCellStyle="Comma 2"/>
    <tableColumn id="20" xr3:uid="{F933AB92-A6A0-4510-979D-4324CD152770}" name="DF" dataDxfId="127" dataCellStyle="Comma 2"/>
    <tableColumn id="18" xr3:uid="{0F4102E3-7531-4499-A78E-C385DDABC4B1}" name="CCZR" dataDxfId="126" dataCellStyle="Percent"/>
    <tableColumn id="21" xr3:uid="{39AB6504-672F-4E9E-8AED-69515CD34237}" name="Valid Input" dataDxfId="125" dataCellStyle="Comma 2"/>
    <tableColumn id="3" xr3:uid="{67123C9A-370B-4861-8E66-9E9822DDABC0}" name="Has Settle Delay" dataDxfId="124" dataCellStyle="Comma 2"/>
    <tableColumn id="4" xr3:uid="{27CC6B99-451C-450B-8E30-233E08299E58}" name="Settle Delay" dataDxfId="123" dataCellStyle="Comma 2">
      <calculatedColumnFormula>IF(BankBillRates1M[[#This Row],[Has Settle Delay]],SettlementDelayAUD,0)</calculatedColumnFormula>
    </tableColumn>
    <tableColumn id="5" xr3:uid="{54EEE6A6-DD4D-4308-BCB6-DA034E51C323}" name="Offset Type" dataDxfId="122" dataCellStyle="Comma 2"/>
    <tableColumn id="6" xr3:uid="{EB821FA9-AD0E-4186-9702-CB0B212E3D8C}" name="Offset" dataDxfId="121" dataCellStyle="Comma 2"/>
    <tableColumn id="7" xr3:uid="{990EB729-20A1-435C-8A95-87093C7678DB}" name="Effective Date (T1)" dataDxfId="120" dataCellStyle="Comma 2">
      <calculatedColumnFormula>WORKDAY(CurveDate,BankBillRates1M[[#This Row],[Settle Delay]],Holidays_NSWPublic)</calculatedColumnFormula>
    </tableColumn>
    <tableColumn id="8" xr3:uid="{8D866AC1-86E2-4DD9-9DEE-B19FE19ED04A}" name="Maturity Date (T2)" dataDxfId="119" dataCellStyle="Normal 2">
      <calculatedColumnFormula>IF(BankBillRates1M[[#This Row],[Offset Type]]="Business Day",WORKDAY(BankBillRates1M[[#This Row],[Effective Date (T1)]],BankBillRates1M[[#This Row],[Offset]],Holidays_NSWPublic),WORKDAY(EDATE(BankBillRates1M[[#This Row],[Effective Date (T1)]],BankBillRates1M[[#This Row],[Offset]])-1,1,Holidays_NSWPublic))</calculatedColumnFormula>
    </tableColumn>
    <tableColumn id="9" xr3:uid="{4057A6C5-35F5-402D-BC95-B60D78FA69EE}" name="𝛿(T1,T2)" dataDxfId="118" dataCellStyle="Comma 2">
      <calculatedColumnFormula>IF(NOT(BankBillRates1M[[#This Row],[Valid Input]]),"",YEARFRAC(BankBillRates1M[[#This Row],[Effective Date (T1)]],BankBillRates1M[[#This Row],[Maturity Date (T2)]],DayCount_AUD))</calculatedColumnFormula>
    </tableColumn>
    <tableColumn id="11" xr3:uid="{C2533C29-DCAF-40F0-A154-5C5A631F5B1F}" name="1+r*𝛿(T1,T2)" dataDxfId="117" dataCellStyle="Comma 2">
      <calculatedColumnFormula>IF(NOT(BankBillRates1M[[#This Row],[Valid Input]]),"",1+BankBillRates1M[[#This Row],[Rate]]%*BankBillRates1M[[#This Row],[𝛿(T1,T2)]])</calculatedColumnFormula>
    </tableColumn>
    <tableColumn id="12" xr3:uid="{4F958976-3B90-47AB-8029-42060C1F6D3D}" name="DF(T1)" dataDxfId="116" dataCellStyle="Comma 2">
      <calculatedColumnFormula>IF(NOT(BankBillRates1M[[#This Row],[Valid Input]]),"",IF(BankBillRates1M[[#This Row],[Effective Date (T1)]]=CurveDate,1,_xlfn.XLOOKUP(BankBillRates1M[[#This Row],[Effective Date (T1)]],BankBillRates1M[Maturity Date (T2)],BankBillRates1M[DF(T2)])))</calculatedColumnFormula>
    </tableColumn>
    <tableColumn id="13" xr3:uid="{EBD8EA83-8E36-4916-97C6-25E39C0E6CBB}" name="DF(T2)" dataDxfId="115" dataCellStyle="Comma 2">
      <calculatedColumnFormula>IF(NOT(BankBillRates1M[[#This Row],[Valid Input]]),"",BankBillRates1M[[#This Row],[DF(T1)]]/BankBillRates1M[[#This Row],[1+r*𝛿(T1,T2)]])</calculatedColumnFormula>
    </tableColumn>
    <tableColumn id="15" xr3:uid="{DB92DE16-6830-46F9-9208-F27C0736F61A}" name="Applied" dataDxfId="114" dataCellStyle="Comma 2">
      <calculatedColumnFormula>BankBillRates1M[[#This Row],[Valid Input]]</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50F0307-B366-46D3-880C-0B28A1BB5AF6}" name="BankBillRates6M" displayName="BankBillRates6M" ref="F17:V21" totalsRowShown="0" headerRowDxfId="113" dataDxfId="111" headerRowBorderDxfId="112" tableBorderDxfId="110" headerRowCellStyle="Normal 2" dataCellStyle="Comma 2">
  <autoFilter ref="F17:V21" xr:uid="{750F0307-B366-46D3-880C-0B28A1BB5AF6}"/>
  <tableColumns count="17">
    <tableColumn id="1" xr3:uid="{41920757-985A-4E8F-A234-E01F03227FD2}" name="Tenor" dataDxfId="109" dataCellStyle="Normal 2"/>
    <tableColumn id="2" xr3:uid="{698DF51C-DCA1-4B40-AA34-4D062C55313C}" name="Rate" dataDxfId="108" dataCellStyle="Comma 2"/>
    <tableColumn id="19" xr3:uid="{25D70E88-246A-4716-80C5-034625F46DE3}" name="Maturity" dataDxfId="107" dataCellStyle="Comma 2">
      <calculatedColumnFormula>IF(BankBillRates6M[[#This Row],[Applied]],BankBillRates6M[[#This Row],[Maturity Date (T2)]],"")</calculatedColumnFormula>
    </tableColumn>
    <tableColumn id="20" xr3:uid="{A46D1AE5-10F9-4682-8682-19493CED433D}" name="DF" dataDxfId="106" dataCellStyle="Comma 2">
      <calculatedColumnFormula>IF(BankBillRates6M[[#This Row],[Valid Input]],BankBillRates6M[[#This Row],[DF(T2)]],"")</calculatedColumnFormula>
    </tableColumn>
    <tableColumn id="18" xr3:uid="{F1759881-7263-4274-86B6-9787600810E9}" name="CCZR" dataDxfId="105" dataCellStyle="Percent">
      <calculatedColumnFormula>IF(NOT(BankBillRates6M[[#This Row],[Valid Input]]),"",-LN(BankBillRates6M[[#This Row],[DF(T2)]])/YEARFRAC(CurveDate,BankBillRates6M[[#This Row],[Maturity Date (T2)]],DCB_CCZR))</calculatedColumnFormula>
    </tableColumn>
    <tableColumn id="21" xr3:uid="{D31A546A-D109-4914-B4A2-93CFE06668FA}" name="Valid Input" dataDxfId="104" dataCellStyle="Comma 2">
      <calculatedColumnFormula>BankBillRates6M[[#This Row],[Rate]]&lt;&gt;""</calculatedColumnFormula>
    </tableColumn>
    <tableColumn id="3" xr3:uid="{998CF212-2BA5-483F-A0C1-C89F6CD98F73}" name="Has Settle Delay" dataDxfId="103" dataCellStyle="Comma 2"/>
    <tableColumn id="4" xr3:uid="{D0BA840F-9918-4FED-B939-ED57E7E9AFBC}" name="Settle Delay" dataDxfId="102" dataCellStyle="Comma 2">
      <calculatedColumnFormula>IF(BankBillRates6M[[#This Row],[Has Settle Delay]],SettlementDelayAUD,0)</calculatedColumnFormula>
    </tableColumn>
    <tableColumn id="5" xr3:uid="{4732E3EC-6023-41AB-91E0-578E88D865F1}" name="Offset Type" dataDxfId="101" dataCellStyle="Comma 2"/>
    <tableColumn id="6" xr3:uid="{FAD95EEC-EC20-4A43-B0DD-8B5DE3A8ED97}" name="Offset" dataDxfId="100" dataCellStyle="Comma 2"/>
    <tableColumn id="7" xr3:uid="{F8433049-3C07-4D0A-BC44-694344FF3CEE}" name="Effective Date (T1)" dataDxfId="99" dataCellStyle="Comma 2">
      <calculatedColumnFormula>WORKDAY(CurveDate,BankBillRates6M[[#This Row],[Settle Delay]],Holidays_NSWPublic)</calculatedColumnFormula>
    </tableColumn>
    <tableColumn id="8" xr3:uid="{A255B852-E54D-4B6B-BC4C-8BECE2E8F311}" name="Maturity Date (T2)" dataDxfId="98" dataCellStyle="Normal 2">
      <calculatedColumnFormula>IF(BankBillRates6M[[#This Row],[Offset Type]]="Business Day",WORKDAY(BankBillRates6M[[#This Row],[Effective Date (T1)]],BankBillRates6M[[#This Row],[Offset]],Holidays_NSWPublic),WORKDAY(EDATE(BankBillRates6M[[#This Row],[Effective Date (T1)]],BankBillRates6M[[#This Row],[Offset]])-1,1,Holidays_NSWPublic))</calculatedColumnFormula>
    </tableColumn>
    <tableColumn id="9" xr3:uid="{2F0DFB4B-3203-41E9-85E7-0E9C67A0EB69}" name="𝛿(T1,T2)" dataDxfId="97" dataCellStyle="Comma 2">
      <calculatedColumnFormula>IF(NOT(BankBillRates6M[[#This Row],[Valid Input]]),"",YEARFRAC(BankBillRates6M[[#This Row],[Effective Date (T1)]],BankBillRates6M[[#This Row],[Maturity Date (T2)]],DayCount_AUD))</calculatedColumnFormula>
    </tableColumn>
    <tableColumn id="11" xr3:uid="{F8E5C1D8-D064-47A5-81F9-EA6404F6D31B}" name="1+r*𝛿(T1,T2)" dataDxfId="96" dataCellStyle="Comma 2">
      <calculatedColumnFormula>IF(NOT(BankBillRates6M[[#This Row],[Valid Input]]),"",1+BankBillRates6M[[#This Row],[Rate]]%*BankBillRates6M[[#This Row],[𝛿(T1,T2)]])</calculatedColumnFormula>
    </tableColumn>
    <tableColumn id="12" xr3:uid="{43140D42-9E9C-49AC-AA66-BD044C92E790}" name="DF(T1)" dataDxfId="95" dataCellStyle="Comma 2">
      <calculatedColumnFormula>IF(NOT(BankBillRates6M[[#This Row],[Valid Input]]),"",IF(BankBillRates6M[[#This Row],[Effective Date (T1)]]=CurveDate,1,_xlfn.XLOOKUP(BankBillRates6M[[#This Row],[Effective Date (T1)]],BankBillRates6M[Maturity Date (T2)],BankBillRates6M[DF(T2)])))</calculatedColumnFormula>
    </tableColumn>
    <tableColumn id="13" xr3:uid="{125E3580-D73F-49FA-945E-B2238EDD30D7}" name="DF(T2)" dataDxfId="94" dataCellStyle="Comma 2">
      <calculatedColumnFormula>IF(NOT(BankBillRates6M[[#This Row],[Valid Input]]),"",BankBillRates6M[[#This Row],[DF(T1)]]/BankBillRates6M[[#This Row],[1+r*𝛿(T1,T2)]])</calculatedColumnFormula>
    </tableColumn>
    <tableColumn id="15" xr3:uid="{45DA0199-CAB0-4066-A388-3AE5A92F04F4}" name="Applied" dataDxfId="93" dataCellStyle="Comma 2">
      <calculatedColumnFormula>BankBillRates6M[[#This Row],[Valid Input]]</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9E101E-5E89-4848-AF74-BF411142DD60}" name="FCBS" displayName="FCBS" ref="CK3:DA21" totalsRowShown="0" headerRowDxfId="92" dataDxfId="91" tableBorderDxfId="90" headerRowCellStyle="Normal 2" dataCellStyle="Comma 2">
  <autoFilter ref="CK3:DA21" xr:uid="{2B9E101E-5E89-4848-AF74-BF411142DD60}"/>
  <tableColumns count="17">
    <tableColumn id="1" xr3:uid="{CDBE3360-6A75-41BD-8230-EF66F7A4F296}" name="Tenor" dataDxfId="89" dataCellStyle="Normal_UploadYC"/>
    <tableColumn id="2" xr3:uid="{353CD3F3-C6B6-442B-B8C0-24689F43CCB6}" name="Basis Spread" dataDxfId="88" dataCellStyle="Comma 2"/>
    <tableColumn id="32" xr3:uid="{25AE5F29-4CEF-411D-80EB-2BF239D5432D}" name="Maturity" dataDxfId="87" dataCellStyle="Comma 2">
      <calculatedColumnFormula>IF(FCBS[[#This Row],[Valid]],FCBS[[#This Row],[Maturity Date (T2)]],"")</calculatedColumnFormula>
    </tableColumn>
    <tableColumn id="33" xr3:uid="{2427BA7A-918E-4801-BD24-6B23E57BEA24}" name="DF" dataDxfId="86" dataCellStyle="Comma 2">
      <calculatedColumnFormula array="1">IF(FCBS[[#This Row],[Valid]],Linterp(_xlfn.ANCHORARRAY(Curves!$AA$4),_xlfn.ANCHORARRAY(Curves!$AD$4),FCBS[[#This Row],[Maturity]],-1,TRUE),"")</calculatedColumnFormula>
    </tableColumn>
    <tableColumn id="34" xr3:uid="{C96DB061-3F01-44BD-BE60-DB908FBE372B}" name="CCZR" dataDxfId="85" dataCellStyle="Percent">
      <calculatedColumnFormula>IF(FCBS[[#This Row],[Valid]],-1*LN(FCBS[[#This Row],[DF]])/YEARFRAC(CurveDate,FCBS[[#This Row],[Maturity]],DCB_CCZR),"")</calculatedColumnFormula>
    </tableColumn>
    <tableColumn id="3" xr3:uid="{AE2A243C-D6C8-48A9-A84A-9A8323CD05F3}" name="Has Settle Delay" dataDxfId="84" dataCellStyle="Comma 2"/>
    <tableColumn id="4" xr3:uid="{8FBC5074-B559-4133-A5E4-9D663D6837FB}" name="Settle Delay" dataDxfId="83" dataCellStyle="Comma 2">
      <calculatedColumnFormula>IF(FCBS[[#This Row],[Has Settle Delay]],SettlementDelayAUD,0)</calculatedColumnFormula>
    </tableColumn>
    <tableColumn id="5" xr3:uid="{AF4F054F-1265-4054-96C8-94B055B0B91D}" name="Settle Date (T1)" dataDxfId="82" dataCellStyle="Normal 2">
      <calculatedColumnFormula>WORKDAY(CurveDate,FCBS[[#This Row],[Settle Delay]],Holidays_NSWPublic)</calculatedColumnFormula>
    </tableColumn>
    <tableColumn id="6" xr3:uid="{94E62158-4A16-42ED-B6E9-4B5F9DD59415}" name="Offset" dataDxfId="81" dataCellStyle="Normal 2"/>
    <tableColumn id="7" xr3:uid="{A5D6C8B8-C708-48AE-88C1-28453015C974}" name="Offset Type" dataDxfId="80" dataCellStyle="Normal 2"/>
    <tableColumn id="8" xr3:uid="{3BBDAEC4-CFA7-411A-AFB7-D112E1DFE9B4}" name="Maturity Date (T2)" dataDxfId="79" dataCellStyle="Normal 2">
      <calculatedColumnFormula array="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calculatedColumnFormula>
    </tableColumn>
    <tableColumn id="19" xr3:uid="{37BA9862-5370-487C-915F-77255DBA7249}" name="Final Coupon Payment Date (T3)" dataDxfId="78" dataCellStyle="Normal 2">
      <calculatedColumnFormula>WORKDAY(FCBS[[#This Row],[Maturity Date (T2)]],OISPaymentDelay,Holidays_NSWPublic)</calculatedColumnFormula>
    </tableColumn>
    <tableColumn id="18" xr3:uid="{2C90B760-828E-42DC-A602-03D0DE0074D5}" name="Valid" dataDxfId="77" dataCellStyle="Comma 2">
      <calculatedColumnFormula>FCBS[[#This Row],[Basis Spread]]&lt;&gt;""</calculatedColumnFormula>
    </tableColumn>
    <tableColumn id="13" xr3:uid="{D18E1F73-E23B-4A4F-B525-D4416128C1AC}" name="Numerical Solve" dataDxfId="76" dataCellStyle="Comma 2">
      <calculatedColumnFormula>FCBS[[#This Row],[Valid]]</calculatedColumnFormula>
    </tableColumn>
    <tableColumn id="9" xr3:uid="{A71FCA27-09FC-4500-B00C-B5080885FE8C}" name="Flag" dataDxfId="75" dataCellStyle="Comma 2">
      <calculatedColumnFormula>FCBS[[#This Row],[Valid]]*1</calculatedColumnFormula>
    </tableColumn>
    <tableColumn id="10" xr3:uid="{53567ABB-2317-41D7-B9C8-DF7A5DF2D083}" name="Index" dataDxfId="74" dataCellStyle="Comma 2">
      <calculatedColumnFormula>IF(FCBS[[#This Row],[Valid]],SUM(FCBS[[#Headers],[Flag]]:FCBS[[#This Row],[Flag]]),0)</calculatedColumnFormula>
    </tableColumn>
    <tableColumn id="11" xr3:uid="{9D5D0E04-5C5E-447C-B04B-8A3EDED30DCA}" name="Solved DF" dataDxfId="73" dataCellStyle="Comma 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DC4694-EF1C-497D-A72C-037631B8A063}" name="BBSW1M" displayName="BBSW1M" ref="AW23:BG39" totalsRowShown="0" headerRowDxfId="72" headerRowBorderDxfId="71" tableBorderDxfId="70" headerRowCellStyle="Normal 2">
  <autoFilter ref="AW23:BG39" xr:uid="{2ADC4694-EF1C-497D-A72C-037631B8A063}"/>
  <tableColumns count="11">
    <tableColumn id="1" xr3:uid="{5A24A842-0197-4C63-A7C0-2B893558E98C}" name="Tenor" dataDxfId="69" dataCellStyle="Normal 2"/>
    <tableColumn id="2" xr3:uid="{F0E51D99-F4F7-4480-AD9E-A106DECE6B88}" name="Basis Spread" dataDxfId="68" dataCellStyle="Comma 2"/>
    <tableColumn id="20" xr3:uid="{A80CA727-15B8-4CC8-82E9-92D236CE9111}" name="Maturity" dataDxfId="67" dataCellStyle="Comma 2">
      <calculatedColumnFormula>IF(BBSW1M[[#This Row],[Numerical Solve]],BBSW1M[[#This Row],[Maturity Date, T2]],"")</calculatedColumnFormula>
    </tableColumn>
    <tableColumn id="19" xr3:uid="{64965DB4-538D-4B8C-8A01-54F9CD733FFB}" name="DF" dataDxfId="66" dataCellStyle="Comma 2">
      <calculatedColumnFormula array="1">IF(BBSW1M[[#This Row],[Numerical Solve]],Linterp(_xlfn.ANCHORARRAY(Curves!$L$4),_xlfn.ANCHORARRAY(Curves!$O$4),BBSW1M[[#This Row],[Maturity]]),"")</calculatedColumnFormula>
    </tableColumn>
    <tableColumn id="18" xr3:uid="{9655D3E0-5527-4619-A2F4-B064126CD147}" name="CCZR" dataDxfId="65" dataCellStyle="Percent">
      <calculatedColumnFormula>IF(BBSW1M[[#This Row],[Numerical Solve]],-1*LN(BBSW1M[[#This Row],[Solved DF]])/YEARFRAC(CurveDate,BBSW1M[[#This Row],[Maturity Date, T2]],DCB_CCZR),"")</calculatedColumnFormula>
    </tableColumn>
    <tableColumn id="8" xr3:uid="{BCA74F63-5271-4EE3-97D9-22CAA7B73DEF}" name="Effective Date, T1" dataDxfId="64" dataCellStyle="Percent 2">
      <calculatedColumnFormula>_xlfn.XLOOKUP(BBSW1M[[#This Row],[Tenor]],BBSW3MSwaps[Tenor],BBSW3MSwaps[Effective Date, T1])</calculatedColumnFormula>
    </tableColumn>
    <tableColumn id="9" xr3:uid="{F8AFD7A7-E4E7-4ACE-8970-1EFCCE06C652}" name="Maturity Date, T2" dataDxfId="63" dataCellStyle="Percent 2">
      <calculatedColumnFormula>_xlfn.XLOOKUP(BBSW1M[[#This Row],[Tenor]],BBSW3MSwaps[Tenor],BBSW3MSwaps[Maturity Date, T2])</calculatedColumnFormula>
    </tableColumn>
    <tableColumn id="10" xr3:uid="{EB467D07-31BA-4691-A248-55E8538D8803}" name="Numerical Solve" dataDxfId="62" dataCellStyle="Comma 2">
      <calculatedColumnFormula>BBSW1M[[#This Row],[Basis Spread]]&lt;&gt;""</calculatedColumnFormula>
    </tableColumn>
    <tableColumn id="17" xr3:uid="{D2A91EF2-E2E6-4DC4-9F13-12B7CFC03062}" name="Flag" dataDxfId="61" dataCellStyle="Percent 2">
      <calculatedColumnFormula>BBSW1M[[#This Row],[Numerical Solve]]*1</calculatedColumnFormula>
    </tableColumn>
    <tableColumn id="14" xr3:uid="{582B6ADF-15E8-484A-AEC0-F4A2E08AC63C}" name="Index" dataDxfId="60" dataCellStyle="Percent 2">
      <calculatedColumnFormula>IF(BBSW1M[[#This Row],[Numerical Solve]],SUM(BBSW1M[[#Headers],[Flag]]:BBSW1M[[#This Row],[Flag]]),0)</calculatedColumnFormula>
    </tableColumn>
    <tableColumn id="15" xr3:uid="{F1758706-97F7-46AC-8414-F0E4F7AB0AB1}" name="Solved DF" dataDxfId="59" dataCellStyle="Comma"/>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F4732BF-2D3C-4911-958C-430F67B7F06F}" name="BBSW6M" displayName="BBSW6M" ref="AW43:BG59" totalsRowShown="0" headerRowDxfId="58" headerRowBorderDxfId="57" tableBorderDxfId="56" headerRowCellStyle="Normal 2">
  <autoFilter ref="AW43:BG59" xr:uid="{AF4732BF-2D3C-4911-958C-430F67B7F06F}"/>
  <tableColumns count="11">
    <tableColumn id="1" xr3:uid="{B04292DC-1EA8-4E86-B05F-375029ED9052}" name="Tenor" dataDxfId="55" dataCellStyle="Normal 2"/>
    <tableColumn id="2" xr3:uid="{106018DF-CBA5-47E9-8294-A7608008FCB0}" name="Basis Spread" dataDxfId="54" dataCellStyle="Comma 2"/>
    <tableColumn id="20" xr3:uid="{43AABA72-1D62-4F92-9F47-70ADC1477512}" name="Maturity" dataDxfId="53" dataCellStyle="Comma 2">
      <calculatedColumnFormula>IF(BBSW6M[[#This Row],[Numerical Solve]],BBSW6M[[#This Row],[Maturity Date, T2]],"")</calculatedColumnFormula>
    </tableColumn>
    <tableColumn id="19" xr3:uid="{D9A84200-A5D5-42EA-BF13-34A420D34468}" name="DF" dataDxfId="52" dataCellStyle="Comma 2">
      <calculatedColumnFormula array="1">IF(BBSW6M[[#This Row],[Numerical Solve]],Linterp(_xlfn.ANCHORARRAY(Curves!$Q$4),_xlfn.ANCHORARRAY(Curves!$T$4),BBSW6M[[#This Row],[Maturity]]),"")</calculatedColumnFormula>
    </tableColumn>
    <tableColumn id="18" xr3:uid="{CF7173CC-9099-490E-8B93-71B9418C7778}" name="CCZR" dataDxfId="51" dataCellStyle="Percent">
      <calculatedColumnFormula>IF(BBSW6M[[#This Row],[Numerical Solve]],-1*LN(BBSW6M[[#This Row],[Solved DF]])/YEARFRAC(CurveDate,BBSW6M[[#This Row],[Maturity Date, T2]],DCB_CCZR),"")</calculatedColumnFormula>
    </tableColumn>
    <tableColumn id="8" xr3:uid="{4855A98C-6D7B-4EDE-AF83-6EBEF433BF44}" name="Effective Date, T1" dataDxfId="50" dataCellStyle="Percent 2">
      <calculatedColumnFormula>_xlfn.XLOOKUP(BBSW6M[[#This Row],[Tenor]],BBSW3MSwaps[Tenor],BBSW3MSwaps[Effective Date, T1])</calculatedColumnFormula>
    </tableColumn>
    <tableColumn id="9" xr3:uid="{A602860D-A540-46E5-BA06-F78F3A3FFD6C}" name="Maturity Date, T2" dataDxfId="49" dataCellStyle="Percent 2">
      <calculatedColumnFormula>_xlfn.XLOOKUP(BBSW6M[[#This Row],[Tenor]],BBSW3MSwaps[Tenor],BBSW3MSwaps[Maturity Date, T2])</calculatedColumnFormula>
    </tableColumn>
    <tableColumn id="10" xr3:uid="{3AB99025-C157-4506-B980-9805AE7C25ED}" name="Numerical Solve" dataDxfId="48" dataCellStyle="Comma 2">
      <calculatedColumnFormula>BBSW6M[[#This Row],[Basis Spread]]&lt;&gt;""</calculatedColumnFormula>
    </tableColumn>
    <tableColumn id="17" xr3:uid="{1000CC4B-3938-4AE6-BB52-CDA963671BD7}" name="Flag" dataDxfId="47" dataCellStyle="Percent 2">
      <calculatedColumnFormula>BBSW6M[[#This Row],[Numerical Solve]]*1</calculatedColumnFormula>
    </tableColumn>
    <tableColumn id="14" xr3:uid="{331382C8-8913-4CA9-8CFA-C2C8870E69A3}" name="Index" dataDxfId="46" dataCellStyle="Percent 2">
      <calculatedColumnFormula>IF(BBSW6M[[#This Row],[Numerical Solve]],SUM(BBSW6M[[#Headers],[Flag]]:BBSW6M[[#This Row],[Flag]]),0)</calculatedColumnFormula>
    </tableColumn>
    <tableColumn id="15" xr3:uid="{7856AFA3-B6EF-4FE0-AA52-3532682F12ED}" name="Solved DF" dataDxfId="45" dataCellStyle="Comma"/>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61689E-5A6B-489C-9664-8B123EFBA3BA}" name="DCB" displayName="DCB" ref="B29:C33" totalsRowShown="0" headerRowDxfId="44" dataDxfId="43">
  <autoFilter ref="B29:C33" xr:uid="{CB61689E-5A6B-489C-9664-8B123EFBA3BA}"/>
  <tableColumns count="2">
    <tableColumn id="1" xr3:uid="{D3A32A50-27C4-416B-B890-F4B6198D2F69}" name="Day Count Basis String" dataDxfId="42"/>
    <tableColumn id="2" xr3:uid="{79899281-E9FA-418F-8C7D-C66DE1ED37F3}" name="Day Count Basis Index" dataDxfId="41"/>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C86FACA-1268-472E-A30B-70674ED94882}" name="QuoteDefinitions" displayName="QuoteDefinitions" ref="B12:Q24" totalsRowShown="0" headerRowDxfId="40" headerRowBorderDxfId="39" tableBorderDxfId="38" headerRowCellStyle="Comma 3">
  <autoFilter ref="B12:Q24" xr:uid="{CC86FACA-1268-472E-A30B-70674ED94882}"/>
  <tableColumns count="16">
    <tableColumn id="1" xr3:uid="{BE90258C-6398-4E45-94DE-546A92FFFA76}" name="[Quote] - [Leg Type] Id" dataDxfId="37"/>
    <tableColumn id="2" xr3:uid="{A8DB8C4F-11EE-49BE-ACC5-3414F230CD83}" name="Quote" dataDxfId="36"/>
    <tableColumn id="3" xr3:uid="{EB156532-1888-4C84-A495-EA7E6EE5C9E9}" name="Leg Bucket" dataDxfId="35"/>
    <tableColumn id="4" xr3:uid="{9431A984-708D-46D7-8FC8-028FC0EAA50B}" name="Discounting Index" dataDxfId="34" dataCellStyle="Comma 3"/>
    <tableColumn id="5" xr3:uid="{A3F07A26-FAC7-4594-B498-F14A90BD7D23}" name="Exchange Notionals" dataDxfId="33" dataCellStyle="Comma 3"/>
    <tableColumn id="6" xr3:uid="{EDDA5F96-CA00-4980-B51F-C9B7DA901364}" name="Leg Type" dataDxfId="32" dataCellStyle="Normal 3"/>
    <tableColumn id="7" xr3:uid="{FC4AA93B-376E-431C-9266-A32C3B5343AF}" name="Fixed Rate (%)" dataDxfId="31" dataCellStyle="Comma"/>
    <tableColumn id="8" xr3:uid="{491477F6-574F-4001-9F1E-1941BB06F2C5}" name="Start Date" dataDxfId="30" dataCellStyle="Percent 3"/>
    <tableColumn id="9" xr3:uid="{F56C396E-4E9A-4B34-A6DF-80C955F67838}" name="End Date" dataDxfId="29" dataCellStyle="Percent 3"/>
    <tableColumn id="10" xr3:uid="{5C5603E6-D60F-4A25-9901-F1151A9E5F66}" name="Forward Index" dataDxfId="28" dataCellStyle="Comma 3"/>
    <tableColumn id="11" xr3:uid="{7E7DC2E2-50B7-4B6B-AA71-0600F26DF591}" name="Spread (bps)" dataDxfId="27" dataCellStyle="Normal 3"/>
    <tableColumn id="12" xr3:uid="{31AA346A-BB09-4EBA-B4CE-B970A922863F}" name="Day Count Str" dataDxfId="26" dataCellStyle="Percent 3"/>
    <tableColumn id="13" xr3:uid="{72D5AD01-5120-421A-B39C-9B4924362936}" name="Day Count Index" dataDxfId="25" dataCellStyle="Percent 3">
      <calculatedColumnFormula>_xlfn.XLOOKUP(M13,DCB[Day Count Basis String],DCB[Day Count Basis Index])</calculatedColumnFormula>
    </tableColumn>
    <tableColumn id="14" xr3:uid="{800A9541-AD25-46A6-A27A-BE6170465EF6}" name="Payment Freq." dataDxfId="24" dataCellStyle="Comma 3"/>
    <tableColumn id="15" xr3:uid="{6CB2BEC9-D5D7-4914-B909-F1A575BE31A1}" name="Coupon Payment Delay" dataDxfId="23" dataCellStyle="Percent 3"/>
    <tableColumn id="16" xr3:uid="{A459A917-58C7-4C68-8735-2635B77631CD}" name="Fixing Offset" dataDxfId="22" dataCellStyle="Percent 3"/>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AFF9BC0-6C7F-4388-B69A-0533AB995DCA}" name="FCBQuote" displayName="FCBQuote" ref="B35:C37" totalsRowShown="0">
  <autoFilter ref="B35:C37" xr:uid="{EAFF9BC0-6C7F-4388-B69A-0533AB995DCA}"/>
  <tableColumns count="2">
    <tableColumn id="1" xr3:uid="{B711D533-63B5-4947-8741-DE0A6C54319F}" name="FCBS Quote Type"/>
    <tableColumn id="2" xr3:uid="{3854421A-C95E-43C0-8629-2AB40CD3DCF7}" name="AUD Index"/>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58CDBC-8F0F-4F40-9014-BDD5F6B97BCD}" name="BBSWFuturesContractDefinitions" displayName="BBSWFuturesContractDefinitions" ref="D4:L21" totalsRowShown="0" headerRowDxfId="21" dataDxfId="20" headerRowCellStyle="Normal 2" dataCellStyle="Normal 2">
  <autoFilter ref="D4:L21" xr:uid="{2658CDBC-8F0F-4F40-9014-BDD5F6B97BCD}"/>
  <tableColumns count="9">
    <tableColumn id="1" xr3:uid="{5606CD6B-2A9E-4A13-9649-3C6058B51473}" name="ASX Ticker" dataDxfId="19" dataCellStyle="Normal 2"/>
    <tableColumn id="9" xr3:uid="{ADD946A9-A24B-4EAD-AA50-E57B01D38832}" name="BBG Ticker" dataDxfId="18" dataCellStyle="Normal 2"/>
    <tableColumn id="2" xr3:uid="{DA4444A0-2EA3-4829-98E8-004795C8D6A7}" name="Month" dataDxfId="17" dataCellStyle="Normal 2"/>
    <tableColumn id="3" xr3:uid="{B63759FA-49F5-41B8-9D12-81C6210FCEA8}" name="Contract Expiry" dataDxfId="16" dataCellStyle="Normal 2"/>
    <tableColumn id="4" xr3:uid="{7A7CD9E5-5AE2-414E-984E-E896A4FBEA3D}" name="Settlement Day" dataDxfId="15" dataCellStyle="Normal 2"/>
    <tableColumn id="5" xr3:uid="{76E96D3A-B8B8-4A0E-ADC9-8EA3E7B5C577}" name="Year" dataDxfId="14" dataCellStyle="Normal 2">
      <calculatedColumnFormula>YEAR(H5)</calculatedColumnFormula>
    </tableColumn>
    <tableColumn id="6" xr3:uid="{31B9851F-FC38-4871-9122-BFE6130939D8}" name="Month $" dataDxfId="13" dataCellStyle="Normal 2">
      <calculatedColumnFormula>MONTH(H5)</calculatedColumnFormula>
    </tableColumn>
    <tableColumn id="7" xr3:uid="{9C4CC360-D29B-4F0F-B290-B6AC330F4A01}" name="Month Name" dataDxfId="12" dataCellStyle="Normal 2">
      <calculatedColumnFormula array="1">_xlfn.IFS(J5=3,"MAR",J5=6,"JUN",J5=9,"SEP",J5=12,"DEC")</calculatedColumnFormula>
    </tableColumn>
    <tableColumn id="8" xr3:uid="{D8F6709C-9300-4F76-92ED-E8F530401CFE}" name="Data Validation" dataDxfId="11" dataCellStyle="Normal 2">
      <calculatedColumnFormula>K5&amp;(YEAR(F5)-2000)</calculatedColumnFormula>
    </tableColum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2912E8-4BDC-4D00-8E33-C71F242367B3}" name="BKBMFuturesContractDefinitions" displayName="BKBMFuturesContractDefinitions" ref="D25:L39" totalsRowShown="0" headerRowDxfId="10" dataDxfId="9" headerRowCellStyle="Normal 2" dataCellStyle="Normal 2">
  <autoFilter ref="D25:L39" xr:uid="{C72912E8-4BDC-4D00-8E33-C71F242367B3}"/>
  <tableColumns count="9">
    <tableColumn id="1" xr3:uid="{86AAF670-3B36-4060-8994-6C665C1BAD65}" name="ASX Ticker" dataDxfId="8" dataCellStyle="Normal 2"/>
    <tableColumn id="9" xr3:uid="{1E97A5D1-9C86-435D-9AE2-4B6AC3B4C335}" name="BBG Ticker" dataDxfId="7" dataCellStyle="Normal 2"/>
    <tableColumn id="2" xr3:uid="{691A0C28-EE89-4B41-AD8E-7E2D8D86150A}" name="Month" dataDxfId="6" dataCellStyle="Normal 2"/>
    <tableColumn id="3" xr3:uid="{CC4E2CD4-E764-42FD-ABA9-973133455845}" name="Contract Expiry" dataDxfId="5" dataCellStyle="Normal 2"/>
    <tableColumn id="4" xr3:uid="{BE99F44B-6B08-435E-B729-1CF75F378BCA}" name="Settlement Day" dataDxfId="4" dataCellStyle="Normal 2">
      <calculatedColumnFormula>G26+1</calculatedColumnFormula>
    </tableColumn>
    <tableColumn id="5" xr3:uid="{18D50F82-C3E3-44C2-BCAC-7CE1D2024DC9}" name="Year" dataDxfId="3" dataCellStyle="Normal 2">
      <calculatedColumnFormula>YEAR(H26)</calculatedColumnFormula>
    </tableColumn>
    <tableColumn id="6" xr3:uid="{220C2588-B183-47E5-9707-39EB1F065AB8}" name="Month $" dataDxfId="2" dataCellStyle="Normal 2">
      <calculatedColumnFormula>MONTH(H26)</calculatedColumnFormula>
    </tableColumn>
    <tableColumn id="7" xr3:uid="{422B91D3-0AB8-43FA-9D0E-F4300DCBE21A}" name="Month Name" dataDxfId="1" dataCellStyle="Normal 2">
      <calculatedColumnFormula array="1">_xlfn.IFS(J26=3,"MAR",J26=6,"JUN",J26=9,"SEP",J26=12,"DEC")</calculatedColumnFormula>
    </tableColumn>
    <tableColumn id="8" xr3:uid="{1AFDB121-53D9-4588-A578-30A348AFC665}" name="Data Validation" dataDxfId="0" dataCellStyle="Normal 2">
      <calculatedColumnFormula>K26&amp;(YEAR(F26)-2000)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drawing" Target="../drawings/drawing2.xml"/><Relationship Id="rId4"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hyperlink" Target="https://www.asx.com.au/content/dam/asx/participants/derivatives-market/90-Day-bank-bill-futures-factsheet.pdf" TargetMode="External"/><Relationship Id="rId1" Type="http://schemas.openxmlformats.org/officeDocument/2006/relationships/hyperlink" Target="https://www.asx.com.au/content/dam/asx/participants/derivatives-market/90-day-nz-bank-bill-factsheet.pdf" TargetMode="Externa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70B24-8A34-43C6-9A04-5C04A124EAEC}">
  <sheetPr codeName="Sheet8"/>
  <dimension ref="B2:B32"/>
  <sheetViews>
    <sheetView workbookViewId="0"/>
  </sheetViews>
  <sheetFormatPr defaultRowHeight="12"/>
  <cols>
    <col min="2" max="2" width="133.28515625" bestFit="1" customWidth="1"/>
  </cols>
  <sheetData>
    <row r="2" spans="2:2">
      <c r="B2" s="74" t="s">
        <v>308</v>
      </c>
    </row>
    <row r="3" spans="2:2" ht="48">
      <c r="B3" s="319" t="s">
        <v>332</v>
      </c>
    </row>
    <row r="4" spans="2:2">
      <c r="B4" s="319"/>
    </row>
    <row r="5" spans="2:2">
      <c r="B5" s="327" t="s">
        <v>312</v>
      </c>
    </row>
    <row r="6" spans="2:2">
      <c r="B6" s="318"/>
    </row>
    <row r="7" spans="2:2">
      <c r="B7" s="77" t="s">
        <v>316</v>
      </c>
    </row>
    <row r="8" spans="2:2">
      <c r="B8" s="318" t="s">
        <v>324</v>
      </c>
    </row>
    <row r="9" spans="2:2">
      <c r="B9" s="318" t="s">
        <v>317</v>
      </c>
    </row>
    <row r="10" spans="2:2">
      <c r="B10" s="318" t="s">
        <v>323</v>
      </c>
    </row>
    <row r="11" spans="2:2">
      <c r="B11" s="318" t="s">
        <v>325</v>
      </c>
    </row>
    <row r="12" spans="2:2">
      <c r="B12" s="318"/>
    </row>
    <row r="13" spans="2:2">
      <c r="B13" s="77" t="s">
        <v>132</v>
      </c>
    </row>
    <row r="14" spans="2:2" ht="84">
      <c r="B14" s="319" t="s">
        <v>339</v>
      </c>
    </row>
    <row r="15" spans="2:2">
      <c r="B15" s="318"/>
    </row>
    <row r="16" spans="2:2">
      <c r="B16" s="77" t="s">
        <v>326</v>
      </c>
    </row>
    <row r="17" spans="2:2">
      <c r="B17" s="318" t="s">
        <v>301</v>
      </c>
    </row>
    <row r="18" spans="2:2">
      <c r="B18" s="318" t="s">
        <v>300</v>
      </c>
    </row>
    <row r="19" spans="2:2">
      <c r="B19" s="318" t="s">
        <v>302</v>
      </c>
    </row>
    <row r="20" spans="2:2">
      <c r="B20" s="318" t="s">
        <v>303</v>
      </c>
    </row>
    <row r="22" spans="2:2">
      <c r="B22" s="77" t="s">
        <v>309</v>
      </c>
    </row>
    <row r="23" spans="2:2">
      <c r="B23" t="s">
        <v>311</v>
      </c>
    </row>
    <row r="24" spans="2:2">
      <c r="B24" t="s">
        <v>313</v>
      </c>
    </row>
    <row r="25" spans="2:2">
      <c r="B25" t="s">
        <v>314</v>
      </c>
    </row>
    <row r="26" spans="2:2">
      <c r="B26" s="318" t="s">
        <v>315</v>
      </c>
    </row>
    <row r="27" spans="2:2">
      <c r="B27" s="318"/>
    </row>
    <row r="28" spans="2:2">
      <c r="B28" s="330" t="s">
        <v>327</v>
      </c>
    </row>
    <row r="29" spans="2:2">
      <c r="B29" t="s">
        <v>328</v>
      </c>
    </row>
    <row r="30" spans="2:2">
      <c r="B30" t="s">
        <v>329</v>
      </c>
    </row>
    <row r="31" spans="2:2">
      <c r="B31" t="s">
        <v>331</v>
      </c>
    </row>
    <row r="32" spans="2:2">
      <c r="B32" t="s">
        <v>330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58668-6982-49FB-85C2-3EAC36A648AB}">
  <sheetPr codeName="Sheet1"/>
  <dimension ref="A1:WL1048576"/>
  <sheetViews>
    <sheetView tabSelected="1" workbookViewId="0"/>
  </sheetViews>
  <sheetFormatPr defaultColWidth="9.140625" defaultRowHeight="12" outlineLevelRow="1" outlineLevelCol="1"/>
  <cols>
    <col min="1" max="1" width="3.7109375" style="2" customWidth="1"/>
    <col min="2" max="2" width="38.7109375" style="2" bestFit="1" customWidth="1"/>
    <col min="3" max="3" width="22.140625" style="2" bestFit="1" customWidth="1"/>
    <col min="4" max="4" width="2" style="2" bestFit="1" customWidth="1"/>
    <col min="5" max="5" width="3.7109375" style="2" customWidth="1"/>
    <col min="6" max="6" width="7.85546875" style="2" bestFit="1" customWidth="1"/>
    <col min="7" max="7" width="8.5703125" style="2" bestFit="1" customWidth="1"/>
    <col min="8" max="8" width="9.7109375" style="2" bestFit="1" customWidth="1"/>
    <col min="9" max="9" width="8.5703125" style="2" bestFit="1" customWidth="1"/>
    <col min="10" max="10" width="9" style="2" bestFit="1" customWidth="1"/>
    <col min="11" max="11" width="41.140625" style="2" hidden="1" customWidth="1" outlineLevel="1"/>
    <col min="12" max="12" width="16.42578125" style="2" hidden="1" customWidth="1" outlineLevel="1"/>
    <col min="13" max="13" width="12.7109375" style="2" hidden="1" customWidth="1" outlineLevel="1"/>
    <col min="14" max="14" width="12.42578125" style="2" hidden="1" customWidth="1" outlineLevel="1"/>
    <col min="15" max="15" width="8.140625" style="3" hidden="1" customWidth="1" outlineLevel="1"/>
    <col min="16" max="16" width="18" style="2" hidden="1" customWidth="1" outlineLevel="1"/>
    <col min="17" max="17" width="17.5703125" style="2" hidden="1" customWidth="1" outlineLevel="1"/>
    <col min="18" max="18" width="47" style="2" hidden="1" customWidth="1" outlineLevel="1"/>
    <col min="19" max="19" width="14.28515625" style="2" hidden="1" customWidth="1" outlineLevel="1"/>
    <col min="20" max="20" width="8.5703125" style="5" hidden="1" customWidth="1" outlineLevel="1"/>
    <col min="21" max="21" width="8.5703125" style="2" hidden="1" customWidth="1" outlineLevel="1"/>
    <col min="22" max="22" width="9.140625" style="2" hidden="1" customWidth="1" outlineLevel="1"/>
    <col min="23" max="23" width="12.85546875" style="2" hidden="1" customWidth="1" outlineLevel="1"/>
    <col min="24" max="24" width="8.5703125" style="2" hidden="1" customWidth="1" outlineLevel="1"/>
    <col min="25" max="25" width="3.7109375" style="2" customWidth="1" collapsed="1"/>
    <col min="26" max="26" width="6.7109375" style="2" bestFit="1" customWidth="1"/>
    <col min="27" max="27" width="8.5703125" style="2" bestFit="1" customWidth="1"/>
    <col min="28" max="28" width="13.5703125" style="2" bestFit="1" customWidth="1"/>
    <col min="29" max="29" width="9.85546875" style="2" bestFit="1" customWidth="1"/>
    <col min="30" max="30" width="8.5703125" style="2" bestFit="1" customWidth="1"/>
    <col min="31" max="31" width="9" style="2" bestFit="1" customWidth="1"/>
    <col min="32" max="32" width="9.42578125" style="2" hidden="1" customWidth="1" outlineLevel="1"/>
    <col min="33" max="33" width="11.28515625" style="2" hidden="1" customWidth="1" outlineLevel="1"/>
    <col min="34" max="34" width="11.85546875" style="147" hidden="1" customWidth="1" outlineLevel="1"/>
    <col min="35" max="35" width="40.85546875" style="2" hidden="1" customWidth="1" outlineLevel="1"/>
    <col min="36" max="36" width="18.140625" style="2" hidden="1" customWidth="1" outlineLevel="1"/>
    <col min="37" max="37" width="19" style="147" hidden="1" customWidth="1" outlineLevel="1"/>
    <col min="38" max="38" width="18" style="147" hidden="1" customWidth="1" outlineLevel="1"/>
    <col min="39" max="39" width="7.5703125" style="2" hidden="1" customWidth="1" outlineLevel="1"/>
    <col min="40" max="40" width="13.42578125" style="2" hidden="1" customWidth="1" outlineLevel="1"/>
    <col min="41" max="41" width="8.5703125" style="2" hidden="1" customWidth="1" outlineLevel="1"/>
    <col min="42" max="42" width="15.140625" style="2" hidden="1" customWidth="1" outlineLevel="1"/>
    <col min="43" max="43" width="8.5703125" style="2" hidden="1" customWidth="1" outlineLevel="1"/>
    <col min="44" max="44" width="20.28515625" style="2" hidden="1" customWidth="1" outlineLevel="1"/>
    <col min="45" max="45" width="6.85546875" style="2" hidden="1" customWidth="1" outlineLevel="1"/>
    <col min="46" max="46" width="9.28515625" style="2" hidden="1" customWidth="1" outlineLevel="1"/>
    <col min="47" max="47" width="8.5703125" style="2" hidden="1" customWidth="1" outlineLevel="1"/>
    <col min="48" max="48" width="3.7109375" style="2" customWidth="1" collapsed="1"/>
    <col min="49" max="49" width="7.85546875" style="2" bestFit="1" customWidth="1"/>
    <col min="50" max="50" width="15.28515625" style="2" bestFit="1" customWidth="1"/>
    <col min="51" max="51" width="9.7109375" style="2" bestFit="1" customWidth="1"/>
    <col min="52" max="52" width="8.5703125" style="2" bestFit="1" customWidth="1"/>
    <col min="53" max="53" width="8" style="2" bestFit="1" customWidth="1"/>
    <col min="54" max="54" width="26.42578125" style="2" hidden="1" customWidth="1" outlineLevel="1"/>
    <col min="55" max="55" width="17.28515625" style="2" hidden="1" customWidth="1" outlineLevel="1"/>
    <col min="56" max="56" width="16.85546875" style="2" hidden="1" customWidth="1" outlineLevel="1"/>
    <col min="57" max="57" width="11.85546875" style="2" hidden="1" customWidth="1" outlineLevel="1"/>
    <col min="58" max="58" width="14" style="2" hidden="1" customWidth="1" outlineLevel="1"/>
    <col min="59" max="59" width="11.5703125" style="2" hidden="1" customWidth="1" outlineLevel="1"/>
    <col min="60" max="60" width="20.7109375" style="2" hidden="1" customWidth="1" outlineLevel="1"/>
    <col min="61" max="61" width="16.42578125" style="2" hidden="1" customWidth="1" outlineLevel="1"/>
    <col min="62" max="62" width="6.42578125" style="2" hidden="1" customWidth="1" outlineLevel="1"/>
    <col min="63" max="63" width="14" style="2" hidden="1" customWidth="1" outlineLevel="1"/>
    <col min="64" max="64" width="11" style="2" hidden="1" customWidth="1" outlineLevel="1"/>
    <col min="65" max="65" width="4.85546875" style="2" customWidth="1" collapsed="1"/>
    <col min="66" max="66" width="7.85546875" style="2" customWidth="1"/>
    <col min="67" max="67" width="15.28515625" style="2" bestFit="1" customWidth="1"/>
    <col min="68" max="68" width="11.85546875" style="9" bestFit="1" customWidth="1"/>
    <col min="69" max="69" width="11.85546875" style="2" bestFit="1" customWidth="1"/>
    <col min="70" max="70" width="9.7109375" style="2" bestFit="1" customWidth="1"/>
    <col min="71" max="71" width="16.42578125" style="2" hidden="1" customWidth="1" outlineLevel="1"/>
    <col min="72" max="72" width="12.7109375" style="2" hidden="1" customWidth="1" outlineLevel="1"/>
    <col min="73" max="73" width="15.7109375" style="2" hidden="1" customWidth="1" outlineLevel="1"/>
    <col min="74" max="74" width="15.7109375" style="7" hidden="1" customWidth="1" outlineLevel="1"/>
    <col min="75" max="75" width="12.42578125" style="2" hidden="1" customWidth="1" outlineLevel="1"/>
    <col min="76" max="76" width="17.5703125" style="2" hidden="1" customWidth="1" outlineLevel="1"/>
    <col min="77" max="77" width="22.42578125" style="8" hidden="1" customWidth="1" outlineLevel="1"/>
    <col min="78" max="78" width="22.42578125" style="147" hidden="1" customWidth="1" outlineLevel="1"/>
    <col min="79" max="79" width="14.42578125" style="2" hidden="1" customWidth="1" outlineLevel="1"/>
    <col min="80" max="80" width="16" style="2" hidden="1" customWidth="1" outlineLevel="1"/>
    <col min="81" max="81" width="16.42578125" style="2" hidden="1" customWidth="1" outlineLevel="1"/>
    <col min="82" max="82" width="16.42578125" style="147" hidden="1" customWidth="1" outlineLevel="1"/>
    <col min="83" max="83" width="7.5703125" style="2" hidden="1" customWidth="1" outlineLevel="1"/>
    <col min="84" max="84" width="8.28515625" style="2" hidden="1" customWidth="1" outlineLevel="1"/>
    <col min="85" max="86" width="8.5703125" style="2" hidden="1" customWidth="1" outlineLevel="1"/>
    <col min="87" max="87" width="11" style="2" hidden="1" customWidth="1" outlineLevel="1"/>
    <col min="88" max="88" width="9.5703125" style="2" customWidth="1" collapsed="1"/>
    <col min="89" max="89" width="7.85546875" style="2" bestFit="1" customWidth="1"/>
    <col min="90" max="90" width="14" style="2" bestFit="1" customWidth="1"/>
    <col min="91" max="91" width="11.85546875" style="2" bestFit="1" customWidth="1"/>
    <col min="92" max="92" width="8.5703125" style="2" bestFit="1" customWidth="1"/>
    <col min="93" max="93" width="9.7109375" style="2" bestFit="1" customWidth="1"/>
    <col min="94" max="94" width="16.42578125" style="2" hidden="1" customWidth="1" outlineLevel="1"/>
    <col min="95" max="95" width="12.7109375" style="2" hidden="1" customWidth="1" outlineLevel="1"/>
    <col min="96" max="96" width="15.7109375" style="2" hidden="1" customWidth="1" outlineLevel="1"/>
    <col min="97" max="97" width="8.140625" style="2" hidden="1" customWidth="1" outlineLevel="1"/>
    <col min="98" max="98" width="12.42578125" style="2" hidden="1" customWidth="1" outlineLevel="1"/>
    <col min="99" max="99" width="17.5703125" style="2" hidden="1" customWidth="1" outlineLevel="1"/>
    <col min="100" max="100" width="29.28515625" style="2" hidden="1" customWidth="1" outlineLevel="1"/>
    <col min="101" max="101" width="7.42578125" style="2" hidden="1" customWidth="1" outlineLevel="1"/>
    <col min="102" max="102" width="16.42578125" style="2" hidden="1" customWidth="1" outlineLevel="1"/>
    <col min="103" max="103" width="6.42578125" style="2" hidden="1" customWidth="1" outlineLevel="1"/>
    <col min="104" max="104" width="7.5703125" style="2" hidden="1" customWidth="1" outlineLevel="1"/>
    <col min="105" max="105" width="11" style="2" hidden="1" customWidth="1" outlineLevel="1"/>
    <col min="106" max="106" width="11" style="2" bestFit="1" customWidth="1" collapsed="1"/>
    <col min="107" max="108" width="9.140625" style="2"/>
    <col min="611" max="16384" width="9.140625" outlineLevel="1"/>
  </cols>
  <sheetData>
    <row r="1" spans="2:105">
      <c r="AH1" s="2"/>
      <c r="AK1" s="2"/>
      <c r="AL1" s="2"/>
      <c r="BM1" s="6"/>
      <c r="BO1" s="7"/>
      <c r="BP1" s="165"/>
      <c r="BQ1" s="7"/>
      <c r="BR1" s="7"/>
      <c r="BU1" s="8"/>
      <c r="BV1" s="2"/>
      <c r="BY1" s="2"/>
      <c r="BZ1" s="2"/>
      <c r="CD1" s="2"/>
      <c r="CJ1" s="6"/>
      <c r="CK1" s="6"/>
      <c r="CP1" s="2" t="s">
        <v>272</v>
      </c>
    </row>
    <row r="2" spans="2:105">
      <c r="B2" s="10" t="s">
        <v>74</v>
      </c>
      <c r="F2" s="11" t="s">
        <v>257</v>
      </c>
      <c r="G2" s="11"/>
      <c r="H2" s="12" t="s">
        <v>190</v>
      </c>
      <c r="I2" s="12"/>
      <c r="J2" s="116"/>
      <c r="K2" s="13" t="s">
        <v>153</v>
      </c>
      <c r="L2" s="12"/>
      <c r="M2" s="13"/>
      <c r="N2" s="13"/>
      <c r="O2" s="13"/>
      <c r="P2" s="13"/>
      <c r="Q2" s="14"/>
      <c r="R2" s="68" t="s">
        <v>154</v>
      </c>
      <c r="S2" s="68"/>
      <c r="T2" s="68"/>
      <c r="U2" s="68"/>
      <c r="V2" s="69"/>
      <c r="W2" s="67" t="s">
        <v>261</v>
      </c>
      <c r="X2" s="69"/>
      <c r="Z2" s="356" t="s">
        <v>256</v>
      </c>
      <c r="AA2" s="356"/>
      <c r="AB2" s="356"/>
      <c r="AC2" s="67" t="s">
        <v>190</v>
      </c>
      <c r="AD2" s="67"/>
      <c r="AE2" s="11"/>
      <c r="AF2" s="4"/>
      <c r="AG2" s="15"/>
      <c r="AH2" s="15"/>
      <c r="AI2" s="67" t="s">
        <v>186</v>
      </c>
      <c r="AJ2" s="68"/>
      <c r="AK2" s="68"/>
      <c r="AL2" s="68"/>
      <c r="AM2" s="69"/>
      <c r="AN2" s="67" t="s">
        <v>262</v>
      </c>
      <c r="AO2" s="69"/>
      <c r="AP2" s="353" t="s">
        <v>73</v>
      </c>
      <c r="AQ2" s="354"/>
      <c r="AR2" s="354"/>
      <c r="AS2" s="354"/>
      <c r="AT2" s="354"/>
      <c r="AU2" s="355"/>
      <c r="AW2" s="351" t="s">
        <v>310</v>
      </c>
      <c r="AX2" s="352"/>
      <c r="AY2" s="67" t="s">
        <v>242</v>
      </c>
      <c r="AZ2" s="67"/>
      <c r="BA2" s="11"/>
      <c r="BB2" s="67" t="s">
        <v>295</v>
      </c>
      <c r="BC2" s="68"/>
      <c r="BD2" s="68"/>
      <c r="BE2" s="68"/>
      <c r="BF2" s="69"/>
      <c r="BG2" s="67" t="s">
        <v>187</v>
      </c>
      <c r="BH2" s="68"/>
      <c r="BI2" s="69"/>
      <c r="BJ2" s="68"/>
      <c r="BK2" s="67" t="s">
        <v>227</v>
      </c>
      <c r="BL2" s="69"/>
      <c r="BM2" s="174"/>
      <c r="BN2" s="67" t="s">
        <v>139</v>
      </c>
      <c r="BO2" s="69"/>
      <c r="BP2" s="169" t="s">
        <v>250</v>
      </c>
      <c r="BQ2" s="69"/>
      <c r="BR2" s="69"/>
      <c r="BS2" s="67" t="s">
        <v>72</v>
      </c>
      <c r="BT2" s="68"/>
      <c r="BU2" s="68"/>
      <c r="BV2" s="68"/>
      <c r="BW2" s="68"/>
      <c r="BX2" s="68"/>
      <c r="BY2" s="11"/>
      <c r="BZ2" s="67" t="s">
        <v>187</v>
      </c>
      <c r="CA2" s="67"/>
      <c r="CB2" s="67"/>
      <c r="CC2" s="11"/>
      <c r="CD2" s="11"/>
      <c r="CE2" s="67" t="s">
        <v>248</v>
      </c>
      <c r="CF2" s="67"/>
      <c r="CG2" s="11"/>
      <c r="CH2" s="67" t="s">
        <v>227</v>
      </c>
      <c r="CI2" s="69"/>
      <c r="CK2" s="67" t="s">
        <v>263</v>
      </c>
      <c r="CL2" s="69"/>
      <c r="CM2" s="169" t="s">
        <v>250</v>
      </c>
      <c r="CN2" s="68"/>
      <c r="CO2" s="69"/>
      <c r="CP2" s="68" t="s">
        <v>72</v>
      </c>
      <c r="CQ2" s="68"/>
      <c r="CR2" s="68"/>
      <c r="CS2" s="68"/>
      <c r="CT2" s="68"/>
      <c r="CU2" s="68"/>
      <c r="CV2" s="69"/>
      <c r="CW2" s="67" t="s">
        <v>187</v>
      </c>
      <c r="CX2" s="67"/>
      <c r="CY2" s="67"/>
      <c r="CZ2" s="67" t="s">
        <v>227</v>
      </c>
      <c r="DA2" s="69"/>
    </row>
    <row r="3" spans="2:105">
      <c r="B3" s="349" t="s">
        <v>70</v>
      </c>
      <c r="C3" s="349"/>
      <c r="F3" s="63" t="s">
        <v>44</v>
      </c>
      <c r="G3" s="63" t="s">
        <v>51</v>
      </c>
      <c r="H3" s="63" t="s">
        <v>243</v>
      </c>
      <c r="I3" s="64" t="s">
        <v>189</v>
      </c>
      <c r="J3" s="62" t="s">
        <v>133</v>
      </c>
      <c r="K3" s="64" t="s">
        <v>185</v>
      </c>
      <c r="L3" s="63" t="s">
        <v>188</v>
      </c>
      <c r="M3" s="64" t="s">
        <v>50</v>
      </c>
      <c r="N3" s="65" t="s">
        <v>69</v>
      </c>
      <c r="O3" s="64" t="s">
        <v>49</v>
      </c>
      <c r="P3" s="64" t="s">
        <v>150</v>
      </c>
      <c r="Q3" s="62" t="s">
        <v>54</v>
      </c>
      <c r="R3" s="64" t="s">
        <v>61</v>
      </c>
      <c r="S3" s="66" t="s">
        <v>152</v>
      </c>
      <c r="T3" s="64" t="s">
        <v>47</v>
      </c>
      <c r="U3" s="64" t="s">
        <v>46</v>
      </c>
      <c r="V3" s="64" t="s">
        <v>53</v>
      </c>
      <c r="W3" s="16" t="s">
        <v>45</v>
      </c>
      <c r="X3" s="17" t="s">
        <v>46</v>
      </c>
      <c r="Z3" s="101" t="s">
        <v>68</v>
      </c>
      <c r="AA3" s="101" t="s">
        <v>67</v>
      </c>
      <c r="AB3" s="101" t="s">
        <v>66</v>
      </c>
      <c r="AC3" s="120" t="s">
        <v>243</v>
      </c>
      <c r="AD3" s="122" t="s">
        <v>189</v>
      </c>
      <c r="AE3" s="121" t="s">
        <v>133</v>
      </c>
      <c r="AF3" s="88" t="s">
        <v>185</v>
      </c>
      <c r="AG3" s="89" t="s">
        <v>63</v>
      </c>
      <c r="AH3" s="89" t="s">
        <v>62</v>
      </c>
      <c r="AI3" s="88" t="s">
        <v>255</v>
      </c>
      <c r="AJ3" s="89" t="s">
        <v>254</v>
      </c>
      <c r="AK3" s="89" t="s">
        <v>65</v>
      </c>
      <c r="AL3" s="89" t="s">
        <v>64</v>
      </c>
      <c r="AM3" s="90" t="s">
        <v>61</v>
      </c>
      <c r="AN3" s="88" t="s">
        <v>47</v>
      </c>
      <c r="AO3" s="90" t="s">
        <v>46</v>
      </c>
      <c r="AP3" s="86" t="s">
        <v>60</v>
      </c>
      <c r="AQ3" s="86" t="s">
        <v>46</v>
      </c>
      <c r="AR3" s="86" t="s">
        <v>298</v>
      </c>
      <c r="AS3" s="86" t="s">
        <v>53</v>
      </c>
      <c r="AT3" s="86" t="s">
        <v>60</v>
      </c>
      <c r="AU3" s="87" t="s">
        <v>46</v>
      </c>
      <c r="AW3" s="62" t="s">
        <v>44</v>
      </c>
      <c r="AX3" s="63" t="s">
        <v>56</v>
      </c>
      <c r="AY3" s="63" t="s">
        <v>243</v>
      </c>
      <c r="AZ3" s="145" t="s">
        <v>189</v>
      </c>
      <c r="BA3" s="62" t="s">
        <v>133</v>
      </c>
      <c r="BB3" s="63" t="s">
        <v>52</v>
      </c>
      <c r="BC3" s="64" t="s">
        <v>241</v>
      </c>
      <c r="BD3" s="64" t="s">
        <v>240</v>
      </c>
      <c r="BE3" s="64" t="s">
        <v>58</v>
      </c>
      <c r="BF3" s="62" t="s">
        <v>57</v>
      </c>
      <c r="BG3" s="63" t="s">
        <v>185</v>
      </c>
      <c r="BH3" s="64" t="s">
        <v>59</v>
      </c>
      <c r="BI3" s="64" t="s">
        <v>227</v>
      </c>
      <c r="BJ3" s="64" t="s">
        <v>226</v>
      </c>
      <c r="BK3" s="135" t="s">
        <v>198</v>
      </c>
      <c r="BL3" s="136" t="s">
        <v>239</v>
      </c>
      <c r="BN3" s="105" t="s">
        <v>44</v>
      </c>
      <c r="BO3" s="163" t="s">
        <v>56</v>
      </c>
      <c r="BP3" s="170" t="s">
        <v>243</v>
      </c>
      <c r="BQ3" s="171" t="s">
        <v>189</v>
      </c>
      <c r="BR3" s="172" t="s">
        <v>133</v>
      </c>
      <c r="BS3" s="340" t="s">
        <v>188</v>
      </c>
      <c r="BT3" s="105" t="s">
        <v>50</v>
      </c>
      <c r="BU3" s="104" t="s">
        <v>55</v>
      </c>
      <c r="BV3" s="104" t="s">
        <v>49</v>
      </c>
      <c r="BW3" s="104" t="s">
        <v>69</v>
      </c>
      <c r="BX3" s="104" t="s">
        <v>54</v>
      </c>
      <c r="BY3" s="341" t="s">
        <v>247</v>
      </c>
      <c r="BZ3" s="149" t="s">
        <v>249</v>
      </c>
      <c r="CA3" s="107" t="s">
        <v>319</v>
      </c>
      <c r="CB3" s="107" t="s">
        <v>248</v>
      </c>
      <c r="CC3" s="107" t="s">
        <v>227</v>
      </c>
      <c r="CD3" s="311" t="s">
        <v>226</v>
      </c>
      <c r="CE3" s="106" t="s">
        <v>48</v>
      </c>
      <c r="CF3" s="107" t="s">
        <v>47</v>
      </c>
      <c r="CG3" s="111" t="s">
        <v>46</v>
      </c>
      <c r="CH3" s="106" t="s">
        <v>198</v>
      </c>
      <c r="CI3" s="111" t="s">
        <v>239</v>
      </c>
      <c r="CK3" s="104" t="s">
        <v>44</v>
      </c>
      <c r="CL3" s="104" t="s">
        <v>252</v>
      </c>
      <c r="CM3" s="170" t="s">
        <v>243</v>
      </c>
      <c r="CN3" s="171" t="s">
        <v>189</v>
      </c>
      <c r="CO3" s="172" t="s">
        <v>133</v>
      </c>
      <c r="CP3" s="163" t="s">
        <v>188</v>
      </c>
      <c r="CQ3" s="105" t="s">
        <v>50</v>
      </c>
      <c r="CR3" s="104" t="s">
        <v>55</v>
      </c>
      <c r="CS3" s="104" t="s">
        <v>49</v>
      </c>
      <c r="CT3" s="104" t="s">
        <v>69</v>
      </c>
      <c r="CU3" s="104" t="s">
        <v>54</v>
      </c>
      <c r="CV3" s="104" t="s">
        <v>322</v>
      </c>
      <c r="CW3" s="149" t="s">
        <v>249</v>
      </c>
      <c r="CX3" s="152" t="s">
        <v>227</v>
      </c>
      <c r="CY3" s="152" t="s">
        <v>226</v>
      </c>
      <c r="CZ3" s="106" t="s">
        <v>198</v>
      </c>
      <c r="DA3" s="107" t="s">
        <v>239</v>
      </c>
    </row>
    <row r="4" spans="2:105" ht="12.75" thickBot="1">
      <c r="B4" s="348" t="s">
        <v>299</v>
      </c>
      <c r="C4" s="348"/>
      <c r="F4" s="19" t="s">
        <v>43</v>
      </c>
      <c r="G4" s="70">
        <v>4.3</v>
      </c>
      <c r="H4" s="115">
        <f>IF(BankBillRates3M[[#This Row],[Applied]],BankBillRates3M[[#This Row],[Maturity Date (T2)]],"")</f>
        <v>45474</v>
      </c>
      <c r="I4" s="142">
        <f>IF(BankBillRates3M[[#This Row],[Valid Input]],BankBillRates3M[[#This Row],[DF(T2)]],"")</f>
        <v>0.99964670020732393</v>
      </c>
      <c r="J4" s="141">
        <f>IF(NOT(BankBillRates3M[[#This Row],[Valid Input]]),"",-LN(BankBillRates3M[[#This Row],[DF(T2)]])/YEARFRAC(CurveDate,BankBillRates3M[[#This Row],[Maturity Date (T2)]],DCB_CCZR))</f>
        <v>4.2992403159757067E-2</v>
      </c>
      <c r="K4" s="28" t="b">
        <f>BankBillRates3M[[#This Row],[Rate]]&lt;&gt;""</f>
        <v>1</v>
      </c>
      <c r="L4" s="20" t="b">
        <v>0</v>
      </c>
      <c r="M4" s="22">
        <f>IF(BankBillRates3M[[#This Row],[Has Settle Delay]],SettlementDelayAUD,0)</f>
        <v>0</v>
      </c>
      <c r="N4" s="21" t="s">
        <v>151</v>
      </c>
      <c r="O4" s="22">
        <v>1</v>
      </c>
      <c r="P4" s="23">
        <f>WORKDAY(CurveDate,BankBillRates3M[[#This Row],[Settle Delay]],Holidays_NSWPublic)</f>
        <v>45471</v>
      </c>
      <c r="Q4" s="24">
        <f>IF(BankBillRates3M[[#This Row],[Offset Type]]="Business Day",WORKDAY(BankBillRates3M[[#This Row],[Effective Date (T1)]],BankBillRates3M[[#This Row],[Offset]],Holidays_NSWPublic),WORKDAY(EDATE(BankBillRates3M[[#This Row],[Effective Date (T1)]],BankBillRates3M[[#This Row],[Offset]])-1,1,Holidays_NSWPublic))</f>
        <v>45474</v>
      </c>
      <c r="R4" s="25">
        <f>IF(NOT(BankBillRates3M[[#This Row],[Valid Input]]),"",YEARFRAC(BankBillRates3M[[#This Row],[Effective Date (T1)]],BankBillRates3M[[#This Row],[Maturity Date (T2)]],DayCount_AUD))</f>
        <v>8.21917808219178E-3</v>
      </c>
      <c r="S4" s="26">
        <f>IF(NOT(BankBillRates3M[[#This Row],[Valid Input]]),"",1+BankBillRates3M[[#This Row],[Rate]]%*BankBillRates3M[[#This Row],[𝛿(T1,T2)]])</f>
        <v>1.0003534246575343</v>
      </c>
      <c r="T4" s="26">
        <f>IF(NOT(BankBillRates3M[[#This Row],[Valid Input]]),"",IF(BankBillRates3M[[#This Row],[Effective Date (T1)]]=CurveDate,1,_xlfn.XLOOKUP(BankBillRates3M[[#This Row],[Effective Date (T1)]],BankBillRates3M[Maturity Date (T2)],BankBillRates3M[DF(T2)])))</f>
        <v>1</v>
      </c>
      <c r="U4" s="26">
        <f>IF(NOT(BankBillRates3M[[#This Row],[Valid Input]]),"",BankBillRates3M[[#This Row],[DF(T1)]]/BankBillRates3M[[#This Row],[1+r*𝛿(T1,T2)]])</f>
        <v>0.99964670020732393</v>
      </c>
      <c r="V4" s="28" t="b">
        <f>BankBillRates3M[[#This Row],[Valid Input]]</f>
        <v>1</v>
      </c>
      <c r="W4" s="27" cm="1">
        <f t="array" ref="W4:W7">_xlfn._xlws.FILTER(BankBillRates3M[Maturity Date (T2)],BankBillRates3M[Applied]=TRUE)</f>
        <v>45474</v>
      </c>
      <c r="X4" s="183" cm="1">
        <f t="array" ref="X4:X7">_xlfn._xlws.FILTER(BankBillRates3M[DF(T2)],BankBillRates3M[Applied])</f>
        <v>0.99964670020732393</v>
      </c>
      <c r="Z4" s="84" t="s">
        <v>177</v>
      </c>
      <c r="AA4" s="85">
        <v>95</v>
      </c>
      <c r="AB4" s="85">
        <v>0</v>
      </c>
      <c r="AC4" s="117">
        <f>IF(AF4,AL4,"")</f>
        <v>45639</v>
      </c>
      <c r="AD4" s="123">
        <f t="shared" ref="AD4:AD23" si="0">IF(AF4,AO4,"")</f>
        <v>0.97842922249154518</v>
      </c>
      <c r="AE4" s="131">
        <f>IF(AF4,-LN(Input!$AO4)/YEARFRAC(CurveDate,Input!$AL4,DCB_CCZR),"")</f>
        <v>4.7377928626912695E-2</v>
      </c>
      <c r="AF4" s="28" t="b">
        <f>Input!$Z4&lt;&gt;""</f>
        <v>1</v>
      </c>
      <c r="AG4" s="80">
        <f>IF(Input!$AF4,(100-Input!$AA4)/100,"")</f>
        <v>0.05</v>
      </c>
      <c r="AH4" s="80">
        <f>IF(Input!$AF4,AG4-AB4%,"")</f>
        <v>0.05</v>
      </c>
      <c r="AI4" s="78">
        <f>IF(Input!$AF4,_xlfn.XLOOKUP(Input!$Z4,BBSWFuturesContractDefinitions[Data Validation],BBSWFuturesContractDefinitions[Contract Expiry]),"")</f>
        <v>45547</v>
      </c>
      <c r="AJ4" s="79">
        <f>IF(Input!$AF4,_xlfn.XLOOKUP(Input!$Z4,BBSWFuturesContractDefinitions[Data Validation],BBSWFuturesContractDefinitions[Settlement Day]),"")</f>
        <v>45548</v>
      </c>
      <c r="AK4" s="79">
        <f>Input!$AJ4</f>
        <v>45548</v>
      </c>
      <c r="AL4" s="82">
        <f t="shared" ref="AL4:AL23" si="1">IF(AF4,WORKDAY(EDATE(AK4,3)-1,1,Holidays_NSWPublic),"")</f>
        <v>45639</v>
      </c>
      <c r="AM4" s="98">
        <f>IF(Input!$AF4,YEARFRAC(Input!$AK4,Input!$AL4,DayCount_AUD),"")</f>
        <v>0.24931506849315069</v>
      </c>
      <c r="AN4" s="95" cm="1">
        <f t="array" ref="AN4">IF(Input!$AF4,Linterp(_xlfn.ANCHORARRAY(Input!$W$4),_xlfn.ANCHORARRAY(Input!$X$4),Input!$AK4,-1,TRUE))</f>
        <v>0.9906260799226041</v>
      </c>
      <c r="AO4" s="185">
        <f>IF(Input!$AF4,Input!$AN4/(1+Input!$AH4*Input!$AM4))</f>
        <v>0.97842922249154518</v>
      </c>
      <c r="AP4" s="126" cm="1">
        <f t="array" ref="AP4:AP11">_xlfn._xlws.FILTER($AL$4:$AL$23,$AF$4:$AF$23,"")</f>
        <v>45639</v>
      </c>
      <c r="AQ4" s="30" cm="1">
        <f t="array" ref="AQ4:AQ11">_xlfn._xlws.FILTER(AO4:AO23,$AF$4:$AF$23,"")</f>
        <v>0.97842922249154518</v>
      </c>
      <c r="AR4" s="28" t="b" cm="1">
        <f t="array" ref="AR4:AR11">_xlfn.ANCHORARRAY(AP4)&lt;MIN(_xlfn._xlws.FILTER(BBSW3MSwaps[Maturity Date, T2],BBSW3MSwaps[Valid Input]=TRUE))</f>
        <v>1</v>
      </c>
      <c r="AS4" s="28" t="b" cm="1">
        <f t="array" ref="AS4:AS11">_xlfn.IFS(
FuturesPriority="Above Swaps",0=_xlfn.ANCHORARRAY(AR4)*0,
FuturesPriority="Below Swaps",_xlfn.ANCHORARRAY(AR4))</f>
        <v>1</v>
      </c>
      <c r="AT4" s="31" cm="1">
        <f t="array" ref="AT4:AT11">IF(ApplyFutures,_xlfn._xlws.FILTER(_xlfn.ANCHORARRAY(AP4),_xlfn.ANCHORARRAY(AS4)=TRUE,""),"")</f>
        <v>45639</v>
      </c>
      <c r="AU4" s="32" cm="1">
        <f t="array" ref="AU4:AU11">IF(ApplyFutures,_xlfn._xlws.FILTER(_xlfn.ANCHORARRAY(AQ4),_xlfn.ANCHORARRAY(AS4)=TRUE,""),"")</f>
        <v>0.97842922249154518</v>
      </c>
      <c r="AW4" s="18" t="s">
        <v>21</v>
      </c>
      <c r="AX4" s="33">
        <v>4.5</v>
      </c>
      <c r="AY4" s="115" t="str">
        <f>IF(BBSW3MSwaps[[#This Row],[Numerical Solve]],BBSW3MSwaps[[#This Row],[Maturity Date, T2]],"")</f>
        <v/>
      </c>
      <c r="AZ4" s="142" t="str">
        <f>IF(BBSW3MSwaps[[#This Row],[Numerical Solve]],BBSW3MSwaps[[#This Row],[Solved DF]],"")</f>
        <v/>
      </c>
      <c r="BA4" s="143" t="str">
        <f>IF(BBSW3MSwaps[[#This Row],[Numerical Solve]],-1*LN(BBSW3MSwaps[[#This Row],[Solved DF]])/YEARFRAC(CurveDate,BBSW3MSwaps[[#This Row],[Maturity Date, T2]],DCB_CCZR),"")</f>
        <v/>
      </c>
      <c r="BB4" s="34" t="str">
        <f>LEFT(BBSW3MSwaps[[#This Row],[Tenor]],LEN(BBSW3MSwaps[[#This Row],[Tenor]])-1)</f>
        <v>1</v>
      </c>
      <c r="BC4" s="35">
        <f t="shared" ref="BC4:BC19" si="2">WORKDAY(CurveDate,SettlementDelayAUD,Holidays_NSWPublic)</f>
        <v>45474</v>
      </c>
      <c r="BD4" s="35">
        <f>WORKDAY(EDATE(BBSW3MSwaps[[#This Row],[Effective Date, T1]],BBSW3MSwaps[[#This Row],[Years]]*12)-1,1,Holidays_NSWPublic)</f>
        <v>45839</v>
      </c>
      <c r="BE4" s="38" t="s">
        <v>24</v>
      </c>
      <c r="BF4" s="39" t="s">
        <v>24</v>
      </c>
      <c r="BG4" s="41" t="b">
        <f>BBSW3MSwaps[[#This Row],[Par Swap Rate]]&lt;&gt;""</f>
        <v>1</v>
      </c>
      <c r="BH4" s="28" t="b">
        <f>BBSW3MSwaps[[#This Row],[Maturity Date, T2]]&gt;MAX(_xlfn.ANCHORARRAY($AP$4))</f>
        <v>0</v>
      </c>
      <c r="BI4" s="28" t="b" cm="1">
        <f t="array" ref="BI4">_xlfn.IFS(
NOT(ApplyFutures),BBSW3MSwaps[[#This Row],[Valid Input]],
FuturesPriority="Below Swaps",BBSW3MSwaps[[#This Row],[Valid Input]],
FuturesPriority="Above Swaps",AND(BBSW3MSwaps[[#This Row],[Valid Input]],BBSW3MSwaps[[#This Row],[Tenor &gt; Max(Futures)]]))</f>
        <v>0</v>
      </c>
      <c r="BJ4" s="28">
        <f>BBSW3MSwaps[[#This Row],[Numerical Solve]]*1</f>
        <v>0</v>
      </c>
      <c r="BK4" s="41">
        <f>IF(BBSW3MSwaps[[#This Row],[Numerical Solve]],SUM(BBSW3MSwaps[[#Headers],[Flag]]:BBSW3MSwaps[[#This Row],[Flag]]),0)</f>
        <v>0</v>
      </c>
      <c r="BL4" s="134"/>
      <c r="BM4" s="42"/>
      <c r="BN4" s="334" t="s">
        <v>43</v>
      </c>
      <c r="BO4" s="332">
        <v>4.3</v>
      </c>
      <c r="BP4" s="164">
        <f>IF(AONIA[[#This Row],[Valid]],AONIA[[#This Row],[Maturity Date (T2)]],"")</f>
        <v>45474</v>
      </c>
      <c r="BQ4" s="166" cm="1">
        <f t="array" ref="BQ4">IF(AONIA[[#This Row],[Valid]],Linterp(_xlfn.ANCHORARRAY(Curves!$G$4),_xlfn.ANCHORARRAY(Curves!$J$4),AONIA[[#This Row],[Maturity]],-1,TRUE),"")</f>
        <v>0.99964670020732393</v>
      </c>
      <c r="BR4" s="173">
        <f>IF(AONIA[[#This Row],[Valid]],-1*LN(AONIA[[#This Row],[DF]])/YEARFRAC(CurveDate,AONIA[[#This Row],[Maturity]],DCB_CCZR),"")</f>
        <v>4.2992403159757067E-2</v>
      </c>
      <c r="BS4" s="342" t="b">
        <v>0</v>
      </c>
      <c r="BT4" s="109">
        <f>IF(AONIA[[#This Row],[Has Settle Delay]],SettlementDelayAUD,0)</f>
        <v>0</v>
      </c>
      <c r="BU4" s="36">
        <f>WORKDAY(CurveDate,AONIA[[#This Row],[Settle Delay]],Holidays_NSWPublic)</f>
        <v>45471</v>
      </c>
      <c r="BV4" s="43">
        <v>1</v>
      </c>
      <c r="BW4" s="37" t="s">
        <v>151</v>
      </c>
      <c r="BX4" s="36" cm="1">
        <f t="array" ref="BX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45474</v>
      </c>
      <c r="BY4" s="24">
        <f>WORKDAY(AONIA[[#This Row],[Maturity Date (T2)]],OISPaymentDelay,Holidays_NSWPublic)</f>
        <v>45476</v>
      </c>
      <c r="BZ4" s="41" t="b">
        <f>AONIA[[#This Row],[Par Swap Rate]]&lt;&gt;""</f>
        <v>1</v>
      </c>
      <c r="CA4" s="28" t="b">
        <v>1</v>
      </c>
      <c r="CB4" s="28" t="b">
        <f>AND(AONIA[[#This Row],[Valid]],AONIA[[#This Row],[Zero-coupon?]])</f>
        <v>1</v>
      </c>
      <c r="CC4" s="28" t="b">
        <f>AND(AONIA[[#This Row],[Valid]],NOT(AONIA[[#This Row],[Analytical Solve]]))</f>
        <v>0</v>
      </c>
      <c r="CD4" s="312">
        <f>AONIA[[#This Row],[Numerical Solve]]*1</f>
        <v>0</v>
      </c>
      <c r="CE4" s="153">
        <f>IF(AONIA[[#This Row],[Analytical Solve]],1+AONIA[[#This Row],[Par Swap Rate]]%*YEARFRAC(AONIA[[#This Row],[Settle Date (T1)]],AONIA[[#This Row],[Maturity Date (T2)]],DayCount_AUD),"")</f>
        <v>1.0003534246575343</v>
      </c>
      <c r="CF4" s="150" cm="1">
        <f t="array" ref="CF4">IF(AONIA[[#This Row],[Analytical Solve]],_xlfn.IFS(AONIA[[#This Row],[Settle Date (T1)]]=CurveDate,1,TRUE,_xlfn.XLOOKUP(AONIA[[#This Row],[Settle Date (T1)]],AONIA[Maturity Date (T2)],AONIA[DF(T2)])),"")</f>
        <v>1</v>
      </c>
      <c r="CG4" s="346">
        <f>IF(AONIA[[#This Row],[Analytical Solve]],AONIA[[#This Row],[DF(T1)]]/AONIA[[#This Row],[1+r𝛿]],"")</f>
        <v>0.99964670020732393</v>
      </c>
      <c r="CH4" s="46">
        <f>IF(AONIA[[#This Row],[Numerical Solve]],SUM(AONIA[[#Headers],[Flag]]:AONIA[[#This Row],[Flag]]),0)</f>
        <v>0</v>
      </c>
      <c r="CI4" s="183"/>
      <c r="CJ4" s="42"/>
      <c r="CK4" s="103" t="s">
        <v>33</v>
      </c>
      <c r="CL4" s="33"/>
      <c r="CM4" s="115" t="str">
        <f>IF(FCBS[[#This Row],[Valid]],FCBS[[#This Row],[Maturity Date (T2)]],"")</f>
        <v/>
      </c>
      <c r="CN4" s="142" t="str" cm="1">
        <f t="array" ref="CN4">IF(FCBS[[#This Row],[Valid]],Linterp(_xlfn.ANCHORARRAY(Curves!$AA$4),_xlfn.ANCHORARRAY(Curves!$AD$4),FCBS[[#This Row],[Maturity]],-1,TRUE),"")</f>
        <v/>
      </c>
      <c r="CO4" s="143" t="str">
        <f>IF(FCBS[[#This Row],[Valid]],-1*LN(FCBS[[#This Row],[DF]])/YEARFRAC(CurveDate,FCBS[[#This Row],[Maturity]],DCB_CCZR),"")</f>
        <v/>
      </c>
      <c r="CP4" s="142" t="b">
        <v>1</v>
      </c>
      <c r="CQ4" s="110">
        <f>IF(FCBS[[#This Row],[Has Settle Delay]],SettlementDelayAUD,0)</f>
        <v>1</v>
      </c>
      <c r="CR4" s="35">
        <f>WORKDAY(CurveDate,FCBS[[#This Row],[Settle Delay]],Holidays_NSWPublic)</f>
        <v>45474</v>
      </c>
      <c r="CS4" s="8">
        <v>3</v>
      </c>
      <c r="CT4" s="8" t="s">
        <v>17</v>
      </c>
      <c r="CU4" s="35" cm="1">
        <f t="array" ref="CU4">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45566</v>
      </c>
      <c r="CV4" s="35">
        <f>WORKDAY(FCBS[[#This Row],[Maturity Date (T2)]],OISPaymentDelay,Holidays_NSWPublic)</f>
        <v>45568</v>
      </c>
      <c r="CW4" s="28" t="b">
        <f>FCBS[[#This Row],[Basis Spread]]&lt;&gt;""</f>
        <v>0</v>
      </c>
      <c r="CX4" s="28" t="b">
        <f>FCBS[[#This Row],[Valid]]</f>
        <v>0</v>
      </c>
      <c r="CY4" s="22">
        <f>FCBS[[#This Row],[Valid]]*1</f>
        <v>0</v>
      </c>
      <c r="CZ4" s="46">
        <f>IF(FCBS[[#This Row],[Valid]],SUM(FCBS[[#Headers],[Flag]]:FCBS[[#This Row],[Flag]]),0)</f>
        <v>0</v>
      </c>
      <c r="DA4" s="5"/>
    </row>
    <row r="5" spans="2:105" ht="12.75" thickTop="1">
      <c r="B5" s="350" t="s">
        <v>320</v>
      </c>
      <c r="C5" s="350"/>
      <c r="F5" s="45" t="s">
        <v>42</v>
      </c>
      <c r="G5" s="33">
        <v>4.3</v>
      </c>
      <c r="H5" s="115">
        <f>IF(BankBillRates3M[[#This Row],[Applied]],BankBillRates3M[[#This Row],[Maturity Date (T2)]],"")</f>
        <v>45475</v>
      </c>
      <c r="I5" s="142">
        <f>IF(BankBillRates3M[[#This Row],[Valid Input]],BankBillRates3M[[#This Row],[DF(T2)]],"")</f>
        <v>0.99952894748200405</v>
      </c>
      <c r="J5" s="141">
        <f>IF(NOT(BankBillRates3M[[#This Row],[Valid Input]]),"",-LN(BankBillRates3M[[#This Row],[DF(T2)]])/YEARFRAC(CurveDate,BankBillRates3M[[#This Row],[Maturity Date (T2)]],DCB_CCZR))</f>
        <v>4.2993669200375687E-2</v>
      </c>
      <c r="K5" s="28" t="b">
        <f>BankBillRates3M[[#This Row],[Rate]]&lt;&gt;""</f>
        <v>1</v>
      </c>
      <c r="L5" s="46" t="b">
        <v>1</v>
      </c>
      <c r="M5" s="22">
        <f>IF(BankBillRates3M[[#This Row],[Has Settle Delay]],SettlementDelayAUD,0)</f>
        <v>1</v>
      </c>
      <c r="N5" s="21" t="s">
        <v>151</v>
      </c>
      <c r="O5" s="22">
        <v>1</v>
      </c>
      <c r="P5" s="23">
        <f>WORKDAY(CurveDate,BankBillRates3M[[#This Row],[Settle Delay]],Holidays_NSWPublic)</f>
        <v>45474</v>
      </c>
      <c r="Q5" s="47">
        <f>IF(BankBillRates3M[[#This Row],[Offset Type]]="Business Day",WORKDAY(BankBillRates3M[[#This Row],[Effective Date (T1)]],BankBillRates3M[[#This Row],[Offset]],Holidays_NSWPublic),WORKDAY(EDATE(BankBillRates3M[[#This Row],[Effective Date (T1)]],BankBillRates3M[[#This Row],[Offset]])-1,1,Holidays_NSWPublic))</f>
        <v>45475</v>
      </c>
      <c r="R5" s="48">
        <f>IF(NOT(BankBillRates3M[[#This Row],[Valid Input]]),"",YEARFRAC(BankBillRates3M[[#This Row],[Effective Date (T1)]],BankBillRates3M[[#This Row],[Maturity Date (T2)]],DayCount_AUD))</f>
        <v>2.7397260273972603E-3</v>
      </c>
      <c r="S5" s="5">
        <f>IF(NOT(BankBillRates3M[[#This Row],[Valid Input]]),"",1+BankBillRates3M[[#This Row],[Rate]]%*BankBillRates3M[[#This Row],[𝛿(T1,T2)]])</f>
        <v>1.0001178082191782</v>
      </c>
      <c r="T5" s="5">
        <f>IF(NOT(BankBillRates3M[[#This Row],[Valid Input]]),"",IF(BankBillRates3M[[#This Row],[Effective Date (T1)]]=CurveDate,1,_xlfn.XLOOKUP(BankBillRates3M[[#This Row],[Effective Date (T1)]],BankBillRates3M[Maturity Date (T2)],BankBillRates3M[DF(T2)])))</f>
        <v>0.99964670020732393</v>
      </c>
      <c r="U5" s="5">
        <f>IF(NOT(BankBillRates3M[[#This Row],[Valid Input]]),"",BankBillRates3M[[#This Row],[DF(T1)]]/BankBillRates3M[[#This Row],[1+r*𝛿(T1,T2)]])</f>
        <v>0.99952894748200405</v>
      </c>
      <c r="V5" s="28" t="b">
        <f>BankBillRates3M[[#This Row],[Valid Input]]</f>
        <v>1</v>
      </c>
      <c r="W5" s="27">
        <v>45475</v>
      </c>
      <c r="X5" s="183">
        <v>0.99952894748200405</v>
      </c>
      <c r="Z5" s="84" t="s">
        <v>178</v>
      </c>
      <c r="AA5" s="85">
        <v>95</v>
      </c>
      <c r="AB5" s="85">
        <v>0</v>
      </c>
      <c r="AC5" s="118">
        <f t="shared" ref="AC5:AC23" si="3">IF(AF5,AL5,"")</f>
        <v>45729</v>
      </c>
      <c r="AD5" s="124">
        <f t="shared" si="0"/>
        <v>0.96651330503224353</v>
      </c>
      <c r="AE5" s="132">
        <f>IF(AF5,-LN(Input!$AO5)/YEARFRAC(CurveDate,Input!$AL5,DCB_CCZR),"")</f>
        <v>4.8185961990021516E-2</v>
      </c>
      <c r="AF5" s="28" t="b">
        <f>Input!$Z5&lt;&gt;""</f>
        <v>1</v>
      </c>
      <c r="AG5" s="83">
        <f>IF(Input!$AF5,(100-Input!$AA5)/100,"")</f>
        <v>0.05</v>
      </c>
      <c r="AH5" s="83">
        <f>IF(Input!$AF5,AG5-AB5%,"")</f>
        <v>0.05</v>
      </c>
      <c r="AI5" s="91">
        <f>IF(Input!$AF5,_xlfn.XLOOKUP(Input!$Z5,BBSWFuturesContractDefinitions[Data Validation],BBSWFuturesContractDefinitions[Contract Expiry]),"")</f>
        <v>45638</v>
      </c>
      <c r="AJ5" s="82">
        <f>IF(Input!$AF5,_xlfn.XLOOKUP(Input!$Z5,BBSWFuturesContractDefinitions[Data Validation],BBSWFuturesContractDefinitions[Settlement Day]),"")</f>
        <v>45639</v>
      </c>
      <c r="AK5" s="82">
        <f>Input!$AJ5</f>
        <v>45639</v>
      </c>
      <c r="AL5" s="82">
        <f t="shared" si="1"/>
        <v>45729</v>
      </c>
      <c r="AM5" s="99">
        <f>IF(Input!$AF5,YEARFRAC(Input!$AK5,Input!$AL5,DayCount_AUD),"")</f>
        <v>0.24657534246575341</v>
      </c>
      <c r="AN5" s="96" cm="1">
        <f t="array" ref="AN5">IF(Input!$AF5,Linterp(_xlfn.VSTACK(_xlfn.ANCHORARRAY(Input!$W$4),$AL$4:AL4),_xlfn.VSTACK(_xlfn.ANCHORARRAY(Input!$X$4),$AO$4:AO4),Input!$AK5,1,TRUE),"")</f>
        <v>0.97842922249154518</v>
      </c>
      <c r="AO5" s="186">
        <f>IF(Input!$AF5,Input!$AN5/(1+Input!$AH5*Input!$AM5))</f>
        <v>0.96651330503224353</v>
      </c>
      <c r="AP5" s="127">
        <v>45729</v>
      </c>
      <c r="AQ5" s="49">
        <v>0.96651330503224353</v>
      </c>
      <c r="AR5" s="28" t="b">
        <v>1</v>
      </c>
      <c r="AS5" s="28" t="b">
        <v>1</v>
      </c>
      <c r="AT5" s="50">
        <v>45729</v>
      </c>
      <c r="AU5" s="51">
        <v>0.96651330503224353</v>
      </c>
      <c r="AW5" s="55" t="s">
        <v>16</v>
      </c>
      <c r="AX5" s="33">
        <v>4.5</v>
      </c>
      <c r="AY5" s="115" t="str">
        <f>IF(BBSW3MSwaps[[#This Row],[Numerical Solve]],BBSW3MSwaps[[#This Row],[Maturity Date, T2]],"")</f>
        <v/>
      </c>
      <c r="AZ5" s="142" t="str">
        <f>IF(BBSW3MSwaps[[#This Row],[Numerical Solve]],BBSW3MSwaps[[#This Row],[Solved DF]],"")</f>
        <v/>
      </c>
      <c r="BA5" s="143" t="str">
        <f>IF(BBSW3MSwaps[[#This Row],[Numerical Solve]],-1*LN(BBSW3MSwaps[[#This Row],[Solved DF]])/YEARFRAC(CurveDate,BBSW3MSwaps[[#This Row],[Maturity Date, T2]],DCB_CCZR),"")</f>
        <v/>
      </c>
      <c r="BB5" s="34" t="str">
        <f>LEFT(BBSW3MSwaps[[#This Row],[Tenor]],LEN(BBSW3MSwaps[[#This Row],[Tenor]])-1)</f>
        <v>2</v>
      </c>
      <c r="BC5" s="35">
        <f t="shared" si="2"/>
        <v>45474</v>
      </c>
      <c r="BD5" s="35">
        <f>WORKDAY(EDATE(BBSW3MSwaps[[#This Row],[Effective Date, T1]],BBSW3MSwaps[[#This Row],[Years]]*12)-1,1,Holidays_NSWPublic)</f>
        <v>46204</v>
      </c>
      <c r="BE5" s="38" t="s">
        <v>24</v>
      </c>
      <c r="BF5" s="39" t="s">
        <v>24</v>
      </c>
      <c r="BG5" s="41" t="b">
        <f>BBSW3MSwaps[[#This Row],[Par Swap Rate]]&lt;&gt;""</f>
        <v>1</v>
      </c>
      <c r="BH5" s="28" t="b">
        <f>BBSW3MSwaps[[#This Row],[Maturity Date, T2]]&gt;MAX(_xlfn.ANCHORARRAY($AP$4))</f>
        <v>0</v>
      </c>
      <c r="BI5" s="28" t="b" cm="1">
        <f t="array" ref="BI5">_xlfn.IFS(
NOT(ApplyFutures),BBSW3MSwaps[[#This Row],[Valid Input]],
FuturesPriority="Below Swaps",BBSW3MSwaps[[#This Row],[Valid Input]],
FuturesPriority="Above Swaps",AND(BBSW3MSwaps[[#This Row],[Valid Input]],BBSW3MSwaps[[#This Row],[Tenor &gt; Max(Futures)]]))</f>
        <v>0</v>
      </c>
      <c r="BJ5" s="28">
        <f>BBSW3MSwaps[[#This Row],[Numerical Solve]]*1</f>
        <v>0</v>
      </c>
      <c r="BK5" s="41">
        <f>IF(BBSW3MSwaps[[#This Row],[Numerical Solve]],SUM(BBSW3MSwaps[[#Headers],[Flag]]:BBSW3MSwaps[[#This Row],[Flag]]),0)</f>
        <v>0</v>
      </c>
      <c r="BL5" s="134"/>
      <c r="BM5" s="42"/>
      <c r="BN5" s="334" t="s">
        <v>42</v>
      </c>
      <c r="BO5" s="332">
        <v>4.3</v>
      </c>
      <c r="BP5" s="115">
        <f>IF(AONIA[[#This Row],[Valid]],AONIA[[#This Row],[Maturity Date (T2)]],"")</f>
        <v>45475</v>
      </c>
      <c r="BQ5" s="142" cm="1">
        <f t="array" ref="BQ5">IF(AONIA[[#This Row],[Valid]],Linterp(_xlfn.ANCHORARRAY(Curves!$G$4),_xlfn.ANCHORARRAY(Curves!$J$4),AONIA[[#This Row],[Maturity]],-1,TRUE),"")</f>
        <v>0.99952898907911891</v>
      </c>
      <c r="BR5" s="143">
        <f>IF(AONIA[[#This Row],[Valid]],-1*LN(AONIA[[#This Row],[DF]])/YEARFRAC(CurveDate,AONIA[[#This Row],[Maturity]],DCB_CCZR),"")</f>
        <v>4.2989871674889407E-2</v>
      </c>
      <c r="BS5" s="343" t="b">
        <v>0</v>
      </c>
      <c r="BT5" s="110">
        <f>IF(AONIA[[#This Row],[Has Settle Delay]],SettlementDelayAUD,0)</f>
        <v>0</v>
      </c>
      <c r="BU5" s="35">
        <f>WORKDAY(CurveDate,AONIA[[#This Row],[Settle Delay]],Holidays_NSWPublic)</f>
        <v>45471</v>
      </c>
      <c r="BV5" s="8">
        <v>2</v>
      </c>
      <c r="BW5" s="38" t="s">
        <v>151</v>
      </c>
      <c r="BX5" s="35" cm="1">
        <f t="array" ref="BX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45475</v>
      </c>
      <c r="BY5" s="47">
        <f>WORKDAY(AONIA[[#This Row],[Maturity Date (T2)]],OISPaymentDelay,Holidays_NSWPublic)</f>
        <v>45477</v>
      </c>
      <c r="BZ5" s="41" t="b">
        <f>AONIA[[#This Row],[Par Swap Rate]]&lt;&gt;""</f>
        <v>1</v>
      </c>
      <c r="CA5" s="28" t="b">
        <v>1</v>
      </c>
      <c r="CB5" s="28" t="b">
        <f>AND(AONIA[[#This Row],[Valid]],AONIA[[#This Row],[Zero-coupon?]])</f>
        <v>1</v>
      </c>
      <c r="CC5" s="28" t="b">
        <f>AND(AONIA[[#This Row],[Valid]],NOT(AONIA[[#This Row],[Analytical Solve]]))</f>
        <v>0</v>
      </c>
      <c r="CD5" s="312">
        <f>AONIA[[#This Row],[Numerical Solve]]*1</f>
        <v>0</v>
      </c>
      <c r="CE5" s="153">
        <f>IF(AONIA[[#This Row],[Analytical Solve]],1+AONIA[[#This Row],[Par Swap Rate]]%*YEARFRAC(AONIA[[#This Row],[Settle Date (T1)]],AONIA[[#This Row],[Maturity Date (T2)]],DayCount_AUD),"")</f>
        <v>1.0004712328767122</v>
      </c>
      <c r="CF5" s="150" cm="1">
        <f t="array" ref="CF5">IF(AONIA[[#This Row],[Analytical Solve]],_xlfn.IFS(AONIA[[#This Row],[Settle Date (T1)]]=CurveDate,1,TRUE,_xlfn.XLOOKUP(AONIA[[#This Row],[Settle Date (T1)]],AONIA[Maturity Date (T2)],AONIA[DF(T2)])),"")</f>
        <v>1</v>
      </c>
      <c r="CG5" s="346">
        <f>IF(AONIA[[#This Row],[Analytical Solve]],AONIA[[#This Row],[DF(T1)]]/AONIA[[#This Row],[1+r𝛿]],"")</f>
        <v>0.99952898907911891</v>
      </c>
      <c r="CH5" s="46">
        <f>IF(AONIA[[#This Row],[Numerical Solve]],SUM(AONIA[[#Headers],[Flag]]:AONIA[[#This Row],[Flag]]),0)</f>
        <v>0</v>
      </c>
      <c r="CI5" s="183"/>
      <c r="CJ5" s="42"/>
      <c r="CK5" s="103" t="s">
        <v>29</v>
      </c>
      <c r="CL5" s="33"/>
      <c r="CM5" s="115" t="str">
        <f>IF(FCBS[[#This Row],[Valid]],FCBS[[#This Row],[Maturity Date (T2)]],"")</f>
        <v/>
      </c>
      <c r="CN5" s="142" t="str" cm="1">
        <f t="array" ref="CN5">IF(FCBS[[#This Row],[Valid]],Linterp(_xlfn.ANCHORARRAY(Curves!$AA$4),_xlfn.ANCHORARRAY(Curves!$AD$4),FCBS[[#This Row],[Maturity]],-1,TRUE),"")</f>
        <v/>
      </c>
      <c r="CO5" s="143" t="str">
        <f>IF(FCBS[[#This Row],[Valid]],-1*LN(FCBS[[#This Row],[DF]])/YEARFRAC(CurveDate,FCBS[[#This Row],[Maturity]],DCB_CCZR),"")</f>
        <v/>
      </c>
      <c r="CP5" s="142" t="b">
        <v>1</v>
      </c>
      <c r="CQ5" s="110">
        <f>IF(FCBS[[#This Row],[Has Settle Delay]],SettlementDelayAUD,0)</f>
        <v>1</v>
      </c>
      <c r="CR5" s="35">
        <f>WORKDAY(CurveDate,FCBS[[#This Row],[Settle Delay]],Holidays_NSWPublic)</f>
        <v>45474</v>
      </c>
      <c r="CS5" s="8">
        <v>6</v>
      </c>
      <c r="CT5" s="8" t="s">
        <v>17</v>
      </c>
      <c r="CU5" s="35" cm="1">
        <f t="array" ref="CU5">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45659</v>
      </c>
      <c r="CV5" s="35">
        <f>WORKDAY(FCBS[[#This Row],[Maturity Date (T2)]],OISPaymentDelay,Holidays_NSWPublic)</f>
        <v>45663</v>
      </c>
      <c r="CW5" s="28" t="b">
        <f>FCBS[[#This Row],[Basis Spread]]&lt;&gt;""</f>
        <v>0</v>
      </c>
      <c r="CX5" s="28" t="b">
        <f>FCBS[[#This Row],[Valid]]</f>
        <v>0</v>
      </c>
      <c r="CY5" s="22">
        <f>FCBS[[#This Row],[Valid]]*1</f>
        <v>0</v>
      </c>
      <c r="CZ5" s="46">
        <f>IF(FCBS[[#This Row],[Valid]],SUM(FCBS[[#Headers],[Flag]]:FCBS[[#This Row],[Flag]]),0)</f>
        <v>0</v>
      </c>
      <c r="DA5" s="5"/>
    </row>
    <row r="6" spans="2:105">
      <c r="F6" s="45" t="s">
        <v>40</v>
      </c>
      <c r="G6" s="33">
        <v>4.3</v>
      </c>
      <c r="H6" s="115">
        <f>IF(BankBillRates3M[[#This Row],[Applied]],BankBillRates3M[[#This Row],[Maturity Date (T2)]],"")</f>
        <v>45481</v>
      </c>
      <c r="I6" s="142">
        <f>IF(BankBillRates3M[[#This Row],[Valid Input]],BankBillRates3M[[#This Row],[DF(T2)]],"")</f>
        <v>0.99882301328404044</v>
      </c>
      <c r="J6" s="141">
        <f>IF(NOT(BankBillRates3M[[#This Row],[Valid Input]]),"",-LN(BankBillRates3M[[#This Row],[DF(T2)]])/YEARFRAC(CurveDate,BankBillRates3M[[#This Row],[Maturity Date (T2)]],DCB_CCZR))</f>
        <v>4.2985316671086467E-2</v>
      </c>
      <c r="K6" s="28" t="b">
        <f>BankBillRates3M[[#This Row],[Rate]]&lt;&gt;""</f>
        <v>1</v>
      </c>
      <c r="L6" s="46" t="b">
        <v>1</v>
      </c>
      <c r="M6" s="22">
        <f>IF(BankBillRates3M[[#This Row],[Has Settle Delay]],SettlementDelayAUD,0)</f>
        <v>1</v>
      </c>
      <c r="N6" s="21" t="s">
        <v>151</v>
      </c>
      <c r="O6" s="22">
        <v>5</v>
      </c>
      <c r="P6" s="23">
        <f>WORKDAY(CurveDate,BankBillRates3M[[#This Row],[Settle Delay]],Holidays_NSWPublic)</f>
        <v>45474</v>
      </c>
      <c r="Q6" s="47">
        <f>IF(BankBillRates3M[[#This Row],[Offset Type]]="Business Day",WORKDAY(BankBillRates3M[[#This Row],[Effective Date (T1)]],BankBillRates3M[[#This Row],[Offset]],Holidays_NSWPublic),WORKDAY(EDATE(BankBillRates3M[[#This Row],[Effective Date (T1)]],BankBillRates3M[[#This Row],[Offset]])-1,1,Holidays_NSWPublic))</f>
        <v>45481</v>
      </c>
      <c r="R6" s="48">
        <f>IF(NOT(BankBillRates3M[[#This Row],[Valid Input]]),"",YEARFRAC(BankBillRates3M[[#This Row],[Effective Date (T1)]],BankBillRates3M[[#This Row],[Maturity Date (T2)]],DayCount_AUD))</f>
        <v>1.9178082191780823E-2</v>
      </c>
      <c r="S6" s="5">
        <f>IF(NOT(BankBillRates3M[[#This Row],[Valid Input]]),"",1+BankBillRates3M[[#This Row],[Rate]]%*BankBillRates3M[[#This Row],[𝛿(T1,T2)]])</f>
        <v>1.0008246575342465</v>
      </c>
      <c r="T6" s="5">
        <f>IF(NOT(BankBillRates3M[[#This Row],[Valid Input]]),"",IF(BankBillRates3M[[#This Row],[Effective Date (T1)]]=CurveDate,1,_xlfn.XLOOKUP(BankBillRates3M[[#This Row],[Effective Date (T1)]],BankBillRates3M[Maturity Date (T2)],BankBillRates3M[DF(T2)])))</f>
        <v>0.99964670020732393</v>
      </c>
      <c r="U6" s="5">
        <f>IF(NOT(BankBillRates3M[[#This Row],[Valid Input]]),"",BankBillRates3M[[#This Row],[DF(T1)]]/BankBillRates3M[[#This Row],[1+r*𝛿(T1,T2)]])</f>
        <v>0.99882301328404044</v>
      </c>
      <c r="V6" s="28" t="b">
        <f>BankBillRates3M[[#This Row],[Valid Input]]</f>
        <v>1</v>
      </c>
      <c r="W6" s="27">
        <v>45481</v>
      </c>
      <c r="X6" s="183">
        <v>0.99882301328404044</v>
      </c>
      <c r="Z6" s="84" t="s">
        <v>179</v>
      </c>
      <c r="AA6" s="85">
        <v>95</v>
      </c>
      <c r="AB6" s="85">
        <v>0</v>
      </c>
      <c r="AC6" s="118">
        <f t="shared" si="3"/>
        <v>45824</v>
      </c>
      <c r="AD6" s="124">
        <f t="shared" si="0"/>
        <v>0.95409610336184303</v>
      </c>
      <c r="AE6" s="132">
        <f>IF(AF6,-LN(Input!$AO6)/YEARFRAC(CurveDate,Input!$AL6,DCB_CCZR),"")</f>
        <v>4.858829885494232E-2</v>
      </c>
      <c r="AF6" s="28" t="b">
        <f>Input!$Z6&lt;&gt;""</f>
        <v>1</v>
      </c>
      <c r="AG6" s="83">
        <f>IF(Input!$AF6,(100-Input!$AA6)/100,"")</f>
        <v>0.05</v>
      </c>
      <c r="AH6" s="83">
        <f>IF(Input!$AF6,AG6-AB6%,"")</f>
        <v>0.05</v>
      </c>
      <c r="AI6" s="91">
        <f>IF(Input!$AF6,_xlfn.XLOOKUP(Input!$Z6,BBSWFuturesContractDefinitions[Data Validation],BBSWFuturesContractDefinitions[Contract Expiry]),"")</f>
        <v>45729</v>
      </c>
      <c r="AJ6" s="82">
        <f>IF(Input!$AF6,_xlfn.XLOOKUP(Input!$Z6,BBSWFuturesContractDefinitions[Data Validation],BBSWFuturesContractDefinitions[Settlement Day]),"")</f>
        <v>45730</v>
      </c>
      <c r="AK6" s="82">
        <f>Input!$AJ6</f>
        <v>45730</v>
      </c>
      <c r="AL6" s="82">
        <f t="shared" si="1"/>
        <v>45824</v>
      </c>
      <c r="AM6" s="99">
        <f>IF(Input!$AF6,YEARFRAC(Input!$AK6,Input!$AL6,DayCount_AUD),"")</f>
        <v>0.25753424657534246</v>
      </c>
      <c r="AN6" s="96" cm="1">
        <f t="array" ref="AN6">IF(Input!$AF6,Linterp(_xlfn.VSTACK(_xlfn.ANCHORARRAY(Input!$W$4),$AL$4:AL5),_xlfn.VSTACK(_xlfn.ANCHORARRAY(Input!$X$4),$AO$4:AO5),Input!$AK6,1,TRUE),"")</f>
        <v>0.96638172441883119</v>
      </c>
      <c r="AO6" s="186">
        <f>IF(Input!$AF6,Input!$AN6/(1+Input!$AH6*Input!$AM6))</f>
        <v>0.95409610336184303</v>
      </c>
      <c r="AP6" s="127">
        <v>45824</v>
      </c>
      <c r="AQ6" s="49">
        <v>0.95409610336184303</v>
      </c>
      <c r="AR6" s="28" t="b">
        <v>1</v>
      </c>
      <c r="AS6" s="28" t="b">
        <v>1</v>
      </c>
      <c r="AT6" s="50">
        <v>45824</v>
      </c>
      <c r="AU6" s="51">
        <v>0.95409610336184303</v>
      </c>
      <c r="AW6" s="55" t="s">
        <v>15</v>
      </c>
      <c r="AX6" s="33">
        <v>4.5</v>
      </c>
      <c r="AY6" s="115">
        <f>IF(BBSW3MSwaps[[#This Row],[Numerical Solve]],BBSW3MSwaps[[#This Row],[Maturity Date, T2]],"")</f>
        <v>46569</v>
      </c>
      <c r="AZ6" s="142">
        <f>IF(BBSW3MSwaps[[#This Row],[Numerical Solve]],BBSW3MSwaps[[#This Row],[Solved DF]],"")</f>
        <v>0.8746196940970864</v>
      </c>
      <c r="BA6" s="143">
        <f>IF(BBSW3MSwaps[[#This Row],[Numerical Solve]],-1*LN(BBSW3MSwaps[[#This Row],[Solved DF]])/YEARFRAC(CurveDate,BBSW3MSwaps[[#This Row],[Maturity Date, T2]],DCB_CCZR),"")</f>
        <v>4.4533364922183592E-2</v>
      </c>
      <c r="BB6" s="34" t="str">
        <f>LEFT(BBSW3MSwaps[[#This Row],[Tenor]],LEN(BBSW3MSwaps[[#This Row],[Tenor]])-1)</f>
        <v>3</v>
      </c>
      <c r="BC6" s="35">
        <f t="shared" si="2"/>
        <v>45474</v>
      </c>
      <c r="BD6" s="35">
        <f>WORKDAY(EDATE(BBSW3MSwaps[[#This Row],[Effective Date, T1]],BBSW3MSwaps[[#This Row],[Years]]*12)-1,1,Holidays_NSWPublic)</f>
        <v>46569</v>
      </c>
      <c r="BE6" s="38" t="s">
        <v>24</v>
      </c>
      <c r="BF6" s="39" t="s">
        <v>24</v>
      </c>
      <c r="BG6" s="41" t="b">
        <f>BBSW3MSwaps[[#This Row],[Par Swap Rate]]&lt;&gt;""</f>
        <v>1</v>
      </c>
      <c r="BH6" s="28" t="b">
        <f>BBSW3MSwaps[[#This Row],[Maturity Date, T2]]&gt;MAX(_xlfn.ANCHORARRAY($AP$4))</f>
        <v>1</v>
      </c>
      <c r="BI6" s="28" t="b" cm="1">
        <f t="array" ref="BI6">_xlfn.IFS(
NOT(ApplyFutures),BBSW3MSwaps[[#This Row],[Valid Input]],
FuturesPriority="Below Swaps",BBSW3MSwaps[[#This Row],[Valid Input]],
FuturesPriority="Above Swaps",AND(BBSW3MSwaps[[#This Row],[Valid Input]],BBSW3MSwaps[[#This Row],[Tenor &gt; Max(Futures)]]))</f>
        <v>1</v>
      </c>
      <c r="BJ6" s="28">
        <f>BBSW3MSwaps[[#This Row],[Numerical Solve]]*1</f>
        <v>1</v>
      </c>
      <c r="BK6" s="41">
        <f>IF(BBSW3MSwaps[[#This Row],[Numerical Solve]],SUM(BBSW3MSwaps[[#Headers],[Flag]]:BBSW3MSwaps[[#This Row],[Flag]]),0)</f>
        <v>1</v>
      </c>
      <c r="BL6" s="134">
        <v>0.8746196940970864</v>
      </c>
      <c r="BM6" s="42"/>
      <c r="BN6" s="334" t="s">
        <v>40</v>
      </c>
      <c r="BO6" s="333">
        <v>4.3</v>
      </c>
      <c r="BP6" s="115">
        <f>IF(AONIA[[#This Row],[Valid]],AONIA[[#This Row],[Maturity Date (T2)]],"")</f>
        <v>45481</v>
      </c>
      <c r="BQ6" s="142" cm="1">
        <f t="array" ref="BQ6">IF(AONIA[[#This Row],[Valid]],Linterp(_xlfn.ANCHORARRAY(Curves!$G$4),_xlfn.ANCHORARRAY(Curves!$J$4),AONIA[[#This Row],[Maturity]],-1,TRUE),"")</f>
        <v>0.99882301328404044</v>
      </c>
      <c r="BR6" s="143">
        <f>IF(AONIA[[#This Row],[Valid]],-1*LN(AONIA[[#This Row],[DF]])/YEARFRAC(CurveDate,AONIA[[#This Row],[Maturity]],DCB_CCZR),"")</f>
        <v>4.2985316671086467E-2</v>
      </c>
      <c r="BS6" s="343" t="b">
        <v>1</v>
      </c>
      <c r="BT6" s="110">
        <f>IF(AONIA[[#This Row],[Has Settle Delay]],SettlementDelayAUD,0)</f>
        <v>1</v>
      </c>
      <c r="BU6" s="35">
        <f>WORKDAY(CurveDate,AONIA[[#This Row],[Settle Delay]],Holidays_NSWPublic)</f>
        <v>45474</v>
      </c>
      <c r="BV6" s="8">
        <v>5</v>
      </c>
      <c r="BW6" s="38" t="s">
        <v>151</v>
      </c>
      <c r="BX6" s="35" cm="1">
        <f t="array" ref="BX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45481</v>
      </c>
      <c r="BY6" s="47">
        <f>WORKDAY(AONIA[[#This Row],[Maturity Date (T2)]],OISPaymentDelay,Holidays_NSWPublic)</f>
        <v>45483</v>
      </c>
      <c r="BZ6" s="41" t="b">
        <f>AONIA[[#This Row],[Par Swap Rate]]&lt;&gt;""</f>
        <v>1</v>
      </c>
      <c r="CA6" s="28" t="b">
        <v>1</v>
      </c>
      <c r="CB6" s="28" t="b">
        <f>AND(AONIA[[#This Row],[Valid]],AONIA[[#This Row],[Zero-coupon?]])</f>
        <v>1</v>
      </c>
      <c r="CC6" s="28" t="b">
        <f>AND(AONIA[[#This Row],[Valid]],NOT(AONIA[[#This Row],[Analytical Solve]]))</f>
        <v>0</v>
      </c>
      <c r="CD6" s="312">
        <f>AONIA[[#This Row],[Numerical Solve]]*1</f>
        <v>0</v>
      </c>
      <c r="CE6" s="153">
        <f>IF(AONIA[[#This Row],[Analytical Solve]],1+AONIA[[#This Row],[Par Swap Rate]]%*YEARFRAC(AONIA[[#This Row],[Settle Date (T1)]],AONIA[[#This Row],[Maturity Date (T2)]],DayCount_AUD),"")</f>
        <v>1.0008246575342465</v>
      </c>
      <c r="CF6" s="150" cm="1">
        <f t="array" ref="CF6">IF(AONIA[[#This Row],[Analytical Solve]],_xlfn.IFS(AONIA[[#This Row],[Settle Date (T1)]]=CurveDate,1,TRUE,_xlfn.XLOOKUP(AONIA[[#This Row],[Settle Date (T1)]],AONIA[Maturity Date (T2)],AONIA[DF(T2)])),"")</f>
        <v>0.99964670020732393</v>
      </c>
      <c r="CG6" s="346">
        <f>IF(AONIA[[#This Row],[Analytical Solve]],AONIA[[#This Row],[DF(T1)]]/AONIA[[#This Row],[1+r𝛿]],"")</f>
        <v>0.99882301328404044</v>
      </c>
      <c r="CH6" s="46">
        <f>IF(AONIA[[#This Row],[Numerical Solve]],SUM(AONIA[[#Headers],[Flag]]:AONIA[[#This Row],[Flag]]),0)</f>
        <v>0</v>
      </c>
      <c r="CI6" s="183"/>
      <c r="CJ6" s="42"/>
      <c r="CK6" s="103" t="s">
        <v>21</v>
      </c>
      <c r="CL6" s="33">
        <v>15</v>
      </c>
      <c r="CM6" s="115">
        <f>IF(FCBS[[#This Row],[Valid]],FCBS[[#This Row],[Maturity Date (T2)]],"")</f>
        <v>45839</v>
      </c>
      <c r="CN6" s="142" cm="1">
        <f t="array" ref="CN6">IF(FCBS[[#This Row],[Valid]],Linterp(_xlfn.ANCHORARRAY(Curves!$AA$4),_xlfn.ANCHORARRAY(Curves!$AD$4),FCBS[[#This Row],[Maturity]],-1,TRUE),"")</f>
        <v>0.95699868560548396</v>
      </c>
      <c r="CO6" s="143">
        <f>IF(FCBS[[#This Row],[Valid]],-1*LN(FCBS[[#This Row],[DF]])/YEARFRAC(CurveDate,FCBS[[#This Row],[Maturity]],DCB_CCZR),"")</f>
        <v>4.3594946355541009E-2</v>
      </c>
      <c r="CP6" s="142" t="b">
        <v>1</v>
      </c>
      <c r="CQ6" s="110">
        <f>IF(FCBS[[#This Row],[Has Settle Delay]],SettlementDelayAUD,0)</f>
        <v>1</v>
      </c>
      <c r="CR6" s="35">
        <f>WORKDAY(CurveDate,FCBS[[#This Row],[Settle Delay]],Holidays_NSWPublic)</f>
        <v>45474</v>
      </c>
      <c r="CS6" s="8">
        <v>12</v>
      </c>
      <c r="CT6" s="8" t="s">
        <v>17</v>
      </c>
      <c r="CU6" s="35" cm="1">
        <f t="array" ref="CU6">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45839</v>
      </c>
      <c r="CV6" s="35">
        <f>WORKDAY(FCBS[[#This Row],[Maturity Date (T2)]],OISPaymentDelay,Holidays_NSWPublic)</f>
        <v>45841</v>
      </c>
      <c r="CW6" s="28" t="b">
        <f>FCBS[[#This Row],[Basis Spread]]&lt;&gt;""</f>
        <v>1</v>
      </c>
      <c r="CX6" s="28" t="b">
        <f>FCBS[[#This Row],[Valid]]</f>
        <v>1</v>
      </c>
      <c r="CY6" s="22">
        <f>FCBS[[#This Row],[Valid]]*1</f>
        <v>1</v>
      </c>
      <c r="CZ6" s="46">
        <f>IF(FCBS[[#This Row],[Valid]],SUM(FCBS[[#Headers],[Flag]]:FCBS[[#This Row],[Flag]]),0)</f>
        <v>1</v>
      </c>
      <c r="DA6" s="5">
        <v>0.95677010848899424</v>
      </c>
    </row>
    <row r="7" spans="2:105">
      <c r="B7" s="52" t="s">
        <v>318</v>
      </c>
      <c r="C7" s="53">
        <v>45471</v>
      </c>
      <c r="F7" s="45" t="s">
        <v>33</v>
      </c>
      <c r="G7" s="33">
        <v>4.5</v>
      </c>
      <c r="H7" s="115">
        <f>IF(BankBillRates3M[[#This Row],[Applied]],BankBillRates3M[[#This Row],[Maturity Date (T2)]],"")</f>
        <v>45566</v>
      </c>
      <c r="I7" s="142">
        <f>IF(BankBillRates3M[[#This Row],[Valid Input]],BankBillRates3M[[#This Row],[DF(T2)]],"")</f>
        <v>0.98843540547129338</v>
      </c>
      <c r="J7" s="141">
        <f>IF(NOT(BankBillRates3M[[#This Row],[Valid Input]]),"",-LN(BankBillRates3M[[#This Row],[DF(T2)]])/YEARFRAC(CurveDate,BankBillRates3M[[#This Row],[Maturity Date (T2)]],DCB_CCZR))</f>
        <v>4.4691308923766999E-2</v>
      </c>
      <c r="K7" s="28" t="b">
        <f>BankBillRates3M[[#This Row],[Rate]]&lt;&gt;""</f>
        <v>1</v>
      </c>
      <c r="L7" s="46" t="b">
        <v>1</v>
      </c>
      <c r="M7" s="22">
        <f>IF(BankBillRates3M[[#This Row],[Has Settle Delay]],SettlementDelayAUD,0)</f>
        <v>1</v>
      </c>
      <c r="N7" s="21" t="s">
        <v>17</v>
      </c>
      <c r="O7" s="22">
        <v>3</v>
      </c>
      <c r="P7" s="23">
        <f>WORKDAY(CurveDate,BankBillRates3M[[#This Row],[Settle Delay]],Holidays_NSWPublic)</f>
        <v>45474</v>
      </c>
      <c r="Q7" s="47">
        <f>IF(BankBillRates3M[[#This Row],[Offset Type]]="Business Day",WORKDAY(BankBillRates3M[[#This Row],[Effective Date (T1)]],BankBillRates3M[[#This Row],[Offset]],Holidays_NSWPublic),WORKDAY(EDATE(BankBillRates3M[[#This Row],[Effective Date (T1)]],BankBillRates3M[[#This Row],[Offset]])-1,1,Holidays_NSWPublic))</f>
        <v>45566</v>
      </c>
      <c r="R7" s="48">
        <f>IF(NOT(BankBillRates3M[[#This Row],[Valid Input]]),"",YEARFRAC(BankBillRates3M[[#This Row],[Effective Date (T1)]],BankBillRates3M[[#This Row],[Maturity Date (T2)]],DayCount_AUD))</f>
        <v>0.25205479452054796</v>
      </c>
      <c r="S7" s="5">
        <f>IF(NOT(BankBillRates3M[[#This Row],[Valid Input]]),"",1+BankBillRates3M[[#This Row],[Rate]]%*BankBillRates3M[[#This Row],[𝛿(T1,T2)]])</f>
        <v>1.0113424657534247</v>
      </c>
      <c r="T7" s="5">
        <f>IF(NOT(BankBillRates3M[[#This Row],[Valid Input]]),"",IF(BankBillRates3M[[#This Row],[Effective Date (T1)]]=CurveDate,1,_xlfn.XLOOKUP(BankBillRates3M[[#This Row],[Effective Date (T1)]],BankBillRates3M[Maturity Date (T2)],BankBillRates3M[DF(T2)])))</f>
        <v>0.99964670020732393</v>
      </c>
      <c r="U7" s="5">
        <f>IF(NOT(BankBillRates3M[[#This Row],[Valid Input]]),"",BankBillRates3M[[#This Row],[DF(T1)]]/BankBillRates3M[[#This Row],[1+r*𝛿(T1,T2)]])</f>
        <v>0.98843540547129338</v>
      </c>
      <c r="V7" s="28" t="b">
        <f>BankBillRates3M[[#This Row],[Valid Input]]</f>
        <v>1</v>
      </c>
      <c r="W7" s="181">
        <v>45566</v>
      </c>
      <c r="X7" s="184">
        <v>0.98843540547129338</v>
      </c>
      <c r="Z7" s="84" t="s">
        <v>180</v>
      </c>
      <c r="AA7" s="85">
        <v>95</v>
      </c>
      <c r="AB7" s="85">
        <v>0</v>
      </c>
      <c r="AC7" s="118">
        <f t="shared" si="3"/>
        <v>45915</v>
      </c>
      <c r="AD7" s="124">
        <f t="shared" si="0"/>
        <v>0.94235138760654558</v>
      </c>
      <c r="AE7" s="132">
        <f>IF(AF7,-LN(Input!$AO7)/YEARFRAC(CurveDate,Input!$AL7,DCB_CCZR),"")</f>
        <v>4.8812215369361603E-2</v>
      </c>
      <c r="AF7" s="28" t="b">
        <f>Input!$Z7&lt;&gt;""</f>
        <v>1</v>
      </c>
      <c r="AG7" s="83">
        <f>IF(Input!$AF7,(100-Input!$AA7)/100,"")</f>
        <v>0.05</v>
      </c>
      <c r="AH7" s="83">
        <f>IF(Input!$AF7,AG7-AB7%,"")</f>
        <v>0.05</v>
      </c>
      <c r="AI7" s="91">
        <f>IF(Input!$AF7,_xlfn.XLOOKUP(Input!$Z7,BBSWFuturesContractDefinitions[Data Validation],BBSWFuturesContractDefinitions[Contract Expiry]),"")</f>
        <v>45820</v>
      </c>
      <c r="AJ7" s="82">
        <f>IF(Input!$AF7,_xlfn.XLOOKUP(Input!$Z7,BBSWFuturesContractDefinitions[Data Validation],BBSWFuturesContractDefinitions[Settlement Day]),"")</f>
        <v>45821</v>
      </c>
      <c r="AK7" s="82">
        <f>Input!$AJ7</f>
        <v>45821</v>
      </c>
      <c r="AL7" s="82">
        <f t="shared" si="1"/>
        <v>45915</v>
      </c>
      <c r="AM7" s="99">
        <f>IF(Input!$AF7,YEARFRAC(Input!$AK7,Input!$AL7,DayCount_AUD),"")</f>
        <v>0.25753424657534246</v>
      </c>
      <c r="AN7" s="96" cm="1">
        <f t="array" ref="AN7">IF(Input!$AF7,Linterp(_xlfn.VSTACK(_xlfn.ANCHORARRAY(Input!$W$4),$AL$4:AL6),_xlfn.VSTACK(_xlfn.ANCHORARRAY(Input!$X$4),$AO$4:AO6),Input!$AK7,1,TRUE),"")</f>
        <v>0.95448577533736967</v>
      </c>
      <c r="AO7" s="186">
        <f>IF(Input!$AF7,Input!$AN7/(1+Input!$AH7*Input!$AM7))</f>
        <v>0.94235138760654558</v>
      </c>
      <c r="AP7" s="127">
        <v>45915</v>
      </c>
      <c r="AQ7" s="49">
        <v>0.94235138760654558</v>
      </c>
      <c r="AR7" s="28" t="b">
        <v>0</v>
      </c>
      <c r="AS7" s="28" t="b">
        <v>1</v>
      </c>
      <c r="AT7" s="50">
        <v>45915</v>
      </c>
      <c r="AU7" s="51">
        <v>0.94235138760654558</v>
      </c>
      <c r="AW7" s="55" t="s">
        <v>14</v>
      </c>
      <c r="AX7" s="33">
        <v>4.5</v>
      </c>
      <c r="AY7" s="115">
        <f>IF(BBSW3MSwaps[[#This Row],[Numerical Solve]],BBSW3MSwaps[[#This Row],[Maturity Date, T2]],"")</f>
        <v>46937</v>
      </c>
      <c r="AZ7" s="142">
        <f>IF(BBSW3MSwaps[[#This Row],[Numerical Solve]],BBSW3MSwaps[[#This Row],[Solved DF]],"")</f>
        <v>0.83691078003998454</v>
      </c>
      <c r="BA7" s="143">
        <f>IF(BBSW3MSwaps[[#This Row],[Numerical Solve]],-1*LN(BBSW3MSwaps[[#This Row],[Solved DF]])/YEARFRAC(CurveDate,BBSW3MSwaps[[#This Row],[Maturity Date, T2]],DCB_CCZR),"")</f>
        <v>4.4327285351053063E-2</v>
      </c>
      <c r="BB7" s="34" t="str">
        <f>LEFT(BBSW3MSwaps[[#This Row],[Tenor]],LEN(BBSW3MSwaps[[#This Row],[Tenor]])-1)</f>
        <v>4</v>
      </c>
      <c r="BC7" s="35">
        <f t="shared" si="2"/>
        <v>45474</v>
      </c>
      <c r="BD7" s="35">
        <f>WORKDAY(EDATE(BBSW3MSwaps[[#This Row],[Effective Date, T1]],BBSW3MSwaps[[#This Row],[Years]]*12)-1,1,Holidays_NSWPublic)</f>
        <v>46937</v>
      </c>
      <c r="BE7" s="38" t="s">
        <v>25</v>
      </c>
      <c r="BF7" s="39" t="s">
        <v>24</v>
      </c>
      <c r="BG7" s="41" t="b">
        <f>BBSW3MSwaps[[#This Row],[Par Swap Rate]]&lt;&gt;""</f>
        <v>1</v>
      </c>
      <c r="BH7" s="28" t="b">
        <f>BBSW3MSwaps[[#This Row],[Maturity Date, T2]]&gt;MAX(_xlfn.ANCHORARRAY($AP$4))</f>
        <v>1</v>
      </c>
      <c r="BI7" s="28" t="b" cm="1">
        <f t="array" ref="BI7">_xlfn.IFS(
NOT(ApplyFutures),BBSW3MSwaps[[#This Row],[Valid Input]],
FuturesPriority="Below Swaps",BBSW3MSwaps[[#This Row],[Valid Input]],
FuturesPriority="Above Swaps",AND(BBSW3MSwaps[[#This Row],[Valid Input]],BBSW3MSwaps[[#This Row],[Tenor &gt; Max(Futures)]]))</f>
        <v>1</v>
      </c>
      <c r="BJ7" s="28">
        <f>BBSW3MSwaps[[#This Row],[Numerical Solve]]*1</f>
        <v>1</v>
      </c>
      <c r="BK7" s="41">
        <f>IF(BBSW3MSwaps[[#This Row],[Numerical Solve]],SUM(BBSW3MSwaps[[#Headers],[Flag]]:BBSW3MSwaps[[#This Row],[Flag]]),0)</f>
        <v>2</v>
      </c>
      <c r="BL7" s="134">
        <v>0.83691078003998454</v>
      </c>
      <c r="BM7" s="42"/>
      <c r="BN7" s="334" t="s">
        <v>39</v>
      </c>
      <c r="BO7" s="333" t="s">
        <v>0</v>
      </c>
      <c r="BP7" s="115" t="str">
        <f>IF(AONIA[[#This Row],[Valid]],AONIA[[#This Row],[Maturity Date (T2)]],"")</f>
        <v/>
      </c>
      <c r="BQ7" s="142" t="str" cm="1">
        <f t="array" ref="BQ7">IF(AONIA[[#This Row],[Valid]],Linterp(_xlfn.ANCHORARRAY(Curves!$G$4),_xlfn.ANCHORARRAY(Curves!$J$4),AONIA[[#This Row],[Maturity]],-1,TRUE),"")</f>
        <v/>
      </c>
      <c r="BR7" s="143" t="str">
        <f>IF(AONIA[[#This Row],[Valid]],-1*LN(AONIA[[#This Row],[DF]])/YEARFRAC(CurveDate,AONIA[[#This Row],[Maturity]],DCB_CCZR),"")</f>
        <v/>
      </c>
      <c r="BS7" s="343" t="b">
        <v>1</v>
      </c>
      <c r="BT7" s="110">
        <f>IF(AONIA[[#This Row],[Has Settle Delay]],SettlementDelayAUD,0)</f>
        <v>1</v>
      </c>
      <c r="BU7" s="35">
        <f>WORKDAY(CurveDate,AONIA[[#This Row],[Settle Delay]],Holidays_NSWPublic)</f>
        <v>45474</v>
      </c>
      <c r="BV7" s="8">
        <v>10</v>
      </c>
      <c r="BW7" s="38" t="s">
        <v>151</v>
      </c>
      <c r="BX7" s="35" cm="1">
        <f t="array" ref="BX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45488</v>
      </c>
      <c r="BY7" s="47">
        <f>WORKDAY(AONIA[[#This Row],[Maturity Date (T2)]],OISPaymentDelay,Holidays_NSWPublic)</f>
        <v>45490</v>
      </c>
      <c r="BZ7" s="41" t="b">
        <f>AONIA[[#This Row],[Par Swap Rate]]&lt;&gt;""</f>
        <v>0</v>
      </c>
      <c r="CA7" s="28" t="b">
        <v>1</v>
      </c>
      <c r="CB7" s="28" t="b">
        <f>AND(AONIA[[#This Row],[Valid]],AONIA[[#This Row],[Zero-coupon?]])</f>
        <v>0</v>
      </c>
      <c r="CC7" s="28" t="b">
        <f>AND(AONIA[[#This Row],[Valid]],NOT(AONIA[[#This Row],[Analytical Solve]]))</f>
        <v>0</v>
      </c>
      <c r="CD7" s="312">
        <f>AONIA[[#This Row],[Numerical Solve]]*1</f>
        <v>0</v>
      </c>
      <c r="CE7" s="153" t="str">
        <f>IF(AONIA[[#This Row],[Analytical Solve]],1+AONIA[[#This Row],[Par Swap Rate]]%*YEARFRAC(AONIA[[#This Row],[Settle Date (T1)]],AONIA[[#This Row],[Maturity Date (T2)]],DayCount_AUD),"")</f>
        <v/>
      </c>
      <c r="CF7" s="150" t="str" cm="1">
        <f t="array" ref="CF7">IF(AONIA[[#This Row],[Analytical Solve]],_xlfn.IFS(AONIA[[#This Row],[Settle Date (T1)]]=CurveDate,1,TRUE,_xlfn.XLOOKUP(AONIA[[#This Row],[Settle Date (T1)]],AONIA[Maturity Date (T2)],AONIA[DF(T2)])),"")</f>
        <v/>
      </c>
      <c r="CG7" s="346" t="str">
        <f>IF(AONIA[[#This Row],[Analytical Solve]],AONIA[[#This Row],[DF(T1)]]/AONIA[[#This Row],[1+r𝛿]],"")</f>
        <v/>
      </c>
      <c r="CH7" s="46">
        <f>IF(AONIA[[#This Row],[Numerical Solve]],SUM(AONIA[[#Headers],[Flag]]:AONIA[[#This Row],[Flag]]),0)</f>
        <v>0</v>
      </c>
      <c r="CI7" s="183"/>
      <c r="CJ7" s="42"/>
      <c r="CK7" s="103" t="s">
        <v>19</v>
      </c>
      <c r="CL7" s="33">
        <v>15</v>
      </c>
      <c r="CM7" s="115">
        <f>IF(FCBS[[#This Row],[Valid]],FCBS[[#This Row],[Maturity Date (T2)]],"")</f>
        <v>46024</v>
      </c>
      <c r="CN7" s="142" cm="1">
        <f t="array" ref="CN7">IF(FCBS[[#This Row],[Valid]],Linterp(_xlfn.ANCHORARRAY(Curves!$AA$4),_xlfn.ANCHORARRAY(Curves!$AD$4),FCBS[[#This Row],[Maturity]],-1,TRUE),"")</f>
        <v>0.93608277066979884</v>
      </c>
      <c r="CO7" s="143">
        <f>IF(FCBS[[#This Row],[Valid]],-1*LN(FCBS[[#This Row],[DF]])/YEARFRAC(CurveDate,FCBS[[#This Row],[Maturity]],DCB_CCZR),"")</f>
        <v>4.3596297137781646E-2</v>
      </c>
      <c r="CP7" s="142" t="b">
        <v>1</v>
      </c>
      <c r="CQ7" s="110">
        <f>IF(FCBS[[#This Row],[Has Settle Delay]],SettlementDelayAUD,0)</f>
        <v>1</v>
      </c>
      <c r="CR7" s="35">
        <f>WORKDAY(CurveDate,FCBS[[#This Row],[Settle Delay]],Holidays_NSWPublic)</f>
        <v>45474</v>
      </c>
      <c r="CS7" s="8">
        <v>18</v>
      </c>
      <c r="CT7" s="8" t="s">
        <v>17</v>
      </c>
      <c r="CU7" s="35" cm="1">
        <f t="array" ref="CU7">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46024</v>
      </c>
      <c r="CV7" s="35">
        <f>WORKDAY(FCBS[[#This Row],[Maturity Date (T2)]],OISPaymentDelay,Holidays_NSWPublic)</f>
        <v>46028</v>
      </c>
      <c r="CW7" s="28" t="b">
        <f>FCBS[[#This Row],[Basis Spread]]&lt;&gt;""</f>
        <v>1</v>
      </c>
      <c r="CX7" s="28" t="b">
        <f>FCBS[[#This Row],[Valid]]</f>
        <v>1</v>
      </c>
      <c r="CY7" s="22">
        <f>FCBS[[#This Row],[Valid]]*1</f>
        <v>1</v>
      </c>
      <c r="CZ7" s="46">
        <f>IF(FCBS[[#This Row],[Valid]],SUM(FCBS[[#Headers],[Flag]]:FCBS[[#This Row],[Flag]]),0)</f>
        <v>2</v>
      </c>
      <c r="DA7" s="5">
        <v>0.93563561942940709</v>
      </c>
    </row>
    <row r="8" spans="2:105">
      <c r="Z8" s="84" t="s">
        <v>181</v>
      </c>
      <c r="AA8" s="85">
        <v>95</v>
      </c>
      <c r="AB8" s="85">
        <v>0</v>
      </c>
      <c r="AC8" s="118">
        <f t="shared" si="3"/>
        <v>46003</v>
      </c>
      <c r="AD8" s="124">
        <f t="shared" si="0"/>
        <v>0.93112903669175351</v>
      </c>
      <c r="AE8" s="132">
        <f>IF(AF8,-LN(Input!$AO8)/YEARFRAC(CurveDate,Input!$AL8,DCB_CCZR),"")</f>
        <v>4.8957622353152666E-2</v>
      </c>
      <c r="AF8" s="28" t="b">
        <f>Input!$Z8&lt;&gt;""</f>
        <v>1</v>
      </c>
      <c r="AG8" s="83">
        <f>IF(Input!$AF8,(100-Input!$AA8)/100,"")</f>
        <v>0.05</v>
      </c>
      <c r="AH8" s="83">
        <f>IF(Input!$AF8,AG8-AB8%,"")</f>
        <v>0.05</v>
      </c>
      <c r="AI8" s="91">
        <f>IF(Input!$AF8,_xlfn.XLOOKUP(Input!$Z8,BBSWFuturesContractDefinitions[Data Validation],BBSWFuturesContractDefinitions[Contract Expiry]),"")</f>
        <v>45911</v>
      </c>
      <c r="AJ8" s="82">
        <f>IF(Input!$AF8,_xlfn.XLOOKUP(Input!$Z8,BBSWFuturesContractDefinitions[Data Validation],BBSWFuturesContractDefinitions[Settlement Day]),"")</f>
        <v>45912</v>
      </c>
      <c r="AK8" s="82">
        <f>Input!$AJ8</f>
        <v>45912</v>
      </c>
      <c r="AL8" s="82">
        <f t="shared" si="1"/>
        <v>46003</v>
      </c>
      <c r="AM8" s="99">
        <f>IF(Input!$AF8,YEARFRAC(Input!$AK8,Input!$AL8,DayCount_AUD),"")</f>
        <v>0.24931506849315069</v>
      </c>
      <c r="AN8" s="96" cm="1">
        <f t="array" ref="AN8">IF(Input!$AF8,Linterp(_xlfn.VSTACK(_xlfn.ANCHORARRAY(Input!$W$4),$AL$4:AL7),_xlfn.VSTACK(_xlfn.ANCHORARRAY(Input!$X$4),$AO$4:AO7),Input!$AK8,1,TRUE),"")</f>
        <v>0.94273626166969182</v>
      </c>
      <c r="AO8" s="186">
        <f>IF(Input!$AF8,Input!$AN8/(1+Input!$AH8*Input!$AM8))</f>
        <v>0.93112903669175351</v>
      </c>
      <c r="AP8" s="127">
        <v>46003</v>
      </c>
      <c r="AQ8" s="49">
        <v>0.93112903669175351</v>
      </c>
      <c r="AR8" s="28" t="b">
        <v>0</v>
      </c>
      <c r="AS8" s="28" t="b">
        <v>1</v>
      </c>
      <c r="AT8" s="50">
        <v>46003</v>
      </c>
      <c r="AU8" s="51">
        <v>0.93112903669175351</v>
      </c>
      <c r="AW8" s="55" t="s">
        <v>13</v>
      </c>
      <c r="AX8" s="33">
        <v>4.5</v>
      </c>
      <c r="AY8" s="115">
        <f>IF(BBSW3MSwaps[[#This Row],[Numerical Solve]],BBSW3MSwaps[[#This Row],[Maturity Date, T2]],"")</f>
        <v>47301</v>
      </c>
      <c r="AZ8" s="142">
        <f>IF(BBSW3MSwaps[[#This Row],[Numerical Solve]],BBSW3MSwaps[[#This Row],[Solved DF]],"")</f>
        <v>0.8005822904700598</v>
      </c>
      <c r="BA8" s="143">
        <f>IF(BBSW3MSwaps[[#This Row],[Numerical Solve]],-1*LN(BBSW3MSwaps[[#This Row],[Solved DF]])/YEARFRAC(CurveDate,BBSW3MSwaps[[#This Row],[Maturity Date, T2]],DCB_CCZR),"")</f>
        <v>4.4361651825975117E-2</v>
      </c>
      <c r="BB8" s="34" t="str">
        <f>LEFT(BBSW3MSwaps[[#This Row],[Tenor]],LEN(BBSW3MSwaps[[#This Row],[Tenor]])-1)</f>
        <v>5</v>
      </c>
      <c r="BC8" s="35">
        <f t="shared" si="2"/>
        <v>45474</v>
      </c>
      <c r="BD8" s="35">
        <f>WORKDAY(EDATE(BBSW3MSwaps[[#This Row],[Effective Date, T1]],BBSW3MSwaps[[#This Row],[Years]]*12)-1,1,Holidays_NSWPublic)</f>
        <v>47301</v>
      </c>
      <c r="BE8" s="38" t="s">
        <v>25</v>
      </c>
      <c r="BF8" s="39" t="s">
        <v>24</v>
      </c>
      <c r="BG8" s="41" t="b">
        <f>BBSW3MSwaps[[#This Row],[Par Swap Rate]]&lt;&gt;""</f>
        <v>1</v>
      </c>
      <c r="BH8" s="28" t="b">
        <f>BBSW3MSwaps[[#This Row],[Maturity Date, T2]]&gt;MAX(_xlfn.ANCHORARRAY($AP$4))</f>
        <v>1</v>
      </c>
      <c r="BI8" s="28" t="b" cm="1">
        <f t="array" ref="BI8">_xlfn.IFS(
NOT(ApplyFutures),BBSW3MSwaps[[#This Row],[Valid Input]],
FuturesPriority="Below Swaps",BBSW3MSwaps[[#This Row],[Valid Input]],
FuturesPriority="Above Swaps",AND(BBSW3MSwaps[[#This Row],[Valid Input]],BBSW3MSwaps[[#This Row],[Tenor &gt; Max(Futures)]]))</f>
        <v>1</v>
      </c>
      <c r="BJ8" s="28">
        <f>BBSW3MSwaps[[#This Row],[Numerical Solve]]*1</f>
        <v>1</v>
      </c>
      <c r="BK8" s="41">
        <f>IF(BBSW3MSwaps[[#This Row],[Numerical Solve]],SUM(BBSW3MSwaps[[#Headers],[Flag]]:BBSW3MSwaps[[#This Row],[Flag]]),0)</f>
        <v>3</v>
      </c>
      <c r="BL8" s="134">
        <v>0.8005822904700598</v>
      </c>
      <c r="BM8" s="42"/>
      <c r="BN8" s="334" t="s">
        <v>38</v>
      </c>
      <c r="BO8" s="333" t="s">
        <v>0</v>
      </c>
      <c r="BP8" s="115" t="str">
        <f>IF(AONIA[[#This Row],[Valid]],AONIA[[#This Row],[Maturity Date (T2)]],"")</f>
        <v/>
      </c>
      <c r="BQ8" s="142" t="str" cm="1">
        <f t="array" ref="BQ8">IF(AONIA[[#This Row],[Valid]],Linterp(_xlfn.ANCHORARRAY(Curves!$G$4),_xlfn.ANCHORARRAY(Curves!$J$4),AONIA[[#This Row],[Maturity]],-1,TRUE),"")</f>
        <v/>
      </c>
      <c r="BR8" s="143" t="str">
        <f>IF(AONIA[[#This Row],[Valid]],-1*LN(AONIA[[#This Row],[DF]])/YEARFRAC(CurveDate,AONIA[[#This Row],[Maturity]],DCB_CCZR),"")</f>
        <v/>
      </c>
      <c r="BS8" s="343" t="b">
        <v>1</v>
      </c>
      <c r="BT8" s="110">
        <f>IF(AONIA[[#This Row],[Has Settle Delay]],SettlementDelayAUD,0)</f>
        <v>1</v>
      </c>
      <c r="BU8" s="35">
        <f>WORKDAY(CurveDate,AONIA[[#This Row],[Settle Delay]],Holidays_NSWPublic)</f>
        <v>45474</v>
      </c>
      <c r="BV8" s="8">
        <v>15</v>
      </c>
      <c r="BW8" s="38" t="s">
        <v>151</v>
      </c>
      <c r="BX8" s="35" cm="1">
        <f t="array" ref="BX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45495</v>
      </c>
      <c r="BY8" s="47">
        <f>WORKDAY(AONIA[[#This Row],[Maturity Date (T2)]],OISPaymentDelay,Holidays_NSWPublic)</f>
        <v>45497</v>
      </c>
      <c r="BZ8" s="41" t="b">
        <f>AONIA[[#This Row],[Par Swap Rate]]&lt;&gt;""</f>
        <v>0</v>
      </c>
      <c r="CA8" s="28" t="b">
        <v>1</v>
      </c>
      <c r="CB8" s="28" t="b">
        <f>AND(AONIA[[#This Row],[Valid]],AONIA[[#This Row],[Zero-coupon?]])</f>
        <v>0</v>
      </c>
      <c r="CC8" s="28" t="b">
        <f>AND(AONIA[[#This Row],[Valid]],NOT(AONIA[[#This Row],[Analytical Solve]]))</f>
        <v>0</v>
      </c>
      <c r="CD8" s="312">
        <f>AONIA[[#This Row],[Numerical Solve]]*1</f>
        <v>0</v>
      </c>
      <c r="CE8" s="153" t="str">
        <f>IF(AONIA[[#This Row],[Analytical Solve]],1+AONIA[[#This Row],[Par Swap Rate]]%*YEARFRAC(AONIA[[#This Row],[Settle Date (T1)]],AONIA[[#This Row],[Maturity Date (T2)]],DayCount_AUD),"")</f>
        <v/>
      </c>
      <c r="CF8" s="150" t="str" cm="1">
        <f t="array" ref="CF8">IF(AONIA[[#This Row],[Analytical Solve]],_xlfn.IFS(AONIA[[#This Row],[Settle Date (T1)]]=CurveDate,1,TRUE,_xlfn.XLOOKUP(AONIA[[#This Row],[Settle Date (T1)]],AONIA[Maturity Date (T2)],AONIA[DF(T2)])),"")</f>
        <v/>
      </c>
      <c r="CG8" s="346" t="str">
        <f>IF(AONIA[[#This Row],[Analytical Solve]],AONIA[[#This Row],[DF(T1)]]/AONIA[[#This Row],[1+r𝛿]],"")</f>
        <v/>
      </c>
      <c r="CH8" s="46">
        <f>IF(AONIA[[#This Row],[Numerical Solve]],SUM(AONIA[[#Headers],[Flag]]:AONIA[[#This Row],[Flag]]),0)</f>
        <v>0</v>
      </c>
      <c r="CI8" s="183"/>
      <c r="CJ8" s="42"/>
      <c r="CK8" s="103" t="s">
        <v>16</v>
      </c>
      <c r="CL8" s="33">
        <v>15</v>
      </c>
      <c r="CM8" s="115">
        <f>IF(FCBS[[#This Row],[Valid]],FCBS[[#This Row],[Maturity Date (T2)]],"")</f>
        <v>46204</v>
      </c>
      <c r="CN8" s="142" cm="1">
        <f t="array" ref="CN8">IF(FCBS[[#This Row],[Valid]],Linterp(_xlfn.ANCHORARRAY(Curves!$AA$4),_xlfn.ANCHORARRAY(Curves!$AD$4),FCBS[[#This Row],[Maturity]],-1,TRUE),"")</f>
        <v>0.91618075045432701</v>
      </c>
      <c r="CO8" s="143">
        <f>IF(FCBS[[#This Row],[Valid]],-1*LN(FCBS[[#This Row],[DF]])/YEARFRAC(CurveDate,FCBS[[#This Row],[Maturity]],DCB_CCZR),"")</f>
        <v>4.359166016643945E-2</v>
      </c>
      <c r="CP8" s="142" t="b">
        <v>1</v>
      </c>
      <c r="CQ8" s="110">
        <f>IF(FCBS[[#This Row],[Has Settle Delay]],SettlementDelayAUD,0)</f>
        <v>1</v>
      </c>
      <c r="CR8" s="35">
        <f>WORKDAY(CurveDate,FCBS[[#This Row],[Settle Delay]],Holidays_NSWPublic)</f>
        <v>45474</v>
      </c>
      <c r="CS8" s="8">
        <v>2</v>
      </c>
      <c r="CT8" s="8" t="s">
        <v>1</v>
      </c>
      <c r="CU8" s="35" cm="1">
        <f t="array" ref="CU8">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46204</v>
      </c>
      <c r="CV8" s="35">
        <f>WORKDAY(FCBS[[#This Row],[Maturity Date (T2)]],OISPaymentDelay,Holidays_NSWPublic)</f>
        <v>46206</v>
      </c>
      <c r="CW8" s="28" t="b">
        <f>FCBS[[#This Row],[Basis Spread]]&lt;&gt;""</f>
        <v>1</v>
      </c>
      <c r="CX8" s="28" t="b">
        <f>FCBS[[#This Row],[Valid]]</f>
        <v>1</v>
      </c>
      <c r="CY8" s="22">
        <f>FCBS[[#This Row],[Valid]]*1</f>
        <v>1</v>
      </c>
      <c r="CZ8" s="46">
        <f>IF(FCBS[[#This Row],[Valid]],SUM(FCBS[[#Headers],[Flag]]:FCBS[[#This Row],[Flag]]),0)</f>
        <v>3</v>
      </c>
      <c r="DA8" s="5">
        <v>0.91596201307350322</v>
      </c>
    </row>
    <row r="9" spans="2:105">
      <c r="B9" s="4" t="s">
        <v>267</v>
      </c>
      <c r="C9" s="190" t="s">
        <v>265</v>
      </c>
      <c r="F9" s="11" t="s">
        <v>258</v>
      </c>
      <c r="G9" s="11"/>
      <c r="H9" s="12" t="s">
        <v>190</v>
      </c>
      <c r="I9" s="12"/>
      <c r="J9" s="116"/>
      <c r="K9" s="13" t="s">
        <v>153</v>
      </c>
      <c r="L9" s="12"/>
      <c r="M9" s="13"/>
      <c r="N9" s="13"/>
      <c r="O9" s="13"/>
      <c r="P9" s="13"/>
      <c r="Q9" s="14"/>
      <c r="R9" s="68" t="s">
        <v>154</v>
      </c>
      <c r="S9" s="68"/>
      <c r="T9" s="68"/>
      <c r="U9" s="68"/>
      <c r="V9" s="69"/>
      <c r="W9" s="67" t="s">
        <v>261</v>
      </c>
      <c r="X9" s="69"/>
      <c r="Z9" s="84" t="s">
        <v>182</v>
      </c>
      <c r="AA9" s="85">
        <v>95</v>
      </c>
      <c r="AB9" s="85">
        <v>0</v>
      </c>
      <c r="AC9" s="118">
        <f t="shared" si="3"/>
        <v>46093</v>
      </c>
      <c r="AD9" s="124">
        <f t="shared" si="0"/>
        <v>0.91978917020971596</v>
      </c>
      <c r="AE9" s="132">
        <f>IF(AF9,-LN(Input!$AO9)/YEARFRAC(CurveDate,Input!$AL9,DCB_CCZR),"")</f>
        <v>4.9064214270066575E-2</v>
      </c>
      <c r="AF9" s="28" t="b">
        <f>Input!$Z9&lt;&gt;""</f>
        <v>1</v>
      </c>
      <c r="AG9" s="83">
        <f>IF(Input!$AF9,(100-Input!$AA9)/100,"")</f>
        <v>0.05</v>
      </c>
      <c r="AH9" s="83">
        <f>IF(Input!$AF9,AG9-AB9%,"")</f>
        <v>0.05</v>
      </c>
      <c r="AI9" s="91">
        <f>IF(Input!$AF9,_xlfn.XLOOKUP(Input!$Z9,BBSWFuturesContractDefinitions[Data Validation],BBSWFuturesContractDefinitions[Contract Expiry]),"")</f>
        <v>46002</v>
      </c>
      <c r="AJ9" s="82">
        <f>IF(Input!$AF9,_xlfn.XLOOKUP(Input!$Z9,BBSWFuturesContractDefinitions[Data Validation],BBSWFuturesContractDefinitions[Settlement Day]),"")</f>
        <v>46003</v>
      </c>
      <c r="AK9" s="82">
        <f>Input!$AJ9</f>
        <v>46003</v>
      </c>
      <c r="AL9" s="82">
        <f t="shared" si="1"/>
        <v>46093</v>
      </c>
      <c r="AM9" s="99">
        <f>IF(Input!$AF9,YEARFRAC(Input!$AK9,Input!$AL9,DayCount_AUD),"")</f>
        <v>0.24657534246575341</v>
      </c>
      <c r="AN9" s="96" cm="1">
        <f t="array" ref="AN9">IF(Input!$AF9,Linterp(_xlfn.VSTACK(_xlfn.ANCHORARRAY(Input!$W$4),$AL$4:AL8),_xlfn.VSTACK(_xlfn.ANCHORARRAY(Input!$X$4),$AO$4:AO8),Input!$AK9,1,TRUE),"")</f>
        <v>0.93112903669175351</v>
      </c>
      <c r="AO9" s="186">
        <f>IF(Input!$AF9,Input!$AN9/(1+Input!$AH9*Input!$AM9))</f>
        <v>0.91978917020971596</v>
      </c>
      <c r="AP9" s="127">
        <v>46093</v>
      </c>
      <c r="AQ9" s="49">
        <v>0.91978917020971596</v>
      </c>
      <c r="AR9" s="28" t="b">
        <v>0</v>
      </c>
      <c r="AS9" s="28" t="b">
        <v>1</v>
      </c>
      <c r="AT9" s="50">
        <v>46093</v>
      </c>
      <c r="AU9" s="51">
        <v>0.91978917020971596</v>
      </c>
      <c r="AW9" s="55" t="s">
        <v>12</v>
      </c>
      <c r="AX9" s="33" t="s">
        <v>0</v>
      </c>
      <c r="AY9" s="115" t="str">
        <f>IF(BBSW3MSwaps[[#This Row],[Numerical Solve]],BBSW3MSwaps[[#This Row],[Maturity Date, T2]],"")</f>
        <v/>
      </c>
      <c r="AZ9" s="142" t="str">
        <f>IF(BBSW3MSwaps[[#This Row],[Numerical Solve]],BBSW3MSwaps[[#This Row],[Solved DF]],"")</f>
        <v/>
      </c>
      <c r="BA9" s="143" t="str">
        <f>IF(BBSW3MSwaps[[#This Row],[Numerical Solve]],-1*LN(BBSW3MSwaps[[#This Row],[Solved DF]])/YEARFRAC(CurveDate,BBSW3MSwaps[[#This Row],[Maturity Date, T2]],DCB_CCZR),"")</f>
        <v/>
      </c>
      <c r="BB9" s="34" t="str">
        <f>LEFT(BBSW3MSwaps[[#This Row],[Tenor]],LEN(BBSW3MSwaps[[#This Row],[Tenor]])-1)</f>
        <v>6</v>
      </c>
      <c r="BC9" s="35">
        <f t="shared" si="2"/>
        <v>45474</v>
      </c>
      <c r="BD9" s="35">
        <f>WORKDAY(EDATE(BBSW3MSwaps[[#This Row],[Effective Date, T1]],BBSW3MSwaps[[#This Row],[Years]]*12)-1,1,Holidays_NSWPublic)</f>
        <v>47665</v>
      </c>
      <c r="BE9" s="38" t="s">
        <v>25</v>
      </c>
      <c r="BF9" s="39" t="s">
        <v>24</v>
      </c>
      <c r="BG9" s="41" t="b">
        <f>BBSW3MSwaps[[#This Row],[Par Swap Rate]]&lt;&gt;""</f>
        <v>0</v>
      </c>
      <c r="BH9" s="28" t="b">
        <f>BBSW3MSwaps[[#This Row],[Maturity Date, T2]]&gt;MAX(_xlfn.ANCHORARRAY($AP$4))</f>
        <v>1</v>
      </c>
      <c r="BI9" s="28" t="b" cm="1">
        <f t="array" ref="BI9">_xlfn.IFS(
NOT(ApplyFutures),BBSW3MSwaps[[#This Row],[Valid Input]],
FuturesPriority="Below Swaps",BBSW3MSwaps[[#This Row],[Valid Input]],
FuturesPriority="Above Swaps",AND(BBSW3MSwaps[[#This Row],[Valid Input]],BBSW3MSwaps[[#This Row],[Tenor &gt; Max(Futures)]]))</f>
        <v>0</v>
      </c>
      <c r="BJ9" s="28">
        <f>BBSW3MSwaps[[#This Row],[Numerical Solve]]*1</f>
        <v>0</v>
      </c>
      <c r="BK9" s="41">
        <f>IF(BBSW3MSwaps[[#This Row],[Numerical Solve]],SUM(BBSW3MSwaps[[#Headers],[Flag]]:BBSW3MSwaps[[#This Row],[Flag]]),0)</f>
        <v>0</v>
      </c>
      <c r="BL9" s="134"/>
      <c r="BM9" s="42"/>
      <c r="BN9" s="334" t="s">
        <v>37</v>
      </c>
      <c r="BO9" s="333">
        <v>4.3</v>
      </c>
      <c r="BP9" s="115">
        <f>IF(AONIA[[#This Row],[Valid]],AONIA[[#This Row],[Maturity Date (T2)]],"")</f>
        <v>45505</v>
      </c>
      <c r="BQ9" s="142" cm="1">
        <f t="array" ref="BQ9">IF(AONIA[[#This Row],[Valid]],Linterp(_xlfn.ANCHORARRAY(Curves!$G$4),_xlfn.ANCHORARRAY(Curves!$J$4),AONIA[[#This Row],[Maturity]],-1,TRUE),"")</f>
        <v>0.99600921996018177</v>
      </c>
      <c r="BR9" s="143">
        <f>IF(AONIA[[#This Row],[Valid]],-1*LN(AONIA[[#This Row],[DF]])/YEARFRAC(CurveDate,AONIA[[#This Row],[Maturity]],DCB_CCZR),"")</f>
        <v>4.2927912502097335E-2</v>
      </c>
      <c r="BS9" s="343" t="b">
        <v>1</v>
      </c>
      <c r="BT9" s="110">
        <f>IF(AONIA[[#This Row],[Has Settle Delay]],SettlementDelayAUD,0)</f>
        <v>1</v>
      </c>
      <c r="BU9" s="35">
        <f>WORKDAY(CurveDate,AONIA[[#This Row],[Settle Delay]],Holidays_NSWPublic)</f>
        <v>45474</v>
      </c>
      <c r="BV9" s="8">
        <v>1</v>
      </c>
      <c r="BW9" s="8" t="s">
        <v>17</v>
      </c>
      <c r="BX9" s="35" cm="1">
        <f t="array" ref="BX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45505</v>
      </c>
      <c r="BY9" s="47">
        <f>WORKDAY(AONIA[[#This Row],[Maturity Date (T2)]],OISPaymentDelay,Holidays_NSWPublic)</f>
        <v>45510</v>
      </c>
      <c r="BZ9" s="41" t="b">
        <f>AONIA[[#This Row],[Par Swap Rate]]&lt;&gt;""</f>
        <v>1</v>
      </c>
      <c r="CA9" s="28" t="b">
        <v>1</v>
      </c>
      <c r="CB9" s="28" t="b">
        <f>AND(AONIA[[#This Row],[Valid]],AONIA[[#This Row],[Zero-coupon?]])</f>
        <v>1</v>
      </c>
      <c r="CC9" s="28" t="b">
        <f>AND(AONIA[[#This Row],[Valid]],NOT(AONIA[[#This Row],[Analytical Solve]]))</f>
        <v>0</v>
      </c>
      <c r="CD9" s="312">
        <f>AONIA[[#This Row],[Numerical Solve]]*1</f>
        <v>0</v>
      </c>
      <c r="CE9" s="153">
        <f>IF(AONIA[[#This Row],[Analytical Solve]],1+AONIA[[#This Row],[Par Swap Rate]]%*YEARFRAC(AONIA[[#This Row],[Settle Date (T1)]],AONIA[[#This Row],[Maturity Date (T2)]],DayCount_AUD),"")</f>
        <v>1.0036520547945205</v>
      </c>
      <c r="CF9" s="150" cm="1">
        <f t="array" ref="CF9">IF(AONIA[[#This Row],[Analytical Solve]],_xlfn.IFS(AONIA[[#This Row],[Settle Date (T1)]]=CurveDate,1,TRUE,_xlfn.XLOOKUP(AONIA[[#This Row],[Settle Date (T1)]],AONIA[Maturity Date (T2)],AONIA[DF(T2)])),"")</f>
        <v>0.99964670020732393</v>
      </c>
      <c r="CG9" s="346">
        <f>IF(AONIA[[#This Row],[Analytical Solve]],AONIA[[#This Row],[DF(T1)]]/AONIA[[#This Row],[1+r𝛿]],"")</f>
        <v>0.99600921996018177</v>
      </c>
      <c r="CH9" s="46">
        <f>IF(AONIA[[#This Row],[Numerical Solve]],SUM(AONIA[[#Headers],[Flag]]:AONIA[[#This Row],[Flag]]),0)</f>
        <v>0</v>
      </c>
      <c r="CI9" s="183"/>
      <c r="CJ9" s="42"/>
      <c r="CK9" s="103" t="s">
        <v>15</v>
      </c>
      <c r="CL9" s="33">
        <v>15</v>
      </c>
      <c r="CM9" s="115">
        <f>IF(FCBS[[#This Row],[Valid]],FCBS[[#This Row],[Maturity Date (T2)]],"")</f>
        <v>46569</v>
      </c>
      <c r="CN9" s="142" cm="1">
        <f t="array" ref="CN9">IF(FCBS[[#This Row],[Valid]],Linterp(_xlfn.ANCHORARRAY(Curves!$AA$4),_xlfn.ANCHORARRAY(Curves!$AD$4),FCBS[[#This Row],[Maturity]],-1,TRUE),"")</f>
        <v>0.87710207898819892</v>
      </c>
      <c r="CO9" s="143">
        <f>IF(FCBS[[#This Row],[Valid]],-1*LN(FCBS[[#This Row],[DF]])/YEARFRAC(CurveDate,FCBS[[#This Row],[Maturity]],DCB_CCZR),"")</f>
        <v>4.3591204618744411E-2</v>
      </c>
      <c r="CP9" s="142" t="b">
        <v>1</v>
      </c>
      <c r="CQ9" s="110">
        <f>IF(FCBS[[#This Row],[Has Settle Delay]],SettlementDelayAUD,0)</f>
        <v>1</v>
      </c>
      <c r="CR9" s="35">
        <f>WORKDAY(CurveDate,FCBS[[#This Row],[Settle Delay]],Holidays_NSWPublic)</f>
        <v>45474</v>
      </c>
      <c r="CS9" s="8">
        <v>3</v>
      </c>
      <c r="CT9" s="8" t="s">
        <v>1</v>
      </c>
      <c r="CU9" s="35" cm="1">
        <f t="array" ref="CU9">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46569</v>
      </c>
      <c r="CV9" s="35">
        <f>WORKDAY(FCBS[[#This Row],[Maturity Date (T2)]],OISPaymentDelay,Holidays_NSWPublic)</f>
        <v>46573</v>
      </c>
      <c r="CW9" s="28" t="b">
        <f>FCBS[[#This Row],[Basis Spread]]&lt;&gt;""</f>
        <v>1</v>
      </c>
      <c r="CX9" s="28" t="b">
        <f>FCBS[[#This Row],[Valid]]</f>
        <v>1</v>
      </c>
      <c r="CY9" s="22">
        <f>FCBS[[#This Row],[Valid]]*1</f>
        <v>1</v>
      </c>
      <c r="CZ9" s="46">
        <f>IF(FCBS[[#This Row],[Valid]],SUM(FCBS[[#Headers],[Flag]]:FCBS[[#This Row],[Flag]]),0)</f>
        <v>4</v>
      </c>
      <c r="DA9" s="5">
        <v>0.87668318509463072</v>
      </c>
    </row>
    <row r="10" spans="2:105">
      <c r="B10" s="52" t="s">
        <v>296</v>
      </c>
      <c r="C10" s="54" t="b">
        <v>0</v>
      </c>
      <c r="F10" s="63" t="s">
        <v>44</v>
      </c>
      <c r="G10" s="63" t="s">
        <v>51</v>
      </c>
      <c r="H10" s="63" t="s">
        <v>243</v>
      </c>
      <c r="I10" s="64" t="s">
        <v>189</v>
      </c>
      <c r="J10" s="62" t="s">
        <v>133</v>
      </c>
      <c r="K10" s="64" t="s">
        <v>185</v>
      </c>
      <c r="L10" s="63" t="s">
        <v>188</v>
      </c>
      <c r="M10" s="64" t="s">
        <v>50</v>
      </c>
      <c r="N10" s="65" t="s">
        <v>69</v>
      </c>
      <c r="O10" s="64" t="s">
        <v>49</v>
      </c>
      <c r="P10" s="64" t="s">
        <v>150</v>
      </c>
      <c r="Q10" s="62" t="s">
        <v>54</v>
      </c>
      <c r="R10" s="64" t="s">
        <v>61</v>
      </c>
      <c r="S10" s="66" t="s">
        <v>152</v>
      </c>
      <c r="T10" s="64" t="s">
        <v>47</v>
      </c>
      <c r="U10" s="64" t="s">
        <v>46</v>
      </c>
      <c r="V10" s="64" t="s">
        <v>53</v>
      </c>
      <c r="W10" s="16" t="s">
        <v>45</v>
      </c>
      <c r="X10" s="17" t="s">
        <v>46</v>
      </c>
      <c r="Z10" s="84" t="s">
        <v>183</v>
      </c>
      <c r="AA10" s="85">
        <v>95</v>
      </c>
      <c r="AB10" s="85">
        <v>0</v>
      </c>
      <c r="AC10" s="118">
        <f t="shared" si="3"/>
        <v>46188</v>
      </c>
      <c r="AD10" s="124">
        <f t="shared" si="0"/>
        <v>0.90797225308992169</v>
      </c>
      <c r="AE10" s="132">
        <f>IF(AF10,-LN(Input!$AO10)/YEARFRAC(CurveDate,Input!$AL10,DCB_CCZR),"")</f>
        <v>4.9145931071618597E-2</v>
      </c>
      <c r="AF10" s="28" t="b">
        <f>Input!$Z10&lt;&gt;""</f>
        <v>1</v>
      </c>
      <c r="AG10" s="83">
        <f>IF(Input!$AF10,(100-Input!$AA10)/100,"")</f>
        <v>0.05</v>
      </c>
      <c r="AH10" s="83">
        <f>IF(Input!$AF10,AG10-AB10%,"")</f>
        <v>0.05</v>
      </c>
      <c r="AI10" s="91">
        <f>IF(Input!$AF10,_xlfn.XLOOKUP(Input!$Z10,BBSWFuturesContractDefinitions[Data Validation],BBSWFuturesContractDefinitions[Contract Expiry]),"")</f>
        <v>46093</v>
      </c>
      <c r="AJ10" s="82">
        <f>IF(Input!$AF10,_xlfn.XLOOKUP(Input!$Z10,BBSWFuturesContractDefinitions[Data Validation],BBSWFuturesContractDefinitions[Settlement Day]),"")</f>
        <v>46094</v>
      </c>
      <c r="AK10" s="82">
        <f>Input!$AJ10</f>
        <v>46094</v>
      </c>
      <c r="AL10" s="82">
        <f t="shared" si="1"/>
        <v>46188</v>
      </c>
      <c r="AM10" s="99">
        <f>IF(Input!$AF10,YEARFRAC(Input!$AK10,Input!$AL10,DayCount_AUD),"")</f>
        <v>0.25753424657534246</v>
      </c>
      <c r="AN10" s="96" cm="1">
        <f t="array" ref="AN10">IF(Input!$AF10,Linterp(_xlfn.VSTACK(_xlfn.ANCHORARRAY(Input!$W$4),$AL$4:AL9),_xlfn.VSTACK(_xlfn.ANCHORARRAY(Input!$X$4),$AO$4:AO9),Input!$AK10,1,TRUE),"")</f>
        <v>0.91966395059546324</v>
      </c>
      <c r="AO10" s="186">
        <f>IF(Input!$AF10,Input!$AN10/(1+Input!$AH10*Input!$AM10))</f>
        <v>0.90797225308992169</v>
      </c>
      <c r="AP10" s="127">
        <v>46188</v>
      </c>
      <c r="AQ10" s="49">
        <v>0.90797225308992169</v>
      </c>
      <c r="AR10" s="28" t="b">
        <v>0</v>
      </c>
      <c r="AS10" s="28" t="b">
        <v>1</v>
      </c>
      <c r="AT10" s="50">
        <v>46188</v>
      </c>
      <c r="AU10" s="51">
        <v>0.90797225308992169</v>
      </c>
      <c r="AW10" s="55" t="s">
        <v>11</v>
      </c>
      <c r="AX10" s="33">
        <v>4.5</v>
      </c>
      <c r="AY10" s="115">
        <f>IF(BBSW3MSwaps[[#This Row],[Numerical Solve]],BBSW3MSwaps[[#This Row],[Maturity Date, T2]],"")</f>
        <v>48030</v>
      </c>
      <c r="AZ10" s="142">
        <f>IF(BBSW3MSwaps[[#This Row],[Numerical Solve]],BBSW3MSwaps[[#This Row],[Solved DF]],"")</f>
        <v>0.73249823039659756</v>
      </c>
      <c r="BA10" s="143">
        <f>IF(BBSW3MSwaps[[#This Row],[Numerical Solve]],-1*LN(BBSW3MSwaps[[#This Row],[Solved DF]])/YEARFRAC(CurveDate,BBSW3MSwaps[[#This Row],[Maturity Date, T2]],DCB_CCZR),"")</f>
        <v>4.4401109490484238E-2</v>
      </c>
      <c r="BB10" s="34" t="str">
        <f>LEFT(BBSW3MSwaps[[#This Row],[Tenor]],LEN(BBSW3MSwaps[[#This Row],[Tenor]])-1)</f>
        <v>7</v>
      </c>
      <c r="BC10" s="35">
        <f t="shared" si="2"/>
        <v>45474</v>
      </c>
      <c r="BD10" s="35">
        <f>WORKDAY(EDATE(BBSW3MSwaps[[#This Row],[Effective Date, T1]],BBSW3MSwaps[[#This Row],[Years]]*12)-1,1,Holidays_NSWPublic)</f>
        <v>48030</v>
      </c>
      <c r="BE10" s="38" t="s">
        <v>25</v>
      </c>
      <c r="BF10" s="39" t="s">
        <v>24</v>
      </c>
      <c r="BG10" s="41" t="b">
        <f>BBSW3MSwaps[[#This Row],[Par Swap Rate]]&lt;&gt;""</f>
        <v>1</v>
      </c>
      <c r="BH10" s="28" t="b">
        <f>BBSW3MSwaps[[#This Row],[Maturity Date, T2]]&gt;MAX(_xlfn.ANCHORARRAY($AP$4))</f>
        <v>1</v>
      </c>
      <c r="BI10" s="28" t="b" cm="1">
        <f t="array" ref="BI10">_xlfn.IFS(
NOT(ApplyFutures),BBSW3MSwaps[[#This Row],[Valid Input]],
FuturesPriority="Below Swaps",BBSW3MSwaps[[#This Row],[Valid Input]],
FuturesPriority="Above Swaps",AND(BBSW3MSwaps[[#This Row],[Valid Input]],BBSW3MSwaps[[#This Row],[Tenor &gt; Max(Futures)]]))</f>
        <v>1</v>
      </c>
      <c r="BJ10" s="28">
        <f>BBSW3MSwaps[[#This Row],[Numerical Solve]]*1</f>
        <v>1</v>
      </c>
      <c r="BK10" s="41">
        <f>IF(BBSW3MSwaps[[#This Row],[Numerical Solve]],SUM(BBSW3MSwaps[[#Headers],[Flag]]:BBSW3MSwaps[[#This Row],[Flag]]),0)</f>
        <v>4</v>
      </c>
      <c r="BL10" s="134">
        <v>0.73249823039659756</v>
      </c>
      <c r="BM10" s="42"/>
      <c r="BN10" s="334" t="s">
        <v>35</v>
      </c>
      <c r="BO10" s="333">
        <v>4.3</v>
      </c>
      <c r="BP10" s="115">
        <f>IF(AONIA[[#This Row],[Valid]],AONIA[[#This Row],[Maturity Date (T2)]],"")</f>
        <v>45537</v>
      </c>
      <c r="BQ10" s="142" cm="1">
        <f t="array" ref="BQ10">IF(AONIA[[#This Row],[Valid]],Linterp(_xlfn.ANCHORARRAY(Curves!$G$4),_xlfn.ANCHORARRAY(Curves!$J$4),AONIA[[#This Row],[Maturity]],-1,TRUE),"")</f>
        <v>0.99228206428364074</v>
      </c>
      <c r="BR10" s="143">
        <f>IF(AONIA[[#This Row],[Valid]],-1*LN(AONIA[[#This Row],[DF]])/YEARFRAC(CurveDate,AONIA[[#This Row],[Maturity]],DCB_CCZR),"")</f>
        <v>4.2848086184702178E-2</v>
      </c>
      <c r="BS10" s="343" t="b">
        <v>1</v>
      </c>
      <c r="BT10" s="110">
        <f>IF(AONIA[[#This Row],[Has Settle Delay]],SettlementDelayAUD,0)</f>
        <v>1</v>
      </c>
      <c r="BU10" s="35">
        <f>WORKDAY(CurveDate,AONIA[[#This Row],[Settle Delay]],Holidays_NSWPublic)</f>
        <v>45474</v>
      </c>
      <c r="BV10" s="8">
        <v>2</v>
      </c>
      <c r="BW10" s="8" t="s">
        <v>17</v>
      </c>
      <c r="BX10" s="35" cm="1">
        <f t="array" ref="BX1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45537</v>
      </c>
      <c r="BY10" s="47">
        <f>WORKDAY(AONIA[[#This Row],[Maturity Date (T2)]],OISPaymentDelay,Holidays_NSWPublic)</f>
        <v>45539</v>
      </c>
      <c r="BZ10" s="41" t="b">
        <f>AONIA[[#This Row],[Par Swap Rate]]&lt;&gt;""</f>
        <v>1</v>
      </c>
      <c r="CA10" s="28" t="b">
        <v>1</v>
      </c>
      <c r="CB10" s="28" t="b">
        <f>AND(AONIA[[#This Row],[Valid]],AONIA[[#This Row],[Zero-coupon?]])</f>
        <v>1</v>
      </c>
      <c r="CC10" s="28" t="b">
        <f>AND(AONIA[[#This Row],[Valid]],NOT(AONIA[[#This Row],[Analytical Solve]]))</f>
        <v>0</v>
      </c>
      <c r="CD10" s="312">
        <f>AONIA[[#This Row],[Numerical Solve]]*1</f>
        <v>0</v>
      </c>
      <c r="CE10" s="153">
        <f>IF(AONIA[[#This Row],[Analytical Solve]],1+AONIA[[#This Row],[Par Swap Rate]]%*YEARFRAC(AONIA[[#This Row],[Settle Date (T1)]],AONIA[[#This Row],[Maturity Date (T2)]],DayCount_AUD),"")</f>
        <v>1.0074219178082191</v>
      </c>
      <c r="CF10" s="150" cm="1">
        <f t="array" ref="CF10">IF(AONIA[[#This Row],[Analytical Solve]],_xlfn.IFS(AONIA[[#This Row],[Settle Date (T1)]]=CurveDate,1,TRUE,_xlfn.XLOOKUP(AONIA[[#This Row],[Settle Date (T1)]],AONIA[Maturity Date (T2)],AONIA[DF(T2)])),"")</f>
        <v>0.99964670020732393</v>
      </c>
      <c r="CG10" s="346">
        <f>IF(AONIA[[#This Row],[Analytical Solve]],AONIA[[#This Row],[DF(T1)]]/AONIA[[#This Row],[1+r𝛿]],"")</f>
        <v>0.99228206428364074</v>
      </c>
      <c r="CH10" s="46">
        <f>IF(AONIA[[#This Row],[Numerical Solve]],SUM(AONIA[[#Headers],[Flag]]:AONIA[[#This Row],[Flag]]),0)</f>
        <v>0</v>
      </c>
      <c r="CI10" s="183"/>
      <c r="CJ10" s="42"/>
      <c r="CK10" s="103" t="s">
        <v>14</v>
      </c>
      <c r="CL10" s="33">
        <v>15</v>
      </c>
      <c r="CM10" s="115">
        <f>IF(FCBS[[#This Row],[Valid]],FCBS[[#This Row],[Maturity Date (T2)]],"")</f>
        <v>46937</v>
      </c>
      <c r="CN10" s="142" cm="1">
        <f t="array" ref="CN10">IF(FCBS[[#This Row],[Valid]],Linterp(_xlfn.ANCHORARRAY(Curves!$AA$4),_xlfn.ANCHORARRAY(Curves!$AD$4),FCBS[[#This Row],[Maturity]],-1,TRUE),"")</f>
        <v>0.83938738337026231</v>
      </c>
      <c r="CO10" s="143">
        <f>IF(FCBS[[#This Row],[Valid]],-1*LN(FCBS[[#This Row],[DF]])/YEARFRAC(CurveDate,FCBS[[#This Row],[Maturity]],DCB_CCZR),"")</f>
        <v>4.359159613648568E-2</v>
      </c>
      <c r="CP10" s="142" t="b">
        <v>1</v>
      </c>
      <c r="CQ10" s="110">
        <f>IF(FCBS[[#This Row],[Has Settle Delay]],SettlementDelayAUD,0)</f>
        <v>1</v>
      </c>
      <c r="CR10" s="35">
        <f>WORKDAY(CurveDate,FCBS[[#This Row],[Settle Delay]],Holidays_NSWPublic)</f>
        <v>45474</v>
      </c>
      <c r="CS10" s="8">
        <v>4</v>
      </c>
      <c r="CT10" s="8" t="s">
        <v>1</v>
      </c>
      <c r="CU10" s="35" cm="1">
        <f t="array" ref="CU10">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46937</v>
      </c>
      <c r="CV10" s="35">
        <f>WORKDAY(FCBS[[#This Row],[Maturity Date (T2)]],OISPaymentDelay,Holidays_NSWPublic)</f>
        <v>46939</v>
      </c>
      <c r="CW10" s="28" t="b">
        <f>FCBS[[#This Row],[Basis Spread]]&lt;&gt;""</f>
        <v>1</v>
      </c>
      <c r="CX10" s="28" t="b">
        <f>FCBS[[#This Row],[Valid]]</f>
        <v>1</v>
      </c>
      <c r="CY10" s="22">
        <f>FCBS[[#This Row],[Valid]]*1</f>
        <v>1</v>
      </c>
      <c r="CZ10" s="46">
        <f>IF(FCBS[[#This Row],[Valid]],SUM(FCBS[[#Headers],[Flag]]:FCBS[[#This Row],[Flag]]),0)</f>
        <v>5</v>
      </c>
      <c r="DA10" s="5">
        <v>0.83918690737747992</v>
      </c>
    </row>
    <row r="11" spans="2:105">
      <c r="B11" s="52" t="s">
        <v>36</v>
      </c>
      <c r="C11" s="54" t="b">
        <v>1</v>
      </c>
      <c r="F11" s="19" t="s">
        <v>43</v>
      </c>
      <c r="G11" s="70">
        <v>4.3</v>
      </c>
      <c r="H11" s="115">
        <f>IF(BankBillRates1M[[#This Row],[Applied]],BankBillRates1M[[#This Row],[Maturity Date (T2)]],"")</f>
        <v>45474</v>
      </c>
      <c r="I11" s="142">
        <f>IF(BankBillRates1M[[#This Row],[Valid Input]],BankBillRates1M[[#This Row],[DF(T2)]],"")</f>
        <v>0.99964670020732393</v>
      </c>
      <c r="J11" s="141">
        <f>IF(NOT(BankBillRates1M[[#This Row],[Valid Input]]),"",-LN(BankBillRates1M[[#This Row],[DF(T2)]])/YEARFRAC(CurveDate,BankBillRates1M[[#This Row],[Maturity Date (T2)]],DCB_CCZR))</f>
        <v>4.2992403159757067E-2</v>
      </c>
      <c r="K11" s="28" t="b">
        <f>BankBillRates1M[[#This Row],[Rate]]&lt;&gt;""</f>
        <v>1</v>
      </c>
      <c r="L11" s="20" t="b">
        <v>0</v>
      </c>
      <c r="M11" s="22">
        <f>IF(BankBillRates1M[[#This Row],[Has Settle Delay]],SettlementDelayAUD,0)</f>
        <v>0</v>
      </c>
      <c r="N11" s="21" t="s">
        <v>151</v>
      </c>
      <c r="O11" s="22">
        <v>1</v>
      </c>
      <c r="P11" s="23">
        <f>WORKDAY(CurveDate,BankBillRates1M[[#This Row],[Settle Delay]],Holidays_NSWPublic)</f>
        <v>45471</v>
      </c>
      <c r="Q11" s="24">
        <f>IF(BankBillRates1M[[#This Row],[Offset Type]]="Business Day",WORKDAY(BankBillRates1M[[#This Row],[Effective Date (T1)]],BankBillRates1M[[#This Row],[Offset]],Holidays_NSWPublic),WORKDAY(EDATE(BankBillRates1M[[#This Row],[Effective Date (T1)]],BankBillRates1M[[#This Row],[Offset]])-1,1,Holidays_NSWPublic))</f>
        <v>45474</v>
      </c>
      <c r="R11" s="25">
        <f>IF(NOT(BankBillRates1M[[#This Row],[Valid Input]]),"",YEARFRAC(BankBillRates1M[[#This Row],[Effective Date (T1)]],BankBillRates1M[[#This Row],[Maturity Date (T2)]],DayCount_AUD))</f>
        <v>8.21917808219178E-3</v>
      </c>
      <c r="S11" s="26">
        <f>IF(NOT(BankBillRates1M[[#This Row],[Valid Input]]),"",1+BankBillRates1M[[#This Row],[Rate]]%*BankBillRates1M[[#This Row],[𝛿(T1,T2)]])</f>
        <v>1.0003534246575343</v>
      </c>
      <c r="T11" s="26">
        <f>IF(NOT(BankBillRates1M[[#This Row],[Valid Input]]),"",IF(BankBillRates1M[[#This Row],[Effective Date (T1)]]=CurveDate,1,_xlfn.XLOOKUP(BankBillRates1M[[#This Row],[Effective Date (T1)]],BankBillRates1M[Maturity Date (T2)],BankBillRates1M[DF(T2)])))</f>
        <v>1</v>
      </c>
      <c r="U11" s="26">
        <f>IF(NOT(BankBillRates1M[[#This Row],[Valid Input]]),"",BankBillRates1M[[#This Row],[DF(T1)]]/BankBillRates1M[[#This Row],[1+r*𝛿(T1,T2)]])</f>
        <v>0.99964670020732393</v>
      </c>
      <c r="V11" s="28" t="b">
        <f>BankBillRates1M[[#This Row],[Valid Input]]</f>
        <v>1</v>
      </c>
      <c r="W11" s="27" cm="1">
        <f t="array" ref="W11:W14">_xlfn._xlws.FILTER(BankBillRates1M[Maturity Date (T2)],BankBillRates1M[Applied]=TRUE)</f>
        <v>45474</v>
      </c>
      <c r="X11" s="183" cm="1">
        <f t="array" ref="X11:X14">_xlfn._xlws.FILTER(BankBillRates1M[DF(T2)],BankBillRates1M[Applied])</f>
        <v>0.99964670020732393</v>
      </c>
      <c r="Z11" s="84" t="s">
        <v>184</v>
      </c>
      <c r="AA11" s="85">
        <v>95</v>
      </c>
      <c r="AB11" s="85">
        <v>0</v>
      </c>
      <c r="AC11" s="118">
        <f t="shared" si="3"/>
        <v>46279</v>
      </c>
      <c r="AD11" s="124">
        <f t="shared" si="0"/>
        <v>0.89679531191107931</v>
      </c>
      <c r="AE11" s="132">
        <f>IF(AF11,-LN(Input!$AO11)/YEARFRAC(CurveDate,Input!$AL11,DCB_CCZR),"")</f>
        <v>4.9206171666525265E-2</v>
      </c>
      <c r="AF11" s="28" t="b">
        <f>Input!$Z11&lt;&gt;""</f>
        <v>1</v>
      </c>
      <c r="AG11" s="83">
        <f>IF(Input!$AF11,(100-Input!$AA11)/100,"")</f>
        <v>0.05</v>
      </c>
      <c r="AH11" s="83">
        <f>IF(Input!$AF11,AG11-AB11%,"")</f>
        <v>0.05</v>
      </c>
      <c r="AI11" s="91">
        <f>IF(Input!$AF11,_xlfn.XLOOKUP(Input!$Z11,BBSWFuturesContractDefinitions[Data Validation],BBSWFuturesContractDefinitions[Contract Expiry]),"")</f>
        <v>46184</v>
      </c>
      <c r="AJ11" s="82">
        <f>IF(Input!$AF11,_xlfn.XLOOKUP(Input!$Z11,BBSWFuturesContractDefinitions[Data Validation],BBSWFuturesContractDefinitions[Settlement Day]),"")</f>
        <v>46185</v>
      </c>
      <c r="AK11" s="82">
        <f>Input!$AJ11</f>
        <v>46185</v>
      </c>
      <c r="AL11" s="82">
        <f t="shared" si="1"/>
        <v>46279</v>
      </c>
      <c r="AM11" s="99">
        <f>IF(Input!$AF11,YEARFRAC(Input!$AK11,Input!$AL11,DayCount_AUD),"")</f>
        <v>0.25753424657534246</v>
      </c>
      <c r="AN11" s="96" cm="1">
        <f t="array" ref="AN11">IF(Input!$AF11,Linterp(_xlfn.VSTACK(_xlfn.ANCHORARRAY(Input!$W$4),$AL$4:AL10),_xlfn.VSTACK(_xlfn.ANCHORARRAY(Input!$X$4),$AO$4:AO10),Input!$AK11,1,TRUE),"")</f>
        <v>0.90834308716034529</v>
      </c>
      <c r="AO11" s="186">
        <f>IF(Input!$AF11,Input!$AN11/(1+Input!$AH11*Input!$AM11))</f>
        <v>0.89679531191107931</v>
      </c>
      <c r="AP11" s="127">
        <v>46279</v>
      </c>
      <c r="AQ11" s="49">
        <v>0.89679531191107931</v>
      </c>
      <c r="AR11" s="28" t="b">
        <v>0</v>
      </c>
      <c r="AS11" s="28" t="b">
        <v>1</v>
      </c>
      <c r="AT11" s="50">
        <v>46279</v>
      </c>
      <c r="AU11" s="51">
        <v>0.89679531191107931</v>
      </c>
      <c r="AW11" s="55" t="s">
        <v>10</v>
      </c>
      <c r="AX11" s="33" t="s">
        <v>0</v>
      </c>
      <c r="AY11" s="115" t="str">
        <f>IF(BBSW3MSwaps[[#This Row],[Numerical Solve]],BBSW3MSwaps[[#This Row],[Maturity Date, T2]],"")</f>
        <v/>
      </c>
      <c r="AZ11" s="142" t="str">
        <f>IF(BBSW3MSwaps[[#This Row],[Numerical Solve]],BBSW3MSwaps[[#This Row],[Solved DF]],"")</f>
        <v/>
      </c>
      <c r="BA11" s="143" t="str">
        <f>IF(BBSW3MSwaps[[#This Row],[Numerical Solve]],-1*LN(BBSW3MSwaps[[#This Row],[Solved DF]])/YEARFRAC(CurveDate,BBSW3MSwaps[[#This Row],[Maturity Date, T2]],DCB_CCZR),"")</f>
        <v/>
      </c>
      <c r="BB11" s="34" t="str">
        <f>LEFT(BBSW3MSwaps[[#This Row],[Tenor]],LEN(BBSW3MSwaps[[#This Row],[Tenor]])-1)</f>
        <v>8</v>
      </c>
      <c r="BC11" s="35">
        <f t="shared" si="2"/>
        <v>45474</v>
      </c>
      <c r="BD11" s="35">
        <f>WORKDAY(EDATE(BBSW3MSwaps[[#This Row],[Effective Date, T1]],BBSW3MSwaps[[#This Row],[Years]]*12)-1,1,Holidays_NSWPublic)</f>
        <v>48396</v>
      </c>
      <c r="BE11" s="38" t="s">
        <v>25</v>
      </c>
      <c r="BF11" s="39" t="s">
        <v>24</v>
      </c>
      <c r="BG11" s="41" t="b">
        <f>BBSW3MSwaps[[#This Row],[Par Swap Rate]]&lt;&gt;""</f>
        <v>0</v>
      </c>
      <c r="BH11" s="28" t="b">
        <f>BBSW3MSwaps[[#This Row],[Maturity Date, T2]]&gt;MAX(_xlfn.ANCHORARRAY($AP$4))</f>
        <v>1</v>
      </c>
      <c r="BI11" s="28" t="b" cm="1">
        <f t="array" ref="BI11">_xlfn.IFS(
NOT(ApplyFutures),BBSW3MSwaps[[#This Row],[Valid Input]],
FuturesPriority="Below Swaps",BBSW3MSwaps[[#This Row],[Valid Input]],
FuturesPriority="Above Swaps",AND(BBSW3MSwaps[[#This Row],[Valid Input]],BBSW3MSwaps[[#This Row],[Tenor &gt; Max(Futures)]]))</f>
        <v>0</v>
      </c>
      <c r="BJ11" s="28">
        <f>BBSW3MSwaps[[#This Row],[Numerical Solve]]*1</f>
        <v>0</v>
      </c>
      <c r="BK11" s="41">
        <f>IF(BBSW3MSwaps[[#This Row],[Numerical Solve]],SUM(BBSW3MSwaps[[#Headers],[Flag]]:BBSW3MSwaps[[#This Row],[Flag]]),0)</f>
        <v>0</v>
      </c>
      <c r="BL11" s="134"/>
      <c r="BM11" s="42"/>
      <c r="BN11" s="334" t="s">
        <v>33</v>
      </c>
      <c r="BO11" s="333">
        <v>4.3</v>
      </c>
      <c r="BP11" s="115">
        <f>IF(AONIA[[#This Row],[Valid]],AONIA[[#This Row],[Maturity Date (T2)]],"")</f>
        <v>45566</v>
      </c>
      <c r="BQ11" s="142" cm="1">
        <f t="array" ref="BQ11">IF(AONIA[[#This Row],[Valid]],Linterp(_xlfn.ANCHORARRAY(Curves!$G$4),_xlfn.ANCHORARRAY(Curves!$J$4),AONIA[[#This Row],[Maturity]],-1,TRUE),"")</f>
        <v>0.98892834260907314</v>
      </c>
      <c r="BR11" s="143">
        <f>IF(AONIA[[#This Row],[Valid]],-1*LN(AONIA[[#This Row],[DF]])/YEARFRAC(CurveDate,AONIA[[#This Row],[Maturity]],DCB_CCZR),"")</f>
        <v>4.2775711540593529E-2</v>
      </c>
      <c r="BS11" s="343" t="b">
        <v>1</v>
      </c>
      <c r="BT11" s="110">
        <f>IF(AONIA[[#This Row],[Has Settle Delay]],SettlementDelayAUD,0)</f>
        <v>1</v>
      </c>
      <c r="BU11" s="35">
        <f>WORKDAY(CurveDate,AONIA[[#This Row],[Settle Delay]],Holidays_NSWPublic)</f>
        <v>45474</v>
      </c>
      <c r="BV11" s="8">
        <v>3</v>
      </c>
      <c r="BW11" s="8" t="s">
        <v>17</v>
      </c>
      <c r="BX11" s="35" cm="1">
        <f t="array" ref="BX1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45566</v>
      </c>
      <c r="BY11" s="47">
        <f>WORKDAY(AONIA[[#This Row],[Maturity Date (T2)]],OISPaymentDelay,Holidays_NSWPublic)</f>
        <v>45568</v>
      </c>
      <c r="BZ11" s="41" t="b">
        <f>AONIA[[#This Row],[Par Swap Rate]]&lt;&gt;""</f>
        <v>1</v>
      </c>
      <c r="CA11" s="28" t="b">
        <v>1</v>
      </c>
      <c r="CB11" s="28" t="b">
        <f>AND(AONIA[[#This Row],[Valid]],AONIA[[#This Row],[Zero-coupon?]])</f>
        <v>1</v>
      </c>
      <c r="CC11" s="28" t="b">
        <f>AND(AONIA[[#This Row],[Valid]],NOT(AONIA[[#This Row],[Analytical Solve]]))</f>
        <v>0</v>
      </c>
      <c r="CD11" s="312">
        <f>AONIA[[#This Row],[Numerical Solve]]*1</f>
        <v>0</v>
      </c>
      <c r="CE11" s="153">
        <f>IF(AONIA[[#This Row],[Analytical Solve]],1+AONIA[[#This Row],[Par Swap Rate]]%*YEARFRAC(AONIA[[#This Row],[Settle Date (T1)]],AONIA[[#This Row],[Maturity Date (T2)]],DayCount_AUD),"")</f>
        <v>1.0108383561643837</v>
      </c>
      <c r="CF11" s="150" cm="1">
        <f t="array" ref="CF11">IF(AONIA[[#This Row],[Analytical Solve]],_xlfn.IFS(AONIA[[#This Row],[Settle Date (T1)]]=CurveDate,1,TRUE,_xlfn.XLOOKUP(AONIA[[#This Row],[Settle Date (T1)]],AONIA[Maturity Date (T2)],AONIA[DF(T2)])),"")</f>
        <v>0.99964670020732393</v>
      </c>
      <c r="CG11" s="346">
        <f>IF(AONIA[[#This Row],[Analytical Solve]],AONIA[[#This Row],[DF(T1)]]/AONIA[[#This Row],[1+r𝛿]],"")</f>
        <v>0.98892834260907314</v>
      </c>
      <c r="CH11" s="46">
        <f>IF(AONIA[[#This Row],[Numerical Solve]],SUM(AONIA[[#Headers],[Flag]]:AONIA[[#This Row],[Flag]]),0)</f>
        <v>0</v>
      </c>
      <c r="CI11" s="183"/>
      <c r="CJ11" s="42"/>
      <c r="CK11" s="103" t="s">
        <v>13</v>
      </c>
      <c r="CL11" s="33">
        <v>15</v>
      </c>
      <c r="CM11" s="115">
        <f>IF(FCBS[[#This Row],[Valid]],FCBS[[#This Row],[Maturity Date (T2)]],"")</f>
        <v>47301</v>
      </c>
      <c r="CN11" s="142" cm="1">
        <f t="array" ref="CN11">IF(FCBS[[#This Row],[Valid]],Linterp(_xlfn.ANCHORARRAY(Curves!$AA$4),_xlfn.ANCHORARRAY(Curves!$AD$4),FCBS[[#This Row],[Maturity]],-1,TRUE),"")</f>
        <v>0.80367864327833116</v>
      </c>
      <c r="CO11" s="143">
        <f>IF(FCBS[[#This Row],[Valid]],-1*LN(FCBS[[#This Row],[DF]])/YEARFRAC(CurveDate,FCBS[[#This Row],[Maturity]],DCB_CCZR),"")</f>
        <v>4.3591728031828939E-2</v>
      </c>
      <c r="CP11" s="142" t="b">
        <v>1</v>
      </c>
      <c r="CQ11" s="110">
        <f>IF(FCBS[[#This Row],[Has Settle Delay]],SettlementDelayAUD,0)</f>
        <v>1</v>
      </c>
      <c r="CR11" s="35">
        <f>WORKDAY(CurveDate,FCBS[[#This Row],[Settle Delay]],Holidays_NSWPublic)</f>
        <v>45474</v>
      </c>
      <c r="CS11" s="8">
        <v>5</v>
      </c>
      <c r="CT11" s="8" t="s">
        <v>1</v>
      </c>
      <c r="CU11" s="35" cm="1">
        <f t="array" ref="CU1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47301</v>
      </c>
      <c r="CV11" s="35">
        <f>WORKDAY(FCBS[[#This Row],[Maturity Date (T2)]],OISPaymentDelay,Holidays_NSWPublic)</f>
        <v>47303</v>
      </c>
      <c r="CW11" s="28" t="b">
        <f>FCBS[[#This Row],[Basis Spread]]&lt;&gt;""</f>
        <v>1</v>
      </c>
      <c r="CX11" s="28" t="b">
        <f>FCBS[[#This Row],[Valid]]</f>
        <v>1</v>
      </c>
      <c r="CY11" s="22">
        <f>FCBS[[#This Row],[Valid]]*1</f>
        <v>1</v>
      </c>
      <c r="CZ11" s="46">
        <f>IF(FCBS[[#This Row],[Valid]],SUM(FCBS[[#Headers],[Flag]]:FCBS[[#This Row],[Flag]]),0)</f>
        <v>6</v>
      </c>
      <c r="DA11" s="5">
        <v>0.80348669817381402</v>
      </c>
    </row>
    <row r="12" spans="2:105">
      <c r="B12" s="52" t="s">
        <v>34</v>
      </c>
      <c r="C12" s="56" t="s">
        <v>137</v>
      </c>
      <c r="F12" s="45" t="s">
        <v>42</v>
      </c>
      <c r="G12" s="33">
        <v>4.3</v>
      </c>
      <c r="H12" s="115">
        <f>IF(BankBillRates1M[[#This Row],[Applied]],BankBillRates1M[[#This Row],[Maturity Date (T2)]],"")</f>
        <v>45475</v>
      </c>
      <c r="I12" s="142">
        <f>IF(BankBillRates1M[[#This Row],[Valid Input]],BankBillRates1M[[#This Row],[DF(T2)]],"")</f>
        <v>0.99952894748200405</v>
      </c>
      <c r="J12" s="141">
        <f>IF(NOT(BankBillRates1M[[#This Row],[Valid Input]]),"",-LN(BankBillRates1M[[#This Row],[DF(T2)]])/YEARFRAC(CurveDate,BankBillRates1M[[#This Row],[Maturity Date (T2)]],DCB_CCZR))</f>
        <v>4.2993669200375687E-2</v>
      </c>
      <c r="K12" s="28" t="b">
        <f>BankBillRates1M[[#This Row],[Rate]]&lt;&gt;""</f>
        <v>1</v>
      </c>
      <c r="L12" s="46" t="b">
        <v>1</v>
      </c>
      <c r="M12" s="22">
        <f>IF(BankBillRates1M[[#This Row],[Has Settle Delay]],SettlementDelayAUD,0)</f>
        <v>1</v>
      </c>
      <c r="N12" s="21" t="s">
        <v>151</v>
      </c>
      <c r="O12" s="22">
        <v>1</v>
      </c>
      <c r="P12" s="23">
        <f>WORKDAY(CurveDate,BankBillRates1M[[#This Row],[Settle Delay]],Holidays_NSWPublic)</f>
        <v>45474</v>
      </c>
      <c r="Q12" s="47">
        <f>IF(BankBillRates1M[[#This Row],[Offset Type]]="Business Day",WORKDAY(BankBillRates1M[[#This Row],[Effective Date (T1)]],BankBillRates1M[[#This Row],[Offset]],Holidays_NSWPublic),WORKDAY(EDATE(BankBillRates1M[[#This Row],[Effective Date (T1)]],BankBillRates1M[[#This Row],[Offset]])-1,1,Holidays_NSWPublic))</f>
        <v>45475</v>
      </c>
      <c r="R12" s="48">
        <f>IF(NOT(BankBillRates1M[[#This Row],[Valid Input]]),"",YEARFRAC(BankBillRates1M[[#This Row],[Effective Date (T1)]],BankBillRates1M[[#This Row],[Maturity Date (T2)]],DayCount_AUD))</f>
        <v>2.7397260273972603E-3</v>
      </c>
      <c r="S12" s="5">
        <f>IF(NOT(BankBillRates1M[[#This Row],[Valid Input]]),"",1+BankBillRates1M[[#This Row],[Rate]]%*BankBillRates1M[[#This Row],[𝛿(T1,T2)]])</f>
        <v>1.0001178082191782</v>
      </c>
      <c r="T12" s="5">
        <f>IF(NOT(BankBillRates1M[[#This Row],[Valid Input]]),"",IF(BankBillRates1M[[#This Row],[Effective Date (T1)]]=CurveDate,1,_xlfn.XLOOKUP(BankBillRates1M[[#This Row],[Effective Date (T1)]],BankBillRates1M[Maturity Date (T2)],BankBillRates1M[DF(T2)])))</f>
        <v>0.99964670020732393</v>
      </c>
      <c r="U12" s="5">
        <f>IF(NOT(BankBillRates1M[[#This Row],[Valid Input]]),"",BankBillRates1M[[#This Row],[DF(T1)]]/BankBillRates1M[[#This Row],[1+r*𝛿(T1,T2)]])</f>
        <v>0.99952894748200405</v>
      </c>
      <c r="V12" s="28" t="b">
        <f>BankBillRates1M[[#This Row],[Valid Input]]</f>
        <v>1</v>
      </c>
      <c r="W12" s="27">
        <v>45475</v>
      </c>
      <c r="X12" s="183">
        <v>0.99952894748200405</v>
      </c>
      <c r="Z12" s="85"/>
      <c r="AA12" s="85"/>
      <c r="AB12" s="85"/>
      <c r="AC12" s="118" t="str">
        <f t="shared" si="3"/>
        <v/>
      </c>
      <c r="AD12" s="124" t="str">
        <f t="shared" si="0"/>
        <v/>
      </c>
      <c r="AE12" s="132" t="str">
        <f>IF(AF12,-LN(Input!$AO12)/YEARFRAC(CurveDate,Input!$AL12,DCB_CCZR),"")</f>
        <v/>
      </c>
      <c r="AF12" s="28" t="b">
        <f>Input!$Z12&lt;&gt;""</f>
        <v>0</v>
      </c>
      <c r="AG12" s="83" t="str">
        <f>IF(Input!$AF12,(100-Input!$AA12)/100,"")</f>
        <v/>
      </c>
      <c r="AH12" s="83" t="str">
        <f>IF(Input!$AF12,AG12-AB12%,"")</f>
        <v/>
      </c>
      <c r="AI12" s="91"/>
      <c r="AJ12" s="82"/>
      <c r="AK12" s="82"/>
      <c r="AL12" s="82" t="str">
        <f t="shared" si="1"/>
        <v/>
      </c>
      <c r="AM12" s="99" t="str">
        <f>IF(Input!$AF12,YEARFRAC(Input!$AK12,Input!$AL12,DayCount_AUD),"")</f>
        <v/>
      </c>
      <c r="AN12" s="96" t="str" cm="1">
        <f t="array" ref="AN12">IF(Input!$AF12,Linterp(_xlfn.VSTACK(_xlfn.ANCHORARRAY(Input!$W$4),$AL$4:AL11),_xlfn.VSTACK(_xlfn.ANCHORARRAY(Input!$X$4),$AO$4:AO11),Input!$AK12,1,TRUE),"")</f>
        <v/>
      </c>
      <c r="AO12" s="186"/>
      <c r="AP12" s="128"/>
      <c r="AQ12" s="49"/>
      <c r="AR12" s="28"/>
      <c r="AS12" s="28"/>
      <c r="AT12" s="50"/>
      <c r="AU12" s="51"/>
      <c r="AW12" s="55" t="s">
        <v>9</v>
      </c>
      <c r="AX12" s="33" t="s">
        <v>0</v>
      </c>
      <c r="AY12" s="115" t="str">
        <f>IF(BBSW3MSwaps[[#This Row],[Numerical Solve]],BBSW3MSwaps[[#This Row],[Maturity Date, T2]],"")</f>
        <v/>
      </c>
      <c r="AZ12" s="142" t="str">
        <f>IF(BBSW3MSwaps[[#This Row],[Numerical Solve]],BBSW3MSwaps[[#This Row],[Solved DF]],"")</f>
        <v/>
      </c>
      <c r="BA12" s="143" t="str">
        <f>IF(BBSW3MSwaps[[#This Row],[Numerical Solve]],-1*LN(BBSW3MSwaps[[#This Row],[Solved DF]])/YEARFRAC(CurveDate,BBSW3MSwaps[[#This Row],[Maturity Date, T2]],DCB_CCZR),"")</f>
        <v/>
      </c>
      <c r="BB12" s="34" t="str">
        <f>LEFT(BBSW3MSwaps[[#This Row],[Tenor]],LEN(BBSW3MSwaps[[#This Row],[Tenor]])-1)</f>
        <v>9</v>
      </c>
      <c r="BC12" s="35">
        <f t="shared" si="2"/>
        <v>45474</v>
      </c>
      <c r="BD12" s="35">
        <f>WORKDAY(EDATE(BBSW3MSwaps[[#This Row],[Effective Date, T1]],BBSW3MSwaps[[#This Row],[Years]]*12)-1,1,Holidays_NSWPublic)</f>
        <v>48761</v>
      </c>
      <c r="BE12" s="38" t="s">
        <v>25</v>
      </c>
      <c r="BF12" s="39" t="s">
        <v>24</v>
      </c>
      <c r="BG12" s="41" t="b">
        <f>BBSW3MSwaps[[#This Row],[Par Swap Rate]]&lt;&gt;""</f>
        <v>0</v>
      </c>
      <c r="BH12" s="28" t="b">
        <f>BBSW3MSwaps[[#This Row],[Maturity Date, T2]]&gt;MAX(_xlfn.ANCHORARRAY($AP$4))</f>
        <v>1</v>
      </c>
      <c r="BI12" s="28" t="b" cm="1">
        <f t="array" ref="BI12">_xlfn.IFS(
NOT(ApplyFutures),BBSW3MSwaps[[#This Row],[Valid Input]],
FuturesPriority="Below Swaps",BBSW3MSwaps[[#This Row],[Valid Input]],
FuturesPriority="Above Swaps",AND(BBSW3MSwaps[[#This Row],[Valid Input]],BBSW3MSwaps[[#This Row],[Tenor &gt; Max(Futures)]]))</f>
        <v>0</v>
      </c>
      <c r="BJ12" s="28">
        <f>BBSW3MSwaps[[#This Row],[Numerical Solve]]*1</f>
        <v>0</v>
      </c>
      <c r="BK12" s="41">
        <f>IF(BBSW3MSwaps[[#This Row],[Numerical Solve]],SUM(BBSW3MSwaps[[#Headers],[Flag]]:BBSW3MSwaps[[#This Row],[Flag]]),0)</f>
        <v>0</v>
      </c>
      <c r="BL12" s="134"/>
      <c r="BM12" s="42"/>
      <c r="BN12" s="334" t="s">
        <v>32</v>
      </c>
      <c r="BO12" s="333">
        <v>4.3</v>
      </c>
      <c r="BP12" s="115">
        <f>IF(AONIA[[#This Row],[Valid]],AONIA[[#This Row],[Maturity Date (T2)]],"")</f>
        <v>45597</v>
      </c>
      <c r="BQ12" s="142" cm="1">
        <f t="array" ref="BQ12">IF(AONIA[[#This Row],[Valid]],Linterp(_xlfn.ANCHORARRAY(Curves!$G$4),_xlfn.ANCHORARRAY(Curves!$J$4),AONIA[[#This Row],[Maturity]],-1,TRUE),"")</f>
        <v>0.98536830847168899</v>
      </c>
      <c r="BR12" s="143">
        <f>IF(AONIA[[#This Row],[Valid]],-1*LN(AONIA[[#This Row],[DF]])/YEARFRAC(CurveDate,AONIA[[#This Row],[Maturity]],DCB_CCZR),"")</f>
        <v>4.2698599376028552E-2</v>
      </c>
      <c r="BS12" s="343" t="b">
        <v>1</v>
      </c>
      <c r="BT12" s="110">
        <f>IF(AONIA[[#This Row],[Has Settle Delay]],SettlementDelayAUD,0)</f>
        <v>1</v>
      </c>
      <c r="BU12" s="35">
        <f>WORKDAY(CurveDate,AONIA[[#This Row],[Settle Delay]],Holidays_NSWPublic)</f>
        <v>45474</v>
      </c>
      <c r="BV12" s="8">
        <v>4</v>
      </c>
      <c r="BW12" s="8" t="s">
        <v>17</v>
      </c>
      <c r="BX12" s="35" cm="1">
        <f t="array" ref="BX1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45597</v>
      </c>
      <c r="BY12" s="47">
        <f>WORKDAY(AONIA[[#This Row],[Maturity Date (T2)]],OISPaymentDelay,Holidays_NSWPublic)</f>
        <v>45601</v>
      </c>
      <c r="BZ12" s="41" t="b">
        <f>AONIA[[#This Row],[Par Swap Rate]]&lt;&gt;""</f>
        <v>1</v>
      </c>
      <c r="CA12" s="28" t="b">
        <v>1</v>
      </c>
      <c r="CB12" s="28" t="b">
        <f>AND(AONIA[[#This Row],[Valid]],AONIA[[#This Row],[Zero-coupon?]])</f>
        <v>1</v>
      </c>
      <c r="CC12" s="28" t="b">
        <f>AND(AONIA[[#This Row],[Valid]],NOT(AONIA[[#This Row],[Analytical Solve]]))</f>
        <v>0</v>
      </c>
      <c r="CD12" s="312">
        <f>AONIA[[#This Row],[Numerical Solve]]*1</f>
        <v>0</v>
      </c>
      <c r="CE12" s="153">
        <f>IF(AONIA[[#This Row],[Analytical Solve]],1+AONIA[[#This Row],[Par Swap Rate]]%*YEARFRAC(AONIA[[#This Row],[Settle Date (T1)]],AONIA[[#This Row],[Maturity Date (T2)]],DayCount_AUD),"")</f>
        <v>1.0144904109589041</v>
      </c>
      <c r="CF12" s="150" cm="1">
        <f t="array" ref="CF12">IF(AONIA[[#This Row],[Analytical Solve]],_xlfn.IFS(AONIA[[#This Row],[Settle Date (T1)]]=CurveDate,1,TRUE,_xlfn.XLOOKUP(AONIA[[#This Row],[Settle Date (T1)]],AONIA[Maturity Date (T2)],AONIA[DF(T2)])),"")</f>
        <v>0.99964670020732393</v>
      </c>
      <c r="CG12" s="346">
        <f>IF(AONIA[[#This Row],[Analytical Solve]],AONIA[[#This Row],[DF(T1)]]/AONIA[[#This Row],[1+r𝛿]],"")</f>
        <v>0.98536830847168899</v>
      </c>
      <c r="CH12" s="46">
        <f>IF(AONIA[[#This Row],[Numerical Solve]],SUM(AONIA[[#Headers],[Flag]]:AONIA[[#This Row],[Flag]]),0)</f>
        <v>0</v>
      </c>
      <c r="CI12" s="183"/>
      <c r="CJ12" s="42"/>
      <c r="CK12" s="103" t="s">
        <v>12</v>
      </c>
      <c r="CL12" s="33">
        <v>15</v>
      </c>
      <c r="CM12" s="115">
        <f>IF(FCBS[[#This Row],[Valid]],FCBS[[#This Row],[Maturity Date (T2)]],"")</f>
        <v>47665</v>
      </c>
      <c r="CN12" s="142" cm="1">
        <f t="array" ref="CN12">IF(FCBS[[#This Row],[Valid]],Linterp(_xlfn.ANCHORARRAY(Curves!$AA$4),_xlfn.ANCHORARRAY(Curves!$AD$4),FCBS[[#This Row],[Maturity]],-1,TRUE),"")</f>
        <v>0.76950041619617704</v>
      </c>
      <c r="CO12" s="143">
        <f>IF(FCBS[[#This Row],[Valid]],-1*LN(FCBS[[#This Row],[DF]])/YEARFRAC(CurveDate,FCBS[[#This Row],[Maturity]],DCB_CCZR),"")</f>
        <v>4.3589348890488662E-2</v>
      </c>
      <c r="CP12" s="142" t="b">
        <v>1</v>
      </c>
      <c r="CQ12" s="110">
        <f>IF(FCBS[[#This Row],[Has Settle Delay]],SettlementDelayAUD,0)</f>
        <v>1</v>
      </c>
      <c r="CR12" s="35">
        <f>WORKDAY(CurveDate,FCBS[[#This Row],[Settle Delay]],Holidays_NSWPublic)</f>
        <v>45474</v>
      </c>
      <c r="CS12" s="8">
        <v>6</v>
      </c>
      <c r="CT12" s="8" t="s">
        <v>1</v>
      </c>
      <c r="CU12" s="35" cm="1">
        <f t="array" ref="CU12">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47665</v>
      </c>
      <c r="CV12" s="35">
        <f>WORKDAY(FCBS[[#This Row],[Maturity Date (T2)]],OISPaymentDelay,Holidays_NSWPublic)</f>
        <v>47667</v>
      </c>
      <c r="CW12" s="28" t="b">
        <f>FCBS[[#This Row],[Basis Spread]]&lt;&gt;""</f>
        <v>1</v>
      </c>
      <c r="CX12" s="28" t="b">
        <f>FCBS[[#This Row],[Valid]]</f>
        <v>1</v>
      </c>
      <c r="CY12" s="22">
        <f>FCBS[[#This Row],[Valid]]*1</f>
        <v>1</v>
      </c>
      <c r="CZ12" s="46">
        <f>IF(FCBS[[#This Row],[Valid]],SUM(FCBS[[#Headers],[Flag]]:FCBS[[#This Row],[Flag]]),0)</f>
        <v>7</v>
      </c>
      <c r="DA12" s="5">
        <v>0.76931669700876959</v>
      </c>
    </row>
    <row r="13" spans="2:105">
      <c r="F13" s="45" t="s">
        <v>40</v>
      </c>
      <c r="G13" s="33">
        <v>4.3</v>
      </c>
      <c r="H13" s="115">
        <f>IF(BankBillRates1M[[#This Row],[Applied]],BankBillRates1M[[#This Row],[Maturity Date (T2)]],"")</f>
        <v>45481</v>
      </c>
      <c r="I13" s="142">
        <f>IF(BankBillRates1M[[#This Row],[Valid Input]],BankBillRates1M[[#This Row],[DF(T2)]],"")</f>
        <v>0.99882301328404044</v>
      </c>
      <c r="J13" s="141">
        <f>IF(NOT(BankBillRates1M[[#This Row],[Valid Input]]),"",-LN(BankBillRates1M[[#This Row],[DF(T2)]])/YEARFRAC(CurveDate,BankBillRates1M[[#This Row],[Maturity Date (T2)]],DCB_CCZR))</f>
        <v>4.2985316671086467E-2</v>
      </c>
      <c r="K13" s="28" t="b">
        <f>BankBillRates1M[[#This Row],[Rate]]&lt;&gt;""</f>
        <v>1</v>
      </c>
      <c r="L13" s="46" t="b">
        <v>1</v>
      </c>
      <c r="M13" s="22">
        <f>IF(BankBillRates1M[[#This Row],[Has Settle Delay]],SettlementDelayAUD,0)</f>
        <v>1</v>
      </c>
      <c r="N13" s="21" t="s">
        <v>151</v>
      </c>
      <c r="O13" s="22">
        <v>5</v>
      </c>
      <c r="P13" s="23">
        <f>WORKDAY(CurveDate,BankBillRates1M[[#This Row],[Settle Delay]],Holidays_NSWPublic)</f>
        <v>45474</v>
      </c>
      <c r="Q13" s="47">
        <f>IF(BankBillRates1M[[#This Row],[Offset Type]]="Business Day",WORKDAY(BankBillRates1M[[#This Row],[Effective Date (T1)]],BankBillRates1M[[#This Row],[Offset]],Holidays_NSWPublic),WORKDAY(EDATE(BankBillRates1M[[#This Row],[Effective Date (T1)]],BankBillRates1M[[#This Row],[Offset]])-1,1,Holidays_NSWPublic))</f>
        <v>45481</v>
      </c>
      <c r="R13" s="48">
        <f>IF(NOT(BankBillRates1M[[#This Row],[Valid Input]]),"",YEARFRAC(BankBillRates1M[[#This Row],[Effective Date (T1)]],BankBillRates1M[[#This Row],[Maturity Date (T2)]],DayCount_AUD))</f>
        <v>1.9178082191780823E-2</v>
      </c>
      <c r="S13" s="5">
        <f>IF(NOT(BankBillRates1M[[#This Row],[Valid Input]]),"",1+BankBillRates1M[[#This Row],[Rate]]%*BankBillRates1M[[#This Row],[𝛿(T1,T2)]])</f>
        <v>1.0008246575342465</v>
      </c>
      <c r="T13" s="5">
        <f>IF(NOT(BankBillRates1M[[#This Row],[Valid Input]]),"",IF(BankBillRates1M[[#This Row],[Effective Date (T1)]]=CurveDate,1,_xlfn.XLOOKUP(BankBillRates1M[[#This Row],[Effective Date (T1)]],BankBillRates1M[Maturity Date (T2)],BankBillRates1M[DF(T2)])))</f>
        <v>0.99964670020732393</v>
      </c>
      <c r="U13" s="5">
        <f>IF(NOT(BankBillRates1M[[#This Row],[Valid Input]]),"",BankBillRates1M[[#This Row],[DF(T1)]]/BankBillRates1M[[#This Row],[1+r*𝛿(T1,T2)]])</f>
        <v>0.99882301328404044</v>
      </c>
      <c r="V13" s="28" t="b">
        <f>BankBillRates1M[[#This Row],[Valid Input]]</f>
        <v>1</v>
      </c>
      <c r="W13" s="27">
        <v>45481</v>
      </c>
      <c r="X13" s="183">
        <v>0.99882301328404044</v>
      </c>
      <c r="Z13" s="85"/>
      <c r="AA13" s="85"/>
      <c r="AB13" s="85"/>
      <c r="AC13" s="118" t="str">
        <f t="shared" si="3"/>
        <v/>
      </c>
      <c r="AD13" s="124" t="str">
        <f t="shared" si="0"/>
        <v/>
      </c>
      <c r="AE13" s="132" t="str">
        <f>IF(AF13,-LN(Input!$AO13)/YEARFRAC(CurveDate,Input!$AL13,DCB_CCZR),"")</f>
        <v/>
      </c>
      <c r="AF13" s="28" t="b">
        <f>Input!$Z13&lt;&gt;""</f>
        <v>0</v>
      </c>
      <c r="AG13" s="83" t="str">
        <f>IF(Input!$AF13,(100-Input!$AA13)/100,"")</f>
        <v/>
      </c>
      <c r="AH13" s="83" t="str">
        <f>IF(Input!$AF13,AG13-AB13%,"")</f>
        <v/>
      </c>
      <c r="AI13" s="91"/>
      <c r="AJ13" s="82"/>
      <c r="AK13" s="82"/>
      <c r="AL13" s="82" t="str">
        <f t="shared" si="1"/>
        <v/>
      </c>
      <c r="AM13" s="99" t="str">
        <f>IF(Input!$AF13,YEARFRAC(Input!$AK13,Input!$AL13,DayCount_AUD),"")</f>
        <v/>
      </c>
      <c r="AN13" s="96" t="str" cm="1">
        <f t="array" ref="AN13">IF(Input!$AF13,Linterp(_xlfn.VSTACK(_xlfn.ANCHORARRAY(Input!$W$4),$AL$4:AL12),_xlfn.VSTACK(_xlfn.ANCHORARRAY(Input!$X$4),$AO$4:AO12),Input!$AK13,1,TRUE),"")</f>
        <v/>
      </c>
      <c r="AO13" s="186"/>
      <c r="AP13" s="128"/>
      <c r="AQ13" s="49"/>
      <c r="AR13" s="28"/>
      <c r="AS13" s="28"/>
      <c r="AT13" s="50"/>
      <c r="AU13" s="51"/>
      <c r="AW13" s="55" t="s">
        <v>8</v>
      </c>
      <c r="AX13" s="33">
        <v>4.5</v>
      </c>
      <c r="AY13" s="115">
        <f>IF(BBSW3MSwaps[[#This Row],[Numerical Solve]],BBSW3MSwaps[[#This Row],[Maturity Date, T2]],"")</f>
        <v>49128</v>
      </c>
      <c r="AZ13" s="142">
        <f>IF(BBSW3MSwaps[[#This Row],[Numerical Solve]],BBSW3MSwaps[[#This Row],[Solved DF]],"")</f>
        <v>0.64071829220874954</v>
      </c>
      <c r="BA13" s="143">
        <f>IF(BBSW3MSwaps[[#This Row],[Numerical Solve]],-1*LN(BBSW3MSwaps[[#This Row],[Solved DF]])/YEARFRAC(CurveDate,BBSW3MSwaps[[#This Row],[Maturity Date, T2]],DCB_CCZR),"")</f>
        <v>4.4431329271083703E-2</v>
      </c>
      <c r="BB13" s="34" t="str">
        <f>LEFT(BBSW3MSwaps[[#This Row],[Tenor]],LEN(BBSW3MSwaps[[#This Row],[Tenor]])-1)</f>
        <v>10</v>
      </c>
      <c r="BC13" s="35">
        <f t="shared" si="2"/>
        <v>45474</v>
      </c>
      <c r="BD13" s="35">
        <f>WORKDAY(EDATE(BBSW3MSwaps[[#This Row],[Effective Date, T1]],BBSW3MSwaps[[#This Row],[Years]]*12)-1,1,Holidays_NSWPublic)</f>
        <v>49128</v>
      </c>
      <c r="BE13" s="38" t="s">
        <v>25</v>
      </c>
      <c r="BF13" s="39" t="s">
        <v>24</v>
      </c>
      <c r="BG13" s="41" t="b">
        <f>BBSW3MSwaps[[#This Row],[Par Swap Rate]]&lt;&gt;""</f>
        <v>1</v>
      </c>
      <c r="BH13" s="28" t="b">
        <f>BBSW3MSwaps[[#This Row],[Maturity Date, T2]]&gt;MAX(_xlfn.ANCHORARRAY($AP$4))</f>
        <v>1</v>
      </c>
      <c r="BI13" s="28" t="b" cm="1">
        <f t="array" ref="BI13">_xlfn.IFS(
NOT(ApplyFutures),BBSW3MSwaps[[#This Row],[Valid Input]],
FuturesPriority="Below Swaps",BBSW3MSwaps[[#This Row],[Valid Input]],
FuturesPriority="Above Swaps",AND(BBSW3MSwaps[[#This Row],[Valid Input]],BBSW3MSwaps[[#This Row],[Tenor &gt; Max(Futures)]]))</f>
        <v>1</v>
      </c>
      <c r="BJ13" s="28">
        <f>BBSW3MSwaps[[#This Row],[Numerical Solve]]*1</f>
        <v>1</v>
      </c>
      <c r="BK13" s="41">
        <f>IF(BBSW3MSwaps[[#This Row],[Numerical Solve]],SUM(BBSW3MSwaps[[#Headers],[Flag]]:BBSW3MSwaps[[#This Row],[Flag]]),0)</f>
        <v>5</v>
      </c>
      <c r="BL13" s="134">
        <v>0.64071829220874954</v>
      </c>
      <c r="BM13" s="42"/>
      <c r="BN13" s="334" t="s">
        <v>30</v>
      </c>
      <c r="BO13" s="333">
        <v>4.3</v>
      </c>
      <c r="BP13" s="115">
        <f>IF(AONIA[[#This Row],[Valid]],AONIA[[#This Row],[Maturity Date (T2)]],"")</f>
        <v>45628</v>
      </c>
      <c r="BQ13" s="142" cm="1">
        <f t="array" ref="BQ13">IF(AONIA[[#This Row],[Valid]],Linterp(_xlfn.ANCHORARRAY(Curves!$G$4),_xlfn.ANCHORARRAY(Curves!$J$4),AONIA[[#This Row],[Maturity]],-1,TRUE),"")</f>
        <v>0.98183381386374668</v>
      </c>
      <c r="BR13" s="143">
        <f>IF(AONIA[[#This Row],[Valid]],-1*LN(AONIA[[#This Row],[DF]])/YEARFRAC(CurveDate,AONIA[[#This Row],[Maturity]],DCB_CCZR),"")</f>
        <v>4.2621810843784642E-2</v>
      </c>
      <c r="BS13" s="343" t="b">
        <v>1</v>
      </c>
      <c r="BT13" s="110">
        <f>IF(AONIA[[#This Row],[Has Settle Delay]],SettlementDelayAUD,0)</f>
        <v>1</v>
      </c>
      <c r="BU13" s="35">
        <f>WORKDAY(CurveDate,AONIA[[#This Row],[Settle Delay]],Holidays_NSWPublic)</f>
        <v>45474</v>
      </c>
      <c r="BV13" s="8">
        <v>5</v>
      </c>
      <c r="BW13" s="8" t="s">
        <v>17</v>
      </c>
      <c r="BX13" s="35" cm="1">
        <f t="array" ref="BX1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45628</v>
      </c>
      <c r="BY13" s="47">
        <f>WORKDAY(AONIA[[#This Row],[Maturity Date (T2)]],OISPaymentDelay,Holidays_NSWPublic)</f>
        <v>45630</v>
      </c>
      <c r="BZ13" s="41" t="b">
        <f>AONIA[[#This Row],[Par Swap Rate]]&lt;&gt;""</f>
        <v>1</v>
      </c>
      <c r="CA13" s="28" t="b">
        <v>1</v>
      </c>
      <c r="CB13" s="28" t="b">
        <f>AND(AONIA[[#This Row],[Valid]],AONIA[[#This Row],[Zero-coupon?]])</f>
        <v>1</v>
      </c>
      <c r="CC13" s="28" t="b">
        <f>AND(AONIA[[#This Row],[Valid]],NOT(AONIA[[#This Row],[Analytical Solve]]))</f>
        <v>0</v>
      </c>
      <c r="CD13" s="312">
        <f>AONIA[[#This Row],[Numerical Solve]]*1</f>
        <v>0</v>
      </c>
      <c r="CE13" s="153">
        <f>IF(AONIA[[#This Row],[Analytical Solve]],1+AONIA[[#This Row],[Par Swap Rate]]%*YEARFRAC(AONIA[[#This Row],[Settle Date (T1)]],AONIA[[#This Row],[Maturity Date (T2)]],DayCount_AUD),"")</f>
        <v>1.0181424657534246</v>
      </c>
      <c r="CF13" s="150" cm="1">
        <f t="array" ref="CF13">IF(AONIA[[#This Row],[Analytical Solve]],_xlfn.IFS(AONIA[[#This Row],[Settle Date (T1)]]=CurveDate,1,TRUE,_xlfn.XLOOKUP(AONIA[[#This Row],[Settle Date (T1)]],AONIA[Maturity Date (T2)],AONIA[DF(T2)])),"")</f>
        <v>0.99964670020732393</v>
      </c>
      <c r="CG13" s="346">
        <f>IF(AONIA[[#This Row],[Analytical Solve]],AONIA[[#This Row],[DF(T1)]]/AONIA[[#This Row],[1+r𝛿]],"")</f>
        <v>0.98183381386374668</v>
      </c>
      <c r="CH13" s="46">
        <f>IF(AONIA[[#This Row],[Numerical Solve]],SUM(AONIA[[#Headers],[Flag]]:AONIA[[#This Row],[Flag]]),0)</f>
        <v>0</v>
      </c>
      <c r="CI13" s="183"/>
      <c r="CJ13" s="42"/>
      <c r="CK13" s="103" t="s">
        <v>11</v>
      </c>
      <c r="CL13" s="33">
        <v>15</v>
      </c>
      <c r="CM13" s="115">
        <f>IF(FCBS[[#This Row],[Valid]],FCBS[[#This Row],[Maturity Date (T2)]],"")</f>
        <v>48030</v>
      </c>
      <c r="CN13" s="142" cm="1">
        <f t="array" ref="CN13">IF(FCBS[[#This Row],[Valid]],Linterp(_xlfn.ANCHORARRAY(Curves!$AA$4),_xlfn.ANCHORARRAY(Curves!$AD$4),FCBS[[#This Row],[Maturity]],-1,TRUE),"")</f>
        <v>0.73667969703234959</v>
      </c>
      <c r="CO13" s="143">
        <f>IF(FCBS[[#This Row],[Valid]],-1*LN(FCBS[[#This Row],[DF]])/YEARFRAC(CurveDate,FCBS[[#This Row],[Maturity]],DCB_CCZR),"")</f>
        <v>4.3589199308605664E-2</v>
      </c>
      <c r="CP13" s="142" t="b">
        <v>1</v>
      </c>
      <c r="CQ13" s="110">
        <f>IF(FCBS[[#This Row],[Has Settle Delay]],SettlementDelayAUD,0)</f>
        <v>1</v>
      </c>
      <c r="CR13" s="35">
        <f>WORKDAY(CurveDate,FCBS[[#This Row],[Settle Delay]],Holidays_NSWPublic)</f>
        <v>45474</v>
      </c>
      <c r="CS13" s="8">
        <v>7</v>
      </c>
      <c r="CT13" s="8" t="s">
        <v>1</v>
      </c>
      <c r="CU13" s="35" cm="1">
        <f t="array" ref="CU13">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48030</v>
      </c>
      <c r="CV13" s="35">
        <f>WORKDAY(FCBS[[#This Row],[Maturity Date (T2)]],OISPaymentDelay,Holidays_NSWPublic)</f>
        <v>48032</v>
      </c>
      <c r="CW13" s="28" t="b">
        <f>FCBS[[#This Row],[Basis Spread]]&lt;&gt;""</f>
        <v>1</v>
      </c>
      <c r="CX13" s="28" t="b">
        <f>FCBS[[#This Row],[Valid]]</f>
        <v>1</v>
      </c>
      <c r="CY13" s="22">
        <f>FCBS[[#This Row],[Valid]]*1</f>
        <v>1</v>
      </c>
      <c r="CZ13" s="46">
        <f>IF(FCBS[[#This Row],[Valid]],SUM(FCBS[[#Headers],[Flag]]:FCBS[[#This Row],[Flag]]),0)</f>
        <v>8</v>
      </c>
      <c r="DA13" s="5">
        <v>0.73650376921843652</v>
      </c>
    </row>
    <row r="14" spans="2:105">
      <c r="F14" s="45" t="s">
        <v>37</v>
      </c>
      <c r="G14" s="33">
        <v>4.4000000000000004</v>
      </c>
      <c r="H14" s="115">
        <f>IF(BankBillRates1M[[#This Row],[Applied]],BankBillRates1M[[#This Row],[Maturity Date (T2)]],"")</f>
        <v>45505</v>
      </c>
      <c r="I14" s="142">
        <f>IF(BankBillRates1M[[#This Row],[Valid Input]],BankBillRates1M[[#This Row],[DF(T2)]],"")</f>
        <v>0.99592494234060447</v>
      </c>
      <c r="J14" s="141">
        <f>IF(NOT(BankBillRates1M[[#This Row],[Valid Input]]),"",-LN(BankBillRates1M[[#This Row],[DF(T2)]])/YEARFRAC(CurveDate,BankBillRates1M[[#This Row],[Maturity Date (T2)]],DCB_CCZR))</f>
        <v>4.3836321074389013E-2</v>
      </c>
      <c r="K14" s="28" t="b">
        <f>BankBillRates1M[[#This Row],[Rate]]&lt;&gt;""</f>
        <v>1</v>
      </c>
      <c r="L14" s="46" t="b">
        <v>1</v>
      </c>
      <c r="M14" s="22">
        <f>IF(BankBillRates1M[[#This Row],[Has Settle Delay]],SettlementDelayAUD,0)</f>
        <v>1</v>
      </c>
      <c r="N14" s="21" t="s">
        <v>17</v>
      </c>
      <c r="O14" s="22">
        <v>1</v>
      </c>
      <c r="P14" s="23">
        <f>WORKDAY(CurveDate,BankBillRates1M[[#This Row],[Settle Delay]],Holidays_NSWPublic)</f>
        <v>45474</v>
      </c>
      <c r="Q14" s="47">
        <f>IF(BankBillRates1M[[#This Row],[Offset Type]]="Business Day",WORKDAY(BankBillRates1M[[#This Row],[Effective Date (T1)]],BankBillRates1M[[#This Row],[Offset]],Holidays_NSWPublic),WORKDAY(EDATE(BankBillRates1M[[#This Row],[Effective Date (T1)]],BankBillRates1M[[#This Row],[Offset]])-1,1,Holidays_NSWPublic))</f>
        <v>45505</v>
      </c>
      <c r="R14" s="48">
        <f>IF(NOT(BankBillRates1M[[#This Row],[Valid Input]]),"",YEARFRAC(BankBillRates1M[[#This Row],[Effective Date (T1)]],BankBillRates1M[[#This Row],[Maturity Date (T2)]],DayCount_AUD))</f>
        <v>8.4931506849315067E-2</v>
      </c>
      <c r="S14" s="5">
        <f>IF(NOT(BankBillRates1M[[#This Row],[Valid Input]]),"",1+BankBillRates1M[[#This Row],[Rate]]%*BankBillRates1M[[#This Row],[𝛿(T1,T2)]])</f>
        <v>1.0037369863013699</v>
      </c>
      <c r="T14" s="5">
        <f>IF(NOT(BankBillRates1M[[#This Row],[Valid Input]]),"",IF(BankBillRates1M[[#This Row],[Effective Date (T1)]]=CurveDate,1,_xlfn.XLOOKUP(BankBillRates1M[[#This Row],[Effective Date (T1)]],BankBillRates1M[Maturity Date (T2)],BankBillRates1M[DF(T2)])))</f>
        <v>0.99964670020732393</v>
      </c>
      <c r="U14" s="5">
        <f>IF(NOT(BankBillRates1M[[#This Row],[Valid Input]]),"",BankBillRates1M[[#This Row],[DF(T1)]]/BankBillRates1M[[#This Row],[1+r*𝛿(T1,T2)]])</f>
        <v>0.99592494234060447</v>
      </c>
      <c r="V14" s="28" t="b">
        <f>BankBillRates1M[[#This Row],[Valid Input]]</f>
        <v>1</v>
      </c>
      <c r="W14" s="181">
        <v>45505</v>
      </c>
      <c r="X14" s="184">
        <v>0.99592494234060447</v>
      </c>
      <c r="Z14" s="85"/>
      <c r="AA14" s="85"/>
      <c r="AB14" s="85"/>
      <c r="AC14" s="118" t="str">
        <f t="shared" si="3"/>
        <v/>
      </c>
      <c r="AD14" s="124" t="str">
        <f t="shared" si="0"/>
        <v/>
      </c>
      <c r="AE14" s="132" t="str">
        <f>IF(AF14,-LN(Input!$AO14)/YEARFRAC(CurveDate,Input!$AL14,DCB_CCZR),"")</f>
        <v/>
      </c>
      <c r="AF14" s="28" t="b">
        <f>Input!$Z14&lt;&gt;""</f>
        <v>0</v>
      </c>
      <c r="AG14" s="83" t="str">
        <f>IF(Input!$AF14,(100-Input!$AA14)/100,"")</f>
        <v/>
      </c>
      <c r="AH14" s="83" t="str">
        <f>IF(Input!$AF14,AG14-AB14%,"")</f>
        <v/>
      </c>
      <c r="AI14" s="91"/>
      <c r="AJ14" s="82"/>
      <c r="AK14" s="82"/>
      <c r="AL14" s="82" t="str">
        <f t="shared" si="1"/>
        <v/>
      </c>
      <c r="AM14" s="99" t="str">
        <f>IF(Input!$AF14,YEARFRAC(Input!$AK14,Input!$AL14,DayCount_AUD),"")</f>
        <v/>
      </c>
      <c r="AN14" s="96" t="str" cm="1">
        <f t="array" ref="AN14">IF(Input!$AF14,Linterp(_xlfn.VSTACK(_xlfn.ANCHORARRAY(Input!$W$4),$AL$4:AL13),_xlfn.VSTACK(_xlfn.ANCHORARRAY(Input!$X$4),$AO$4:AO13),Input!$AK14,1,TRUE),"")</f>
        <v/>
      </c>
      <c r="AO14" s="186"/>
      <c r="AP14" s="128"/>
      <c r="AQ14" s="49"/>
      <c r="AR14" s="28"/>
      <c r="AS14" s="28"/>
      <c r="AT14" s="50"/>
      <c r="AU14" s="51"/>
      <c r="AW14" s="55" t="s">
        <v>7</v>
      </c>
      <c r="AX14" s="33">
        <v>4.5</v>
      </c>
      <c r="AY14" s="115">
        <f>IF(BBSW3MSwaps[[#This Row],[Numerical Solve]],BBSW3MSwaps[[#This Row],[Maturity Date, T2]],"")</f>
        <v>49857</v>
      </c>
      <c r="AZ14" s="142">
        <f>IF(BBSW3MSwaps[[#This Row],[Numerical Solve]],BBSW3MSwaps[[#This Row],[Solved DF]],"")</f>
        <v>0.58623176120363496</v>
      </c>
      <c r="BA14" s="143">
        <f>IF(BBSW3MSwaps[[#This Row],[Numerical Solve]],-1*LN(BBSW3MSwaps[[#This Row],[Solved DF]])/YEARFRAC(CurveDate,BBSW3MSwaps[[#This Row],[Maturity Date, T2]],DCB_CCZR),"")</f>
        <v>4.4442459140559831E-2</v>
      </c>
      <c r="BB14" s="34" t="str">
        <f>LEFT(BBSW3MSwaps[[#This Row],[Tenor]],LEN(BBSW3MSwaps[[#This Row],[Tenor]])-1)</f>
        <v>12</v>
      </c>
      <c r="BC14" s="35">
        <f t="shared" si="2"/>
        <v>45474</v>
      </c>
      <c r="BD14" s="35">
        <f>WORKDAY(EDATE(BBSW3MSwaps[[#This Row],[Effective Date, T1]],BBSW3MSwaps[[#This Row],[Years]]*12)-1,1,Holidays_NSWPublic)</f>
        <v>49857</v>
      </c>
      <c r="BE14" s="38" t="s">
        <v>25</v>
      </c>
      <c r="BF14" s="39" t="s">
        <v>24</v>
      </c>
      <c r="BG14" s="41" t="b">
        <f>BBSW3MSwaps[[#This Row],[Par Swap Rate]]&lt;&gt;""</f>
        <v>1</v>
      </c>
      <c r="BH14" s="28" t="b">
        <f>BBSW3MSwaps[[#This Row],[Maturity Date, T2]]&gt;MAX(_xlfn.ANCHORARRAY($AP$4))</f>
        <v>1</v>
      </c>
      <c r="BI14" s="28" t="b" cm="1">
        <f t="array" ref="BI14">_xlfn.IFS(
NOT(ApplyFutures),BBSW3MSwaps[[#This Row],[Valid Input]],
FuturesPriority="Below Swaps",BBSW3MSwaps[[#This Row],[Valid Input]],
FuturesPriority="Above Swaps",AND(BBSW3MSwaps[[#This Row],[Valid Input]],BBSW3MSwaps[[#This Row],[Tenor &gt; Max(Futures)]]))</f>
        <v>1</v>
      </c>
      <c r="BJ14" s="28">
        <f>BBSW3MSwaps[[#This Row],[Numerical Solve]]*1</f>
        <v>1</v>
      </c>
      <c r="BK14" s="41">
        <f>IF(BBSW3MSwaps[[#This Row],[Numerical Solve]],SUM(BBSW3MSwaps[[#Headers],[Flag]]:BBSW3MSwaps[[#This Row],[Flag]]),0)</f>
        <v>6</v>
      </c>
      <c r="BL14" s="134">
        <v>0.58623176120363496</v>
      </c>
      <c r="BM14" s="42"/>
      <c r="BN14" s="334" t="s">
        <v>29</v>
      </c>
      <c r="BO14" s="333">
        <v>4.3</v>
      </c>
      <c r="BP14" s="115">
        <f>IF(AONIA[[#This Row],[Valid]],AONIA[[#This Row],[Maturity Date (T2)]],"")</f>
        <v>45659</v>
      </c>
      <c r="BQ14" s="142" cm="1">
        <f t="array" ref="BQ14">IF(AONIA[[#This Row],[Valid]],Linterp(_xlfn.ANCHORARRAY(Curves!$G$4),_xlfn.ANCHORARRAY(Curves!$J$4),AONIA[[#This Row],[Maturity]],-1,TRUE),"")</f>
        <v>0.97832458493832553</v>
      </c>
      <c r="BR14" s="143">
        <f>IF(AONIA[[#This Row],[Valid]],-1*LN(AONIA[[#This Row],[DF]])/YEARFRAC(CurveDate,AONIA[[#This Row],[Maturity]],DCB_CCZR),"")</f>
        <v>4.2545366025766737E-2</v>
      </c>
      <c r="BS14" s="343" t="b">
        <v>1</v>
      </c>
      <c r="BT14" s="110">
        <f>IF(AONIA[[#This Row],[Has Settle Delay]],SettlementDelayAUD,0)</f>
        <v>1</v>
      </c>
      <c r="BU14" s="35">
        <f>WORKDAY(CurveDate,AONIA[[#This Row],[Settle Delay]],Holidays_NSWPublic)</f>
        <v>45474</v>
      </c>
      <c r="BV14" s="8">
        <v>6</v>
      </c>
      <c r="BW14" s="8" t="s">
        <v>17</v>
      </c>
      <c r="BX14" s="35" cm="1">
        <f t="array" ref="BX1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45659</v>
      </c>
      <c r="BY14" s="47">
        <f>WORKDAY(AONIA[[#This Row],[Maturity Date (T2)]],OISPaymentDelay,Holidays_NSWPublic)</f>
        <v>45663</v>
      </c>
      <c r="BZ14" s="41" t="b">
        <f>AONIA[[#This Row],[Par Swap Rate]]&lt;&gt;""</f>
        <v>1</v>
      </c>
      <c r="CA14" s="28" t="b">
        <v>1</v>
      </c>
      <c r="CB14" s="28" t="b">
        <f>AND(AONIA[[#This Row],[Valid]],AONIA[[#This Row],[Zero-coupon?]])</f>
        <v>1</v>
      </c>
      <c r="CC14" s="28" t="b">
        <f>AND(AONIA[[#This Row],[Valid]],NOT(AONIA[[#This Row],[Analytical Solve]]))</f>
        <v>0</v>
      </c>
      <c r="CD14" s="312">
        <f>AONIA[[#This Row],[Numerical Solve]]*1</f>
        <v>0</v>
      </c>
      <c r="CE14" s="153">
        <f>IF(AONIA[[#This Row],[Analytical Solve]],1+AONIA[[#This Row],[Par Swap Rate]]%*YEARFRAC(AONIA[[#This Row],[Settle Date (T1)]],AONIA[[#This Row],[Maturity Date (T2)]],DayCount_AUD),"")</f>
        <v>1.0217945205479453</v>
      </c>
      <c r="CF14" s="150" cm="1">
        <f t="array" ref="CF14">IF(AONIA[[#This Row],[Analytical Solve]],_xlfn.IFS(AONIA[[#This Row],[Settle Date (T1)]]=CurveDate,1,TRUE,_xlfn.XLOOKUP(AONIA[[#This Row],[Settle Date (T1)]],AONIA[Maturity Date (T2)],AONIA[DF(T2)])),"")</f>
        <v>0.99964670020732393</v>
      </c>
      <c r="CG14" s="346">
        <f>IF(AONIA[[#This Row],[Analytical Solve]],AONIA[[#This Row],[DF(T1)]]/AONIA[[#This Row],[1+r𝛿]],"")</f>
        <v>0.97832458493832553</v>
      </c>
      <c r="CH14" s="46">
        <f>IF(AONIA[[#This Row],[Numerical Solve]],SUM(AONIA[[#Headers],[Flag]]:AONIA[[#This Row],[Flag]]),0)</f>
        <v>0</v>
      </c>
      <c r="CI14" s="183"/>
      <c r="CJ14" s="42"/>
      <c r="CK14" s="103" t="s">
        <v>10</v>
      </c>
      <c r="CL14" s="33">
        <v>15</v>
      </c>
      <c r="CM14" s="115">
        <f>IF(FCBS[[#This Row],[Valid]],FCBS[[#This Row],[Maturity Date (T2)]],"")</f>
        <v>48396</v>
      </c>
      <c r="CN14" s="142" cm="1">
        <f t="array" ref="CN14">IF(FCBS[[#This Row],[Valid]],Linterp(_xlfn.ANCHORARRAY(Curves!$AA$4),_xlfn.ANCHORARRAY(Curves!$AD$4),FCBS[[#This Row],[Maturity]],-1,TRUE),"")</f>
        <v>0.70517449886847672</v>
      </c>
      <c r="CO14" s="143">
        <f>IF(FCBS[[#This Row],[Valid]],-1*LN(FCBS[[#This Row],[DF]])/YEARFRAC(CurveDate,FCBS[[#This Row],[Maturity]],DCB_CCZR),"")</f>
        <v>4.3589109947033404E-2</v>
      </c>
      <c r="CP14" s="142" t="b">
        <v>1</v>
      </c>
      <c r="CQ14" s="110">
        <f>IF(FCBS[[#This Row],[Has Settle Delay]],SettlementDelayAUD,0)</f>
        <v>1</v>
      </c>
      <c r="CR14" s="35">
        <f>WORKDAY(CurveDate,FCBS[[#This Row],[Settle Delay]],Holidays_NSWPublic)</f>
        <v>45474</v>
      </c>
      <c r="CS14" s="8">
        <v>8</v>
      </c>
      <c r="CT14" s="8" t="s">
        <v>1</v>
      </c>
      <c r="CU14" s="35" cm="1">
        <f t="array" ref="CU14">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48396</v>
      </c>
      <c r="CV14" s="35">
        <f>WORKDAY(FCBS[[#This Row],[Maturity Date (T2)]],OISPaymentDelay,Holidays_NSWPublic)</f>
        <v>48400</v>
      </c>
      <c r="CW14" s="28" t="b">
        <f>FCBS[[#This Row],[Basis Spread]]&lt;&gt;""</f>
        <v>1</v>
      </c>
      <c r="CX14" s="28" t="b">
        <f>FCBS[[#This Row],[Valid]]</f>
        <v>1</v>
      </c>
      <c r="CY14" s="22">
        <f>FCBS[[#This Row],[Valid]]*1</f>
        <v>1</v>
      </c>
      <c r="CZ14" s="46">
        <f>IF(FCBS[[#This Row],[Valid]],SUM(FCBS[[#Headers],[Flag]]:FCBS[[#This Row],[Flag]]),0)</f>
        <v>9</v>
      </c>
      <c r="DA14" s="5">
        <v>0.70483773011835371</v>
      </c>
    </row>
    <row r="15" spans="2:105">
      <c r="B15" s="52" t="s">
        <v>228</v>
      </c>
      <c r="C15" s="138">
        <v>1</v>
      </c>
      <c r="Z15" s="85"/>
      <c r="AA15" s="85"/>
      <c r="AB15" s="85"/>
      <c r="AC15" s="118" t="str">
        <f t="shared" si="3"/>
        <v/>
      </c>
      <c r="AD15" s="124" t="str">
        <f t="shared" si="0"/>
        <v/>
      </c>
      <c r="AE15" s="132" t="str">
        <f>IF(AF15,-LN(Input!$AO15)/YEARFRAC(CurveDate,Input!$AL15,DCB_CCZR),"")</f>
        <v/>
      </c>
      <c r="AF15" s="28" t="b">
        <f>Input!$Z15&lt;&gt;""</f>
        <v>0</v>
      </c>
      <c r="AG15" s="83" t="str">
        <f>IF(Input!$AF15,(100-Input!$AA15)/100,"")</f>
        <v/>
      </c>
      <c r="AH15" s="83" t="str">
        <f>IF(Input!$AF15,AG15-AB15%,"")</f>
        <v/>
      </c>
      <c r="AI15" s="91"/>
      <c r="AJ15" s="82"/>
      <c r="AK15" s="82"/>
      <c r="AL15" s="82" t="str">
        <f t="shared" si="1"/>
        <v/>
      </c>
      <c r="AM15" s="99" t="str">
        <f>IF(Input!$AF15,YEARFRAC(Input!$AK15,Input!$AL15,DayCount_AUD),"")</f>
        <v/>
      </c>
      <c r="AN15" s="96" t="str" cm="1">
        <f t="array" ref="AN15">IF(Input!$AF15,Linterp(_xlfn.VSTACK(_xlfn.ANCHORARRAY(Input!$W$4),$AL$4:AL14),_xlfn.VSTACK(_xlfn.ANCHORARRAY(Input!$X$4),$AO$4:AO14),Input!$AK15,1,TRUE),"")</f>
        <v/>
      </c>
      <c r="AO15" s="186"/>
      <c r="AP15" s="128"/>
      <c r="AQ15" s="49"/>
      <c r="AR15" s="28"/>
      <c r="AS15" s="28"/>
      <c r="AT15" s="50"/>
      <c r="AU15" s="51"/>
      <c r="AW15" s="55" t="s">
        <v>6</v>
      </c>
      <c r="AX15" s="33">
        <v>4.5</v>
      </c>
      <c r="AY15" s="115">
        <f>IF(BBSW3MSwaps[[#This Row],[Numerical Solve]],BBSW3MSwaps[[#This Row],[Maturity Date, T2]],"")</f>
        <v>50952</v>
      </c>
      <c r="AZ15" s="142">
        <f>IF(BBSW3MSwaps[[#This Row],[Numerical Solve]],BBSW3MSwaps[[#This Row],[Solved DF]],"")</f>
        <v>0.51296754306724224</v>
      </c>
      <c r="BA15" s="143">
        <f>IF(BBSW3MSwaps[[#This Row],[Numerical Solve]],-1*LN(BBSW3MSwaps[[#This Row],[Solved DF]])/YEARFRAC(CurveDate,BBSW3MSwaps[[#This Row],[Maturity Date, T2]],DCB_CCZR),"")</f>
        <v>4.445413012424923E-2</v>
      </c>
      <c r="BB15" s="34" t="str">
        <f>LEFT(BBSW3MSwaps[[#This Row],[Tenor]],LEN(BBSW3MSwaps[[#This Row],[Tenor]])-1)</f>
        <v>15</v>
      </c>
      <c r="BC15" s="35">
        <f t="shared" si="2"/>
        <v>45474</v>
      </c>
      <c r="BD15" s="35">
        <f>WORKDAY(EDATE(BBSW3MSwaps[[#This Row],[Effective Date, T1]],BBSW3MSwaps[[#This Row],[Years]]*12)-1,1,Holidays_NSWPublic)</f>
        <v>50952</v>
      </c>
      <c r="BE15" s="38" t="s">
        <v>25</v>
      </c>
      <c r="BF15" s="39" t="s">
        <v>24</v>
      </c>
      <c r="BG15" s="41" t="b">
        <f>BBSW3MSwaps[[#This Row],[Par Swap Rate]]&lt;&gt;""</f>
        <v>1</v>
      </c>
      <c r="BH15" s="28" t="b">
        <f>BBSW3MSwaps[[#This Row],[Maturity Date, T2]]&gt;MAX(_xlfn.ANCHORARRAY($AP$4))</f>
        <v>1</v>
      </c>
      <c r="BI15" s="28" t="b" cm="1">
        <f t="array" ref="BI15">_xlfn.IFS(
NOT(ApplyFutures),BBSW3MSwaps[[#This Row],[Valid Input]],
FuturesPriority="Below Swaps",BBSW3MSwaps[[#This Row],[Valid Input]],
FuturesPriority="Above Swaps",AND(BBSW3MSwaps[[#This Row],[Valid Input]],BBSW3MSwaps[[#This Row],[Tenor &gt; Max(Futures)]]))</f>
        <v>1</v>
      </c>
      <c r="BJ15" s="28">
        <f>BBSW3MSwaps[[#This Row],[Numerical Solve]]*1</f>
        <v>1</v>
      </c>
      <c r="BK15" s="41">
        <f>IF(BBSW3MSwaps[[#This Row],[Numerical Solve]],SUM(BBSW3MSwaps[[#Headers],[Flag]]:BBSW3MSwaps[[#This Row],[Flag]]),0)</f>
        <v>7</v>
      </c>
      <c r="BL15" s="134">
        <v>0.51296754306724224</v>
      </c>
      <c r="BM15" s="42"/>
      <c r="BN15" s="334" t="s">
        <v>28</v>
      </c>
      <c r="BO15" s="333">
        <v>4.3</v>
      </c>
      <c r="BP15" s="115">
        <f>IF(AONIA[[#This Row],[Valid]],AONIA[[#This Row],[Maturity Date (T2)]],"")</f>
        <v>45691</v>
      </c>
      <c r="BQ15" s="142" cm="1">
        <f t="array" ref="BQ15">IF(AONIA[[#This Row],[Valid]],Linterp(_xlfn.ANCHORARRAY(Curves!$G$4),_xlfn.ANCHORARRAY(Curves!$J$4),AONIA[[#This Row],[Maturity]],-1,TRUE),"")</f>
        <v>0.97472837028104331</v>
      </c>
      <c r="BR15" s="143">
        <f>IF(AONIA[[#This Row],[Valid]],-1*LN(AONIA[[#This Row],[DF]])/YEARFRAC(CurveDate,AONIA[[#This Row],[Maturity]],DCB_CCZR),"")</f>
        <v>4.2466823202809638E-2</v>
      </c>
      <c r="BS15" s="343" t="b">
        <v>1</v>
      </c>
      <c r="BT15" s="110">
        <f>IF(AONIA[[#This Row],[Has Settle Delay]],SettlementDelayAUD,0)</f>
        <v>1</v>
      </c>
      <c r="BU15" s="35">
        <f>WORKDAY(CurveDate,AONIA[[#This Row],[Settle Delay]],Holidays_NSWPublic)</f>
        <v>45474</v>
      </c>
      <c r="BV15" s="8">
        <v>7</v>
      </c>
      <c r="BW15" s="8" t="s">
        <v>17</v>
      </c>
      <c r="BX15" s="35" cm="1">
        <f t="array" ref="BX1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45691</v>
      </c>
      <c r="BY15" s="47">
        <f>WORKDAY(AONIA[[#This Row],[Maturity Date (T2)]],OISPaymentDelay,Holidays_NSWPublic)</f>
        <v>45693</v>
      </c>
      <c r="BZ15" s="41" t="b">
        <f>AONIA[[#This Row],[Par Swap Rate]]&lt;&gt;""</f>
        <v>1</v>
      </c>
      <c r="CA15" s="28" t="b">
        <v>1</v>
      </c>
      <c r="CB15" s="28" t="b">
        <f>AND(AONIA[[#This Row],[Valid]],AONIA[[#This Row],[Zero-coupon?]])</f>
        <v>1</v>
      </c>
      <c r="CC15" s="28" t="b">
        <f>AND(AONIA[[#This Row],[Valid]],NOT(AONIA[[#This Row],[Analytical Solve]]))</f>
        <v>0</v>
      </c>
      <c r="CD15" s="312">
        <f>AONIA[[#This Row],[Numerical Solve]]*1</f>
        <v>0</v>
      </c>
      <c r="CE15" s="153">
        <f>IF(AONIA[[#This Row],[Analytical Solve]],1+AONIA[[#This Row],[Par Swap Rate]]%*YEARFRAC(AONIA[[#This Row],[Settle Date (T1)]],AONIA[[#This Row],[Maturity Date (T2)]],DayCount_AUD),"")</f>
        <v>1.0255643835616439</v>
      </c>
      <c r="CF15" s="150" cm="1">
        <f t="array" ref="CF15">IF(AONIA[[#This Row],[Analytical Solve]],_xlfn.IFS(AONIA[[#This Row],[Settle Date (T1)]]=CurveDate,1,TRUE,_xlfn.XLOOKUP(AONIA[[#This Row],[Settle Date (T1)]],AONIA[Maturity Date (T2)],AONIA[DF(T2)])),"")</f>
        <v>0.99964670020732393</v>
      </c>
      <c r="CG15" s="346">
        <f>IF(AONIA[[#This Row],[Analytical Solve]],AONIA[[#This Row],[DF(T1)]]/AONIA[[#This Row],[1+r𝛿]],"")</f>
        <v>0.97472837028104331</v>
      </c>
      <c r="CH15" s="46">
        <f>IF(AONIA[[#This Row],[Numerical Solve]],SUM(AONIA[[#Headers],[Flag]]:AONIA[[#This Row],[Flag]]),0)</f>
        <v>0</v>
      </c>
      <c r="CI15" s="183"/>
      <c r="CJ15" s="42"/>
      <c r="CK15" s="103" t="s">
        <v>9</v>
      </c>
      <c r="CL15" s="33">
        <v>15</v>
      </c>
      <c r="CM15" s="115">
        <f>IF(FCBS[[#This Row],[Valid]],FCBS[[#This Row],[Maturity Date (T2)]],"")</f>
        <v>48761</v>
      </c>
      <c r="CN15" s="142" cm="1">
        <f t="array" ref="CN15">IF(FCBS[[#This Row],[Valid]],Linterp(_xlfn.ANCHORARRAY(Curves!$AA$4),_xlfn.ANCHORARRAY(Curves!$AD$4),FCBS[[#This Row],[Maturity]],-1,TRUE),"")</f>
        <v>0.67509660667050875</v>
      </c>
      <c r="CO15" s="143">
        <f>IF(FCBS[[#This Row],[Valid]],-1*LN(FCBS[[#This Row],[DF]])/YEARFRAC(CurveDate,FCBS[[#This Row],[Maturity]],DCB_CCZR),"")</f>
        <v>4.3589151743264137E-2</v>
      </c>
      <c r="CP15" s="142" t="b">
        <v>1</v>
      </c>
      <c r="CQ15" s="110">
        <f>IF(FCBS[[#This Row],[Has Settle Delay]],SettlementDelayAUD,0)</f>
        <v>1</v>
      </c>
      <c r="CR15" s="35">
        <f>WORKDAY(CurveDate,FCBS[[#This Row],[Settle Delay]],Holidays_NSWPublic)</f>
        <v>45474</v>
      </c>
      <c r="CS15" s="8">
        <v>9</v>
      </c>
      <c r="CT15" s="8" t="s">
        <v>1</v>
      </c>
      <c r="CU15" s="35" cm="1">
        <f t="array" ref="CU15">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48761</v>
      </c>
      <c r="CV15" s="35">
        <f>WORKDAY(FCBS[[#This Row],[Maturity Date (T2)]],OISPaymentDelay,Holidays_NSWPublic)</f>
        <v>48765</v>
      </c>
      <c r="CW15" s="28" t="b">
        <f>FCBS[[#This Row],[Basis Spread]]&lt;&gt;""</f>
        <v>1</v>
      </c>
      <c r="CX15" s="28" t="b">
        <f>FCBS[[#This Row],[Valid]]</f>
        <v>1</v>
      </c>
      <c r="CY15" s="22">
        <f>FCBS[[#This Row],[Valid]]*1</f>
        <v>1</v>
      </c>
      <c r="CZ15" s="46">
        <f>IF(FCBS[[#This Row],[Valid]],SUM(FCBS[[#Headers],[Flag]]:FCBS[[#This Row],[Flag]]),0)</f>
        <v>10</v>
      </c>
      <c r="DA15" s="5">
        <v>0.67477419467503752</v>
      </c>
    </row>
    <row r="16" spans="2:105">
      <c r="B16" s="52" t="s">
        <v>304</v>
      </c>
      <c r="C16" s="138">
        <v>2</v>
      </c>
      <c r="F16" s="11" t="s">
        <v>259</v>
      </c>
      <c r="G16" s="11"/>
      <c r="H16" s="12" t="s">
        <v>190</v>
      </c>
      <c r="I16" s="12"/>
      <c r="J16" s="116"/>
      <c r="K16" s="13" t="s">
        <v>153</v>
      </c>
      <c r="L16" s="12"/>
      <c r="M16" s="13"/>
      <c r="N16" s="13"/>
      <c r="O16" s="13"/>
      <c r="P16" s="13"/>
      <c r="Q16" s="14"/>
      <c r="R16" s="68" t="s">
        <v>154</v>
      </c>
      <c r="S16" s="68"/>
      <c r="T16" s="68"/>
      <c r="U16" s="68"/>
      <c r="V16" s="69"/>
      <c r="W16" s="67" t="s">
        <v>261</v>
      </c>
      <c r="X16" s="69"/>
      <c r="Z16" s="85"/>
      <c r="AA16" s="85"/>
      <c r="AB16" s="85"/>
      <c r="AC16" s="118" t="str">
        <f t="shared" si="3"/>
        <v/>
      </c>
      <c r="AD16" s="124" t="str">
        <f t="shared" si="0"/>
        <v/>
      </c>
      <c r="AE16" s="132" t="str">
        <f>IF(AF16,-LN(Input!$AO16)/YEARFRAC(CurveDate,Input!$AL16,DCB_CCZR),"")</f>
        <v/>
      </c>
      <c r="AF16" s="28" t="b">
        <f>Input!$Z16&lt;&gt;""</f>
        <v>0</v>
      </c>
      <c r="AG16" s="83" t="str">
        <f>IF(Input!$AF16,(100-Input!$AA16)/100,"")</f>
        <v/>
      </c>
      <c r="AH16" s="83" t="str">
        <f>IF(Input!$AF16,AG16-AB16%,"")</f>
        <v/>
      </c>
      <c r="AI16" s="91"/>
      <c r="AJ16" s="82"/>
      <c r="AK16" s="82"/>
      <c r="AL16" s="82" t="str">
        <f t="shared" si="1"/>
        <v/>
      </c>
      <c r="AM16" s="99" t="str">
        <f>IF(Input!$AF16,YEARFRAC(Input!$AK16,Input!$AL16,DayCount_AUD),"")</f>
        <v/>
      </c>
      <c r="AN16" s="96" t="str" cm="1">
        <f t="array" ref="AN16">IF(Input!$AF16,Linterp(_xlfn.VSTACK(_xlfn.ANCHORARRAY(Input!$W$4),$AL$4:AL15),_xlfn.VSTACK(_xlfn.ANCHORARRAY(Input!$X$4),$AO$4:AO15),Input!$AK16,1,TRUE),"")</f>
        <v/>
      </c>
      <c r="AO16" s="186"/>
      <c r="AP16" s="128"/>
      <c r="AQ16" s="49"/>
      <c r="AR16" s="28"/>
      <c r="AS16" s="28"/>
      <c r="AT16" s="50"/>
      <c r="AU16" s="51"/>
      <c r="AW16" s="55" t="s">
        <v>5</v>
      </c>
      <c r="AX16" s="33">
        <v>4.5</v>
      </c>
      <c r="AY16" s="115">
        <f>IF(BBSW3MSwaps[[#This Row],[Numerical Solve]],BBSW3MSwaps[[#This Row],[Maturity Date, T2]],"")</f>
        <v>52779</v>
      </c>
      <c r="AZ16" s="142">
        <f>IF(BBSW3MSwaps[[#This Row],[Numerical Solve]],BBSW3MSwaps[[#This Row],[Solved DF]],"")</f>
        <v>0.41053713367715733</v>
      </c>
      <c r="BA16" s="143">
        <f>IF(BBSW3MSwaps[[#This Row],[Numerical Solve]],-1*LN(BBSW3MSwaps[[#This Row],[Solved DF]])/YEARFRAC(CurveDate,BBSW3MSwaps[[#This Row],[Maturity Date, T2]],DCB_CCZR),"")</f>
        <v>4.446571517678196E-2</v>
      </c>
      <c r="BB16" s="34" t="str">
        <f>LEFT(BBSW3MSwaps[[#This Row],[Tenor]],LEN(BBSW3MSwaps[[#This Row],[Tenor]])-1)</f>
        <v>20</v>
      </c>
      <c r="BC16" s="35">
        <f t="shared" si="2"/>
        <v>45474</v>
      </c>
      <c r="BD16" s="35">
        <f>WORKDAY(EDATE(BBSW3MSwaps[[#This Row],[Effective Date, T1]],BBSW3MSwaps[[#This Row],[Years]]*12)-1,1,Holidays_NSWPublic)</f>
        <v>52779</v>
      </c>
      <c r="BE16" s="38" t="s">
        <v>25</v>
      </c>
      <c r="BF16" s="39" t="s">
        <v>24</v>
      </c>
      <c r="BG16" s="41" t="b">
        <f>BBSW3MSwaps[[#This Row],[Par Swap Rate]]&lt;&gt;""</f>
        <v>1</v>
      </c>
      <c r="BH16" s="28" t="b">
        <f>BBSW3MSwaps[[#This Row],[Maturity Date, T2]]&gt;MAX(_xlfn.ANCHORARRAY($AP$4))</f>
        <v>1</v>
      </c>
      <c r="BI16" s="28" t="b" cm="1">
        <f t="array" ref="BI16">_xlfn.IFS(
NOT(ApplyFutures),BBSW3MSwaps[[#This Row],[Valid Input]],
FuturesPriority="Below Swaps",BBSW3MSwaps[[#This Row],[Valid Input]],
FuturesPriority="Above Swaps",AND(BBSW3MSwaps[[#This Row],[Valid Input]],BBSW3MSwaps[[#This Row],[Tenor &gt; Max(Futures)]]))</f>
        <v>1</v>
      </c>
      <c r="BJ16" s="28">
        <f>BBSW3MSwaps[[#This Row],[Numerical Solve]]*1</f>
        <v>1</v>
      </c>
      <c r="BK16" s="41">
        <f>IF(BBSW3MSwaps[[#This Row],[Numerical Solve]],SUM(BBSW3MSwaps[[#Headers],[Flag]]:BBSW3MSwaps[[#This Row],[Flag]]),0)</f>
        <v>8</v>
      </c>
      <c r="BL16" s="134">
        <v>0.41053713367715733</v>
      </c>
      <c r="BM16" s="42"/>
      <c r="BN16" s="334" t="s">
        <v>27</v>
      </c>
      <c r="BO16" s="333">
        <v>4.3</v>
      </c>
      <c r="BP16" s="115">
        <f>IF(AONIA[[#This Row],[Valid]],AONIA[[#This Row],[Maturity Date (T2)]],"")</f>
        <v>45719</v>
      </c>
      <c r="BQ16" s="142" cm="1">
        <f t="array" ref="BQ16">IF(AONIA[[#This Row],[Valid]],Linterp(_xlfn.ANCHORARRAY(Curves!$G$4),_xlfn.ANCHORARRAY(Curves!$J$4),AONIA[[#This Row],[Maturity]],-1,TRUE),"")</f>
        <v>0.97160330082595037</v>
      </c>
      <c r="BR16" s="143">
        <f>IF(AONIA[[#This Row],[Valid]],-1*LN(AONIA[[#This Row],[DF]])/YEARFRAC(CurveDate,AONIA[[#This Row],[Maturity]],DCB_CCZR),"")</f>
        <v>4.2398406697086409E-2</v>
      </c>
      <c r="BS16" s="343" t="b">
        <v>1</v>
      </c>
      <c r="BT16" s="110">
        <f>IF(AONIA[[#This Row],[Has Settle Delay]],SettlementDelayAUD,0)</f>
        <v>1</v>
      </c>
      <c r="BU16" s="35">
        <f>WORKDAY(CurveDate,AONIA[[#This Row],[Settle Delay]],Holidays_NSWPublic)</f>
        <v>45474</v>
      </c>
      <c r="BV16" s="8">
        <v>8</v>
      </c>
      <c r="BW16" s="8" t="s">
        <v>17</v>
      </c>
      <c r="BX16" s="35" cm="1">
        <f t="array" ref="BX1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45719</v>
      </c>
      <c r="BY16" s="47">
        <f>WORKDAY(AONIA[[#This Row],[Maturity Date (T2)]],OISPaymentDelay,Holidays_NSWPublic)</f>
        <v>45721</v>
      </c>
      <c r="BZ16" s="41" t="b">
        <f>AONIA[[#This Row],[Par Swap Rate]]&lt;&gt;""</f>
        <v>1</v>
      </c>
      <c r="CA16" s="28" t="b">
        <v>1</v>
      </c>
      <c r="CB16" s="28" t="b">
        <f>AND(AONIA[[#This Row],[Valid]],AONIA[[#This Row],[Zero-coupon?]])</f>
        <v>1</v>
      </c>
      <c r="CC16" s="28" t="b">
        <f>AND(AONIA[[#This Row],[Valid]],NOT(AONIA[[#This Row],[Analytical Solve]]))</f>
        <v>0</v>
      </c>
      <c r="CD16" s="312">
        <f>AONIA[[#This Row],[Numerical Solve]]*1</f>
        <v>0</v>
      </c>
      <c r="CE16" s="153">
        <f>IF(AONIA[[#This Row],[Analytical Solve]],1+AONIA[[#This Row],[Par Swap Rate]]%*YEARFRAC(AONIA[[#This Row],[Settle Date (T1)]],AONIA[[#This Row],[Maturity Date (T2)]],DayCount_AUD),"")</f>
        <v>1.0288630136986301</v>
      </c>
      <c r="CF16" s="150" cm="1">
        <f t="array" ref="CF16">IF(AONIA[[#This Row],[Analytical Solve]],_xlfn.IFS(AONIA[[#This Row],[Settle Date (T1)]]=CurveDate,1,TRUE,_xlfn.XLOOKUP(AONIA[[#This Row],[Settle Date (T1)]],AONIA[Maturity Date (T2)],AONIA[DF(T2)])),"")</f>
        <v>0.99964670020732393</v>
      </c>
      <c r="CG16" s="346">
        <f>IF(AONIA[[#This Row],[Analytical Solve]],AONIA[[#This Row],[DF(T1)]]/AONIA[[#This Row],[1+r𝛿]],"")</f>
        <v>0.97160330082595037</v>
      </c>
      <c r="CH16" s="46">
        <f>IF(AONIA[[#This Row],[Numerical Solve]],SUM(AONIA[[#Headers],[Flag]]:AONIA[[#This Row],[Flag]]),0)</f>
        <v>0</v>
      </c>
      <c r="CI16" s="183"/>
      <c r="CJ16" s="42"/>
      <c r="CK16" s="103" t="s">
        <v>8</v>
      </c>
      <c r="CL16" s="33">
        <v>15</v>
      </c>
      <c r="CM16" s="115">
        <f>IF(FCBS[[#This Row],[Valid]],FCBS[[#This Row],[Maturity Date (T2)]],"")</f>
        <v>49128</v>
      </c>
      <c r="CN16" s="142" cm="1">
        <f t="array" ref="CN16">IF(FCBS[[#This Row],[Valid]],Linterp(_xlfn.ANCHORARRAY(Curves!$AA$4),_xlfn.ANCHORARRAY(Curves!$AD$4),FCBS[[#This Row],[Maturity]],-1,TRUE),"")</f>
        <v>0.64614074546116806</v>
      </c>
      <c r="CO16" s="143">
        <f>IF(FCBS[[#This Row],[Valid]],-1*LN(FCBS[[#This Row],[DF]])/YEARFRAC(CurveDate,FCBS[[#This Row],[Maturity]],DCB_CCZR),"")</f>
        <v>4.3590195035618375E-2</v>
      </c>
      <c r="CP16" s="142" t="b">
        <v>1</v>
      </c>
      <c r="CQ16" s="110">
        <f>IF(FCBS[[#This Row],[Has Settle Delay]],SettlementDelayAUD,0)</f>
        <v>1</v>
      </c>
      <c r="CR16" s="35">
        <f>WORKDAY(CurveDate,FCBS[[#This Row],[Settle Delay]],Holidays_NSWPublic)</f>
        <v>45474</v>
      </c>
      <c r="CS16" s="8">
        <v>10</v>
      </c>
      <c r="CT16" s="8" t="s">
        <v>1</v>
      </c>
      <c r="CU16" s="35" cm="1">
        <f t="array" ref="CU16">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49128</v>
      </c>
      <c r="CV16" s="35">
        <f>WORKDAY(FCBS[[#This Row],[Maturity Date (T2)]],OISPaymentDelay,Holidays_NSWPublic)</f>
        <v>49130</v>
      </c>
      <c r="CW16" s="28" t="b">
        <f>FCBS[[#This Row],[Basis Spread]]&lt;&gt;""</f>
        <v>1</v>
      </c>
      <c r="CX16" s="28" t="b">
        <f>FCBS[[#This Row],[Valid]]</f>
        <v>1</v>
      </c>
      <c r="CY16" s="22">
        <f>FCBS[[#This Row],[Valid]]*1</f>
        <v>1</v>
      </c>
      <c r="CZ16" s="46">
        <f>IF(FCBS[[#This Row],[Valid]],SUM(FCBS[[#Headers],[Flag]]:FCBS[[#This Row],[Flag]]),0)</f>
        <v>11</v>
      </c>
      <c r="DA16" s="5">
        <v>0.64598639942848746</v>
      </c>
    </row>
    <row r="17" spans="2:105">
      <c r="B17" s="52" t="s">
        <v>290</v>
      </c>
      <c r="C17" s="138">
        <v>2</v>
      </c>
      <c r="D17" s="191">
        <f>_xlfn.XLOOKUP(C18,DCB[Day Count Basis String],DCB[Day Count Basis Index])</f>
        <v>3</v>
      </c>
      <c r="F17" s="63" t="s">
        <v>44</v>
      </c>
      <c r="G17" s="63" t="s">
        <v>51</v>
      </c>
      <c r="H17" s="63" t="s">
        <v>243</v>
      </c>
      <c r="I17" s="64" t="s">
        <v>189</v>
      </c>
      <c r="J17" s="62" t="s">
        <v>133</v>
      </c>
      <c r="K17" s="64" t="s">
        <v>185</v>
      </c>
      <c r="L17" s="63" t="s">
        <v>188</v>
      </c>
      <c r="M17" s="64" t="s">
        <v>50</v>
      </c>
      <c r="N17" s="65" t="s">
        <v>69</v>
      </c>
      <c r="O17" s="64" t="s">
        <v>49</v>
      </c>
      <c r="P17" s="64" t="s">
        <v>150</v>
      </c>
      <c r="Q17" s="62" t="s">
        <v>54</v>
      </c>
      <c r="R17" s="64" t="s">
        <v>61</v>
      </c>
      <c r="S17" s="66" t="s">
        <v>152</v>
      </c>
      <c r="T17" s="64" t="s">
        <v>47</v>
      </c>
      <c r="U17" s="64" t="s">
        <v>46</v>
      </c>
      <c r="V17" s="64" t="s">
        <v>53</v>
      </c>
      <c r="W17" s="16" t="s">
        <v>45</v>
      </c>
      <c r="X17" s="17" t="s">
        <v>46</v>
      </c>
      <c r="Z17" s="85"/>
      <c r="AA17" s="85"/>
      <c r="AB17" s="85"/>
      <c r="AC17" s="118" t="str">
        <f t="shared" si="3"/>
        <v/>
      </c>
      <c r="AD17" s="124" t="str">
        <f t="shared" si="0"/>
        <v/>
      </c>
      <c r="AE17" s="132" t="str">
        <f>IF(AF17,-LN(Input!$AO17)/YEARFRAC(CurveDate,Input!$AL17,DCB_CCZR),"")</f>
        <v/>
      </c>
      <c r="AF17" s="28" t="b">
        <f>Input!$Z17&lt;&gt;""</f>
        <v>0</v>
      </c>
      <c r="AG17" s="83" t="str">
        <f>IF(Input!$AF17,(100-Input!$AA17)/100,"")</f>
        <v/>
      </c>
      <c r="AH17" s="83" t="str">
        <f>IF(Input!$AF17,AG17-AB17%,"")</f>
        <v/>
      </c>
      <c r="AI17" s="91"/>
      <c r="AJ17" s="82"/>
      <c r="AK17" s="82"/>
      <c r="AL17" s="82" t="str">
        <f t="shared" si="1"/>
        <v/>
      </c>
      <c r="AM17" s="99" t="str">
        <f>IF(Input!$AF17,YEARFRAC(Input!$AK17,Input!$AL17,DayCount_AUD),"")</f>
        <v/>
      </c>
      <c r="AN17" s="96" t="str" cm="1">
        <f t="array" ref="AN17">IF(Input!$AF17,Linterp(_xlfn.VSTACK(_xlfn.ANCHORARRAY(Input!$W$4),$AL$4:AL16),_xlfn.VSTACK(_xlfn.ANCHORARRAY(Input!$X$4),$AO$4:AO16),Input!$AK17,1,TRUE),"")</f>
        <v/>
      </c>
      <c r="AO17" s="186"/>
      <c r="AP17" s="128"/>
      <c r="AQ17" s="49"/>
      <c r="AR17" s="28"/>
      <c r="AS17" s="28"/>
      <c r="AT17" s="50"/>
      <c r="AU17" s="51"/>
      <c r="AW17" s="55" t="s">
        <v>4</v>
      </c>
      <c r="AX17" s="33"/>
      <c r="AY17" s="115" t="str">
        <f>IF(BBSW3MSwaps[[#This Row],[Numerical Solve]],BBSW3MSwaps[[#This Row],[Maturity Date, T2]],"")</f>
        <v/>
      </c>
      <c r="AZ17" s="142" t="str">
        <f>IF(BBSW3MSwaps[[#This Row],[Numerical Solve]],BBSW3MSwaps[[#This Row],[Solved DF]],"")</f>
        <v/>
      </c>
      <c r="BA17" s="143" t="str">
        <f>IF(BBSW3MSwaps[[#This Row],[Numerical Solve]],-1*LN(BBSW3MSwaps[[#This Row],[Solved DF]])/YEARFRAC(CurveDate,BBSW3MSwaps[[#This Row],[Maturity Date, T2]],DCB_CCZR),"")</f>
        <v/>
      </c>
      <c r="BB17" s="34" t="str">
        <f>LEFT(BBSW3MSwaps[[#This Row],[Tenor]],LEN(BBSW3MSwaps[[#This Row],[Tenor]])-1)</f>
        <v>25</v>
      </c>
      <c r="BC17" s="35">
        <f t="shared" si="2"/>
        <v>45474</v>
      </c>
      <c r="BD17" s="35">
        <f>WORKDAY(EDATE(BBSW3MSwaps[[#This Row],[Effective Date, T1]],BBSW3MSwaps[[#This Row],[Years]]*12)-1,1,Holidays_NSWPublic)</f>
        <v>54605</v>
      </c>
      <c r="BE17" s="38" t="s">
        <v>25</v>
      </c>
      <c r="BF17" s="39" t="s">
        <v>24</v>
      </c>
      <c r="BG17" s="41" t="b">
        <f>BBSW3MSwaps[[#This Row],[Par Swap Rate]]&lt;&gt;""</f>
        <v>0</v>
      </c>
      <c r="BH17" s="28" t="b">
        <f>BBSW3MSwaps[[#This Row],[Maturity Date, T2]]&gt;MAX(_xlfn.ANCHORARRAY($AP$4))</f>
        <v>1</v>
      </c>
      <c r="BI17" s="28" t="b" cm="1">
        <f t="array" ref="BI17">_xlfn.IFS(
NOT(ApplyFutures),BBSW3MSwaps[[#This Row],[Valid Input]],
FuturesPriority="Below Swaps",BBSW3MSwaps[[#This Row],[Valid Input]],
FuturesPriority="Above Swaps",AND(BBSW3MSwaps[[#This Row],[Valid Input]],BBSW3MSwaps[[#This Row],[Tenor &gt; Max(Futures)]]))</f>
        <v>0</v>
      </c>
      <c r="BJ17" s="28">
        <f>BBSW3MSwaps[[#This Row],[Numerical Solve]]*1</f>
        <v>0</v>
      </c>
      <c r="BK17" s="41">
        <f>IF(BBSW3MSwaps[[#This Row],[Numerical Solve]],SUM(BBSW3MSwaps[[#Headers],[Flag]]:BBSW3MSwaps[[#This Row],[Flag]]),0)</f>
        <v>0</v>
      </c>
      <c r="BL17" s="134"/>
      <c r="BM17" s="42"/>
      <c r="BN17" s="334" t="s">
        <v>26</v>
      </c>
      <c r="BO17" s="333">
        <v>4.3</v>
      </c>
      <c r="BP17" s="115">
        <f>IF(AONIA[[#This Row],[Valid]],AONIA[[#This Row],[Maturity Date (T2)]],"")</f>
        <v>45748</v>
      </c>
      <c r="BQ17" s="142" cm="1">
        <f t="array" ref="BQ17">IF(AONIA[[#This Row],[Valid]],Linterp(_xlfn.ANCHORARRAY(Curves!$G$4),_xlfn.ANCHORARRAY(Curves!$J$4),AONIA[[#This Row],[Maturity]],-1,TRUE),"")</f>
        <v>0.96838767662912051</v>
      </c>
      <c r="BR17" s="143">
        <f>IF(AONIA[[#This Row],[Valid]],-1*LN(AONIA[[#This Row],[DF]])/YEARFRAC(CurveDate,AONIA[[#This Row],[Maturity]],DCB_CCZR),"")</f>
        <v>4.2327850238114528E-2</v>
      </c>
      <c r="BS17" s="343" t="b">
        <v>1</v>
      </c>
      <c r="BT17" s="110">
        <f>IF(AONIA[[#This Row],[Has Settle Delay]],SettlementDelayAUD,0)</f>
        <v>1</v>
      </c>
      <c r="BU17" s="35">
        <f>WORKDAY(CurveDate,AONIA[[#This Row],[Settle Delay]],Holidays_NSWPublic)</f>
        <v>45474</v>
      </c>
      <c r="BV17" s="8">
        <v>9</v>
      </c>
      <c r="BW17" s="8" t="s">
        <v>17</v>
      </c>
      <c r="BX17" s="35" cm="1">
        <f t="array" ref="BX1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45748</v>
      </c>
      <c r="BY17" s="47">
        <f>WORKDAY(AONIA[[#This Row],[Maturity Date (T2)]],OISPaymentDelay,Holidays_NSWPublic)</f>
        <v>45750</v>
      </c>
      <c r="BZ17" s="41" t="b">
        <f>AONIA[[#This Row],[Par Swap Rate]]&lt;&gt;""</f>
        <v>1</v>
      </c>
      <c r="CA17" s="28" t="b">
        <v>1</v>
      </c>
      <c r="CB17" s="28" t="b">
        <f>AND(AONIA[[#This Row],[Valid]],AONIA[[#This Row],[Zero-coupon?]])</f>
        <v>1</v>
      </c>
      <c r="CC17" s="28" t="b">
        <f>AND(AONIA[[#This Row],[Valid]],NOT(AONIA[[#This Row],[Analytical Solve]]))</f>
        <v>0</v>
      </c>
      <c r="CD17" s="312">
        <f>AONIA[[#This Row],[Numerical Solve]]*1</f>
        <v>0</v>
      </c>
      <c r="CE17" s="153">
        <f>IF(AONIA[[#This Row],[Analytical Solve]],1+AONIA[[#This Row],[Par Swap Rate]]%*YEARFRAC(AONIA[[#This Row],[Settle Date (T1)]],AONIA[[#This Row],[Maturity Date (T2)]],DayCount_AUD),"")</f>
        <v>1.0322794520547944</v>
      </c>
      <c r="CF17" s="150" cm="1">
        <f t="array" ref="CF17">IF(AONIA[[#This Row],[Analytical Solve]],_xlfn.IFS(AONIA[[#This Row],[Settle Date (T1)]]=CurveDate,1,TRUE,_xlfn.XLOOKUP(AONIA[[#This Row],[Settle Date (T1)]],AONIA[Maturity Date (T2)],AONIA[DF(T2)])),"")</f>
        <v>0.99964670020732393</v>
      </c>
      <c r="CG17" s="346">
        <f>IF(AONIA[[#This Row],[Analytical Solve]],AONIA[[#This Row],[DF(T1)]]/AONIA[[#This Row],[1+r𝛿]],"")</f>
        <v>0.96838767662912051</v>
      </c>
      <c r="CH17" s="46">
        <f>IF(AONIA[[#This Row],[Numerical Solve]],SUM(AONIA[[#Headers],[Flag]]:AONIA[[#This Row],[Flag]]),0)</f>
        <v>0</v>
      </c>
      <c r="CI17" s="183"/>
      <c r="CJ17" s="42"/>
      <c r="CK17" s="103" t="s">
        <v>7</v>
      </c>
      <c r="CL17" s="33"/>
      <c r="CM17" s="115" t="str">
        <f>IF(FCBS[[#This Row],[Valid]],FCBS[[#This Row],[Maturity Date (T2)]],"")</f>
        <v/>
      </c>
      <c r="CN17" s="142" t="str" cm="1">
        <f t="array" ref="CN17">IF(FCBS[[#This Row],[Valid]],Linterp(_xlfn.ANCHORARRAY(Curves!$AA$4),_xlfn.ANCHORARRAY(Curves!$AD$4),FCBS[[#This Row],[Maturity]],-1,TRUE),"")</f>
        <v/>
      </c>
      <c r="CO17" s="143" t="str">
        <f>IF(FCBS[[#This Row],[Valid]],-1*LN(FCBS[[#This Row],[DF]])/YEARFRAC(CurveDate,FCBS[[#This Row],[Maturity]],DCB_CCZR),"")</f>
        <v/>
      </c>
      <c r="CP17" s="142" t="b">
        <v>1</v>
      </c>
      <c r="CQ17" s="110">
        <f>IF(FCBS[[#This Row],[Has Settle Delay]],SettlementDelayAUD,0)</f>
        <v>1</v>
      </c>
      <c r="CR17" s="35">
        <f>WORKDAY(CurveDate,FCBS[[#This Row],[Settle Delay]],Holidays_NSWPublic)</f>
        <v>45474</v>
      </c>
      <c r="CS17" s="8">
        <v>12</v>
      </c>
      <c r="CT17" s="8" t="s">
        <v>1</v>
      </c>
      <c r="CU17" s="35" cm="1">
        <f t="array" ref="CU17">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49857</v>
      </c>
      <c r="CV17" s="35">
        <f>WORKDAY(FCBS[[#This Row],[Maturity Date (T2)]],OISPaymentDelay,Holidays_NSWPublic)</f>
        <v>49859</v>
      </c>
      <c r="CW17" s="28" t="b">
        <f>FCBS[[#This Row],[Basis Spread]]&lt;&gt;""</f>
        <v>0</v>
      </c>
      <c r="CX17" s="28" t="b">
        <f>FCBS[[#This Row],[Valid]]</f>
        <v>0</v>
      </c>
      <c r="CY17" s="22">
        <f>FCBS[[#This Row],[Valid]]*1</f>
        <v>0</v>
      </c>
      <c r="CZ17" s="46">
        <f>IF(FCBS[[#This Row],[Valid]],SUM(FCBS[[#Headers],[Flag]]:FCBS[[#This Row],[Flag]]),0)</f>
        <v>0</v>
      </c>
      <c r="DA17" s="5"/>
    </row>
    <row r="18" spans="2:105">
      <c r="B18" s="52" t="s">
        <v>321</v>
      </c>
      <c r="C18" s="137" t="s">
        <v>31</v>
      </c>
      <c r="F18" s="19" t="s">
        <v>43</v>
      </c>
      <c r="G18" s="70">
        <v>4.3</v>
      </c>
      <c r="H18" s="115">
        <f>IF(BankBillRates6M[[#This Row],[Applied]],BankBillRates6M[[#This Row],[Maturity Date (T2)]],"")</f>
        <v>45474</v>
      </c>
      <c r="I18" s="142">
        <f>IF(BankBillRates6M[[#This Row],[Valid Input]],BankBillRates6M[[#This Row],[DF(T2)]],"")</f>
        <v>0.99964670020732393</v>
      </c>
      <c r="J18" s="141">
        <f>IF(NOT(BankBillRates6M[[#This Row],[Valid Input]]),"",-LN(BankBillRates6M[[#This Row],[DF(T2)]])/YEARFRAC(CurveDate,BankBillRates6M[[#This Row],[Maturity Date (T2)]],DCB_CCZR))</f>
        <v>4.2992403159757067E-2</v>
      </c>
      <c r="K18" s="28" t="b">
        <f>BankBillRates6M[[#This Row],[Rate]]&lt;&gt;""</f>
        <v>1</v>
      </c>
      <c r="L18" s="20" t="b">
        <v>0</v>
      </c>
      <c r="M18" s="22">
        <f>IF(BankBillRates6M[[#This Row],[Has Settle Delay]],SettlementDelayAUD,0)</f>
        <v>0</v>
      </c>
      <c r="N18" s="21" t="s">
        <v>151</v>
      </c>
      <c r="O18" s="22">
        <v>1</v>
      </c>
      <c r="P18" s="23">
        <f>WORKDAY(CurveDate,BankBillRates6M[[#This Row],[Settle Delay]],Holidays_NSWPublic)</f>
        <v>45471</v>
      </c>
      <c r="Q18" s="24">
        <f>IF(BankBillRates6M[[#This Row],[Offset Type]]="Business Day",WORKDAY(BankBillRates6M[[#This Row],[Effective Date (T1)]],BankBillRates6M[[#This Row],[Offset]],Holidays_NSWPublic),WORKDAY(EDATE(BankBillRates6M[[#This Row],[Effective Date (T1)]],BankBillRates6M[[#This Row],[Offset]])-1,1,Holidays_NSWPublic))</f>
        <v>45474</v>
      </c>
      <c r="R18" s="25">
        <f>IF(NOT(BankBillRates6M[[#This Row],[Valid Input]]),"",YEARFRAC(BankBillRates6M[[#This Row],[Effective Date (T1)]],BankBillRates6M[[#This Row],[Maturity Date (T2)]],DayCount_AUD))</f>
        <v>8.21917808219178E-3</v>
      </c>
      <c r="S18" s="26">
        <f>IF(NOT(BankBillRates6M[[#This Row],[Valid Input]]),"",1+BankBillRates6M[[#This Row],[Rate]]%*BankBillRates6M[[#This Row],[𝛿(T1,T2)]])</f>
        <v>1.0003534246575343</v>
      </c>
      <c r="T18" s="26">
        <f>IF(NOT(BankBillRates6M[[#This Row],[Valid Input]]),"",IF(BankBillRates6M[[#This Row],[Effective Date (T1)]]=CurveDate,1,_xlfn.XLOOKUP(BankBillRates6M[[#This Row],[Effective Date (T1)]],BankBillRates6M[Maturity Date (T2)],BankBillRates6M[DF(T2)])))</f>
        <v>1</v>
      </c>
      <c r="U18" s="26">
        <f>IF(NOT(BankBillRates6M[[#This Row],[Valid Input]]),"",BankBillRates6M[[#This Row],[DF(T1)]]/BankBillRates6M[[#This Row],[1+r*𝛿(T1,T2)]])</f>
        <v>0.99964670020732393</v>
      </c>
      <c r="V18" s="28" t="b">
        <f>BankBillRates6M[[#This Row],[Valid Input]]</f>
        <v>1</v>
      </c>
      <c r="W18" s="27" cm="1">
        <f t="array" ref="W18:W21">_xlfn._xlws.FILTER(BankBillRates6M[Maturity Date (T2)],BankBillRates6M[Applied]=TRUE)</f>
        <v>45474</v>
      </c>
      <c r="X18" s="183" cm="1">
        <f t="array" ref="X18:X21">_xlfn._xlws.FILTER(U18:U21,V18:V21=TRUE)</f>
        <v>0.99964670020732393</v>
      </c>
      <c r="Z18" s="85"/>
      <c r="AA18" s="85"/>
      <c r="AB18" s="85"/>
      <c r="AC18" s="118" t="str">
        <f t="shared" si="3"/>
        <v/>
      </c>
      <c r="AD18" s="124" t="str">
        <f t="shared" si="0"/>
        <v/>
      </c>
      <c r="AE18" s="132" t="str">
        <f>IF(AF18,-LN(Input!$AO18)/YEARFRAC(CurveDate,Input!$AL18,DCB_CCZR),"")</f>
        <v/>
      </c>
      <c r="AF18" s="28" t="b">
        <f>Input!$Z18&lt;&gt;""</f>
        <v>0</v>
      </c>
      <c r="AG18" s="83" t="str">
        <f>IF(Input!$AF18,(100-Input!$AA18)/100,"")</f>
        <v/>
      </c>
      <c r="AH18" s="83" t="str">
        <f>IF(Input!$AF18,AG18-AB18%,"")</f>
        <v/>
      </c>
      <c r="AI18" s="91"/>
      <c r="AJ18" s="82"/>
      <c r="AK18" s="82"/>
      <c r="AL18" s="82" t="str">
        <f t="shared" si="1"/>
        <v/>
      </c>
      <c r="AM18" s="99" t="str">
        <f>IF(Input!$AF18,YEARFRAC(Input!$AK18,Input!$AL18,DayCount_AUD),"")</f>
        <v/>
      </c>
      <c r="AN18" s="96" t="str" cm="1">
        <f t="array" ref="AN18">IF(Input!$AF18,Linterp(_xlfn.VSTACK(_xlfn.ANCHORARRAY(Input!$W$4),$AL$4:AL17),_xlfn.VSTACK(_xlfn.ANCHORARRAY(Input!$X$4),$AO$4:AO17),Input!$AK18,1,TRUE),"")</f>
        <v/>
      </c>
      <c r="AO18" s="186"/>
      <c r="AP18" s="128"/>
      <c r="AQ18" s="49"/>
      <c r="AR18" s="28"/>
      <c r="AS18" s="28"/>
      <c r="AT18" s="50"/>
      <c r="AU18" s="51"/>
      <c r="AW18" s="55" t="s">
        <v>3</v>
      </c>
      <c r="AX18" s="33"/>
      <c r="AY18" s="115" t="str">
        <f>IF(BBSW3MSwaps[[#This Row],[Numerical Solve]],BBSW3MSwaps[[#This Row],[Maturity Date, T2]],"")</f>
        <v/>
      </c>
      <c r="AZ18" s="142" t="str">
        <f>IF(BBSW3MSwaps[[#This Row],[Numerical Solve]],BBSW3MSwaps[[#This Row],[Solved DF]],"")</f>
        <v/>
      </c>
      <c r="BA18" s="143" t="str">
        <f>IF(BBSW3MSwaps[[#This Row],[Numerical Solve]],-1*LN(BBSW3MSwaps[[#This Row],[Solved DF]])/YEARFRAC(CurveDate,BBSW3MSwaps[[#This Row],[Maturity Date, T2]],DCB_CCZR),"")</f>
        <v/>
      </c>
      <c r="BB18" s="34" t="str">
        <f>LEFT(BBSW3MSwaps[[#This Row],[Tenor]],LEN(BBSW3MSwaps[[#This Row],[Tenor]])-1)</f>
        <v>30</v>
      </c>
      <c r="BC18" s="35">
        <f t="shared" si="2"/>
        <v>45474</v>
      </c>
      <c r="BD18" s="35">
        <f>WORKDAY(EDATE(BBSW3MSwaps[[#This Row],[Effective Date, T1]],BBSW3MSwaps[[#This Row],[Years]]*12)-1,1,Holidays_NSWPublic)</f>
        <v>56431</v>
      </c>
      <c r="BE18" s="38" t="s">
        <v>25</v>
      </c>
      <c r="BF18" s="39" t="s">
        <v>24</v>
      </c>
      <c r="BG18" s="41" t="b">
        <f>BBSW3MSwaps[[#This Row],[Par Swap Rate]]&lt;&gt;""</f>
        <v>0</v>
      </c>
      <c r="BH18" s="28" t="b">
        <f>BBSW3MSwaps[[#This Row],[Maturity Date, T2]]&gt;MAX(_xlfn.ANCHORARRAY($AP$4))</f>
        <v>1</v>
      </c>
      <c r="BI18" s="28" t="b" cm="1">
        <f t="array" ref="BI18">_xlfn.IFS(
NOT(ApplyFutures),BBSW3MSwaps[[#This Row],[Valid Input]],
FuturesPriority="Below Swaps",BBSW3MSwaps[[#This Row],[Valid Input]],
FuturesPriority="Above Swaps",AND(BBSW3MSwaps[[#This Row],[Valid Input]],BBSW3MSwaps[[#This Row],[Tenor &gt; Max(Futures)]]))</f>
        <v>0</v>
      </c>
      <c r="BJ18" s="28">
        <f>BBSW3MSwaps[[#This Row],[Numerical Solve]]*1</f>
        <v>0</v>
      </c>
      <c r="BK18" s="41">
        <f>IF(BBSW3MSwaps[[#This Row],[Numerical Solve]],SUM(BBSW3MSwaps[[#Headers],[Flag]]:BBSW3MSwaps[[#This Row],[Flag]]),0)</f>
        <v>0</v>
      </c>
      <c r="BL18" s="134"/>
      <c r="BM18" s="42"/>
      <c r="BN18" s="334" t="s">
        <v>23</v>
      </c>
      <c r="BO18" s="333">
        <v>4.3</v>
      </c>
      <c r="BP18" s="115">
        <f>IF(AONIA[[#This Row],[Valid]],AONIA[[#This Row],[Maturity Date (T2)]],"")</f>
        <v>45778</v>
      </c>
      <c r="BQ18" s="142" cm="1">
        <f t="array" ref="BQ18">IF(AONIA[[#This Row],[Valid]],Linterp(_xlfn.ANCHORARRAY(Curves!$G$4),_xlfn.ANCHORARRAY(Curves!$J$4),AONIA[[#This Row],[Maturity]],-1,TRUE),"")</f>
        <v>0.96508349091091972</v>
      </c>
      <c r="BR18" s="143">
        <f>IF(AONIA[[#This Row],[Valid]],-1*LN(AONIA[[#This Row],[DF]])/YEARFRAC(CurveDate,AONIA[[#This Row],[Maturity]],DCB_CCZR),"")</f>
        <v>4.2255184827585258E-2</v>
      </c>
      <c r="BS18" s="343" t="b">
        <v>1</v>
      </c>
      <c r="BT18" s="110">
        <f>IF(AONIA[[#This Row],[Has Settle Delay]],SettlementDelayAUD,0)</f>
        <v>1</v>
      </c>
      <c r="BU18" s="35">
        <f>WORKDAY(CurveDate,AONIA[[#This Row],[Settle Delay]],Holidays_NSWPublic)</f>
        <v>45474</v>
      </c>
      <c r="BV18" s="8">
        <v>10</v>
      </c>
      <c r="BW18" s="8" t="s">
        <v>17</v>
      </c>
      <c r="BX18" s="35" cm="1">
        <f t="array" ref="BX1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45778</v>
      </c>
      <c r="BY18" s="47">
        <f>WORKDAY(AONIA[[#This Row],[Maturity Date (T2)]],OISPaymentDelay,Holidays_NSWPublic)</f>
        <v>45782</v>
      </c>
      <c r="BZ18" s="41" t="b">
        <f>AONIA[[#This Row],[Par Swap Rate]]&lt;&gt;""</f>
        <v>1</v>
      </c>
      <c r="CA18" s="28" t="b">
        <v>1</v>
      </c>
      <c r="CB18" s="28" t="b">
        <f>AND(AONIA[[#This Row],[Valid]],AONIA[[#This Row],[Zero-coupon?]])</f>
        <v>1</v>
      </c>
      <c r="CC18" s="28" t="b">
        <f>AND(AONIA[[#This Row],[Valid]],NOT(AONIA[[#This Row],[Analytical Solve]]))</f>
        <v>0</v>
      </c>
      <c r="CD18" s="312">
        <f>AONIA[[#This Row],[Numerical Solve]]*1</f>
        <v>0</v>
      </c>
      <c r="CE18" s="153">
        <f>IF(AONIA[[#This Row],[Analytical Solve]],1+AONIA[[#This Row],[Par Swap Rate]]%*YEARFRAC(AONIA[[#This Row],[Settle Date (T1)]],AONIA[[#This Row],[Maturity Date (T2)]],DayCount_AUD),"")</f>
        <v>1.0358136986301369</v>
      </c>
      <c r="CF18" s="150" cm="1">
        <f t="array" ref="CF18">IF(AONIA[[#This Row],[Analytical Solve]],_xlfn.IFS(AONIA[[#This Row],[Settle Date (T1)]]=CurveDate,1,TRUE,_xlfn.XLOOKUP(AONIA[[#This Row],[Settle Date (T1)]],AONIA[Maturity Date (T2)],AONIA[DF(T2)])),"")</f>
        <v>0.99964670020732393</v>
      </c>
      <c r="CG18" s="346">
        <f>IF(AONIA[[#This Row],[Analytical Solve]],AONIA[[#This Row],[DF(T1)]]/AONIA[[#This Row],[1+r𝛿]],"")</f>
        <v>0.96508349091091972</v>
      </c>
      <c r="CH18" s="46">
        <f>IF(AONIA[[#This Row],[Numerical Solve]],SUM(AONIA[[#Headers],[Flag]]:AONIA[[#This Row],[Flag]]),0)</f>
        <v>0</v>
      </c>
      <c r="CI18" s="183"/>
      <c r="CJ18" s="42"/>
      <c r="CK18" s="157" t="s">
        <v>6</v>
      </c>
      <c r="CL18" s="33">
        <v>15</v>
      </c>
      <c r="CM18" s="115">
        <f>IF(FCBS[[#This Row],[Valid]],FCBS[[#This Row],[Maturity Date (T2)]],"")</f>
        <v>50952</v>
      </c>
      <c r="CN18" s="142" cm="1">
        <f t="array" ref="CN18">IF(FCBS[[#This Row],[Valid]],Linterp(_xlfn.ANCHORARRAY(Curves!$AA$4),_xlfn.ANCHORARRAY(Curves!$AD$4),FCBS[[#This Row],[Maturity]],-1,TRUE),"")</f>
        <v>0.51967879975241549</v>
      </c>
      <c r="CO18" s="143">
        <f>IF(FCBS[[#This Row],[Valid]],-1*LN(FCBS[[#This Row],[DF]])/YEARFRAC(CurveDate,FCBS[[#This Row],[Maturity]],DCB_CCZR),"")</f>
        <v>4.3588521826320219E-2</v>
      </c>
      <c r="CP18" s="142" t="b">
        <v>1</v>
      </c>
      <c r="CQ18" s="110">
        <f>IF(FCBS[[#This Row],[Has Settle Delay]],SettlementDelayAUD,0)</f>
        <v>1</v>
      </c>
      <c r="CR18" s="35">
        <f>WORKDAY(CurveDate,FCBS[[#This Row],[Settle Delay]],Holidays_NSWPublic)</f>
        <v>45474</v>
      </c>
      <c r="CS18" s="8">
        <v>15</v>
      </c>
      <c r="CT18" s="8" t="s">
        <v>1</v>
      </c>
      <c r="CU18" s="35" cm="1">
        <f t="array" ref="CU18">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50952</v>
      </c>
      <c r="CV18" s="35">
        <f>WORKDAY(FCBS[[#This Row],[Maturity Date (T2)]],OISPaymentDelay,Holidays_NSWPublic)</f>
        <v>50956</v>
      </c>
      <c r="CW18" s="28" t="b">
        <f>FCBS[[#This Row],[Basis Spread]]&lt;&gt;""</f>
        <v>1</v>
      </c>
      <c r="CX18" s="28" t="b">
        <f>FCBS[[#This Row],[Valid]]</f>
        <v>1</v>
      </c>
      <c r="CY18" s="22">
        <f>FCBS[[#This Row],[Valid]]*1</f>
        <v>1</v>
      </c>
      <c r="CZ18" s="46">
        <f>IF(FCBS[[#This Row],[Valid]],SUM(FCBS[[#Headers],[Flag]]:FCBS[[#This Row],[Flag]]),0)</f>
        <v>12</v>
      </c>
      <c r="DA18" s="5">
        <v>0.51943063678753676</v>
      </c>
    </row>
    <row r="19" spans="2:105">
      <c r="F19" s="45" t="s">
        <v>42</v>
      </c>
      <c r="G19" s="33">
        <v>4.3</v>
      </c>
      <c r="H19" s="115">
        <f>IF(BankBillRates6M[[#This Row],[Applied]],BankBillRates6M[[#This Row],[Maturity Date (T2)]],"")</f>
        <v>45475</v>
      </c>
      <c r="I19" s="142">
        <f>IF(BankBillRates6M[[#This Row],[Valid Input]],BankBillRates6M[[#This Row],[DF(T2)]],"")</f>
        <v>0.99952894748200405</v>
      </c>
      <c r="J19" s="141">
        <f>IF(NOT(BankBillRates6M[[#This Row],[Valid Input]]),"",-LN(BankBillRates6M[[#This Row],[DF(T2)]])/YEARFRAC(CurveDate,BankBillRates6M[[#This Row],[Maturity Date (T2)]],DCB_CCZR))</f>
        <v>4.2993669200375687E-2</v>
      </c>
      <c r="K19" s="28" t="b">
        <f>BankBillRates6M[[#This Row],[Rate]]&lt;&gt;""</f>
        <v>1</v>
      </c>
      <c r="L19" s="46" t="b">
        <v>1</v>
      </c>
      <c r="M19" s="22">
        <f>IF(BankBillRates6M[[#This Row],[Has Settle Delay]],SettlementDelayAUD,0)</f>
        <v>1</v>
      </c>
      <c r="N19" s="21" t="s">
        <v>151</v>
      </c>
      <c r="O19" s="22">
        <v>1</v>
      </c>
      <c r="P19" s="23">
        <f>WORKDAY(CurveDate,BankBillRates6M[[#This Row],[Settle Delay]],Holidays_NSWPublic)</f>
        <v>45474</v>
      </c>
      <c r="Q19" s="47">
        <f>IF(BankBillRates6M[[#This Row],[Offset Type]]="Business Day",WORKDAY(BankBillRates6M[[#This Row],[Effective Date (T1)]],BankBillRates6M[[#This Row],[Offset]],Holidays_NSWPublic),WORKDAY(EDATE(BankBillRates6M[[#This Row],[Effective Date (T1)]],BankBillRates6M[[#This Row],[Offset]])-1,1,Holidays_NSWPublic))</f>
        <v>45475</v>
      </c>
      <c r="R19" s="48">
        <f>IF(NOT(BankBillRates6M[[#This Row],[Valid Input]]),"",YEARFRAC(BankBillRates6M[[#This Row],[Effective Date (T1)]],BankBillRates6M[[#This Row],[Maturity Date (T2)]],DayCount_AUD))</f>
        <v>2.7397260273972603E-3</v>
      </c>
      <c r="S19" s="5">
        <f>IF(NOT(BankBillRates6M[[#This Row],[Valid Input]]),"",1+BankBillRates6M[[#This Row],[Rate]]%*BankBillRates6M[[#This Row],[𝛿(T1,T2)]])</f>
        <v>1.0001178082191782</v>
      </c>
      <c r="T19" s="5">
        <f>IF(NOT(BankBillRates6M[[#This Row],[Valid Input]]),"",IF(BankBillRates6M[[#This Row],[Effective Date (T1)]]=CurveDate,1,_xlfn.XLOOKUP(BankBillRates6M[[#This Row],[Effective Date (T1)]],BankBillRates6M[Maturity Date (T2)],BankBillRates6M[DF(T2)])))</f>
        <v>0.99964670020732393</v>
      </c>
      <c r="U19" s="5">
        <f>IF(NOT(BankBillRates6M[[#This Row],[Valid Input]]),"",BankBillRates6M[[#This Row],[DF(T1)]]/BankBillRates6M[[#This Row],[1+r*𝛿(T1,T2)]])</f>
        <v>0.99952894748200405</v>
      </c>
      <c r="V19" s="28" t="b">
        <f>BankBillRates6M[[#This Row],[Valid Input]]</f>
        <v>1</v>
      </c>
      <c r="W19" s="27">
        <v>45475</v>
      </c>
      <c r="X19" s="183">
        <v>0.99952894748200405</v>
      </c>
      <c r="Z19" s="85"/>
      <c r="AA19" s="85"/>
      <c r="AB19" s="85"/>
      <c r="AC19" s="118" t="str">
        <f t="shared" si="3"/>
        <v/>
      </c>
      <c r="AD19" s="124" t="str">
        <f t="shared" si="0"/>
        <v/>
      </c>
      <c r="AE19" s="132" t="str">
        <f>IF(AF19,-LN(Input!$AO19)/YEARFRAC(CurveDate,Input!$AL19,DCB_CCZR),"")</f>
        <v/>
      </c>
      <c r="AF19" s="28" t="b">
        <f>Input!$Z19&lt;&gt;""</f>
        <v>0</v>
      </c>
      <c r="AG19" s="83" t="str">
        <f>IF(Input!$AF19,(100-Input!$AA19)/100,"")</f>
        <v/>
      </c>
      <c r="AH19" s="83" t="str">
        <f>IF(Input!$AF19,AG19-AB19%,"")</f>
        <v/>
      </c>
      <c r="AI19" s="91"/>
      <c r="AJ19" s="82"/>
      <c r="AK19" s="82"/>
      <c r="AL19" s="82" t="str">
        <f t="shared" si="1"/>
        <v/>
      </c>
      <c r="AM19" s="99" t="str">
        <f>IF(Input!$AF19,YEARFRAC(Input!$AK19,Input!$AL19,DayCount_AUD),"")</f>
        <v/>
      </c>
      <c r="AN19" s="96" t="str" cm="1">
        <f t="array" ref="AN19">IF(Input!$AF19,Linterp(_xlfn.VSTACK(_xlfn.ANCHORARRAY(Input!$W$4),$AL$4:AL18),_xlfn.VSTACK(_xlfn.ANCHORARRAY(Input!$X$4),$AO$4:AO18),Input!$AK19,1,TRUE),"")</f>
        <v/>
      </c>
      <c r="AO19" s="186"/>
      <c r="AP19" s="128"/>
      <c r="AQ19" s="49"/>
      <c r="AR19" s="28"/>
      <c r="AS19" s="28"/>
      <c r="AT19" s="50"/>
      <c r="AU19" s="51"/>
      <c r="AW19" s="55" t="s">
        <v>2</v>
      </c>
      <c r="AX19" s="33" t="s">
        <v>0</v>
      </c>
      <c r="AY19" s="115" t="str">
        <f>IF(BBSW3MSwaps[[#This Row],[Numerical Solve]],BBSW3MSwaps[[#This Row],[Maturity Date, T2]],"")</f>
        <v/>
      </c>
      <c r="AZ19" s="142" t="str">
        <f>IF(BBSW3MSwaps[[#This Row],[Numerical Solve]],BBSW3MSwaps[[#This Row],[Solved DF]],"")</f>
        <v/>
      </c>
      <c r="BA19" s="143" t="str">
        <f>IF(BBSW3MSwaps[[#This Row],[Numerical Solve]],-1*LN(BBSW3MSwaps[[#This Row],[Solved DF]])/YEARFRAC(CurveDate,BBSW3MSwaps[[#This Row],[Maturity Date, T2]],DCB_CCZR),"")</f>
        <v/>
      </c>
      <c r="BB19" s="34" t="str">
        <f>LEFT(BBSW3MSwaps[[#This Row],[Tenor]],LEN(BBSW3MSwaps[[#This Row],[Tenor]])-1)</f>
        <v>40</v>
      </c>
      <c r="BC19" s="35">
        <f t="shared" si="2"/>
        <v>45474</v>
      </c>
      <c r="BD19" s="35">
        <f>WORKDAY(EDATE(BBSW3MSwaps[[#This Row],[Effective Date, T1]],BBSW3MSwaps[[#This Row],[Years]]*12)-1,1,Holidays_NSWPublic)</f>
        <v>60084</v>
      </c>
      <c r="BE19" s="38" t="s">
        <v>25</v>
      </c>
      <c r="BF19" s="39" t="s">
        <v>24</v>
      </c>
      <c r="BG19" s="41" t="b">
        <f>BBSW3MSwaps[[#This Row],[Par Swap Rate]]&lt;&gt;""</f>
        <v>0</v>
      </c>
      <c r="BH19" s="28" t="b">
        <f>BBSW3MSwaps[[#This Row],[Maturity Date, T2]]&gt;MAX(_xlfn.ANCHORARRAY($AP$4))</f>
        <v>1</v>
      </c>
      <c r="BI19" s="28" t="b" cm="1">
        <f t="array" ref="BI19">_xlfn.IFS(
NOT(ApplyFutures),BBSW3MSwaps[[#This Row],[Valid Input]],
FuturesPriority="Below Swaps",BBSW3MSwaps[[#This Row],[Valid Input]],
FuturesPriority="Above Swaps",AND(BBSW3MSwaps[[#This Row],[Valid Input]],BBSW3MSwaps[[#This Row],[Tenor &gt; Max(Futures)]]))</f>
        <v>0</v>
      </c>
      <c r="BJ19" s="28">
        <f>BBSW3MSwaps[[#This Row],[Numerical Solve]]*1</f>
        <v>0</v>
      </c>
      <c r="BK19" s="41">
        <f>IF(BBSW3MSwaps[[#This Row],[Numerical Solve]],SUM(BBSW3MSwaps[[#Headers],[Flag]]:BBSW3MSwaps[[#This Row],[Flag]]),0)</f>
        <v>0</v>
      </c>
      <c r="BL19" s="134"/>
      <c r="BM19" s="42"/>
      <c r="BN19" s="334" t="s">
        <v>22</v>
      </c>
      <c r="BO19" s="333">
        <v>4.3</v>
      </c>
      <c r="BP19" s="115">
        <f>IF(AONIA[[#This Row],[Valid]],AONIA[[#This Row],[Maturity Date (T2)]],"")</f>
        <v>45810</v>
      </c>
      <c r="BQ19" s="142" cm="1">
        <f t="array" ref="BQ19">IF(AONIA[[#This Row],[Valid]],Linterp(_xlfn.ANCHORARRAY(Curves!$G$4),_xlfn.ANCHORARRAY(Curves!$J$4),AONIA[[#This Row],[Maturity]],-1,TRUE),"")</f>
        <v>0.96158378901897823</v>
      </c>
      <c r="BR19" s="143">
        <f>IF(AONIA[[#This Row],[Valid]],-1*LN(AONIA[[#This Row],[DF]])/YEARFRAC(CurveDate,AONIA[[#This Row],[Maturity]],DCB_CCZR),"")</f>
        <v>4.2178036563093053E-2</v>
      </c>
      <c r="BS19" s="343" t="b">
        <v>1</v>
      </c>
      <c r="BT19" s="110">
        <f>IF(AONIA[[#This Row],[Has Settle Delay]],SettlementDelayAUD,0)</f>
        <v>1</v>
      </c>
      <c r="BU19" s="35">
        <f>WORKDAY(CurveDate,AONIA[[#This Row],[Settle Delay]],Holidays_NSWPublic)</f>
        <v>45474</v>
      </c>
      <c r="BV19" s="8">
        <v>11</v>
      </c>
      <c r="BW19" s="8" t="s">
        <v>17</v>
      </c>
      <c r="BX19" s="35" cm="1">
        <f t="array" ref="BX1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45810</v>
      </c>
      <c r="BY19" s="47">
        <f>WORKDAY(AONIA[[#This Row],[Maturity Date (T2)]],OISPaymentDelay,Holidays_NSWPublic)</f>
        <v>45812</v>
      </c>
      <c r="BZ19" s="41" t="b">
        <f>AONIA[[#This Row],[Par Swap Rate]]&lt;&gt;""</f>
        <v>1</v>
      </c>
      <c r="CA19" s="28" t="b">
        <v>1</v>
      </c>
      <c r="CB19" s="28" t="b">
        <f>AND(AONIA[[#This Row],[Valid]],AONIA[[#This Row],[Zero-coupon?]])</f>
        <v>1</v>
      </c>
      <c r="CC19" s="28" t="b">
        <f>AND(AONIA[[#This Row],[Valid]],NOT(AONIA[[#This Row],[Analytical Solve]]))</f>
        <v>0</v>
      </c>
      <c r="CD19" s="312">
        <f>AONIA[[#This Row],[Numerical Solve]]*1</f>
        <v>0</v>
      </c>
      <c r="CE19" s="153">
        <f>IF(AONIA[[#This Row],[Analytical Solve]],1+AONIA[[#This Row],[Par Swap Rate]]%*YEARFRAC(AONIA[[#This Row],[Settle Date (T1)]],AONIA[[#This Row],[Maturity Date (T2)]],DayCount_AUD),"")</f>
        <v>1.0395835616438356</v>
      </c>
      <c r="CF19" s="150" cm="1">
        <f t="array" ref="CF19">IF(AONIA[[#This Row],[Analytical Solve]],_xlfn.IFS(AONIA[[#This Row],[Settle Date (T1)]]=CurveDate,1,TRUE,_xlfn.XLOOKUP(AONIA[[#This Row],[Settle Date (T1)]],AONIA[Maturity Date (T2)],AONIA[DF(T2)])),"")</f>
        <v>0.99964670020732393</v>
      </c>
      <c r="CG19" s="346">
        <f>IF(AONIA[[#This Row],[Analytical Solve]],AONIA[[#This Row],[DF(T1)]]/AONIA[[#This Row],[1+r𝛿]],"")</f>
        <v>0.96158378901897823</v>
      </c>
      <c r="CH19" s="46">
        <f>IF(AONIA[[#This Row],[Numerical Solve]],SUM(AONIA[[#Headers],[Flag]]:AONIA[[#This Row],[Flag]]),0)</f>
        <v>0</v>
      </c>
      <c r="CI19" s="183"/>
      <c r="CJ19" s="42"/>
      <c r="CK19" s="157" t="s">
        <v>5</v>
      </c>
      <c r="CL19" s="33">
        <v>15</v>
      </c>
      <c r="CM19" s="115">
        <f>IF(FCBS[[#This Row],[Valid]],FCBS[[#This Row],[Maturity Date (T2)]],"")</f>
        <v>52779</v>
      </c>
      <c r="CN19" s="142" cm="1">
        <f t="array" ref="CN19">IF(FCBS[[#This Row],[Valid]],Linterp(_xlfn.ANCHORARRAY(Curves!$AA$4),_xlfn.ANCHORARRAY(Curves!$AD$4),FCBS[[#This Row],[Maturity]],-1,TRUE),"")</f>
        <v>0.41781343634410961</v>
      </c>
      <c r="CO19" s="143">
        <f>IF(FCBS[[#This Row],[Valid]],-1*LN(FCBS[[#This Row],[DF]])/YEARFRAC(CurveDate,FCBS[[#This Row],[Maturity]],DCB_CCZR),"")</f>
        <v>4.3588245590898703E-2</v>
      </c>
      <c r="CP19" s="142" t="b">
        <v>1</v>
      </c>
      <c r="CQ19" s="110">
        <f>IF(FCBS[[#This Row],[Has Settle Delay]],SettlementDelayAUD,0)</f>
        <v>1</v>
      </c>
      <c r="CR19" s="35">
        <f>WORKDAY(CurveDate,FCBS[[#This Row],[Settle Delay]],Holidays_NSWPublic)</f>
        <v>45474</v>
      </c>
      <c r="CS19" s="8">
        <v>20</v>
      </c>
      <c r="CT19" s="8" t="s">
        <v>1</v>
      </c>
      <c r="CU19" s="35" cm="1">
        <f t="array" ref="CU19">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52779</v>
      </c>
      <c r="CV19" s="35">
        <f>WORKDAY(FCBS[[#This Row],[Maturity Date (T2)]],OISPaymentDelay,Holidays_NSWPublic)</f>
        <v>52783</v>
      </c>
      <c r="CW19" s="28" t="b">
        <f>FCBS[[#This Row],[Basis Spread]]&lt;&gt;""</f>
        <v>1</v>
      </c>
      <c r="CX19" s="28" t="b">
        <f>FCBS[[#This Row],[Valid]]</f>
        <v>1</v>
      </c>
      <c r="CY19" s="22">
        <f>FCBS[[#This Row],[Valid]]*1</f>
        <v>1</v>
      </c>
      <c r="CZ19" s="46">
        <f>IF(FCBS[[#This Row],[Valid]],SUM(FCBS[[#Headers],[Flag]]:FCBS[[#This Row],[Flag]]),0)</f>
        <v>13</v>
      </c>
      <c r="DA19" s="5">
        <v>0.41761390690110917</v>
      </c>
    </row>
    <row r="20" spans="2:105">
      <c r="F20" s="45" t="s">
        <v>40</v>
      </c>
      <c r="G20" s="33">
        <v>4.3</v>
      </c>
      <c r="H20" s="115">
        <f>IF(BankBillRates6M[[#This Row],[Applied]],BankBillRates6M[[#This Row],[Maturity Date (T2)]],"")</f>
        <v>45481</v>
      </c>
      <c r="I20" s="142">
        <f>IF(BankBillRates6M[[#This Row],[Valid Input]],BankBillRates6M[[#This Row],[DF(T2)]],"")</f>
        <v>0.99882301328404044</v>
      </c>
      <c r="J20" s="141">
        <f>IF(NOT(BankBillRates6M[[#This Row],[Valid Input]]),"",-LN(BankBillRates6M[[#This Row],[DF(T2)]])/YEARFRAC(CurveDate,BankBillRates6M[[#This Row],[Maturity Date (T2)]],DCB_CCZR))</f>
        <v>4.2985316671086467E-2</v>
      </c>
      <c r="K20" s="28" t="b">
        <f>BankBillRates6M[[#This Row],[Rate]]&lt;&gt;""</f>
        <v>1</v>
      </c>
      <c r="L20" s="46" t="b">
        <v>1</v>
      </c>
      <c r="M20" s="22">
        <f>IF(BankBillRates6M[[#This Row],[Has Settle Delay]],SettlementDelayAUD,0)</f>
        <v>1</v>
      </c>
      <c r="N20" s="21" t="s">
        <v>151</v>
      </c>
      <c r="O20" s="22">
        <v>5</v>
      </c>
      <c r="P20" s="23">
        <f>WORKDAY(CurveDate,BankBillRates6M[[#This Row],[Settle Delay]],Holidays_NSWPublic)</f>
        <v>45474</v>
      </c>
      <c r="Q20" s="47">
        <f>IF(BankBillRates6M[[#This Row],[Offset Type]]="Business Day",WORKDAY(BankBillRates6M[[#This Row],[Effective Date (T1)]],BankBillRates6M[[#This Row],[Offset]],Holidays_NSWPublic),WORKDAY(EDATE(BankBillRates6M[[#This Row],[Effective Date (T1)]],BankBillRates6M[[#This Row],[Offset]])-1,1,Holidays_NSWPublic))</f>
        <v>45481</v>
      </c>
      <c r="R20" s="48">
        <f>IF(NOT(BankBillRates6M[[#This Row],[Valid Input]]),"",YEARFRAC(BankBillRates6M[[#This Row],[Effective Date (T1)]],BankBillRates6M[[#This Row],[Maturity Date (T2)]],DayCount_AUD))</f>
        <v>1.9178082191780823E-2</v>
      </c>
      <c r="S20" s="5">
        <f>IF(NOT(BankBillRates6M[[#This Row],[Valid Input]]),"",1+BankBillRates6M[[#This Row],[Rate]]%*BankBillRates6M[[#This Row],[𝛿(T1,T2)]])</f>
        <v>1.0008246575342465</v>
      </c>
      <c r="T20" s="5">
        <f>IF(NOT(BankBillRates6M[[#This Row],[Valid Input]]),"",IF(BankBillRates6M[[#This Row],[Effective Date (T1)]]=CurveDate,1,_xlfn.XLOOKUP(BankBillRates6M[[#This Row],[Effective Date (T1)]],BankBillRates6M[Maturity Date (T2)],BankBillRates6M[DF(T2)])))</f>
        <v>0.99964670020732393</v>
      </c>
      <c r="U20" s="5">
        <f>IF(NOT(BankBillRates6M[[#This Row],[Valid Input]]),"",BankBillRates6M[[#This Row],[DF(T1)]]/BankBillRates6M[[#This Row],[1+r*𝛿(T1,T2)]])</f>
        <v>0.99882301328404044</v>
      </c>
      <c r="V20" s="28" t="b">
        <f>BankBillRates6M[[#This Row],[Valid Input]]</f>
        <v>1</v>
      </c>
      <c r="W20" s="27">
        <v>45481</v>
      </c>
      <c r="X20" s="183">
        <v>0.99882301328404044</v>
      </c>
      <c r="Z20" s="85"/>
      <c r="AA20" s="85"/>
      <c r="AB20" s="85"/>
      <c r="AC20" s="118" t="str">
        <f t="shared" si="3"/>
        <v/>
      </c>
      <c r="AD20" s="124" t="str">
        <f t="shared" si="0"/>
        <v/>
      </c>
      <c r="AE20" s="132" t="str">
        <f>IF(AF20,-LN(Input!$AO20)/YEARFRAC(CurveDate,Input!$AL20,DCB_CCZR),"")</f>
        <v/>
      </c>
      <c r="AF20" s="28" t="b">
        <f>Input!$Z20&lt;&gt;""</f>
        <v>0</v>
      </c>
      <c r="AG20" s="83" t="str">
        <f>IF(Input!$AF20,(100-Input!$AA20)/100,"")</f>
        <v/>
      </c>
      <c r="AH20" s="83" t="str">
        <f>IF(Input!$AF20,AG20-AB20%,"")</f>
        <v/>
      </c>
      <c r="AI20" s="91"/>
      <c r="AJ20" s="82"/>
      <c r="AK20" s="82"/>
      <c r="AL20" s="82" t="str">
        <f t="shared" si="1"/>
        <v/>
      </c>
      <c r="AM20" s="99" t="str">
        <f>IF(Input!$AF20,YEARFRAC(Input!$AK20,Input!$AL20,DayCount_AUD),"")</f>
        <v/>
      </c>
      <c r="AN20" s="96" t="str" cm="1">
        <f t="array" ref="AN20">IF(Input!$AF20,Linterp(_xlfn.VSTACK(_xlfn.ANCHORARRAY(Input!$W$4),$AL$4:AL19),_xlfn.VSTACK(_xlfn.ANCHORARRAY(Input!$X$4),$AO$4:AO19),Input!$AK20,1,TRUE),"")</f>
        <v/>
      </c>
      <c r="AO20" s="186"/>
      <c r="AP20" s="128"/>
      <c r="AQ20" s="49"/>
      <c r="AR20" s="28"/>
      <c r="AS20" s="28"/>
      <c r="AT20" s="50"/>
      <c r="AU20" s="51"/>
      <c r="BM20" s="42"/>
      <c r="BN20" s="334" t="s">
        <v>21</v>
      </c>
      <c r="BO20" s="333">
        <v>4.3</v>
      </c>
      <c r="BP20" s="115">
        <f>IF(AONIA[[#This Row],[Valid]],AONIA[[#This Row],[Maturity Date (T2)]],"")</f>
        <v>45839</v>
      </c>
      <c r="BQ20" s="142" cm="1">
        <f t="array" ref="BQ20">IF(AONIA[[#This Row],[Valid]],Linterp(_xlfn.ANCHORARRAY(Curves!$G$4),_xlfn.ANCHORARRAY(Curves!$J$4),AONIA[[#This Row],[Maturity]],-1,TRUE),"")</f>
        <v>0.95843403663214188</v>
      </c>
      <c r="BR20" s="143">
        <f>IF(AONIA[[#This Row],[Valid]],-1*LN(AONIA[[#This Row],[DF]])/YEARFRAC(CurveDate,AONIA[[#This Row],[Maturity]],DCB_CCZR),"")</f>
        <v>4.2108441457285789E-2</v>
      </c>
      <c r="BS20" s="343" t="b">
        <v>1</v>
      </c>
      <c r="BT20" s="110">
        <f>IF(AONIA[[#This Row],[Has Settle Delay]],SettlementDelayAUD,0)</f>
        <v>1</v>
      </c>
      <c r="BU20" s="35">
        <f>WORKDAY(CurveDate,AONIA[[#This Row],[Settle Delay]],Holidays_NSWPublic)</f>
        <v>45474</v>
      </c>
      <c r="BV20" s="8">
        <v>12</v>
      </c>
      <c r="BW20" s="8" t="s">
        <v>17</v>
      </c>
      <c r="BX20" s="35" cm="1">
        <f t="array" ref="BX2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45839</v>
      </c>
      <c r="BY20" s="47">
        <f>WORKDAY(AONIA[[#This Row],[Maturity Date (T2)]],OISPaymentDelay,Holidays_NSWPublic)</f>
        <v>45841</v>
      </c>
      <c r="BZ20" s="41" t="b">
        <f>AONIA[[#This Row],[Par Swap Rate]]&lt;&gt;""</f>
        <v>1</v>
      </c>
      <c r="CA20" s="28" t="b">
        <v>1</v>
      </c>
      <c r="CB20" s="28" t="b">
        <f>AND(AONIA[[#This Row],[Valid]],AONIA[[#This Row],[Zero-coupon?]])</f>
        <v>1</v>
      </c>
      <c r="CC20" s="28" t="b">
        <f>AND(AONIA[[#This Row],[Valid]],NOT(AONIA[[#This Row],[Analytical Solve]]))</f>
        <v>0</v>
      </c>
      <c r="CD20" s="312">
        <f>AONIA[[#This Row],[Numerical Solve]]*1</f>
        <v>0</v>
      </c>
      <c r="CE20" s="153">
        <f>IF(AONIA[[#This Row],[Analytical Solve]],1+AONIA[[#This Row],[Par Swap Rate]]%*YEARFRAC(AONIA[[#This Row],[Settle Date (T1)]],AONIA[[#This Row],[Maturity Date (T2)]],DayCount_AUD),"")</f>
        <v>1.0429999999999999</v>
      </c>
      <c r="CF20" s="150" cm="1">
        <f t="array" ref="CF20">IF(AONIA[[#This Row],[Analytical Solve]],_xlfn.IFS(AONIA[[#This Row],[Settle Date (T1)]]=CurveDate,1,TRUE,_xlfn.XLOOKUP(AONIA[[#This Row],[Settle Date (T1)]],AONIA[Maturity Date (T2)],AONIA[DF(T2)])),"")</f>
        <v>0.99964670020732393</v>
      </c>
      <c r="CG20" s="346">
        <f>IF(AONIA[[#This Row],[Analytical Solve]],AONIA[[#This Row],[DF(T1)]]/AONIA[[#This Row],[1+r𝛿]],"")</f>
        <v>0.95843403663214188</v>
      </c>
      <c r="CH20" s="46">
        <f>IF(AONIA[[#This Row],[Numerical Solve]],SUM(AONIA[[#Headers],[Flag]]:AONIA[[#This Row],[Flag]]),0)</f>
        <v>0</v>
      </c>
      <c r="CI20" s="183"/>
      <c r="CJ20" s="42"/>
      <c r="CK20" s="157" t="s">
        <v>4</v>
      </c>
      <c r="CL20" s="33"/>
      <c r="CM20" s="115" t="str">
        <f>IF(FCBS[[#This Row],[Valid]],FCBS[[#This Row],[Maturity Date (T2)]],"")</f>
        <v/>
      </c>
      <c r="CN20" s="142" t="str" cm="1">
        <f t="array" ref="CN20">IF(FCBS[[#This Row],[Valid]],Linterp(_xlfn.ANCHORARRAY(Curves!$AA$4),_xlfn.ANCHORARRAY(Curves!$AD$4),FCBS[[#This Row],[Maturity]],-1,TRUE),"")</f>
        <v/>
      </c>
      <c r="CO20" s="143" t="str">
        <f>IF(FCBS[[#This Row],[Valid]],-1*LN(FCBS[[#This Row],[DF]])/YEARFRAC(CurveDate,FCBS[[#This Row],[Maturity]],DCB_CCZR),"")</f>
        <v/>
      </c>
      <c r="CP20" s="142" t="b">
        <v>1</v>
      </c>
      <c r="CQ20" s="110">
        <f>IF(FCBS[[#This Row],[Has Settle Delay]],SettlementDelayAUD,0)</f>
        <v>1</v>
      </c>
      <c r="CR20" s="35">
        <f>WORKDAY(CurveDate,FCBS[[#This Row],[Settle Delay]],Holidays_NSWPublic)</f>
        <v>45474</v>
      </c>
      <c r="CS20" s="8">
        <v>25</v>
      </c>
      <c r="CT20" s="8" t="s">
        <v>1</v>
      </c>
      <c r="CU20" s="35" cm="1">
        <f t="array" ref="CU20">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54605</v>
      </c>
      <c r="CV20" s="35">
        <f>WORKDAY(FCBS[[#This Row],[Maturity Date (T2)]],OISPaymentDelay,Holidays_NSWPublic)</f>
        <v>54609</v>
      </c>
      <c r="CW20" s="28" t="b">
        <f>FCBS[[#This Row],[Basis Spread]]&lt;&gt;""</f>
        <v>0</v>
      </c>
      <c r="CX20" s="28" t="b">
        <f>FCBS[[#This Row],[Valid]]</f>
        <v>0</v>
      </c>
      <c r="CY20" s="22">
        <f>FCBS[[#This Row],[Valid]]*1</f>
        <v>0</v>
      </c>
      <c r="CZ20" s="46">
        <f>IF(FCBS[[#This Row],[Valid]],SUM(FCBS[[#Headers],[Flag]]:FCBS[[#This Row],[Flag]]),0)</f>
        <v>0</v>
      </c>
      <c r="DA20" s="5"/>
    </row>
    <row r="21" spans="2:105">
      <c r="F21" s="45" t="s">
        <v>29</v>
      </c>
      <c r="G21" s="33">
        <v>4.5999999999999996</v>
      </c>
      <c r="H21" s="115">
        <f>IF(BankBillRates6M[[#This Row],[Applied]],BankBillRates6M[[#This Row],[Maturity Date (T2)]],"")</f>
        <v>45659</v>
      </c>
      <c r="I21" s="142">
        <f>IF(BankBillRates6M[[#This Row],[Valid Input]],BankBillRates6M[[#This Row],[DF(T2)]],"")</f>
        <v>0.97687088853223003</v>
      </c>
      <c r="J21" s="141">
        <f>IF(NOT(BankBillRates6M[[#This Row],[Valid Input]]),"",-LN(BankBillRates6M[[#This Row],[DF(T2)]])/YEARFRAC(CurveDate,BankBillRates6M[[#This Row],[Maturity Date (T2)]],DCB_CCZR))</f>
        <v>4.5432378261561997E-2</v>
      </c>
      <c r="K21" s="28" t="b">
        <f>BankBillRates6M[[#This Row],[Rate]]&lt;&gt;""</f>
        <v>1</v>
      </c>
      <c r="L21" s="46" t="b">
        <v>1</v>
      </c>
      <c r="M21" s="22">
        <f>IF(BankBillRates6M[[#This Row],[Has Settle Delay]],SettlementDelayAUD,0)</f>
        <v>1</v>
      </c>
      <c r="N21" s="21" t="s">
        <v>17</v>
      </c>
      <c r="O21" s="22">
        <v>6</v>
      </c>
      <c r="P21" s="23">
        <f>WORKDAY(CurveDate,BankBillRates6M[[#This Row],[Settle Delay]],Holidays_NSWPublic)</f>
        <v>45474</v>
      </c>
      <c r="Q21" s="47">
        <f>IF(BankBillRates6M[[#This Row],[Offset Type]]="Business Day",WORKDAY(BankBillRates6M[[#This Row],[Effective Date (T1)]],BankBillRates6M[[#This Row],[Offset]],Holidays_NSWPublic),WORKDAY(EDATE(BankBillRates6M[[#This Row],[Effective Date (T1)]],BankBillRates6M[[#This Row],[Offset]])-1,1,Holidays_NSWPublic))</f>
        <v>45659</v>
      </c>
      <c r="R21" s="48">
        <f>IF(NOT(BankBillRates6M[[#This Row],[Valid Input]]),"",YEARFRAC(BankBillRates6M[[#This Row],[Effective Date (T1)]],BankBillRates6M[[#This Row],[Maturity Date (T2)]],DayCount_AUD))</f>
        <v>0.50684931506849318</v>
      </c>
      <c r="S21" s="5">
        <f>IF(NOT(BankBillRates6M[[#This Row],[Valid Input]]),"",1+BankBillRates6M[[#This Row],[Rate]]%*BankBillRates6M[[#This Row],[𝛿(T1,T2)]])</f>
        <v>1.0233150684931507</v>
      </c>
      <c r="T21" s="5">
        <f>IF(NOT(BankBillRates6M[[#This Row],[Valid Input]]),"",IF(BankBillRates6M[[#This Row],[Effective Date (T1)]]=CurveDate,1,_xlfn.XLOOKUP(BankBillRates6M[[#This Row],[Effective Date (T1)]],BankBillRates6M[Maturity Date (T2)],BankBillRates6M[DF(T2)])))</f>
        <v>0.99964670020732393</v>
      </c>
      <c r="U21" s="5">
        <f>IF(NOT(BankBillRates6M[[#This Row],[Valid Input]]),"",BankBillRates6M[[#This Row],[DF(T1)]]/BankBillRates6M[[#This Row],[1+r*𝛿(T1,T2)]])</f>
        <v>0.97687088853223003</v>
      </c>
      <c r="V21" s="28" t="b">
        <f>BankBillRates6M[[#This Row],[Valid Input]]</f>
        <v>1</v>
      </c>
      <c r="W21" s="181">
        <v>45659</v>
      </c>
      <c r="X21" s="184">
        <v>0.97687088853223003</v>
      </c>
      <c r="Z21" s="85"/>
      <c r="AA21" s="85"/>
      <c r="AB21" s="85"/>
      <c r="AC21" s="118" t="str">
        <f t="shared" si="3"/>
        <v/>
      </c>
      <c r="AD21" s="124" t="str">
        <f t="shared" si="0"/>
        <v/>
      </c>
      <c r="AE21" s="132" t="str">
        <f>IF(AF21,-LN(Input!$AO21)/YEARFRAC(CurveDate,Input!$AL21,DCB_CCZR),"")</f>
        <v/>
      </c>
      <c r="AF21" s="28" t="b">
        <f>Input!$Z21&lt;&gt;""</f>
        <v>0</v>
      </c>
      <c r="AG21" s="83" t="str">
        <f>IF(Input!$AF21,(100-Input!$AA21)/100,"")</f>
        <v/>
      </c>
      <c r="AH21" s="83" t="str">
        <f>IF(Input!$AF21,AG21-AB21%,"")</f>
        <v/>
      </c>
      <c r="AI21" s="91"/>
      <c r="AJ21" s="82"/>
      <c r="AK21" s="82"/>
      <c r="AL21" s="82" t="str">
        <f t="shared" si="1"/>
        <v/>
      </c>
      <c r="AM21" s="99" t="str">
        <f>IF(Input!$AF21,YEARFRAC(Input!$AK21,Input!$AL21,DayCount_AUD),"")</f>
        <v/>
      </c>
      <c r="AN21" s="96" t="str" cm="1">
        <f t="array" ref="AN21">IF(Input!$AF21,Linterp(_xlfn.VSTACK(_xlfn.ANCHORARRAY(Input!$W$4),$AL$4:AL20),_xlfn.VSTACK(_xlfn.ANCHORARRAY(Input!$X$4),$AO$4:AO20),Input!$AK21,1,TRUE),"")</f>
        <v/>
      </c>
      <c r="AO21" s="186"/>
      <c r="AP21" s="128"/>
      <c r="AQ21" s="49"/>
      <c r="AR21" s="28"/>
      <c r="AS21" s="28"/>
      <c r="AT21" s="50"/>
      <c r="AU21" s="51"/>
      <c r="BM21" s="42"/>
      <c r="BN21" s="334" t="s">
        <v>20</v>
      </c>
      <c r="BO21" s="333" t="s">
        <v>0</v>
      </c>
      <c r="BP21" s="115" t="str">
        <f>IF(AONIA[[#This Row],[Valid]],AONIA[[#This Row],[Maturity Date (T2)]],"")</f>
        <v/>
      </c>
      <c r="BQ21" s="142" t="str" cm="1">
        <f t="array" ref="BQ21">IF(AONIA[[#This Row],[Valid]],Linterp(_xlfn.ANCHORARRAY(Curves!$G$4),_xlfn.ANCHORARRAY(Curves!$J$4),AONIA[[#This Row],[Maturity]],-1,TRUE),"")</f>
        <v/>
      </c>
      <c r="BR21" s="143" t="str">
        <f>IF(AONIA[[#This Row],[Valid]],-1*LN(AONIA[[#This Row],[DF]])/YEARFRAC(CurveDate,AONIA[[#This Row],[Maturity]],DCB_CCZR),"")</f>
        <v/>
      </c>
      <c r="BS21" s="343" t="b">
        <v>1</v>
      </c>
      <c r="BT21" s="110">
        <f>IF(AONIA[[#This Row],[Has Settle Delay]],SettlementDelayAUD,0)</f>
        <v>1</v>
      </c>
      <c r="BU21" s="35">
        <f>WORKDAY(CurveDate,AONIA[[#This Row],[Settle Delay]],Holidays_NSWPublic)</f>
        <v>45474</v>
      </c>
      <c r="BV21" s="8">
        <v>15</v>
      </c>
      <c r="BW21" s="8" t="s">
        <v>17</v>
      </c>
      <c r="BX21" s="35" cm="1">
        <f t="array" ref="BX2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45931</v>
      </c>
      <c r="BY21" s="47">
        <f>WORKDAY(AONIA[[#This Row],[Maturity Date (T2)]],OISPaymentDelay,Holidays_NSWPublic)</f>
        <v>45933</v>
      </c>
      <c r="BZ21" s="41" t="b">
        <f>AONIA[[#This Row],[Par Swap Rate]]&lt;&gt;""</f>
        <v>0</v>
      </c>
      <c r="CA21" s="28" t="b">
        <v>0</v>
      </c>
      <c r="CB21" s="28" t="b">
        <f>AND(AONIA[[#This Row],[Valid]],AONIA[[#This Row],[Zero-coupon?]])</f>
        <v>0</v>
      </c>
      <c r="CC21" s="28" t="b">
        <f>AND(AONIA[[#This Row],[Valid]],NOT(AONIA[[#This Row],[Analytical Solve]]))</f>
        <v>0</v>
      </c>
      <c r="CD21" s="312">
        <f>AONIA[[#This Row],[Numerical Solve]]*1</f>
        <v>0</v>
      </c>
      <c r="CE21" s="153" t="str">
        <f>IF(AONIA[[#This Row],[Analytical Solve]],1+AONIA[[#This Row],[Par Swap Rate]]%*YEARFRAC(AONIA[[#This Row],[Settle Date (T1)]],AONIA[[#This Row],[Maturity Date (T2)]],DayCount_AUD),"")</f>
        <v/>
      </c>
      <c r="CF21" s="150" t="str" cm="1">
        <f t="array" ref="CF21">IF(AONIA[[#This Row],[Analytical Solve]],_xlfn.IFS(AONIA[[#This Row],[Settle Date (T1)]]=CurveDate,1,TRUE,_xlfn.XLOOKUP(AONIA[[#This Row],[Settle Date (T1)]],AONIA[Maturity Date (T2)],AONIA[DF(T2)])),"")</f>
        <v/>
      </c>
      <c r="CG21" s="346" t="str">
        <f>IF(AONIA[[#This Row],[Analytical Solve]],AONIA[[#This Row],[DF(T1)]]/AONIA[[#This Row],[1+r𝛿]],"")</f>
        <v/>
      </c>
      <c r="CH21" s="46">
        <f>IF(AONIA[[#This Row],[Numerical Solve]],SUM(AONIA[[#Headers],[Flag]]:AONIA[[#This Row],[Flag]]),0)</f>
        <v>0</v>
      </c>
      <c r="CI21" s="183"/>
      <c r="CJ21" s="42"/>
      <c r="CK21" s="157" t="s">
        <v>3</v>
      </c>
      <c r="CL21" s="102"/>
      <c r="CM21" s="140" t="str">
        <f>IF(FCBS[[#This Row],[Valid]],FCBS[[#This Row],[Maturity Date (T2)]],"")</f>
        <v/>
      </c>
      <c r="CN21" s="146" t="str" cm="1">
        <f t="array" ref="CN21">IF(FCBS[[#This Row],[Valid]],Linterp(_xlfn.ANCHORARRAY(Curves!$AA$4),_xlfn.ANCHORARRAY(Curves!$AD$4),FCBS[[#This Row],[Maturity]],-1,TRUE),"")</f>
        <v/>
      </c>
      <c r="CO21" s="144" t="str">
        <f>IF(FCBS[[#This Row],[Valid]],-1*LN(FCBS[[#This Row],[DF]])/YEARFRAC(CurveDate,FCBS[[#This Row],[Maturity]],DCB_CCZR),"")</f>
        <v/>
      </c>
      <c r="CP21" s="142" t="b">
        <v>1</v>
      </c>
      <c r="CQ21" s="110">
        <f>IF(FCBS[[#This Row],[Has Settle Delay]],SettlementDelayAUD,0)</f>
        <v>1</v>
      </c>
      <c r="CR21" s="35">
        <f>WORKDAY(CurveDate,FCBS[[#This Row],[Settle Delay]],Holidays_NSWPublic)</f>
        <v>45474</v>
      </c>
      <c r="CS21" s="8">
        <v>30</v>
      </c>
      <c r="CT21" s="8" t="s">
        <v>1</v>
      </c>
      <c r="CU21" s="35" cm="1">
        <f t="array" ref="CU2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56431</v>
      </c>
      <c r="CV21" s="35">
        <f>WORKDAY(FCBS[[#This Row],[Maturity Date (T2)]],OISPaymentDelay,Holidays_NSWPublic)</f>
        <v>56433</v>
      </c>
      <c r="CW21" s="28" t="b">
        <f>FCBS[[#This Row],[Basis Spread]]&lt;&gt;""</f>
        <v>0</v>
      </c>
      <c r="CX21" s="28" t="b">
        <f>FCBS[[#This Row],[Valid]]</f>
        <v>0</v>
      </c>
      <c r="CY21" s="22">
        <f>FCBS[[#This Row],[Valid]]*1</f>
        <v>0</v>
      </c>
      <c r="CZ21" s="188">
        <f>IF(FCBS[[#This Row],[Valid]],SUM(FCBS[[#Headers],[Flag]]:FCBS[[#This Row],[Flag]]),0)</f>
        <v>0</v>
      </c>
      <c r="DA21" s="189"/>
    </row>
    <row r="22" spans="2:105">
      <c r="D22"/>
      <c r="Z22" s="85"/>
      <c r="AA22" s="85"/>
      <c r="AB22" s="85"/>
      <c r="AC22" s="118" t="str">
        <f t="shared" si="3"/>
        <v/>
      </c>
      <c r="AD22" s="124" t="str">
        <f t="shared" si="0"/>
        <v/>
      </c>
      <c r="AE22" s="132" t="str">
        <f>IF(AF22,-LN(Input!$AO22)/YEARFRAC(CurveDate,Input!$AL22,DCB_CCZR),"")</f>
        <v/>
      </c>
      <c r="AF22" s="28" t="b">
        <f>Input!$Z22&lt;&gt;""</f>
        <v>0</v>
      </c>
      <c r="AG22" s="83" t="str">
        <f>IF(Input!$AF22,(100-Input!$AA22)/100,"")</f>
        <v/>
      </c>
      <c r="AH22" s="83" t="str">
        <f>IF(Input!$AF22,AG22-AB22%,"")</f>
        <v/>
      </c>
      <c r="AI22" s="91"/>
      <c r="AJ22" s="82"/>
      <c r="AK22" s="82"/>
      <c r="AL22" s="82" t="str">
        <f t="shared" si="1"/>
        <v/>
      </c>
      <c r="AM22" s="99" t="str">
        <f>IF(Input!$AF22,YEARFRAC(Input!$AK22,Input!$AL22,DayCount_AUD),"")</f>
        <v/>
      </c>
      <c r="AN22" s="96" t="str" cm="1">
        <f t="array" ref="AN22">IF(Input!$AF22,Linterp(_xlfn.VSTACK(_xlfn.ANCHORARRAY(Input!$W$4),$AL$4:AL21),_xlfn.VSTACK(_xlfn.ANCHORARRAY(Input!$X$4),$AO$4:AO21),Input!$AK22,1,TRUE),"")</f>
        <v/>
      </c>
      <c r="AO22" s="186"/>
      <c r="AP22" s="128"/>
      <c r="AQ22" s="49"/>
      <c r="AR22" s="28"/>
      <c r="AS22" s="28"/>
      <c r="AT22" s="50"/>
      <c r="AU22" s="51"/>
      <c r="AW22" s="351" t="s">
        <v>237</v>
      </c>
      <c r="AX22" s="352"/>
      <c r="AY22" s="67" t="s">
        <v>242</v>
      </c>
      <c r="AZ22" s="67"/>
      <c r="BA22" s="11"/>
      <c r="BB22" s="68" t="s">
        <v>295</v>
      </c>
      <c r="BC22" s="68"/>
      <c r="BD22" s="67" t="s">
        <v>187</v>
      </c>
      <c r="BE22" s="67"/>
      <c r="BF22" s="67" t="s">
        <v>227</v>
      </c>
      <c r="BG22" s="69"/>
      <c r="BM22" s="6"/>
      <c r="BN22" s="334" t="s">
        <v>19</v>
      </c>
      <c r="BO22" s="333" t="s">
        <v>0</v>
      </c>
      <c r="BP22" s="115" t="str">
        <f>IF(AONIA[[#This Row],[Valid]],AONIA[[#This Row],[Maturity Date (T2)]],"")</f>
        <v/>
      </c>
      <c r="BQ22" s="142" t="str" cm="1">
        <f t="array" ref="BQ22">IF(AONIA[[#This Row],[Valid]],Linterp(_xlfn.ANCHORARRAY(Curves!$G$4),_xlfn.ANCHORARRAY(Curves!$J$4),AONIA[[#This Row],[Maturity]],-1,TRUE),"")</f>
        <v/>
      </c>
      <c r="BR22" s="143" t="str">
        <f>IF(AONIA[[#This Row],[Valid]],-1*LN(AONIA[[#This Row],[DF]])/YEARFRAC(CurveDate,AONIA[[#This Row],[Maturity]],DCB_CCZR),"")</f>
        <v/>
      </c>
      <c r="BS22" s="343" t="b">
        <v>1</v>
      </c>
      <c r="BT22" s="110">
        <f>IF(AONIA[[#This Row],[Has Settle Delay]],SettlementDelayAUD,0)</f>
        <v>1</v>
      </c>
      <c r="BU22" s="35">
        <f>WORKDAY(CurveDate,AONIA[[#This Row],[Settle Delay]],Holidays_NSWPublic)</f>
        <v>45474</v>
      </c>
      <c r="BV22" s="8">
        <v>18</v>
      </c>
      <c r="BW22" s="8" t="s">
        <v>17</v>
      </c>
      <c r="BX22" s="35" cm="1">
        <f t="array" ref="BX2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46024</v>
      </c>
      <c r="BY22" s="47">
        <f>WORKDAY(AONIA[[#This Row],[Maturity Date (T2)]],OISPaymentDelay,Holidays_NSWPublic)</f>
        <v>46028</v>
      </c>
      <c r="BZ22" s="41" t="b">
        <f>AONIA[[#This Row],[Par Swap Rate]]&lt;&gt;""</f>
        <v>0</v>
      </c>
      <c r="CA22" s="28" t="b">
        <v>0</v>
      </c>
      <c r="CB22" s="28" t="b">
        <f>AND(AONIA[[#This Row],[Valid]],AONIA[[#This Row],[Zero-coupon?]])</f>
        <v>0</v>
      </c>
      <c r="CC22" s="28" t="b">
        <f>AND(AONIA[[#This Row],[Valid]],NOT(AONIA[[#This Row],[Analytical Solve]]))</f>
        <v>0</v>
      </c>
      <c r="CD22" s="312">
        <f>AONIA[[#This Row],[Numerical Solve]]*1</f>
        <v>0</v>
      </c>
      <c r="CE22" s="153" t="str">
        <f>IF(AONIA[[#This Row],[Analytical Solve]],1+AONIA[[#This Row],[Par Swap Rate]]%*YEARFRAC(AONIA[[#This Row],[Settle Date (T1)]],AONIA[[#This Row],[Maturity Date (T2)]],DayCount_AUD),"")</f>
        <v/>
      </c>
      <c r="CF22" s="150" t="str" cm="1">
        <f t="array" ref="CF22">IF(AONIA[[#This Row],[Analytical Solve]],_xlfn.IFS(AONIA[[#This Row],[Settle Date (T1)]]=CurveDate,1,TRUE,_xlfn.XLOOKUP(AONIA[[#This Row],[Settle Date (T1)]],AONIA[Maturity Date (T2)],AONIA[DF(T2)])),"")</f>
        <v/>
      </c>
      <c r="CG22" s="346" t="str">
        <f>IF(AONIA[[#This Row],[Analytical Solve]],AONIA[[#This Row],[DF(T1)]]/AONIA[[#This Row],[1+r𝛿]],"")</f>
        <v/>
      </c>
      <c r="CH22" s="46">
        <f>IF(AONIA[[#This Row],[Numerical Solve]],SUM(AONIA[[#Headers],[Flag]]:AONIA[[#This Row],[Flag]]),0)</f>
        <v>0</v>
      </c>
      <c r="CI22" s="183"/>
      <c r="CJ22" s="6"/>
    </row>
    <row r="23" spans="2:105">
      <c r="B23" s="167" t="s">
        <v>273</v>
      </c>
      <c r="C23" s="168" t="s">
        <v>269</v>
      </c>
      <c r="D23"/>
      <c r="O23" s="8"/>
      <c r="Z23" s="85"/>
      <c r="AA23" s="85"/>
      <c r="AB23" s="85"/>
      <c r="AC23" s="119" t="str">
        <f t="shared" si="3"/>
        <v/>
      </c>
      <c r="AD23" s="125" t="str">
        <f t="shared" si="0"/>
        <v/>
      </c>
      <c r="AE23" s="133" t="str">
        <f>IF(AF23,-LN(Input!$AO23)/YEARFRAC(CurveDate,Input!$AL23,DCB_CCZR),"")</f>
        <v/>
      </c>
      <c r="AF23" s="57" t="b">
        <f>Input!$Z23&lt;&gt;""</f>
        <v>0</v>
      </c>
      <c r="AG23" s="93" t="str">
        <f>IF(Input!$AF23,(100-Input!$AA23)/100,"")</f>
        <v/>
      </c>
      <c r="AH23" s="93" t="str">
        <f>IF(Input!$AF23,AG23-AB23%,"")</f>
        <v/>
      </c>
      <c r="AI23" s="92"/>
      <c r="AJ23" s="94"/>
      <c r="AK23" s="94"/>
      <c r="AL23" s="94" t="str">
        <f t="shared" si="1"/>
        <v/>
      </c>
      <c r="AM23" s="100" t="str">
        <f>IF(Input!$AF23,YEARFRAC(Input!$AK23,Input!$AL23,DayCount_AUD),"")</f>
        <v/>
      </c>
      <c r="AN23" s="97" t="str" cm="1">
        <f t="array" ref="AN23">IF(Input!$AF23,Linterp(_xlfn.VSTACK(_xlfn.ANCHORARRAY(Input!$W$4),$AL$4:AL22),_xlfn.VSTACK(_xlfn.ANCHORARRAY(Input!$X$4),$AO$4:AO22),Input!$AK23,1,TRUE),"")</f>
        <v/>
      </c>
      <c r="AO23" s="187"/>
      <c r="AP23" s="129"/>
      <c r="AQ23" s="58"/>
      <c r="AR23" s="57"/>
      <c r="AS23" s="57"/>
      <c r="AT23" s="59"/>
      <c r="AU23" s="60"/>
      <c r="AW23" s="104" t="s">
        <v>44</v>
      </c>
      <c r="AX23" s="104" t="s">
        <v>252</v>
      </c>
      <c r="AY23" s="104" t="s">
        <v>243</v>
      </c>
      <c r="AZ23" s="104" t="s">
        <v>189</v>
      </c>
      <c r="BA23" s="104" t="s">
        <v>133</v>
      </c>
      <c r="BB23" s="104" t="s">
        <v>241</v>
      </c>
      <c r="BC23" s="104" t="s">
        <v>240</v>
      </c>
      <c r="BD23" s="104" t="s">
        <v>227</v>
      </c>
      <c r="BE23" s="104" t="s">
        <v>226</v>
      </c>
      <c r="BF23" s="104" t="s">
        <v>198</v>
      </c>
      <c r="BG23" s="104" t="s">
        <v>239</v>
      </c>
      <c r="BM23" s="6"/>
      <c r="BN23" s="334" t="s">
        <v>18</v>
      </c>
      <c r="BO23" s="333" t="s">
        <v>0</v>
      </c>
      <c r="BP23" s="115" t="str">
        <f>IF(AONIA[[#This Row],[Valid]],AONIA[[#This Row],[Maturity Date (T2)]],"")</f>
        <v/>
      </c>
      <c r="BQ23" s="142" t="str" cm="1">
        <f t="array" ref="BQ23">IF(AONIA[[#This Row],[Valid]],Linterp(_xlfn.ANCHORARRAY(Curves!$G$4),_xlfn.ANCHORARRAY(Curves!$J$4),AONIA[[#This Row],[Maturity]],-1,TRUE),"")</f>
        <v/>
      </c>
      <c r="BR23" s="143" t="str">
        <f>IF(AONIA[[#This Row],[Valid]],-1*LN(AONIA[[#This Row],[DF]])/YEARFRAC(CurveDate,AONIA[[#This Row],[Maturity]],DCB_CCZR),"")</f>
        <v/>
      </c>
      <c r="BS23" s="343" t="b">
        <v>1</v>
      </c>
      <c r="BT23" s="110">
        <f>IF(AONIA[[#This Row],[Has Settle Delay]],SettlementDelayAUD,0)</f>
        <v>1</v>
      </c>
      <c r="BU23" s="35">
        <f>WORKDAY(CurveDate,AONIA[[#This Row],[Settle Delay]],Holidays_NSWPublic)</f>
        <v>45474</v>
      </c>
      <c r="BV23" s="8">
        <v>21</v>
      </c>
      <c r="BW23" s="8" t="s">
        <v>17</v>
      </c>
      <c r="BX23" s="35" cm="1">
        <f t="array" ref="BX2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46113</v>
      </c>
      <c r="BY23" s="47">
        <f>WORKDAY(AONIA[[#This Row],[Maturity Date (T2)]],OISPaymentDelay,Holidays_NSWPublic)</f>
        <v>46119</v>
      </c>
      <c r="BZ23" s="41" t="b">
        <f>AONIA[[#This Row],[Par Swap Rate]]&lt;&gt;""</f>
        <v>0</v>
      </c>
      <c r="CA23" s="28" t="b">
        <v>0</v>
      </c>
      <c r="CB23" s="28" t="b">
        <f>AND(AONIA[[#This Row],[Valid]],AONIA[[#This Row],[Zero-coupon?]])</f>
        <v>0</v>
      </c>
      <c r="CC23" s="28" t="b">
        <f>AND(AONIA[[#This Row],[Valid]],NOT(AONIA[[#This Row],[Analytical Solve]]))</f>
        <v>0</v>
      </c>
      <c r="CD23" s="312">
        <f>AONIA[[#This Row],[Numerical Solve]]*1</f>
        <v>0</v>
      </c>
      <c r="CE23" s="153" t="str">
        <f>IF(AONIA[[#This Row],[Analytical Solve]],1+AONIA[[#This Row],[Par Swap Rate]]%*YEARFRAC(AONIA[[#This Row],[Settle Date (T1)]],AONIA[[#This Row],[Maturity Date (T2)]],DayCount_AUD),"")</f>
        <v/>
      </c>
      <c r="CF23" s="150" t="str" cm="1">
        <f t="array" ref="CF23">IF(AONIA[[#This Row],[Analytical Solve]],_xlfn.IFS(AONIA[[#This Row],[Settle Date (T1)]]=CurveDate,1,TRUE,_xlfn.XLOOKUP(AONIA[[#This Row],[Settle Date (T1)]],AONIA[Maturity Date (T2)],AONIA[DF(T2)])),"")</f>
        <v/>
      </c>
      <c r="CG23" s="346" t="str">
        <f>IF(AONIA[[#This Row],[Analytical Solve]],AONIA[[#This Row],[DF(T1)]]/AONIA[[#This Row],[1+r𝛿]],"")</f>
        <v/>
      </c>
      <c r="CH23" s="46">
        <f>IF(AONIA[[#This Row],[Numerical Solve]],SUM(AONIA[[#Headers],[Flag]]:AONIA[[#This Row],[Flag]]),0)</f>
        <v>0</v>
      </c>
      <c r="CI23" s="183"/>
      <c r="CJ23" s="6"/>
    </row>
    <row r="24" spans="2:105">
      <c r="D24"/>
      <c r="AO24" s="81"/>
      <c r="AW24" s="2" t="s">
        <v>21</v>
      </c>
      <c r="AX24" s="40">
        <v>-8</v>
      </c>
      <c r="AY24" s="178">
        <f>IF(BBSW1M[[#This Row],[Numerical Solve]],BBSW1M[[#This Row],[Maturity Date, T2]],"")</f>
        <v>45839</v>
      </c>
      <c r="AZ24" s="177" cm="1">
        <f t="array" ref="AZ24">IF(BBSW1M[[#This Row],[Numerical Solve]],Linterp(_xlfn.ANCHORARRAY(Curves!$L$4),_xlfn.ANCHORARRAY(Curves!$O$4),BBSW1M[[#This Row],[Maturity]]),"")</f>
        <v>0.95290185319887899</v>
      </c>
      <c r="BA24" s="179">
        <f>IF(BBSW1M[[#This Row],[Numerical Solve]],-1*LN(BBSW1M[[#This Row],[Solved DF]])/YEARFRAC(CurveDate,BBSW1M[[#This Row],[Maturity Date, T2]],DCB_CCZR),"")</f>
        <v>4.785007950626903E-2</v>
      </c>
      <c r="BB24" s="175">
        <f>_xlfn.XLOOKUP(BBSW1M[[#This Row],[Tenor]],BBSW3MSwaps[Tenor],BBSW3MSwaps[Effective Date, T1])</f>
        <v>45474</v>
      </c>
      <c r="BC24" s="175">
        <f>_xlfn.XLOOKUP(BBSW1M[[#This Row],[Tenor]],BBSW3MSwaps[Tenor],BBSW3MSwaps[Maturity Date, T2])</f>
        <v>45839</v>
      </c>
      <c r="BD24" s="41" t="b">
        <f>BBSW1M[[#This Row],[Basis Spread]]&lt;&gt;""</f>
        <v>1</v>
      </c>
      <c r="BE24" s="176">
        <f>BBSW1M[[#This Row],[Numerical Solve]]*1</f>
        <v>1</v>
      </c>
      <c r="BF24" s="176">
        <f>IF(BBSW1M[[#This Row],[Numerical Solve]],SUM(BBSW1M[[#Headers],[Flag]]:BBSW1M[[#This Row],[Flag]]),0)</f>
        <v>1</v>
      </c>
      <c r="BG24" s="113">
        <v>0.95290185319887899</v>
      </c>
      <c r="BN24" s="334" t="s">
        <v>16</v>
      </c>
      <c r="BO24" s="333">
        <v>4.3</v>
      </c>
      <c r="BP24" s="115">
        <f>IF(AONIA[[#This Row],[Valid]],AONIA[[#This Row],[Maturity Date (T2)]],"")</f>
        <v>46204</v>
      </c>
      <c r="BQ24" s="142" cm="1">
        <f t="array" ref="BQ24">IF(AONIA[[#This Row],[Valid]],Linterp(_xlfn.ANCHORARRAY(Curves!$G$4),_xlfn.ANCHORARRAY(Curves!$J$4),AONIA[[#This Row],[Maturity]],-1,TRUE),"")</f>
        <v>0.91892045698191938</v>
      </c>
      <c r="BR24" s="143">
        <f>IF(AONIA[[#This Row],[Valid]],-1*LN(AONIA[[#This Row],[DF]])/YEARFRAC(CurveDate,AONIA[[#This Row],[Maturity]],DCB_CCZR),"")</f>
        <v>4.2104823605843229E-2</v>
      </c>
      <c r="BS24" s="343" t="b">
        <v>1</v>
      </c>
      <c r="BT24" s="110">
        <f>IF(AONIA[[#This Row],[Has Settle Delay]],SettlementDelayAUD,0)</f>
        <v>1</v>
      </c>
      <c r="BU24" s="35">
        <f>WORKDAY(CurveDate,AONIA[[#This Row],[Settle Delay]],Holidays_NSWPublic)</f>
        <v>45474</v>
      </c>
      <c r="BV24" s="8">
        <v>2</v>
      </c>
      <c r="BW24" s="8" t="s">
        <v>1</v>
      </c>
      <c r="BX24" s="35" cm="1">
        <f t="array" ref="BX2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46204</v>
      </c>
      <c r="BY24" s="47">
        <f>WORKDAY(AONIA[[#This Row],[Maturity Date (T2)]],OISPaymentDelay,Holidays_NSWPublic)</f>
        <v>46206</v>
      </c>
      <c r="BZ24" s="41" t="b">
        <f>AONIA[[#This Row],[Par Swap Rate]]&lt;&gt;""</f>
        <v>1</v>
      </c>
      <c r="CA24" s="28" t="b">
        <v>0</v>
      </c>
      <c r="CB24" s="28" t="b">
        <f>AND(AONIA[[#This Row],[Valid]],AONIA[[#This Row],[Zero-coupon?]])</f>
        <v>0</v>
      </c>
      <c r="CC24" s="28" t="b">
        <f>AND(AONIA[[#This Row],[Valid]],NOT(AONIA[[#This Row],[Analytical Solve]]))</f>
        <v>1</v>
      </c>
      <c r="CD24" s="312">
        <f>AONIA[[#This Row],[Numerical Solve]]*1</f>
        <v>1</v>
      </c>
      <c r="CE24" s="153" t="str">
        <f>IF(AONIA[[#This Row],[Analytical Solve]],1+AONIA[[#This Row],[Par Swap Rate]]%*YEARFRAC(AONIA[[#This Row],[Settle Date (T1)]],AONIA[[#This Row],[Maturity Date (T2)]],DayCount_AUD),"")</f>
        <v/>
      </c>
      <c r="CF24" s="150" t="str" cm="1">
        <f t="array" ref="CF24">IF(AONIA[[#This Row],[Analytical Solve]],_xlfn.IFS(AONIA[[#This Row],[Settle Date (T1)]]=CurveDate,1,TRUE,_xlfn.XLOOKUP(AONIA[[#This Row],[Settle Date (T1)]],AONIA[Maturity Date (T2)],AONIA[DF(T2)])),"")</f>
        <v/>
      </c>
      <c r="CG24" s="346" t="str">
        <f>IF(AONIA[[#This Row],[Analytical Solve]],AONIA[[#This Row],[DF(T1)]]/AONIA[[#This Row],[1+r𝛿]],"")</f>
        <v/>
      </c>
      <c r="CH24" s="46">
        <f>IF(AONIA[[#This Row],[Numerical Solve]],SUM(AONIA[[#Headers],[Flag]]:AONIA[[#This Row],[Flag]]),0)</f>
        <v>1</v>
      </c>
      <c r="CI24" s="183">
        <v>0.91870849440768299</v>
      </c>
    </row>
    <row r="25" spans="2:105">
      <c r="B25" s="4" t="s">
        <v>274</v>
      </c>
      <c r="C25" s="198"/>
      <c r="D25"/>
      <c r="AW25" s="2" t="s">
        <v>16</v>
      </c>
      <c r="AX25" s="40">
        <v>-8</v>
      </c>
      <c r="AY25" s="178">
        <f>IF(BBSW1M[[#This Row],[Numerical Solve]],BBSW1M[[#This Row],[Maturity Date, T2]],"")</f>
        <v>46204</v>
      </c>
      <c r="AZ25" s="177" cm="1">
        <f t="array" ref="AZ25">IF(BBSW1M[[#This Row],[Numerical Solve]],Linterp(_xlfn.ANCHORARRAY(Curves!$L$4),_xlfn.ANCHORARRAY(Curves!$O$4),BBSW1M[[#This Row],[Maturity]]),"")</f>
        <v>0.90743199418049181</v>
      </c>
      <c r="BA25" s="179">
        <f>IF(BBSW1M[[#This Row],[Numerical Solve]],-1*LN(BBSW1M[[#This Row],[Solved DF]])/YEARFRAC(CurveDate,BBSW1M[[#This Row],[Maturity Date, T2]],DCB_CCZR),"")</f>
        <v>4.8369547633745048E-2</v>
      </c>
      <c r="BB25" s="175">
        <f>_xlfn.XLOOKUP(BBSW1M[[#This Row],[Tenor]],BBSW3MSwaps[Tenor],BBSW3MSwaps[Effective Date, T1])</f>
        <v>45474</v>
      </c>
      <c r="BC25" s="175">
        <f>_xlfn.XLOOKUP(BBSW1M[[#This Row],[Tenor]],BBSW3MSwaps[Tenor],BBSW3MSwaps[Maturity Date, T2])</f>
        <v>46204</v>
      </c>
      <c r="BD25" s="41" t="b">
        <f>BBSW1M[[#This Row],[Basis Spread]]&lt;&gt;""</f>
        <v>1</v>
      </c>
      <c r="BE25" s="176">
        <f>BBSW1M[[#This Row],[Numerical Solve]]*1</f>
        <v>1</v>
      </c>
      <c r="BF25" s="176">
        <f>IF(BBSW1M[[#This Row],[Numerical Solve]],SUM(BBSW1M[[#Headers],[Flag]]:BBSW1M[[#This Row],[Flag]]),0)</f>
        <v>2</v>
      </c>
      <c r="BG25" s="113">
        <v>0.90743199418049181</v>
      </c>
      <c r="BN25" s="334" t="s">
        <v>15</v>
      </c>
      <c r="BO25" s="333">
        <v>4.3</v>
      </c>
      <c r="BP25" s="115">
        <f>IF(AONIA[[#This Row],[Valid]],AONIA[[#This Row],[Maturity Date (T2)]],"")</f>
        <v>46569</v>
      </c>
      <c r="BQ25" s="142" cm="1">
        <f t="array" ref="BQ25">IF(AONIA[[#This Row],[Valid]],Linterp(_xlfn.ANCHORARRAY(Curves!$G$4),_xlfn.ANCHORARRAY(Curves!$J$4),AONIA[[#This Row],[Maturity]],-1,TRUE),"")</f>
        <v>0.88103591273434245</v>
      </c>
      <c r="BR25" s="143">
        <f>IF(AONIA[[#This Row],[Valid]],-1*LN(AONIA[[#This Row],[DF]])/YEARFRAC(CurveDate,AONIA[[#This Row],[Maturity]],DCB_CCZR),"")</f>
        <v>4.2103611065469108E-2</v>
      </c>
      <c r="BS25" s="343" t="b">
        <v>1</v>
      </c>
      <c r="BT25" s="110">
        <f>IF(AONIA[[#This Row],[Has Settle Delay]],SettlementDelayAUD,0)</f>
        <v>1</v>
      </c>
      <c r="BU25" s="35">
        <f>WORKDAY(CurveDate,AONIA[[#This Row],[Settle Delay]],Holidays_NSWPublic)</f>
        <v>45474</v>
      </c>
      <c r="BV25" s="8">
        <v>3</v>
      </c>
      <c r="BW25" s="8" t="s">
        <v>1</v>
      </c>
      <c r="BX25" s="35" cm="1">
        <f t="array" ref="BX2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46569</v>
      </c>
      <c r="BY25" s="47">
        <f>WORKDAY(AONIA[[#This Row],[Maturity Date (T2)]],OISPaymentDelay,Holidays_NSWPublic)</f>
        <v>46573</v>
      </c>
      <c r="BZ25" s="41" t="b">
        <f>AONIA[[#This Row],[Par Swap Rate]]&lt;&gt;""</f>
        <v>1</v>
      </c>
      <c r="CA25" s="28" t="b">
        <v>0</v>
      </c>
      <c r="CB25" s="28" t="b">
        <f>AND(AONIA[[#This Row],[Valid]],AONIA[[#This Row],[Zero-coupon?]])</f>
        <v>0</v>
      </c>
      <c r="CC25" s="28" t="b">
        <f>AND(AONIA[[#This Row],[Valid]],NOT(AONIA[[#This Row],[Analytical Solve]]))</f>
        <v>1</v>
      </c>
      <c r="CD25" s="312">
        <f>AONIA[[#This Row],[Numerical Solve]]*1</f>
        <v>1</v>
      </c>
      <c r="CE25" s="153" t="str">
        <f>IF(AONIA[[#This Row],[Analytical Solve]],1+AONIA[[#This Row],[Par Swap Rate]]%*YEARFRAC(AONIA[[#This Row],[Settle Date (T1)]],AONIA[[#This Row],[Maturity Date (T2)]],DayCount_AUD),"")</f>
        <v/>
      </c>
      <c r="CF25" s="150" t="str" cm="1">
        <f t="array" ref="CF25">IF(AONIA[[#This Row],[Analytical Solve]],_xlfn.IFS(AONIA[[#This Row],[Settle Date (T1)]]=CurveDate,1,TRUE,_xlfn.XLOOKUP(AONIA[[#This Row],[Settle Date (T1)]],AONIA[Maturity Date (T2)],AONIA[DF(T2)])),"")</f>
        <v/>
      </c>
      <c r="CG25" s="346" t="str">
        <f>IF(AONIA[[#This Row],[Analytical Solve]],AONIA[[#This Row],[DF(T1)]]/AONIA[[#This Row],[1+r𝛿]],"")</f>
        <v/>
      </c>
      <c r="CH25" s="46">
        <f>IF(AONIA[[#This Row],[Numerical Solve]],SUM(AONIA[[#Headers],[Flag]]:AONIA[[#This Row],[Flag]]),0)</f>
        <v>2</v>
      </c>
      <c r="CI25" s="183">
        <v>0.88062951172171089</v>
      </c>
    </row>
    <row r="26" spans="2:105">
      <c r="B26" s="192" t="s">
        <v>198</v>
      </c>
      <c r="C26" s="329">
        <v>13</v>
      </c>
      <c r="D26"/>
      <c r="AK26" s="148"/>
      <c r="AL26" s="148"/>
      <c r="AW26" s="2" t="s">
        <v>15</v>
      </c>
      <c r="AX26" s="40">
        <v>-8</v>
      </c>
      <c r="AY26" s="178">
        <f>IF(BBSW1M[[#This Row],[Numerical Solve]],BBSW1M[[#This Row],[Maturity Date, T2]],"")</f>
        <v>46569</v>
      </c>
      <c r="AZ26" s="177" cm="1">
        <f t="array" ref="AZ26">IF(BBSW1M[[#This Row],[Numerical Solve]],Linterp(_xlfn.ANCHORARRAY(Curves!$L$4),_xlfn.ANCHORARRAY(Curves!$O$4),BBSW1M[[#This Row],[Maturity]]),"")</f>
        <v>0.87665637876739955</v>
      </c>
      <c r="BA26" s="179">
        <f>IF(BBSW1M[[#This Row],[Numerical Solve]],-1*LN(BBSW1M[[#This Row],[Solved DF]])/YEARFRAC(CurveDate,BBSW1M[[#This Row],[Maturity Date, T2]],DCB_CCZR),"")</f>
        <v>4.3760168392228307E-2</v>
      </c>
      <c r="BB26" s="175">
        <f>_xlfn.XLOOKUP(BBSW1M[[#This Row],[Tenor]],BBSW3MSwaps[Tenor],BBSW3MSwaps[Effective Date, T1])</f>
        <v>45474</v>
      </c>
      <c r="BC26" s="175">
        <f>_xlfn.XLOOKUP(BBSW1M[[#This Row],[Tenor]],BBSW3MSwaps[Tenor],BBSW3MSwaps[Maturity Date, T2])</f>
        <v>46569</v>
      </c>
      <c r="BD26" s="41" t="b">
        <f>BBSW1M[[#This Row],[Basis Spread]]&lt;&gt;""</f>
        <v>1</v>
      </c>
      <c r="BE26" s="176">
        <f>BBSW1M[[#This Row],[Numerical Solve]]*1</f>
        <v>1</v>
      </c>
      <c r="BF26" s="176">
        <f>IF(BBSW1M[[#This Row],[Numerical Solve]],SUM(BBSW1M[[#Headers],[Flag]]:BBSW1M[[#This Row],[Flag]]),0)</f>
        <v>3</v>
      </c>
      <c r="BG26" s="113">
        <v>0.87665637876739955</v>
      </c>
      <c r="BN26" s="334" t="s">
        <v>14</v>
      </c>
      <c r="BO26" s="333">
        <v>4.3</v>
      </c>
      <c r="BP26" s="115">
        <f>IF(AONIA[[#This Row],[Valid]],AONIA[[#This Row],[Maturity Date (T2)]],"")</f>
        <v>46937</v>
      </c>
      <c r="BQ26" s="142" cm="1">
        <f t="array" ref="BQ26">IF(AONIA[[#This Row],[Valid]],Linterp(_xlfn.ANCHORARRAY(Curves!$G$4),_xlfn.ANCHORARRAY(Curves!$J$4),AONIA[[#This Row],[Maturity]],-1,TRUE),"")</f>
        <v>0.84441852417621899</v>
      </c>
      <c r="BR26" s="143">
        <f>IF(AONIA[[#This Row],[Valid]],-1*LN(AONIA[[#This Row],[DF]])/YEARFRAC(CurveDate,AONIA[[#This Row],[Maturity]],DCB_CCZR),"")</f>
        <v>4.210372737576585E-2</v>
      </c>
      <c r="BS26" s="343" t="b">
        <v>1</v>
      </c>
      <c r="BT26" s="110">
        <f>IF(AONIA[[#This Row],[Has Settle Delay]],SettlementDelayAUD,0)</f>
        <v>1</v>
      </c>
      <c r="BU26" s="35">
        <f>WORKDAY(CurveDate,AONIA[[#This Row],[Settle Delay]],Holidays_NSWPublic)</f>
        <v>45474</v>
      </c>
      <c r="BV26" s="8">
        <v>4</v>
      </c>
      <c r="BW26" s="8" t="s">
        <v>1</v>
      </c>
      <c r="BX26" s="35" cm="1">
        <f t="array" ref="BX2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46937</v>
      </c>
      <c r="BY26" s="47">
        <f>WORKDAY(AONIA[[#This Row],[Maturity Date (T2)]],OISPaymentDelay,Holidays_NSWPublic)</f>
        <v>46939</v>
      </c>
      <c r="BZ26" s="41" t="b">
        <f>AONIA[[#This Row],[Par Swap Rate]]&lt;&gt;""</f>
        <v>1</v>
      </c>
      <c r="CA26" s="28" t="b">
        <v>0</v>
      </c>
      <c r="CB26" s="28" t="b">
        <f>AND(AONIA[[#This Row],[Valid]],AONIA[[#This Row],[Zero-coupon?]])</f>
        <v>0</v>
      </c>
      <c r="CC26" s="28" t="b">
        <f>AND(AONIA[[#This Row],[Valid]],NOT(AONIA[[#This Row],[Analytical Solve]]))</f>
        <v>1</v>
      </c>
      <c r="CD26" s="312">
        <f>AONIA[[#This Row],[Numerical Solve]]*1</f>
        <v>1</v>
      </c>
      <c r="CE26" s="153" t="str">
        <f>IF(AONIA[[#This Row],[Analytical Solve]],1+AONIA[[#This Row],[Par Swap Rate]]%*YEARFRAC(AONIA[[#This Row],[Settle Date (T1)]],AONIA[[#This Row],[Maturity Date (T2)]],DayCount_AUD),"")</f>
        <v/>
      </c>
      <c r="CF26" s="150" t="str" cm="1">
        <f t="array" ref="CF26">IF(AONIA[[#This Row],[Analytical Solve]],_xlfn.IFS(AONIA[[#This Row],[Settle Date (T1)]]=CurveDate,1,TRUE,_xlfn.XLOOKUP(AONIA[[#This Row],[Settle Date (T1)]],AONIA[Maturity Date (T2)],AONIA[DF(T2)])),"")</f>
        <v/>
      </c>
      <c r="CG26" s="346" t="str">
        <f>IF(AONIA[[#This Row],[Analytical Solve]],AONIA[[#This Row],[DF(T1)]]/AONIA[[#This Row],[1+r𝛿]],"")</f>
        <v/>
      </c>
      <c r="CH26" s="46">
        <f>IF(AONIA[[#This Row],[Numerical Solve]],SUM(AONIA[[#Headers],[Flag]]:AONIA[[#This Row],[Flag]]),0)</f>
        <v>3</v>
      </c>
      <c r="CI26" s="183">
        <v>0.84422373301808762</v>
      </c>
    </row>
    <row r="27" spans="2:105">
      <c r="B27" s="193" t="s">
        <v>232</v>
      </c>
      <c r="C27" s="196">
        <f>QuoteLeg!F2</f>
        <v>-24298.709771625698</v>
      </c>
      <c r="AK27" s="148"/>
      <c r="AL27" s="148"/>
      <c r="AN27" s="3"/>
      <c r="AW27" s="2" t="s">
        <v>14</v>
      </c>
      <c r="AX27" s="40">
        <v>-8</v>
      </c>
      <c r="AY27" s="178">
        <f>IF(BBSW1M[[#This Row],[Numerical Solve]],BBSW1M[[#This Row],[Maturity Date, T2]],"")</f>
        <v>46937</v>
      </c>
      <c r="AZ27" s="177" cm="1">
        <f t="array" ref="AZ27">IF(BBSW1M[[#This Row],[Numerical Solve]],Linterp(_xlfn.ANCHORARRAY(Curves!$L$4),_xlfn.ANCHORARRAY(Curves!$O$4),BBSW1M[[#This Row],[Maturity]]),"")</f>
        <v>0.8395314442426709</v>
      </c>
      <c r="BA27" s="179">
        <f>IF(BBSW1M[[#This Row],[Numerical Solve]],-1*LN(BBSW1M[[#This Row],[Solved DF]])/YEARFRAC(CurveDate,BBSW1M[[#This Row],[Maturity Date, T2]],DCB_CCZR),"")</f>
        <v>4.3548868857934492E-2</v>
      </c>
      <c r="BB27" s="175">
        <f>_xlfn.XLOOKUP(BBSW1M[[#This Row],[Tenor]],BBSW3MSwaps[Tenor],BBSW3MSwaps[Effective Date, T1])</f>
        <v>45474</v>
      </c>
      <c r="BC27" s="175">
        <f>_xlfn.XLOOKUP(BBSW1M[[#This Row],[Tenor]],BBSW3MSwaps[Tenor],BBSW3MSwaps[Maturity Date, T2])</f>
        <v>46937</v>
      </c>
      <c r="BD27" s="41" t="b">
        <f>BBSW1M[[#This Row],[Basis Spread]]&lt;&gt;""</f>
        <v>1</v>
      </c>
      <c r="BE27" s="176">
        <f>BBSW1M[[#This Row],[Numerical Solve]]*1</f>
        <v>1</v>
      </c>
      <c r="BF27" s="176">
        <f>IF(BBSW1M[[#This Row],[Numerical Solve]],SUM(BBSW1M[[#Headers],[Flag]]:BBSW1M[[#This Row],[Flag]]),0)</f>
        <v>4</v>
      </c>
      <c r="BG27" s="113">
        <v>0.8395314442426709</v>
      </c>
      <c r="BN27" s="334" t="s">
        <v>13</v>
      </c>
      <c r="BO27" s="333">
        <v>4.3</v>
      </c>
      <c r="BP27" s="115">
        <f>IF(AONIA[[#This Row],[Valid]],AONIA[[#This Row],[Maturity Date (T2)]],"")</f>
        <v>47301</v>
      </c>
      <c r="BQ27" s="142" cm="1">
        <f t="array" ref="BQ27">IF(AONIA[[#This Row],[Valid]],Linterp(_xlfn.ANCHORARRAY(Curves!$G$4),_xlfn.ANCHORARRAY(Curves!$J$4),AONIA[[#This Row],[Maturity]],-1,TRUE),"")</f>
        <v>0.80970112606039935</v>
      </c>
      <c r="BR27" s="143">
        <f>IF(AONIA[[#This Row],[Valid]],-1*LN(AONIA[[#This Row],[DF]])/YEARFRAC(CurveDate,AONIA[[#This Row],[Maturity]],DCB_CCZR),"")</f>
        <v>4.2102666145325367E-2</v>
      </c>
      <c r="BS27" s="343" t="b">
        <v>1</v>
      </c>
      <c r="BT27" s="110">
        <f>IF(AONIA[[#This Row],[Has Settle Delay]],SettlementDelayAUD,0)</f>
        <v>1</v>
      </c>
      <c r="BU27" s="35">
        <f>WORKDAY(CurveDate,AONIA[[#This Row],[Settle Delay]],Holidays_NSWPublic)</f>
        <v>45474</v>
      </c>
      <c r="BV27" s="8">
        <v>5</v>
      </c>
      <c r="BW27" s="8" t="s">
        <v>1</v>
      </c>
      <c r="BX27" s="35" cm="1">
        <f t="array" ref="BX2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47301</v>
      </c>
      <c r="BY27" s="47">
        <f>WORKDAY(AONIA[[#This Row],[Maturity Date (T2)]],OISPaymentDelay,Holidays_NSWPublic)</f>
        <v>47303</v>
      </c>
      <c r="BZ27" s="41" t="b">
        <f>AONIA[[#This Row],[Par Swap Rate]]&lt;&gt;""</f>
        <v>1</v>
      </c>
      <c r="CA27" s="28" t="b">
        <v>0</v>
      </c>
      <c r="CB27" s="28" t="b">
        <f>AND(AONIA[[#This Row],[Valid]],AONIA[[#This Row],[Zero-coupon?]])</f>
        <v>0</v>
      </c>
      <c r="CC27" s="28" t="b">
        <f>AND(AONIA[[#This Row],[Valid]],NOT(AONIA[[#This Row],[Analytical Solve]]))</f>
        <v>1</v>
      </c>
      <c r="CD27" s="312">
        <f>AONIA[[#This Row],[Numerical Solve]]*1</f>
        <v>1</v>
      </c>
      <c r="CE27" s="153" t="str">
        <f>IF(AONIA[[#This Row],[Analytical Solve]],1+AONIA[[#This Row],[Par Swap Rate]]%*YEARFRAC(AONIA[[#This Row],[Settle Date (T1)]],AONIA[[#This Row],[Maturity Date (T2)]],DayCount_AUD),"")</f>
        <v/>
      </c>
      <c r="CF27" s="150" t="str" cm="1">
        <f t="array" ref="CF27">IF(AONIA[[#This Row],[Analytical Solve]],_xlfn.IFS(AONIA[[#This Row],[Settle Date (T1)]]=CurveDate,1,TRUE,_xlfn.XLOOKUP(AONIA[[#This Row],[Settle Date (T1)]],AONIA[Maturity Date (T2)],AONIA[DF(T2)])),"")</f>
        <v/>
      </c>
      <c r="CG27" s="346" t="str">
        <f>IF(AONIA[[#This Row],[Analytical Solve]],AONIA[[#This Row],[DF(T1)]]/AONIA[[#This Row],[1+r𝛿]],"")</f>
        <v/>
      </c>
      <c r="CH27" s="46">
        <f>IF(AONIA[[#This Row],[Numerical Solve]],SUM(AONIA[[#Headers],[Flag]]:AONIA[[#This Row],[Flag]]),0)</f>
        <v>4</v>
      </c>
      <c r="CI27" s="183">
        <v>0.80951436902660456</v>
      </c>
    </row>
    <row r="28" spans="2:105">
      <c r="B28" s="193" t="s">
        <v>233</v>
      </c>
      <c r="C28" s="196">
        <f>ReferenceLeg!F2</f>
        <v>-24298.709770925343</v>
      </c>
      <c r="AK28" s="148"/>
      <c r="AL28" s="148"/>
      <c r="AW28" s="2" t="s">
        <v>13</v>
      </c>
      <c r="AX28" s="40">
        <v>-8</v>
      </c>
      <c r="AY28" s="178">
        <f>IF(BBSW1M[[#This Row],[Numerical Solve]],BBSW1M[[#This Row],[Maturity Date, T2]],"")</f>
        <v>47301</v>
      </c>
      <c r="AZ28" s="177" cm="1">
        <f t="array" ref="AZ28">IF(BBSW1M[[#This Row],[Numerical Solve]],Linterp(_xlfn.ANCHORARRAY(Curves!$L$4),_xlfn.ANCHORARRAY(Curves!$O$4),BBSW1M[[#This Row],[Maturity]]),"")</f>
        <v>0.80372552588103319</v>
      </c>
      <c r="BA28" s="179">
        <f>IF(BBSW1M[[#This Row],[Numerical Solve]],-1*LN(BBSW1M[[#This Row],[Solved DF]])/YEARFRAC(CurveDate,BBSW1M[[#This Row],[Maturity Date, T2]],DCB_CCZR),"")</f>
        <v>4.3580093245987411E-2</v>
      </c>
      <c r="BB28" s="175">
        <f>_xlfn.XLOOKUP(BBSW1M[[#This Row],[Tenor]],BBSW3MSwaps[Tenor],BBSW3MSwaps[Effective Date, T1])</f>
        <v>45474</v>
      </c>
      <c r="BC28" s="175">
        <f>_xlfn.XLOOKUP(BBSW1M[[#This Row],[Tenor]],BBSW3MSwaps[Tenor],BBSW3MSwaps[Maturity Date, T2])</f>
        <v>47301</v>
      </c>
      <c r="BD28" s="41" t="b">
        <f>BBSW1M[[#This Row],[Basis Spread]]&lt;&gt;""</f>
        <v>1</v>
      </c>
      <c r="BE28" s="176">
        <f>BBSW1M[[#This Row],[Numerical Solve]]*1</f>
        <v>1</v>
      </c>
      <c r="BF28" s="176">
        <f>IF(BBSW1M[[#This Row],[Numerical Solve]],SUM(BBSW1M[[#Headers],[Flag]]:BBSW1M[[#This Row],[Flag]]),0)</f>
        <v>5</v>
      </c>
      <c r="BG28" s="113">
        <v>0.80372552588103319</v>
      </c>
      <c r="BN28" s="334" t="s">
        <v>12</v>
      </c>
      <c r="BO28" s="333">
        <v>4.3</v>
      </c>
      <c r="BP28" s="115">
        <f>IF(AONIA[[#This Row],[Valid]],AONIA[[#This Row],[Maturity Date (T2)]],"")</f>
        <v>47665</v>
      </c>
      <c r="BQ28" s="142" cm="1">
        <f t="array" ref="BQ28">IF(AONIA[[#This Row],[Valid]],Linterp(_xlfn.ANCHORARRAY(Curves!$G$4),_xlfn.ANCHORARRAY(Curves!$J$4),AONIA[[#This Row],[Maturity]],-1,TRUE),"")</f>
        <v>0.77641149237694274</v>
      </c>
      <c r="BR28" s="143">
        <f>IF(AONIA[[#This Row],[Valid]],-1*LN(AONIA[[#This Row],[DF]])/YEARFRAC(CurveDate,AONIA[[#This Row],[Maturity]],DCB_CCZR),"")</f>
        <v>4.2101872546437727E-2</v>
      </c>
      <c r="BS28" s="343" t="b">
        <v>1</v>
      </c>
      <c r="BT28" s="110">
        <f>IF(AONIA[[#This Row],[Has Settle Delay]],SettlementDelayAUD,0)</f>
        <v>1</v>
      </c>
      <c r="BU28" s="35">
        <f>WORKDAY(CurveDate,AONIA[[#This Row],[Settle Delay]],Holidays_NSWPublic)</f>
        <v>45474</v>
      </c>
      <c r="BV28" s="8">
        <v>6</v>
      </c>
      <c r="BW28" s="8" t="s">
        <v>1</v>
      </c>
      <c r="BX28" s="35" cm="1">
        <f t="array" ref="BX2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47665</v>
      </c>
      <c r="BY28" s="47">
        <f>WORKDAY(AONIA[[#This Row],[Maturity Date (T2)]],OISPaymentDelay,Holidays_NSWPublic)</f>
        <v>47667</v>
      </c>
      <c r="BZ28" s="41" t="b">
        <f>AONIA[[#This Row],[Par Swap Rate]]&lt;&gt;""</f>
        <v>1</v>
      </c>
      <c r="CA28" s="28" t="b">
        <v>0</v>
      </c>
      <c r="CB28" s="28" t="b">
        <f>AND(AONIA[[#This Row],[Valid]],AONIA[[#This Row],[Zero-coupon?]])</f>
        <v>0</v>
      </c>
      <c r="CC28" s="28" t="b">
        <f>AND(AONIA[[#This Row],[Valid]],NOT(AONIA[[#This Row],[Analytical Solve]]))</f>
        <v>1</v>
      </c>
      <c r="CD28" s="312">
        <f>AONIA[[#This Row],[Numerical Solve]]*1</f>
        <v>1</v>
      </c>
      <c r="CE28" s="153" t="str">
        <f>IF(AONIA[[#This Row],[Analytical Solve]],1+AONIA[[#This Row],[Par Swap Rate]]%*YEARFRAC(AONIA[[#This Row],[Settle Date (T1)]],AONIA[[#This Row],[Maturity Date (T2)]],DayCount_AUD),"")</f>
        <v/>
      </c>
      <c r="CF28" s="150" t="str" cm="1">
        <f t="array" ref="CF28">IF(AONIA[[#This Row],[Analytical Solve]],_xlfn.IFS(AONIA[[#This Row],[Settle Date (T1)]]=CurveDate,1,TRUE,_xlfn.XLOOKUP(AONIA[[#This Row],[Settle Date (T1)]],AONIA[Maturity Date (T2)],AONIA[DF(T2)])),"")</f>
        <v/>
      </c>
      <c r="CG28" s="346" t="str">
        <f>IF(AONIA[[#This Row],[Analytical Solve]],AONIA[[#This Row],[DF(T1)]]/AONIA[[#This Row],[1+r𝛿]],"")</f>
        <v/>
      </c>
      <c r="CH28" s="46">
        <f>IF(AONIA[[#This Row],[Numerical Solve]],SUM(AONIA[[#Headers],[Flag]]:AONIA[[#This Row],[Flag]]),0)</f>
        <v>5</v>
      </c>
      <c r="CI28" s="183">
        <v>0.77623241561857836</v>
      </c>
      <c r="CM28" s="9"/>
      <c r="CO28" s="195"/>
    </row>
    <row r="29" spans="2:105">
      <c r="B29" s="194" t="s">
        <v>234</v>
      </c>
      <c r="C29" s="197">
        <f>(C27-C28)</f>
        <v>-7.0035457611083984E-7</v>
      </c>
      <c r="AK29" s="148"/>
      <c r="AL29" s="148"/>
      <c r="AW29" s="2" t="s">
        <v>12</v>
      </c>
      <c r="AX29" s="40"/>
      <c r="AY29" s="178" t="str">
        <f>IF(BBSW1M[[#This Row],[Numerical Solve]],BBSW1M[[#This Row],[Maturity Date, T2]],"")</f>
        <v/>
      </c>
      <c r="AZ29" s="177" t="str" cm="1">
        <f t="array" ref="AZ29">IF(BBSW1M[[#This Row],[Numerical Solve]],Linterp(_xlfn.ANCHORARRAY(Curves!$L$4),_xlfn.ANCHORARRAY(Curves!$O$4),BBSW1M[[#This Row],[Maturity]]),"")</f>
        <v/>
      </c>
      <c r="BA29" s="179" t="str">
        <f>IF(BBSW1M[[#This Row],[Numerical Solve]],-1*LN(BBSW1M[[#This Row],[Solved DF]])/YEARFRAC(CurveDate,BBSW1M[[#This Row],[Maturity Date, T2]],DCB_CCZR),"")</f>
        <v/>
      </c>
      <c r="BB29" s="175">
        <f>_xlfn.XLOOKUP(BBSW1M[[#This Row],[Tenor]],BBSW3MSwaps[Tenor],BBSW3MSwaps[Effective Date, T1])</f>
        <v>45474</v>
      </c>
      <c r="BC29" s="175">
        <f>_xlfn.XLOOKUP(BBSW1M[[#This Row],[Tenor]],BBSW3MSwaps[Tenor],BBSW3MSwaps[Maturity Date, T2])</f>
        <v>47665</v>
      </c>
      <c r="BD29" s="41" t="b">
        <f>BBSW1M[[#This Row],[Basis Spread]]&lt;&gt;""</f>
        <v>0</v>
      </c>
      <c r="BE29" s="176">
        <f>BBSW1M[[#This Row],[Numerical Solve]]*1</f>
        <v>0</v>
      </c>
      <c r="BF29" s="176">
        <f>IF(BBSW1M[[#This Row],[Numerical Solve]],SUM(BBSW1M[[#Headers],[Flag]]:BBSW1M[[#This Row],[Flag]]),0)</f>
        <v>0</v>
      </c>
      <c r="BG29" s="113"/>
      <c r="BN29" s="334" t="s">
        <v>11</v>
      </c>
      <c r="BO29" s="333">
        <v>4.3</v>
      </c>
      <c r="BP29" s="115">
        <f>IF(AONIA[[#This Row],[Valid]],AONIA[[#This Row],[Maturity Date (T2)]],"")</f>
        <v>48030</v>
      </c>
      <c r="BQ29" s="142" cm="1">
        <f t="array" ref="BQ29">IF(AONIA[[#This Row],[Valid]],Linterp(_xlfn.ANCHORARRAY(Curves!$G$4),_xlfn.ANCHORARRAY(Curves!$J$4),AONIA[[#This Row],[Maturity]],-1,TRUE),"")</f>
        <v>0.74440219786860373</v>
      </c>
      <c r="BR29" s="143">
        <f>IF(AONIA[[#This Row],[Valid]],-1*LN(AONIA[[#This Row],[DF]])/YEARFRAC(CurveDate,AONIA[[#This Row],[Maturity]],DCB_CCZR),"")</f>
        <v>4.2101773197999667E-2</v>
      </c>
      <c r="BS29" s="343" t="b">
        <v>1</v>
      </c>
      <c r="BT29" s="110">
        <f>IF(AONIA[[#This Row],[Has Settle Delay]],SettlementDelayAUD,0)</f>
        <v>1</v>
      </c>
      <c r="BU29" s="35">
        <f>WORKDAY(CurveDate,AONIA[[#This Row],[Settle Delay]],Holidays_NSWPublic)</f>
        <v>45474</v>
      </c>
      <c r="BV29" s="8">
        <v>7</v>
      </c>
      <c r="BW29" s="8" t="s">
        <v>1</v>
      </c>
      <c r="BX29" s="35" cm="1">
        <f t="array" ref="BX2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48030</v>
      </c>
      <c r="BY29" s="47">
        <f>WORKDAY(AONIA[[#This Row],[Maturity Date (T2)]],OISPaymentDelay,Holidays_NSWPublic)</f>
        <v>48032</v>
      </c>
      <c r="BZ29" s="41" t="b">
        <f>AONIA[[#This Row],[Par Swap Rate]]&lt;&gt;""</f>
        <v>1</v>
      </c>
      <c r="CA29" s="28" t="b">
        <v>0</v>
      </c>
      <c r="CB29" s="28" t="b">
        <f>AND(AONIA[[#This Row],[Valid]],AONIA[[#This Row],[Zero-coupon?]])</f>
        <v>0</v>
      </c>
      <c r="CC29" s="28" t="b">
        <f>AND(AONIA[[#This Row],[Valid]],NOT(AONIA[[#This Row],[Analytical Solve]]))</f>
        <v>1</v>
      </c>
      <c r="CD29" s="312">
        <f>AONIA[[#This Row],[Numerical Solve]]*1</f>
        <v>1</v>
      </c>
      <c r="CE29" s="153" t="str">
        <f>IF(AONIA[[#This Row],[Analytical Solve]],1+AONIA[[#This Row],[Par Swap Rate]]%*YEARFRAC(AONIA[[#This Row],[Settle Date (T1)]],AONIA[[#This Row],[Maturity Date (T2)]],DayCount_AUD),"")</f>
        <v/>
      </c>
      <c r="CF29" s="150" t="str" cm="1">
        <f t="array" ref="CF29">IF(AONIA[[#This Row],[Analytical Solve]],_xlfn.IFS(AONIA[[#This Row],[Settle Date (T1)]]=CurveDate,1,TRUE,_xlfn.XLOOKUP(AONIA[[#This Row],[Settle Date (T1)]],AONIA[Maturity Date (T2)],AONIA[DF(T2)])),"")</f>
        <v/>
      </c>
      <c r="CG29" s="346" t="str">
        <f>IF(AONIA[[#This Row],[Analytical Solve]],AONIA[[#This Row],[DF(T1)]]/AONIA[[#This Row],[1+r𝛿]],"")</f>
        <v/>
      </c>
      <c r="CH29" s="46">
        <f>IF(AONIA[[#This Row],[Numerical Solve]],SUM(AONIA[[#Headers],[Flag]]:AONIA[[#This Row],[Flag]]),0)</f>
        <v>6</v>
      </c>
      <c r="CI29" s="183">
        <v>0.7442304904341055</v>
      </c>
    </row>
    <row r="30" spans="2:105">
      <c r="AK30" s="148"/>
      <c r="AL30" s="148"/>
      <c r="AW30" s="2" t="s">
        <v>11</v>
      </c>
      <c r="AX30" s="40">
        <v>-8</v>
      </c>
      <c r="AY30" s="178">
        <f>IF(BBSW1M[[#This Row],[Numerical Solve]],BBSW1M[[#This Row],[Maturity Date, T2]],"")</f>
        <v>48030</v>
      </c>
      <c r="AZ30" s="177" cm="1">
        <f t="array" ref="AZ30">IF(BBSW1M[[#This Row],[Numerical Solve]],Linterp(_xlfn.ANCHORARRAY(Curves!$L$4),_xlfn.ANCHORARRAY(Curves!$O$4),BBSW1M[[#This Row],[Maturity]]),"")</f>
        <v>0.73654149233178967</v>
      </c>
      <c r="BA30" s="179">
        <f>IF(BBSW1M[[#This Row],[Numerical Solve]],-1*LN(BBSW1M[[#This Row],[Solved DF]])/YEARFRAC(CurveDate,BBSW1M[[#This Row],[Maturity Date, T2]],DCB_CCZR),"")</f>
        <v>4.3615960622565626E-2</v>
      </c>
      <c r="BB30" s="175">
        <f>_xlfn.XLOOKUP(BBSW1M[[#This Row],[Tenor]],BBSW3MSwaps[Tenor],BBSW3MSwaps[Effective Date, T1])</f>
        <v>45474</v>
      </c>
      <c r="BC30" s="175">
        <f>_xlfn.XLOOKUP(BBSW1M[[#This Row],[Tenor]],BBSW3MSwaps[Tenor],BBSW3MSwaps[Maturity Date, T2])</f>
        <v>48030</v>
      </c>
      <c r="BD30" s="41" t="b">
        <f>BBSW1M[[#This Row],[Basis Spread]]&lt;&gt;""</f>
        <v>1</v>
      </c>
      <c r="BE30" s="176">
        <f>BBSW1M[[#This Row],[Numerical Solve]]*1</f>
        <v>1</v>
      </c>
      <c r="BF30" s="176">
        <f>IF(BBSW1M[[#This Row],[Numerical Solve]],SUM(BBSW1M[[#Headers],[Flag]]:BBSW1M[[#This Row],[Flag]]),0)</f>
        <v>6</v>
      </c>
      <c r="BG30" s="113">
        <v>0.73654149233178967</v>
      </c>
      <c r="BN30" s="334" t="s">
        <v>10</v>
      </c>
      <c r="BO30" s="333">
        <v>4.3</v>
      </c>
      <c r="BP30" s="115">
        <f>IF(AONIA[[#This Row],[Valid]],AONIA[[#This Row],[Maturity Date (T2)]],"")</f>
        <v>48396</v>
      </c>
      <c r="BQ30" s="142" cm="1">
        <f t="array" ref="BQ30">IF(AONIA[[#This Row],[Valid]],Linterp(_xlfn.ANCHORARRAY(Curves!$G$4),_xlfn.ANCHORARRAY(Curves!$J$4),AONIA[[#This Row],[Maturity]],-1,TRUE),"")</f>
        <v>0.71363195221452436</v>
      </c>
      <c r="BR30" s="143">
        <f>IF(AONIA[[#This Row],[Valid]],-1*LN(AONIA[[#This Row],[DF]])/YEARFRAC(CurveDate,AONIA[[#This Row],[Maturity]],DCB_CCZR),"")</f>
        <v>4.2101398892712423E-2</v>
      </c>
      <c r="BS30" s="343" t="b">
        <v>1</v>
      </c>
      <c r="BT30" s="110">
        <f>IF(AONIA[[#This Row],[Has Settle Delay]],SettlementDelayAUD,0)</f>
        <v>1</v>
      </c>
      <c r="BU30" s="35">
        <f>WORKDAY(CurveDate,AONIA[[#This Row],[Settle Delay]],Holidays_NSWPublic)</f>
        <v>45474</v>
      </c>
      <c r="BV30" s="8">
        <v>8</v>
      </c>
      <c r="BW30" s="8" t="s">
        <v>1</v>
      </c>
      <c r="BX30" s="35" cm="1">
        <f t="array" ref="BX3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48396</v>
      </c>
      <c r="BY30" s="47">
        <f>WORKDAY(AONIA[[#This Row],[Maturity Date (T2)]],OISPaymentDelay,Holidays_NSWPublic)</f>
        <v>48400</v>
      </c>
      <c r="BZ30" s="41" t="b">
        <f>AONIA[[#This Row],[Par Swap Rate]]&lt;&gt;""</f>
        <v>1</v>
      </c>
      <c r="CA30" s="28" t="b">
        <v>0</v>
      </c>
      <c r="CB30" s="28" t="b">
        <f>AND(AONIA[[#This Row],[Valid]],AONIA[[#This Row],[Zero-coupon?]])</f>
        <v>0</v>
      </c>
      <c r="CC30" s="28" t="b">
        <f>AND(AONIA[[#This Row],[Valid]],NOT(AONIA[[#This Row],[Analytical Solve]]))</f>
        <v>1</v>
      </c>
      <c r="CD30" s="312">
        <f>AONIA[[#This Row],[Numerical Solve]]*1</f>
        <v>1</v>
      </c>
      <c r="CE30" s="153" t="str">
        <f>IF(AONIA[[#This Row],[Analytical Solve]],1+AONIA[[#This Row],[Par Swap Rate]]%*YEARFRAC(AONIA[[#This Row],[Settle Date (T1)]],AONIA[[#This Row],[Maturity Date (T2)]],DayCount_AUD),"")</f>
        <v/>
      </c>
      <c r="CF30" s="150" t="str" cm="1">
        <f t="array" ref="CF30">IF(AONIA[[#This Row],[Analytical Solve]],_xlfn.IFS(AONIA[[#This Row],[Settle Date (T1)]]=CurveDate,1,TRUE,_xlfn.XLOOKUP(AONIA[[#This Row],[Settle Date (T1)]],AONIA[Maturity Date (T2)],AONIA[DF(T2)])),"")</f>
        <v/>
      </c>
      <c r="CG30" s="346" t="str">
        <f>IF(AONIA[[#This Row],[Analytical Solve]],AONIA[[#This Row],[DF(T1)]]/AONIA[[#This Row],[1+r𝛿]],"")</f>
        <v/>
      </c>
      <c r="CH30" s="46">
        <f>IF(AONIA[[#This Row],[Numerical Solve]],SUM(AONIA[[#Headers],[Flag]]:AONIA[[#This Row],[Flag]]),0)</f>
        <v>7</v>
      </c>
      <c r="CI30" s="183">
        <v>0.71330278950554171</v>
      </c>
    </row>
    <row r="31" spans="2:105">
      <c r="AK31" s="148"/>
      <c r="AL31" s="148"/>
      <c r="AW31" s="2" t="s">
        <v>10</v>
      </c>
      <c r="AX31" s="40"/>
      <c r="AY31" s="178" t="str">
        <f>IF(BBSW1M[[#This Row],[Numerical Solve]],BBSW1M[[#This Row],[Maturity Date, T2]],"")</f>
        <v/>
      </c>
      <c r="AZ31" s="177" t="str" cm="1">
        <f t="array" ref="AZ31">IF(BBSW1M[[#This Row],[Numerical Solve]],Linterp(_xlfn.ANCHORARRAY(Curves!$L$4),_xlfn.ANCHORARRAY(Curves!$O$4),BBSW1M[[#This Row],[Maturity]]),"")</f>
        <v/>
      </c>
      <c r="BA31" s="179" t="str">
        <f>IF(BBSW1M[[#This Row],[Numerical Solve]],-1*LN(BBSW1M[[#This Row],[Solved DF]])/YEARFRAC(CurveDate,BBSW1M[[#This Row],[Maturity Date, T2]],DCB_CCZR),"")</f>
        <v/>
      </c>
      <c r="BB31" s="175">
        <f>_xlfn.XLOOKUP(BBSW1M[[#This Row],[Tenor]],BBSW3MSwaps[Tenor],BBSW3MSwaps[Effective Date, T1])</f>
        <v>45474</v>
      </c>
      <c r="BC31" s="175">
        <f>_xlfn.XLOOKUP(BBSW1M[[#This Row],[Tenor]],BBSW3MSwaps[Tenor],BBSW3MSwaps[Maturity Date, T2])</f>
        <v>48396</v>
      </c>
      <c r="BD31" s="41" t="b">
        <f>BBSW1M[[#This Row],[Basis Spread]]&lt;&gt;""</f>
        <v>0</v>
      </c>
      <c r="BE31" s="176">
        <f>BBSW1M[[#This Row],[Numerical Solve]]*1</f>
        <v>0</v>
      </c>
      <c r="BF31" s="176">
        <f>IF(BBSW1M[[#This Row],[Numerical Solve]],SUM(BBSW1M[[#Headers],[Flag]]:BBSW1M[[#This Row],[Flag]]),0)</f>
        <v>0</v>
      </c>
      <c r="BG31" s="113"/>
      <c r="BN31" s="334" t="s">
        <v>9</v>
      </c>
      <c r="BO31" s="333">
        <v>4.3</v>
      </c>
      <c r="BP31" s="115">
        <f>IF(AONIA[[#This Row],[Valid]],AONIA[[#This Row],[Maturity Date (T2)]],"")</f>
        <v>48761</v>
      </c>
      <c r="BQ31" s="142" cm="1">
        <f t="array" ref="BQ31">IF(AONIA[[#This Row],[Valid]],Linterp(_xlfn.ANCHORARRAY(Curves!$G$4),_xlfn.ANCHORARRAY(Curves!$J$4),AONIA[[#This Row],[Maturity]],-1,TRUE),"")</f>
        <v>0.68421088419359866</v>
      </c>
      <c r="BR31" s="143">
        <f>IF(AONIA[[#This Row],[Valid]],-1*LN(AONIA[[#This Row],[DF]])/YEARFRAC(CurveDate,AONIA[[#This Row],[Maturity]],DCB_CCZR),"")</f>
        <v>4.2101374166654444E-2</v>
      </c>
      <c r="BS31" s="343" t="b">
        <v>1</v>
      </c>
      <c r="BT31" s="110">
        <f>IF(AONIA[[#This Row],[Has Settle Delay]],SettlementDelayAUD,0)</f>
        <v>1</v>
      </c>
      <c r="BU31" s="35">
        <f>WORKDAY(CurveDate,AONIA[[#This Row],[Settle Delay]],Holidays_NSWPublic)</f>
        <v>45474</v>
      </c>
      <c r="BV31" s="8">
        <v>9</v>
      </c>
      <c r="BW31" s="8" t="s">
        <v>1</v>
      </c>
      <c r="BX31" s="35" cm="1">
        <f t="array" ref="BX3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48761</v>
      </c>
      <c r="BY31" s="47">
        <f>WORKDAY(AONIA[[#This Row],[Maturity Date (T2)]],OISPaymentDelay,Holidays_NSWPublic)</f>
        <v>48765</v>
      </c>
      <c r="BZ31" s="41" t="b">
        <f>AONIA[[#This Row],[Par Swap Rate]]&lt;&gt;""</f>
        <v>1</v>
      </c>
      <c r="CA31" s="28" t="b">
        <v>0</v>
      </c>
      <c r="CB31" s="28" t="b">
        <f>AND(AONIA[[#This Row],[Valid]],AONIA[[#This Row],[Zero-coupon?]])</f>
        <v>0</v>
      </c>
      <c r="CC31" s="28" t="b">
        <f>AND(AONIA[[#This Row],[Valid]],NOT(AONIA[[#This Row],[Analytical Solve]]))</f>
        <v>1</v>
      </c>
      <c r="CD31" s="312">
        <f>AONIA[[#This Row],[Numerical Solve]]*1</f>
        <v>1</v>
      </c>
      <c r="CE31" s="153" t="str">
        <f>IF(AONIA[[#This Row],[Analytical Solve]],1+AONIA[[#This Row],[Par Swap Rate]]%*YEARFRAC(AONIA[[#This Row],[Settle Date (T1)]],AONIA[[#This Row],[Maturity Date (T2)]],DayCount_AUD),"")</f>
        <v/>
      </c>
      <c r="CF31" s="150" t="str" cm="1">
        <f t="array" ref="CF31">IF(AONIA[[#This Row],[Analytical Solve]],_xlfn.IFS(AONIA[[#This Row],[Settle Date (T1)]]=CurveDate,1,TRUE,_xlfn.XLOOKUP(AONIA[[#This Row],[Settle Date (T1)]],AONIA[Maturity Date (T2)],AONIA[DF(T2)])),"")</f>
        <v/>
      </c>
      <c r="CG31" s="346" t="str">
        <f>IF(AONIA[[#This Row],[Analytical Solve]],AONIA[[#This Row],[DF(T1)]]/AONIA[[#This Row],[1+r𝛿]],"")</f>
        <v/>
      </c>
      <c r="CH31" s="46">
        <f>IF(AONIA[[#This Row],[Numerical Solve]],SUM(AONIA[[#Headers],[Flag]]:AONIA[[#This Row],[Flag]]),0)</f>
        <v>8</v>
      </c>
      <c r="CI31" s="183">
        <v>0.6838952737078996</v>
      </c>
    </row>
    <row r="32" spans="2:105">
      <c r="D32" s="130"/>
      <c r="AK32" s="148"/>
      <c r="AL32" s="148"/>
      <c r="AW32" s="2" t="s">
        <v>9</v>
      </c>
      <c r="AX32" s="40"/>
      <c r="AY32" s="178" t="str">
        <f>IF(BBSW1M[[#This Row],[Numerical Solve]],BBSW1M[[#This Row],[Maturity Date, T2]],"")</f>
        <v/>
      </c>
      <c r="AZ32" s="177" t="str" cm="1">
        <f t="array" ref="AZ32">IF(BBSW1M[[#This Row],[Numerical Solve]],Linterp(_xlfn.ANCHORARRAY(Curves!$L$4),_xlfn.ANCHORARRAY(Curves!$O$4),BBSW1M[[#This Row],[Maturity]]),"")</f>
        <v/>
      </c>
      <c r="BA32" s="179" t="str">
        <f>IF(BBSW1M[[#This Row],[Numerical Solve]],-1*LN(BBSW1M[[#This Row],[Solved DF]])/YEARFRAC(CurveDate,BBSW1M[[#This Row],[Maturity Date, T2]],DCB_CCZR),"")</f>
        <v/>
      </c>
      <c r="BB32" s="175">
        <f>_xlfn.XLOOKUP(BBSW1M[[#This Row],[Tenor]],BBSW3MSwaps[Tenor],BBSW3MSwaps[Effective Date, T1])</f>
        <v>45474</v>
      </c>
      <c r="BC32" s="175">
        <f>_xlfn.XLOOKUP(BBSW1M[[#This Row],[Tenor]],BBSW3MSwaps[Tenor],BBSW3MSwaps[Maturity Date, T2])</f>
        <v>48761</v>
      </c>
      <c r="BD32" s="41" t="b">
        <f>BBSW1M[[#This Row],[Basis Spread]]&lt;&gt;""</f>
        <v>0</v>
      </c>
      <c r="BE32" s="176">
        <f>BBSW1M[[#This Row],[Numerical Solve]]*1</f>
        <v>0</v>
      </c>
      <c r="BF32" s="176">
        <f>IF(BBSW1M[[#This Row],[Numerical Solve]],SUM(BBSW1M[[#Headers],[Flag]]:BBSW1M[[#This Row],[Flag]]),0)</f>
        <v>0</v>
      </c>
      <c r="BG32" s="113"/>
      <c r="BN32" s="334" t="s">
        <v>8</v>
      </c>
      <c r="BO32" s="333">
        <v>4.3</v>
      </c>
      <c r="BP32" s="115">
        <f>IF(AONIA[[#This Row],[Valid]],AONIA[[#This Row],[Maturity Date (T2)]],"")</f>
        <v>49128</v>
      </c>
      <c r="BQ32" s="142" cm="1">
        <f t="array" ref="BQ32">IF(AONIA[[#This Row],[Valid]],Linterp(_xlfn.ANCHORARRAY(Curves!$G$4),_xlfn.ANCHORARRAY(Curves!$J$4),AONIA[[#This Row],[Maturity]],-1,TRUE),"")</f>
        <v>0.65584690363912013</v>
      </c>
      <c r="BR32" s="143">
        <f>IF(AONIA[[#This Row],[Valid]],-1*LN(AONIA[[#This Row],[DF]])/YEARFRAC(CurveDate,AONIA[[#This Row],[Maturity]],DCB_CCZR),"")</f>
        <v>4.2102045937653876E-2</v>
      </c>
      <c r="BS32" s="343" t="b">
        <v>1</v>
      </c>
      <c r="BT32" s="110">
        <f>IF(AONIA[[#This Row],[Has Settle Delay]],SettlementDelayAUD,0)</f>
        <v>1</v>
      </c>
      <c r="BU32" s="35">
        <f>WORKDAY(CurveDate,AONIA[[#This Row],[Settle Delay]],Holidays_NSWPublic)</f>
        <v>45474</v>
      </c>
      <c r="BV32" s="8">
        <v>10</v>
      </c>
      <c r="BW32" s="8" t="s">
        <v>1</v>
      </c>
      <c r="BX32" s="35" cm="1">
        <f t="array" ref="BX3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49128</v>
      </c>
      <c r="BY32" s="47">
        <f>WORKDAY(AONIA[[#This Row],[Maturity Date (T2)]],OISPaymentDelay,Holidays_NSWPublic)</f>
        <v>49130</v>
      </c>
      <c r="BZ32" s="41" t="b">
        <f>AONIA[[#This Row],[Par Swap Rate]]&lt;&gt;""</f>
        <v>1</v>
      </c>
      <c r="CA32" s="28" t="b">
        <v>0</v>
      </c>
      <c r="CB32" s="28" t="b">
        <f>AND(AONIA[[#This Row],[Valid]],AONIA[[#This Row],[Zero-coupon?]])</f>
        <v>0</v>
      </c>
      <c r="CC32" s="28" t="b">
        <f>AND(AONIA[[#This Row],[Valid]],NOT(AONIA[[#This Row],[Analytical Solve]]))</f>
        <v>1</v>
      </c>
      <c r="CD32" s="312">
        <f>AONIA[[#This Row],[Numerical Solve]]*1</f>
        <v>1</v>
      </c>
      <c r="CE32" s="153" t="str">
        <f>IF(AONIA[[#This Row],[Analytical Solve]],1+AONIA[[#This Row],[Par Swap Rate]]%*YEARFRAC(AONIA[[#This Row],[Settle Date (T1)]],AONIA[[#This Row],[Maturity Date (T2)]],DayCount_AUD),"")</f>
        <v/>
      </c>
      <c r="CF32" s="150" t="str" cm="1">
        <f t="array" ref="CF32">IF(AONIA[[#This Row],[Analytical Solve]],_xlfn.IFS(AONIA[[#This Row],[Settle Date (T1)]]=CurveDate,1,TRUE,_xlfn.XLOOKUP(AONIA[[#This Row],[Settle Date (T1)]],AONIA[Maturity Date (T2)],AONIA[DF(T2)])),"")</f>
        <v/>
      </c>
      <c r="CG32" s="346" t="str">
        <f>IF(AONIA[[#This Row],[Analytical Solve]],AONIA[[#This Row],[DF(T1)]]/AONIA[[#This Row],[1+r𝛿]],"")</f>
        <v/>
      </c>
      <c r="CH32" s="46">
        <f>IF(AONIA[[#This Row],[Numerical Solve]],SUM(AONIA[[#Headers],[Flag]]:AONIA[[#This Row],[Flag]]),0)</f>
        <v>9</v>
      </c>
      <c r="CI32" s="183">
        <v>0.65569559783112474</v>
      </c>
    </row>
    <row r="33" spans="4:87">
      <c r="D33" s="130"/>
      <c r="AK33" s="148"/>
      <c r="AL33" s="148"/>
      <c r="AW33" s="2" t="s">
        <v>8</v>
      </c>
      <c r="AX33" s="40">
        <v>-8</v>
      </c>
      <c r="AY33" s="178">
        <f>IF(BBSW1M[[#This Row],[Numerical Solve]],BBSW1M[[#This Row],[Maturity Date, T2]],"")</f>
        <v>49128</v>
      </c>
      <c r="AZ33" s="177" cm="1">
        <f t="array" ref="AZ33">IF(BBSW1M[[#This Row],[Numerical Solve]],Linterp(_xlfn.ANCHORARRAY(Curves!$L$4),_xlfn.ANCHORARRAY(Curves!$O$4),BBSW1M[[#This Row],[Maturity]]),"")</f>
        <v>0.64579563714097454</v>
      </c>
      <c r="BA33" s="179">
        <f>IF(BBSW1M[[#This Row],[Numerical Solve]],-1*LN(BBSW1M[[#This Row],[Solved DF]])/YEARFRAC(CurveDate,BBSW1M[[#This Row],[Maturity Date, T2]],DCB_CCZR),"")</f>
        <v>4.3643517745362695E-2</v>
      </c>
      <c r="BB33" s="175">
        <f>_xlfn.XLOOKUP(BBSW1M[[#This Row],[Tenor]],BBSW3MSwaps[Tenor],BBSW3MSwaps[Effective Date, T1])</f>
        <v>45474</v>
      </c>
      <c r="BC33" s="175">
        <f>_xlfn.XLOOKUP(BBSW1M[[#This Row],[Tenor]],BBSW3MSwaps[Tenor],BBSW3MSwaps[Maturity Date, T2])</f>
        <v>49128</v>
      </c>
      <c r="BD33" s="41" t="b">
        <f>BBSW1M[[#This Row],[Basis Spread]]&lt;&gt;""</f>
        <v>1</v>
      </c>
      <c r="BE33" s="176">
        <f>BBSW1M[[#This Row],[Numerical Solve]]*1</f>
        <v>1</v>
      </c>
      <c r="BF33" s="176">
        <f>IF(BBSW1M[[#This Row],[Numerical Solve]],SUM(BBSW1M[[#Headers],[Flag]]:BBSW1M[[#This Row],[Flag]]),0)</f>
        <v>7</v>
      </c>
      <c r="BG33" s="113">
        <v>0.64579563714097454</v>
      </c>
      <c r="BN33" s="334" t="s">
        <v>7</v>
      </c>
      <c r="BO33" s="333">
        <v>4.3</v>
      </c>
      <c r="BP33" s="115">
        <f>IF(AONIA[[#This Row],[Valid]],AONIA[[#This Row],[Maturity Date (T2)]],"")</f>
        <v>49857</v>
      </c>
      <c r="BQ33" s="142" cm="1">
        <f t="array" ref="BQ33">IF(AONIA[[#This Row],[Valid]],Linterp(_xlfn.ANCHORARRAY(Curves!$G$4),_xlfn.ANCHORARRAY(Curves!$J$4),AONIA[[#This Row],[Maturity]],-1,TRUE),"")</f>
        <v>0.60295975266902535</v>
      </c>
      <c r="BR33" s="143">
        <f>IF(AONIA[[#This Row],[Valid]],-1*LN(AONIA[[#This Row],[DF]])/YEARFRAC(CurveDate,AONIA[[#This Row],[Maturity]],DCB_CCZR),"")</f>
        <v>4.2101063114274931E-2</v>
      </c>
      <c r="BS33" s="343" t="b">
        <v>1</v>
      </c>
      <c r="BT33" s="110">
        <f>IF(AONIA[[#This Row],[Has Settle Delay]],SettlementDelayAUD,0)</f>
        <v>1</v>
      </c>
      <c r="BU33" s="35">
        <f>WORKDAY(CurveDate,AONIA[[#This Row],[Settle Delay]],Holidays_NSWPublic)</f>
        <v>45474</v>
      </c>
      <c r="BV33" s="8">
        <v>12</v>
      </c>
      <c r="BW33" s="8" t="s">
        <v>1</v>
      </c>
      <c r="BX33" s="35" cm="1">
        <f t="array" ref="BX3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49857</v>
      </c>
      <c r="BY33" s="47">
        <f>WORKDAY(AONIA[[#This Row],[Maturity Date (T2)]],OISPaymentDelay,Holidays_NSWPublic)</f>
        <v>49859</v>
      </c>
      <c r="BZ33" s="41" t="b">
        <f>AONIA[[#This Row],[Par Swap Rate]]&lt;&gt;""</f>
        <v>1</v>
      </c>
      <c r="CA33" s="28" t="b">
        <v>0</v>
      </c>
      <c r="CB33" s="28" t="b">
        <f>AND(AONIA[[#This Row],[Valid]],AONIA[[#This Row],[Zero-coupon?]])</f>
        <v>0</v>
      </c>
      <c r="CC33" s="28" t="b">
        <f>AND(AONIA[[#This Row],[Valid]],NOT(AONIA[[#This Row],[Analytical Solve]]))</f>
        <v>1</v>
      </c>
      <c r="CD33" s="312">
        <f>AONIA[[#This Row],[Numerical Solve]]*1</f>
        <v>1</v>
      </c>
      <c r="CE33" s="154" t="str">
        <f>IF(AONIA[[#This Row],[Analytical Solve]],1+AONIA[[#This Row],[Par Swap Rate]]%*YEARFRAC(AONIA[[#This Row],[Settle Date (T1)]],AONIA[[#This Row],[Maturity Date (T2)]],DayCount_AUD),"")</f>
        <v/>
      </c>
      <c r="CF33" s="155" t="str" cm="1">
        <f t="array" ref="CF33">IF(AONIA[[#This Row],[Analytical Solve]],_xlfn.IFS(AONIA[[#This Row],[Settle Date (T1)]]=CurveDate,1,TRUE,_xlfn.XLOOKUP(AONIA[[#This Row],[Settle Date (T1)]],AONIA[Maturity Date (T2)],AONIA[DF(T2)])),"")</f>
        <v/>
      </c>
      <c r="CG33" s="347" t="str">
        <f>IF(AONIA[[#This Row],[Analytical Solve]],AONIA[[#This Row],[DF(T1)]]/AONIA[[#This Row],[1+r𝛿]],"")</f>
        <v/>
      </c>
      <c r="CH33" s="46">
        <f>IF(AONIA[[#This Row],[Numerical Solve]],SUM(AONIA[[#Headers],[Flag]]:AONIA[[#This Row],[Flag]]),0)</f>
        <v>10</v>
      </c>
      <c r="CI33" s="183">
        <v>0.60282068786489229</v>
      </c>
    </row>
    <row r="34" spans="4:87">
      <c r="O34" s="2"/>
      <c r="P34" s="9"/>
      <c r="T34" s="2"/>
      <c r="AW34" s="2" t="s">
        <v>7</v>
      </c>
      <c r="AX34" s="40">
        <v>-8</v>
      </c>
      <c r="AY34" s="178">
        <f>IF(BBSW1M[[#This Row],[Numerical Solve]],BBSW1M[[#This Row],[Maturity Date, T2]],"")</f>
        <v>49857</v>
      </c>
      <c r="AZ34" s="177" cm="1">
        <f t="array" ref="AZ34">IF(BBSW1M[[#This Row],[Numerical Solve]],Linterp(_xlfn.ANCHORARRAY(Curves!$L$4),_xlfn.ANCHORARRAY(Curves!$O$4),BBSW1M[[#This Row],[Maturity]]),"")</f>
        <v>0.59181537870555634</v>
      </c>
      <c r="BA34" s="179">
        <f>IF(BBSW1M[[#This Row],[Numerical Solve]],-1*LN(BBSW1M[[#This Row],[Solved DF]])/YEARFRAC(CurveDate,BBSW1M[[#This Row],[Maturity Date, T2]],DCB_CCZR),"")</f>
        <v>4.3653579994627656E-2</v>
      </c>
      <c r="BB34" s="175">
        <f>_xlfn.XLOOKUP(BBSW1M[[#This Row],[Tenor]],BBSW3MSwaps[Tenor],BBSW3MSwaps[Effective Date, T1])</f>
        <v>45474</v>
      </c>
      <c r="BC34" s="175">
        <f>_xlfn.XLOOKUP(BBSW1M[[#This Row],[Tenor]],BBSW3MSwaps[Tenor],BBSW3MSwaps[Maturity Date, T2])</f>
        <v>49857</v>
      </c>
      <c r="BD34" s="41" t="b">
        <f>BBSW1M[[#This Row],[Basis Spread]]&lt;&gt;""</f>
        <v>1</v>
      </c>
      <c r="BE34" s="176">
        <f>BBSW1M[[#This Row],[Numerical Solve]]*1</f>
        <v>1</v>
      </c>
      <c r="BF34" s="176">
        <f>IF(BBSW1M[[#This Row],[Numerical Solve]],SUM(BBSW1M[[#Headers],[Flag]]:BBSW1M[[#This Row],[Flag]]),0)</f>
        <v>8</v>
      </c>
      <c r="BG34" s="113">
        <v>0.59181537870555634</v>
      </c>
      <c r="BN34" s="335" t="s">
        <v>6</v>
      </c>
      <c r="BO34" s="333">
        <v>4.3</v>
      </c>
      <c r="BP34" s="115">
        <f>IF(AONIA[[#This Row],[Valid]],AONIA[[#This Row],[Maturity Date (T2)]],"")</f>
        <v>50952</v>
      </c>
      <c r="BQ34" s="142" cm="1">
        <f t="array" ref="BQ34">IF(AONIA[[#This Row],[Valid]],Linterp(_xlfn.ANCHORARRAY(Curves!$G$4),_xlfn.ANCHORARRAY(Curves!$J$4),AONIA[[#This Row],[Maturity]],-1,TRUE),"")</f>
        <v>0.53141694490144298</v>
      </c>
      <c r="BR34" s="143">
        <f>IF(AONIA[[#This Row],[Valid]],-1*LN(AONIA[[#This Row],[DF]])/YEARFRAC(CurveDate,AONIA[[#This Row],[Maturity]],DCB_CCZR),"")</f>
        <v>4.2101085749383697E-2</v>
      </c>
      <c r="BS34" s="343" t="b">
        <v>1</v>
      </c>
      <c r="BT34" s="110">
        <f>IF(AONIA[[#This Row],[Has Settle Delay]],SettlementDelayAUD,0)</f>
        <v>1</v>
      </c>
      <c r="BU34" s="35">
        <f>WORKDAY(CurveDate,AONIA[[#This Row],[Settle Delay]],Holidays_NSWPublic)</f>
        <v>45474</v>
      </c>
      <c r="BV34" s="8">
        <v>15</v>
      </c>
      <c r="BW34" s="8" t="s">
        <v>1</v>
      </c>
      <c r="BX34" s="35" cm="1">
        <f t="array" ref="BX3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50952</v>
      </c>
      <c r="BY34" s="47">
        <f>WORKDAY(AONIA[[#This Row],[Maturity Date (T2)]],OISPaymentDelay,Holidays_NSWPublic)</f>
        <v>50956</v>
      </c>
      <c r="BZ34" s="41" t="b">
        <f>AONIA[[#This Row],[Par Swap Rate]]&lt;&gt;""</f>
        <v>1</v>
      </c>
      <c r="CA34" s="28" t="b">
        <v>0</v>
      </c>
      <c r="CB34" s="28" t="b">
        <f>AND(AONIA[[#This Row],[Valid]],AONIA[[#This Row],[Zero-coupon?]])</f>
        <v>0</v>
      </c>
      <c r="CC34" s="28" t="b">
        <f>AND(AONIA[[#This Row],[Valid]],NOT(AONIA[[#This Row],[Analytical Solve]]))</f>
        <v>1</v>
      </c>
      <c r="CD34" s="312">
        <f>AONIA[[#This Row],[Numerical Solve]]*1</f>
        <v>1</v>
      </c>
      <c r="CE34" s="153" t="str">
        <f>IF(AONIA[[#This Row],[Analytical Solve]],1+AONIA[[#This Row],[Par Swap Rate]]%*YEARFRAC(AONIA[[#This Row],[Settle Date (T1)]],AONIA[[#This Row],[Maturity Date (T2)]],DayCount_AUD),"")</f>
        <v/>
      </c>
      <c r="CF34" s="150" t="str" cm="1">
        <f t="array" ref="CF34">IF(AONIA[[#This Row],[Analytical Solve]],_xlfn.IFS(AONIA[[#This Row],[Settle Date (T1)]]=CurveDate,1,TRUE,_xlfn.XLOOKUP(AONIA[[#This Row],[Settle Date (T1)]],AONIA[Maturity Date (T2)],AONIA[DF(T2)])),"")</f>
        <v/>
      </c>
      <c r="CG34" s="346" t="str">
        <f>IF(AONIA[[#This Row],[Analytical Solve]],AONIA[[#This Row],[DF(T1)]]/AONIA[[#This Row],[1+r𝛿]],"")</f>
        <v/>
      </c>
      <c r="CH34" s="46">
        <f>IF(AONIA[[#This Row],[Numerical Solve]],SUM(AONIA[[#Headers],[Flag]]:AONIA[[#This Row],[Flag]]),0)</f>
        <v>11</v>
      </c>
      <c r="CI34" s="183">
        <v>0.53117181478689957</v>
      </c>
    </row>
    <row r="35" spans="4:87">
      <c r="O35" s="2"/>
      <c r="P35" s="9"/>
      <c r="T35" s="2"/>
      <c r="AW35" s="2" t="s">
        <v>6</v>
      </c>
      <c r="AX35" s="40">
        <v>-8</v>
      </c>
      <c r="AY35" s="178">
        <f>IF(BBSW1M[[#This Row],[Numerical Solve]],BBSW1M[[#This Row],[Maturity Date, T2]],"")</f>
        <v>50952</v>
      </c>
      <c r="AZ35" s="177" cm="1">
        <f t="array" ref="AZ35">IF(BBSW1M[[#This Row],[Numerical Solve]],Linterp(_xlfn.ANCHORARRAY(Curves!$L$4),_xlfn.ANCHORARRAY(Curves!$O$4),BBSW1M[[#This Row],[Maturity]]),"")</f>
        <v>0.51908850504917803</v>
      </c>
      <c r="BA35" s="179">
        <f>IF(BBSW1M[[#This Row],[Numerical Solve]],-1*LN(BBSW1M[[#This Row],[Solved DF]])/YEARFRAC(CurveDate,BBSW1M[[#This Row],[Maturity Date, T2]],DCB_CCZR),"")</f>
        <v>4.3664207506687876E-2</v>
      </c>
      <c r="BB35" s="175">
        <f>_xlfn.XLOOKUP(BBSW1M[[#This Row],[Tenor]],BBSW3MSwaps[Tenor],BBSW3MSwaps[Effective Date, T1])</f>
        <v>45474</v>
      </c>
      <c r="BC35" s="175">
        <f>_xlfn.XLOOKUP(BBSW1M[[#This Row],[Tenor]],BBSW3MSwaps[Tenor],BBSW3MSwaps[Maturity Date, T2])</f>
        <v>50952</v>
      </c>
      <c r="BD35" s="41" t="b">
        <f>BBSW1M[[#This Row],[Basis Spread]]&lt;&gt;""</f>
        <v>1</v>
      </c>
      <c r="BE35" s="176">
        <f>BBSW1M[[#This Row],[Numerical Solve]]*1</f>
        <v>1</v>
      </c>
      <c r="BF35" s="176">
        <f>IF(BBSW1M[[#This Row],[Numerical Solve]],SUM(BBSW1M[[#Headers],[Flag]]:BBSW1M[[#This Row],[Flag]]),0)</f>
        <v>9</v>
      </c>
      <c r="BG35" s="113">
        <v>0.51908850504917803</v>
      </c>
      <c r="BN35" s="335" t="s">
        <v>5</v>
      </c>
      <c r="BO35" s="333">
        <v>4.3</v>
      </c>
      <c r="BP35" s="115">
        <f>IF(AONIA[[#This Row],[Valid]],AONIA[[#This Row],[Maturity Date (T2)]],"")</f>
        <v>52779</v>
      </c>
      <c r="BQ35" s="142" cm="1">
        <f t="array" ref="BQ35">IF(AONIA[[#This Row],[Valid]],Linterp(_xlfn.ANCHORARRAY(Curves!$G$4),_xlfn.ANCHORARRAY(Curves!$J$4),AONIA[[#This Row],[Maturity]],-1,TRUE),"")</f>
        <v>0.43044316516618436</v>
      </c>
      <c r="BR35" s="143">
        <f>IF(AONIA[[#This Row],[Valid]],-1*LN(AONIA[[#This Row],[DF]])/YEARFRAC(CurveDate,AONIA[[#This Row],[Maturity]],DCB_CCZR),"")</f>
        <v>4.2100861287308347E-2</v>
      </c>
      <c r="BS35" s="343" t="b">
        <v>1</v>
      </c>
      <c r="BT35" s="110">
        <f>IF(AONIA[[#This Row],[Has Settle Delay]],SettlementDelayAUD,0)</f>
        <v>1</v>
      </c>
      <c r="BU35" s="35">
        <f>WORKDAY(CurveDate,AONIA[[#This Row],[Settle Delay]],Holidays_NSWPublic)</f>
        <v>45474</v>
      </c>
      <c r="BV35" s="8">
        <v>20</v>
      </c>
      <c r="BW35" s="8" t="s">
        <v>1</v>
      </c>
      <c r="BX35" s="35" cm="1">
        <f t="array" ref="BX3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52779</v>
      </c>
      <c r="BY35" s="47">
        <f>WORKDAY(AONIA[[#This Row],[Maturity Date (T2)]],OISPaymentDelay,Holidays_NSWPublic)</f>
        <v>52783</v>
      </c>
      <c r="BZ35" s="41" t="b">
        <f>AONIA[[#This Row],[Par Swap Rate]]&lt;&gt;""</f>
        <v>1</v>
      </c>
      <c r="CA35" s="28" t="b">
        <v>0</v>
      </c>
      <c r="CB35" s="28" t="b">
        <f>AND(AONIA[[#This Row],[Valid]],AONIA[[#This Row],[Zero-coupon?]])</f>
        <v>0</v>
      </c>
      <c r="CC35" s="28" t="b">
        <f>AND(AONIA[[#This Row],[Valid]],NOT(AONIA[[#This Row],[Analytical Solve]]))</f>
        <v>1</v>
      </c>
      <c r="CD35" s="312">
        <f>AONIA[[#This Row],[Numerical Solve]]*1</f>
        <v>1</v>
      </c>
      <c r="CE35" s="153" t="str">
        <f>IF(AONIA[[#This Row],[Analytical Solve]],1+AONIA[[#This Row],[Par Swap Rate]]%*YEARFRAC(AONIA[[#This Row],[Settle Date (T1)]],AONIA[[#This Row],[Maturity Date (T2)]],DayCount_AUD),"")</f>
        <v/>
      </c>
      <c r="CF35" s="150" t="str" cm="1">
        <f t="array" ref="CF35">IF(AONIA[[#This Row],[Analytical Solve]],_xlfn.IFS(AONIA[[#This Row],[Settle Date (T1)]]=CurveDate,1,TRUE,_xlfn.XLOOKUP(AONIA[[#This Row],[Settle Date (T1)]],AONIA[Maturity Date (T2)],AONIA[DF(T2)])),"")</f>
        <v/>
      </c>
      <c r="CG35" s="346" t="str">
        <f>IF(AONIA[[#This Row],[Analytical Solve]],AONIA[[#This Row],[DF(T1)]]/AONIA[[#This Row],[1+r𝛿]],"")</f>
        <v/>
      </c>
      <c r="CH35" s="46">
        <f>IF(AONIA[[#This Row],[Numerical Solve]],SUM(AONIA[[#Headers],[Flag]]:AONIA[[#This Row],[Flag]]),0)</f>
        <v>12</v>
      </c>
      <c r="CI35" s="183">
        <v>0.43024461659188812</v>
      </c>
    </row>
    <row r="36" spans="4:87">
      <c r="O36" s="2"/>
      <c r="P36" s="9"/>
      <c r="AW36" s="2" t="s">
        <v>5</v>
      </c>
      <c r="AX36" s="40">
        <v>-8</v>
      </c>
      <c r="AY36" s="178">
        <f>IF(BBSW1M[[#This Row],[Numerical Solve]],BBSW1M[[#This Row],[Maturity Date, T2]],"")</f>
        <v>52779</v>
      </c>
      <c r="AZ36" s="177" cm="1">
        <f t="array" ref="AZ36">IF(BBSW1M[[#This Row],[Numerical Solve]],Linterp(_xlfn.ANCHORARRAY(Curves!$L$4),_xlfn.ANCHORARRAY(Curves!$O$4),BBSW1M[[#This Row],[Maturity]]),"")</f>
        <v>0.41709042704534688</v>
      </c>
      <c r="BA36" s="179">
        <f>IF(BBSW1M[[#This Row],[Numerical Solve]],-1*LN(BBSW1M[[#This Row],[Solved DF]])/YEARFRAC(CurveDate,BBSW1M[[#This Row],[Maturity Date, T2]],DCB_CCZR),"")</f>
        <v>4.3674748724897218E-2</v>
      </c>
      <c r="BB36" s="175">
        <f>_xlfn.XLOOKUP(BBSW1M[[#This Row],[Tenor]],BBSW3MSwaps[Tenor],BBSW3MSwaps[Effective Date, T1])</f>
        <v>45474</v>
      </c>
      <c r="BC36" s="175">
        <f>_xlfn.XLOOKUP(BBSW1M[[#This Row],[Tenor]],BBSW3MSwaps[Tenor],BBSW3MSwaps[Maturity Date, T2])</f>
        <v>52779</v>
      </c>
      <c r="BD36" s="41" t="b">
        <f>BBSW1M[[#This Row],[Basis Spread]]&lt;&gt;""</f>
        <v>1</v>
      </c>
      <c r="BE36" s="176">
        <f>BBSW1M[[#This Row],[Numerical Solve]]*1</f>
        <v>1</v>
      </c>
      <c r="BF36" s="176">
        <f>IF(BBSW1M[[#This Row],[Numerical Solve]],SUM(BBSW1M[[#Headers],[Flag]]:BBSW1M[[#This Row],[Flag]]),0)</f>
        <v>10</v>
      </c>
      <c r="BG36" s="113">
        <v>0.41709042704534688</v>
      </c>
      <c r="BN36" s="335" t="s">
        <v>4</v>
      </c>
      <c r="BO36" s="333"/>
      <c r="BP36" s="115" t="str">
        <f>IF(AONIA[[#This Row],[Valid]],AONIA[[#This Row],[Maturity Date (T2)]],"")</f>
        <v/>
      </c>
      <c r="BQ36" s="142" t="str" cm="1">
        <f t="array" ref="BQ36">IF(AONIA[[#This Row],[Valid]],Linterp(_xlfn.ANCHORARRAY(Curves!$G$4),_xlfn.ANCHORARRAY(Curves!$J$4),AONIA[[#This Row],[Maturity]],-1,TRUE),"")</f>
        <v/>
      </c>
      <c r="BR36" s="143" t="str">
        <f>IF(AONIA[[#This Row],[Valid]],-1*LN(AONIA[[#This Row],[DF]])/YEARFRAC(CurveDate,AONIA[[#This Row],[Maturity]],DCB_CCZR),"")</f>
        <v/>
      </c>
      <c r="BS36" s="343" t="b">
        <v>1</v>
      </c>
      <c r="BT36" s="110">
        <f>IF(AONIA[[#This Row],[Has Settle Delay]],SettlementDelayAUD,0)</f>
        <v>1</v>
      </c>
      <c r="BU36" s="35">
        <f>WORKDAY(CurveDate,AONIA[[#This Row],[Settle Delay]],Holidays_NSWPublic)</f>
        <v>45474</v>
      </c>
      <c r="BV36" s="8">
        <v>25</v>
      </c>
      <c r="BW36" s="8" t="s">
        <v>1</v>
      </c>
      <c r="BX36" s="35" cm="1">
        <f t="array" ref="BX3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54605</v>
      </c>
      <c r="BY36" s="47">
        <f>WORKDAY(AONIA[[#This Row],[Maturity Date (T2)]],OISPaymentDelay,Holidays_NSWPublic)</f>
        <v>54609</v>
      </c>
      <c r="BZ36" s="41" t="b">
        <f>AONIA[[#This Row],[Par Swap Rate]]&lt;&gt;""</f>
        <v>0</v>
      </c>
      <c r="CA36" s="28" t="b">
        <v>0</v>
      </c>
      <c r="CB36" s="28" t="b">
        <f>AND(AONIA[[#This Row],[Valid]],AONIA[[#This Row],[Zero-coupon?]])</f>
        <v>0</v>
      </c>
      <c r="CC36" s="28" t="b">
        <f>AND(AONIA[[#This Row],[Valid]],NOT(AONIA[[#This Row],[Analytical Solve]]))</f>
        <v>0</v>
      </c>
      <c r="CD36" s="312">
        <f>AONIA[[#This Row],[Numerical Solve]]*1</f>
        <v>0</v>
      </c>
      <c r="CE36" s="153" t="str">
        <f>IF(AONIA[[#This Row],[Analytical Solve]],1+AONIA[[#This Row],[Par Swap Rate]]%*YEARFRAC(AONIA[[#This Row],[Settle Date (T1)]],AONIA[[#This Row],[Maturity Date (T2)]],DayCount_AUD),"")</f>
        <v/>
      </c>
      <c r="CF36" s="150" t="str" cm="1">
        <f t="array" ref="CF36">IF(AONIA[[#This Row],[Analytical Solve]],_xlfn.IFS(AONIA[[#This Row],[Settle Date (T1)]]=CurveDate,1,TRUE,_xlfn.XLOOKUP(AONIA[[#This Row],[Settle Date (T1)]],AONIA[Maturity Date (T2)],AONIA[DF(T2)])),"")</f>
        <v/>
      </c>
      <c r="CG36" s="346" t="str">
        <f>IF(AONIA[[#This Row],[Analytical Solve]],AONIA[[#This Row],[DF(T1)]]/AONIA[[#This Row],[1+r𝛿]],"")</f>
        <v/>
      </c>
      <c r="CH36" s="46">
        <f>IF(AONIA[[#This Row],[Numerical Solve]],SUM(AONIA[[#Headers],[Flag]]:AONIA[[#This Row],[Flag]]),0)</f>
        <v>0</v>
      </c>
      <c r="CI36" s="183"/>
    </row>
    <row r="37" spans="4:87">
      <c r="O37" s="2"/>
      <c r="P37" s="9"/>
      <c r="AW37" s="2" t="s">
        <v>4</v>
      </c>
      <c r="AX37" s="40"/>
      <c r="AY37" s="178" t="str">
        <f>IF(BBSW1M[[#This Row],[Numerical Solve]],BBSW1M[[#This Row],[Maturity Date, T2]],"")</f>
        <v/>
      </c>
      <c r="AZ37" s="177" t="str" cm="1">
        <f t="array" ref="AZ37">IF(BBSW1M[[#This Row],[Numerical Solve]],Linterp(_xlfn.ANCHORARRAY(Curves!$L$4),_xlfn.ANCHORARRAY(Curves!$O$4),BBSW1M[[#This Row],[Maturity]]),"")</f>
        <v/>
      </c>
      <c r="BA37" s="179" t="str">
        <f>IF(BBSW1M[[#This Row],[Numerical Solve]],-1*LN(BBSW1M[[#This Row],[Solved DF]])/YEARFRAC(CurveDate,BBSW1M[[#This Row],[Maturity Date, T2]],DCB_CCZR),"")</f>
        <v/>
      </c>
      <c r="BB37" s="175">
        <f>_xlfn.XLOOKUP(BBSW1M[[#This Row],[Tenor]],BBSW3MSwaps[Tenor],BBSW3MSwaps[Effective Date, T1])</f>
        <v>45474</v>
      </c>
      <c r="BC37" s="175">
        <f>_xlfn.XLOOKUP(BBSW1M[[#This Row],[Tenor]],BBSW3MSwaps[Tenor],BBSW3MSwaps[Maturity Date, T2])</f>
        <v>54605</v>
      </c>
      <c r="BD37" s="41" t="b">
        <f>BBSW1M[[#This Row],[Basis Spread]]&lt;&gt;""</f>
        <v>0</v>
      </c>
      <c r="BE37" s="176">
        <f>BBSW1M[[#This Row],[Numerical Solve]]*1</f>
        <v>0</v>
      </c>
      <c r="BF37" s="176">
        <f>IF(BBSW1M[[#This Row],[Numerical Solve]],SUM(BBSW1M[[#Headers],[Flag]]:BBSW1M[[#This Row],[Flag]]),0)</f>
        <v>0</v>
      </c>
      <c r="BG37" s="113"/>
      <c r="BN37" s="336" t="s">
        <v>3</v>
      </c>
      <c r="BO37" s="333"/>
      <c r="BP37" s="140" t="str">
        <f>IF(AONIA[[#This Row],[Valid]],AONIA[[#This Row],[Maturity Date (T2)]],"")</f>
        <v/>
      </c>
      <c r="BQ37" s="146" t="str" cm="1">
        <f t="array" ref="BQ37">IF(AONIA[[#This Row],[Valid]],Linterp(_xlfn.ANCHORARRAY(Curves!$G$4),_xlfn.ANCHORARRAY(Curves!$J$4),AONIA[[#This Row],[Maturity]],-1,TRUE),"")</f>
        <v/>
      </c>
      <c r="BR37" s="144" t="str">
        <f>IF(AONIA[[#This Row],[Valid]],-1*LN(AONIA[[#This Row],[DF]])/YEARFRAC(CurveDate,AONIA[[#This Row],[Maturity]],DCB_CCZR),"")</f>
        <v/>
      </c>
      <c r="BS37" s="344" t="b">
        <v>1</v>
      </c>
      <c r="BT37" s="337">
        <f>IF(AONIA[[#This Row],[Has Settle Delay]],SettlementDelayAUD,0)</f>
        <v>1</v>
      </c>
      <c r="BU37" s="338">
        <f>WORKDAY(CurveDate,AONIA[[#This Row],[Settle Delay]],Holidays_NSWPublic)</f>
        <v>45474</v>
      </c>
      <c r="BV37" s="339">
        <v>30</v>
      </c>
      <c r="BW37" s="339" t="s">
        <v>1</v>
      </c>
      <c r="BX37" s="338" cm="1">
        <f t="array" ref="BX3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56431</v>
      </c>
      <c r="BY37" s="345">
        <f>WORKDAY(AONIA[[#This Row],[Maturity Date (T2)]],OISPaymentDelay,Holidays_NSWPublic)</f>
        <v>56433</v>
      </c>
      <c r="BZ37" s="313" t="b">
        <f>AONIA[[#This Row],[Par Swap Rate]]&lt;&gt;""</f>
        <v>0</v>
      </c>
      <c r="CA37" s="57" t="b">
        <v>0</v>
      </c>
      <c r="CB37" s="57" t="b">
        <f>AND(AONIA[[#This Row],[Valid]],AONIA[[#This Row],[Zero-coupon?]])</f>
        <v>0</v>
      </c>
      <c r="CC37" s="57" t="b">
        <f>AND(AONIA[[#This Row],[Valid]],NOT(AONIA[[#This Row],[Analytical Solve]]))</f>
        <v>0</v>
      </c>
      <c r="CD37" s="314">
        <f>AONIA[[#This Row],[Numerical Solve]]*1</f>
        <v>0</v>
      </c>
      <c r="CE37" s="154" t="str">
        <f>IF(AONIA[[#This Row],[Analytical Solve]],1+AONIA[[#This Row],[Par Swap Rate]]%*YEARFRAC(AONIA[[#This Row],[Settle Date (T1)]],AONIA[[#This Row],[Maturity Date (T2)]],DayCount_AUD),"")</f>
        <v/>
      </c>
      <c r="CF37" s="155" t="str" cm="1">
        <f t="array" ref="CF37">IF(AONIA[[#This Row],[Analytical Solve]],_xlfn.IFS(AONIA[[#This Row],[Settle Date (T1)]]=CurveDate,1,TRUE,_xlfn.XLOOKUP(AONIA[[#This Row],[Settle Date (T1)]],AONIA[Maturity Date (T2)],AONIA[DF(T2)])),"")</f>
        <v/>
      </c>
      <c r="CG37" s="347" t="str">
        <f>IF(AONIA[[#This Row],[Analytical Solve]],AONIA[[#This Row],[DF(T1)]]/AONIA[[#This Row],[1+r𝛿]],"")</f>
        <v/>
      </c>
      <c r="CH37" s="188">
        <f>IF(AONIA[[#This Row],[Numerical Solve]],SUM(AONIA[[#Headers],[Flag]]:AONIA[[#This Row],[Flag]]),0)</f>
        <v>0</v>
      </c>
      <c r="CI37" s="184"/>
    </row>
    <row r="38" spans="4:87">
      <c r="O38" s="2"/>
      <c r="P38" s="9"/>
      <c r="AW38" s="2" t="s">
        <v>3</v>
      </c>
      <c r="AX38" s="40"/>
      <c r="AY38" s="178" t="str">
        <f>IF(BBSW1M[[#This Row],[Numerical Solve]],BBSW1M[[#This Row],[Maturity Date, T2]],"")</f>
        <v/>
      </c>
      <c r="AZ38" s="177" t="str" cm="1">
        <f t="array" ref="AZ38">IF(BBSW1M[[#This Row],[Numerical Solve]],Linterp(_xlfn.ANCHORARRAY(Curves!$L$4),_xlfn.ANCHORARRAY(Curves!$O$4),BBSW1M[[#This Row],[Maturity]]),"")</f>
        <v/>
      </c>
      <c r="BA38" s="179" t="str">
        <f>IF(BBSW1M[[#This Row],[Numerical Solve]],-1*LN(BBSW1M[[#This Row],[Solved DF]])/YEARFRAC(CurveDate,BBSW1M[[#This Row],[Maturity Date, T2]],DCB_CCZR),"")</f>
        <v/>
      </c>
      <c r="BB38" s="175">
        <f>_xlfn.XLOOKUP(BBSW1M[[#This Row],[Tenor]],BBSW3MSwaps[Tenor],BBSW3MSwaps[Effective Date, T1])</f>
        <v>45474</v>
      </c>
      <c r="BC38" s="175">
        <f>_xlfn.XLOOKUP(BBSW1M[[#This Row],[Tenor]],BBSW3MSwaps[Tenor],BBSW3MSwaps[Maturity Date, T2])</f>
        <v>56431</v>
      </c>
      <c r="BD38" s="41" t="b">
        <f>BBSW1M[[#This Row],[Basis Spread]]&lt;&gt;""</f>
        <v>0</v>
      </c>
      <c r="BE38" s="176">
        <f>BBSW1M[[#This Row],[Numerical Solve]]*1</f>
        <v>0</v>
      </c>
      <c r="BF38" s="176">
        <f>IF(BBSW1M[[#This Row],[Numerical Solve]],SUM(BBSW1M[[#Headers],[Flag]]:BBSW1M[[#This Row],[Flag]]),0)</f>
        <v>0</v>
      </c>
      <c r="BG38" s="113"/>
      <c r="BN38" s="6"/>
      <c r="BO38" s="6"/>
      <c r="BP38" s="44"/>
      <c r="BQ38" s="6"/>
      <c r="BR38" s="6"/>
      <c r="BS38" s="6"/>
      <c r="BY38" s="2"/>
    </row>
    <row r="39" spans="4:87">
      <c r="O39" s="2"/>
      <c r="P39" s="9"/>
      <c r="AW39" s="2" t="s">
        <v>2</v>
      </c>
      <c r="AX39" s="40"/>
      <c r="AY39" s="178" t="str">
        <f>IF(BBSW1M[[#This Row],[Numerical Solve]],BBSW1M[[#This Row],[Maturity Date, T2]],"")</f>
        <v/>
      </c>
      <c r="AZ39" s="177" t="str" cm="1">
        <f t="array" ref="AZ39">IF(BBSW1M[[#This Row],[Numerical Solve]],Linterp(_xlfn.ANCHORARRAY(Curves!$L$4),_xlfn.ANCHORARRAY(Curves!$O$4),BBSW1M[[#This Row],[Maturity]]),"")</f>
        <v/>
      </c>
      <c r="BA39" s="179" t="str">
        <f>IF(BBSW1M[[#This Row],[Numerical Solve]],-1*LN(BBSW1M[[#This Row],[Solved DF]])/YEARFRAC(CurveDate,BBSW1M[[#This Row],[Maturity Date, T2]],DCB_CCZR),"")</f>
        <v/>
      </c>
      <c r="BB39" s="175">
        <f>_xlfn.XLOOKUP(BBSW1M[[#This Row],[Tenor]],BBSW3MSwaps[Tenor],BBSW3MSwaps[Effective Date, T1])</f>
        <v>45474</v>
      </c>
      <c r="BC39" s="175">
        <f>_xlfn.XLOOKUP(BBSW1M[[#This Row],[Tenor]],BBSW3MSwaps[Tenor],BBSW3MSwaps[Maturity Date, T2])</f>
        <v>60084</v>
      </c>
      <c r="BD39" s="41" t="b">
        <f>BBSW1M[[#This Row],[Basis Spread]]&lt;&gt;""</f>
        <v>0</v>
      </c>
      <c r="BE39" s="176">
        <f>BBSW1M[[#This Row],[Numerical Solve]]*1</f>
        <v>0</v>
      </c>
      <c r="BF39" s="176">
        <f>IF(BBSW1M[[#This Row],[Numerical Solve]],SUM(BBSW1M[[#Headers],[Flag]]:BBSW1M[[#This Row],[Flag]]),0)</f>
        <v>0</v>
      </c>
      <c r="BG39" s="113"/>
      <c r="BN39" s="6"/>
      <c r="BO39" s="6"/>
      <c r="BP39" s="44"/>
      <c r="BQ39" s="6"/>
      <c r="BR39" s="6"/>
      <c r="BS39" s="6"/>
      <c r="BY39" s="2"/>
    </row>
    <row r="40" spans="4:87">
      <c r="O40" s="2"/>
      <c r="P40" s="9"/>
      <c r="BN40" s="67" t="s">
        <v>71</v>
      </c>
      <c r="BO40" s="69"/>
      <c r="BP40" s="67" t="s">
        <v>250</v>
      </c>
      <c r="BQ40" s="69"/>
      <c r="BR40" s="69"/>
      <c r="BS40" s="68" t="s">
        <v>72</v>
      </c>
      <c r="BT40" s="68"/>
      <c r="BU40" s="68"/>
      <c r="BV40" s="68"/>
      <c r="BW40" s="68"/>
      <c r="BX40" s="68"/>
      <c r="BY40" s="69"/>
      <c r="BZ40" s="67" t="s">
        <v>187</v>
      </c>
      <c r="CA40" s="67"/>
      <c r="CB40" s="67"/>
      <c r="CC40" s="67"/>
      <c r="CD40" s="67"/>
      <c r="CE40" s="67" t="s">
        <v>248</v>
      </c>
      <c r="CF40" s="67"/>
      <c r="CG40" s="67"/>
      <c r="CH40" s="67" t="s">
        <v>227</v>
      </c>
      <c r="CI40" s="69"/>
    </row>
    <row r="41" spans="4:87">
      <c r="O41" s="2"/>
      <c r="P41" s="9"/>
      <c r="BN41" s="104" t="s">
        <v>44</v>
      </c>
      <c r="BO41" s="108" t="s">
        <v>56</v>
      </c>
      <c r="BP41" s="170" t="s">
        <v>243</v>
      </c>
      <c r="BQ41" s="171" t="s">
        <v>189</v>
      </c>
      <c r="BR41" s="172" t="s">
        <v>133</v>
      </c>
      <c r="BS41" s="163" t="s">
        <v>188</v>
      </c>
      <c r="BT41" s="105" t="s">
        <v>50</v>
      </c>
      <c r="BU41" s="104" t="s">
        <v>55</v>
      </c>
      <c r="BV41" s="104" t="s">
        <v>49</v>
      </c>
      <c r="BW41" s="104" t="s">
        <v>69</v>
      </c>
      <c r="BX41" s="104" t="s">
        <v>54</v>
      </c>
      <c r="BY41" s="104" t="s">
        <v>247</v>
      </c>
      <c r="BZ41" s="149" t="s">
        <v>249</v>
      </c>
      <c r="CA41" s="107" t="s">
        <v>319</v>
      </c>
      <c r="CB41" s="107" t="s">
        <v>248</v>
      </c>
      <c r="CC41" s="107" t="s">
        <v>227</v>
      </c>
      <c r="CD41" s="152" t="s">
        <v>226</v>
      </c>
      <c r="CE41" s="106" t="s">
        <v>48</v>
      </c>
      <c r="CF41" s="107" t="s">
        <v>47</v>
      </c>
      <c r="CG41" s="107" t="s">
        <v>46</v>
      </c>
      <c r="CH41" s="106" t="s">
        <v>198</v>
      </c>
      <c r="CI41" s="111" t="s">
        <v>239</v>
      </c>
    </row>
    <row r="42" spans="4:87">
      <c r="O42" s="2"/>
      <c r="P42" s="9"/>
      <c r="AW42" s="351" t="s">
        <v>238</v>
      </c>
      <c r="AX42" s="352"/>
      <c r="AY42" s="67" t="s">
        <v>242</v>
      </c>
      <c r="AZ42" s="67"/>
      <c r="BA42" s="11"/>
      <c r="BB42" s="68" t="s">
        <v>295</v>
      </c>
      <c r="BC42" s="68"/>
      <c r="BD42" s="67" t="s">
        <v>187</v>
      </c>
      <c r="BE42" s="67"/>
      <c r="BF42" s="67" t="s">
        <v>227</v>
      </c>
      <c r="BG42" s="69"/>
      <c r="BN42" s="103" t="s">
        <v>43</v>
      </c>
      <c r="BO42" s="70">
        <v>5</v>
      </c>
      <c r="BP42" s="164">
        <f>IF(SOFR[[#This Row],[Valid]],SOFR[[#This Row],[Maturity Date (T2)]],"")</f>
        <v>45474</v>
      </c>
      <c r="BQ42" s="166" cm="1">
        <f t="array" ref="BQ42">IF(SOFR[[#This Row],[Valid]],Linterp(_xlfn.ANCHORARRAY(Curves!$V$4),_xlfn.ANCHORARRAY(Curves!$Y$4),SOFR[[#This Row],[Maturity]],-1,TRUE),"")</f>
        <v>0.9995835068721366</v>
      </c>
      <c r="BR42" s="173">
        <f>IF(SOFR[[#This Row],[Valid]],-1*LN(SOFR[[#This Row],[DF]])/YEARFRAC(CurveDate,SOFR[[#This Row],[Maturity]],DCB_CCZR),"")</f>
        <v>5.0683886034643369E-2</v>
      </c>
      <c r="BS42" s="166" t="b">
        <v>0</v>
      </c>
      <c r="BT42" s="109">
        <f>IF(SOFR[[#This Row],[Has Settle Delay]],SettlementDelayUSD,0)</f>
        <v>0</v>
      </c>
      <c r="BU42" s="36">
        <f>WORKDAY(CurveDate,SOFR[[#This Row],[Settle Delay]],Holidays_NY_Public)</f>
        <v>45471</v>
      </c>
      <c r="BV42" s="43">
        <v>1</v>
      </c>
      <c r="BW42" s="37" t="s">
        <v>151</v>
      </c>
      <c r="BX42" s="36" cm="1">
        <f t="array" ref="BX4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45474</v>
      </c>
      <c r="BY42" s="36">
        <f>WORKDAY(SOFR[[#This Row],[Maturity Date (T2)]],OISPaymentDelay,Holidays_NY_Public)</f>
        <v>45476</v>
      </c>
      <c r="BZ42" s="41" t="b">
        <f>SOFR[[#This Row],[Par Swap Rate]]&lt;&gt;""</f>
        <v>1</v>
      </c>
      <c r="CA42" s="28" t="b">
        <v>1</v>
      </c>
      <c r="CB42" s="28" t="b">
        <f>AND(SOFR[[#This Row],[Valid]],SOFR[[#This Row],[Zero-coupon?]])</f>
        <v>1</v>
      </c>
      <c r="CC42" s="28" t="b">
        <f>AND(SOFR[[#This Row],[Valid]],NOT(SOFR[[#This Row],[Analytical Solve]]))</f>
        <v>0</v>
      </c>
      <c r="CD42" s="22">
        <f>SOFR[[#This Row],[Numerical Solve]]*1</f>
        <v>0</v>
      </c>
      <c r="CE42" s="153">
        <f>IF(SOFR[[#This Row],[Analytical Solve]],1+SOFR[[#This Row],[Par Swap Rate]]%*YEARFRAC(SOFR[[#This Row],[Settle Date (T1)]],SOFR[[#This Row],[Maturity Date (T2)]],DayCount_SOFR),"")</f>
        <v>1.0004166666666667</v>
      </c>
      <c r="CF42" s="150" cm="1">
        <f t="array" ref="CF42">IF(SOFR[[#This Row],[Analytical Solve]],_xlfn.IFS(SOFR[[#This Row],[Settle Date (T1)]]=CurveDate,1,TRUE,_xlfn.XLOOKUP(SOFR[[#This Row],[Settle Date (T1)]],SOFR[Maturity Date (T2)],SOFR[DF(T2)])),"")</f>
        <v>1</v>
      </c>
      <c r="CG42" s="112">
        <f>IF(SOFR[[#This Row],[Analytical Solve]],SOFR[[#This Row],[DF(T1)]]/SOFR[[#This Row],[1+r𝛿]],"")</f>
        <v>0.9995835068721366</v>
      </c>
      <c r="CH42" s="46">
        <f>IF(SOFR[[#This Row],[Numerical Solve]],SUM(SOFR[[#Headers],[Flag]]:SOFR[[#This Row],[Flag]]),0)</f>
        <v>0</v>
      </c>
      <c r="CI42" s="183"/>
    </row>
    <row r="43" spans="4:87">
      <c r="O43" s="2"/>
      <c r="P43" s="9"/>
      <c r="AW43" s="104" t="s">
        <v>44</v>
      </c>
      <c r="AX43" s="104" t="s">
        <v>252</v>
      </c>
      <c r="AY43" s="104" t="s">
        <v>243</v>
      </c>
      <c r="AZ43" s="104" t="s">
        <v>189</v>
      </c>
      <c r="BA43" s="104" t="s">
        <v>133</v>
      </c>
      <c r="BB43" s="104" t="s">
        <v>241</v>
      </c>
      <c r="BC43" s="104" t="s">
        <v>240</v>
      </c>
      <c r="BD43" s="104" t="s">
        <v>227</v>
      </c>
      <c r="BE43" s="104" t="s">
        <v>226</v>
      </c>
      <c r="BF43" s="104" t="s">
        <v>198</v>
      </c>
      <c r="BG43" s="104" t="s">
        <v>239</v>
      </c>
      <c r="BN43" s="103" t="s">
        <v>42</v>
      </c>
      <c r="BO43" s="70">
        <v>5</v>
      </c>
      <c r="BP43" s="115">
        <f>IF(SOFR[[#This Row],[Valid]],SOFR[[#This Row],[Maturity Date (T2)]],"")</f>
        <v>45475</v>
      </c>
      <c r="BQ43" s="142" cm="1">
        <f t="array" ref="BQ43">IF(SOFR[[#This Row],[Valid]],Linterp(_xlfn.ANCHORARRAY(Curves!$V$4),_xlfn.ANCHORARRAY(Curves!$Y$4),SOFR[[#This Row],[Maturity]],-1,TRUE),"")</f>
        <v>0.99944475291504709</v>
      </c>
      <c r="BR43" s="143">
        <f>IF(SOFR[[#This Row],[Valid]],-1*LN(SOFR[[#This Row],[DF]])/YEARFRAC(CurveDate,SOFR[[#This Row],[Maturity]],DCB_CCZR),"")</f>
        <v>5.0680367867636751E-2</v>
      </c>
      <c r="BS43" s="142" t="b">
        <v>0</v>
      </c>
      <c r="BT43" s="110">
        <f>IF(SOFR[[#This Row],[Has Settle Delay]],SettlementDelayUSD,0)</f>
        <v>0</v>
      </c>
      <c r="BU43" s="35">
        <f>WORKDAY(CurveDate,SOFR[[#This Row],[Settle Delay]],Holidays_NY_Public)</f>
        <v>45471</v>
      </c>
      <c r="BV43" s="8">
        <v>2</v>
      </c>
      <c r="BW43" s="38" t="s">
        <v>151</v>
      </c>
      <c r="BX43" s="35" cm="1">
        <f t="array" ref="BX4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45475</v>
      </c>
      <c r="BY43" s="35">
        <f>WORKDAY(SOFR[[#This Row],[Maturity Date (T2)]],OISPaymentDelay,Holidays_NY_Public)</f>
        <v>45478</v>
      </c>
      <c r="BZ43" s="41" t="b">
        <f>SOFR[[#This Row],[Par Swap Rate]]&lt;&gt;""</f>
        <v>1</v>
      </c>
      <c r="CA43" s="28" t="b">
        <v>1</v>
      </c>
      <c r="CB43" s="28" t="b">
        <f>AND(SOFR[[#This Row],[Valid]],SOFR[[#This Row],[Zero-coupon?]])</f>
        <v>1</v>
      </c>
      <c r="CC43" s="28" t="b">
        <f>AND(SOFR[[#This Row],[Valid]],NOT(SOFR[[#This Row],[Analytical Solve]]))</f>
        <v>0</v>
      </c>
      <c r="CD43" s="22">
        <f>SOFR[[#This Row],[Numerical Solve]]*1</f>
        <v>0</v>
      </c>
      <c r="CE43" s="153">
        <f>IF(SOFR[[#This Row],[Analytical Solve]],1+SOFR[[#This Row],[Par Swap Rate]]%*YEARFRAC(SOFR[[#This Row],[Settle Date (T1)]],SOFR[[#This Row],[Maturity Date (T2)]],DayCount_SOFR),"")</f>
        <v>1.0005555555555556</v>
      </c>
      <c r="CF43" s="150" cm="1">
        <f t="array" ref="CF43">IF(SOFR[[#This Row],[Analytical Solve]],_xlfn.IFS(SOFR[[#This Row],[Settle Date (T1)]]=CurveDate,1,TRUE,_xlfn.XLOOKUP(SOFR[[#This Row],[Settle Date (T1)]],SOFR[Maturity Date (T2)],SOFR[DF(T2)])),"")</f>
        <v>1</v>
      </c>
      <c r="CG43" s="112">
        <f>IF(SOFR[[#This Row],[Analytical Solve]],SOFR[[#This Row],[DF(T1)]]/SOFR[[#This Row],[1+r𝛿]],"")</f>
        <v>0.99944475291504709</v>
      </c>
      <c r="CH43" s="46">
        <f>IF(SOFR[[#This Row],[Numerical Solve]],SUM(SOFR[[#Headers],[Flag]]:SOFR[[#This Row],[Flag]]),0)</f>
        <v>0</v>
      </c>
      <c r="CI43" s="183"/>
    </row>
    <row r="44" spans="4:87">
      <c r="O44" s="2"/>
      <c r="P44" s="9"/>
      <c r="AW44" s="2" t="s">
        <v>21</v>
      </c>
      <c r="AX44" s="40">
        <v>15</v>
      </c>
      <c r="AY44" s="178">
        <f>IF(BBSW6M[[#This Row],[Numerical Solve]],BBSW6M[[#This Row],[Maturity Date, T2]],"")</f>
        <v>45839</v>
      </c>
      <c r="AZ44" s="177" cm="1">
        <f t="array" ref="AZ44">IF(BBSW6M[[#This Row],[Numerical Solve]],Linterp(_xlfn.ANCHORARRAY(Curves!$Q$4),_xlfn.ANCHORARRAY(Curves!$T$4),BBSW6M[[#This Row],[Maturity]]),"")</f>
        <v>0.95074356708824415</v>
      </c>
      <c r="BA44" s="179">
        <f>IF(BBSW6M[[#This Row],[Numerical Solve]],-1*LN(BBSW6M[[#This Row],[Solved DF]])/YEARFRAC(CurveDate,BBSW6M[[#This Row],[Maturity Date, T2]],DCB_CCZR),"")</f>
        <v>5.009912471324425E-2</v>
      </c>
      <c r="BB44" s="175">
        <f>_xlfn.XLOOKUP(BBSW6M[[#This Row],[Tenor]],BBSW3MSwaps[Tenor],BBSW3MSwaps[Effective Date, T1])</f>
        <v>45474</v>
      </c>
      <c r="BC44" s="175">
        <f>_xlfn.XLOOKUP(BBSW6M[[#This Row],[Tenor]],BBSW3MSwaps[Tenor],BBSW3MSwaps[Maturity Date, T2])</f>
        <v>45839</v>
      </c>
      <c r="BD44" s="41" t="b">
        <f>BBSW6M[[#This Row],[Basis Spread]]&lt;&gt;""</f>
        <v>1</v>
      </c>
      <c r="BE44" s="176">
        <f>BBSW6M[[#This Row],[Numerical Solve]]*1</f>
        <v>1</v>
      </c>
      <c r="BF44" s="176">
        <f>IF(BBSW6M[[#This Row],[Numerical Solve]],SUM(BBSW6M[[#Headers],[Flag]]:BBSW6M[[#This Row],[Flag]]),0)</f>
        <v>1</v>
      </c>
      <c r="BG44" s="113">
        <v>0.95074356708824415</v>
      </c>
      <c r="BN44" s="103" t="s">
        <v>40</v>
      </c>
      <c r="BO44" s="33">
        <v>5</v>
      </c>
      <c r="BP44" s="115">
        <f>IF(SOFR[[#This Row],[Valid]],SOFR[[#This Row],[Maturity Date (T2)]],"")</f>
        <v>45483</v>
      </c>
      <c r="BQ44" s="142" cm="1">
        <f t="array" ref="BQ44">IF(SOFR[[#This Row],[Valid]],Linterp(_xlfn.ANCHORARRAY(Curves!$V$4),_xlfn.ANCHORARRAY(Curves!$Y$4),SOFR[[#This Row],[Maturity]],-1,TRUE),"")</f>
        <v>0.99833549125809373</v>
      </c>
      <c r="BR44" s="143">
        <f>IF(SOFR[[#This Row],[Valid]],-1*LN(SOFR[[#This Row],[DF]])/YEARFRAC(CurveDate,SOFR[[#This Row],[Maturity]],DCB_CCZR),"")</f>
        <v>5.0670990428369249E-2</v>
      </c>
      <c r="BS44" s="142" t="b">
        <v>1</v>
      </c>
      <c r="BT44" s="110">
        <f>IF(SOFR[[#This Row],[Has Settle Delay]],SettlementDelayUSD,0)</f>
        <v>2</v>
      </c>
      <c r="BU44" s="35">
        <f>WORKDAY(CurveDate,SOFR[[#This Row],[Settle Delay]],Holidays_NY_Public)</f>
        <v>45475</v>
      </c>
      <c r="BV44" s="8">
        <v>5</v>
      </c>
      <c r="BW44" s="38" t="s">
        <v>151</v>
      </c>
      <c r="BX44" s="35" cm="1">
        <f t="array" ref="BX4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45483</v>
      </c>
      <c r="BY44" s="35">
        <f>WORKDAY(SOFR[[#This Row],[Maturity Date (T2)]],OISPaymentDelay,Holidays_NY_Public)</f>
        <v>45485</v>
      </c>
      <c r="BZ44" s="41" t="b">
        <f>SOFR[[#This Row],[Par Swap Rate]]&lt;&gt;""</f>
        <v>1</v>
      </c>
      <c r="CA44" s="28" t="b">
        <v>1</v>
      </c>
      <c r="CB44" s="28" t="b">
        <f>AND(SOFR[[#This Row],[Valid]],SOFR[[#This Row],[Zero-coupon?]])</f>
        <v>1</v>
      </c>
      <c r="CC44" s="28" t="b">
        <f>AND(SOFR[[#This Row],[Valid]],NOT(SOFR[[#This Row],[Analytical Solve]]))</f>
        <v>0</v>
      </c>
      <c r="CD44" s="22">
        <f>SOFR[[#This Row],[Numerical Solve]]*1</f>
        <v>0</v>
      </c>
      <c r="CE44" s="153">
        <f>IF(SOFR[[#This Row],[Analytical Solve]],1+SOFR[[#This Row],[Par Swap Rate]]%*YEARFRAC(SOFR[[#This Row],[Settle Date (T1)]],SOFR[[#This Row],[Maturity Date (T2)]],DayCount_SOFR),"")</f>
        <v>1.0011111111111111</v>
      </c>
      <c r="CF44" s="150" cm="1">
        <f t="array" ref="CF44">IF(SOFR[[#This Row],[Analytical Solve]],_xlfn.IFS(SOFR[[#This Row],[Settle Date (T1)]]=CurveDate,1,TRUE,_xlfn.XLOOKUP(SOFR[[#This Row],[Settle Date (T1)]],SOFR[Maturity Date (T2)],SOFR[DF(T2)])),"")</f>
        <v>0.99944475291504709</v>
      </c>
      <c r="CG44" s="112">
        <f>IF(SOFR[[#This Row],[Analytical Solve]],SOFR[[#This Row],[DF(T1)]]/SOFR[[#This Row],[1+r𝛿]],"")</f>
        <v>0.99833549125809373</v>
      </c>
      <c r="CH44" s="46">
        <f>IF(SOFR[[#This Row],[Numerical Solve]],SUM(SOFR[[#Headers],[Flag]]:SOFR[[#This Row],[Flag]]),0)</f>
        <v>0</v>
      </c>
      <c r="CI44" s="183"/>
    </row>
    <row r="45" spans="4:87">
      <c r="O45" s="2"/>
      <c r="P45" s="9"/>
      <c r="AW45" s="2" t="s">
        <v>16</v>
      </c>
      <c r="AX45" s="40">
        <v>15</v>
      </c>
      <c r="AY45" s="178">
        <f>IF(BBSW6M[[#This Row],[Numerical Solve]],BBSW6M[[#This Row],[Maturity Date, T2]],"")</f>
        <v>46204</v>
      </c>
      <c r="AZ45" s="177" cm="1">
        <f t="array" ref="AZ45">IF(BBSW6M[[#This Row],[Numerical Solve]],Linterp(_xlfn.ANCHORARRAY(Curves!$Q$4),_xlfn.ANCHORARRAY(Curves!$T$4),BBSW6M[[#This Row],[Maturity]]),"")</f>
        <v>0.90332815310619019</v>
      </c>
      <c r="BA45" s="179">
        <f>IF(BBSW6M[[#This Row],[Numerical Solve]],-1*LN(BBSW6M[[#This Row],[Solved DF]])/YEARFRAC(CurveDate,BBSW6M[[#This Row],[Maturity Date, T2]],DCB_CCZR),"")</f>
        <v>5.0626639497999518E-2</v>
      </c>
      <c r="BB45" s="175">
        <f>_xlfn.XLOOKUP(BBSW6M[[#This Row],[Tenor]],BBSW3MSwaps[Tenor],BBSW3MSwaps[Effective Date, T1])</f>
        <v>45474</v>
      </c>
      <c r="BC45" s="175">
        <f>_xlfn.XLOOKUP(BBSW6M[[#This Row],[Tenor]],BBSW3MSwaps[Tenor],BBSW3MSwaps[Maturity Date, T2])</f>
        <v>46204</v>
      </c>
      <c r="BD45" s="41" t="b">
        <f>BBSW6M[[#This Row],[Basis Spread]]&lt;&gt;""</f>
        <v>1</v>
      </c>
      <c r="BE45" s="176">
        <f>BBSW6M[[#This Row],[Numerical Solve]]*1</f>
        <v>1</v>
      </c>
      <c r="BF45" s="176">
        <f>IF(BBSW6M[[#This Row],[Numerical Solve]],SUM(BBSW6M[[#Headers],[Flag]]:BBSW6M[[#This Row],[Flag]]),0)</f>
        <v>2</v>
      </c>
      <c r="BG45" s="113">
        <v>0.90332815310619019</v>
      </c>
      <c r="BN45" s="103" t="s">
        <v>39</v>
      </c>
      <c r="BO45" s="33">
        <v>5</v>
      </c>
      <c r="BP45" s="115">
        <f>IF(SOFR[[#This Row],[Valid]],SOFR[[#This Row],[Maturity Date (T2)]],"")</f>
        <v>45490</v>
      </c>
      <c r="BQ45" s="142" cm="1">
        <f t="array" ref="BQ45">IF(SOFR[[#This Row],[Valid]],Linterp(_xlfn.ANCHORARRAY(Curves!$V$4),_xlfn.ANCHORARRAY(Curves!$Y$4),SOFR[[#This Row],[Maturity]],-1,TRUE),"")</f>
        <v>0.99736690519588889</v>
      </c>
      <c r="BR45" s="143">
        <f>IF(SOFR[[#This Row],[Valid]],-1*LN(SOFR[[#This Row],[DF]])/YEARFRAC(CurveDate,SOFR[[#This Row],[Maturity]],DCB_CCZR),"")</f>
        <v>5.0649849256134187E-2</v>
      </c>
      <c r="BS45" s="142" t="b">
        <v>1</v>
      </c>
      <c r="BT45" s="110">
        <f>IF(SOFR[[#This Row],[Has Settle Delay]],SettlementDelayUSD,0)</f>
        <v>2</v>
      </c>
      <c r="BU45" s="35">
        <f>WORKDAY(CurveDate,SOFR[[#This Row],[Settle Delay]],Holidays_NY_Public)</f>
        <v>45475</v>
      </c>
      <c r="BV45" s="8">
        <v>10</v>
      </c>
      <c r="BW45" s="38" t="s">
        <v>151</v>
      </c>
      <c r="BX45" s="35" cm="1">
        <f t="array" ref="BX4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45490</v>
      </c>
      <c r="BY45" s="35">
        <f>WORKDAY(SOFR[[#This Row],[Maturity Date (T2)]],OISPaymentDelay,Holidays_NY_Public)</f>
        <v>45492</v>
      </c>
      <c r="BZ45" s="41" t="b">
        <f>SOFR[[#This Row],[Par Swap Rate]]&lt;&gt;""</f>
        <v>1</v>
      </c>
      <c r="CA45" s="28" t="b">
        <v>1</v>
      </c>
      <c r="CB45" s="28" t="b">
        <f>AND(SOFR[[#This Row],[Valid]],SOFR[[#This Row],[Zero-coupon?]])</f>
        <v>1</v>
      </c>
      <c r="CC45" s="28" t="b">
        <f>AND(SOFR[[#This Row],[Valid]],NOT(SOFR[[#This Row],[Analytical Solve]]))</f>
        <v>0</v>
      </c>
      <c r="CD45" s="22">
        <f>SOFR[[#This Row],[Numerical Solve]]*1</f>
        <v>0</v>
      </c>
      <c r="CE45" s="153">
        <f>IF(SOFR[[#This Row],[Analytical Solve]],1+SOFR[[#This Row],[Par Swap Rate]]%*YEARFRAC(SOFR[[#This Row],[Settle Date (T1)]],SOFR[[#This Row],[Maturity Date (T2)]],DayCount_SOFR),"")</f>
        <v>1.0020833333333334</v>
      </c>
      <c r="CF45" s="150" cm="1">
        <f t="array" ref="CF45">IF(SOFR[[#This Row],[Analytical Solve]],_xlfn.IFS(SOFR[[#This Row],[Settle Date (T1)]]=CurveDate,1,TRUE,_xlfn.XLOOKUP(SOFR[[#This Row],[Settle Date (T1)]],SOFR[Maturity Date (T2)],SOFR[DF(T2)])),"")</f>
        <v>0.99944475291504709</v>
      </c>
      <c r="CG45" s="112">
        <f>IF(SOFR[[#This Row],[Analytical Solve]],SOFR[[#This Row],[DF(T1)]]/SOFR[[#This Row],[1+r𝛿]],"")</f>
        <v>0.99736690519588889</v>
      </c>
      <c r="CH45" s="46">
        <f>IF(SOFR[[#This Row],[Numerical Solve]],SUM(SOFR[[#Headers],[Flag]]:SOFR[[#This Row],[Flag]]),0)</f>
        <v>0</v>
      </c>
      <c r="CI45" s="183"/>
    </row>
    <row r="46" spans="4:87">
      <c r="O46" s="2"/>
      <c r="P46" s="9"/>
      <c r="AW46" s="2" t="s">
        <v>15</v>
      </c>
      <c r="AX46" s="40">
        <v>15</v>
      </c>
      <c r="AY46" s="178">
        <f>IF(BBSW6M[[#This Row],[Numerical Solve]],BBSW6M[[#This Row],[Maturity Date, T2]],"")</f>
        <v>46569</v>
      </c>
      <c r="AZ46" s="177" cm="1">
        <f t="array" ref="AZ46">IF(BBSW6M[[#This Row],[Numerical Solve]],Linterp(_xlfn.ANCHORARRAY(Curves!$Q$4),_xlfn.ANCHORARRAY(Curves!$T$4),BBSW6M[[#This Row],[Maturity]]),"")</f>
        <v>0.87072579877720913</v>
      </c>
      <c r="BA46" s="179">
        <f>IF(BBSW6M[[#This Row],[Numerical Solve]],-1*LN(BBSW6M[[#This Row],[Solved DF]])/YEARFRAC(CurveDate,BBSW6M[[#This Row],[Maturity Date, T2]],DCB_CCZR),"")</f>
        <v>4.6016648211131925E-2</v>
      </c>
      <c r="BB46" s="175">
        <f>_xlfn.XLOOKUP(BBSW6M[[#This Row],[Tenor]],BBSW3MSwaps[Tenor],BBSW3MSwaps[Effective Date, T1])</f>
        <v>45474</v>
      </c>
      <c r="BC46" s="175">
        <f>_xlfn.XLOOKUP(BBSW6M[[#This Row],[Tenor]],BBSW3MSwaps[Tenor],BBSW3MSwaps[Maturity Date, T2])</f>
        <v>46569</v>
      </c>
      <c r="BD46" s="41" t="b">
        <f>BBSW6M[[#This Row],[Basis Spread]]&lt;&gt;""</f>
        <v>1</v>
      </c>
      <c r="BE46" s="176">
        <f>BBSW6M[[#This Row],[Numerical Solve]]*1</f>
        <v>1</v>
      </c>
      <c r="BF46" s="176">
        <f>IF(BBSW6M[[#This Row],[Numerical Solve]],SUM(BBSW6M[[#Headers],[Flag]]:BBSW6M[[#This Row],[Flag]]),0)</f>
        <v>3</v>
      </c>
      <c r="BG46" s="113">
        <v>0.87072579877720913</v>
      </c>
      <c r="BN46" s="103" t="s">
        <v>38</v>
      </c>
      <c r="BO46" s="33">
        <v>5</v>
      </c>
      <c r="BP46" s="115">
        <f>IF(SOFR[[#This Row],[Valid]],SOFR[[#This Row],[Maturity Date (T2)]],"")</f>
        <v>45497</v>
      </c>
      <c r="BQ46" s="142" cm="1">
        <f t="array" ref="BQ46">IF(SOFR[[#This Row],[Valid]],Linterp(_xlfn.ANCHORARRAY(Curves!$V$4),_xlfn.ANCHORARRAY(Curves!$Y$4),SOFR[[#This Row],[Maturity]],-1,TRUE),"")</f>
        <v>0.99640019675828562</v>
      </c>
      <c r="BR46" s="143">
        <f>IF(SOFR[[#This Row],[Valid]],-1*LN(SOFR[[#This Row],[DF]])/YEARFRAC(CurveDate,SOFR[[#This Row],[Maturity]],DCB_CCZR),"")</f>
        <v>5.0626877523428461E-2</v>
      </c>
      <c r="BS46" s="142" t="b">
        <v>1</v>
      </c>
      <c r="BT46" s="110">
        <f>IF(SOFR[[#This Row],[Has Settle Delay]],SettlementDelayUSD,0)</f>
        <v>2</v>
      </c>
      <c r="BU46" s="35">
        <f>WORKDAY(CurveDate,SOFR[[#This Row],[Settle Delay]],Holidays_NY_Public)</f>
        <v>45475</v>
      </c>
      <c r="BV46" s="8">
        <v>15</v>
      </c>
      <c r="BW46" s="38" t="s">
        <v>151</v>
      </c>
      <c r="BX46" s="35" cm="1">
        <f t="array" ref="BX4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45497</v>
      </c>
      <c r="BY46" s="35">
        <f>WORKDAY(SOFR[[#This Row],[Maturity Date (T2)]],OISPaymentDelay,Holidays_NY_Public)</f>
        <v>45499</v>
      </c>
      <c r="BZ46" s="41" t="b">
        <f>SOFR[[#This Row],[Par Swap Rate]]&lt;&gt;""</f>
        <v>1</v>
      </c>
      <c r="CA46" s="28" t="b">
        <v>1</v>
      </c>
      <c r="CB46" s="28" t="b">
        <f>AND(SOFR[[#This Row],[Valid]],SOFR[[#This Row],[Zero-coupon?]])</f>
        <v>1</v>
      </c>
      <c r="CC46" s="28" t="b">
        <f>AND(SOFR[[#This Row],[Valid]],NOT(SOFR[[#This Row],[Analytical Solve]]))</f>
        <v>0</v>
      </c>
      <c r="CD46" s="22">
        <f>SOFR[[#This Row],[Numerical Solve]]*1</f>
        <v>0</v>
      </c>
      <c r="CE46" s="153">
        <f>IF(SOFR[[#This Row],[Analytical Solve]],1+SOFR[[#This Row],[Par Swap Rate]]%*YEARFRAC(SOFR[[#This Row],[Settle Date (T1)]],SOFR[[#This Row],[Maturity Date (T2)]],DayCount_SOFR),"")</f>
        <v>1.0030555555555556</v>
      </c>
      <c r="CF46" s="150" cm="1">
        <f t="array" ref="CF46">IF(SOFR[[#This Row],[Analytical Solve]],_xlfn.IFS(SOFR[[#This Row],[Settle Date (T1)]]=CurveDate,1,TRUE,_xlfn.XLOOKUP(SOFR[[#This Row],[Settle Date (T1)]],SOFR[Maturity Date (T2)],SOFR[DF(T2)])),"")</f>
        <v>0.99944475291504709</v>
      </c>
      <c r="CG46" s="112">
        <f>IF(SOFR[[#This Row],[Analytical Solve]],SOFR[[#This Row],[DF(T1)]]/SOFR[[#This Row],[1+r𝛿]],"")</f>
        <v>0.99640019675828562</v>
      </c>
      <c r="CH46" s="46">
        <f>IF(SOFR[[#This Row],[Numerical Solve]],SUM(SOFR[[#Headers],[Flag]]:SOFR[[#This Row],[Flag]]),0)</f>
        <v>0</v>
      </c>
      <c r="CI46" s="183"/>
    </row>
    <row r="47" spans="4:87">
      <c r="O47" s="2"/>
      <c r="P47" s="9"/>
      <c r="AW47" s="2" t="s">
        <v>14</v>
      </c>
      <c r="AX47" s="40">
        <v>15</v>
      </c>
      <c r="AY47" s="178">
        <f>IF(BBSW6M[[#This Row],[Numerical Solve]],BBSW6M[[#This Row],[Maturity Date, T2]],"")</f>
        <v>46937</v>
      </c>
      <c r="AZ47" s="177" cm="1">
        <f t="array" ref="AZ47">IF(BBSW6M[[#This Row],[Numerical Solve]],Linterp(_xlfn.ANCHORARRAY(Curves!$Q$4),_xlfn.ANCHORARRAY(Curves!$T$4),BBSW6M[[#This Row],[Maturity]]),"")</f>
        <v>0.83194512274743193</v>
      </c>
      <c r="BA47" s="179">
        <f>IF(BBSW6M[[#This Row],[Numerical Solve]],-1*LN(BBSW6M[[#This Row],[Solved DF]])/YEARFRAC(CurveDate,BBSW6M[[#This Row],[Maturity Date, T2]],DCB_CCZR),"")</f>
        <v>4.580894371007696E-2</v>
      </c>
      <c r="BB47" s="175">
        <f>_xlfn.XLOOKUP(BBSW6M[[#This Row],[Tenor]],BBSW3MSwaps[Tenor],BBSW3MSwaps[Effective Date, T1])</f>
        <v>45474</v>
      </c>
      <c r="BC47" s="175">
        <f>_xlfn.XLOOKUP(BBSW6M[[#This Row],[Tenor]],BBSW3MSwaps[Tenor],BBSW3MSwaps[Maturity Date, T2])</f>
        <v>46937</v>
      </c>
      <c r="BD47" s="41" t="b">
        <f>BBSW6M[[#This Row],[Basis Spread]]&lt;&gt;""</f>
        <v>1</v>
      </c>
      <c r="BE47" s="176">
        <f>BBSW6M[[#This Row],[Numerical Solve]]*1</f>
        <v>1</v>
      </c>
      <c r="BF47" s="176">
        <f>IF(BBSW6M[[#This Row],[Numerical Solve]],SUM(BBSW6M[[#Headers],[Flag]]:BBSW6M[[#This Row],[Flag]]),0)</f>
        <v>4</v>
      </c>
      <c r="BG47" s="113">
        <v>0.83194512274743193</v>
      </c>
      <c r="BN47" s="103" t="s">
        <v>37</v>
      </c>
      <c r="BO47" s="33">
        <v>5</v>
      </c>
      <c r="BP47" s="115">
        <f>IF(SOFR[[#This Row],[Valid]],SOFR[[#This Row],[Maturity Date (T2)]],"")</f>
        <v>45506</v>
      </c>
      <c r="BQ47" s="142" cm="1">
        <f t="array" ref="BQ47">IF(SOFR[[#This Row],[Valid]],Linterp(_xlfn.ANCHORARRAY(Curves!$V$4),_xlfn.ANCHORARRAY(Curves!$Y$4),SOFR[[#This Row],[Maturity]],-1,TRUE),"")</f>
        <v>0.99516003609298009</v>
      </c>
      <c r="BR47" s="143">
        <f>IF(SOFR[[#This Row],[Valid]],-1*LN(SOFR[[#This Row],[DF]])/YEARFRAC(CurveDate,SOFR[[#This Row],[Maturity]],DCB_CCZR),"")</f>
        <v>5.0596450823269509E-2</v>
      </c>
      <c r="BS47" s="142" t="b">
        <v>1</v>
      </c>
      <c r="BT47" s="110">
        <f>IF(SOFR[[#This Row],[Has Settle Delay]],SettlementDelayUSD,0)</f>
        <v>2</v>
      </c>
      <c r="BU47" s="35">
        <f>WORKDAY(CurveDate,SOFR[[#This Row],[Settle Delay]],Holidays_NY_Public)</f>
        <v>45475</v>
      </c>
      <c r="BV47" s="8">
        <v>1</v>
      </c>
      <c r="BW47" s="8" t="s">
        <v>17</v>
      </c>
      <c r="BX47" s="35" cm="1">
        <f t="array" ref="BX4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45506</v>
      </c>
      <c r="BY47" s="35">
        <f>WORKDAY(SOFR[[#This Row],[Maturity Date (T2)]],OISPaymentDelay,Holidays_NY_Public)</f>
        <v>45510</v>
      </c>
      <c r="BZ47" s="41" t="b">
        <f>SOFR[[#This Row],[Par Swap Rate]]&lt;&gt;""</f>
        <v>1</v>
      </c>
      <c r="CA47" s="28" t="b">
        <v>1</v>
      </c>
      <c r="CB47" s="28" t="b">
        <f>AND(SOFR[[#This Row],[Valid]],SOFR[[#This Row],[Zero-coupon?]])</f>
        <v>1</v>
      </c>
      <c r="CC47" s="28" t="b">
        <f>AND(SOFR[[#This Row],[Valid]],NOT(SOFR[[#This Row],[Analytical Solve]]))</f>
        <v>0</v>
      </c>
      <c r="CD47" s="22">
        <f>SOFR[[#This Row],[Numerical Solve]]*1</f>
        <v>0</v>
      </c>
      <c r="CE47" s="153">
        <f>IF(SOFR[[#This Row],[Analytical Solve]],1+SOFR[[#This Row],[Par Swap Rate]]%*YEARFRAC(SOFR[[#This Row],[Settle Date (T1)]],SOFR[[#This Row],[Maturity Date (T2)]],DayCount_SOFR),"")</f>
        <v>1.0043055555555556</v>
      </c>
      <c r="CF47" s="150" cm="1">
        <f t="array" ref="CF47">IF(SOFR[[#This Row],[Analytical Solve]],_xlfn.IFS(SOFR[[#This Row],[Settle Date (T1)]]=CurveDate,1,TRUE,_xlfn.XLOOKUP(SOFR[[#This Row],[Settle Date (T1)]],SOFR[Maturity Date (T2)],SOFR[DF(T2)])),"")</f>
        <v>0.99944475291504709</v>
      </c>
      <c r="CG47" s="112">
        <f>IF(SOFR[[#This Row],[Analytical Solve]],SOFR[[#This Row],[DF(T1)]]/SOFR[[#This Row],[1+r𝛿]],"")</f>
        <v>0.99516003609298009</v>
      </c>
      <c r="CH47" s="46">
        <f>IF(SOFR[[#This Row],[Numerical Solve]],SUM(SOFR[[#Headers],[Flag]]:SOFR[[#This Row],[Flag]]),0)</f>
        <v>0</v>
      </c>
      <c r="CI47" s="183"/>
    </row>
    <row r="48" spans="4:87">
      <c r="P48" s="9"/>
      <c r="AW48" s="2" t="s">
        <v>13</v>
      </c>
      <c r="AX48" s="40">
        <v>15</v>
      </c>
      <c r="AY48" s="178">
        <f>IF(BBSW6M[[#This Row],[Numerical Solve]],BBSW6M[[#This Row],[Maturity Date, T2]],"")</f>
        <v>47301</v>
      </c>
      <c r="AZ48" s="177" cm="1">
        <f t="array" ref="AZ48">IF(BBSW6M[[#This Row],[Numerical Solve]],Linterp(_xlfn.ANCHORARRAY(Curves!$Q$4),_xlfn.ANCHORARRAY(Curves!$T$4),BBSW6M[[#This Row],[Maturity]]),"")</f>
        <v>0.79466343174830445</v>
      </c>
      <c r="BA48" s="179">
        <f>IF(BBSW6M[[#This Row],[Numerical Solve]],-1*LN(BBSW6M[[#This Row],[Solved DF]])/YEARFRAC(CurveDate,BBSW6M[[#This Row],[Maturity Date, T2]],DCB_CCZR),"")</f>
        <v>4.5841728275866071E-2</v>
      </c>
      <c r="BB48" s="175">
        <f>_xlfn.XLOOKUP(BBSW6M[[#This Row],[Tenor]],BBSW3MSwaps[Tenor],BBSW3MSwaps[Effective Date, T1])</f>
        <v>45474</v>
      </c>
      <c r="BC48" s="175">
        <f>_xlfn.XLOOKUP(BBSW6M[[#This Row],[Tenor]],BBSW3MSwaps[Tenor],BBSW3MSwaps[Maturity Date, T2])</f>
        <v>47301</v>
      </c>
      <c r="BD48" s="41" t="b">
        <f>BBSW6M[[#This Row],[Basis Spread]]&lt;&gt;""</f>
        <v>1</v>
      </c>
      <c r="BE48" s="176">
        <f>BBSW6M[[#This Row],[Numerical Solve]]*1</f>
        <v>1</v>
      </c>
      <c r="BF48" s="176">
        <f>IF(BBSW6M[[#This Row],[Numerical Solve]],SUM(BBSW6M[[#Headers],[Flag]]:BBSW6M[[#This Row],[Flag]]),0)</f>
        <v>5</v>
      </c>
      <c r="BG48" s="113">
        <v>0.79466343174830445</v>
      </c>
      <c r="BN48" s="103" t="s">
        <v>35</v>
      </c>
      <c r="BO48" s="33">
        <v>5</v>
      </c>
      <c r="BP48" s="115">
        <f>IF(SOFR[[#This Row],[Valid]],SOFR[[#This Row],[Maturity Date (T2)]],"")</f>
        <v>45538</v>
      </c>
      <c r="BQ48" s="142" cm="1">
        <f t="array" ref="BQ48">IF(SOFR[[#This Row],[Valid]],Linterp(_xlfn.ANCHORARRAY(Curves!$V$4),_xlfn.ANCHORARRAY(Curves!$Y$4),SOFR[[#This Row],[Maturity]],-1,TRUE),"")</f>
        <v>0.99077546757377655</v>
      </c>
      <c r="BR48" s="143">
        <f>IF(SOFR[[#This Row],[Valid]],-1*LN(SOFR[[#This Row],[DF]])/YEARFRAC(CurveDate,SOFR[[#This Row],[Maturity]],DCB_CCZR),"")</f>
        <v>5.0486265540423771E-2</v>
      </c>
      <c r="BS48" s="142" t="b">
        <v>1</v>
      </c>
      <c r="BT48" s="110">
        <f>IF(SOFR[[#This Row],[Has Settle Delay]],SettlementDelayUSD,0)</f>
        <v>2</v>
      </c>
      <c r="BU48" s="35">
        <f>WORKDAY(CurveDate,SOFR[[#This Row],[Settle Delay]],Holidays_NY_Public)</f>
        <v>45475</v>
      </c>
      <c r="BV48" s="8">
        <v>2</v>
      </c>
      <c r="BW48" s="8" t="s">
        <v>17</v>
      </c>
      <c r="BX48" s="35" cm="1">
        <f t="array" ref="BX4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45538</v>
      </c>
      <c r="BY48" s="35">
        <f>WORKDAY(SOFR[[#This Row],[Maturity Date (T2)]],OISPaymentDelay,Holidays_NY_Public)</f>
        <v>45540</v>
      </c>
      <c r="BZ48" s="41" t="b">
        <f>SOFR[[#This Row],[Par Swap Rate]]&lt;&gt;""</f>
        <v>1</v>
      </c>
      <c r="CA48" s="28" t="b">
        <v>1</v>
      </c>
      <c r="CB48" s="28" t="b">
        <f>AND(SOFR[[#This Row],[Valid]],SOFR[[#This Row],[Zero-coupon?]])</f>
        <v>1</v>
      </c>
      <c r="CC48" s="28" t="b">
        <f>AND(SOFR[[#This Row],[Valid]],NOT(SOFR[[#This Row],[Analytical Solve]]))</f>
        <v>0</v>
      </c>
      <c r="CD48" s="22">
        <f>SOFR[[#This Row],[Numerical Solve]]*1</f>
        <v>0</v>
      </c>
      <c r="CE48" s="153">
        <f>IF(SOFR[[#This Row],[Analytical Solve]],1+SOFR[[#This Row],[Par Swap Rate]]%*YEARFRAC(SOFR[[#This Row],[Settle Date (T1)]],SOFR[[#This Row],[Maturity Date (T2)]],DayCount_SOFR),"")</f>
        <v>1.00875</v>
      </c>
      <c r="CF48" s="150" cm="1">
        <f t="array" ref="CF48">IF(SOFR[[#This Row],[Analytical Solve]],_xlfn.IFS(SOFR[[#This Row],[Settle Date (T1)]]=CurveDate,1,TRUE,_xlfn.XLOOKUP(SOFR[[#This Row],[Settle Date (T1)]],SOFR[Maturity Date (T2)],SOFR[DF(T2)])),"")</f>
        <v>0.99944475291504709</v>
      </c>
      <c r="CG48" s="112">
        <f>IF(SOFR[[#This Row],[Analytical Solve]],SOFR[[#This Row],[DF(T1)]]/SOFR[[#This Row],[1+r𝛿]],"")</f>
        <v>0.99077546757377655</v>
      </c>
      <c r="CH48" s="46">
        <f>IF(SOFR[[#This Row],[Numerical Solve]],SUM(SOFR[[#Headers],[Flag]]:SOFR[[#This Row],[Flag]]),0)</f>
        <v>0</v>
      </c>
      <c r="CI48" s="183"/>
    </row>
    <row r="49" spans="16:87">
      <c r="P49" s="9"/>
      <c r="AW49" s="2" t="s">
        <v>12</v>
      </c>
      <c r="AX49" s="40"/>
      <c r="AY49" s="178" t="str">
        <f>IF(BBSW6M[[#This Row],[Numerical Solve]],BBSW6M[[#This Row],[Maturity Date, T2]],"")</f>
        <v/>
      </c>
      <c r="AZ49" s="177" t="str" cm="1">
        <f t="array" ref="AZ49">IF(BBSW6M[[#This Row],[Numerical Solve]],Linterp(_xlfn.ANCHORARRAY(Curves!$Q$4),_xlfn.ANCHORARRAY(Curves!$T$4),BBSW6M[[#This Row],[Maturity]]),"")</f>
        <v/>
      </c>
      <c r="BA49" s="179" t="str">
        <f>IF(BBSW6M[[#This Row],[Numerical Solve]],-1*LN(BBSW6M[[#This Row],[Solved DF]])/YEARFRAC(CurveDate,BBSW6M[[#This Row],[Maturity Date, T2]],DCB_CCZR),"")</f>
        <v/>
      </c>
      <c r="BB49" s="175">
        <f>_xlfn.XLOOKUP(BBSW6M[[#This Row],[Tenor]],BBSW3MSwaps[Tenor],BBSW3MSwaps[Effective Date, T1])</f>
        <v>45474</v>
      </c>
      <c r="BC49" s="175">
        <f>_xlfn.XLOOKUP(BBSW6M[[#This Row],[Tenor]],BBSW3MSwaps[Tenor],BBSW3MSwaps[Maturity Date, T2])</f>
        <v>47665</v>
      </c>
      <c r="BD49" s="41" t="b">
        <f>BBSW6M[[#This Row],[Basis Spread]]&lt;&gt;""</f>
        <v>0</v>
      </c>
      <c r="BE49" s="176">
        <f>BBSW6M[[#This Row],[Numerical Solve]]*1</f>
        <v>0</v>
      </c>
      <c r="BF49" s="176">
        <f>IF(BBSW6M[[#This Row],[Numerical Solve]],SUM(BBSW6M[[#Headers],[Flag]]:BBSW6M[[#This Row],[Flag]]),0)</f>
        <v>0</v>
      </c>
      <c r="BG49" s="113"/>
      <c r="BN49" s="103" t="s">
        <v>33</v>
      </c>
      <c r="BO49" s="33">
        <v>5</v>
      </c>
      <c r="BP49" s="115">
        <f>IF(SOFR[[#This Row],[Valid]],SOFR[[#This Row],[Maturity Date (T2)]],"")</f>
        <v>45567</v>
      </c>
      <c r="BQ49" s="142" cm="1">
        <f t="array" ref="BQ49">IF(SOFR[[#This Row],[Valid]],Linterp(_xlfn.ANCHORARRAY(Curves!$V$4),_xlfn.ANCHORARRAY(Curves!$Y$4),SOFR[[#This Row],[Maturity]],-1,TRUE),"")</f>
        <v>0.98683519212676074</v>
      </c>
      <c r="BR49" s="143">
        <f>IF(SOFR[[#This Row],[Valid]],-1*LN(SOFR[[#This Row],[DF]])/YEARFRAC(CurveDate,SOFR[[#This Row],[Maturity]],DCB_CCZR),"")</f>
        <v>5.0386090744052904E-2</v>
      </c>
      <c r="BS49" s="142" t="b">
        <v>1</v>
      </c>
      <c r="BT49" s="110">
        <f>IF(SOFR[[#This Row],[Has Settle Delay]],SettlementDelayUSD,0)</f>
        <v>2</v>
      </c>
      <c r="BU49" s="35">
        <f>WORKDAY(CurveDate,SOFR[[#This Row],[Settle Delay]],Holidays_NY_Public)</f>
        <v>45475</v>
      </c>
      <c r="BV49" s="8">
        <v>3</v>
      </c>
      <c r="BW49" s="8" t="s">
        <v>17</v>
      </c>
      <c r="BX49" s="35" cm="1">
        <f t="array" ref="BX4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45567</v>
      </c>
      <c r="BY49" s="35">
        <f>WORKDAY(SOFR[[#This Row],[Maturity Date (T2)]],OISPaymentDelay,Holidays_NY_Public)</f>
        <v>45569</v>
      </c>
      <c r="BZ49" s="41" t="b">
        <f>SOFR[[#This Row],[Par Swap Rate]]&lt;&gt;""</f>
        <v>1</v>
      </c>
      <c r="CA49" s="28" t="b">
        <v>1</v>
      </c>
      <c r="CB49" s="28" t="b">
        <f>AND(SOFR[[#This Row],[Valid]],SOFR[[#This Row],[Zero-coupon?]])</f>
        <v>1</v>
      </c>
      <c r="CC49" s="28" t="b">
        <f>AND(SOFR[[#This Row],[Valid]],NOT(SOFR[[#This Row],[Analytical Solve]]))</f>
        <v>0</v>
      </c>
      <c r="CD49" s="22">
        <f>SOFR[[#This Row],[Numerical Solve]]*1</f>
        <v>0</v>
      </c>
      <c r="CE49" s="153">
        <f>IF(SOFR[[#This Row],[Analytical Solve]],1+SOFR[[#This Row],[Par Swap Rate]]%*YEARFRAC(SOFR[[#This Row],[Settle Date (T1)]],SOFR[[#This Row],[Maturity Date (T2)]],DayCount_SOFR),"")</f>
        <v>1.0127777777777778</v>
      </c>
      <c r="CF49" s="150" cm="1">
        <f t="array" ref="CF49">IF(SOFR[[#This Row],[Analytical Solve]],_xlfn.IFS(SOFR[[#This Row],[Settle Date (T1)]]=CurveDate,1,TRUE,_xlfn.XLOOKUP(SOFR[[#This Row],[Settle Date (T1)]],SOFR[Maturity Date (T2)],SOFR[DF(T2)])),"")</f>
        <v>0.99944475291504709</v>
      </c>
      <c r="CG49" s="112">
        <f>IF(SOFR[[#This Row],[Analytical Solve]],SOFR[[#This Row],[DF(T1)]]/SOFR[[#This Row],[1+r𝛿]],"")</f>
        <v>0.98683519212676074</v>
      </c>
      <c r="CH49" s="46">
        <f>IF(SOFR[[#This Row],[Numerical Solve]],SUM(SOFR[[#Headers],[Flag]]:SOFR[[#This Row],[Flag]]),0)</f>
        <v>0</v>
      </c>
      <c r="CI49" s="183"/>
    </row>
    <row r="50" spans="16:87">
      <c r="P50" s="9"/>
      <c r="AW50" s="2" t="s">
        <v>11</v>
      </c>
      <c r="AX50" s="40">
        <v>15</v>
      </c>
      <c r="AY50" s="178">
        <f>IF(BBSW6M[[#This Row],[Numerical Solve]],BBSW6M[[#This Row],[Maturity Date, T2]],"")</f>
        <v>48030</v>
      </c>
      <c r="AZ50" s="177" cm="1">
        <f t="array" ref="AZ50">IF(BBSW6M[[#This Row],[Numerical Solve]],Linterp(_xlfn.ANCHORARRAY(Curves!$Q$4),_xlfn.ANCHORARRAY(Curves!$T$4),BBSW6M[[#This Row],[Maturity]]),"")</f>
        <v>0.7249451795545433</v>
      </c>
      <c r="BA50" s="179">
        <f>IF(BBSW6M[[#This Row],[Numerical Solve]],-1*LN(BBSW6M[[#This Row],[Solved DF]])/YEARFRAC(CurveDate,BBSW6M[[#This Row],[Maturity Date, T2]],DCB_CCZR),"")</f>
        <v>4.5879493203897725E-2</v>
      </c>
      <c r="BB50" s="175">
        <f>_xlfn.XLOOKUP(BBSW6M[[#This Row],[Tenor]],BBSW3MSwaps[Tenor],BBSW3MSwaps[Effective Date, T1])</f>
        <v>45474</v>
      </c>
      <c r="BC50" s="175">
        <f>_xlfn.XLOOKUP(BBSW6M[[#This Row],[Tenor]],BBSW3MSwaps[Tenor],BBSW3MSwaps[Maturity Date, T2])</f>
        <v>48030</v>
      </c>
      <c r="BD50" s="41" t="b">
        <f>BBSW6M[[#This Row],[Basis Spread]]&lt;&gt;""</f>
        <v>1</v>
      </c>
      <c r="BE50" s="176">
        <f>BBSW6M[[#This Row],[Numerical Solve]]*1</f>
        <v>1</v>
      </c>
      <c r="BF50" s="176">
        <f>IF(BBSW6M[[#This Row],[Numerical Solve]],SUM(BBSW6M[[#Headers],[Flag]]:BBSW6M[[#This Row],[Flag]]),0)</f>
        <v>6</v>
      </c>
      <c r="BG50" s="113">
        <v>0.7249451795545433</v>
      </c>
      <c r="BN50" s="103" t="s">
        <v>32</v>
      </c>
      <c r="BO50" s="33">
        <v>5</v>
      </c>
      <c r="BP50" s="115">
        <f>IF(SOFR[[#This Row],[Valid]],SOFR[[#This Row],[Maturity Date (T2)]],"")</f>
        <v>45600</v>
      </c>
      <c r="BQ50" s="142" cm="1">
        <f t="array" ref="BQ50">IF(SOFR[[#This Row],[Valid]],Linterp(_xlfn.ANCHORARRAY(Curves!$V$4),_xlfn.ANCHORARRAY(Curves!$Y$4),SOFR[[#This Row],[Maturity]],-1,TRUE),"")</f>
        <v>0.98238938170489265</v>
      </c>
      <c r="BR50" s="143">
        <f>IF(SOFR[[#This Row],[Valid]],-1*LN(SOFR[[#This Row],[DF]])/YEARFRAC(CurveDate,SOFR[[#This Row],[Maturity]],DCB_CCZR),"")</f>
        <v>5.0272469093642379E-2</v>
      </c>
      <c r="BS50" s="142" t="b">
        <v>1</v>
      </c>
      <c r="BT50" s="110">
        <f>IF(SOFR[[#This Row],[Has Settle Delay]],SettlementDelayUSD,0)</f>
        <v>2</v>
      </c>
      <c r="BU50" s="35">
        <f>WORKDAY(CurveDate,SOFR[[#This Row],[Settle Delay]],Holidays_NY_Public)</f>
        <v>45475</v>
      </c>
      <c r="BV50" s="8">
        <v>4</v>
      </c>
      <c r="BW50" s="8" t="s">
        <v>17</v>
      </c>
      <c r="BX50" s="35" cm="1">
        <f t="array" ref="BX5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45600</v>
      </c>
      <c r="BY50" s="35">
        <f>WORKDAY(SOFR[[#This Row],[Maturity Date (T2)]],OISPaymentDelay,Holidays_NY_Public)</f>
        <v>45603</v>
      </c>
      <c r="BZ50" s="41" t="b">
        <f>SOFR[[#This Row],[Par Swap Rate]]&lt;&gt;""</f>
        <v>1</v>
      </c>
      <c r="CA50" s="28" t="b">
        <v>1</v>
      </c>
      <c r="CB50" s="28" t="b">
        <f>AND(SOFR[[#This Row],[Valid]],SOFR[[#This Row],[Zero-coupon?]])</f>
        <v>1</v>
      </c>
      <c r="CC50" s="28" t="b">
        <f>AND(SOFR[[#This Row],[Valid]],NOT(SOFR[[#This Row],[Analytical Solve]]))</f>
        <v>0</v>
      </c>
      <c r="CD50" s="22">
        <f>SOFR[[#This Row],[Numerical Solve]]*1</f>
        <v>0</v>
      </c>
      <c r="CE50" s="153">
        <f>IF(SOFR[[#This Row],[Analytical Solve]],1+SOFR[[#This Row],[Par Swap Rate]]%*YEARFRAC(SOFR[[#This Row],[Settle Date (T1)]],SOFR[[#This Row],[Maturity Date (T2)]],DayCount_SOFR),"")</f>
        <v>1.0173611111111112</v>
      </c>
      <c r="CF50" s="150" cm="1">
        <f t="array" ref="CF50">IF(SOFR[[#This Row],[Analytical Solve]],_xlfn.IFS(SOFR[[#This Row],[Settle Date (T1)]]=CurveDate,1,TRUE,_xlfn.XLOOKUP(SOFR[[#This Row],[Settle Date (T1)]],SOFR[Maturity Date (T2)],SOFR[DF(T2)])),"")</f>
        <v>0.99944475291504709</v>
      </c>
      <c r="CG50" s="112">
        <f>IF(SOFR[[#This Row],[Analytical Solve]],SOFR[[#This Row],[DF(T1)]]/SOFR[[#This Row],[1+r𝛿]],"")</f>
        <v>0.98238938170489265</v>
      </c>
      <c r="CH50" s="46">
        <f>IF(SOFR[[#This Row],[Numerical Solve]],SUM(SOFR[[#Headers],[Flag]]:SOFR[[#This Row],[Flag]]),0)</f>
        <v>0</v>
      </c>
      <c r="CI50" s="183"/>
    </row>
    <row r="51" spans="16:87">
      <c r="P51" s="9"/>
      <c r="AW51" s="2" t="s">
        <v>10</v>
      </c>
      <c r="AX51" s="40"/>
      <c r="AY51" s="178" t="str">
        <f>IF(BBSW6M[[#This Row],[Numerical Solve]],BBSW6M[[#This Row],[Maturity Date, T2]],"")</f>
        <v/>
      </c>
      <c r="AZ51" s="177" t="str" cm="1">
        <f t="array" ref="AZ51">IF(BBSW6M[[#This Row],[Numerical Solve]],Linterp(_xlfn.ANCHORARRAY(Curves!$Q$4),_xlfn.ANCHORARRAY(Curves!$T$4),BBSW6M[[#This Row],[Maturity]]),"")</f>
        <v/>
      </c>
      <c r="BA51" s="179" t="str">
        <f>IF(BBSW6M[[#This Row],[Numerical Solve]],-1*LN(BBSW6M[[#This Row],[Solved DF]])/YEARFRAC(CurveDate,BBSW6M[[#This Row],[Maturity Date, T2]],DCB_CCZR),"")</f>
        <v/>
      </c>
      <c r="BB51" s="175">
        <f>_xlfn.XLOOKUP(BBSW6M[[#This Row],[Tenor]],BBSW3MSwaps[Tenor],BBSW3MSwaps[Effective Date, T1])</f>
        <v>45474</v>
      </c>
      <c r="BC51" s="175">
        <f>_xlfn.XLOOKUP(BBSW6M[[#This Row],[Tenor]],BBSW3MSwaps[Tenor],BBSW3MSwaps[Maturity Date, T2])</f>
        <v>48396</v>
      </c>
      <c r="BD51" s="41" t="b">
        <f>BBSW6M[[#This Row],[Basis Spread]]&lt;&gt;""</f>
        <v>0</v>
      </c>
      <c r="BE51" s="176">
        <f>BBSW6M[[#This Row],[Numerical Solve]]*1</f>
        <v>0</v>
      </c>
      <c r="BF51" s="176">
        <f>IF(BBSW6M[[#This Row],[Numerical Solve]],SUM(BBSW6M[[#Headers],[Flag]]:BBSW6M[[#This Row],[Flag]]),0)</f>
        <v>0</v>
      </c>
      <c r="BG51" s="113"/>
      <c r="BN51" s="103" t="s">
        <v>30</v>
      </c>
      <c r="BO51" s="33">
        <v>5</v>
      </c>
      <c r="BP51" s="115">
        <f>IF(SOFR[[#This Row],[Valid]],SOFR[[#This Row],[Maturity Date (T2)]],"")</f>
        <v>45628</v>
      </c>
      <c r="BQ51" s="142" cm="1">
        <f t="array" ref="BQ51">IF(SOFR[[#This Row],[Valid]],Linterp(_xlfn.ANCHORARRAY(Curves!$V$4),_xlfn.ANCHORARRAY(Curves!$Y$4),SOFR[[#This Row],[Maturity]],-1,TRUE),"")</f>
        <v>0.97864847286663115</v>
      </c>
      <c r="BR51" s="143">
        <f>IF(SOFR[[#This Row],[Valid]],-1*LN(SOFR[[#This Row],[DF]])/YEARFRAC(CurveDate,SOFR[[#This Row],[Maturity]],DCB_CCZR),"")</f>
        <v>5.0176499978204753E-2</v>
      </c>
      <c r="BS51" s="142" t="b">
        <v>1</v>
      </c>
      <c r="BT51" s="110">
        <f>IF(SOFR[[#This Row],[Has Settle Delay]],SettlementDelayUSD,0)</f>
        <v>2</v>
      </c>
      <c r="BU51" s="35">
        <f>WORKDAY(CurveDate,SOFR[[#This Row],[Settle Delay]],Holidays_NY_Public)</f>
        <v>45475</v>
      </c>
      <c r="BV51" s="8">
        <v>5</v>
      </c>
      <c r="BW51" s="8" t="s">
        <v>17</v>
      </c>
      <c r="BX51" s="35" cm="1">
        <f t="array" ref="BX5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45628</v>
      </c>
      <c r="BY51" s="35">
        <f>WORKDAY(SOFR[[#This Row],[Maturity Date (T2)]],OISPaymentDelay,Holidays_NY_Public)</f>
        <v>45630</v>
      </c>
      <c r="BZ51" s="41" t="b">
        <f>SOFR[[#This Row],[Par Swap Rate]]&lt;&gt;""</f>
        <v>1</v>
      </c>
      <c r="CA51" s="28" t="b">
        <v>1</v>
      </c>
      <c r="CB51" s="28" t="b">
        <f>AND(SOFR[[#This Row],[Valid]],SOFR[[#This Row],[Zero-coupon?]])</f>
        <v>1</v>
      </c>
      <c r="CC51" s="28" t="b">
        <f>AND(SOFR[[#This Row],[Valid]],NOT(SOFR[[#This Row],[Analytical Solve]]))</f>
        <v>0</v>
      </c>
      <c r="CD51" s="22">
        <f>SOFR[[#This Row],[Numerical Solve]]*1</f>
        <v>0</v>
      </c>
      <c r="CE51" s="153">
        <f>IF(SOFR[[#This Row],[Analytical Solve]],1+SOFR[[#This Row],[Par Swap Rate]]%*YEARFRAC(SOFR[[#This Row],[Settle Date (T1)]],SOFR[[#This Row],[Maturity Date (T2)]],DayCount_SOFR),"")</f>
        <v>1.02125</v>
      </c>
      <c r="CF51" s="150" cm="1">
        <f t="array" ref="CF51">IF(SOFR[[#This Row],[Analytical Solve]],_xlfn.IFS(SOFR[[#This Row],[Settle Date (T1)]]=CurveDate,1,TRUE,_xlfn.XLOOKUP(SOFR[[#This Row],[Settle Date (T1)]],SOFR[Maturity Date (T2)],SOFR[DF(T2)])),"")</f>
        <v>0.99944475291504709</v>
      </c>
      <c r="CG51" s="112">
        <f>IF(SOFR[[#This Row],[Analytical Solve]],SOFR[[#This Row],[DF(T1)]]/SOFR[[#This Row],[1+r𝛿]],"")</f>
        <v>0.97864847286663115</v>
      </c>
      <c r="CH51" s="46">
        <f>IF(SOFR[[#This Row],[Numerical Solve]],SUM(SOFR[[#Headers],[Flag]]:SOFR[[#This Row],[Flag]]),0)</f>
        <v>0</v>
      </c>
      <c r="CI51" s="183"/>
    </row>
    <row r="52" spans="16:87">
      <c r="P52" s="9"/>
      <c r="AW52" s="2" t="s">
        <v>9</v>
      </c>
      <c r="AX52" s="40"/>
      <c r="AY52" s="178" t="str">
        <f>IF(BBSW6M[[#This Row],[Numerical Solve]],BBSW6M[[#This Row],[Maturity Date, T2]],"")</f>
        <v/>
      </c>
      <c r="AZ52" s="177" t="str" cm="1">
        <f t="array" ref="AZ52">IF(BBSW6M[[#This Row],[Numerical Solve]],Linterp(_xlfn.ANCHORARRAY(Curves!$Q$4),_xlfn.ANCHORARRAY(Curves!$T$4),BBSW6M[[#This Row],[Maturity]]),"")</f>
        <v/>
      </c>
      <c r="BA52" s="179" t="str">
        <f>IF(BBSW6M[[#This Row],[Numerical Solve]],-1*LN(BBSW6M[[#This Row],[Solved DF]])/YEARFRAC(CurveDate,BBSW6M[[#This Row],[Maturity Date, T2]],DCB_CCZR),"")</f>
        <v/>
      </c>
      <c r="BB52" s="175">
        <f>_xlfn.XLOOKUP(BBSW6M[[#This Row],[Tenor]],BBSW3MSwaps[Tenor],BBSW3MSwaps[Effective Date, T1])</f>
        <v>45474</v>
      </c>
      <c r="BC52" s="175">
        <f>_xlfn.XLOOKUP(BBSW6M[[#This Row],[Tenor]],BBSW3MSwaps[Tenor],BBSW3MSwaps[Maturity Date, T2])</f>
        <v>48761</v>
      </c>
      <c r="BD52" s="41" t="b">
        <f>BBSW6M[[#This Row],[Basis Spread]]&lt;&gt;""</f>
        <v>0</v>
      </c>
      <c r="BE52" s="176">
        <f>BBSW6M[[#This Row],[Numerical Solve]]*1</f>
        <v>0</v>
      </c>
      <c r="BF52" s="176">
        <f>IF(BBSW6M[[#This Row],[Numerical Solve]],SUM(BBSW6M[[#Headers],[Flag]]:BBSW6M[[#This Row],[Flag]]),0)</f>
        <v>0</v>
      </c>
      <c r="BG52" s="113"/>
      <c r="BN52" s="103" t="s">
        <v>29</v>
      </c>
      <c r="BO52" s="33">
        <v>5</v>
      </c>
      <c r="BP52" s="115">
        <f>IF(SOFR[[#This Row],[Valid]],SOFR[[#This Row],[Maturity Date (T2)]],"")</f>
        <v>45659</v>
      </c>
      <c r="BQ52" s="142" cm="1">
        <f t="array" ref="BQ52">IF(SOFR[[#This Row],[Valid]],Linterp(_xlfn.ANCHORARRAY(Curves!$V$4),_xlfn.ANCHORARRAY(Curves!$Y$4),SOFR[[#This Row],[Maturity]],-1,TRUE),"")</f>
        <v>0.97453984574598307</v>
      </c>
      <c r="BR52" s="143">
        <f>IF(SOFR[[#This Row],[Valid]],-1*LN(SOFR[[#This Row],[DF]])/YEARFRAC(CurveDate,SOFR[[#This Row],[Maturity]],DCB_CCZR),"")</f>
        <v>5.0070763040628519E-2</v>
      </c>
      <c r="BS52" s="142" t="b">
        <v>1</v>
      </c>
      <c r="BT52" s="110">
        <f>IF(SOFR[[#This Row],[Has Settle Delay]],SettlementDelayUSD,0)</f>
        <v>2</v>
      </c>
      <c r="BU52" s="35">
        <f>WORKDAY(CurveDate,SOFR[[#This Row],[Settle Delay]],Holidays_NY_Public)</f>
        <v>45475</v>
      </c>
      <c r="BV52" s="8">
        <v>6</v>
      </c>
      <c r="BW52" s="8" t="s">
        <v>17</v>
      </c>
      <c r="BX52" s="35" cm="1">
        <f t="array" ref="BX5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45659</v>
      </c>
      <c r="BY52" s="35">
        <f>WORKDAY(SOFR[[#This Row],[Maturity Date (T2)]],OISPaymentDelay,Holidays_NY_Public)</f>
        <v>45663</v>
      </c>
      <c r="BZ52" s="41" t="b">
        <f>SOFR[[#This Row],[Par Swap Rate]]&lt;&gt;""</f>
        <v>1</v>
      </c>
      <c r="CA52" s="28" t="b">
        <v>1</v>
      </c>
      <c r="CB52" s="28" t="b">
        <f>AND(SOFR[[#This Row],[Valid]],SOFR[[#This Row],[Zero-coupon?]])</f>
        <v>1</v>
      </c>
      <c r="CC52" s="28" t="b">
        <f>AND(SOFR[[#This Row],[Valid]],NOT(SOFR[[#This Row],[Analytical Solve]]))</f>
        <v>0</v>
      </c>
      <c r="CD52" s="22">
        <f>SOFR[[#This Row],[Numerical Solve]]*1</f>
        <v>0</v>
      </c>
      <c r="CE52" s="153">
        <f>IF(SOFR[[#This Row],[Analytical Solve]],1+SOFR[[#This Row],[Par Swap Rate]]%*YEARFRAC(SOFR[[#This Row],[Settle Date (T1)]],SOFR[[#This Row],[Maturity Date (T2)]],DayCount_SOFR),"")</f>
        <v>1.0255555555555556</v>
      </c>
      <c r="CF52" s="150" cm="1">
        <f t="array" ref="CF52">IF(SOFR[[#This Row],[Analytical Solve]],_xlfn.IFS(SOFR[[#This Row],[Settle Date (T1)]]=CurveDate,1,TRUE,_xlfn.XLOOKUP(SOFR[[#This Row],[Settle Date (T1)]],SOFR[Maturity Date (T2)],SOFR[DF(T2)])),"")</f>
        <v>0.99944475291504709</v>
      </c>
      <c r="CG52" s="112">
        <f>IF(SOFR[[#This Row],[Analytical Solve]],SOFR[[#This Row],[DF(T1)]]/SOFR[[#This Row],[1+r𝛿]],"")</f>
        <v>0.97453984574598307</v>
      </c>
      <c r="CH52" s="46">
        <f>IF(SOFR[[#This Row],[Numerical Solve]],SUM(SOFR[[#Headers],[Flag]]:SOFR[[#This Row],[Flag]]),0)</f>
        <v>0</v>
      </c>
      <c r="CI52" s="183"/>
    </row>
    <row r="53" spans="16:87">
      <c r="P53" s="9"/>
      <c r="AW53" s="2" t="s">
        <v>8</v>
      </c>
      <c r="AX53" s="40">
        <v>15</v>
      </c>
      <c r="AY53" s="178">
        <f>IF(BBSW6M[[#This Row],[Numerical Solve]],BBSW6M[[#This Row],[Maturity Date, T2]],"")</f>
        <v>49128</v>
      </c>
      <c r="AZ53" s="177" cm="1">
        <f t="array" ref="AZ53">IF(BBSW6M[[#This Row],[Numerical Solve]],Linterp(_xlfn.ANCHORARRAY(Curves!$Q$4),_xlfn.ANCHORARRAY(Curves!$T$4),BBSW6M[[#This Row],[Maturity]]),"")</f>
        <v>0.63130349520725493</v>
      </c>
      <c r="BA53" s="179">
        <f>IF(BBSW6M[[#This Row],[Numerical Solve]],-1*LN(BBSW6M[[#This Row],[Solved DF]])/YEARFRAC(CurveDate,BBSW6M[[#This Row],[Maturity Date, T2]],DCB_CCZR),"")</f>
        <v>4.5908811414180399E-2</v>
      </c>
      <c r="BB53" s="175">
        <f>_xlfn.XLOOKUP(BBSW6M[[#This Row],[Tenor]],BBSW3MSwaps[Tenor],BBSW3MSwaps[Effective Date, T1])</f>
        <v>45474</v>
      </c>
      <c r="BC53" s="175">
        <f>_xlfn.XLOOKUP(BBSW6M[[#This Row],[Tenor]],BBSW3MSwaps[Tenor],BBSW3MSwaps[Maturity Date, T2])</f>
        <v>49128</v>
      </c>
      <c r="BD53" s="41" t="b">
        <f>BBSW6M[[#This Row],[Basis Spread]]&lt;&gt;""</f>
        <v>1</v>
      </c>
      <c r="BE53" s="176">
        <f>BBSW6M[[#This Row],[Numerical Solve]]*1</f>
        <v>1</v>
      </c>
      <c r="BF53" s="176">
        <f>IF(BBSW6M[[#This Row],[Numerical Solve]],SUM(BBSW6M[[#Headers],[Flag]]:BBSW6M[[#This Row],[Flag]]),0)</f>
        <v>7</v>
      </c>
      <c r="BG53" s="113">
        <v>0.63130349520725493</v>
      </c>
      <c r="BN53" s="103" t="s">
        <v>28</v>
      </c>
      <c r="BO53" s="33">
        <v>5</v>
      </c>
      <c r="BP53" s="115">
        <f>IF(SOFR[[#This Row],[Valid]],SOFR[[#This Row],[Maturity Date (T2)]],"")</f>
        <v>45691</v>
      </c>
      <c r="BQ53" s="142" cm="1">
        <f t="array" ref="BQ53">IF(SOFR[[#This Row],[Valid]],Linterp(_xlfn.ANCHORARRAY(Curves!$V$4),_xlfn.ANCHORARRAY(Curves!$Y$4),SOFR[[#This Row],[Maturity]],-1,TRUE),"")</f>
        <v>0.97033471156800688</v>
      </c>
      <c r="BR53" s="143">
        <f>IF(SOFR[[#This Row],[Valid]],-1*LN(SOFR[[#This Row],[DF]])/YEARFRAC(CurveDate,SOFR[[#This Row],[Maturity]],DCB_CCZR),"")</f>
        <v>4.9962201316519336E-2</v>
      </c>
      <c r="BS53" s="142" t="b">
        <v>1</v>
      </c>
      <c r="BT53" s="110">
        <f>IF(SOFR[[#This Row],[Has Settle Delay]],SettlementDelayUSD,0)</f>
        <v>2</v>
      </c>
      <c r="BU53" s="35">
        <f>WORKDAY(CurveDate,SOFR[[#This Row],[Settle Delay]],Holidays_NY_Public)</f>
        <v>45475</v>
      </c>
      <c r="BV53" s="8">
        <v>7</v>
      </c>
      <c r="BW53" s="8" t="s">
        <v>17</v>
      </c>
      <c r="BX53" s="35" cm="1">
        <f t="array" ref="BX5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45691</v>
      </c>
      <c r="BY53" s="35">
        <f>WORKDAY(SOFR[[#This Row],[Maturity Date (T2)]],OISPaymentDelay,Holidays_NY_Public)</f>
        <v>45693</v>
      </c>
      <c r="BZ53" s="41" t="b">
        <f>SOFR[[#This Row],[Par Swap Rate]]&lt;&gt;""</f>
        <v>1</v>
      </c>
      <c r="CA53" s="28" t="b">
        <v>1</v>
      </c>
      <c r="CB53" s="28" t="b">
        <f>AND(SOFR[[#This Row],[Valid]],SOFR[[#This Row],[Zero-coupon?]])</f>
        <v>1</v>
      </c>
      <c r="CC53" s="28" t="b">
        <f>AND(SOFR[[#This Row],[Valid]],NOT(SOFR[[#This Row],[Analytical Solve]]))</f>
        <v>0</v>
      </c>
      <c r="CD53" s="22">
        <f>SOFR[[#This Row],[Numerical Solve]]*1</f>
        <v>0</v>
      </c>
      <c r="CE53" s="153">
        <f>IF(SOFR[[#This Row],[Analytical Solve]],1+SOFR[[#This Row],[Par Swap Rate]]%*YEARFRAC(SOFR[[#This Row],[Settle Date (T1)]],SOFR[[#This Row],[Maturity Date (T2)]],DayCount_SOFR),"")</f>
        <v>1.03</v>
      </c>
      <c r="CF53" s="150" cm="1">
        <f t="array" ref="CF53">IF(SOFR[[#This Row],[Analytical Solve]],_xlfn.IFS(SOFR[[#This Row],[Settle Date (T1)]]=CurveDate,1,TRUE,_xlfn.XLOOKUP(SOFR[[#This Row],[Settle Date (T1)]],SOFR[Maturity Date (T2)],SOFR[DF(T2)])),"")</f>
        <v>0.99944475291504709</v>
      </c>
      <c r="CG53" s="112">
        <f>IF(SOFR[[#This Row],[Analytical Solve]],SOFR[[#This Row],[DF(T1)]]/SOFR[[#This Row],[1+r𝛿]],"")</f>
        <v>0.97033471156800688</v>
      </c>
      <c r="CH53" s="46">
        <f>IF(SOFR[[#This Row],[Numerical Solve]],SUM(SOFR[[#Headers],[Flag]]:SOFR[[#This Row],[Flag]]),0)</f>
        <v>0</v>
      </c>
      <c r="CI53" s="183"/>
    </row>
    <row r="54" spans="16:87">
      <c r="P54" s="9"/>
      <c r="AW54" s="2" t="s">
        <v>7</v>
      </c>
      <c r="AX54" s="40">
        <v>15</v>
      </c>
      <c r="AY54" s="178">
        <f>IF(BBSW6M[[#This Row],[Numerical Solve]],BBSW6M[[#This Row],[Maturity Date, T2]],"")</f>
        <v>49857</v>
      </c>
      <c r="AZ54" s="177" cm="1">
        <f t="array" ref="AZ54">IF(BBSW6M[[#This Row],[Numerical Solve]],Linterp(_xlfn.ANCHORARRAY(Curves!$Q$4),_xlfn.ANCHORARRAY(Curves!$T$4),BBSW6M[[#This Row],[Maturity]]),"")</f>
        <v>0.57592038678958979</v>
      </c>
      <c r="BA54" s="179">
        <f>IF(BBSW6M[[#This Row],[Numerical Solve]],-1*LN(BBSW6M[[#This Row],[Solved DF]])/YEARFRAC(CurveDate,BBSW6M[[#This Row],[Maturity Date, T2]],DCB_CCZR),"")</f>
        <v>4.5919250685064139E-2</v>
      </c>
      <c r="BB54" s="175">
        <f>_xlfn.XLOOKUP(BBSW6M[[#This Row],[Tenor]],BBSW3MSwaps[Tenor],BBSW3MSwaps[Effective Date, T1])</f>
        <v>45474</v>
      </c>
      <c r="BC54" s="175">
        <f>_xlfn.XLOOKUP(BBSW6M[[#This Row],[Tenor]],BBSW3MSwaps[Tenor],BBSW3MSwaps[Maturity Date, T2])</f>
        <v>49857</v>
      </c>
      <c r="BD54" s="41" t="b">
        <f>BBSW6M[[#This Row],[Basis Spread]]&lt;&gt;""</f>
        <v>1</v>
      </c>
      <c r="BE54" s="176">
        <f>BBSW6M[[#This Row],[Numerical Solve]]*1</f>
        <v>1</v>
      </c>
      <c r="BF54" s="176">
        <f>IF(BBSW6M[[#This Row],[Numerical Solve]],SUM(BBSW6M[[#Headers],[Flag]]:BBSW6M[[#This Row],[Flag]]),0)</f>
        <v>8</v>
      </c>
      <c r="BG54" s="113">
        <v>0.57592038678958979</v>
      </c>
      <c r="BN54" s="103" t="s">
        <v>27</v>
      </c>
      <c r="BO54" s="33">
        <v>5</v>
      </c>
      <c r="BP54" s="115">
        <f>IF(SOFR[[#This Row],[Valid]],SOFR[[#This Row],[Maturity Date (T2)]],"")</f>
        <v>45719</v>
      </c>
      <c r="BQ54" s="142" cm="1">
        <f t="array" ref="BQ54">IF(SOFR[[#This Row],[Valid]],Linterp(_xlfn.ANCHORARRAY(Curves!$V$4),_xlfn.ANCHORARRAY(Curves!$Y$4),SOFR[[#This Row],[Maturity]],-1,TRUE),"")</f>
        <v>0.96668487654330193</v>
      </c>
      <c r="BR54" s="143">
        <f>IF(SOFR[[#This Row],[Valid]],-1*LN(SOFR[[#This Row],[DF]])/YEARFRAC(CurveDate,SOFR[[#This Row],[Maturity]],DCB_CCZR),"")</f>
        <v>4.9867704145720095E-2</v>
      </c>
      <c r="BS54" s="142" t="b">
        <v>1</v>
      </c>
      <c r="BT54" s="110">
        <f>IF(SOFR[[#This Row],[Has Settle Delay]],SettlementDelayUSD,0)</f>
        <v>2</v>
      </c>
      <c r="BU54" s="35">
        <f>WORKDAY(CurveDate,SOFR[[#This Row],[Settle Delay]],Holidays_NY_Public)</f>
        <v>45475</v>
      </c>
      <c r="BV54" s="8">
        <v>8</v>
      </c>
      <c r="BW54" s="8" t="s">
        <v>17</v>
      </c>
      <c r="BX54" s="35" cm="1">
        <f t="array" ref="BX5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45719</v>
      </c>
      <c r="BY54" s="35">
        <f>WORKDAY(SOFR[[#This Row],[Maturity Date (T2)]],OISPaymentDelay,Holidays_NY_Public)</f>
        <v>45721</v>
      </c>
      <c r="BZ54" s="41" t="b">
        <f>SOFR[[#This Row],[Par Swap Rate]]&lt;&gt;""</f>
        <v>1</v>
      </c>
      <c r="CA54" s="28" t="b">
        <v>1</v>
      </c>
      <c r="CB54" s="28" t="b">
        <f>AND(SOFR[[#This Row],[Valid]],SOFR[[#This Row],[Zero-coupon?]])</f>
        <v>1</v>
      </c>
      <c r="CC54" s="28" t="b">
        <f>AND(SOFR[[#This Row],[Valid]],NOT(SOFR[[#This Row],[Analytical Solve]]))</f>
        <v>0</v>
      </c>
      <c r="CD54" s="22">
        <f>SOFR[[#This Row],[Numerical Solve]]*1</f>
        <v>0</v>
      </c>
      <c r="CE54" s="153">
        <f>IF(SOFR[[#This Row],[Analytical Solve]],1+SOFR[[#This Row],[Par Swap Rate]]%*YEARFRAC(SOFR[[#This Row],[Settle Date (T1)]],SOFR[[#This Row],[Maturity Date (T2)]],DayCount_SOFR),"")</f>
        <v>1.0338888888888889</v>
      </c>
      <c r="CF54" s="150" cm="1">
        <f t="array" ref="CF54">IF(SOFR[[#This Row],[Analytical Solve]],_xlfn.IFS(SOFR[[#This Row],[Settle Date (T1)]]=CurveDate,1,TRUE,_xlfn.XLOOKUP(SOFR[[#This Row],[Settle Date (T1)]],SOFR[Maturity Date (T2)],SOFR[DF(T2)])),"")</f>
        <v>0.99944475291504709</v>
      </c>
      <c r="CG54" s="112">
        <f>IF(SOFR[[#This Row],[Analytical Solve]],SOFR[[#This Row],[DF(T1)]]/SOFR[[#This Row],[1+r𝛿]],"")</f>
        <v>0.96668487654330193</v>
      </c>
      <c r="CH54" s="46">
        <f>IF(SOFR[[#This Row],[Numerical Solve]],SUM(SOFR[[#Headers],[Flag]]:SOFR[[#This Row],[Flag]]),0)</f>
        <v>0</v>
      </c>
      <c r="CI54" s="183"/>
    </row>
    <row r="55" spans="16:87">
      <c r="P55" s="9"/>
      <c r="AP55" s="29"/>
      <c r="AQ55" s="29"/>
      <c r="AR55" s="29"/>
      <c r="AS55" s="29"/>
      <c r="AT55" s="29"/>
      <c r="AU55" s="29"/>
      <c r="AW55" s="2" t="s">
        <v>6</v>
      </c>
      <c r="AX55" s="40">
        <v>15</v>
      </c>
      <c r="AY55" s="178">
        <f>IF(BBSW6M[[#This Row],[Numerical Solve]],BBSW6M[[#This Row],[Maturity Date, T2]],"")</f>
        <v>50952</v>
      </c>
      <c r="AZ55" s="177" cm="1">
        <f t="array" ref="AZ55">IF(BBSW6M[[#This Row],[Numerical Solve]],Linterp(_xlfn.ANCHORARRAY(Curves!$Q$4),_xlfn.ANCHORARRAY(Curves!$T$4),BBSW6M[[#This Row],[Maturity]]),"")</f>
        <v>0.50172034939871668</v>
      </c>
      <c r="BA55" s="179">
        <f>IF(BBSW6M[[#This Row],[Numerical Solve]],-1*LN(BBSW6M[[#This Row],[Solved DF]])/YEARFRAC(CurveDate,BBSW6M[[#This Row],[Maturity Date, T2]],DCB_CCZR),"")</f>
        <v>4.5930491043567681E-2</v>
      </c>
      <c r="BB55" s="175">
        <f>_xlfn.XLOOKUP(BBSW6M[[#This Row],[Tenor]],BBSW3MSwaps[Tenor],BBSW3MSwaps[Effective Date, T1])</f>
        <v>45474</v>
      </c>
      <c r="BC55" s="175">
        <f>_xlfn.XLOOKUP(BBSW6M[[#This Row],[Tenor]],BBSW3MSwaps[Tenor],BBSW3MSwaps[Maturity Date, T2])</f>
        <v>50952</v>
      </c>
      <c r="BD55" s="41" t="b">
        <f>BBSW6M[[#This Row],[Basis Spread]]&lt;&gt;""</f>
        <v>1</v>
      </c>
      <c r="BE55" s="176">
        <f>BBSW6M[[#This Row],[Numerical Solve]]*1</f>
        <v>1</v>
      </c>
      <c r="BF55" s="176">
        <f>IF(BBSW6M[[#This Row],[Numerical Solve]],SUM(BBSW6M[[#Headers],[Flag]]:BBSW6M[[#This Row],[Flag]]),0)</f>
        <v>9</v>
      </c>
      <c r="BG55" s="113">
        <v>0.50172034939871668</v>
      </c>
      <c r="BN55" s="103" t="s">
        <v>26</v>
      </c>
      <c r="BO55" s="33">
        <v>5</v>
      </c>
      <c r="BP55" s="115">
        <f>IF(SOFR[[#This Row],[Valid]],SOFR[[#This Row],[Maturity Date (T2)]],"")</f>
        <v>45749</v>
      </c>
      <c r="BQ55" s="142" cm="1">
        <f t="array" ref="BQ55">IF(SOFR[[#This Row],[Valid]],Linterp(_xlfn.ANCHORARRAY(Curves!$V$4),_xlfn.ANCHORARRAY(Curves!$Y$4),SOFR[[#This Row],[Maturity]],-1,TRUE),"")</f>
        <v>0.96280468570890276</v>
      </c>
      <c r="BR55" s="143">
        <f>IF(SOFR[[#This Row],[Valid]],-1*LN(SOFR[[#This Row],[DF]])/YEARFRAC(CurveDate,SOFR[[#This Row],[Maturity]],DCB_CCZR),"")</f>
        <v>4.9766970545103088E-2</v>
      </c>
      <c r="BS55" s="142" t="b">
        <v>1</v>
      </c>
      <c r="BT55" s="110">
        <f>IF(SOFR[[#This Row],[Has Settle Delay]],SettlementDelayUSD,0)</f>
        <v>2</v>
      </c>
      <c r="BU55" s="35">
        <f>WORKDAY(CurveDate,SOFR[[#This Row],[Settle Delay]],Holidays_NY_Public)</f>
        <v>45475</v>
      </c>
      <c r="BV55" s="8">
        <v>9</v>
      </c>
      <c r="BW55" s="8" t="s">
        <v>17</v>
      </c>
      <c r="BX55" s="35" cm="1">
        <f t="array" ref="BX5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45749</v>
      </c>
      <c r="BY55" s="35">
        <f>WORKDAY(SOFR[[#This Row],[Maturity Date (T2)]],OISPaymentDelay,Holidays_NY_Public)</f>
        <v>45751</v>
      </c>
      <c r="BZ55" s="41" t="b">
        <f>SOFR[[#This Row],[Par Swap Rate]]&lt;&gt;""</f>
        <v>1</v>
      </c>
      <c r="CA55" s="28" t="b">
        <v>1</v>
      </c>
      <c r="CB55" s="28" t="b">
        <f>AND(SOFR[[#This Row],[Valid]],SOFR[[#This Row],[Zero-coupon?]])</f>
        <v>1</v>
      </c>
      <c r="CC55" s="28" t="b">
        <f>AND(SOFR[[#This Row],[Valid]],NOT(SOFR[[#This Row],[Analytical Solve]]))</f>
        <v>0</v>
      </c>
      <c r="CD55" s="22">
        <f>SOFR[[#This Row],[Numerical Solve]]*1</f>
        <v>0</v>
      </c>
      <c r="CE55" s="153">
        <f>IF(SOFR[[#This Row],[Analytical Solve]],1+SOFR[[#This Row],[Par Swap Rate]]%*YEARFRAC(SOFR[[#This Row],[Settle Date (T1)]],SOFR[[#This Row],[Maturity Date (T2)]],DayCount_SOFR),"")</f>
        <v>1.0380555555555555</v>
      </c>
      <c r="CF55" s="150" cm="1">
        <f t="array" ref="CF55">IF(SOFR[[#This Row],[Analytical Solve]],_xlfn.IFS(SOFR[[#This Row],[Settle Date (T1)]]=CurveDate,1,TRUE,_xlfn.XLOOKUP(SOFR[[#This Row],[Settle Date (T1)]],SOFR[Maturity Date (T2)],SOFR[DF(T2)])),"")</f>
        <v>0.99944475291504709</v>
      </c>
      <c r="CG55" s="112">
        <f>IF(SOFR[[#This Row],[Analytical Solve]],SOFR[[#This Row],[DF(T1)]]/SOFR[[#This Row],[1+r𝛿]],"")</f>
        <v>0.96280468570890276</v>
      </c>
      <c r="CH55" s="46">
        <f>IF(SOFR[[#This Row],[Numerical Solve]],SUM(SOFR[[#Headers],[Flag]]:SOFR[[#This Row],[Flag]]),0)</f>
        <v>0</v>
      </c>
      <c r="CI55" s="183"/>
    </row>
    <row r="56" spans="16:87">
      <c r="P56" s="9"/>
      <c r="AP56" s="29"/>
      <c r="AQ56" s="29"/>
      <c r="AR56" s="29"/>
      <c r="AS56" s="29"/>
      <c r="AT56" s="29"/>
      <c r="AU56" s="29"/>
      <c r="AW56" s="2" t="s">
        <v>5</v>
      </c>
      <c r="AX56" s="40">
        <v>15</v>
      </c>
      <c r="AY56" s="178">
        <f>IF(BBSW6M[[#This Row],[Numerical Solve]],BBSW6M[[#This Row],[Maturity Date, T2]],"")</f>
        <v>52779</v>
      </c>
      <c r="AZ56" s="177" cm="1">
        <f t="array" ref="AZ56">IF(BBSW6M[[#This Row],[Numerical Solve]],Linterp(_xlfn.ANCHORARRAY(Curves!$Q$4),_xlfn.ANCHORARRAY(Curves!$T$4),BBSW6M[[#This Row],[Maturity]]),"")</f>
        <v>0.39858291390620082</v>
      </c>
      <c r="BA56" s="179">
        <f>IF(BBSW6M[[#This Row],[Numerical Solve]],-1*LN(BBSW6M[[#This Row],[Solved DF]])/YEARFRAC(CurveDate,BBSW6M[[#This Row],[Maturity Date, T2]],DCB_CCZR),"")</f>
        <v>4.594163986666152E-2</v>
      </c>
      <c r="BB56" s="175">
        <f>_xlfn.XLOOKUP(BBSW6M[[#This Row],[Tenor]],BBSW3MSwaps[Tenor],BBSW3MSwaps[Effective Date, T1])</f>
        <v>45474</v>
      </c>
      <c r="BC56" s="175">
        <f>_xlfn.XLOOKUP(BBSW6M[[#This Row],[Tenor]],BBSW3MSwaps[Tenor],BBSW3MSwaps[Maturity Date, T2])</f>
        <v>52779</v>
      </c>
      <c r="BD56" s="41" t="b">
        <f>BBSW6M[[#This Row],[Basis Spread]]&lt;&gt;""</f>
        <v>1</v>
      </c>
      <c r="BE56" s="176">
        <f>BBSW6M[[#This Row],[Numerical Solve]]*1</f>
        <v>1</v>
      </c>
      <c r="BF56" s="176">
        <f>IF(BBSW6M[[#This Row],[Numerical Solve]],SUM(BBSW6M[[#Headers],[Flag]]:BBSW6M[[#This Row],[Flag]]),0)</f>
        <v>10</v>
      </c>
      <c r="BG56" s="113">
        <v>0.39858291390620082</v>
      </c>
      <c r="BN56" s="103" t="s">
        <v>23</v>
      </c>
      <c r="BO56" s="33">
        <v>5</v>
      </c>
      <c r="BP56" s="115">
        <f>IF(SOFR[[#This Row],[Valid]],SOFR[[#This Row],[Maturity Date (T2)]],"")</f>
        <v>45779</v>
      </c>
      <c r="BQ56" s="142" cm="1">
        <f t="array" ref="BQ56">IF(SOFR[[#This Row],[Valid]],Linterp(_xlfn.ANCHORARRAY(Curves!$V$4),_xlfn.ANCHORARRAY(Curves!$Y$4),SOFR[[#This Row],[Maturity]],-1,TRUE),"")</f>
        <v>0.95895551985452288</v>
      </c>
      <c r="BR56" s="143">
        <f>IF(SOFR[[#This Row],[Valid]],-1*LN(SOFR[[#This Row],[DF]])/YEARFRAC(CurveDate,SOFR[[#This Row],[Maturity]],DCB_CCZR),"")</f>
        <v>4.966676703041914E-2</v>
      </c>
      <c r="BS56" s="142" t="b">
        <v>1</v>
      </c>
      <c r="BT56" s="110">
        <f>IF(SOFR[[#This Row],[Has Settle Delay]],SettlementDelayUSD,0)</f>
        <v>2</v>
      </c>
      <c r="BU56" s="35">
        <f>WORKDAY(CurveDate,SOFR[[#This Row],[Settle Delay]],Holidays_NY_Public)</f>
        <v>45475</v>
      </c>
      <c r="BV56" s="8">
        <v>10</v>
      </c>
      <c r="BW56" s="8" t="s">
        <v>17</v>
      </c>
      <c r="BX56" s="35" cm="1">
        <f t="array" ref="BX5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45779</v>
      </c>
      <c r="BY56" s="35">
        <f>WORKDAY(SOFR[[#This Row],[Maturity Date (T2)]],OISPaymentDelay,Holidays_NY_Public)</f>
        <v>45783</v>
      </c>
      <c r="BZ56" s="41" t="b">
        <f>SOFR[[#This Row],[Par Swap Rate]]&lt;&gt;""</f>
        <v>1</v>
      </c>
      <c r="CA56" s="28" t="b">
        <v>1</v>
      </c>
      <c r="CB56" s="28" t="b">
        <f>AND(SOFR[[#This Row],[Valid]],SOFR[[#This Row],[Zero-coupon?]])</f>
        <v>1</v>
      </c>
      <c r="CC56" s="28" t="b">
        <f>AND(SOFR[[#This Row],[Valid]],NOT(SOFR[[#This Row],[Analytical Solve]]))</f>
        <v>0</v>
      </c>
      <c r="CD56" s="22">
        <f>SOFR[[#This Row],[Numerical Solve]]*1</f>
        <v>0</v>
      </c>
      <c r="CE56" s="153">
        <f>IF(SOFR[[#This Row],[Analytical Solve]],1+SOFR[[#This Row],[Par Swap Rate]]%*YEARFRAC(SOFR[[#This Row],[Settle Date (T1)]],SOFR[[#This Row],[Maturity Date (T2)]],DayCount_SOFR),"")</f>
        <v>1.0422222222222222</v>
      </c>
      <c r="CF56" s="150" cm="1">
        <f t="array" ref="CF56">IF(SOFR[[#This Row],[Analytical Solve]],_xlfn.IFS(SOFR[[#This Row],[Settle Date (T1)]]=CurveDate,1,TRUE,_xlfn.XLOOKUP(SOFR[[#This Row],[Settle Date (T1)]],SOFR[Maturity Date (T2)],SOFR[DF(T2)])),"")</f>
        <v>0.99944475291504709</v>
      </c>
      <c r="CG56" s="112">
        <f>IF(SOFR[[#This Row],[Analytical Solve]],SOFR[[#This Row],[DF(T1)]]/SOFR[[#This Row],[1+r𝛿]],"")</f>
        <v>0.95895551985452288</v>
      </c>
      <c r="CH56" s="46">
        <f>IF(SOFR[[#This Row],[Numerical Solve]],SUM(SOFR[[#Headers],[Flag]]:SOFR[[#This Row],[Flag]]),0)</f>
        <v>0</v>
      </c>
      <c r="CI56" s="183"/>
    </row>
    <row r="57" spans="16:87">
      <c r="P57" s="9"/>
      <c r="AP57" s="29"/>
      <c r="AQ57" s="29"/>
      <c r="AR57" s="29"/>
      <c r="AS57" s="29"/>
      <c r="AT57" s="29"/>
      <c r="AU57" s="29"/>
      <c r="AW57" s="2" t="s">
        <v>4</v>
      </c>
      <c r="AX57" s="40"/>
      <c r="AY57" s="178" t="str">
        <f>IF(BBSW6M[[#This Row],[Numerical Solve]],BBSW6M[[#This Row],[Maturity Date, T2]],"")</f>
        <v/>
      </c>
      <c r="AZ57" s="177" t="str" cm="1">
        <f t="array" ref="AZ57">IF(BBSW6M[[#This Row],[Numerical Solve]],Linterp(_xlfn.ANCHORARRAY(Curves!$Q$4),_xlfn.ANCHORARRAY(Curves!$T$4),BBSW6M[[#This Row],[Maturity]]),"")</f>
        <v/>
      </c>
      <c r="BA57" s="179" t="str">
        <f>IF(BBSW6M[[#This Row],[Numerical Solve]],-1*LN(BBSW6M[[#This Row],[Solved DF]])/YEARFRAC(CurveDate,BBSW6M[[#This Row],[Maturity Date, T2]],DCB_CCZR),"")</f>
        <v/>
      </c>
      <c r="BB57" s="175">
        <f>_xlfn.XLOOKUP(BBSW6M[[#This Row],[Tenor]],BBSW3MSwaps[Tenor],BBSW3MSwaps[Effective Date, T1])</f>
        <v>45474</v>
      </c>
      <c r="BC57" s="175">
        <f>_xlfn.XLOOKUP(BBSW6M[[#This Row],[Tenor]],BBSW3MSwaps[Tenor],BBSW3MSwaps[Maturity Date, T2])</f>
        <v>54605</v>
      </c>
      <c r="BD57" s="41" t="b">
        <f>BBSW6M[[#This Row],[Basis Spread]]&lt;&gt;""</f>
        <v>0</v>
      </c>
      <c r="BE57" s="176">
        <f>BBSW6M[[#This Row],[Numerical Solve]]*1</f>
        <v>0</v>
      </c>
      <c r="BF57" s="176">
        <f>IF(BBSW6M[[#This Row],[Numerical Solve]],SUM(BBSW6M[[#Headers],[Flag]]:BBSW6M[[#This Row],[Flag]]),0)</f>
        <v>0</v>
      </c>
      <c r="BG57" s="113"/>
      <c r="BN57" s="103" t="s">
        <v>22</v>
      </c>
      <c r="BO57" s="33">
        <v>5</v>
      </c>
      <c r="BP57" s="115">
        <f>IF(SOFR[[#This Row],[Valid]],SOFR[[#This Row],[Maturity Date (T2)]],"")</f>
        <v>45810</v>
      </c>
      <c r="BQ57" s="142" cm="1">
        <f t="array" ref="BQ57">IF(SOFR[[#This Row],[Valid]],Linterp(_xlfn.ANCHORARRAY(Curves!$V$4),_xlfn.ANCHORARRAY(Curves!$Y$4),SOFR[[#This Row],[Maturity]],-1,TRUE),"")</f>
        <v>0.95501024830634895</v>
      </c>
      <c r="BR57" s="143">
        <f>IF(SOFR[[#This Row],[Valid]],-1*LN(SOFR[[#This Row],[DF]])/YEARFRAC(CurveDate,SOFR[[#This Row],[Maturity]],DCB_CCZR),"")</f>
        <v>4.956377782322853E-2</v>
      </c>
      <c r="BS57" s="142" t="b">
        <v>1</v>
      </c>
      <c r="BT57" s="110">
        <f>IF(SOFR[[#This Row],[Has Settle Delay]],SettlementDelayUSD,0)</f>
        <v>2</v>
      </c>
      <c r="BU57" s="35">
        <f>WORKDAY(CurveDate,SOFR[[#This Row],[Settle Delay]],Holidays_NY_Public)</f>
        <v>45475</v>
      </c>
      <c r="BV57" s="8">
        <v>11</v>
      </c>
      <c r="BW57" s="8" t="s">
        <v>17</v>
      </c>
      <c r="BX57" s="35" cm="1">
        <f t="array" ref="BX5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45810</v>
      </c>
      <c r="BY57" s="35">
        <f>WORKDAY(SOFR[[#This Row],[Maturity Date (T2)]],OISPaymentDelay,Holidays_NY_Public)</f>
        <v>45812</v>
      </c>
      <c r="BZ57" s="41" t="b">
        <f>SOFR[[#This Row],[Par Swap Rate]]&lt;&gt;""</f>
        <v>1</v>
      </c>
      <c r="CA57" s="28" t="b">
        <v>1</v>
      </c>
      <c r="CB57" s="28" t="b">
        <f>AND(SOFR[[#This Row],[Valid]],SOFR[[#This Row],[Zero-coupon?]])</f>
        <v>1</v>
      </c>
      <c r="CC57" s="28" t="b">
        <f>AND(SOFR[[#This Row],[Valid]],NOT(SOFR[[#This Row],[Analytical Solve]]))</f>
        <v>0</v>
      </c>
      <c r="CD57" s="22">
        <f>SOFR[[#This Row],[Numerical Solve]]*1</f>
        <v>0</v>
      </c>
      <c r="CE57" s="153">
        <f>IF(SOFR[[#This Row],[Analytical Solve]],1+SOFR[[#This Row],[Par Swap Rate]]%*YEARFRAC(SOFR[[#This Row],[Settle Date (T1)]],SOFR[[#This Row],[Maturity Date (T2)]],DayCount_SOFR),"")</f>
        <v>1.0465277777777777</v>
      </c>
      <c r="CF57" s="150" cm="1">
        <f t="array" ref="CF57">IF(SOFR[[#This Row],[Analytical Solve]],_xlfn.IFS(SOFR[[#This Row],[Settle Date (T1)]]=CurveDate,1,TRUE,_xlfn.XLOOKUP(SOFR[[#This Row],[Settle Date (T1)]],SOFR[Maturity Date (T2)],SOFR[DF(T2)])),"")</f>
        <v>0.99944475291504709</v>
      </c>
      <c r="CG57" s="112">
        <f>IF(SOFR[[#This Row],[Analytical Solve]],SOFR[[#This Row],[DF(T1)]]/SOFR[[#This Row],[1+r𝛿]],"")</f>
        <v>0.95501024830634895</v>
      </c>
      <c r="CH57" s="46">
        <f>IF(SOFR[[#This Row],[Numerical Solve]],SUM(SOFR[[#Headers],[Flag]]:SOFR[[#This Row],[Flag]]),0)</f>
        <v>0</v>
      </c>
      <c r="CI57" s="183"/>
    </row>
    <row r="58" spans="16:87">
      <c r="P58" s="9"/>
      <c r="AP58" s="29"/>
      <c r="AQ58" s="29"/>
      <c r="AR58" s="29"/>
      <c r="AS58" s="29"/>
      <c r="AT58" s="29"/>
      <c r="AU58" s="29"/>
      <c r="AW58" s="2" t="s">
        <v>3</v>
      </c>
      <c r="AX58" s="40"/>
      <c r="AY58" s="178" t="str">
        <f>IF(BBSW6M[[#This Row],[Numerical Solve]],BBSW6M[[#This Row],[Maturity Date, T2]],"")</f>
        <v/>
      </c>
      <c r="AZ58" s="177" t="str" cm="1">
        <f t="array" ref="AZ58">IF(BBSW6M[[#This Row],[Numerical Solve]],Linterp(_xlfn.ANCHORARRAY(Curves!$Q$4),_xlfn.ANCHORARRAY(Curves!$T$4),BBSW6M[[#This Row],[Maturity]]),"")</f>
        <v/>
      </c>
      <c r="BA58" s="179" t="str">
        <f>IF(BBSW6M[[#This Row],[Numerical Solve]],-1*LN(BBSW6M[[#This Row],[Solved DF]])/YEARFRAC(CurveDate,BBSW6M[[#This Row],[Maturity Date, T2]],DCB_CCZR),"")</f>
        <v/>
      </c>
      <c r="BB58" s="175">
        <f>_xlfn.XLOOKUP(BBSW6M[[#This Row],[Tenor]],BBSW3MSwaps[Tenor],BBSW3MSwaps[Effective Date, T1])</f>
        <v>45474</v>
      </c>
      <c r="BC58" s="175">
        <f>_xlfn.XLOOKUP(BBSW6M[[#This Row],[Tenor]],BBSW3MSwaps[Tenor],BBSW3MSwaps[Maturity Date, T2])</f>
        <v>56431</v>
      </c>
      <c r="BD58" s="41" t="b">
        <f>BBSW6M[[#This Row],[Basis Spread]]&lt;&gt;""</f>
        <v>0</v>
      </c>
      <c r="BE58" s="176">
        <f>BBSW6M[[#This Row],[Numerical Solve]]*1</f>
        <v>0</v>
      </c>
      <c r="BF58" s="176">
        <f>IF(BBSW6M[[#This Row],[Numerical Solve]],SUM(BBSW6M[[#Headers],[Flag]]:BBSW6M[[#This Row],[Flag]]),0)</f>
        <v>0</v>
      </c>
      <c r="BG58" s="113"/>
      <c r="BN58" s="103" t="s">
        <v>21</v>
      </c>
      <c r="BO58" s="33">
        <v>5</v>
      </c>
      <c r="BP58" s="115">
        <f>IF(SOFR[[#This Row],[Valid]],SOFR[[#This Row],[Maturity Date (T2)]],"")</f>
        <v>45840</v>
      </c>
      <c r="BQ58" s="142" cm="1">
        <f t="array" ref="BQ58">IF(SOFR[[#This Row],[Valid]],Linterp(_xlfn.ANCHORARRAY(Curves!$V$4),_xlfn.ANCHORARRAY(Curves!$Y$4),SOFR[[#This Row],[Maturity]],-1,TRUE),"")</f>
        <v>0.95122302987288032</v>
      </c>
      <c r="BR58" s="143">
        <f>IF(SOFR[[#This Row],[Valid]],-1*LN(SOFR[[#This Row],[DF]])/YEARFRAC(CurveDate,SOFR[[#This Row],[Maturity]],DCB_CCZR),"")</f>
        <v>4.9464644217218225E-2</v>
      </c>
      <c r="BS58" s="142" t="b">
        <v>1</v>
      </c>
      <c r="BT58" s="110">
        <f>IF(SOFR[[#This Row],[Has Settle Delay]],SettlementDelayUSD,0)</f>
        <v>2</v>
      </c>
      <c r="BU58" s="35">
        <f>WORKDAY(CurveDate,SOFR[[#This Row],[Settle Delay]],Holidays_NY_Public)</f>
        <v>45475</v>
      </c>
      <c r="BV58" s="8">
        <v>12</v>
      </c>
      <c r="BW58" s="8" t="s">
        <v>17</v>
      </c>
      <c r="BX58" s="35" cm="1">
        <f t="array" ref="BX5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45840</v>
      </c>
      <c r="BY58" s="35">
        <f>WORKDAY(SOFR[[#This Row],[Maturity Date (T2)]],OISPaymentDelay,Holidays_NY_Public)</f>
        <v>45845</v>
      </c>
      <c r="BZ58" s="41" t="b">
        <f>SOFR[[#This Row],[Par Swap Rate]]&lt;&gt;""</f>
        <v>1</v>
      </c>
      <c r="CA58" s="28" t="b">
        <v>1</v>
      </c>
      <c r="CB58" s="28" t="b">
        <f>AND(SOFR[[#This Row],[Valid]],SOFR[[#This Row],[Zero-coupon?]])</f>
        <v>1</v>
      </c>
      <c r="CC58" s="28" t="b">
        <f>AND(SOFR[[#This Row],[Valid]],NOT(SOFR[[#This Row],[Analytical Solve]]))</f>
        <v>0</v>
      </c>
      <c r="CD58" s="22">
        <f>SOFR[[#This Row],[Numerical Solve]]*1</f>
        <v>0</v>
      </c>
      <c r="CE58" s="153">
        <f>IF(SOFR[[#This Row],[Analytical Solve]],1+SOFR[[#This Row],[Par Swap Rate]]%*YEARFRAC(SOFR[[#This Row],[Settle Date (T1)]],SOFR[[#This Row],[Maturity Date (T2)]],DayCount_SOFR),"")</f>
        <v>1.0506944444444444</v>
      </c>
      <c r="CF58" s="150" cm="1">
        <f t="array" ref="CF58">IF(SOFR[[#This Row],[Analytical Solve]],_xlfn.IFS(SOFR[[#This Row],[Settle Date (T1)]]=CurveDate,1,TRUE,_xlfn.XLOOKUP(SOFR[[#This Row],[Settle Date (T1)]],SOFR[Maturity Date (T2)],SOFR[DF(T2)])),"")</f>
        <v>0.99944475291504709</v>
      </c>
      <c r="CG58" s="112">
        <f>IF(SOFR[[#This Row],[Analytical Solve]],SOFR[[#This Row],[DF(T1)]]/SOFR[[#This Row],[1+r𝛿]],"")</f>
        <v>0.95122302987288032</v>
      </c>
      <c r="CH58" s="46">
        <f>IF(SOFR[[#This Row],[Numerical Solve]],SUM(SOFR[[#Headers],[Flag]]:SOFR[[#This Row],[Flag]]),0)</f>
        <v>0</v>
      </c>
      <c r="CI58" s="183"/>
    </row>
    <row r="59" spans="16:87">
      <c r="P59" s="9"/>
      <c r="AP59" s="29"/>
      <c r="AQ59" s="29"/>
      <c r="AR59" s="29"/>
      <c r="AS59" s="29"/>
      <c r="AT59" s="29"/>
      <c r="AU59" s="29"/>
      <c r="AW59" s="2" t="s">
        <v>2</v>
      </c>
      <c r="AX59" s="40"/>
      <c r="AY59" s="178" t="str">
        <f>IF(BBSW6M[[#This Row],[Numerical Solve]],BBSW6M[[#This Row],[Maturity Date, T2]],"")</f>
        <v/>
      </c>
      <c r="AZ59" s="177" t="str" cm="1">
        <f t="array" ref="AZ59">IF(BBSW6M[[#This Row],[Numerical Solve]],Linterp(_xlfn.ANCHORARRAY(Curves!$Q$4),_xlfn.ANCHORARRAY(Curves!$T$4),BBSW6M[[#This Row],[Maturity]]),"")</f>
        <v/>
      </c>
      <c r="BA59" s="179" t="str">
        <f>IF(BBSW6M[[#This Row],[Numerical Solve]],-1*LN(BBSW6M[[#This Row],[Solved DF]])/YEARFRAC(CurveDate,BBSW6M[[#This Row],[Maturity Date, T2]],DCB_CCZR),"")</f>
        <v/>
      </c>
      <c r="BB59" s="175">
        <f>_xlfn.XLOOKUP(BBSW6M[[#This Row],[Tenor]],BBSW3MSwaps[Tenor],BBSW3MSwaps[Effective Date, T1])</f>
        <v>45474</v>
      </c>
      <c r="BC59" s="175">
        <f>_xlfn.XLOOKUP(BBSW6M[[#This Row],[Tenor]],BBSW3MSwaps[Tenor],BBSW3MSwaps[Maturity Date, T2])</f>
        <v>60084</v>
      </c>
      <c r="BD59" s="41" t="b">
        <f>BBSW6M[[#This Row],[Basis Spread]]&lt;&gt;""</f>
        <v>0</v>
      </c>
      <c r="BE59" s="176">
        <f>BBSW6M[[#This Row],[Numerical Solve]]*1</f>
        <v>0</v>
      </c>
      <c r="BF59" s="176">
        <f>IF(BBSW6M[[#This Row],[Numerical Solve]],SUM(BBSW6M[[#Headers],[Flag]]:BBSW6M[[#This Row],[Flag]]),0)</f>
        <v>0</v>
      </c>
      <c r="BG59" s="113"/>
      <c r="BN59" s="103" t="s">
        <v>20</v>
      </c>
      <c r="BO59" s="33">
        <v>5</v>
      </c>
      <c r="BP59" s="115">
        <f>IF(SOFR[[#This Row],[Valid]],SOFR[[#This Row],[Maturity Date (T2)]],"")</f>
        <v>45932</v>
      </c>
      <c r="BQ59" s="142" cm="1">
        <f t="array" ref="BQ59">IF(SOFR[[#This Row],[Valid]],Linterp(_xlfn.ANCHORARRAY(Curves!$V$4),_xlfn.ANCHORARRAY(Curves!$Y$4),SOFR[[#This Row],[Maturity]],-1,TRUE),"")</f>
        <v>0.9392218616409006</v>
      </c>
      <c r="BR59" s="143">
        <f>IF(SOFR[[#This Row],[Valid]],-1*LN(SOFR[[#This Row],[DF]])/YEARFRAC(CurveDate,SOFR[[#This Row],[Maturity]],DCB_CCZR),"")</f>
        <v>4.9645980381939889E-2</v>
      </c>
      <c r="BS59" s="142" t="b">
        <v>1</v>
      </c>
      <c r="BT59" s="110">
        <f>IF(SOFR[[#This Row],[Has Settle Delay]],SettlementDelayUSD,0)</f>
        <v>2</v>
      </c>
      <c r="BU59" s="35">
        <f>WORKDAY(CurveDate,SOFR[[#This Row],[Settle Delay]],Holidays_NY_Public)</f>
        <v>45475</v>
      </c>
      <c r="BV59" s="8">
        <v>15</v>
      </c>
      <c r="BW59" s="8" t="s">
        <v>17</v>
      </c>
      <c r="BX59" s="35" cm="1">
        <f t="array" ref="BX5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45932</v>
      </c>
      <c r="BY59" s="35">
        <f>WORKDAY(SOFR[[#This Row],[Maturity Date (T2)]],OISPaymentDelay,Holidays_NY_Public)</f>
        <v>45936</v>
      </c>
      <c r="BZ59" s="41" t="b">
        <f>SOFR[[#This Row],[Par Swap Rate]]&lt;&gt;""</f>
        <v>1</v>
      </c>
      <c r="CA59" s="28" t="b">
        <v>0</v>
      </c>
      <c r="CB59" s="28" t="b">
        <f>AND(SOFR[[#This Row],[Valid]],SOFR[[#This Row],[Zero-coupon?]])</f>
        <v>0</v>
      </c>
      <c r="CC59" s="28" t="b">
        <f>AND(SOFR[[#This Row],[Valid]],NOT(SOFR[[#This Row],[Analytical Solve]]))</f>
        <v>1</v>
      </c>
      <c r="CD59" s="22">
        <f>SOFR[[#This Row],[Numerical Solve]]*1</f>
        <v>1</v>
      </c>
      <c r="CE59" s="153" t="str">
        <f>IF(SOFR[[#This Row],[Analytical Solve]],1+SOFR[[#This Row],[Par Swap Rate]]%*YEARFRAC(SOFR[[#This Row],[Settle Date (T1)]],SOFR[[#This Row],[Maturity Date (T2)]],DayCount_SOFR),"")</f>
        <v/>
      </c>
      <c r="CF59" s="150" t="str" cm="1">
        <f t="array" ref="CF59">IF(SOFR[[#This Row],[Analytical Solve]],_xlfn.IFS(SOFR[[#This Row],[Settle Date (T1)]]=CurveDate,1,TRUE,_xlfn.XLOOKUP(SOFR[[#This Row],[Settle Date (T1)]],SOFR[Maturity Date (T2)],SOFR[DF(T2)])),"")</f>
        <v/>
      </c>
      <c r="CG59" s="112" t="str">
        <f>IF(SOFR[[#This Row],[Analytical Solve]],SOFR[[#This Row],[DF(T1)]]/SOFR[[#This Row],[1+r𝛿]],"")</f>
        <v/>
      </c>
      <c r="CH59" s="46">
        <f>IF(SOFR[[#This Row],[Numerical Solve]],SUM(SOFR[[#Headers],[Flag]]:SOFR[[#This Row],[Flag]]),0)</f>
        <v>1</v>
      </c>
      <c r="CI59" s="183">
        <v>0.93870352033190674</v>
      </c>
    </row>
    <row r="60" spans="16:87">
      <c r="P60" s="9"/>
      <c r="AP60" s="29"/>
      <c r="AQ60" s="29"/>
      <c r="AR60" s="29"/>
      <c r="AS60" s="29"/>
      <c r="AT60" s="29"/>
      <c r="AU60" s="29"/>
      <c r="BN60" s="103" t="s">
        <v>19</v>
      </c>
      <c r="BO60" s="33">
        <v>5</v>
      </c>
      <c r="BP60" s="115">
        <f>IF(SOFR[[#This Row],[Valid]],SOFR[[#This Row],[Maturity Date (T2)]],"")</f>
        <v>46024</v>
      </c>
      <c r="BQ60" s="142" cm="1">
        <f t="array" ref="BQ60">IF(SOFR[[#This Row],[Valid]],Linterp(_xlfn.ANCHORARRAY(Curves!$V$4),_xlfn.ANCHORARRAY(Curves!$Y$4),SOFR[[#This Row],[Maturity]],-1,TRUE),"")</f>
        <v>0.92751974743864896</v>
      </c>
      <c r="BR60" s="143">
        <f>IF(SOFR[[#This Row],[Valid]],-1*LN(SOFR[[#This Row],[DF]])/YEARFRAC(CurveDate,SOFR[[#This Row],[Maturity]],DCB_CCZR),"")</f>
        <v>4.9661909034722354E-2</v>
      </c>
      <c r="BS60" s="142" t="b">
        <v>1</v>
      </c>
      <c r="BT60" s="110">
        <f>IF(SOFR[[#This Row],[Has Settle Delay]],SettlementDelayUSD,0)</f>
        <v>2</v>
      </c>
      <c r="BU60" s="35">
        <f>WORKDAY(CurveDate,SOFR[[#This Row],[Settle Delay]],Holidays_NY_Public)</f>
        <v>45475</v>
      </c>
      <c r="BV60" s="8">
        <v>18</v>
      </c>
      <c r="BW60" s="8" t="s">
        <v>17</v>
      </c>
      <c r="BX60" s="35" cm="1">
        <f t="array" ref="BX6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46024</v>
      </c>
      <c r="BY60" s="35">
        <f>WORKDAY(SOFR[[#This Row],[Maturity Date (T2)]],OISPaymentDelay,Holidays_NY_Public)</f>
        <v>46028</v>
      </c>
      <c r="BZ60" s="41" t="b">
        <f>SOFR[[#This Row],[Par Swap Rate]]&lt;&gt;""</f>
        <v>1</v>
      </c>
      <c r="CA60" s="28" t="b">
        <v>0</v>
      </c>
      <c r="CB60" s="28" t="b">
        <f>AND(SOFR[[#This Row],[Valid]],SOFR[[#This Row],[Zero-coupon?]])</f>
        <v>0</v>
      </c>
      <c r="CC60" s="28" t="b">
        <f>AND(SOFR[[#This Row],[Valid]],NOT(SOFR[[#This Row],[Analytical Solve]]))</f>
        <v>1</v>
      </c>
      <c r="CD60" s="22">
        <f>SOFR[[#This Row],[Numerical Solve]]*1</f>
        <v>1</v>
      </c>
      <c r="CE60" s="153" t="str">
        <f>IF(SOFR[[#This Row],[Analytical Solve]],1+SOFR[[#This Row],[Par Swap Rate]]%*YEARFRAC(SOFR[[#This Row],[Settle Date (T1)]],SOFR[[#This Row],[Maturity Date (T2)]],DayCount_SOFR),"")</f>
        <v/>
      </c>
      <c r="CF60" s="150" t="str" cm="1">
        <f t="array" ref="CF60">IF(SOFR[[#This Row],[Analytical Solve]],_xlfn.IFS(SOFR[[#This Row],[Settle Date (T1)]]=CurveDate,1,TRUE,_xlfn.XLOOKUP(SOFR[[#This Row],[Settle Date (T1)]],SOFR[Maturity Date (T2)],SOFR[DF(T2)])),"")</f>
        <v/>
      </c>
      <c r="CG60" s="112" t="str">
        <f>IF(SOFR[[#This Row],[Analytical Solve]],SOFR[[#This Row],[DF(T1)]]/SOFR[[#This Row],[1+r𝛿]],"")</f>
        <v/>
      </c>
      <c r="CH60" s="46">
        <f>IF(SOFR[[#This Row],[Numerical Solve]],SUM(SOFR[[#Headers],[Flag]]:SOFR[[#This Row],[Flag]]),0)</f>
        <v>2</v>
      </c>
      <c r="CI60" s="183">
        <v>0.92701457212284077</v>
      </c>
    </row>
    <row r="61" spans="16:87">
      <c r="P61" s="9"/>
      <c r="AP61" s="29"/>
      <c r="AQ61" s="29"/>
      <c r="AR61" s="29"/>
      <c r="AS61" s="29"/>
      <c r="AT61" s="29"/>
      <c r="AU61" s="29"/>
      <c r="BN61" s="103" t="s">
        <v>18</v>
      </c>
      <c r="BO61" s="33">
        <v>5</v>
      </c>
      <c r="BP61" s="115">
        <f>IF(SOFR[[#This Row],[Valid]],SOFR[[#This Row],[Maturity Date (T2)]],"")</f>
        <v>46114</v>
      </c>
      <c r="BQ61" s="142" cm="1">
        <f t="array" ref="BQ61">IF(SOFR[[#This Row],[Valid]],Linterp(_xlfn.ANCHORARRAY(Curves!$V$4),_xlfn.ANCHORARRAY(Curves!$Y$4),SOFR[[#This Row],[Maturity]],-1,TRUE),"")</f>
        <v>0.91635079142228482</v>
      </c>
      <c r="BR61" s="143">
        <f>IF(SOFR[[#This Row],[Valid]],-1*LN(SOFR[[#This Row],[DF]])/YEARFRAC(CurveDate,SOFR[[#This Row],[Maturity]],DCB_CCZR),"")</f>
        <v>4.9587791688853619E-2</v>
      </c>
      <c r="BS61" s="142" t="b">
        <v>1</v>
      </c>
      <c r="BT61" s="110">
        <f>IF(SOFR[[#This Row],[Has Settle Delay]],SettlementDelayUSD,0)</f>
        <v>2</v>
      </c>
      <c r="BU61" s="35">
        <f>WORKDAY(CurveDate,SOFR[[#This Row],[Settle Delay]],Holidays_NY_Public)</f>
        <v>45475</v>
      </c>
      <c r="BV61" s="8">
        <v>21</v>
      </c>
      <c r="BW61" s="8" t="s">
        <v>17</v>
      </c>
      <c r="BX61" s="35" cm="1">
        <f t="array" ref="BX6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46114</v>
      </c>
      <c r="BY61" s="35">
        <f>WORKDAY(SOFR[[#This Row],[Maturity Date (T2)]],OISPaymentDelay,Holidays_NY_Public)</f>
        <v>46118</v>
      </c>
      <c r="BZ61" s="41" t="b">
        <f>SOFR[[#This Row],[Par Swap Rate]]&lt;&gt;""</f>
        <v>1</v>
      </c>
      <c r="CA61" s="28" t="b">
        <v>0</v>
      </c>
      <c r="CB61" s="28" t="b">
        <f>AND(SOFR[[#This Row],[Valid]],SOFR[[#This Row],[Zero-coupon?]])</f>
        <v>0</v>
      </c>
      <c r="CC61" s="28" t="b">
        <f>AND(SOFR[[#This Row],[Valid]],NOT(SOFR[[#This Row],[Analytical Solve]]))</f>
        <v>1</v>
      </c>
      <c r="CD61" s="22">
        <f>SOFR[[#This Row],[Numerical Solve]]*1</f>
        <v>1</v>
      </c>
      <c r="CE61" s="153" t="str">
        <f>IF(SOFR[[#This Row],[Analytical Solve]],1+SOFR[[#This Row],[Par Swap Rate]]%*YEARFRAC(SOFR[[#This Row],[Settle Date (T1)]],SOFR[[#This Row],[Maturity Date (T2)]],DayCount_SOFR),"")</f>
        <v/>
      </c>
      <c r="CF61" s="150" t="str" cm="1">
        <f t="array" ref="CF61">IF(SOFR[[#This Row],[Analytical Solve]],_xlfn.IFS(SOFR[[#This Row],[Settle Date (T1)]]=CurveDate,1,TRUE,_xlfn.XLOOKUP(SOFR[[#This Row],[Settle Date (T1)]],SOFR[Maturity Date (T2)],SOFR[DF(T2)])),"")</f>
        <v/>
      </c>
      <c r="CG61" s="112" t="str">
        <f>IF(SOFR[[#This Row],[Analytical Solve]],SOFR[[#This Row],[DF(T1)]]/SOFR[[#This Row],[1+r𝛿]],"")</f>
        <v/>
      </c>
      <c r="CH61" s="46">
        <f>IF(SOFR[[#This Row],[Numerical Solve]],SUM(SOFR[[#Headers],[Flag]]:SOFR[[#This Row],[Flag]]),0)</f>
        <v>3</v>
      </c>
      <c r="CI61" s="183">
        <v>0.91585779806050571</v>
      </c>
    </row>
    <row r="62" spans="16:87">
      <c r="P62" s="9"/>
      <c r="AP62" s="29"/>
      <c r="AQ62" s="29"/>
      <c r="AR62" s="29"/>
      <c r="AS62" s="29"/>
      <c r="AT62" s="29"/>
      <c r="AU62" s="29"/>
      <c r="BN62" s="103" t="s">
        <v>16</v>
      </c>
      <c r="BO62" s="33">
        <v>5</v>
      </c>
      <c r="BP62" s="115">
        <f>IF(SOFR[[#This Row],[Valid]],SOFR[[#This Row],[Maturity Date (T2)]],"")</f>
        <v>46205</v>
      </c>
      <c r="BQ62" s="142" cm="1">
        <f t="array" ref="BQ62">IF(SOFR[[#This Row],[Valid]],Linterp(_xlfn.ANCHORARRAY(Curves!$V$4),_xlfn.ANCHORARRAY(Curves!$Y$4),SOFR[[#This Row],[Maturity]],-1,TRUE),"")</f>
        <v>0.90532793325955951</v>
      </c>
      <c r="BR62" s="143">
        <f>IF(SOFR[[#This Row],[Valid]],-1*LN(SOFR[[#This Row],[DF]])/YEARFRAC(CurveDate,SOFR[[#This Row],[Maturity]],DCB_CCZR),"")</f>
        <v>4.9458019018483068E-2</v>
      </c>
      <c r="BS62" s="142" t="b">
        <v>1</v>
      </c>
      <c r="BT62" s="110">
        <f>IF(SOFR[[#This Row],[Has Settle Delay]],SettlementDelayUSD,0)</f>
        <v>2</v>
      </c>
      <c r="BU62" s="35">
        <f>WORKDAY(CurveDate,SOFR[[#This Row],[Settle Delay]],Holidays_NY_Public)</f>
        <v>45475</v>
      </c>
      <c r="BV62" s="8">
        <v>2</v>
      </c>
      <c r="BW62" s="8" t="s">
        <v>1</v>
      </c>
      <c r="BX62" s="35" cm="1">
        <f t="array" ref="BX6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46205</v>
      </c>
      <c r="BY62" s="35">
        <f>WORKDAY(SOFR[[#This Row],[Maturity Date (T2)]],OISPaymentDelay,Holidays_NY_Public)</f>
        <v>46210</v>
      </c>
      <c r="BZ62" s="41" t="b">
        <f>SOFR[[#This Row],[Par Swap Rate]]&lt;&gt;""</f>
        <v>1</v>
      </c>
      <c r="CA62" s="28" t="b">
        <v>0</v>
      </c>
      <c r="CB62" s="28" t="b">
        <f>AND(SOFR[[#This Row],[Valid]],SOFR[[#This Row],[Zero-coupon?]])</f>
        <v>0</v>
      </c>
      <c r="CC62" s="28" t="b">
        <f>AND(SOFR[[#This Row],[Valid]],NOT(SOFR[[#This Row],[Analytical Solve]]))</f>
        <v>1</v>
      </c>
      <c r="CD62" s="22">
        <f>SOFR[[#This Row],[Numerical Solve]]*1</f>
        <v>1</v>
      </c>
      <c r="CE62" s="153" t="str">
        <f>IF(SOFR[[#This Row],[Analytical Solve]],1+SOFR[[#This Row],[Par Swap Rate]]%*YEARFRAC(SOFR[[#This Row],[Settle Date (T1)]],SOFR[[#This Row],[Maturity Date (T2)]],DayCount_SOFR),"")</f>
        <v/>
      </c>
      <c r="CF62" s="150" t="str" cm="1">
        <f t="array" ref="CF62">IF(SOFR[[#This Row],[Analytical Solve]],_xlfn.IFS(SOFR[[#This Row],[Settle Date (T1)]]=CurveDate,1,TRUE,_xlfn.XLOOKUP(SOFR[[#This Row],[Settle Date (T1)]],SOFR[Maturity Date (T2)],SOFR[DF(T2)])),"")</f>
        <v/>
      </c>
      <c r="CG62" s="112" t="str">
        <f>IF(SOFR[[#This Row],[Analytical Solve]],SOFR[[#This Row],[DF(T1)]]/SOFR[[#This Row],[1+r𝛿]],"")</f>
        <v/>
      </c>
      <c r="CH62" s="46">
        <f>IF(SOFR[[#This Row],[Numerical Solve]],SUM(SOFR[[#Headers],[Flag]]:SOFR[[#This Row],[Flag]]),0)</f>
        <v>4</v>
      </c>
      <c r="CI62" s="183">
        <v>0.9047264607848895</v>
      </c>
    </row>
    <row r="63" spans="16:87">
      <c r="P63" s="9"/>
      <c r="AP63" s="29"/>
      <c r="AQ63" s="29"/>
      <c r="AR63" s="29"/>
      <c r="AS63" s="29"/>
      <c r="AT63" s="29"/>
      <c r="AU63" s="29"/>
      <c r="BN63" s="103" t="s">
        <v>15</v>
      </c>
      <c r="BO63" s="33">
        <v>5</v>
      </c>
      <c r="BP63" s="115">
        <f>IF(SOFR[[#This Row],[Valid]],SOFR[[#This Row],[Maturity Date (T2)]],"")</f>
        <v>46570</v>
      </c>
      <c r="BQ63" s="142" cm="1">
        <f t="array" ref="BQ63">IF(SOFR[[#This Row],[Valid]],Linterp(_xlfn.ANCHORARRAY(Curves!$V$4),_xlfn.ANCHORARRAY(Curves!$Y$4),SOFR[[#This Row],[Maturity]],-1,TRUE),"")</f>
        <v>0.86164720680039752</v>
      </c>
      <c r="BR63" s="143">
        <f>IF(SOFR[[#This Row],[Valid]],-1*LN(SOFR[[#This Row],[DF]])/YEARFRAC(CurveDate,SOFR[[#This Row],[Maturity]],DCB_CCZR),"")</f>
        <v>4.9455794545571849E-2</v>
      </c>
      <c r="BS63" s="142" t="b">
        <v>1</v>
      </c>
      <c r="BT63" s="110">
        <f>IF(SOFR[[#This Row],[Has Settle Delay]],SettlementDelayUSD,0)</f>
        <v>2</v>
      </c>
      <c r="BU63" s="35">
        <f>WORKDAY(CurveDate,SOFR[[#This Row],[Settle Delay]],Holidays_NY_Public)</f>
        <v>45475</v>
      </c>
      <c r="BV63" s="8">
        <v>3</v>
      </c>
      <c r="BW63" s="8" t="s">
        <v>1</v>
      </c>
      <c r="BX63" s="35" cm="1">
        <f t="array" ref="BX6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46570</v>
      </c>
      <c r="BY63" s="35">
        <f>WORKDAY(SOFR[[#This Row],[Maturity Date (T2)]],OISPaymentDelay,Holidays_NY_Public)</f>
        <v>46575</v>
      </c>
      <c r="BZ63" s="41" t="b">
        <f>SOFR[[#This Row],[Par Swap Rate]]&lt;&gt;""</f>
        <v>1</v>
      </c>
      <c r="CA63" s="28" t="b">
        <v>0</v>
      </c>
      <c r="CB63" s="28" t="b">
        <f>AND(SOFR[[#This Row],[Valid]],SOFR[[#This Row],[Zero-coupon?]])</f>
        <v>0</v>
      </c>
      <c r="CC63" s="28" t="b">
        <f>AND(SOFR[[#This Row],[Valid]],NOT(SOFR[[#This Row],[Analytical Solve]]))</f>
        <v>1</v>
      </c>
      <c r="CD63" s="22">
        <f>SOFR[[#This Row],[Numerical Solve]]*1</f>
        <v>1</v>
      </c>
      <c r="CE63" s="153" t="str">
        <f>IF(SOFR[[#This Row],[Analytical Solve]],1+SOFR[[#This Row],[Par Swap Rate]]%*YEARFRAC(SOFR[[#This Row],[Settle Date (T1)]],SOFR[[#This Row],[Maturity Date (T2)]],DayCount_SOFR),"")</f>
        <v/>
      </c>
      <c r="CF63" s="150" t="str" cm="1">
        <f t="array" ref="CF63">IF(SOFR[[#This Row],[Analytical Solve]],_xlfn.IFS(SOFR[[#This Row],[Settle Date (T1)]]=CurveDate,1,TRUE,_xlfn.XLOOKUP(SOFR[[#This Row],[Settle Date (T1)]],SOFR[Maturity Date (T2)],SOFR[DF(T2)])),"")</f>
        <v/>
      </c>
      <c r="CG63" s="112" t="str">
        <f>IF(SOFR[[#This Row],[Analytical Solve]],SOFR[[#This Row],[DF(T1)]]/SOFR[[#This Row],[1+r𝛿]],"")</f>
        <v/>
      </c>
      <c r="CH63" s="46">
        <f>IF(SOFR[[#This Row],[Numerical Solve]],SUM(SOFR[[#Headers],[Flag]]:SOFR[[#This Row],[Flag]]),0)</f>
        <v>5</v>
      </c>
      <c r="CI63" s="183">
        <v>0.86106355802996026</v>
      </c>
    </row>
    <row r="64" spans="16:87">
      <c r="P64" s="9"/>
      <c r="AP64" s="29"/>
      <c r="AQ64" s="29"/>
      <c r="AR64" s="29"/>
      <c r="AS64" s="29"/>
      <c r="AT64" s="29"/>
      <c r="AU64" s="29"/>
      <c r="BN64" s="103" t="s">
        <v>14</v>
      </c>
      <c r="BO64" s="33">
        <v>5</v>
      </c>
      <c r="BP64" s="115">
        <f>IF(SOFR[[#This Row],[Valid]],SOFR[[#This Row],[Maturity Date (T2)]],"")</f>
        <v>46937</v>
      </c>
      <c r="BQ64" s="142" cm="1">
        <f t="array" ref="BQ64">IF(SOFR[[#This Row],[Valid]],Linterp(_xlfn.ANCHORARRAY(Curves!$V$4),_xlfn.ANCHORARRAY(Curves!$Y$4),SOFR[[#This Row],[Maturity]],-1,TRUE),"")</f>
        <v>0.81985191625163656</v>
      </c>
      <c r="BR64" s="143">
        <f>IF(SOFR[[#This Row],[Valid]],-1*LN(SOFR[[#This Row],[DF]])/YEARFRAC(CurveDate,SOFR[[#This Row],[Maturity]],DCB_CCZR),"")</f>
        <v>4.9454647962998255E-2</v>
      </c>
      <c r="BS64" s="142" t="b">
        <v>1</v>
      </c>
      <c r="BT64" s="110">
        <f>IF(SOFR[[#This Row],[Has Settle Delay]],SettlementDelayUSD,0)</f>
        <v>2</v>
      </c>
      <c r="BU64" s="35">
        <f>WORKDAY(CurveDate,SOFR[[#This Row],[Settle Delay]],Holidays_NY_Public)</f>
        <v>45475</v>
      </c>
      <c r="BV64" s="8">
        <v>4</v>
      </c>
      <c r="BW64" s="8" t="s">
        <v>1</v>
      </c>
      <c r="BX64" s="35" cm="1">
        <f t="array" ref="BX6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46937</v>
      </c>
      <c r="BY64" s="35">
        <f>WORKDAY(SOFR[[#This Row],[Maturity Date (T2)]],OISPaymentDelay,Holidays_NY_Public)</f>
        <v>46940</v>
      </c>
      <c r="BZ64" s="41" t="b">
        <f>SOFR[[#This Row],[Par Swap Rate]]&lt;&gt;""</f>
        <v>1</v>
      </c>
      <c r="CA64" s="28" t="b">
        <v>0</v>
      </c>
      <c r="CB64" s="28" t="b">
        <f>AND(SOFR[[#This Row],[Valid]],SOFR[[#This Row],[Zero-coupon?]])</f>
        <v>0</v>
      </c>
      <c r="CC64" s="28" t="b">
        <f>AND(SOFR[[#This Row],[Valid]],NOT(SOFR[[#This Row],[Analytical Solve]]))</f>
        <v>1</v>
      </c>
      <c r="CD64" s="22">
        <f>SOFR[[#This Row],[Numerical Solve]]*1</f>
        <v>1</v>
      </c>
      <c r="CE64" s="153" t="str">
        <f>IF(SOFR[[#This Row],[Analytical Solve]],1+SOFR[[#This Row],[Par Swap Rate]]%*YEARFRAC(SOFR[[#This Row],[Settle Date (T1)]],SOFR[[#This Row],[Maturity Date (T2)]],DayCount_SOFR),"")</f>
        <v/>
      </c>
      <c r="CF64" s="150" t="str" cm="1">
        <f t="array" ref="CF64">IF(SOFR[[#This Row],[Analytical Solve]],_xlfn.IFS(SOFR[[#This Row],[Settle Date (T1)]]=CurveDate,1,TRUE,_xlfn.XLOOKUP(SOFR[[#This Row],[Settle Date (T1)]],SOFR[Maturity Date (T2)],SOFR[DF(T2)])),"")</f>
        <v/>
      </c>
      <c r="CG64" s="112" t="str">
        <f>IF(SOFR[[#This Row],[Analytical Solve]],SOFR[[#This Row],[DF(T1)]]/SOFR[[#This Row],[1+r𝛿]],"")</f>
        <v/>
      </c>
      <c r="CH64" s="46">
        <f>IF(SOFR[[#This Row],[Numerical Solve]],SUM(SOFR[[#Headers],[Flag]]:SOFR[[#This Row],[Flag]]),0)</f>
        <v>6</v>
      </c>
      <c r="CI64" s="183">
        <v>0.81951875773318938</v>
      </c>
    </row>
    <row r="65" spans="16:87">
      <c r="P65" s="9"/>
      <c r="AP65" s="29"/>
      <c r="AQ65" s="29"/>
      <c r="AR65" s="29"/>
      <c r="AS65" s="29"/>
      <c r="AT65" s="29"/>
      <c r="AU65" s="29"/>
      <c r="BN65" s="103" t="s">
        <v>13</v>
      </c>
      <c r="BO65" s="33">
        <v>5</v>
      </c>
      <c r="BP65" s="115">
        <f>IF(SOFR[[#This Row],[Valid]],SOFR[[#This Row],[Maturity Date (T2)]],"")</f>
        <v>47301</v>
      </c>
      <c r="BQ65" s="142" cm="1">
        <f t="array" ref="BQ65">IF(SOFR[[#This Row],[Valid]],Linterp(_xlfn.ANCHORARRAY(Curves!$V$4),_xlfn.ANCHORARRAY(Curves!$Y$4),SOFR[[#This Row],[Maturity]],-1,TRUE),"")</f>
        <v>0.78040378578762448</v>
      </c>
      <c r="BR65" s="143">
        <f>IF(SOFR[[#This Row],[Valid]],-1*LN(SOFR[[#This Row],[DF]])/YEARFRAC(CurveDate,SOFR[[#This Row],[Maturity]],DCB_CCZR),"")</f>
        <v>4.9453275405991433E-2</v>
      </c>
      <c r="BS65" s="142" t="b">
        <v>1</v>
      </c>
      <c r="BT65" s="110">
        <f>IF(SOFR[[#This Row],[Has Settle Delay]],SettlementDelayUSD,0)</f>
        <v>2</v>
      </c>
      <c r="BU65" s="35">
        <f>WORKDAY(CurveDate,SOFR[[#This Row],[Settle Delay]],Holidays_NY_Public)</f>
        <v>45475</v>
      </c>
      <c r="BV65" s="8">
        <v>5</v>
      </c>
      <c r="BW65" s="8" t="s">
        <v>1</v>
      </c>
      <c r="BX65" s="35" cm="1">
        <f t="array" ref="BX6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47301</v>
      </c>
      <c r="BY65" s="35">
        <f>WORKDAY(SOFR[[#This Row],[Maturity Date (T2)]],OISPaymentDelay,Holidays_NY_Public)</f>
        <v>47304</v>
      </c>
      <c r="BZ65" s="41" t="b">
        <f>SOFR[[#This Row],[Par Swap Rate]]&lt;&gt;""</f>
        <v>1</v>
      </c>
      <c r="CA65" s="28" t="b">
        <v>0</v>
      </c>
      <c r="CB65" s="28" t="b">
        <f>AND(SOFR[[#This Row],[Valid]],SOFR[[#This Row],[Zero-coupon?]])</f>
        <v>0</v>
      </c>
      <c r="CC65" s="28" t="b">
        <f>AND(SOFR[[#This Row],[Valid]],NOT(SOFR[[#This Row],[Analytical Solve]]))</f>
        <v>1</v>
      </c>
      <c r="CD65" s="22">
        <f>SOFR[[#This Row],[Numerical Solve]]*1</f>
        <v>1</v>
      </c>
      <c r="CE65" s="153" t="str">
        <f>IF(SOFR[[#This Row],[Analytical Solve]],1+SOFR[[#This Row],[Par Swap Rate]]%*YEARFRAC(SOFR[[#This Row],[Settle Date (T1)]],SOFR[[#This Row],[Maturity Date (T2)]],DayCount_SOFR),"")</f>
        <v/>
      </c>
      <c r="CF65" s="150" t="str" cm="1">
        <f t="array" ref="CF65">IF(SOFR[[#This Row],[Analytical Solve]],_xlfn.IFS(SOFR[[#This Row],[Settle Date (T1)]]=CurveDate,1,TRUE,_xlfn.XLOOKUP(SOFR[[#This Row],[Settle Date (T1)]],SOFR[Maturity Date (T2)],SOFR[DF(T2)])),"")</f>
        <v/>
      </c>
      <c r="CG65" s="112" t="str">
        <f>IF(SOFR[[#This Row],[Analytical Solve]],SOFR[[#This Row],[DF(T1)]]/SOFR[[#This Row],[1+r𝛿]],"")</f>
        <v/>
      </c>
      <c r="CH65" s="46">
        <f>IF(SOFR[[#This Row],[Numerical Solve]],SUM(SOFR[[#Headers],[Flag]]:SOFR[[#This Row],[Flag]]),0)</f>
        <v>7</v>
      </c>
      <c r="CI65" s="183">
        <v>0.78008667882289917</v>
      </c>
    </row>
    <row r="66" spans="16:87">
      <c r="P66" s="9"/>
      <c r="AP66" s="29"/>
      <c r="AQ66" s="29"/>
      <c r="AR66" s="29"/>
      <c r="AS66" s="29"/>
      <c r="AT66" s="29"/>
      <c r="AU66" s="29"/>
      <c r="BN66" s="103" t="s">
        <v>12</v>
      </c>
      <c r="BO66" s="33">
        <v>5</v>
      </c>
      <c r="BP66" s="115">
        <f>IF(SOFR[[#This Row],[Valid]],SOFR[[#This Row],[Maturity Date (T2)]],"")</f>
        <v>47666</v>
      </c>
      <c r="BQ66" s="142" cm="1">
        <f t="array" ref="BQ66">IF(SOFR[[#This Row],[Valid]],Linterp(_xlfn.ANCHORARRAY(Curves!$V$4),_xlfn.ANCHORARRAY(Curves!$Y$4),SOFR[[#This Row],[Maturity]],-1,TRUE),"")</f>
        <v>0.74275046367103204</v>
      </c>
      <c r="BR66" s="143">
        <f>IF(SOFR[[#This Row],[Valid]],-1*LN(SOFR[[#This Row],[DF]])/YEARFRAC(CurveDate,SOFR[[#This Row],[Maturity]],DCB_CCZR),"")</f>
        <v>4.9452950449939581E-2</v>
      </c>
      <c r="BS66" s="142" t="b">
        <v>1</v>
      </c>
      <c r="BT66" s="110">
        <f>IF(SOFR[[#This Row],[Has Settle Delay]],SettlementDelayUSD,0)</f>
        <v>2</v>
      </c>
      <c r="BU66" s="35">
        <f>WORKDAY(CurveDate,SOFR[[#This Row],[Settle Delay]],Holidays_NY_Public)</f>
        <v>45475</v>
      </c>
      <c r="BV66" s="8">
        <v>6</v>
      </c>
      <c r="BW66" s="8" t="s">
        <v>1</v>
      </c>
      <c r="BX66" s="35" cm="1">
        <f t="array" ref="BX6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47666</v>
      </c>
      <c r="BY66" s="35">
        <f>WORKDAY(SOFR[[#This Row],[Maturity Date (T2)]],OISPaymentDelay,Holidays_NY_Public)</f>
        <v>47669</v>
      </c>
      <c r="BZ66" s="41" t="b">
        <f>SOFR[[#This Row],[Par Swap Rate]]&lt;&gt;""</f>
        <v>1</v>
      </c>
      <c r="CA66" s="28" t="b">
        <v>0</v>
      </c>
      <c r="CB66" s="28" t="b">
        <f>AND(SOFR[[#This Row],[Valid]],SOFR[[#This Row],[Zero-coupon?]])</f>
        <v>0</v>
      </c>
      <c r="CC66" s="28" t="b">
        <f>AND(SOFR[[#This Row],[Valid]],NOT(SOFR[[#This Row],[Analytical Solve]]))</f>
        <v>1</v>
      </c>
      <c r="CD66" s="22">
        <f>SOFR[[#This Row],[Numerical Solve]]*1</f>
        <v>1</v>
      </c>
      <c r="CE66" s="153" t="str">
        <f>IF(SOFR[[#This Row],[Analytical Solve]],1+SOFR[[#This Row],[Par Swap Rate]]%*YEARFRAC(SOFR[[#This Row],[Settle Date (T1)]],SOFR[[#This Row],[Maturity Date (T2)]],DayCount_SOFR),"")</f>
        <v/>
      </c>
      <c r="CF66" s="150" t="str" cm="1">
        <f t="array" ref="CF66">IF(SOFR[[#This Row],[Analytical Solve]],_xlfn.IFS(SOFR[[#This Row],[Settle Date (T1)]]=CurveDate,1,TRUE,_xlfn.XLOOKUP(SOFR[[#This Row],[Settle Date (T1)]],SOFR[Maturity Date (T2)],SOFR[DF(T2)])),"")</f>
        <v/>
      </c>
      <c r="CG66" s="112" t="str">
        <f>IF(SOFR[[#This Row],[Analytical Solve]],SOFR[[#This Row],[DF(T1)]]/SOFR[[#This Row],[1+r𝛿]],"")</f>
        <v/>
      </c>
      <c r="CH66" s="46">
        <f>IF(SOFR[[#This Row],[Numerical Solve]],SUM(SOFR[[#Headers],[Flag]]:SOFR[[#This Row],[Flag]]),0)</f>
        <v>8</v>
      </c>
      <c r="CI66" s="183">
        <v>0.74244863448889031</v>
      </c>
    </row>
    <row r="67" spans="16:87">
      <c r="P67" s="9"/>
      <c r="AP67" s="29"/>
      <c r="AQ67" s="29"/>
      <c r="AR67" s="29"/>
      <c r="AS67" s="29"/>
      <c r="AT67" s="29"/>
      <c r="AU67" s="29"/>
      <c r="BN67" s="103" t="s">
        <v>11</v>
      </c>
      <c r="BO67" s="33">
        <v>5</v>
      </c>
      <c r="BP67" s="115">
        <f>IF(SOFR[[#This Row],[Valid]],SOFR[[#This Row],[Maturity Date (T2)]],"")</f>
        <v>48031</v>
      </c>
      <c r="BQ67" s="142" cm="1">
        <f t="array" ref="BQ67">IF(SOFR[[#This Row],[Valid]],Linterp(_xlfn.ANCHORARRAY(Curves!$V$4),_xlfn.ANCHORARRAY(Curves!$Y$4),SOFR[[#This Row],[Maturity]],-1,TRUE),"")</f>
        <v>0.70691385835340081</v>
      </c>
      <c r="BR67" s="143">
        <f>IF(SOFR[[#This Row],[Valid]],-1*LN(SOFR[[#This Row],[DF]])/YEARFRAC(CurveDate,SOFR[[#This Row],[Maturity]],DCB_CCZR),"")</f>
        <v>4.9452718156827419E-2</v>
      </c>
      <c r="BS67" s="142" t="b">
        <v>1</v>
      </c>
      <c r="BT67" s="110">
        <f>IF(SOFR[[#This Row],[Has Settle Delay]],SettlementDelayUSD,0)</f>
        <v>2</v>
      </c>
      <c r="BU67" s="35">
        <f>WORKDAY(CurveDate,SOFR[[#This Row],[Settle Delay]],Holidays_NY_Public)</f>
        <v>45475</v>
      </c>
      <c r="BV67" s="8">
        <v>7</v>
      </c>
      <c r="BW67" s="8" t="s">
        <v>1</v>
      </c>
      <c r="BX67" s="35" cm="1">
        <f t="array" ref="BX6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48031</v>
      </c>
      <c r="BY67" s="35">
        <f>WORKDAY(SOFR[[#This Row],[Maturity Date (T2)]],OISPaymentDelay,Holidays_NY_Public)</f>
        <v>48036</v>
      </c>
      <c r="BZ67" s="41" t="b">
        <f>SOFR[[#This Row],[Par Swap Rate]]&lt;&gt;""</f>
        <v>1</v>
      </c>
      <c r="CA67" s="28" t="b">
        <v>0</v>
      </c>
      <c r="CB67" s="28" t="b">
        <f>AND(SOFR[[#This Row],[Valid]],SOFR[[#This Row],[Zero-coupon?]])</f>
        <v>0</v>
      </c>
      <c r="CC67" s="28" t="b">
        <f>AND(SOFR[[#This Row],[Valid]],NOT(SOFR[[#This Row],[Analytical Solve]]))</f>
        <v>1</v>
      </c>
      <c r="CD67" s="22">
        <f>SOFR[[#This Row],[Numerical Solve]]*1</f>
        <v>1</v>
      </c>
      <c r="CE67" s="153" t="str">
        <f>IF(SOFR[[#This Row],[Analytical Solve]],1+SOFR[[#This Row],[Par Swap Rate]]%*YEARFRAC(SOFR[[#This Row],[Settle Date (T1)]],SOFR[[#This Row],[Maturity Date (T2)]],DayCount_SOFR),"")</f>
        <v/>
      </c>
      <c r="CF67" s="150" t="str" cm="1">
        <f t="array" ref="CF67">IF(SOFR[[#This Row],[Analytical Solve]],_xlfn.IFS(SOFR[[#This Row],[Settle Date (T1)]]=CurveDate,1,TRUE,_xlfn.XLOOKUP(SOFR[[#This Row],[Settle Date (T1)]],SOFR[Maturity Date (T2)],SOFR[DF(T2)])),"")</f>
        <v/>
      </c>
      <c r="CG67" s="112" t="str">
        <f>IF(SOFR[[#This Row],[Analytical Solve]],SOFR[[#This Row],[DF(T1)]]/SOFR[[#This Row],[1+r𝛿]],"")</f>
        <v/>
      </c>
      <c r="CH67" s="46">
        <f>IF(SOFR[[#This Row],[Numerical Solve]],SUM(SOFR[[#Headers],[Flag]]:SOFR[[#This Row],[Flag]]),0)</f>
        <v>9</v>
      </c>
      <c r="CI67" s="183">
        <v>0.70643514621235382</v>
      </c>
    </row>
    <row r="68" spans="16:87">
      <c r="P68" s="9"/>
      <c r="AP68" s="29"/>
      <c r="AQ68" s="29"/>
      <c r="AR68" s="29"/>
      <c r="AS68" s="29"/>
      <c r="AT68" s="29"/>
      <c r="AU68" s="29"/>
      <c r="BN68" s="103" t="s">
        <v>10</v>
      </c>
      <c r="BO68" s="33">
        <v>5</v>
      </c>
      <c r="BP68" s="115">
        <f>IF(SOFR[[#This Row],[Valid]],SOFR[[#This Row],[Maturity Date (T2)]],"")</f>
        <v>48397</v>
      </c>
      <c r="BQ68" s="142" cm="1">
        <f t="array" ref="BQ68">IF(SOFR[[#This Row],[Valid]],Linterp(_xlfn.ANCHORARRAY(Curves!$V$4),_xlfn.ANCHORARRAY(Curves!$Y$4),SOFR[[#This Row],[Maturity]],-1,TRUE),"")</f>
        <v>0.67271739097697614</v>
      </c>
      <c r="BR68" s="143">
        <f>IF(SOFR[[#This Row],[Valid]],-1*LN(SOFR[[#This Row],[DF]])/YEARFRAC(CurveDate,SOFR[[#This Row],[Maturity]],DCB_CCZR),"")</f>
        <v>4.9452131254719749E-2</v>
      </c>
      <c r="BS68" s="142" t="b">
        <v>1</v>
      </c>
      <c r="BT68" s="110">
        <f>IF(SOFR[[#This Row],[Has Settle Delay]],SettlementDelayUSD,0)</f>
        <v>2</v>
      </c>
      <c r="BU68" s="35">
        <f>WORKDAY(CurveDate,SOFR[[#This Row],[Settle Delay]],Holidays_NY_Public)</f>
        <v>45475</v>
      </c>
      <c r="BV68" s="8">
        <v>8</v>
      </c>
      <c r="BW68" s="8" t="s">
        <v>1</v>
      </c>
      <c r="BX68" s="35" cm="1">
        <f t="array" ref="BX6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48397</v>
      </c>
      <c r="BY68" s="35">
        <f>WORKDAY(SOFR[[#This Row],[Maturity Date (T2)]],OISPaymentDelay,Holidays_NY_Public)</f>
        <v>48402</v>
      </c>
      <c r="BZ68" s="41" t="b">
        <f>SOFR[[#This Row],[Par Swap Rate]]&lt;&gt;""</f>
        <v>1</v>
      </c>
      <c r="CA68" s="28" t="b">
        <v>0</v>
      </c>
      <c r="CB68" s="28" t="b">
        <f>AND(SOFR[[#This Row],[Valid]],SOFR[[#This Row],[Zero-coupon?]])</f>
        <v>0</v>
      </c>
      <c r="CC68" s="28" t="b">
        <f>AND(SOFR[[#This Row],[Valid]],NOT(SOFR[[#This Row],[Analytical Solve]]))</f>
        <v>1</v>
      </c>
      <c r="CD68" s="22">
        <f>SOFR[[#This Row],[Numerical Solve]]*1</f>
        <v>1</v>
      </c>
      <c r="CE68" s="153" t="str">
        <f>IF(SOFR[[#This Row],[Analytical Solve]],1+SOFR[[#This Row],[Par Swap Rate]]%*YEARFRAC(SOFR[[#This Row],[Settle Date (T1)]],SOFR[[#This Row],[Maturity Date (T2)]],DayCount_SOFR),"")</f>
        <v/>
      </c>
      <c r="CF68" s="150" t="str" cm="1">
        <f t="array" ref="CF68">IF(SOFR[[#This Row],[Analytical Solve]],_xlfn.IFS(SOFR[[#This Row],[Settle Date (T1)]]=CurveDate,1,TRUE,_xlfn.XLOOKUP(SOFR[[#This Row],[Settle Date (T1)]],SOFR[Maturity Date (T2)],SOFR[DF(T2)])),"")</f>
        <v/>
      </c>
      <c r="CG68" s="112" t="str">
        <f>IF(SOFR[[#This Row],[Analytical Solve]],SOFR[[#This Row],[DF(T1)]]/SOFR[[#This Row],[1+r𝛿]],"")</f>
        <v/>
      </c>
      <c r="CH68" s="46">
        <f>IF(SOFR[[#This Row],[Numerical Solve]],SUM(SOFR[[#Headers],[Flag]]:SOFR[[#This Row],[Flag]]),0)</f>
        <v>10</v>
      </c>
      <c r="CI68" s="183">
        <v>0.67226186696606194</v>
      </c>
    </row>
    <row r="69" spans="16:87">
      <c r="P69" s="9"/>
      <c r="AP69" s="29"/>
      <c r="AQ69" s="29"/>
      <c r="AR69" s="29"/>
      <c r="AS69" s="29"/>
      <c r="AT69" s="29"/>
      <c r="AU69" s="29"/>
      <c r="BN69" s="103" t="s">
        <v>9</v>
      </c>
      <c r="BO69" s="33">
        <v>5</v>
      </c>
      <c r="BP69" s="115">
        <f>IF(SOFR[[#This Row],[Valid]],SOFR[[#This Row],[Maturity Date (T2)]],"")</f>
        <v>48765</v>
      </c>
      <c r="BQ69" s="142" cm="1">
        <f t="array" ref="BQ69">IF(SOFR[[#This Row],[Valid]],Linterp(_xlfn.ANCHORARRAY(Curves!$V$4),_xlfn.ANCHORARRAY(Curves!$Y$4),SOFR[[#This Row],[Maturity]],-1,TRUE),"")</f>
        <v>0.63999091873926173</v>
      </c>
      <c r="BR69" s="143">
        <f>IF(SOFR[[#This Row],[Valid]],-1*LN(SOFR[[#This Row],[DF]])/YEARFRAC(CurveDate,SOFR[[#This Row],[Maturity]],DCB_CCZR),"")</f>
        <v>4.9453543306810267E-2</v>
      </c>
      <c r="BS69" s="142" t="b">
        <v>1</v>
      </c>
      <c r="BT69" s="110">
        <f>IF(SOFR[[#This Row],[Has Settle Delay]],SettlementDelayUSD,0)</f>
        <v>2</v>
      </c>
      <c r="BU69" s="35">
        <f>WORKDAY(CurveDate,SOFR[[#This Row],[Settle Delay]],Holidays_NY_Public)</f>
        <v>45475</v>
      </c>
      <c r="BV69" s="8">
        <v>9</v>
      </c>
      <c r="BW69" s="8" t="s">
        <v>1</v>
      </c>
      <c r="BX69" s="35" cm="1">
        <f t="array" ref="BX6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48765</v>
      </c>
      <c r="BY69" s="35">
        <f>WORKDAY(SOFR[[#This Row],[Maturity Date (T2)]],OISPaymentDelay,Holidays_NY_Public)</f>
        <v>48767</v>
      </c>
      <c r="BZ69" s="41" t="b">
        <f>SOFR[[#This Row],[Par Swap Rate]]&lt;&gt;""</f>
        <v>1</v>
      </c>
      <c r="CA69" s="28" t="b">
        <v>0</v>
      </c>
      <c r="CB69" s="28" t="b">
        <f>AND(SOFR[[#This Row],[Valid]],SOFR[[#This Row],[Zero-coupon?]])</f>
        <v>0</v>
      </c>
      <c r="CC69" s="28" t="b">
        <f>AND(SOFR[[#This Row],[Valid]],NOT(SOFR[[#This Row],[Analytical Solve]]))</f>
        <v>1</v>
      </c>
      <c r="CD69" s="22">
        <f>SOFR[[#This Row],[Numerical Solve]]*1</f>
        <v>1</v>
      </c>
      <c r="CE69" s="153" t="str">
        <f>IF(SOFR[[#This Row],[Analytical Solve]],1+SOFR[[#This Row],[Par Swap Rate]]%*YEARFRAC(SOFR[[#This Row],[Settle Date (T1)]],SOFR[[#This Row],[Maturity Date (T2)]],DayCount_SOFR),"")</f>
        <v/>
      </c>
      <c r="CF69" s="150" t="str" cm="1">
        <f t="array" ref="CF69">IF(SOFR[[#This Row],[Analytical Solve]],_xlfn.IFS(SOFR[[#This Row],[Settle Date (T1)]]=CurveDate,1,TRUE,_xlfn.XLOOKUP(SOFR[[#This Row],[Settle Date (T1)]],SOFR[Maturity Date (T2)],SOFR[DF(T2)])),"")</f>
        <v/>
      </c>
      <c r="CG69" s="112" t="str">
        <f>IF(SOFR[[#This Row],[Analytical Solve]],SOFR[[#This Row],[DF(T1)]]/SOFR[[#This Row],[1+r𝛿]],"")</f>
        <v/>
      </c>
      <c r="CH69" s="46">
        <f>IF(SOFR[[#This Row],[Numerical Solve]],SUM(SOFR[[#Headers],[Flag]]:SOFR[[#This Row],[Flag]]),0)</f>
        <v>11</v>
      </c>
      <c r="CI69" s="183">
        <v>0.63981747839832903</v>
      </c>
    </row>
    <row r="70" spans="16:87">
      <c r="P70" s="9"/>
      <c r="AP70" s="29"/>
      <c r="AQ70" s="29"/>
      <c r="AR70" s="29"/>
      <c r="AS70" s="29"/>
      <c r="AT70" s="29"/>
      <c r="AU70" s="29"/>
      <c r="BN70" s="103" t="s">
        <v>8</v>
      </c>
      <c r="BO70" s="33">
        <v>5</v>
      </c>
      <c r="BP70" s="115">
        <f>IF(SOFR[[#This Row],[Valid]],SOFR[[#This Row],[Maturity Date (T2)]],"")</f>
        <v>49128</v>
      </c>
      <c r="BQ70" s="142" cm="1">
        <f t="array" ref="BQ70">IF(SOFR[[#This Row],[Valid]],Linterp(_xlfn.ANCHORARRAY(Curves!$V$4),_xlfn.ANCHORARRAY(Curves!$Y$4),SOFR[[#This Row],[Maturity]],-1,TRUE),"")</f>
        <v>0.60928392026150735</v>
      </c>
      <c r="BR70" s="143">
        <f>IF(SOFR[[#This Row],[Valid]],-1*LN(SOFR[[#This Row],[DF]])/YEARFRAC(CurveDate,SOFR[[#This Row],[Maturity]],DCB_CCZR),"")</f>
        <v>4.9452251324668128E-2</v>
      </c>
      <c r="BS70" s="142" t="b">
        <v>1</v>
      </c>
      <c r="BT70" s="110">
        <f>IF(SOFR[[#This Row],[Has Settle Delay]],SettlementDelayUSD,0)</f>
        <v>2</v>
      </c>
      <c r="BU70" s="35">
        <f>WORKDAY(CurveDate,SOFR[[#This Row],[Settle Delay]],Holidays_NY_Public)</f>
        <v>45475</v>
      </c>
      <c r="BV70" s="8">
        <v>10</v>
      </c>
      <c r="BW70" s="8" t="s">
        <v>1</v>
      </c>
      <c r="BX70" s="35" cm="1">
        <f t="array" ref="BX7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49128</v>
      </c>
      <c r="BY70" s="35">
        <f>WORKDAY(SOFR[[#This Row],[Maturity Date (T2)]],OISPaymentDelay,Holidays_NY_Public)</f>
        <v>49131</v>
      </c>
      <c r="BZ70" s="41" t="b">
        <f>SOFR[[#This Row],[Par Swap Rate]]&lt;&gt;""</f>
        <v>1</v>
      </c>
      <c r="CA70" s="28" t="b">
        <v>0</v>
      </c>
      <c r="CB70" s="28" t="b">
        <f>AND(SOFR[[#This Row],[Valid]],SOFR[[#This Row],[Zero-coupon?]])</f>
        <v>0</v>
      </c>
      <c r="CC70" s="28" t="b">
        <f>AND(SOFR[[#This Row],[Valid]],NOT(SOFR[[#This Row],[Analytical Solve]]))</f>
        <v>1</v>
      </c>
      <c r="CD70" s="22">
        <f>SOFR[[#This Row],[Numerical Solve]]*1</f>
        <v>1</v>
      </c>
      <c r="CE70" s="153" t="str">
        <f>IF(SOFR[[#This Row],[Analytical Solve]],1+SOFR[[#This Row],[Par Swap Rate]]%*YEARFRAC(SOFR[[#This Row],[Settle Date (T1)]],SOFR[[#This Row],[Maturity Date (T2)]],DayCount_SOFR),"")</f>
        <v/>
      </c>
      <c r="CF70" s="150" t="str" cm="1">
        <f t="array" ref="CF70">IF(SOFR[[#This Row],[Analytical Solve]],_xlfn.IFS(SOFR[[#This Row],[Settle Date (T1)]]=CurveDate,1,TRUE,_xlfn.XLOOKUP(SOFR[[#This Row],[Settle Date (T1)]],SOFR[Maturity Date (T2)],SOFR[DF(T2)])),"")</f>
        <v/>
      </c>
      <c r="CG70" s="112" t="str">
        <f>IF(SOFR[[#This Row],[Analytical Solve]],SOFR[[#This Row],[DF(T1)]]/SOFR[[#This Row],[1+r𝛿]],"")</f>
        <v/>
      </c>
      <c r="CH70" s="46">
        <f>IF(SOFR[[#This Row],[Numerical Solve]],SUM(SOFR[[#Headers],[Flag]]:SOFR[[#This Row],[Flag]]),0)</f>
        <v>12</v>
      </c>
      <c r="CI70" s="183">
        <v>0.60903638232070445</v>
      </c>
    </row>
    <row r="71" spans="16:87">
      <c r="P71" s="9"/>
      <c r="AP71" s="29"/>
      <c r="AQ71" s="29"/>
      <c r="AR71" s="29"/>
      <c r="AS71" s="29"/>
      <c r="AT71" s="29"/>
      <c r="AU71" s="29"/>
      <c r="BN71" s="103" t="s">
        <v>7</v>
      </c>
      <c r="BO71" s="33">
        <v>5</v>
      </c>
      <c r="BP71" s="115">
        <f>IF(SOFR[[#This Row],[Valid]],SOFR[[#This Row],[Maturity Date (T2)]],"")</f>
        <v>49858</v>
      </c>
      <c r="BQ71" s="142" cm="1">
        <f t="array" ref="BQ71">IF(SOFR[[#This Row],[Valid]],Linterp(_xlfn.ANCHORARRAY(Curves!$V$4),_xlfn.ANCHORARRAY(Curves!$Y$4),SOFR[[#This Row],[Maturity]],-1,TRUE),"")</f>
        <v>0.55191253680396146</v>
      </c>
      <c r="BR71" s="143">
        <f>IF(SOFR[[#This Row],[Valid]],-1*LN(SOFR[[#This Row],[DF]])/YEARFRAC(CurveDate,SOFR[[#This Row],[Maturity]],DCB_CCZR),"")</f>
        <v>4.9451442437547045E-2</v>
      </c>
      <c r="BS71" s="142" t="b">
        <v>1</v>
      </c>
      <c r="BT71" s="110">
        <f>IF(SOFR[[#This Row],[Has Settle Delay]],SettlementDelayUSD,0)</f>
        <v>2</v>
      </c>
      <c r="BU71" s="35">
        <f>WORKDAY(CurveDate,SOFR[[#This Row],[Settle Delay]],Holidays_NY_Public)</f>
        <v>45475</v>
      </c>
      <c r="BV71" s="8">
        <v>12</v>
      </c>
      <c r="BW71" s="8" t="s">
        <v>1</v>
      </c>
      <c r="BX71" s="35" cm="1">
        <f t="array" ref="BX7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49858</v>
      </c>
      <c r="BY71" s="35">
        <f>WORKDAY(SOFR[[#This Row],[Maturity Date (T2)]],OISPaymentDelay,Holidays_NY_Public)</f>
        <v>49863</v>
      </c>
      <c r="BZ71" s="41" t="b">
        <f>SOFR[[#This Row],[Par Swap Rate]]&lt;&gt;""</f>
        <v>1</v>
      </c>
      <c r="CA71" s="28" t="b">
        <v>0</v>
      </c>
      <c r="CB71" s="28" t="b">
        <f>AND(SOFR[[#This Row],[Valid]],SOFR[[#This Row],[Zero-coupon?]])</f>
        <v>0</v>
      </c>
      <c r="CC71" s="28" t="b">
        <f>AND(SOFR[[#This Row],[Valid]],NOT(SOFR[[#This Row],[Analytical Solve]]))</f>
        <v>1</v>
      </c>
      <c r="CD71" s="22">
        <f>SOFR[[#This Row],[Numerical Solve]]*1</f>
        <v>1</v>
      </c>
      <c r="CE71" s="154" t="str">
        <f>IF(SOFR[[#This Row],[Analytical Solve]],1+SOFR[[#This Row],[Par Swap Rate]]%*YEARFRAC(SOFR[[#This Row],[Settle Date (T1)]],SOFR[[#This Row],[Maturity Date (T2)]],DayCount_SOFR),"")</f>
        <v/>
      </c>
      <c r="CF71" s="155" t="str" cm="1">
        <f t="array" ref="CF71">IF(SOFR[[#This Row],[Analytical Solve]],_xlfn.IFS(SOFR[[#This Row],[Settle Date (T1)]]=CurveDate,1,TRUE,_xlfn.XLOOKUP(SOFR[[#This Row],[Settle Date (T1)]],SOFR[Maturity Date (T2)],SOFR[DF(T2)])),"")</f>
        <v/>
      </c>
      <c r="CG71" s="156" t="str">
        <f>IF(SOFR[[#This Row],[Analytical Solve]],SOFR[[#This Row],[DF(T1)]]/SOFR[[#This Row],[1+r𝛿]],"")</f>
        <v/>
      </c>
      <c r="CH71" s="46">
        <f>IF(SOFR[[#This Row],[Numerical Solve]],SUM(SOFR[[#Headers],[Flag]]:SOFR[[#This Row],[Flag]]),0)</f>
        <v>13</v>
      </c>
      <c r="CI71" s="183">
        <v>0.55153881886162337</v>
      </c>
    </row>
    <row r="72" spans="16:87">
      <c r="P72" s="9"/>
      <c r="AP72" s="29"/>
      <c r="AQ72" s="29"/>
      <c r="AR72" s="29"/>
      <c r="AS72" s="29"/>
      <c r="AT72" s="29"/>
      <c r="AU72" s="29"/>
      <c r="BN72" s="157" t="s">
        <v>6</v>
      </c>
      <c r="BO72" s="33">
        <v>5</v>
      </c>
      <c r="BP72" s="115">
        <f>IF(SOFR[[#This Row],[Valid]],SOFR[[#This Row],[Maturity Date (T2)]],"")</f>
        <v>50956</v>
      </c>
      <c r="BQ72" s="142" cm="1">
        <f t="array" ref="BQ72">IF(SOFR[[#This Row],[Valid]],Linterp(_xlfn.ANCHORARRAY(Curves!$V$4),_xlfn.ANCHORARRAY(Curves!$Y$4),SOFR[[#This Row],[Maturity]],-1,TRUE),"")</f>
        <v>0.47561638282490848</v>
      </c>
      <c r="BR72" s="143">
        <f>IF(SOFR[[#This Row],[Valid]],-1*LN(SOFR[[#This Row],[DF]])/YEARFRAC(CurveDate,SOFR[[#This Row],[Maturity]],DCB_CCZR),"")</f>
        <v>4.9452586847969222E-2</v>
      </c>
      <c r="BS72" s="142" t="b">
        <v>1</v>
      </c>
      <c r="BT72" s="110">
        <f>IF(SOFR[[#This Row],[Has Settle Delay]],SettlementDelayUSD,0)</f>
        <v>2</v>
      </c>
      <c r="BU72" s="35">
        <f>WORKDAY(CurveDate,SOFR[[#This Row],[Settle Delay]],Holidays_NY_Public)</f>
        <v>45475</v>
      </c>
      <c r="BV72" s="8">
        <v>15</v>
      </c>
      <c r="BW72" s="8" t="s">
        <v>1</v>
      </c>
      <c r="BX72" s="35" cm="1">
        <f t="array" ref="BX7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50956</v>
      </c>
      <c r="BY72" s="35">
        <f>WORKDAY(SOFR[[#This Row],[Maturity Date (T2)]],OISPaymentDelay,Holidays_NY_Public)</f>
        <v>50958</v>
      </c>
      <c r="BZ72" s="41" t="b">
        <f>SOFR[[#This Row],[Par Swap Rate]]&lt;&gt;""</f>
        <v>1</v>
      </c>
      <c r="CA72" s="158" t="b">
        <v>0</v>
      </c>
      <c r="CB72" s="28" t="b">
        <f>AND(SOFR[[#This Row],[Valid]],SOFR[[#This Row],[Zero-coupon?]])</f>
        <v>0</v>
      </c>
      <c r="CC72" s="158" t="b">
        <f>AND(SOFR[[#This Row],[Valid]],NOT(SOFR[[#This Row],[Analytical Solve]]))</f>
        <v>1</v>
      </c>
      <c r="CD72" s="22">
        <f>SOFR[[#This Row],[Numerical Solve]]*1</f>
        <v>1</v>
      </c>
      <c r="CE72" s="153" t="str">
        <f>IF(SOFR[[#This Row],[Analytical Solve]],1+SOFR[[#This Row],[Par Swap Rate]]%*YEARFRAC(SOFR[[#This Row],[Settle Date (T1)]],SOFR[[#This Row],[Maturity Date (T2)]],DayCount_SOFR),"")</f>
        <v/>
      </c>
      <c r="CF72" s="151" t="str" cm="1">
        <f t="array" ref="CF72">IF(SOFR[[#This Row],[Analytical Solve]],_xlfn.IFS(SOFR[[#This Row],[Settle Date (T1)]]=CurveDate,1,TRUE,_xlfn.XLOOKUP(SOFR[[#This Row],[Settle Date (T1)]],SOFR[Maturity Date (T2)],SOFR[DF(T2)])),"")</f>
        <v/>
      </c>
      <c r="CG72" s="114" t="str">
        <f>IF(SOFR[[#This Row],[Analytical Solve]],SOFR[[#This Row],[DF(T1)]]/SOFR[[#This Row],[1+r𝛿]],"")</f>
        <v/>
      </c>
      <c r="CH72" s="46">
        <f>IF(SOFR[[#This Row],[Numerical Solve]],SUM(SOFR[[#Headers],[Flag]]:SOFR[[#This Row],[Flag]]),0)</f>
        <v>14</v>
      </c>
      <c r="CI72" s="183">
        <v>0.47548750902008757</v>
      </c>
    </row>
    <row r="73" spans="16:87">
      <c r="P73" s="9"/>
      <c r="AP73" s="29"/>
      <c r="AQ73" s="29"/>
      <c r="AR73" s="29"/>
      <c r="AS73" s="29"/>
      <c r="AT73" s="29"/>
      <c r="AU73" s="29"/>
      <c r="BN73" s="157" t="s">
        <v>5</v>
      </c>
      <c r="BO73" s="33">
        <v>5</v>
      </c>
      <c r="BP73" s="115">
        <f>IF(SOFR[[#This Row],[Valid]],SOFR[[#This Row],[Maturity Date (T2)]],"")</f>
        <v>52783</v>
      </c>
      <c r="BQ73" s="142" cm="1">
        <f t="array" ref="BQ73">IF(SOFR[[#This Row],[Valid]],Linterp(_xlfn.ANCHORARRAY(Curves!$V$4),_xlfn.ANCHORARRAY(Curves!$Y$4),SOFR[[#This Row],[Maturity]],-1,TRUE),"")</f>
        <v>0.37133000602862903</v>
      </c>
      <c r="BR73" s="143">
        <f>IF(SOFR[[#This Row],[Valid]],-1*LN(SOFR[[#This Row],[DF]])/YEARFRAC(CurveDate,SOFR[[#This Row],[Maturity]],DCB_CCZR),"")</f>
        <v>4.9451914562978171E-2</v>
      </c>
      <c r="BS73" s="142" t="b">
        <v>1</v>
      </c>
      <c r="BT73" s="110">
        <f>IF(SOFR[[#This Row],[Has Settle Delay]],SettlementDelayUSD,0)</f>
        <v>2</v>
      </c>
      <c r="BU73" s="35">
        <f>WORKDAY(CurveDate,SOFR[[#This Row],[Settle Delay]],Holidays_NY_Public)</f>
        <v>45475</v>
      </c>
      <c r="BV73" s="8">
        <v>20</v>
      </c>
      <c r="BW73" s="8" t="s">
        <v>1</v>
      </c>
      <c r="BX73" s="35" cm="1">
        <f t="array" ref="BX7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52783</v>
      </c>
      <c r="BY73" s="35">
        <f>WORKDAY(SOFR[[#This Row],[Maturity Date (T2)]],OISPaymentDelay,Holidays_NY_Public)</f>
        <v>52785</v>
      </c>
      <c r="BZ73" s="41" t="b">
        <f>SOFR[[#This Row],[Par Swap Rate]]&lt;&gt;""</f>
        <v>1</v>
      </c>
      <c r="CA73" s="158" t="b">
        <v>0</v>
      </c>
      <c r="CB73" s="28" t="b">
        <f>AND(SOFR[[#This Row],[Valid]],SOFR[[#This Row],[Zero-coupon?]])</f>
        <v>0</v>
      </c>
      <c r="CC73" s="158" t="b">
        <f>AND(SOFR[[#This Row],[Valid]],NOT(SOFR[[#This Row],[Analytical Solve]]))</f>
        <v>1</v>
      </c>
      <c r="CD73" s="22">
        <f>SOFR[[#This Row],[Numerical Solve]]*1</f>
        <v>1</v>
      </c>
      <c r="CE73" s="153" t="str">
        <f>IF(SOFR[[#This Row],[Analytical Solve]],1+SOFR[[#This Row],[Par Swap Rate]]%*YEARFRAC(SOFR[[#This Row],[Settle Date (T1)]],SOFR[[#This Row],[Maturity Date (T2)]],DayCount_SOFR),"")</f>
        <v/>
      </c>
      <c r="CF73" s="151" t="str" cm="1">
        <f t="array" ref="CF73">IF(SOFR[[#This Row],[Analytical Solve]],_xlfn.IFS(SOFR[[#This Row],[Settle Date (T1)]]=CurveDate,1,TRUE,_xlfn.XLOOKUP(SOFR[[#This Row],[Settle Date (T1)]],SOFR[Maturity Date (T2)],SOFR[DF(T2)])),"")</f>
        <v/>
      </c>
      <c r="CG73" s="114" t="str">
        <f>IF(SOFR[[#This Row],[Analytical Solve]],SOFR[[#This Row],[DF(T1)]]/SOFR[[#This Row],[1+r𝛿]],"")</f>
        <v/>
      </c>
      <c r="CH73" s="46">
        <f>IF(SOFR[[#This Row],[Numerical Solve]],SUM(SOFR[[#Headers],[Flag]]:SOFR[[#This Row],[Flag]]),0)</f>
        <v>15</v>
      </c>
      <c r="CI73" s="183">
        <v>0.37122940471454935</v>
      </c>
    </row>
    <row r="74" spans="16:87">
      <c r="P74" s="9"/>
      <c r="AP74" s="29"/>
      <c r="AQ74" s="29"/>
      <c r="AR74" s="29"/>
      <c r="AS74" s="29"/>
      <c r="AT74" s="29"/>
      <c r="AU74" s="29"/>
      <c r="BN74" s="157" t="s">
        <v>4</v>
      </c>
      <c r="BO74" s="33">
        <v>5</v>
      </c>
      <c r="BP74" s="115">
        <f>IF(SOFR[[#This Row],[Valid]],SOFR[[#This Row],[Maturity Date (T2)]],"")</f>
        <v>54606</v>
      </c>
      <c r="BQ74" s="142" cm="1">
        <f t="array" ref="BQ74">IF(SOFR[[#This Row],[Valid]],Linterp(_xlfn.ANCHORARRAY(Curves!$V$4),_xlfn.ANCHORARRAY(Curves!$Y$4),SOFR[[#This Row],[Maturity]],-1,TRUE),"")</f>
        <v>0.29007432785890658</v>
      </c>
      <c r="BR74" s="143">
        <f>IF(SOFR[[#This Row],[Valid]],-1*LN(SOFR[[#This Row],[DF]])/YEARFRAC(CurveDate,SOFR[[#This Row],[Maturity]],DCB_CCZR),"")</f>
        <v>4.9450531072375493E-2</v>
      </c>
      <c r="BS74" s="142" t="b">
        <v>1</v>
      </c>
      <c r="BT74" s="110">
        <f>IF(SOFR[[#This Row],[Has Settle Delay]],SettlementDelayUSD,0)</f>
        <v>2</v>
      </c>
      <c r="BU74" s="35">
        <f>WORKDAY(CurveDate,SOFR[[#This Row],[Settle Delay]],Holidays_NY_Public)</f>
        <v>45475</v>
      </c>
      <c r="BV74" s="8">
        <v>25</v>
      </c>
      <c r="BW74" s="8" t="s">
        <v>1</v>
      </c>
      <c r="BX74" s="35" cm="1">
        <f t="array" ref="BX7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54606</v>
      </c>
      <c r="BY74" s="35">
        <f>WORKDAY(SOFR[[#This Row],[Maturity Date (T2)]],OISPaymentDelay,Holidays_NY_Public)</f>
        <v>54611</v>
      </c>
      <c r="BZ74" s="41" t="b">
        <f>SOFR[[#This Row],[Par Swap Rate]]&lt;&gt;""</f>
        <v>1</v>
      </c>
      <c r="CA74" s="158" t="b">
        <v>0</v>
      </c>
      <c r="CB74" s="28" t="b">
        <f>AND(SOFR[[#This Row],[Valid]],SOFR[[#This Row],[Zero-coupon?]])</f>
        <v>0</v>
      </c>
      <c r="CC74" s="158" t="b">
        <f>AND(SOFR[[#This Row],[Valid]],NOT(SOFR[[#This Row],[Analytical Solve]]))</f>
        <v>1</v>
      </c>
      <c r="CD74" s="22">
        <f>SOFR[[#This Row],[Numerical Solve]]*1</f>
        <v>1</v>
      </c>
      <c r="CE74" s="153" t="str">
        <f>IF(SOFR[[#This Row],[Analytical Solve]],1+SOFR[[#This Row],[Par Swap Rate]]%*YEARFRAC(SOFR[[#This Row],[Settle Date (T1)]],SOFR[[#This Row],[Maturity Date (T2)]],DayCount_SOFR),"")</f>
        <v/>
      </c>
      <c r="CF74" s="151" t="str" cm="1">
        <f t="array" ref="CF74">IF(SOFR[[#This Row],[Analytical Solve]],_xlfn.IFS(SOFR[[#This Row],[Settle Date (T1)]]=CurveDate,1,TRUE,_xlfn.XLOOKUP(SOFR[[#This Row],[Settle Date (T1)]],SOFR[Maturity Date (T2)],SOFR[DF(T2)])),"")</f>
        <v/>
      </c>
      <c r="CG74" s="114" t="str">
        <f>IF(SOFR[[#This Row],[Analytical Solve]],SOFR[[#This Row],[DF(T1)]]/SOFR[[#This Row],[1+r𝛿]],"")</f>
        <v/>
      </c>
      <c r="CH74" s="46">
        <f>IF(SOFR[[#This Row],[Numerical Solve]],SUM(SOFR[[#Headers],[Flag]]:SOFR[[#This Row],[Flag]]),0)</f>
        <v>16</v>
      </c>
      <c r="CI74" s="183">
        <v>0.28987791878948599</v>
      </c>
    </row>
    <row r="75" spans="16:87">
      <c r="P75" s="9"/>
      <c r="AP75" s="29"/>
      <c r="AQ75" s="29"/>
      <c r="AR75" s="29"/>
      <c r="AS75" s="29"/>
      <c r="AT75" s="29"/>
      <c r="AU75" s="29"/>
      <c r="BN75" s="157" t="s">
        <v>3</v>
      </c>
      <c r="BO75" s="102">
        <v>5</v>
      </c>
      <c r="BP75" s="140">
        <f>IF(SOFR[[#This Row],[Valid]],SOFR[[#This Row],[Maturity Date (T2)]],"")</f>
        <v>56432</v>
      </c>
      <c r="BQ75" s="146" cm="1">
        <f t="array" ref="BQ75">IF(SOFR[[#This Row],[Valid]],Linterp(_xlfn.ANCHORARRAY(Curves!$V$4),_xlfn.ANCHORARRAY(Curves!$Y$4),SOFR[[#This Row],[Maturity]],-1,TRUE),"")</f>
        <v>0.22650096454210036</v>
      </c>
      <c r="BR75" s="144">
        <f>IF(SOFR[[#This Row],[Valid]],-1*LN(SOFR[[#This Row],[DF]])/YEARFRAC(CurveDate,SOFR[[#This Row],[Maturity]],DCB_CCZR),"")</f>
        <v>4.945052619245463E-2</v>
      </c>
      <c r="BS75" s="142" t="b">
        <v>1</v>
      </c>
      <c r="BT75" s="110">
        <f>IF(SOFR[[#This Row],[Has Settle Delay]],SettlementDelayUSD,0)</f>
        <v>2</v>
      </c>
      <c r="BU75" s="35">
        <f>WORKDAY(CurveDate,SOFR[[#This Row],[Settle Delay]],Holidays_NY_Public)</f>
        <v>45475</v>
      </c>
      <c r="BV75" s="8">
        <v>30</v>
      </c>
      <c r="BW75" s="8" t="s">
        <v>1</v>
      </c>
      <c r="BX75" s="35" cm="1">
        <f t="array" ref="BX7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56432</v>
      </c>
      <c r="BY75" s="35">
        <f>WORKDAY(SOFR[[#This Row],[Maturity Date (T2)]],OISPaymentDelay,Holidays_NY_Public)</f>
        <v>56437</v>
      </c>
      <c r="BZ75" s="41" t="b">
        <f>SOFR[[#This Row],[Par Swap Rate]]&lt;&gt;""</f>
        <v>1</v>
      </c>
      <c r="CA75" s="28" t="b">
        <v>0</v>
      </c>
      <c r="CB75" s="28" t="b">
        <f>AND(SOFR[[#This Row],[Valid]],SOFR[[#This Row],[Zero-coupon?]])</f>
        <v>0</v>
      </c>
      <c r="CC75" s="28" t="b">
        <f>AND(SOFR[[#This Row],[Valid]],NOT(SOFR[[#This Row],[Analytical Solve]]))</f>
        <v>1</v>
      </c>
      <c r="CD75" s="22">
        <f>SOFR[[#This Row],[Numerical Solve]]*1</f>
        <v>1</v>
      </c>
      <c r="CE75" s="153" t="str">
        <f>IF(SOFR[[#This Row],[Analytical Solve]],1+SOFR[[#This Row],[Par Swap Rate]]%*YEARFRAC(SOFR[[#This Row],[Settle Date (T1)]],SOFR[[#This Row],[Maturity Date (T2)]],DayCount_SOFR),"")</f>
        <v/>
      </c>
      <c r="CF75" s="150" t="str" cm="1">
        <f t="array" ref="CF75">IF(SOFR[[#This Row],[Analytical Solve]],_xlfn.IFS(SOFR[[#This Row],[Settle Date (T1)]]=CurveDate,1,TRUE,_xlfn.XLOOKUP(SOFR[[#This Row],[Settle Date (T1)]],SOFR[Maturity Date (T2)],SOFR[DF(T2)])),"")</f>
        <v/>
      </c>
      <c r="CG75" s="112" t="str">
        <f>IF(SOFR[[#This Row],[Analytical Solve]],SOFR[[#This Row],[DF(T1)]]/SOFR[[#This Row],[1+r𝛿]],"")</f>
        <v/>
      </c>
      <c r="CH75" s="188">
        <f>IF(SOFR[[#This Row],[Numerical Solve]],SUM(SOFR[[#Headers],[Flag]]:SOFR[[#This Row],[Flag]]),0)</f>
        <v>17</v>
      </c>
      <c r="CI75" s="184">
        <v>0.22634758376156944</v>
      </c>
    </row>
    <row r="76" spans="16:87">
      <c r="P76" s="9"/>
      <c r="AM76" s="61"/>
      <c r="AP76" s="29"/>
      <c r="AQ76" s="29"/>
      <c r="AR76" s="29"/>
      <c r="AS76" s="29"/>
      <c r="AT76" s="29"/>
      <c r="AU76" s="29"/>
      <c r="BN76" s="6"/>
      <c r="BO76" s="6"/>
      <c r="BP76" s="44"/>
      <c r="BQ76" s="6"/>
      <c r="BR76" s="6"/>
      <c r="BS76" s="6"/>
    </row>
    <row r="77" spans="16:87">
      <c r="P77" s="9"/>
      <c r="AM77" s="61"/>
      <c r="AP77" s="29"/>
      <c r="AQ77" s="29"/>
      <c r="AR77" s="29"/>
      <c r="AS77" s="29"/>
      <c r="AT77" s="29"/>
      <c r="AU77" s="29"/>
      <c r="BN77" s="6"/>
      <c r="BO77" s="6"/>
      <c r="BP77" s="44"/>
      <c r="BQ77" s="6"/>
      <c r="BR77" s="6"/>
      <c r="BS77" s="6"/>
    </row>
    <row r="78" spans="16:87">
      <c r="P78" s="9"/>
      <c r="AM78" s="61"/>
      <c r="AP78" s="29"/>
      <c r="AQ78" s="29"/>
      <c r="AR78" s="29"/>
      <c r="AS78" s="29"/>
      <c r="AT78" s="29"/>
      <c r="AU78" s="29"/>
      <c r="BN78" s="6"/>
      <c r="BO78" s="6"/>
      <c r="BP78" s="44"/>
      <c r="BQ78" s="6"/>
      <c r="BR78" s="6"/>
      <c r="BS78" s="6"/>
    </row>
    <row r="79" spans="16:87">
      <c r="P79" s="9"/>
      <c r="AM79" s="61"/>
      <c r="AP79" s="29"/>
      <c r="AQ79" s="29"/>
      <c r="AR79" s="29"/>
      <c r="AS79" s="29"/>
      <c r="AT79" s="29"/>
      <c r="AU79" s="29"/>
      <c r="BN79" s="6"/>
      <c r="BO79" s="6"/>
      <c r="BP79" s="44"/>
      <c r="BQ79" s="6"/>
      <c r="BR79" s="6"/>
      <c r="BS79" s="6"/>
    </row>
    <row r="80" spans="16:87">
      <c r="P80" s="9"/>
      <c r="AM80" s="61"/>
      <c r="AP80" s="29"/>
      <c r="AQ80" s="29"/>
      <c r="AR80" s="29"/>
      <c r="AS80" s="29"/>
      <c r="AT80" s="29"/>
      <c r="AU80" s="29"/>
      <c r="BN80" s="6"/>
      <c r="BO80" s="6"/>
      <c r="BP80" s="44"/>
      <c r="BQ80" s="6"/>
      <c r="BR80" s="6"/>
      <c r="BS80" s="6"/>
    </row>
    <row r="81" spans="16:71">
      <c r="P81" s="9"/>
      <c r="AM81" s="61"/>
      <c r="AP81" s="29"/>
      <c r="AQ81" s="29"/>
      <c r="AR81" s="29"/>
      <c r="AS81" s="29"/>
      <c r="AT81" s="29"/>
      <c r="AU81" s="29"/>
      <c r="BN81" s="6"/>
      <c r="BO81" s="6"/>
      <c r="BP81" s="44"/>
      <c r="BQ81" s="6"/>
      <c r="BR81" s="6"/>
      <c r="BS81" s="6"/>
    </row>
    <row r="82" spans="16:71">
      <c r="P82" s="9"/>
      <c r="AM82" s="61"/>
      <c r="AP82" s="29"/>
      <c r="AQ82" s="29"/>
      <c r="AR82" s="29"/>
      <c r="AS82" s="29"/>
      <c r="AT82" s="29"/>
      <c r="AU82" s="29"/>
      <c r="BN82" s="6"/>
      <c r="BO82" s="6"/>
      <c r="BP82" s="44"/>
      <c r="BQ82" s="6"/>
      <c r="BR82" s="6"/>
      <c r="BS82" s="6"/>
    </row>
    <row r="83" spans="16:71">
      <c r="P83" s="9"/>
      <c r="AM83" s="61"/>
      <c r="AP83" s="29"/>
      <c r="AQ83" s="29"/>
      <c r="AR83" s="29"/>
      <c r="AS83" s="29"/>
      <c r="AT83" s="29"/>
      <c r="AU83" s="29"/>
      <c r="BN83" s="6"/>
      <c r="BO83" s="6"/>
      <c r="BP83" s="44"/>
      <c r="BQ83" s="6"/>
      <c r="BR83" s="6"/>
      <c r="BS83" s="6"/>
    </row>
    <row r="84" spans="16:71">
      <c r="P84" s="9"/>
      <c r="AM84" s="61"/>
      <c r="AP84" s="29"/>
      <c r="AQ84" s="29"/>
      <c r="AR84" s="29"/>
      <c r="AS84" s="29"/>
      <c r="AT84" s="29"/>
      <c r="AU84" s="29"/>
      <c r="BN84" s="6"/>
      <c r="BO84" s="6"/>
      <c r="BP84" s="44"/>
      <c r="BQ84" s="6"/>
      <c r="BR84" s="6"/>
      <c r="BS84" s="6"/>
    </row>
    <row r="85" spans="16:71">
      <c r="P85" s="9"/>
      <c r="AM85" s="61"/>
      <c r="AP85" s="29"/>
      <c r="AQ85" s="29"/>
      <c r="AR85" s="29"/>
      <c r="AS85" s="29"/>
      <c r="AT85" s="29"/>
      <c r="AU85" s="29"/>
      <c r="BN85" s="6"/>
      <c r="BO85" s="6"/>
      <c r="BP85" s="44"/>
      <c r="BQ85" s="6"/>
      <c r="BR85" s="6"/>
      <c r="BS85" s="6"/>
    </row>
    <row r="86" spans="16:71">
      <c r="P86" s="9"/>
      <c r="AM86" s="61"/>
      <c r="AP86" s="29"/>
      <c r="AQ86" s="29"/>
      <c r="AR86" s="29"/>
      <c r="AS86" s="29"/>
      <c r="AT86" s="29"/>
      <c r="AU86" s="29"/>
      <c r="BN86" s="6"/>
      <c r="BO86" s="6"/>
      <c r="BP86" s="44"/>
      <c r="BQ86" s="6"/>
      <c r="BR86" s="6"/>
      <c r="BS86" s="6"/>
    </row>
    <row r="87" spans="16:71">
      <c r="P87" s="9"/>
      <c r="AM87" s="61"/>
      <c r="AP87" s="29"/>
      <c r="AQ87" s="29"/>
      <c r="AR87" s="29"/>
      <c r="AS87" s="29"/>
      <c r="AT87" s="29"/>
      <c r="AU87" s="29"/>
      <c r="BN87" s="6"/>
      <c r="BO87" s="6"/>
      <c r="BP87" s="44"/>
      <c r="BQ87" s="6"/>
      <c r="BR87" s="6"/>
      <c r="BS87" s="6"/>
    </row>
    <row r="88" spans="16:71">
      <c r="P88" s="9"/>
      <c r="AM88" s="61"/>
      <c r="AP88" s="29"/>
      <c r="AQ88" s="29"/>
      <c r="AR88" s="29"/>
      <c r="AS88" s="29"/>
      <c r="AT88" s="29"/>
      <c r="AU88" s="29"/>
      <c r="BN88" s="6"/>
      <c r="BO88" s="6"/>
      <c r="BP88" s="44"/>
      <c r="BQ88" s="6"/>
      <c r="BR88" s="6"/>
      <c r="BS88" s="6"/>
    </row>
    <row r="89" spans="16:71">
      <c r="P89" s="9"/>
      <c r="AP89" s="29"/>
      <c r="AQ89" s="29"/>
      <c r="AR89" s="29"/>
      <c r="AS89" s="29"/>
      <c r="AT89" s="29"/>
      <c r="AU89" s="29"/>
      <c r="BN89" s="6"/>
      <c r="BO89" s="6"/>
      <c r="BP89" s="44"/>
      <c r="BQ89" s="6"/>
      <c r="BR89" s="6"/>
      <c r="BS89" s="6"/>
    </row>
    <row r="90" spans="16:71">
      <c r="P90" s="9"/>
      <c r="AP90" s="29"/>
      <c r="AQ90" s="29"/>
      <c r="AR90" s="29"/>
      <c r="AS90" s="29"/>
      <c r="AT90" s="29"/>
      <c r="AU90" s="29"/>
      <c r="BN90" s="6"/>
      <c r="BO90" s="6"/>
      <c r="BP90" s="44"/>
      <c r="BQ90" s="6"/>
      <c r="BR90" s="6"/>
      <c r="BS90" s="6"/>
    </row>
    <row r="91" spans="16:71">
      <c r="P91" s="9"/>
      <c r="AP91" s="29"/>
      <c r="AQ91" s="29"/>
      <c r="AR91" s="29"/>
      <c r="AS91" s="29"/>
      <c r="AT91" s="29"/>
      <c r="AU91" s="29"/>
      <c r="BN91" s="6"/>
      <c r="BO91" s="6"/>
      <c r="BP91" s="44"/>
      <c r="BQ91" s="6"/>
      <c r="BR91" s="6"/>
      <c r="BS91" s="6"/>
    </row>
    <row r="92" spans="16:71">
      <c r="P92" s="9"/>
      <c r="AP92" s="29"/>
      <c r="AQ92" s="29"/>
      <c r="AR92" s="29"/>
      <c r="AS92" s="29"/>
      <c r="AT92" s="29"/>
      <c r="AU92" s="29"/>
      <c r="BN92" s="6"/>
      <c r="BO92" s="6"/>
      <c r="BP92" s="44"/>
      <c r="BQ92" s="6"/>
      <c r="BR92" s="6"/>
      <c r="BS92" s="6"/>
    </row>
    <row r="93" spans="16:71">
      <c r="P93" s="9"/>
      <c r="AP93" s="29"/>
      <c r="AQ93" s="29"/>
      <c r="AR93" s="29"/>
      <c r="AS93" s="29"/>
      <c r="AT93" s="29"/>
      <c r="AU93" s="29"/>
      <c r="BN93" s="6"/>
      <c r="BO93" s="6"/>
      <c r="BP93" s="44"/>
      <c r="BQ93" s="6"/>
      <c r="BR93" s="6"/>
      <c r="BS93" s="6"/>
    </row>
    <row r="94" spans="16:71">
      <c r="P94" s="9"/>
      <c r="AP94" s="29"/>
      <c r="AQ94" s="29"/>
      <c r="AR94" s="29"/>
      <c r="AS94" s="29"/>
      <c r="AT94" s="29"/>
      <c r="AU94" s="29"/>
      <c r="BN94" s="6"/>
      <c r="BO94" s="6"/>
      <c r="BP94" s="44"/>
      <c r="BQ94" s="6"/>
      <c r="BR94" s="6"/>
      <c r="BS94" s="6"/>
    </row>
    <row r="95" spans="16:71">
      <c r="P95" s="9"/>
      <c r="AP95" s="29"/>
      <c r="AQ95" s="29"/>
      <c r="AR95" s="29"/>
      <c r="AS95" s="29"/>
      <c r="AT95" s="29"/>
      <c r="AU95" s="29"/>
      <c r="BN95" s="6"/>
      <c r="BO95" s="6"/>
      <c r="BP95" s="44"/>
      <c r="BQ95" s="6"/>
      <c r="BR95" s="6"/>
      <c r="BS95" s="6"/>
    </row>
    <row r="96" spans="16:71">
      <c r="P96" s="9"/>
      <c r="AP96" s="29"/>
      <c r="AQ96" s="29"/>
      <c r="AR96" s="29"/>
      <c r="AS96" s="29"/>
      <c r="AT96" s="29"/>
      <c r="AU96" s="29"/>
      <c r="AW96" s="29"/>
      <c r="AX96" s="29"/>
      <c r="AY96" s="29"/>
      <c r="AZ96" s="29"/>
      <c r="BA96" s="29"/>
      <c r="BB96" s="29"/>
      <c r="BN96" s="6"/>
      <c r="BO96" s="6"/>
      <c r="BP96" s="44"/>
      <c r="BQ96" s="6"/>
      <c r="BR96" s="6"/>
      <c r="BS96" s="6"/>
    </row>
    <row r="97" spans="16:71">
      <c r="P97" s="9"/>
      <c r="AP97" s="29"/>
      <c r="AQ97" s="29"/>
      <c r="AR97" s="29"/>
      <c r="AS97" s="29"/>
      <c r="AT97" s="29"/>
      <c r="AU97" s="29"/>
      <c r="AW97" s="29"/>
      <c r="AX97" s="29"/>
      <c r="AY97" s="29"/>
      <c r="AZ97" s="29"/>
      <c r="BA97" s="29"/>
      <c r="BB97" s="29"/>
      <c r="BN97" s="6"/>
      <c r="BO97" s="6"/>
      <c r="BP97" s="44"/>
      <c r="BQ97" s="6"/>
      <c r="BR97" s="6"/>
      <c r="BS97" s="6"/>
    </row>
    <row r="98" spans="16:71">
      <c r="P98" s="9"/>
      <c r="AP98" s="29"/>
      <c r="AQ98" s="29"/>
      <c r="AR98" s="29"/>
      <c r="AS98" s="29"/>
      <c r="AT98" s="29"/>
      <c r="AU98" s="29"/>
      <c r="AW98" s="29"/>
      <c r="AX98" s="29"/>
      <c r="AY98" s="29"/>
      <c r="AZ98" s="29"/>
      <c r="BA98" s="29"/>
      <c r="BB98" s="29"/>
      <c r="BN98" s="6"/>
      <c r="BO98" s="6"/>
      <c r="BP98" s="44"/>
      <c r="BQ98" s="6"/>
      <c r="BR98" s="6"/>
      <c r="BS98" s="6"/>
    </row>
    <row r="99" spans="16:71">
      <c r="P99" s="9"/>
      <c r="AP99" s="29"/>
      <c r="AQ99" s="29"/>
      <c r="AR99" s="29"/>
      <c r="AS99" s="29"/>
      <c r="AT99" s="29"/>
      <c r="AU99" s="29"/>
      <c r="AW99" s="29"/>
      <c r="AX99" s="29"/>
      <c r="AY99" s="29"/>
      <c r="AZ99" s="29"/>
      <c r="BA99" s="29"/>
      <c r="BB99" s="29"/>
      <c r="BN99" s="6"/>
      <c r="BO99" s="6"/>
      <c r="BP99" s="44"/>
      <c r="BQ99" s="6"/>
      <c r="BR99" s="6"/>
      <c r="BS99" s="6"/>
    </row>
    <row r="100" spans="16:71">
      <c r="P100" s="9"/>
      <c r="AP100" s="29"/>
      <c r="AQ100" s="29"/>
      <c r="AR100" s="29"/>
      <c r="AS100" s="29"/>
      <c r="AT100" s="29"/>
      <c r="AU100" s="29"/>
      <c r="AW100" s="29"/>
      <c r="AX100" s="29"/>
      <c r="AY100" s="29"/>
      <c r="AZ100" s="29"/>
      <c r="BA100" s="29"/>
      <c r="BB100" s="29"/>
      <c r="BN100" s="6"/>
      <c r="BO100" s="6"/>
      <c r="BP100" s="44"/>
      <c r="BQ100" s="6"/>
      <c r="BR100" s="6"/>
      <c r="BS100" s="6"/>
    </row>
    <row r="101" spans="16:71">
      <c r="P101" s="9"/>
      <c r="AP101" s="29"/>
      <c r="AQ101" s="29"/>
      <c r="AR101" s="29"/>
      <c r="AS101" s="29"/>
      <c r="AT101" s="29"/>
      <c r="AU101" s="29"/>
      <c r="AW101" s="29"/>
      <c r="AX101" s="29"/>
      <c r="AY101" s="29"/>
      <c r="AZ101" s="29"/>
      <c r="BA101" s="29"/>
      <c r="BB101" s="29"/>
      <c r="BN101" s="6"/>
      <c r="BO101" s="6"/>
      <c r="BP101" s="44"/>
      <c r="BQ101" s="6"/>
      <c r="BR101" s="6"/>
      <c r="BS101" s="6"/>
    </row>
    <row r="102" spans="16:71">
      <c r="P102" s="9"/>
      <c r="AP102" s="29"/>
      <c r="AQ102" s="29"/>
      <c r="AR102" s="29"/>
      <c r="AS102" s="29"/>
      <c r="AT102" s="29"/>
      <c r="AU102" s="29"/>
      <c r="BN102" s="6"/>
      <c r="BO102" s="6"/>
      <c r="BP102" s="44"/>
      <c r="BQ102" s="6"/>
      <c r="BR102" s="6"/>
      <c r="BS102" s="6"/>
    </row>
    <row r="103" spans="16:71">
      <c r="P103" s="9"/>
      <c r="AP103" s="29"/>
      <c r="AQ103" s="29"/>
      <c r="AR103" s="29"/>
      <c r="AS103" s="29"/>
      <c r="AT103" s="29"/>
      <c r="AU103" s="29"/>
      <c r="BN103" s="6"/>
      <c r="BO103" s="6"/>
      <c r="BP103" s="44"/>
      <c r="BQ103" s="6"/>
      <c r="BR103" s="6"/>
      <c r="BS103" s="6"/>
    </row>
    <row r="104" spans="16:71">
      <c r="P104" s="9"/>
      <c r="AP104" s="29"/>
      <c r="AQ104" s="29"/>
      <c r="AR104" s="29"/>
      <c r="AS104" s="29"/>
      <c r="AT104" s="29"/>
      <c r="AU104" s="29"/>
      <c r="BN104" s="6"/>
      <c r="BO104" s="6"/>
      <c r="BP104" s="44"/>
      <c r="BQ104" s="6"/>
      <c r="BR104" s="6"/>
      <c r="BS104" s="6"/>
    </row>
    <row r="105" spans="16:71">
      <c r="P105" s="9"/>
      <c r="AP105" s="29"/>
      <c r="AQ105" s="29"/>
      <c r="AR105" s="29"/>
      <c r="AS105" s="29"/>
      <c r="AT105" s="29"/>
      <c r="AU105" s="29"/>
    </row>
    <row r="106" spans="16:71">
      <c r="P106" s="9"/>
      <c r="AP106" s="29"/>
      <c r="AQ106" s="29"/>
      <c r="AR106" s="29"/>
      <c r="AS106" s="29"/>
      <c r="AT106" s="29"/>
      <c r="AU106" s="29"/>
    </row>
    <row r="107" spans="16:71">
      <c r="P107" s="9"/>
      <c r="AP107" s="29"/>
      <c r="AQ107" s="29"/>
      <c r="AR107" s="29"/>
      <c r="AS107" s="29"/>
      <c r="AT107" s="29"/>
      <c r="AU107" s="29"/>
    </row>
    <row r="108" spans="16:71">
      <c r="P108" s="9"/>
    </row>
    <row r="109" spans="16:71">
      <c r="P109" s="9"/>
    </row>
    <row r="110" spans="16:71">
      <c r="P110" s="9"/>
    </row>
    <row r="111" spans="16:71">
      <c r="P111" s="9"/>
    </row>
    <row r="112" spans="16:71">
      <c r="P112" s="9"/>
    </row>
    <row r="113" spans="16:16">
      <c r="P113" s="9"/>
    </row>
    <row r="114" spans="16:16">
      <c r="P114" s="9"/>
    </row>
    <row r="115" spans="16:16">
      <c r="P115" s="9"/>
    </row>
    <row r="116" spans="16:16">
      <c r="P116" s="9"/>
    </row>
    <row r="117" spans="16:16">
      <c r="P117" s="9"/>
    </row>
    <row r="118" spans="16:16">
      <c r="P118" s="9"/>
    </row>
    <row r="119" spans="16:16">
      <c r="P119" s="9"/>
    </row>
    <row r="120" spans="16:16">
      <c r="P120" s="9"/>
    </row>
    <row r="121" spans="16:16">
      <c r="P121" s="9"/>
    </row>
    <row r="122" spans="16:16">
      <c r="P122" s="9"/>
    </row>
    <row r="123" spans="16:16">
      <c r="P123" s="9"/>
    </row>
    <row r="124" spans="16:16">
      <c r="P124" s="9"/>
    </row>
    <row r="125" spans="16:16">
      <c r="P125" s="9"/>
    </row>
    <row r="126" spans="16:16">
      <c r="P126" s="9"/>
    </row>
    <row r="127" spans="16:16">
      <c r="P127" s="9"/>
    </row>
    <row r="128" spans="16:16">
      <c r="P128" s="9"/>
    </row>
    <row r="129" spans="16:16">
      <c r="P129" s="9"/>
    </row>
    <row r="130" spans="16:16">
      <c r="P130" s="9"/>
    </row>
    <row r="131" spans="16:16">
      <c r="P131" s="9"/>
    </row>
    <row r="132" spans="16:16">
      <c r="P132" s="9"/>
    </row>
    <row r="133" spans="16:16">
      <c r="P133" s="9"/>
    </row>
    <row r="134" spans="16:16">
      <c r="P134" s="9"/>
    </row>
    <row r="135" spans="16:16">
      <c r="P135" s="9"/>
    </row>
    <row r="136" spans="16:16">
      <c r="P136" s="9"/>
    </row>
    <row r="137" spans="16:16">
      <c r="P137" s="9"/>
    </row>
    <row r="138" spans="16:16">
      <c r="P138" s="9"/>
    </row>
    <row r="139" spans="16:16">
      <c r="P139" s="9"/>
    </row>
    <row r="140" spans="16:16">
      <c r="P140" s="9"/>
    </row>
    <row r="141" spans="16:16">
      <c r="P141" s="9"/>
    </row>
    <row r="142" spans="16:16">
      <c r="P142" s="9"/>
    </row>
    <row r="143" spans="16:16">
      <c r="P143" s="9"/>
    </row>
    <row r="144" spans="16:16">
      <c r="P144" s="9"/>
    </row>
    <row r="145" spans="16:16">
      <c r="P145" s="9"/>
    </row>
    <row r="146" spans="16:16">
      <c r="P146" s="9"/>
    </row>
    <row r="147" spans="16:16">
      <c r="P147" s="9"/>
    </row>
    <row r="148" spans="16:16">
      <c r="P148" s="9"/>
    </row>
    <row r="149" spans="16:16">
      <c r="P149" s="9"/>
    </row>
    <row r="150" spans="16:16">
      <c r="P150" s="9"/>
    </row>
    <row r="151" spans="16:16">
      <c r="P151" s="9"/>
    </row>
    <row r="152" spans="16:16">
      <c r="P152" s="9"/>
    </row>
    <row r="153" spans="16:16">
      <c r="P153" s="9"/>
    </row>
    <row r="154" spans="16:16">
      <c r="P154" s="9"/>
    </row>
    <row r="155" spans="16:16">
      <c r="P155" s="9"/>
    </row>
    <row r="156" spans="16:16">
      <c r="P156" s="9"/>
    </row>
    <row r="157" spans="16:16">
      <c r="P157" s="9"/>
    </row>
    <row r="158" spans="16:16">
      <c r="P158" s="9"/>
    </row>
    <row r="159" spans="16:16">
      <c r="P159" s="9"/>
    </row>
    <row r="160" spans="16:16">
      <c r="P160" s="9"/>
    </row>
    <row r="161" spans="16:16">
      <c r="P161" s="9"/>
    </row>
    <row r="162" spans="16:16">
      <c r="P162" s="9"/>
    </row>
    <row r="163" spans="16:16">
      <c r="P163" s="9"/>
    </row>
    <row r="164" spans="16:16">
      <c r="P164" s="9"/>
    </row>
    <row r="165" spans="16:16">
      <c r="P165" s="9"/>
    </row>
    <row r="166" spans="16:16">
      <c r="P166" s="9"/>
    </row>
    <row r="167" spans="16:16">
      <c r="P167" s="9"/>
    </row>
    <row r="168" spans="16:16">
      <c r="P168" s="9"/>
    </row>
    <row r="169" spans="16:16">
      <c r="P169" s="9"/>
    </row>
    <row r="170" spans="16:16">
      <c r="P170" s="9"/>
    </row>
    <row r="171" spans="16:16">
      <c r="P171" s="9"/>
    </row>
    <row r="172" spans="16:16">
      <c r="P172" s="9"/>
    </row>
    <row r="173" spans="16:16">
      <c r="P173" s="9"/>
    </row>
    <row r="174" spans="16:16">
      <c r="P174" s="9"/>
    </row>
    <row r="175" spans="16:16">
      <c r="P175" s="9"/>
    </row>
    <row r="176" spans="16:16">
      <c r="P176" s="9"/>
    </row>
    <row r="177" spans="16:16">
      <c r="P177" s="9"/>
    </row>
    <row r="178" spans="16:16">
      <c r="P178" s="9"/>
    </row>
    <row r="179" spans="16:16">
      <c r="P179" s="9"/>
    </row>
    <row r="180" spans="16:16">
      <c r="P180" s="9"/>
    </row>
    <row r="181" spans="16:16">
      <c r="P181" s="9"/>
    </row>
    <row r="182" spans="16:16">
      <c r="P182" s="9"/>
    </row>
    <row r="183" spans="16:16">
      <c r="P183" s="9"/>
    </row>
    <row r="184" spans="16:16">
      <c r="P184" s="9"/>
    </row>
    <row r="185" spans="16:16">
      <c r="P185" s="9"/>
    </row>
    <row r="186" spans="16:16">
      <c r="P186" s="9"/>
    </row>
    <row r="187" spans="16:16">
      <c r="P187" s="9"/>
    </row>
    <row r="188" spans="16:16">
      <c r="P188" s="9"/>
    </row>
    <row r="189" spans="16:16">
      <c r="P189" s="9"/>
    </row>
    <row r="190" spans="16:16">
      <c r="P190" s="9"/>
    </row>
    <row r="191" spans="16:16">
      <c r="P191" s="9"/>
    </row>
    <row r="192" spans="16:16">
      <c r="P192" s="9"/>
    </row>
    <row r="193" spans="16:16">
      <c r="P193" s="9"/>
    </row>
    <row r="194" spans="16:16">
      <c r="P194" s="9"/>
    </row>
    <row r="195" spans="16:16">
      <c r="P195" s="9"/>
    </row>
    <row r="196" spans="16:16">
      <c r="P196" s="9"/>
    </row>
    <row r="197" spans="16:16">
      <c r="P197" s="9"/>
    </row>
    <row r="198" spans="16:16">
      <c r="P198" s="9"/>
    </row>
    <row r="199" spans="16:16">
      <c r="P199" s="9"/>
    </row>
    <row r="200" spans="16:16">
      <c r="P200" s="9"/>
    </row>
    <row r="201" spans="16:16">
      <c r="P201" s="9"/>
    </row>
    <row r="202" spans="16:16">
      <c r="P202" s="9"/>
    </row>
    <row r="203" spans="16:16">
      <c r="P203" s="9"/>
    </row>
    <row r="204" spans="16:16">
      <c r="P204" s="9"/>
    </row>
    <row r="205" spans="16:16">
      <c r="P205" s="9"/>
    </row>
    <row r="206" spans="16:16">
      <c r="P206" s="9"/>
    </row>
    <row r="207" spans="16:16">
      <c r="P207" s="9"/>
    </row>
    <row r="208" spans="16:16">
      <c r="P208" s="9"/>
    </row>
    <row r="209" spans="16:16">
      <c r="P209" s="9"/>
    </row>
    <row r="210" spans="16:16">
      <c r="P210" s="9"/>
    </row>
    <row r="211" spans="16:16">
      <c r="P211" s="9"/>
    </row>
    <row r="212" spans="16:16">
      <c r="P212" s="9"/>
    </row>
    <row r="213" spans="16:16">
      <c r="P213" s="9"/>
    </row>
    <row r="214" spans="16:16">
      <c r="P214" s="9"/>
    </row>
    <row r="215" spans="16:16">
      <c r="P215" s="9"/>
    </row>
    <row r="216" spans="16:16">
      <c r="P216" s="9"/>
    </row>
    <row r="217" spans="16:16">
      <c r="P217" s="9"/>
    </row>
    <row r="218" spans="16:16">
      <c r="P218" s="9"/>
    </row>
    <row r="219" spans="16:16">
      <c r="P219" s="9"/>
    </row>
    <row r="220" spans="16:16">
      <c r="P220" s="9"/>
    </row>
    <row r="221" spans="16:16">
      <c r="P221" s="9"/>
    </row>
    <row r="222" spans="16:16">
      <c r="P222" s="9"/>
    </row>
    <row r="223" spans="16:16">
      <c r="P223" s="9"/>
    </row>
    <row r="224" spans="16:16">
      <c r="P224" s="9"/>
    </row>
    <row r="225" spans="16:16">
      <c r="P225" s="9"/>
    </row>
    <row r="226" spans="16:16">
      <c r="P226" s="9"/>
    </row>
    <row r="227" spans="16:16">
      <c r="P227" s="9"/>
    </row>
    <row r="228" spans="16:16">
      <c r="P228" s="9"/>
    </row>
    <row r="229" spans="16:16">
      <c r="P229" s="9"/>
    </row>
    <row r="230" spans="16:16">
      <c r="P230" s="9"/>
    </row>
    <row r="231" spans="16:16">
      <c r="P231" s="9"/>
    </row>
    <row r="232" spans="16:16">
      <c r="P232" s="9"/>
    </row>
    <row r="233" spans="16:16">
      <c r="P233" s="9"/>
    </row>
    <row r="234" spans="16:16">
      <c r="P234" s="9"/>
    </row>
    <row r="235" spans="16:16">
      <c r="P235" s="9"/>
    </row>
    <row r="236" spans="16:16">
      <c r="P236" s="9"/>
    </row>
    <row r="237" spans="16:16">
      <c r="P237" s="9"/>
    </row>
    <row r="238" spans="16:16">
      <c r="P238" s="9"/>
    </row>
    <row r="239" spans="16:16">
      <c r="P239" s="9"/>
    </row>
    <row r="240" spans="16:16">
      <c r="P240" s="9"/>
    </row>
    <row r="241" spans="16:16">
      <c r="P241" s="9"/>
    </row>
    <row r="242" spans="16:16">
      <c r="P242" s="9"/>
    </row>
    <row r="243" spans="16:16">
      <c r="P243" s="9"/>
    </row>
    <row r="244" spans="16:16">
      <c r="P244" s="9"/>
    </row>
    <row r="245" spans="16:16">
      <c r="P245" s="9"/>
    </row>
    <row r="246" spans="16:16">
      <c r="P246" s="9"/>
    </row>
    <row r="247" spans="16:16">
      <c r="P247" s="9"/>
    </row>
    <row r="248" spans="16:16">
      <c r="P248" s="9"/>
    </row>
    <row r="249" spans="16:16">
      <c r="P249" s="9"/>
    </row>
    <row r="250" spans="16:16">
      <c r="P250" s="9"/>
    </row>
    <row r="251" spans="16:16">
      <c r="P251" s="9"/>
    </row>
    <row r="252" spans="16:16">
      <c r="P252" s="9"/>
    </row>
    <row r="253" spans="16:16">
      <c r="P253" s="9"/>
    </row>
    <row r="254" spans="16:16">
      <c r="P254" s="9"/>
    </row>
    <row r="255" spans="16:16">
      <c r="P255" s="9"/>
    </row>
    <row r="256" spans="16:16">
      <c r="P256" s="9"/>
    </row>
    <row r="257" spans="16:16">
      <c r="P257" s="9"/>
    </row>
    <row r="258" spans="16:16">
      <c r="P258" s="9"/>
    </row>
    <row r="259" spans="16:16">
      <c r="P259" s="9"/>
    </row>
    <row r="260" spans="16:16">
      <c r="P260" s="9"/>
    </row>
    <row r="261" spans="16:16">
      <c r="P261" s="9"/>
    </row>
    <row r="262" spans="16:16">
      <c r="P262" s="9"/>
    </row>
    <row r="263" spans="16:16">
      <c r="P263" s="9"/>
    </row>
    <row r="264" spans="16:16">
      <c r="P264" s="9"/>
    </row>
    <row r="265" spans="16:16">
      <c r="P265" s="9"/>
    </row>
    <row r="266" spans="16:16">
      <c r="P266" s="9"/>
    </row>
    <row r="267" spans="16:16">
      <c r="P267" s="9"/>
    </row>
    <row r="268" spans="16:16">
      <c r="P268" s="9"/>
    </row>
    <row r="269" spans="16:16">
      <c r="P269" s="9"/>
    </row>
    <row r="270" spans="16:16">
      <c r="P270" s="9"/>
    </row>
    <row r="271" spans="16:16">
      <c r="P271" s="9"/>
    </row>
    <row r="272" spans="16:16">
      <c r="P272" s="9"/>
    </row>
    <row r="273" spans="16:16">
      <c r="P273" s="9"/>
    </row>
    <row r="274" spans="16:16">
      <c r="P274" s="9"/>
    </row>
    <row r="275" spans="16:16">
      <c r="P275" s="9"/>
    </row>
    <row r="276" spans="16:16">
      <c r="P276" s="9"/>
    </row>
    <row r="277" spans="16:16">
      <c r="P277" s="9"/>
    </row>
    <row r="278" spans="16:16">
      <c r="P278" s="9"/>
    </row>
    <row r="279" spans="16:16">
      <c r="P279" s="9"/>
    </row>
    <row r="280" spans="16:16">
      <c r="P280" s="9"/>
    </row>
    <row r="281" spans="16:16">
      <c r="P281" s="9"/>
    </row>
    <row r="282" spans="16:16">
      <c r="P282" s="9"/>
    </row>
    <row r="283" spans="16:16">
      <c r="P283" s="9"/>
    </row>
    <row r="284" spans="16:16">
      <c r="P284" s="9"/>
    </row>
    <row r="285" spans="16:16">
      <c r="P285" s="9"/>
    </row>
    <row r="286" spans="16:16">
      <c r="P286" s="9"/>
    </row>
    <row r="287" spans="16:16">
      <c r="P287" s="9"/>
    </row>
    <row r="288" spans="16:16">
      <c r="P288" s="9"/>
    </row>
    <row r="289" spans="16:16">
      <c r="P289" s="9"/>
    </row>
    <row r="290" spans="16:16">
      <c r="P290" s="9"/>
    </row>
    <row r="291" spans="16:16">
      <c r="P291" s="9"/>
    </row>
    <row r="292" spans="16:16">
      <c r="P292" s="9"/>
    </row>
    <row r="293" spans="16:16">
      <c r="P293" s="9"/>
    </row>
    <row r="294" spans="16:16">
      <c r="P294" s="9"/>
    </row>
    <row r="295" spans="16:16">
      <c r="P295" s="9"/>
    </row>
    <row r="296" spans="16:16">
      <c r="P296" s="9"/>
    </row>
    <row r="297" spans="16:16">
      <c r="P297" s="9"/>
    </row>
    <row r="298" spans="16:16">
      <c r="P298" s="9"/>
    </row>
    <row r="299" spans="16:16">
      <c r="P299" s="9"/>
    </row>
    <row r="300" spans="16:16">
      <c r="P300" s="9"/>
    </row>
    <row r="301" spans="16:16">
      <c r="P301" s="9"/>
    </row>
    <row r="302" spans="16:16">
      <c r="P302" s="9"/>
    </row>
    <row r="303" spans="16:16">
      <c r="P303" s="9"/>
    </row>
    <row r="304" spans="16:16">
      <c r="P304" s="9"/>
    </row>
    <row r="305" spans="16:16">
      <c r="P305" s="9"/>
    </row>
    <row r="306" spans="16:16">
      <c r="P306" s="9"/>
    </row>
    <row r="307" spans="16:16">
      <c r="P307" s="9"/>
    </row>
    <row r="308" spans="16:16">
      <c r="P308" s="9"/>
    </row>
    <row r="309" spans="16:16">
      <c r="P309" s="9"/>
    </row>
    <row r="310" spans="16:16">
      <c r="P310" s="9"/>
    </row>
    <row r="311" spans="16:16">
      <c r="P311" s="9"/>
    </row>
    <row r="312" spans="16:16">
      <c r="P312" s="9"/>
    </row>
    <row r="313" spans="16:16">
      <c r="P313" s="9"/>
    </row>
    <row r="314" spans="16:16">
      <c r="P314" s="9"/>
    </row>
    <row r="315" spans="16:16">
      <c r="P315" s="9"/>
    </row>
    <row r="316" spans="16:16">
      <c r="P316" s="9"/>
    </row>
    <row r="317" spans="16:16">
      <c r="P317" s="9"/>
    </row>
    <row r="318" spans="16:16">
      <c r="P318" s="9"/>
    </row>
    <row r="319" spans="16:16">
      <c r="P319" s="9"/>
    </row>
    <row r="320" spans="16:16">
      <c r="P320" s="9"/>
    </row>
    <row r="321" spans="16:16">
      <c r="P321" s="9"/>
    </row>
    <row r="322" spans="16:16">
      <c r="P322" s="9"/>
    </row>
    <row r="323" spans="16:16">
      <c r="P323" s="9"/>
    </row>
    <row r="324" spans="16:16">
      <c r="P324" s="9"/>
    </row>
    <row r="325" spans="16:16">
      <c r="P325" s="9"/>
    </row>
    <row r="326" spans="16:16">
      <c r="P326" s="9"/>
    </row>
    <row r="327" spans="16:16">
      <c r="P327" s="9"/>
    </row>
    <row r="328" spans="16:16">
      <c r="P328" s="9"/>
    </row>
    <row r="329" spans="16:16">
      <c r="P329" s="9"/>
    </row>
    <row r="330" spans="16:16">
      <c r="P330" s="9"/>
    </row>
    <row r="331" spans="16:16">
      <c r="P331" s="9"/>
    </row>
    <row r="332" spans="16:16">
      <c r="P332" s="9"/>
    </row>
    <row r="333" spans="16:16">
      <c r="P333" s="9"/>
    </row>
    <row r="334" spans="16:16">
      <c r="P334" s="9"/>
    </row>
    <row r="335" spans="16:16">
      <c r="P335" s="9"/>
    </row>
    <row r="336" spans="16:16">
      <c r="P336" s="9"/>
    </row>
    <row r="337" spans="16:16">
      <c r="P337" s="9"/>
    </row>
    <row r="338" spans="16:16">
      <c r="P338" s="9"/>
    </row>
    <row r="339" spans="16:16">
      <c r="P339" s="9"/>
    </row>
    <row r="340" spans="16:16">
      <c r="P340" s="9"/>
    </row>
    <row r="341" spans="16:16">
      <c r="P341" s="9"/>
    </row>
    <row r="342" spans="16:16">
      <c r="P342" s="9"/>
    </row>
    <row r="343" spans="16:16">
      <c r="P343" s="9"/>
    </row>
    <row r="344" spans="16:16">
      <c r="P344" s="9"/>
    </row>
    <row r="345" spans="16:16">
      <c r="P345" s="9"/>
    </row>
    <row r="346" spans="16:16">
      <c r="P346" s="9"/>
    </row>
    <row r="347" spans="16:16">
      <c r="P347" s="9"/>
    </row>
    <row r="348" spans="16:16">
      <c r="P348" s="9"/>
    </row>
    <row r="349" spans="16:16">
      <c r="P349" s="9"/>
    </row>
    <row r="350" spans="16:16">
      <c r="P350" s="9"/>
    </row>
    <row r="351" spans="16:16">
      <c r="P351" s="9"/>
    </row>
    <row r="352" spans="16:16">
      <c r="P352" s="9"/>
    </row>
    <row r="353" spans="16:16">
      <c r="P353" s="9"/>
    </row>
    <row r="354" spans="16:16">
      <c r="P354" s="9"/>
    </row>
    <row r="355" spans="16:16">
      <c r="P355" s="9"/>
    </row>
    <row r="356" spans="16:16">
      <c r="P356" s="9"/>
    </row>
    <row r="357" spans="16:16">
      <c r="P357" s="9"/>
    </row>
    <row r="358" spans="16:16">
      <c r="P358" s="9"/>
    </row>
    <row r="359" spans="16:16">
      <c r="P359" s="9"/>
    </row>
    <row r="360" spans="16:16">
      <c r="P360" s="9"/>
    </row>
    <row r="361" spans="16:16">
      <c r="P361" s="9"/>
    </row>
    <row r="362" spans="16:16">
      <c r="P362" s="9"/>
    </row>
    <row r="363" spans="16:16">
      <c r="P363" s="9"/>
    </row>
    <row r="364" spans="16:16">
      <c r="P364" s="9"/>
    </row>
    <row r="365" spans="16:16">
      <c r="P365" s="9"/>
    </row>
    <row r="366" spans="16:16">
      <c r="P366" s="9"/>
    </row>
    <row r="367" spans="16:16">
      <c r="P367" s="9"/>
    </row>
    <row r="368" spans="16:16">
      <c r="P368" s="9"/>
    </row>
    <row r="369" spans="16:16">
      <c r="P369" s="9"/>
    </row>
    <row r="370" spans="16:16">
      <c r="P370" s="9"/>
    </row>
    <row r="371" spans="16:16">
      <c r="P371" s="9"/>
    </row>
    <row r="372" spans="16:16">
      <c r="P372" s="9"/>
    </row>
    <row r="373" spans="16:16">
      <c r="P373" s="9"/>
    </row>
    <row r="374" spans="16:16">
      <c r="P374" s="9"/>
    </row>
    <row r="375" spans="16:16">
      <c r="P375" s="9"/>
    </row>
    <row r="376" spans="16:16">
      <c r="P376" s="9"/>
    </row>
    <row r="377" spans="16:16">
      <c r="P377" s="9"/>
    </row>
    <row r="378" spans="16:16">
      <c r="P378" s="9"/>
    </row>
    <row r="379" spans="16:16">
      <c r="P379" s="9"/>
    </row>
    <row r="380" spans="16:16">
      <c r="P380" s="9"/>
    </row>
    <row r="381" spans="16:16">
      <c r="P381" s="9"/>
    </row>
    <row r="382" spans="16:16">
      <c r="P382" s="9"/>
    </row>
    <row r="383" spans="16:16">
      <c r="P383" s="9"/>
    </row>
    <row r="384" spans="16:16">
      <c r="P384" s="9"/>
    </row>
    <row r="385" spans="16:16">
      <c r="P385" s="9"/>
    </row>
    <row r="386" spans="16:16">
      <c r="P386" s="9"/>
    </row>
    <row r="387" spans="16:16">
      <c r="P387" s="9"/>
    </row>
    <row r="388" spans="16:16">
      <c r="P388" s="9"/>
    </row>
    <row r="389" spans="16:16">
      <c r="P389" s="9"/>
    </row>
    <row r="390" spans="16:16">
      <c r="P390" s="9"/>
    </row>
    <row r="391" spans="16:16">
      <c r="P391" s="9"/>
    </row>
    <row r="392" spans="16:16">
      <c r="P392" s="9"/>
    </row>
    <row r="393" spans="16:16">
      <c r="P393" s="9"/>
    </row>
    <row r="394" spans="16:16">
      <c r="P394" s="9"/>
    </row>
    <row r="395" spans="16:16">
      <c r="P395" s="9"/>
    </row>
    <row r="396" spans="16:16">
      <c r="P396" s="9"/>
    </row>
    <row r="397" spans="16:16">
      <c r="P397" s="9"/>
    </row>
    <row r="398" spans="16:16">
      <c r="P398" s="9"/>
    </row>
    <row r="399" spans="16:16">
      <c r="P399" s="9"/>
    </row>
    <row r="400" spans="16:16">
      <c r="P400" s="9"/>
    </row>
    <row r="401" spans="16:16">
      <c r="P401" s="9"/>
    </row>
    <row r="402" spans="16:16">
      <c r="P402" s="9"/>
    </row>
    <row r="403" spans="16:16">
      <c r="P403" s="9"/>
    </row>
    <row r="404" spans="16:16">
      <c r="P404" s="9"/>
    </row>
    <row r="405" spans="16:16">
      <c r="P405" s="9"/>
    </row>
    <row r="406" spans="16:16">
      <c r="P406" s="9"/>
    </row>
    <row r="407" spans="16:16">
      <c r="P407" s="9"/>
    </row>
    <row r="408" spans="16:16">
      <c r="P408" s="9"/>
    </row>
    <row r="409" spans="16:16">
      <c r="P409" s="9"/>
    </row>
    <row r="410" spans="16:16">
      <c r="P410" s="9"/>
    </row>
    <row r="411" spans="16:16">
      <c r="P411" s="9"/>
    </row>
    <row r="412" spans="16:16">
      <c r="P412" s="9"/>
    </row>
    <row r="413" spans="16:16">
      <c r="P413" s="9"/>
    </row>
    <row r="414" spans="16:16">
      <c r="P414" s="9"/>
    </row>
    <row r="415" spans="16:16">
      <c r="P415" s="9"/>
    </row>
    <row r="416" spans="16:16">
      <c r="P416" s="9"/>
    </row>
    <row r="417" spans="16:16">
      <c r="P417" s="9"/>
    </row>
    <row r="418" spans="16:16">
      <c r="P418" s="9"/>
    </row>
    <row r="419" spans="16:16">
      <c r="P419" s="9"/>
    </row>
    <row r="420" spans="16:16">
      <c r="P420" s="9"/>
    </row>
    <row r="421" spans="16:16">
      <c r="P421" s="9"/>
    </row>
    <row r="422" spans="16:16">
      <c r="P422" s="9"/>
    </row>
    <row r="423" spans="16:16">
      <c r="P423" s="9"/>
    </row>
    <row r="424" spans="16:16">
      <c r="P424" s="9"/>
    </row>
    <row r="425" spans="16:16">
      <c r="P425" s="9"/>
    </row>
    <row r="426" spans="16:16">
      <c r="P426" s="9"/>
    </row>
    <row r="427" spans="16:16">
      <c r="P427" s="9"/>
    </row>
    <row r="428" spans="16:16">
      <c r="P428" s="9"/>
    </row>
    <row r="429" spans="16:16">
      <c r="P429" s="9"/>
    </row>
    <row r="430" spans="16:16">
      <c r="P430" s="9"/>
    </row>
    <row r="431" spans="16:16">
      <c r="P431" s="9"/>
    </row>
    <row r="432" spans="16:16">
      <c r="P432" s="9"/>
    </row>
    <row r="433" spans="16:16">
      <c r="P433" s="9"/>
    </row>
    <row r="434" spans="16:16">
      <c r="P434" s="9"/>
    </row>
    <row r="435" spans="16:16">
      <c r="P435" s="9"/>
    </row>
    <row r="436" spans="16:16">
      <c r="P436" s="9"/>
    </row>
    <row r="437" spans="16:16">
      <c r="P437" s="9"/>
    </row>
    <row r="438" spans="16:16">
      <c r="P438" s="9"/>
    </row>
    <row r="439" spans="16:16">
      <c r="P439" s="9"/>
    </row>
    <row r="440" spans="16:16">
      <c r="P440" s="9"/>
    </row>
    <row r="441" spans="16:16">
      <c r="P441" s="9"/>
    </row>
    <row r="442" spans="16:16">
      <c r="P442" s="9"/>
    </row>
    <row r="443" spans="16:16">
      <c r="P443" s="9"/>
    </row>
    <row r="444" spans="16:16">
      <c r="P444" s="9"/>
    </row>
    <row r="445" spans="16:16">
      <c r="P445" s="9"/>
    </row>
    <row r="446" spans="16:16">
      <c r="P446" s="9"/>
    </row>
    <row r="447" spans="16:16">
      <c r="P447" s="9"/>
    </row>
    <row r="448" spans="16:16">
      <c r="P448" s="9"/>
    </row>
    <row r="449" spans="16:16">
      <c r="P449" s="9"/>
    </row>
    <row r="450" spans="16:16">
      <c r="P450" s="9"/>
    </row>
    <row r="451" spans="16:16">
      <c r="P451" s="9"/>
    </row>
    <row r="452" spans="16:16">
      <c r="P452" s="9"/>
    </row>
    <row r="453" spans="16:16">
      <c r="P453" s="9"/>
    </row>
    <row r="454" spans="16:16">
      <c r="P454" s="9"/>
    </row>
    <row r="455" spans="16:16">
      <c r="P455" s="9"/>
    </row>
    <row r="456" spans="16:16">
      <c r="P456" s="9"/>
    </row>
    <row r="457" spans="16:16">
      <c r="P457" s="9"/>
    </row>
    <row r="458" spans="16:16">
      <c r="P458" s="9"/>
    </row>
    <row r="459" spans="16:16">
      <c r="P459" s="9"/>
    </row>
    <row r="460" spans="16:16">
      <c r="P460" s="9"/>
    </row>
    <row r="461" spans="16:16">
      <c r="P461" s="9"/>
    </row>
    <row r="462" spans="16:16">
      <c r="P462" s="9"/>
    </row>
    <row r="463" spans="16:16">
      <c r="P463" s="9"/>
    </row>
    <row r="464" spans="16:16">
      <c r="P464" s="9"/>
    </row>
    <row r="465" spans="16:16">
      <c r="P465" s="9"/>
    </row>
    <row r="466" spans="16:16">
      <c r="P466" s="9"/>
    </row>
    <row r="467" spans="16:16">
      <c r="P467" s="9"/>
    </row>
    <row r="468" spans="16:16">
      <c r="P468" s="9"/>
    </row>
    <row r="469" spans="16:16">
      <c r="P469" s="9"/>
    </row>
    <row r="470" spans="16:16">
      <c r="P470" s="9"/>
    </row>
    <row r="471" spans="16:16">
      <c r="P471" s="9"/>
    </row>
    <row r="472" spans="16:16">
      <c r="P472" s="9"/>
    </row>
    <row r="473" spans="16:16">
      <c r="P473" s="9"/>
    </row>
    <row r="474" spans="16:16">
      <c r="P474" s="9"/>
    </row>
    <row r="475" spans="16:16">
      <c r="P475" s="9"/>
    </row>
    <row r="476" spans="16:16">
      <c r="P476" s="9"/>
    </row>
    <row r="477" spans="16:16">
      <c r="P477" s="9"/>
    </row>
    <row r="478" spans="16:16">
      <c r="P478" s="9"/>
    </row>
    <row r="479" spans="16:16">
      <c r="P479" s="9"/>
    </row>
    <row r="480" spans="16:16">
      <c r="P480" s="9"/>
    </row>
    <row r="481" spans="16:16">
      <c r="P481" s="9"/>
    </row>
    <row r="482" spans="16:16">
      <c r="P482" s="9"/>
    </row>
    <row r="483" spans="16:16">
      <c r="P483" s="9"/>
    </row>
    <row r="484" spans="16:16">
      <c r="P484" s="9"/>
    </row>
    <row r="485" spans="16:16">
      <c r="P485" s="9"/>
    </row>
    <row r="1048573" customFormat="1"/>
    <row r="1048574" customFormat="1"/>
    <row r="1048575" customFormat="1"/>
    <row r="1048576" customFormat="1"/>
  </sheetData>
  <mergeCells count="8">
    <mergeCell ref="B4:C4"/>
    <mergeCell ref="B3:C3"/>
    <mergeCell ref="B5:C5"/>
    <mergeCell ref="AW42:AX42"/>
    <mergeCell ref="AP2:AU2"/>
    <mergeCell ref="AW2:AX2"/>
    <mergeCell ref="AW22:AX22"/>
    <mergeCell ref="Z2:AB2"/>
  </mergeCells>
  <phoneticPr fontId="14" type="noConversion"/>
  <conditionalFormatting sqref="Z4:Z23">
    <cfRule type="expression" dxfId="264" priority="80">
      <formula>#REF!</formula>
    </cfRule>
  </conditionalFormatting>
  <conditionalFormatting sqref="AS4:AS23">
    <cfRule type="containsBlanks" dxfId="263" priority="73">
      <formula>LEN(TRIM(AS4))=0</formula>
    </cfRule>
    <cfRule type="cellIs" dxfId="262" priority="74" operator="equal">
      <formula>FALSE</formula>
    </cfRule>
    <cfRule type="cellIs" dxfId="261" priority="104" operator="equal">
      <formula>TRUE</formula>
    </cfRule>
  </conditionalFormatting>
  <conditionalFormatting sqref="BG4:BG19">
    <cfRule type="containsBlanks" dxfId="260" priority="61">
      <formula>LEN(TRIM(BG4))=0</formula>
    </cfRule>
    <cfRule type="cellIs" dxfId="259" priority="62" operator="equal">
      <formula>FALSE</formula>
    </cfRule>
    <cfRule type="cellIs" dxfId="258" priority="63" operator="equal">
      <formula>TRUE</formula>
    </cfRule>
  </conditionalFormatting>
  <conditionalFormatting sqref="BH4:BH19">
    <cfRule type="containsBlanks" dxfId="257" priority="58">
      <formula>LEN(TRIM(BH4))=0</formula>
    </cfRule>
    <cfRule type="cellIs" dxfId="256" priority="59" operator="equal">
      <formula>FALSE</formula>
    </cfRule>
    <cfRule type="cellIs" dxfId="255" priority="60" operator="equal">
      <formula>TRUE</formula>
    </cfRule>
  </conditionalFormatting>
  <conditionalFormatting sqref="BI4:BL19">
    <cfRule type="containsBlanks" dxfId="254" priority="55">
      <formula>LEN(TRIM(BI4))=0</formula>
    </cfRule>
    <cfRule type="cellIs" dxfId="253" priority="56" operator="equal">
      <formula>FALSE</formula>
    </cfRule>
    <cfRule type="cellIs" dxfId="252" priority="57" operator="equal">
      <formula>TRUE</formula>
    </cfRule>
  </conditionalFormatting>
  <conditionalFormatting sqref="K4:K7 V4:V7">
    <cfRule type="cellIs" dxfId="251" priority="28" operator="equal">
      <formula>FALSE</formula>
    </cfRule>
    <cfRule type="cellIs" dxfId="250" priority="29" operator="equal">
      <formula>TRUE</formula>
    </cfRule>
    <cfRule type="containsBlanks" dxfId="249" priority="30">
      <formula>LEN(TRIM(K4))=0</formula>
    </cfRule>
  </conditionalFormatting>
  <conditionalFormatting sqref="BZ42:CD75">
    <cfRule type="cellIs" dxfId="248" priority="26" operator="equal">
      <formula>FALSE</formula>
    </cfRule>
    <cfRule type="cellIs" dxfId="247" priority="27" operator="equal">
      <formula>TRUE</formula>
    </cfRule>
  </conditionalFormatting>
  <conditionalFormatting sqref="K11:K14 V11:V14">
    <cfRule type="cellIs" dxfId="246" priority="23" operator="equal">
      <formula>FALSE</formula>
    </cfRule>
    <cfRule type="cellIs" dxfId="245" priority="24" operator="equal">
      <formula>TRUE</formula>
    </cfRule>
    <cfRule type="containsBlanks" dxfId="244" priority="25">
      <formula>LEN(TRIM(K11))=0</formula>
    </cfRule>
  </conditionalFormatting>
  <conditionalFormatting sqref="K18:K21 V18:V21">
    <cfRule type="cellIs" dxfId="243" priority="20" operator="equal">
      <formula>FALSE</formula>
    </cfRule>
    <cfRule type="cellIs" dxfId="242" priority="21" operator="equal">
      <formula>TRUE</formula>
    </cfRule>
    <cfRule type="containsBlanks" dxfId="241" priority="22">
      <formula>LEN(TRIM(K18))=0</formula>
    </cfRule>
  </conditionalFormatting>
  <conditionalFormatting sqref="AF4:AF23">
    <cfRule type="containsBlanks" dxfId="240" priority="17">
      <formula>LEN(TRIM(AF4))=0</formula>
    </cfRule>
    <cfRule type="cellIs" dxfId="239" priority="18" operator="equal">
      <formula>FALSE</formula>
    </cfRule>
    <cfRule type="cellIs" dxfId="238" priority="19" operator="equal">
      <formula>TRUE</formula>
    </cfRule>
  </conditionalFormatting>
  <conditionalFormatting sqref="CW4:CX21">
    <cfRule type="containsBlanks" dxfId="237" priority="10">
      <formula>LEN(TRIM(CW4))=0</formula>
    </cfRule>
    <cfRule type="cellIs" dxfId="236" priority="11" operator="equal">
      <formula>FALSE</formula>
    </cfRule>
    <cfRule type="cellIs" dxfId="235" priority="12" operator="equal">
      <formula>TRUE</formula>
    </cfRule>
  </conditionalFormatting>
  <conditionalFormatting sqref="BD24:BD39">
    <cfRule type="cellIs" dxfId="234" priority="8" operator="equal">
      <formula>FALSE</formula>
    </cfRule>
    <cfRule type="cellIs" dxfId="233" priority="9" operator="equal">
      <formula>TRUE</formula>
    </cfRule>
  </conditionalFormatting>
  <conditionalFormatting sqref="BD44:BD59">
    <cfRule type="cellIs" dxfId="232" priority="6" operator="equal">
      <formula>FALSE</formula>
    </cfRule>
    <cfRule type="cellIs" dxfId="231" priority="7" operator="equal">
      <formula>TRUE</formula>
    </cfRule>
  </conditionalFormatting>
  <conditionalFormatting sqref="BZ4:CC37">
    <cfRule type="cellIs" dxfId="230" priority="4" operator="equal">
      <formula>FALSE</formula>
    </cfRule>
    <cfRule type="cellIs" dxfId="229" priority="5" operator="equal">
      <formula>TRUE</formula>
    </cfRule>
  </conditionalFormatting>
  <conditionalFormatting sqref="AR4:AR23">
    <cfRule type="containsBlanks" dxfId="228" priority="1">
      <formula>LEN(TRIM(AR4))=0</formula>
    </cfRule>
    <cfRule type="cellIs" dxfId="227" priority="2" operator="equal">
      <formula>FALSE</formula>
    </cfRule>
    <cfRule type="cellIs" dxfId="226" priority="3" operator="equal">
      <formula>TRUE</formula>
    </cfRule>
  </conditionalFormatting>
  <pageMargins left="0.7" right="0.7" top="0.75" bottom="0.75" header="0.3" footer="0.3"/>
  <pageSetup paperSize="9" orientation="portrait" r:id="rId1"/>
  <ignoredErrors>
    <ignoredError sqref="BT4:BT5 AY4 AY5:AZ19 AZ4 BT27:BT37 BP4:BP5 BQ4:BQ5 H5:I7 BT6:BT8 BP6:BP8 BQ6:BQ8 BT9:BT26 BP9:BP37 BQ9:BQ37 BP43:BP75 H4:I4 J4:J7 H11:J14 H18:J21 BR4:BR37 BP42 BS42 BS43:BS75 BR42:BR75 BQ42:BQ75 BA4:BA19 AY24:BA39 AY44:BA59 CM4:CO21 BT42:BT75 CQ4:CQ2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05" r:id="rId4" name="Button 181">
              <controlPr defaultSize="0" print="0" autoFill="0" autoPict="0" macro="[0]!Solver">
                <anchor moveWithCells="1" sizeWithCells="1">
                  <from>
                    <xdr:col>0</xdr:col>
                    <xdr:colOff>238125</xdr:colOff>
                    <xdr:row>19</xdr:row>
                    <xdr:rowOff>95250</xdr:rowOff>
                  </from>
                  <to>
                    <xdr:col>1</xdr:col>
                    <xdr:colOff>1543050</xdr:colOff>
                    <xdr:row>21</xdr:row>
                    <xdr:rowOff>28575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extLst>
    <ext xmlns:x14="http://schemas.microsoft.com/office/spreadsheetml/2009/9/main" uri="{CCE6A557-97BC-4b89-ADB6-D9C93CAAB3DF}">
      <x14:dataValidations xmlns:xm="http://schemas.microsoft.com/office/excel/2006/main" count="6">
        <x14:dataValidation type="list" allowBlank="1" showInputMessage="1" showErrorMessage="1" xr:uid="{515EB621-3CC0-4DE7-839A-1EEA203CB14B}">
          <x14:formula1>
            <xm:f>'ASX Futures'!$L$5:$L$21</xm:f>
          </x14:formula1>
          <xm:sqref>Z4:Z23</xm:sqref>
        </x14:dataValidation>
        <x14:dataValidation type="list" allowBlank="1" showInputMessage="1" showErrorMessage="1" xr:uid="{BFF5F4AE-EE2C-45C1-ABE4-EBA1C89B066B}">
          <x14:formula1>
            <xm:f>Utilities!$B$30:$B$33</xm:f>
          </x14:formula1>
          <xm:sqref>C18</xm:sqref>
        </x14:dataValidation>
        <x14:dataValidation type="list" allowBlank="1" showInputMessage="1" showErrorMessage="1" xr:uid="{472155C8-5A7C-4FC2-BD04-649D1D707EE3}">
          <x14:formula1>
            <xm:f>Utilities!$B$54:$B$55</xm:f>
          </x14:formula1>
          <xm:sqref>C10 C11</xm:sqref>
        </x14:dataValidation>
        <x14:dataValidation type="list" allowBlank="1" showInputMessage="1" showErrorMessage="1" xr:uid="{CF179F51-BFD9-4EC6-BF6D-3E946065FACC}">
          <x14:formula1>
            <xm:f>Utilities!$B$58:$B$59</xm:f>
          </x14:formula1>
          <xm:sqref>C12</xm:sqref>
        </x14:dataValidation>
        <x14:dataValidation type="list" allowBlank="1" showInputMessage="1" showErrorMessage="1" xr:uid="{1C664055-747B-4ADA-905D-B289803B0CCF}">
          <x14:formula1>
            <xm:f>Utilities!$B$66:$B$71</xm:f>
          </x14:formula1>
          <xm:sqref>C23</xm:sqref>
        </x14:dataValidation>
        <x14:dataValidation type="list" allowBlank="1" showInputMessage="1" showErrorMessage="1" xr:uid="{06B6305C-E2CF-4B79-84A6-8E6EBAFF9EB8}">
          <x14:formula1>
            <xm:f>Utilities!$B$36:$B$37</xm:f>
          </x14:formula1>
          <xm:sqref>C9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66A91-D738-4472-8AF7-8EC5369225AC}">
  <sheetPr codeName="Sheet18"/>
  <dimension ref="A1:AE1071"/>
  <sheetViews>
    <sheetView workbookViewId="0">
      <selection activeCell="G4" sqref="G4"/>
    </sheetView>
  </sheetViews>
  <sheetFormatPr defaultColWidth="9.140625" defaultRowHeight="12"/>
  <cols>
    <col min="1" max="1" width="11.42578125" bestFit="1" customWidth="1"/>
    <col min="2" max="2" width="13.28515625" bestFit="1" customWidth="1"/>
    <col min="3" max="3" width="18.140625" bestFit="1" customWidth="1"/>
    <col min="4" max="4" width="12.5703125" bestFit="1" customWidth="1"/>
    <col min="5" max="5" width="16.28515625" bestFit="1" customWidth="1"/>
    <col min="6" max="6" width="11.42578125" bestFit="1" customWidth="1"/>
    <col min="7" max="7" width="11.42578125" style="180" bestFit="1" customWidth="1"/>
    <col min="8" max="8" width="12.140625" bestFit="1" customWidth="1"/>
    <col min="9" max="10" width="12.5703125" bestFit="1" customWidth="1"/>
    <col min="11" max="11" width="12.28515625" bestFit="1" customWidth="1"/>
    <col min="12" max="12" width="18" bestFit="1" customWidth="1"/>
    <col min="13" max="13" width="14.28515625" bestFit="1" customWidth="1"/>
    <col min="14" max="14" width="11.5703125" style="308" bestFit="1" customWidth="1"/>
    <col min="15" max="15" width="5.7109375" customWidth="1"/>
    <col min="16" max="16" width="9.42578125" bestFit="1" customWidth="1"/>
    <col min="17" max="18" width="10.5703125" bestFit="1" customWidth="1"/>
    <col min="19" max="19" width="5" bestFit="1" customWidth="1"/>
    <col min="20" max="20" width="7.5703125" bestFit="1" customWidth="1"/>
    <col min="21" max="22" width="9.5703125" bestFit="1" customWidth="1"/>
    <col min="23" max="23" width="17.85546875" bestFit="1" customWidth="1"/>
    <col min="24" max="24" width="5.7109375" customWidth="1"/>
    <col min="25" max="25" width="11.5703125" bestFit="1" customWidth="1"/>
    <col min="26" max="26" width="8.5703125" bestFit="1" customWidth="1"/>
    <col min="27" max="27" width="5.7109375" customWidth="1"/>
    <col min="28" max="28" width="11.5703125" bestFit="1" customWidth="1"/>
    <col min="29" max="29" width="8.5703125" style="309" bestFit="1" customWidth="1"/>
    <col min="30" max="30" width="5.7109375" customWidth="1"/>
    <col min="31" max="31" width="9.85546875" style="310" bestFit="1" customWidth="1"/>
  </cols>
  <sheetData>
    <row r="1" spans="1:31">
      <c r="D1" s="233"/>
      <c r="G1" s="233"/>
      <c r="H1" s="233"/>
      <c r="I1" s="233"/>
      <c r="J1" s="233"/>
      <c r="K1" s="234"/>
      <c r="L1" s="234"/>
      <c r="M1" s="234"/>
      <c r="N1" s="234"/>
      <c r="O1" s="235"/>
      <c r="P1" s="236"/>
      <c r="Q1" s="236"/>
      <c r="R1" s="236"/>
      <c r="S1" s="236"/>
      <c r="T1" s="235"/>
      <c r="U1" s="235"/>
      <c r="V1" s="235"/>
      <c r="W1" s="235"/>
      <c r="X1" s="235"/>
      <c r="Y1" s="211"/>
      <c r="Z1" s="237"/>
      <c r="AA1" s="238"/>
      <c r="AB1" s="211"/>
      <c r="AC1" s="237"/>
      <c r="AD1" s="238"/>
      <c r="AE1" s="239"/>
    </row>
    <row r="2" spans="1:31">
      <c r="B2" s="202" t="s">
        <v>225</v>
      </c>
      <c r="C2" s="200" t="str">
        <f>QuoteGlobal</f>
        <v>FCB Spread</v>
      </c>
      <c r="D2" s="233"/>
      <c r="E2" s="233" t="s">
        <v>224</v>
      </c>
      <c r="F2" s="240">
        <f>SUM(_xlfn.ANCHORARRAY(N11))</f>
        <v>-24298.709771625698</v>
      </c>
      <c r="G2" s="233"/>
      <c r="H2" s="233"/>
      <c r="I2" s="233"/>
      <c r="J2" s="233"/>
      <c r="K2" s="234"/>
      <c r="L2" s="234"/>
      <c r="M2" s="234"/>
      <c r="N2" s="234"/>
      <c r="O2" s="235"/>
      <c r="P2" s="236"/>
      <c r="Q2" s="236"/>
      <c r="R2" s="236"/>
      <c r="S2" s="236"/>
      <c r="T2" s="235"/>
      <c r="U2" s="235"/>
      <c r="V2" s="235"/>
      <c r="W2" s="235"/>
      <c r="X2" s="235"/>
      <c r="Y2" s="211"/>
      <c r="Z2" s="237"/>
      <c r="AA2" s="238"/>
      <c r="AB2" s="211"/>
      <c r="AC2" s="237"/>
      <c r="AD2" s="238"/>
      <c r="AE2" s="239"/>
    </row>
    <row r="3" spans="1:31">
      <c r="B3" s="203" t="s">
        <v>198</v>
      </c>
      <c r="C3" s="204">
        <f>GlobalIndex</f>
        <v>13</v>
      </c>
      <c r="D3" s="233"/>
      <c r="E3" s="233" t="s">
        <v>230</v>
      </c>
      <c r="F3" s="233" t="b">
        <f>D7="Fixed"</f>
        <v>0</v>
      </c>
      <c r="G3" s="234"/>
      <c r="H3" s="233"/>
      <c r="I3" s="240"/>
      <c r="J3" s="240"/>
      <c r="K3" s="234"/>
      <c r="L3" s="234"/>
      <c r="M3" s="241"/>
      <c r="N3" s="234"/>
      <c r="O3" s="235"/>
      <c r="P3" s="236"/>
      <c r="Q3" s="236"/>
      <c r="R3" s="236"/>
      <c r="S3" s="236"/>
      <c r="T3" s="235"/>
      <c r="U3" s="235"/>
      <c r="V3" s="235"/>
      <c r="W3" s="235"/>
      <c r="X3" s="235"/>
      <c r="Y3" s="211"/>
      <c r="Z3" s="237"/>
      <c r="AA3" s="238"/>
      <c r="AB3" s="211"/>
      <c r="AC3" s="237"/>
      <c r="AD3" s="238"/>
      <c r="AE3" s="239"/>
    </row>
    <row r="4" spans="1:31">
      <c r="B4" s="203" t="s">
        <v>219</v>
      </c>
      <c r="C4" s="242" t="s">
        <v>225</v>
      </c>
      <c r="G4"/>
      <c r="N4" s="240"/>
      <c r="O4" s="235"/>
      <c r="R4" s="241"/>
      <c r="S4" s="243"/>
      <c r="T4" s="235"/>
      <c r="U4" s="235"/>
      <c r="V4" s="235"/>
      <c r="W4" s="235"/>
      <c r="X4" s="235"/>
      <c r="Y4" s="211"/>
      <c r="Z4" s="237"/>
      <c r="AA4" s="241"/>
      <c r="AB4" s="211"/>
      <c r="AC4" s="237"/>
      <c r="AD4" s="241"/>
      <c r="AE4" s="239"/>
    </row>
    <row r="5" spans="1:31">
      <c r="G5"/>
      <c r="N5" s="240"/>
      <c r="O5" s="235"/>
      <c r="R5" s="236"/>
      <c r="S5" s="236"/>
      <c r="T5" s="235"/>
      <c r="U5" s="235"/>
      <c r="V5" s="235"/>
      <c r="W5" s="235"/>
      <c r="X5" s="235"/>
      <c r="Y5" s="244"/>
      <c r="Z5" s="245"/>
      <c r="AA5" s="241"/>
      <c r="AB5" s="211"/>
      <c r="AC5" s="237"/>
      <c r="AD5" s="241"/>
      <c r="AE5" s="239"/>
    </row>
    <row r="6" spans="1:31">
      <c r="B6" s="205" t="s">
        <v>191</v>
      </c>
      <c r="C6" s="246" t="s">
        <v>192</v>
      </c>
      <c r="D6" s="247" t="s">
        <v>193</v>
      </c>
      <c r="E6" s="246" t="s">
        <v>197</v>
      </c>
      <c r="F6" s="247" t="s">
        <v>194</v>
      </c>
      <c r="G6" s="246" t="s">
        <v>195</v>
      </c>
      <c r="H6" s="247" t="s">
        <v>283</v>
      </c>
      <c r="I6" s="247" t="s">
        <v>199</v>
      </c>
      <c r="J6" s="248" t="s">
        <v>149</v>
      </c>
      <c r="K6" s="247" t="s">
        <v>200</v>
      </c>
      <c r="L6" s="205" t="s">
        <v>218</v>
      </c>
      <c r="M6" s="205" t="s">
        <v>294</v>
      </c>
      <c r="N6" s="240"/>
      <c r="O6" s="235"/>
      <c r="R6" s="236"/>
      <c r="S6" s="236"/>
      <c r="T6" s="235"/>
      <c r="U6" s="235"/>
      <c r="V6" s="235"/>
      <c r="W6" s="235"/>
      <c r="X6" s="235"/>
      <c r="Y6" s="244"/>
      <c r="Z6" s="245"/>
      <c r="AA6" s="241"/>
      <c r="AB6" s="211"/>
      <c r="AC6" s="237"/>
      <c r="AD6" s="241"/>
      <c r="AE6" s="239"/>
    </row>
    <row r="7" spans="1:31">
      <c r="B7" s="249" t="str">
        <f>_xlfn.XLOOKUP(Quote&amp;" - "&amp;LegNumber,QuoteDefinitions['[Quote'] - '[Leg Type'] Id],QuoteDefinitions[Discounting Index])</f>
        <v>AUD_FCB_ADJ</v>
      </c>
      <c r="C7" s="250" t="str">
        <f>_xlfn.XLOOKUP(Quote&amp;" - "&amp;LegNumber,QuoteDefinitions['[Quote'] - '[Leg Type'] Id],QuoteDefinitions[Exchange Notionals])</f>
        <v>Both</v>
      </c>
      <c r="D7" s="250" t="str">
        <f>_xlfn.XLOOKUP(Quote&amp;" - "&amp;LegNumber,QuoteDefinitions['[Quote'] - '[Leg Type'] Id],QuoteDefinitions[Leg Type])</f>
        <v>Float</v>
      </c>
      <c r="E7" s="251">
        <f>_xlfn.XLOOKUP(Quote&amp;" - "&amp;LegNumber,QuoteDefinitions['[Quote'] - '[Leg Type'] Id],QuoteDefinitions[Fixed Rate (%)])</f>
        <v>0</v>
      </c>
      <c r="F7" s="250">
        <f>_xlfn.XLOOKUP(Quote&amp;" - "&amp;LegNumber,QuoteDefinitions['[Quote'] - '[Leg Type'] Id],QuoteDefinitions[Start Date])</f>
        <v>45474</v>
      </c>
      <c r="G7" s="220">
        <f>_xlfn.XLOOKUP(Quote&amp;" - "&amp;LegNumber,QuoteDefinitions['[Quote'] - '[Leg Type'] Id],QuoteDefinitions[End Date])</f>
        <v>52779</v>
      </c>
      <c r="H7" s="252" t="str">
        <f>_xlfn.XLOOKUP(Quote&amp;" - "&amp;LegNumber,QuoteDefinitions['[Quote'] - '[Leg Type'] Id],QuoteDefinitions[Forward Index])</f>
        <v>AONIA</v>
      </c>
      <c r="I7" s="221">
        <f>_xlfn.XLOOKUP(Quote&amp;" - "&amp;LegNumber,QuoteDefinitions['[Quote'] - '[Leg Type'] Id],QuoteDefinitions[Spread (bps)])</f>
        <v>15</v>
      </c>
      <c r="J7" s="253">
        <f>_xlfn.XLOOKUP(Quote&amp;" - "&amp;LegNumber,QuoteDefinitions['[Quote'] - '[Leg Type'] Id],QuoteDefinitions[Day Count Index])</f>
        <v>3</v>
      </c>
      <c r="K7" s="254" t="str">
        <f>_xlfn.XLOOKUP(Quote&amp;" - "&amp;LegNumber,QuoteDefinitions['[Quote'] - '[Leg Type'] Id],QuoteDefinitions[Payment Freq.])</f>
        <v>Q</v>
      </c>
      <c r="L7" s="255">
        <f>_xlfn.XLOOKUP(Quote&amp;" - "&amp;LegNumber,QuoteDefinitions['[Quote'] - '[Leg Type'] Id],QuoteDefinitions[Coupon Payment Delay])</f>
        <v>2</v>
      </c>
      <c r="M7" s="256">
        <f>_xlfn.XLOOKUP(Quote&amp;" - "&amp;LegNumber,QuoteDefinitions['[Quote'] - '[Leg Type'] Id],QuoteDefinitions[Fixing Offset])</f>
        <v>0</v>
      </c>
      <c r="N7" s="240"/>
      <c r="O7" s="235"/>
      <c r="R7" s="236"/>
      <c r="S7" s="236"/>
      <c r="T7" s="235"/>
      <c r="U7" s="235"/>
      <c r="V7" s="235"/>
      <c r="W7" s="235"/>
      <c r="X7" s="235"/>
      <c r="Y7" s="244"/>
      <c r="Z7" s="245"/>
      <c r="AA7" s="241"/>
      <c r="AB7" s="211"/>
      <c r="AC7" s="237"/>
      <c r="AD7" s="241"/>
      <c r="AE7" s="239"/>
    </row>
    <row r="8" spans="1:31">
      <c r="C8" s="257"/>
      <c r="D8" s="211"/>
      <c r="E8" s="211"/>
      <c r="F8" s="258"/>
      <c r="G8" s="211"/>
      <c r="H8" s="212"/>
      <c r="I8" s="259"/>
      <c r="J8" s="218"/>
      <c r="K8" s="260"/>
      <c r="L8" s="216"/>
      <c r="M8" s="216"/>
      <c r="N8" s="240"/>
      <c r="O8" s="236"/>
      <c r="R8" s="261"/>
      <c r="S8" s="261"/>
      <c r="T8" s="261"/>
      <c r="U8" s="261"/>
      <c r="V8" s="261"/>
      <c r="W8" s="261"/>
      <c r="X8" s="236"/>
      <c r="Y8" s="262"/>
      <c r="Z8" s="237"/>
      <c r="AA8" s="241"/>
      <c r="AB8" s="211"/>
      <c r="AC8" s="237"/>
      <c r="AD8" s="241"/>
      <c r="AE8" s="239"/>
    </row>
    <row r="9" spans="1:31">
      <c r="A9" s="233"/>
      <c r="B9" s="233"/>
      <c r="C9" s="233"/>
      <c r="D9" s="233"/>
      <c r="E9" s="233"/>
      <c r="F9" s="233"/>
      <c r="G9" s="233"/>
      <c r="H9" s="233"/>
      <c r="I9" s="233"/>
      <c r="J9" s="233"/>
      <c r="K9" s="233"/>
      <c r="L9" s="233"/>
      <c r="M9" s="240"/>
      <c r="N9" s="233"/>
      <c r="O9" s="236"/>
      <c r="P9" s="263" t="s">
        <v>217</v>
      </c>
      <c r="Q9" s="264"/>
      <c r="R9" s="264"/>
      <c r="S9" s="265"/>
      <c r="T9" s="266"/>
      <c r="U9" s="267"/>
      <c r="V9" s="268"/>
      <c r="W9" s="269"/>
      <c r="X9" s="236"/>
      <c r="Y9" s="357" t="s">
        <v>245</v>
      </c>
      <c r="Z9" s="357"/>
      <c r="AA9" s="241"/>
      <c r="AB9" s="270" t="s">
        <v>246</v>
      </c>
      <c r="AC9" s="271"/>
      <c r="AD9" s="241"/>
      <c r="AE9" s="239"/>
    </row>
    <row r="10" spans="1:31">
      <c r="A10" s="272"/>
      <c r="B10" s="273" t="s">
        <v>216</v>
      </c>
      <c r="C10" s="273" t="s">
        <v>215</v>
      </c>
      <c r="D10" s="273" t="s">
        <v>214</v>
      </c>
      <c r="E10" s="273" t="s">
        <v>213</v>
      </c>
      <c r="F10" s="274" t="s">
        <v>212</v>
      </c>
      <c r="G10" s="275" t="s">
        <v>211</v>
      </c>
      <c r="H10" s="275" t="s">
        <v>210</v>
      </c>
      <c r="I10" s="275" t="s">
        <v>196</v>
      </c>
      <c r="J10" s="275" t="s">
        <v>209</v>
      </c>
      <c r="K10" s="276" t="s">
        <v>52</v>
      </c>
      <c r="L10" s="276" t="s">
        <v>208</v>
      </c>
      <c r="M10" s="274" t="s">
        <v>207</v>
      </c>
      <c r="N10" s="273" t="s">
        <v>223</v>
      </c>
      <c r="O10" s="277"/>
      <c r="P10" s="273" t="s">
        <v>206</v>
      </c>
      <c r="Q10" s="278" t="s">
        <v>205</v>
      </c>
      <c r="R10" s="273" t="s">
        <v>204</v>
      </c>
      <c r="S10" s="275" t="s">
        <v>203</v>
      </c>
      <c r="T10" s="279" t="s">
        <v>52</v>
      </c>
      <c r="U10" s="273" t="s">
        <v>47</v>
      </c>
      <c r="V10" s="273" t="s">
        <v>46</v>
      </c>
      <c r="W10" s="280" t="s">
        <v>202</v>
      </c>
      <c r="X10" s="277"/>
      <c r="Y10" s="270" t="s">
        <v>45</v>
      </c>
      <c r="Z10" s="271" t="s">
        <v>189</v>
      </c>
      <c r="AA10" s="216"/>
      <c r="AB10" s="270" t="s">
        <v>45</v>
      </c>
      <c r="AC10" s="271" t="s">
        <v>189</v>
      </c>
      <c r="AD10" s="216"/>
      <c r="AE10" s="281" t="s">
        <v>148</v>
      </c>
    </row>
    <row r="11" spans="1:31">
      <c r="A11" s="272"/>
      <c r="B11" s="282"/>
      <c r="C11" s="282"/>
      <c r="D11" s="283" cm="1">
        <f t="array" ref="D11:D92">_xlfn.VSTACK(_xlfn.CHOOSEROWS(_xlfn.ANCHORARRAY(B12),1),OffsetDateRangeByBusinessDays(_xlfn.ANCHORARRAY(C12),Payment_Offset,Holidays),MAX(_xlfn.ANCHORARRAY(C12)))</f>
        <v>45474</v>
      </c>
      <c r="E11" s="282"/>
      <c r="F11" s="282"/>
      <c r="G11" s="282"/>
      <c r="H11" s="259" cm="1">
        <f t="array" ref="H11:H92">_xlfn.VSTACK(0,_xlfn.ANCHORARRAY(G12)*Notional*_xlfn.ANCHORARRAY(F12),0)</f>
        <v>0</v>
      </c>
      <c r="I11" s="259" cm="1">
        <f t="array" ref="I11:I92">_xlfn.IFS(
ExchangeNotionals="End",_xlfn.ANCHORARRAY(D11)*0,
ExchangeNotionals="Start",(ROW(_xlfn.ANCHORARRAY(D11))=MIN(ROW(_xlfn.ANCHORARRAY(D11))))*Notional,
ExchangeNotionals="Neither",_xlfn.ANCHORARRAY(D11)*0,
ExchangeNotionals="Both",(ROW(_xlfn.ANCHORARRAY(D11))=MIN(ROW(_xlfn.ANCHORARRAY(D11))))*Notional
)*-1
+
_xlfn.IFS(
ExchangeNotionals="End",(ROW(_xlfn.ANCHORARRAY(D11))=MAX(ROW(_xlfn.ANCHORARRAY(D11))))*Notional,
ExchangeNotionals="Start",_xlfn.ANCHORARRAY(D11)*0,
ExchangeNotionals="Neither",_xlfn.ANCHORARRAY(D11)*0,
ExchangeNotionals="Both",(ROW(_xlfn.ANCHORARRAY(D11))=MAX(ROW(_xlfn.ANCHORARRAY(D11))))*Notional
)</f>
        <v>-100000000</v>
      </c>
      <c r="J11" s="284" cm="1">
        <f t="array" ref="J11:J92">_xlfn.ANCHORARRAY(H11)+_xlfn.ANCHORARRAY(I11)</f>
        <v>-100000000</v>
      </c>
      <c r="K11" s="216" cm="1">
        <f t="array" ref="K11:K92">YEARFRAC(CurveDate,_xlfn.CHOOSECOLS(_xlfn.ANCHORARRAY(D11),1),1)*SIGN(_xlfn.ANCHORARRAY(D11)-CurveDate)</f>
        <v>8.1967213114754103E-3</v>
      </c>
      <c r="L11" s="285" cm="1">
        <f t="array" ref="L11:L92">IFERROR(-LN(_xlfn.ANCHORARRAY(M11))/_xlfn.ANCHORARRAY(K11),0)</f>
        <v>4.3714384564737627E-2</v>
      </c>
      <c r="M11" s="286" cm="1">
        <f t="array" ref="M11:M92">Linterp(_xlfn.ANCHORARRAY(AB11),_xlfn.ANCHORARRAY(AC11),_xlfn.ANCHORARRAY(D11),-1,TRUE)</f>
        <v>0.99964174955943974</v>
      </c>
      <c r="N11" s="287" cm="1">
        <f t="array" ref="N11:N92">_xlfn.ANCHORARRAY(J11)*_xlfn.ANCHORARRAY(M11)</f>
        <v>-99964174.955943972</v>
      </c>
      <c r="O11" s="277"/>
      <c r="P11" s="288" cm="1">
        <f t="array" ref="P11:P90">IF(NOT(IsFixed),ROW(_xlfn.ANCHORARRAY(Q11))-ROW()+1)</f>
        <v>1</v>
      </c>
      <c r="Q11" s="289" cm="1">
        <f t="array" ref="Q11:Q90">IF(NOT(IsFixed),OffsetDateRangeByBusinessDays(_xlfn.ANCHORARRAY(B12),FixingOffset,_xlfn.ANCHORARRAY(AE11)))</f>
        <v>45474</v>
      </c>
      <c r="R11" s="289" cm="1">
        <f t="array" ref="R11:R90">IF(NOT(IsFixed),OffsetDateRangeByBusinessDays(_xlfn.ANCHORARRAY(C12),FixingOffset,_xlfn.ANCHORARRAY(AE11)))</f>
        <v>45566</v>
      </c>
      <c r="S11" s="288" cm="1">
        <f t="array" ref="S11:S90">IF(NOT(IsFixed),_xlfn.ANCHORARRAY(R11)-_xlfn.ANCHORARRAY(Q11))</f>
        <v>92</v>
      </c>
      <c r="T11" s="290" cm="1">
        <f t="array" ref="T11:T90">IF(NOT(IsFixed),YEARFRAC(_xlfn.CHOOSECOLS(_xlfn.ANCHORARRAY(Q11),1),_xlfn.CHOOSECOLS(_xlfn.ANCHORARRAY(R11),1),J7))</f>
        <v>0.25205479452054796</v>
      </c>
      <c r="U11" s="291" cm="1">
        <f t="array" ref="U11:U90">IF(NOT(IsFixed),Linterp(_xlfn.ANCHORARRAY(Y11),_xlfn.ANCHORARRAY(Z11),_xlfn.ANCHORARRAY(Q11),-1,TRUE))</f>
        <v>0.99964670020732393</v>
      </c>
      <c r="V11" s="291" cm="1">
        <f t="array" ref="V11:V90">IF(NOT(IsFixed),Linterp(_xlfn.ANCHORARRAY(Y11),_xlfn.ANCHORARRAY(Z11),_xlfn.ANCHORARRAY(R11),-1,TRUE))</f>
        <v>0.98892834260907314</v>
      </c>
      <c r="W11" s="292" cm="1">
        <f t="array" ref="W11:W90">IF(NOT(IsFixed),(_xlfn.ANCHORARRAY(U11)/_xlfn.ANCHORARRAY(V11)-1)/_xlfn.ANCHORARRAY(T11))</f>
        <v>4.3000000000000413E-2</v>
      </c>
      <c r="X11" s="277"/>
      <c r="Y11" s="293" cm="1">
        <f t="array" ref="Y11:Y38">IF(NOT(IsFixed),_xlfn.IFS(
FloatingIndex="BBSW_3M",_xlfn.ANCHORARRAY(Curves!B4),
FloatingIndex="AONIA",_xlfn.ANCHORARRAY(Curves!G4),
FloatingIndex="BBSW_1M",_xlfn.ANCHORARRAY(Curves!L4),
FloatingIndex="BBSW_6M",_xlfn.ANCHORARRAY(Curves!Q4),
FloatingIndex="SOFR",_xlfn.ANCHORARRAY(Curves!V4)))</f>
        <v>45471</v>
      </c>
      <c r="Z11" s="237" cm="1">
        <f t="array" ref="Z11:Z38">IF(NOT(IsFixed),_xlfn.IFS(
FloatingIndex="BBSW_3M",_xlfn.ANCHORARRAY(Curves!E4),
FloatingIndex="AONIA",_xlfn.ANCHORARRAY(Curves!J4),
FloatingIndex="BBSW_1M",_xlfn.ANCHORARRAY(Curves!O4),
FloatingIndex="BBSW_6M",_xlfn.ANCHORARRAY(Curves!T4),
FloatingIndex="SOFR",_xlfn.ANCHORARRAY(Curves!Y4)))</f>
        <v>1</v>
      </c>
      <c r="AA11" s="216"/>
      <c r="AB11" s="257" cm="1">
        <f t="array" ref="AB11:AB24">_xlfn.IFS(
DiscountingIndex="BBSW_3M",_xlfn.ANCHORARRAY(Curves!B4),
DiscountingIndex="AONIA",_xlfn.ANCHORARRAY(Curves!G4),
DiscountingIndex="BBSW_1M",_xlfn.ANCHORARRAY(Curves!L4),
DiscountingIndex="BBSW_6M",_xlfn.ANCHORARRAY(Curves!Q4),
DiscountingIndex="SOFR",_xlfn.ANCHORARRAY(Curves!V4),
DiscountingIndex="AUD_FCB_ADJ",_xlfn.ANCHORARRAY(Curves!AA4))</f>
        <v>45471</v>
      </c>
      <c r="AC11" s="286" cm="1">
        <f t="array" ref="AC11:AC24">_xlfn.IFS(
DiscountingIndex="BBSW_3M",_xlfn.ANCHORARRAY(Curves!E4),
DiscountingIndex="AONIA",_xlfn.ANCHORARRAY(Curves!J4),
DiscountingIndex="BBSW_1M",_xlfn.ANCHORARRAY(Curves!O4),
DiscountingIndex="BBSW_6M",_xlfn.ANCHORARRAY(Curves!T4),
DiscountingIndex="SOFR",_xlfn.ANCHORARRAY(Curves!Y4),
DiscountingIndex="AUD_FCB_ADJ",_xlfn.ANCHORARRAY(Curves!AD4))</f>
        <v>1</v>
      </c>
      <c r="AD11" s="216"/>
      <c r="AE11" s="294" cm="1">
        <f t="array" ref="AE11:AE1071">IF(DiscountingIndex="SOFR",Holidays_NY_Public, Holidays_NSWPublic)</f>
        <v>32874</v>
      </c>
    </row>
    <row r="12" spans="1:31">
      <c r="A12" s="272"/>
      <c r="B12" s="233" cm="1">
        <f t="array" ref="B12:B91">_xlfn._xlws.SORT(_xlfn.UNIQUE(StartDateSchedule(F7,G7,K7,Holidays,RollConvention,RollUserSpecifiedDates,0,0,"")))</f>
        <v>45474</v>
      </c>
      <c r="C12" s="283" cm="1">
        <f t="array" ref="C12:C91">_xlfn.LET(
    _xlpm.RolledEndDate, IF(RollUserSpecifiedDates, RollDate(G7, Holidays, RollConvention), G7),
    IF(COUNT(_xlfn.ANCHORARRAY(B12))=1, _xlpm.RolledEndDate, _xlfn.VSTACK(_xlfn.DROP(_xlfn.ANCHORARRAY(B12),1), _xlpm.RolledEndDate))
)</f>
        <v>45566</v>
      </c>
      <c r="D12" s="233">
        <v>45568</v>
      </c>
      <c r="E12" s="295" cm="1">
        <f t="array" ref="E12:E92">_xlfn.VSTACK(_xlfn.ANCHORARRAY(C12)-_xlfn.ANCHORARRAY(B12),"n/a")</f>
        <v>92</v>
      </c>
      <c r="F12" s="241" cm="1">
        <f t="array" ref="F12:F91">YEARFRAC(_xlfn.CHOOSECOLS(_xlfn.ANCHORARRAY(B12),1),_xlfn.CHOOSECOLS(_xlfn.ANCHORARRAY(C12),1),J7)</f>
        <v>0.25205479452054796</v>
      </c>
      <c r="G12" s="296" cm="1">
        <f t="array" ref="G12:G91">_xlfn.ANCHORARRAY(W11)+$E$7%+$I$7%%</f>
        <v>4.4500000000000414E-2</v>
      </c>
      <c r="H12" s="240">
        <v>1121643.8356164487</v>
      </c>
      <c r="I12" s="240">
        <v>0</v>
      </c>
      <c r="J12" s="261">
        <v>1121643.8356164487</v>
      </c>
      <c r="K12" s="241">
        <v>0.2650273224043716</v>
      </c>
      <c r="L12" s="234">
        <v>4.3714384564734463E-2</v>
      </c>
      <c r="M12" s="237">
        <v>0.98848134725979053</v>
      </c>
      <c r="N12" s="240">
        <v>1108724.0097757862</v>
      </c>
      <c r="O12" s="236"/>
      <c r="P12" s="297">
        <v>2</v>
      </c>
      <c r="Q12" s="298">
        <v>45566</v>
      </c>
      <c r="R12" s="298">
        <v>45659</v>
      </c>
      <c r="S12" s="297">
        <v>93</v>
      </c>
      <c r="T12" s="299">
        <v>0.25479452054794521</v>
      </c>
      <c r="U12" s="235">
        <v>0.98892834260907314</v>
      </c>
      <c r="V12" s="235">
        <v>0.97832458493832553</v>
      </c>
      <c r="W12" s="300">
        <v>4.2538947733605351E-2</v>
      </c>
      <c r="X12" s="236"/>
      <c r="Y12" s="262">
        <v>45474</v>
      </c>
      <c r="Z12" s="237">
        <v>0.99964670020732393</v>
      </c>
      <c r="AA12" s="241"/>
      <c r="AB12" s="262">
        <v>45841</v>
      </c>
      <c r="AC12" s="237">
        <v>0.95677010848899424</v>
      </c>
      <c r="AD12" s="241"/>
      <c r="AE12" s="294">
        <v>32899</v>
      </c>
    </row>
    <row r="13" spans="1:31">
      <c r="A13" s="272"/>
      <c r="B13" s="233">
        <v>45566</v>
      </c>
      <c r="C13" s="283">
        <v>45659</v>
      </c>
      <c r="D13" s="233">
        <v>45663</v>
      </c>
      <c r="E13" s="295">
        <v>93</v>
      </c>
      <c r="F13" s="241">
        <v>0.25479452054794521</v>
      </c>
      <c r="G13" s="296">
        <v>4.4038947733605352E-2</v>
      </c>
      <c r="H13" s="259">
        <v>1122088.2573219994</v>
      </c>
      <c r="I13" s="259">
        <v>0</v>
      </c>
      <c r="J13" s="261">
        <v>1122088.2573219994</v>
      </c>
      <c r="K13" s="241">
        <v>0.52602739726027392</v>
      </c>
      <c r="L13" s="234">
        <v>4.359494635554103E-2</v>
      </c>
      <c r="M13" s="237">
        <v>0.9773288068035656</v>
      </c>
      <c r="N13" s="240">
        <v>1096649.1776568019</v>
      </c>
      <c r="O13" s="236"/>
      <c r="P13" s="297">
        <v>3</v>
      </c>
      <c r="Q13" s="298">
        <v>45659</v>
      </c>
      <c r="R13" s="298">
        <v>45748</v>
      </c>
      <c r="S13" s="297">
        <v>89</v>
      </c>
      <c r="T13" s="299">
        <v>0.24383561643835616</v>
      </c>
      <c r="U13" s="235">
        <v>0.97832458493832553</v>
      </c>
      <c r="V13" s="235">
        <v>0.96838767662912051</v>
      </c>
      <c r="W13" s="300">
        <v>4.2082825005696607E-2</v>
      </c>
      <c r="X13" s="236"/>
      <c r="Y13" s="262">
        <v>45475</v>
      </c>
      <c r="Z13" s="237">
        <v>0.99952898907911891</v>
      </c>
      <c r="AA13" s="241"/>
      <c r="AB13" s="262">
        <v>46028</v>
      </c>
      <c r="AC13" s="237">
        <v>0.93563561942940709</v>
      </c>
      <c r="AD13" s="241"/>
      <c r="AE13" s="294">
        <v>32976</v>
      </c>
    </row>
    <row r="14" spans="1:31">
      <c r="A14" s="272"/>
      <c r="B14" s="233">
        <v>45659</v>
      </c>
      <c r="C14" s="301">
        <v>45748</v>
      </c>
      <c r="D14" s="233">
        <v>45750</v>
      </c>
      <c r="E14" s="295">
        <v>89</v>
      </c>
      <c r="F14" s="241">
        <v>0.24383561643835616</v>
      </c>
      <c r="G14" s="296">
        <v>4.3582825005696609E-2</v>
      </c>
      <c r="H14" s="259">
        <v>1062704.5001389037</v>
      </c>
      <c r="I14" s="259">
        <v>0</v>
      </c>
      <c r="J14" s="261">
        <v>1062704.5001389037</v>
      </c>
      <c r="K14" s="241">
        <v>0.76438356164383559</v>
      </c>
      <c r="L14" s="234">
        <v>4.3594946355541016E-2</v>
      </c>
      <c r="M14" s="237">
        <v>0.96722584326830385</v>
      </c>
      <c r="N14" s="240">
        <v>1027875.2562918725</v>
      </c>
      <c r="O14" s="236"/>
      <c r="P14" s="297">
        <v>4</v>
      </c>
      <c r="Q14" s="298">
        <v>45748</v>
      </c>
      <c r="R14" s="298">
        <v>45839</v>
      </c>
      <c r="S14" s="297">
        <v>91</v>
      </c>
      <c r="T14" s="299">
        <v>0.24931506849315069</v>
      </c>
      <c r="U14" s="235">
        <v>0.96838767662912051</v>
      </c>
      <c r="V14" s="235">
        <v>0.95843403663214188</v>
      </c>
      <c r="W14" s="300">
        <v>4.1655386934620169E-2</v>
      </c>
      <c r="X14" s="236"/>
      <c r="Y14" s="262">
        <v>45481</v>
      </c>
      <c r="Z14" s="237">
        <v>0.99882301328404044</v>
      </c>
      <c r="AA14" s="241"/>
      <c r="AB14" s="262">
        <v>46206</v>
      </c>
      <c r="AC14" s="237">
        <v>0.91596201307350322</v>
      </c>
      <c r="AD14" s="241"/>
      <c r="AE14" s="294">
        <v>32979</v>
      </c>
    </row>
    <row r="15" spans="1:31">
      <c r="A15" s="233"/>
      <c r="B15" s="233">
        <v>45748</v>
      </c>
      <c r="C15" s="301">
        <v>45839</v>
      </c>
      <c r="D15" s="233">
        <v>45841</v>
      </c>
      <c r="E15" s="295">
        <v>91</v>
      </c>
      <c r="F15" s="241">
        <v>0.24931506849315069</v>
      </c>
      <c r="G15" s="296">
        <v>4.315538693462017E-2</v>
      </c>
      <c r="H15" s="259">
        <v>1075928.8249453248</v>
      </c>
      <c r="I15" s="259">
        <v>0</v>
      </c>
      <c r="J15" s="261">
        <v>1075928.8249453248</v>
      </c>
      <c r="K15" s="241">
        <v>1.0123119015047879</v>
      </c>
      <c r="L15" s="234">
        <v>4.3654665460137687E-2</v>
      </c>
      <c r="M15" s="237">
        <v>0.95677010848899424</v>
      </c>
      <c r="N15" s="240">
        <v>1029416.5385693745</v>
      </c>
      <c r="O15" s="236"/>
      <c r="P15" s="297">
        <v>5</v>
      </c>
      <c r="Q15" s="298">
        <v>45839</v>
      </c>
      <c r="R15" s="298">
        <v>45931</v>
      </c>
      <c r="S15" s="297">
        <v>92</v>
      </c>
      <c r="T15" s="299">
        <v>0.25205479452054796</v>
      </c>
      <c r="U15" s="235">
        <v>0.95843403663214188</v>
      </c>
      <c r="V15" s="235">
        <v>0.94831709761017247</v>
      </c>
      <c r="W15" s="300">
        <v>4.2325352989553033E-2</v>
      </c>
      <c r="X15" s="236"/>
      <c r="Y15" s="211">
        <v>45505</v>
      </c>
      <c r="Z15" s="237">
        <v>0.99600921996018177</v>
      </c>
      <c r="AA15" s="238"/>
      <c r="AB15" s="262">
        <v>46573</v>
      </c>
      <c r="AC15" s="237">
        <v>0.87668318509463072</v>
      </c>
      <c r="AD15" s="238"/>
      <c r="AE15" s="294">
        <v>32988</v>
      </c>
    </row>
    <row r="16" spans="1:31">
      <c r="A16" s="233"/>
      <c r="B16" s="233">
        <v>45839</v>
      </c>
      <c r="C16" s="233">
        <v>45931</v>
      </c>
      <c r="D16" s="233">
        <v>45933</v>
      </c>
      <c r="E16" s="295">
        <v>92</v>
      </c>
      <c r="F16" s="241">
        <v>0.25205479452054796</v>
      </c>
      <c r="G16" s="296">
        <v>4.3825352989553035E-2</v>
      </c>
      <c r="H16" s="259">
        <v>1104639.0342572273</v>
      </c>
      <c r="I16" s="240">
        <v>0</v>
      </c>
      <c r="J16" s="261">
        <v>1104639.0342572273</v>
      </c>
      <c r="K16" s="241">
        <v>1.2640218878248974</v>
      </c>
      <c r="L16" s="234">
        <v>4.3655479413932517E-2</v>
      </c>
      <c r="M16" s="237">
        <v>0.94631339399210501</v>
      </c>
      <c r="N16" s="240">
        <v>1045334.7136441179</v>
      </c>
      <c r="O16" s="236"/>
      <c r="P16" s="297">
        <v>6</v>
      </c>
      <c r="Q16" s="298">
        <v>45931</v>
      </c>
      <c r="R16" s="298">
        <v>46024</v>
      </c>
      <c r="S16" s="297">
        <v>93</v>
      </c>
      <c r="T16" s="299">
        <v>0.25479452054794521</v>
      </c>
      <c r="U16" s="235">
        <v>0.94831709761017247</v>
      </c>
      <c r="V16" s="235">
        <v>0.93819872650954639</v>
      </c>
      <c r="W16" s="300">
        <v>4.2327798424401215E-2</v>
      </c>
      <c r="X16" s="236"/>
      <c r="Y16" s="211">
        <v>45537</v>
      </c>
      <c r="Z16" s="237">
        <v>0.99228206428364074</v>
      </c>
      <c r="AA16" s="238"/>
      <c r="AB16" s="262">
        <v>46939</v>
      </c>
      <c r="AC16" s="237">
        <v>0.83918690737747992</v>
      </c>
      <c r="AD16" s="238"/>
      <c r="AE16" s="294">
        <v>33035</v>
      </c>
    </row>
    <row r="17" spans="1:31">
      <c r="A17" s="233"/>
      <c r="B17" s="233">
        <v>45931</v>
      </c>
      <c r="C17" s="233">
        <v>46024</v>
      </c>
      <c r="D17" s="233">
        <v>46028</v>
      </c>
      <c r="E17" s="302">
        <v>93</v>
      </c>
      <c r="F17" s="241">
        <v>0.25479452054794521</v>
      </c>
      <c r="G17" s="296">
        <v>4.3827798424401217E-2</v>
      </c>
      <c r="H17" s="259">
        <v>1116708.2886217297</v>
      </c>
      <c r="I17" s="240">
        <v>0</v>
      </c>
      <c r="J17" s="261">
        <v>1116708.2886217297</v>
      </c>
      <c r="K17" s="241">
        <v>1.5246350364963503</v>
      </c>
      <c r="L17" s="234">
        <v>4.3636130738534715E-2</v>
      </c>
      <c r="M17" s="237">
        <v>0.93563561942940709</v>
      </c>
      <c r="N17" s="240">
        <v>1044832.0513465452</v>
      </c>
      <c r="O17" s="236"/>
      <c r="P17" s="297">
        <v>7</v>
      </c>
      <c r="Q17" s="298">
        <v>46024</v>
      </c>
      <c r="R17" s="298">
        <v>46113</v>
      </c>
      <c r="S17" s="297">
        <v>89</v>
      </c>
      <c r="T17" s="299">
        <v>0.24383561643835616</v>
      </c>
      <c r="U17" s="235">
        <v>0.93819872650954639</v>
      </c>
      <c r="V17" s="235">
        <v>0.92861666547747157</v>
      </c>
      <c r="W17" s="300">
        <v>4.2318017814176767E-2</v>
      </c>
      <c r="X17" s="236"/>
      <c r="Y17" s="211">
        <v>45566</v>
      </c>
      <c r="Z17" s="245">
        <v>0.98892834260907314</v>
      </c>
      <c r="AA17" s="238"/>
      <c r="AB17" s="244">
        <v>47303</v>
      </c>
      <c r="AC17" s="245">
        <v>0.80348669817381402</v>
      </c>
      <c r="AD17" s="238"/>
      <c r="AE17" s="294">
        <v>33091</v>
      </c>
    </row>
    <row r="18" spans="1:31">
      <c r="A18" s="233"/>
      <c r="B18" s="233">
        <v>46024</v>
      </c>
      <c r="C18" s="233">
        <v>46113</v>
      </c>
      <c r="D18" s="233">
        <v>46119</v>
      </c>
      <c r="E18" s="295">
        <v>89</v>
      </c>
      <c r="F18" s="241">
        <v>0.24383561643835616</v>
      </c>
      <c r="G18" s="296">
        <v>4.3818017814176768E-2</v>
      </c>
      <c r="H18" s="259">
        <v>1068439.3384826665</v>
      </c>
      <c r="I18" s="240">
        <v>0</v>
      </c>
      <c r="J18" s="261">
        <v>1068439.3384826665</v>
      </c>
      <c r="K18" s="241">
        <v>1.7737226277372264</v>
      </c>
      <c r="L18" s="234">
        <v>4.3633404765295633E-2</v>
      </c>
      <c r="M18" s="237">
        <v>0.92552553453737341</v>
      </c>
      <c r="N18" s="240">
        <v>988867.88986992755</v>
      </c>
      <c r="O18" s="236"/>
      <c r="P18" s="297">
        <v>8</v>
      </c>
      <c r="Q18" s="298">
        <v>46113</v>
      </c>
      <c r="R18" s="298">
        <v>46204</v>
      </c>
      <c r="S18" s="297">
        <v>91</v>
      </c>
      <c r="T18" s="299">
        <v>0.24931506849315069</v>
      </c>
      <c r="U18" s="235">
        <v>0.92861666547747157</v>
      </c>
      <c r="V18" s="235">
        <v>0.91892045698191938</v>
      </c>
      <c r="W18" s="300">
        <v>4.2322907742909248E-2</v>
      </c>
      <c r="X18" s="236"/>
      <c r="Y18" s="211">
        <v>45597</v>
      </c>
      <c r="Z18" s="245">
        <v>0.98536830847168899</v>
      </c>
      <c r="AA18" s="238"/>
      <c r="AB18" s="244">
        <v>47667</v>
      </c>
      <c r="AC18" s="245">
        <v>0.76931669700876959</v>
      </c>
      <c r="AD18" s="238"/>
      <c r="AE18" s="294">
        <v>33147</v>
      </c>
    </row>
    <row r="19" spans="1:31">
      <c r="A19" s="272"/>
      <c r="B19" s="272">
        <v>46113</v>
      </c>
      <c r="C19" s="272">
        <v>46204</v>
      </c>
      <c r="D19" s="272">
        <v>46206</v>
      </c>
      <c r="E19" s="303">
        <v>91</v>
      </c>
      <c r="F19" s="216">
        <v>0.24931506849315069</v>
      </c>
      <c r="G19" s="304">
        <v>4.3822907742909249E-2</v>
      </c>
      <c r="H19" s="284">
        <v>1092571.1245492443</v>
      </c>
      <c r="I19" s="287">
        <v>0</v>
      </c>
      <c r="J19" s="284">
        <v>1092571.1245492443</v>
      </c>
      <c r="K19" s="216">
        <v>2.0118613138686134</v>
      </c>
      <c r="L19" s="285">
        <v>4.3631429764365841E-2</v>
      </c>
      <c r="M19" s="286">
        <v>0.91596201307350322</v>
      </c>
      <c r="N19" s="287">
        <v>1000753.646668107</v>
      </c>
      <c r="O19" s="277"/>
      <c r="P19" s="288">
        <v>9</v>
      </c>
      <c r="Q19" s="289">
        <v>46204</v>
      </c>
      <c r="R19" s="289">
        <v>46296</v>
      </c>
      <c r="S19" s="288">
        <v>92</v>
      </c>
      <c r="T19" s="305">
        <v>0.25205479452054796</v>
      </c>
      <c r="U19" s="291">
        <v>0.91892045698191938</v>
      </c>
      <c r="V19" s="291">
        <v>0.90922061132327181</v>
      </c>
      <c r="W19" s="292">
        <v>4.2325352989553033E-2</v>
      </c>
      <c r="X19" s="277"/>
      <c r="Y19" s="211">
        <v>45628</v>
      </c>
      <c r="Z19" s="306">
        <v>0.98183381386374668</v>
      </c>
      <c r="AA19" s="238"/>
      <c r="AB19" s="293">
        <v>48032</v>
      </c>
      <c r="AC19" s="306">
        <v>0.73650376921843652</v>
      </c>
      <c r="AD19" s="238"/>
      <c r="AE19" s="294">
        <v>33232</v>
      </c>
    </row>
    <row r="20" spans="1:31">
      <c r="A20" s="272"/>
      <c r="B20" s="272">
        <v>46204</v>
      </c>
      <c r="C20" s="272">
        <v>46296</v>
      </c>
      <c r="D20" s="272">
        <v>46301</v>
      </c>
      <c r="E20" s="303">
        <v>92</v>
      </c>
      <c r="F20" s="216">
        <v>0.25205479452054796</v>
      </c>
      <c r="G20" s="304">
        <v>4.3825352989553035E-2</v>
      </c>
      <c r="H20" s="284">
        <v>1104639.0342572273</v>
      </c>
      <c r="I20" s="287">
        <v>0</v>
      </c>
      <c r="J20" s="284">
        <v>1104639.0342572273</v>
      </c>
      <c r="K20" s="216">
        <v>2.2718978102189782</v>
      </c>
      <c r="L20" s="285">
        <v>4.3631285800593403E-2</v>
      </c>
      <c r="M20" s="286">
        <v>0.90562875222930228</v>
      </c>
      <c r="N20" s="287">
        <v>1000392.8702581542</v>
      </c>
      <c r="O20" s="277"/>
      <c r="P20" s="288">
        <v>10</v>
      </c>
      <c r="Q20" s="289">
        <v>46296</v>
      </c>
      <c r="R20" s="289">
        <v>46391</v>
      </c>
      <c r="S20" s="288">
        <v>95</v>
      </c>
      <c r="T20" s="305">
        <v>0.26027397260273971</v>
      </c>
      <c r="U20" s="291">
        <v>0.90922061132327181</v>
      </c>
      <c r="V20" s="291">
        <v>0.89931190519437898</v>
      </c>
      <c r="W20" s="292">
        <v>4.2332689858782233E-2</v>
      </c>
      <c r="X20" s="277"/>
      <c r="Y20" s="211">
        <v>45659</v>
      </c>
      <c r="Z20" s="306">
        <v>0.97832458493832553</v>
      </c>
      <c r="AA20" s="238"/>
      <c r="AB20" s="293">
        <v>48400</v>
      </c>
      <c r="AC20" s="306">
        <v>0.70483773011835371</v>
      </c>
      <c r="AD20" s="238"/>
      <c r="AE20" s="294">
        <v>33233</v>
      </c>
    </row>
    <row r="21" spans="1:31">
      <c r="A21" s="272"/>
      <c r="B21" s="272">
        <v>46296</v>
      </c>
      <c r="C21" s="272">
        <v>46391</v>
      </c>
      <c r="D21" s="272">
        <v>46393</v>
      </c>
      <c r="E21" s="303">
        <v>95</v>
      </c>
      <c r="F21" s="216">
        <v>0.26027397260273971</v>
      </c>
      <c r="G21" s="304">
        <v>4.3832689858782234E-2</v>
      </c>
      <c r="H21" s="287">
        <v>1140850.8319409075</v>
      </c>
      <c r="I21" s="287">
        <v>0</v>
      </c>
      <c r="J21" s="284">
        <v>1140850.8319409075</v>
      </c>
      <c r="K21" s="216">
        <v>2.5242984257357972</v>
      </c>
      <c r="L21" s="285">
        <v>4.3621222293223842E-2</v>
      </c>
      <c r="M21" s="286">
        <v>0.89573292719781705</v>
      </c>
      <c r="N21" s="287">
        <v>1021897.6551904939</v>
      </c>
      <c r="O21" s="277"/>
      <c r="P21" s="288">
        <v>11</v>
      </c>
      <c r="Q21" s="289">
        <v>46391</v>
      </c>
      <c r="R21" s="289">
        <v>46478</v>
      </c>
      <c r="S21" s="288">
        <v>87</v>
      </c>
      <c r="T21" s="305">
        <v>0.23835616438356164</v>
      </c>
      <c r="U21" s="291">
        <v>0.89931190519437898</v>
      </c>
      <c r="V21" s="291">
        <v>0.89033237342039451</v>
      </c>
      <c r="W21" s="292">
        <v>4.2313128638070664E-2</v>
      </c>
      <c r="X21" s="277"/>
      <c r="Y21" s="211">
        <v>45691</v>
      </c>
      <c r="Z21" s="306">
        <v>0.97472837028104331</v>
      </c>
      <c r="AA21" s="238"/>
      <c r="AB21" s="293">
        <v>48765</v>
      </c>
      <c r="AC21" s="306">
        <v>0.67477419467503752</v>
      </c>
      <c r="AD21" s="238"/>
      <c r="AE21" s="294">
        <v>33239</v>
      </c>
    </row>
    <row r="22" spans="1:31">
      <c r="A22" s="272"/>
      <c r="B22" s="272">
        <v>46391</v>
      </c>
      <c r="C22" s="272">
        <v>46478</v>
      </c>
      <c r="D22" s="272">
        <v>46482</v>
      </c>
      <c r="E22" s="303">
        <v>87</v>
      </c>
      <c r="F22" s="216">
        <v>0.23835616438356164</v>
      </c>
      <c r="G22" s="304">
        <v>4.3813128638070666E-2</v>
      </c>
      <c r="H22" s="287">
        <v>1044312.9291814103</v>
      </c>
      <c r="I22" s="287">
        <v>0</v>
      </c>
      <c r="J22" s="284">
        <v>1044312.9291814103</v>
      </c>
      <c r="K22" s="216">
        <v>2.7679671457905544</v>
      </c>
      <c r="L22" s="285">
        <v>4.3621134045421318E-2</v>
      </c>
      <c r="M22" s="286">
        <v>0.88626270469392088</v>
      </c>
      <c r="N22" s="287">
        <v>925535.60116314783</v>
      </c>
      <c r="O22" s="277"/>
      <c r="P22" s="288">
        <v>12</v>
      </c>
      <c r="Q22" s="289">
        <v>46478</v>
      </c>
      <c r="R22" s="289">
        <v>46569</v>
      </c>
      <c r="S22" s="288">
        <v>91</v>
      </c>
      <c r="T22" s="305">
        <v>0.24931506849315069</v>
      </c>
      <c r="U22" s="291">
        <v>0.89033237342039451</v>
      </c>
      <c r="V22" s="291">
        <v>0.88103591273434245</v>
      </c>
      <c r="W22" s="292">
        <v>4.2322907742910143E-2</v>
      </c>
      <c r="X22" s="277"/>
      <c r="Y22" s="211">
        <v>45719</v>
      </c>
      <c r="Z22" s="306">
        <v>0.97160330082595037</v>
      </c>
      <c r="AA22" s="238"/>
      <c r="AB22" s="293">
        <v>49130</v>
      </c>
      <c r="AC22" s="306">
        <v>0.64598639942848746</v>
      </c>
      <c r="AD22" s="238"/>
      <c r="AE22" s="294">
        <v>33326</v>
      </c>
    </row>
    <row r="23" spans="1:31">
      <c r="A23" s="233"/>
      <c r="B23" s="233">
        <v>46478</v>
      </c>
      <c r="C23" s="233">
        <v>46569</v>
      </c>
      <c r="D23" s="233">
        <v>46573</v>
      </c>
      <c r="E23" s="295">
        <v>91</v>
      </c>
      <c r="F23" s="241">
        <v>0.24931506849315069</v>
      </c>
      <c r="G23" s="296">
        <v>4.3822907742910144E-2</v>
      </c>
      <c r="H23" s="240">
        <v>1092571.1245492666</v>
      </c>
      <c r="I23" s="240">
        <v>0</v>
      </c>
      <c r="J23" s="261">
        <v>1092571.1245492666</v>
      </c>
      <c r="K23" s="241">
        <v>3.0171115674195756</v>
      </c>
      <c r="L23" s="234">
        <v>4.3621058552781498E-2</v>
      </c>
      <c r="M23" s="237">
        <v>0.87668318509463072</v>
      </c>
      <c r="N23" s="240">
        <v>957838.73341227358</v>
      </c>
      <c r="O23" s="236"/>
      <c r="P23" s="297">
        <v>13</v>
      </c>
      <c r="Q23" s="298">
        <v>46569</v>
      </c>
      <c r="R23" s="298">
        <v>46661</v>
      </c>
      <c r="S23" s="297">
        <v>92</v>
      </c>
      <c r="T23" s="299">
        <v>0.25205479452054796</v>
      </c>
      <c r="U23" s="235">
        <v>0.88103591273434245</v>
      </c>
      <c r="V23" s="235">
        <v>0.87173534898084448</v>
      </c>
      <c r="W23" s="300">
        <v>4.2328185732400846E-2</v>
      </c>
      <c r="X23" s="236"/>
      <c r="Y23" s="211">
        <v>45748</v>
      </c>
      <c r="Z23" s="245">
        <v>0.96838767662912051</v>
      </c>
      <c r="AA23" s="238"/>
      <c r="AB23" s="244">
        <v>50956</v>
      </c>
      <c r="AC23" s="245">
        <v>0.51943063678753676</v>
      </c>
      <c r="AD23" s="238"/>
      <c r="AE23" s="294">
        <v>33329</v>
      </c>
    </row>
    <row r="24" spans="1:31">
      <c r="A24" s="233"/>
      <c r="B24" s="233">
        <v>46569</v>
      </c>
      <c r="C24" s="233">
        <v>46661</v>
      </c>
      <c r="D24" s="233">
        <v>46666</v>
      </c>
      <c r="E24" s="295">
        <v>92</v>
      </c>
      <c r="F24" s="241">
        <v>0.25205479452054796</v>
      </c>
      <c r="G24" s="296">
        <v>4.3828185732400847E-2</v>
      </c>
      <c r="H24" s="240">
        <v>1104710.4348988708</v>
      </c>
      <c r="I24" s="240">
        <v>0</v>
      </c>
      <c r="J24" s="261">
        <v>1104710.4348988708</v>
      </c>
      <c r="K24" s="241">
        <v>3.2717316906228611</v>
      </c>
      <c r="L24" s="234">
        <v>4.3621182309914019E-2</v>
      </c>
      <c r="M24" s="237">
        <v>0.86699956446769855</v>
      </c>
      <c r="N24" s="240">
        <v>957783.46592024283</v>
      </c>
      <c r="O24" s="236"/>
      <c r="P24" s="297">
        <v>14</v>
      </c>
      <c r="Q24" s="298">
        <v>46661</v>
      </c>
      <c r="R24" s="298">
        <v>46756</v>
      </c>
      <c r="S24" s="297">
        <v>95</v>
      </c>
      <c r="T24" s="299">
        <v>0.26027397260273971</v>
      </c>
      <c r="U24" s="235">
        <v>0.87173534898084448</v>
      </c>
      <c r="V24" s="235">
        <v>0.86223450046469285</v>
      </c>
      <c r="W24" s="300">
        <v>4.2335652387719289E-2</v>
      </c>
      <c r="X24" s="236"/>
      <c r="Y24" s="211">
        <v>45778</v>
      </c>
      <c r="Z24" s="245">
        <v>0.96508349091091972</v>
      </c>
      <c r="AA24" s="238"/>
      <c r="AB24" s="244">
        <v>52783</v>
      </c>
      <c r="AC24" s="245">
        <v>0.41761390690110917</v>
      </c>
      <c r="AD24" s="238"/>
      <c r="AE24" s="294">
        <v>33353</v>
      </c>
    </row>
    <row r="25" spans="1:31">
      <c r="A25" s="233"/>
      <c r="B25" s="233">
        <v>46661</v>
      </c>
      <c r="C25" s="233">
        <v>46756</v>
      </c>
      <c r="D25" s="233">
        <v>46758</v>
      </c>
      <c r="E25" s="295">
        <v>95</v>
      </c>
      <c r="F25" s="241">
        <v>0.26027397260273971</v>
      </c>
      <c r="G25" s="296">
        <v>4.383565238771929E-2</v>
      </c>
      <c r="H25" s="240">
        <v>1140927.9388584474</v>
      </c>
      <c r="I25" s="240">
        <v>0</v>
      </c>
      <c r="J25" s="261">
        <v>1140927.9388584474</v>
      </c>
      <c r="K25" s="241">
        <v>3.5221674876847291</v>
      </c>
      <c r="L25" s="234">
        <v>4.3639201424421736E-2</v>
      </c>
      <c r="M25" s="237">
        <v>0.85752531677189703</v>
      </c>
      <c r="N25" s="240">
        <v>978374.59218349762</v>
      </c>
      <c r="O25" s="236"/>
      <c r="P25" s="297">
        <v>15</v>
      </c>
      <c r="Q25" s="298">
        <v>46756</v>
      </c>
      <c r="R25" s="298">
        <v>46846</v>
      </c>
      <c r="S25" s="297">
        <v>90</v>
      </c>
      <c r="T25" s="299">
        <v>0.24657534246575341</v>
      </c>
      <c r="U25" s="235">
        <v>0.86223450046469285</v>
      </c>
      <c r="V25" s="235">
        <v>0.8533292311508659</v>
      </c>
      <c r="W25" s="300">
        <v>4.2323423505252582E-2</v>
      </c>
      <c r="X25" s="236"/>
      <c r="Y25" s="211">
        <v>45810</v>
      </c>
      <c r="Z25" s="237">
        <v>0.96158378901897823</v>
      </c>
      <c r="AA25" s="238"/>
      <c r="AB25" s="211"/>
      <c r="AC25" s="237"/>
      <c r="AD25" s="238"/>
      <c r="AE25" s="294">
        <v>33399</v>
      </c>
    </row>
    <row r="26" spans="1:31">
      <c r="A26" s="233"/>
      <c r="B26" s="233">
        <v>46756</v>
      </c>
      <c r="C26" s="233">
        <v>46846</v>
      </c>
      <c r="D26" s="233">
        <v>46848</v>
      </c>
      <c r="E26" s="295">
        <v>90</v>
      </c>
      <c r="F26" s="241">
        <v>0.24657534246575341</v>
      </c>
      <c r="G26" s="296">
        <v>4.3823423505252583E-2</v>
      </c>
      <c r="H26" s="240">
        <v>1080577.5658829403</v>
      </c>
      <c r="I26" s="240">
        <v>0</v>
      </c>
      <c r="J26" s="261">
        <v>1080577.5658829403</v>
      </c>
      <c r="K26" s="241">
        <v>3.7684729064039413</v>
      </c>
      <c r="L26" s="234">
        <v>4.363929045621686E-2</v>
      </c>
      <c r="M26" s="237">
        <v>0.84835721843237211</v>
      </c>
      <c r="N26" s="240">
        <v>916715.77809287456</v>
      </c>
      <c r="O26" s="236"/>
      <c r="P26" s="297">
        <v>16</v>
      </c>
      <c r="Q26" s="298">
        <v>46846</v>
      </c>
      <c r="R26" s="298">
        <v>46937</v>
      </c>
      <c r="S26" s="297">
        <v>91</v>
      </c>
      <c r="T26" s="299">
        <v>0.24931506849315069</v>
      </c>
      <c r="U26" s="235">
        <v>0.8533292311508659</v>
      </c>
      <c r="V26" s="235">
        <v>0.84441852417621899</v>
      </c>
      <c r="W26" s="300">
        <v>4.2325868905255672E-2</v>
      </c>
      <c r="X26" s="236"/>
      <c r="Y26" s="211">
        <v>45839</v>
      </c>
      <c r="Z26" s="237">
        <v>0.95843403663214188</v>
      </c>
      <c r="AA26" s="238"/>
      <c r="AB26" s="211"/>
      <c r="AC26" s="237"/>
      <c r="AD26" s="238"/>
      <c r="AE26" s="294">
        <v>33455</v>
      </c>
    </row>
    <row r="27" spans="1:31">
      <c r="A27" s="233"/>
      <c r="B27" s="233">
        <v>46846</v>
      </c>
      <c r="C27" s="233">
        <v>46937</v>
      </c>
      <c r="D27" s="233">
        <v>46939</v>
      </c>
      <c r="E27" s="295">
        <v>91</v>
      </c>
      <c r="F27" s="241">
        <v>0.24931506849315069</v>
      </c>
      <c r="G27" s="296">
        <v>4.3825868905255673E-2</v>
      </c>
      <c r="H27" s="240">
        <v>1092644.9507885661</v>
      </c>
      <c r="I27" s="240">
        <v>0</v>
      </c>
      <c r="J27" s="261">
        <v>1092644.9507885661</v>
      </c>
      <c r="K27" s="241">
        <v>4.0175150519978109</v>
      </c>
      <c r="L27" s="234">
        <v>4.3639369377930094E-2</v>
      </c>
      <c r="M27" s="237">
        <v>0.83918690737747992</v>
      </c>
      <c r="N27" s="240">
        <v>916933.33711387555</v>
      </c>
      <c r="O27" s="236"/>
      <c r="P27" s="297">
        <v>17</v>
      </c>
      <c r="Q27" s="298">
        <v>46937</v>
      </c>
      <c r="R27" s="298">
        <v>47029</v>
      </c>
      <c r="S27" s="297">
        <v>92</v>
      </c>
      <c r="T27" s="299">
        <v>0.25205479452054796</v>
      </c>
      <c r="U27" s="235">
        <v>0.84441852417621899</v>
      </c>
      <c r="V27" s="235">
        <v>0.83550566495014644</v>
      </c>
      <c r="W27" s="300">
        <v>4.23226336741915E-2</v>
      </c>
      <c r="X27" s="236"/>
      <c r="Y27" s="211">
        <v>46206</v>
      </c>
      <c r="Z27" s="237">
        <v>0.91870849440768299</v>
      </c>
      <c r="AA27" s="238"/>
      <c r="AB27" s="211"/>
      <c r="AC27" s="237"/>
      <c r="AD27" s="238"/>
      <c r="AE27" s="294">
        <v>33518</v>
      </c>
    </row>
    <row r="28" spans="1:31">
      <c r="A28" s="233"/>
      <c r="B28" s="233">
        <v>46937</v>
      </c>
      <c r="C28" s="233">
        <v>47029</v>
      </c>
      <c r="D28" s="233">
        <v>47031</v>
      </c>
      <c r="E28" s="295">
        <v>92</v>
      </c>
      <c r="F28" s="241">
        <v>0.25205479452054796</v>
      </c>
      <c r="G28" s="296">
        <v>4.3822633674191501E-2</v>
      </c>
      <c r="H28" s="240">
        <v>1104570.4926097584</v>
      </c>
      <c r="I28" s="240">
        <v>0</v>
      </c>
      <c r="J28" s="261">
        <v>1104570.4926097584</v>
      </c>
      <c r="K28" s="241">
        <v>4.2692939244663384</v>
      </c>
      <c r="L28" s="234">
        <v>4.3639408257262105E-2</v>
      </c>
      <c r="M28" s="237">
        <v>0.83001669781867016</v>
      </c>
      <c r="N28" s="240">
        <v>916811.95278389344</v>
      </c>
      <c r="O28" s="236"/>
      <c r="P28" s="297">
        <v>18</v>
      </c>
      <c r="Q28" s="298">
        <v>47029</v>
      </c>
      <c r="R28" s="298">
        <v>47120</v>
      </c>
      <c r="S28" s="297">
        <v>91</v>
      </c>
      <c r="T28" s="299">
        <v>0.24931506849315069</v>
      </c>
      <c r="U28" s="235">
        <v>0.83550566495014644</v>
      </c>
      <c r="V28" s="235">
        <v>0.82678226110122821</v>
      </c>
      <c r="W28" s="300">
        <v>4.2320062515403441E-2</v>
      </c>
      <c r="X28" s="236"/>
      <c r="Y28" s="211">
        <v>46573</v>
      </c>
      <c r="Z28" s="237">
        <v>0.88062951172171089</v>
      </c>
      <c r="AA28" s="238"/>
      <c r="AB28" s="211"/>
      <c r="AC28" s="237"/>
      <c r="AD28" s="238"/>
      <c r="AE28" s="294">
        <v>33597</v>
      </c>
    </row>
    <row r="29" spans="1:31">
      <c r="A29" s="233"/>
      <c r="B29" s="233">
        <v>47029</v>
      </c>
      <c r="C29" s="233">
        <v>47120</v>
      </c>
      <c r="D29" s="233">
        <v>47122</v>
      </c>
      <c r="E29" s="295">
        <v>91</v>
      </c>
      <c r="F29" s="241">
        <v>0.24931506849315069</v>
      </c>
      <c r="G29" s="296">
        <v>4.3820062515403442E-2</v>
      </c>
      <c r="H29" s="240">
        <v>1092500.1887401955</v>
      </c>
      <c r="I29" s="240">
        <v>0</v>
      </c>
      <c r="J29" s="261">
        <v>1092500.1887401955</v>
      </c>
      <c r="K29" s="241">
        <v>4.5191605839416065</v>
      </c>
      <c r="L29" s="234">
        <v>4.3631480502378271E-2</v>
      </c>
      <c r="M29" s="237">
        <v>0.82104474787401382</v>
      </c>
      <c r="N29" s="240">
        <v>896991.54201650631</v>
      </c>
      <c r="O29" s="236"/>
      <c r="P29" s="297">
        <v>19</v>
      </c>
      <c r="Q29" s="298">
        <v>47120</v>
      </c>
      <c r="R29" s="298">
        <v>47211</v>
      </c>
      <c r="S29" s="297">
        <v>91</v>
      </c>
      <c r="T29" s="299">
        <v>0.24931506849315069</v>
      </c>
      <c r="U29" s="235">
        <v>0.82678226110122821</v>
      </c>
      <c r="V29" s="235">
        <v>0.81814993715506057</v>
      </c>
      <c r="W29" s="300">
        <v>4.2320062515403441E-2</v>
      </c>
      <c r="X29" s="236"/>
      <c r="Y29" s="211">
        <v>46939</v>
      </c>
      <c r="Z29" s="237">
        <v>0.84422373301808762</v>
      </c>
      <c r="AA29" s="238"/>
      <c r="AB29" s="211"/>
      <c r="AC29" s="237"/>
      <c r="AD29" s="238"/>
      <c r="AE29" s="294">
        <v>33598</v>
      </c>
    </row>
    <row r="30" spans="1:31">
      <c r="A30" s="233"/>
      <c r="B30" s="233">
        <v>47120</v>
      </c>
      <c r="C30" s="233">
        <v>47211</v>
      </c>
      <c r="D30" s="233">
        <v>47213</v>
      </c>
      <c r="E30" s="295">
        <v>91</v>
      </c>
      <c r="F30" s="241">
        <v>0.24931506849315069</v>
      </c>
      <c r="G30" s="296">
        <v>4.3820062515403442E-2</v>
      </c>
      <c r="H30" s="240">
        <v>1092500.1887401955</v>
      </c>
      <c r="I30" s="240">
        <v>0</v>
      </c>
      <c r="J30" s="261">
        <v>1092500.1887401955</v>
      </c>
      <c r="K30" s="241">
        <v>4.7682481751824817</v>
      </c>
      <c r="L30" s="234">
        <v>4.3631511118385091E-2</v>
      </c>
      <c r="M30" s="237">
        <v>0.81216977897325815</v>
      </c>
      <c r="N30" s="240">
        <v>887295.6368173674</v>
      </c>
      <c r="O30" s="236"/>
      <c r="P30" s="297">
        <v>20</v>
      </c>
      <c r="Q30" s="298">
        <v>47211</v>
      </c>
      <c r="R30" s="298">
        <v>47301</v>
      </c>
      <c r="S30" s="297">
        <v>90</v>
      </c>
      <c r="T30" s="299">
        <v>0.24657534246575341</v>
      </c>
      <c r="U30" s="235">
        <v>0.81814993715506057</v>
      </c>
      <c r="V30" s="235">
        <v>0.80970112606039935</v>
      </c>
      <c r="W30" s="300">
        <v>4.2317617785104782E-2</v>
      </c>
      <c r="X30" s="236"/>
      <c r="Y30" s="211">
        <v>47303</v>
      </c>
      <c r="Z30" s="237">
        <v>0.80951436902660456</v>
      </c>
      <c r="AA30" s="238"/>
      <c r="AB30" s="211"/>
      <c r="AC30" s="237"/>
      <c r="AD30" s="238"/>
      <c r="AE30" s="294">
        <v>33604</v>
      </c>
    </row>
    <row r="31" spans="1:31">
      <c r="A31" s="233"/>
      <c r="B31" s="233">
        <v>47211</v>
      </c>
      <c r="C31" s="233">
        <v>47301</v>
      </c>
      <c r="D31" s="233">
        <v>47303</v>
      </c>
      <c r="E31" s="295">
        <v>90</v>
      </c>
      <c r="F31" s="241">
        <v>0.24657534246575341</v>
      </c>
      <c r="G31" s="296">
        <v>4.3817617785104783E-2</v>
      </c>
      <c r="H31" s="240">
        <v>1080434.4111395699</v>
      </c>
      <c r="I31" s="240">
        <v>0</v>
      </c>
      <c r="J31" s="261">
        <v>1080434.4111395699</v>
      </c>
      <c r="K31" s="241">
        <v>5.014598540145986</v>
      </c>
      <c r="L31" s="234">
        <v>4.3631538406357473E-2</v>
      </c>
      <c r="M31" s="237">
        <v>0.80348669817381402</v>
      </c>
      <c r="N31" s="240">
        <v>868114.67759990215</v>
      </c>
      <c r="O31" s="236"/>
      <c r="P31" s="297">
        <v>21</v>
      </c>
      <c r="Q31" s="298">
        <v>47301</v>
      </c>
      <c r="R31" s="298">
        <v>47393</v>
      </c>
      <c r="S31" s="297">
        <v>92</v>
      </c>
      <c r="T31" s="299">
        <v>0.25205479452054796</v>
      </c>
      <c r="U31" s="235">
        <v>0.80970112606039935</v>
      </c>
      <c r="V31" s="235">
        <v>0.80115482998534715</v>
      </c>
      <c r="W31" s="300">
        <v>4.2322032475500447E-2</v>
      </c>
      <c r="X31" s="236"/>
      <c r="Y31" s="211">
        <v>47667</v>
      </c>
      <c r="Z31" s="237">
        <v>0.77623241561857836</v>
      </c>
      <c r="AA31" s="238"/>
      <c r="AB31" s="211"/>
      <c r="AC31" s="237"/>
      <c r="AD31" s="238"/>
      <c r="AE31" s="294">
        <v>33630</v>
      </c>
    </row>
    <row r="32" spans="1:31">
      <c r="A32" s="233"/>
      <c r="B32" s="233">
        <v>47301</v>
      </c>
      <c r="C32" s="233">
        <v>47393</v>
      </c>
      <c r="D32" s="233">
        <v>47395</v>
      </c>
      <c r="E32" s="295">
        <v>92</v>
      </c>
      <c r="F32" s="241">
        <v>0.25205479452054796</v>
      </c>
      <c r="G32" s="296">
        <v>4.3822032475500448E-2</v>
      </c>
      <c r="H32" s="240">
        <v>1104555.3391085046</v>
      </c>
      <c r="I32" s="240">
        <v>0</v>
      </c>
      <c r="J32" s="261">
        <v>1104555.3391085046</v>
      </c>
      <c r="K32" s="241">
        <v>5.2664233576642339</v>
      </c>
      <c r="L32" s="234">
        <v>4.3630848114496891E-2</v>
      </c>
      <c r="M32" s="307">
        <v>0.79470959718186385</v>
      </c>
      <c r="N32" s="240">
        <v>877800.72860799672</v>
      </c>
      <c r="O32" s="236"/>
      <c r="P32" s="297">
        <v>22</v>
      </c>
      <c r="Q32" s="298">
        <v>47393</v>
      </c>
      <c r="R32" s="298">
        <v>47485</v>
      </c>
      <c r="S32" s="297">
        <v>92</v>
      </c>
      <c r="T32" s="299">
        <v>0.25205479452054796</v>
      </c>
      <c r="U32" s="235">
        <v>0.80115482998534715</v>
      </c>
      <c r="V32" s="235">
        <v>0.79269874110375027</v>
      </c>
      <c r="W32" s="300">
        <v>4.232202192087061E-2</v>
      </c>
      <c r="X32" s="236"/>
      <c r="Y32" s="211">
        <v>48032</v>
      </c>
      <c r="Z32" s="237">
        <v>0.7442304904341055</v>
      </c>
      <c r="AA32" s="238"/>
      <c r="AB32" s="211"/>
      <c r="AC32" s="237"/>
      <c r="AD32" s="238"/>
      <c r="AE32" s="294">
        <v>33711</v>
      </c>
    </row>
    <row r="33" spans="1:31">
      <c r="A33" s="233"/>
      <c r="B33" s="301">
        <v>47393</v>
      </c>
      <c r="C33" s="233">
        <v>47485</v>
      </c>
      <c r="D33" s="233">
        <v>47487</v>
      </c>
      <c r="E33" s="295">
        <v>92</v>
      </c>
      <c r="F33" s="241">
        <v>0.25205479452054796</v>
      </c>
      <c r="G33" s="296">
        <v>4.3822021920870612E-2</v>
      </c>
      <c r="H33" s="240">
        <v>1104555.073073999</v>
      </c>
      <c r="I33" s="240">
        <v>0</v>
      </c>
      <c r="J33" s="261">
        <v>1104555.073073999</v>
      </c>
      <c r="K33" s="241">
        <v>5.5189675400860381</v>
      </c>
      <c r="L33" s="234">
        <v>4.3624533883230038E-2</v>
      </c>
      <c r="M33" s="237">
        <v>0.78602837519077084</v>
      </c>
      <c r="N33" s="240">
        <v>868211.62939707865</v>
      </c>
      <c r="O33" s="236"/>
      <c r="P33" s="297">
        <v>23</v>
      </c>
      <c r="Q33" s="298">
        <v>47485</v>
      </c>
      <c r="R33" s="298">
        <v>47574</v>
      </c>
      <c r="S33" s="297">
        <v>89</v>
      </c>
      <c r="T33" s="299">
        <v>0.24383561643835616</v>
      </c>
      <c r="U33" s="235">
        <v>0.79269874110375027</v>
      </c>
      <c r="V33" s="235">
        <v>0.7846033387995246</v>
      </c>
      <c r="W33" s="300">
        <v>4.2314687897923191E-2</v>
      </c>
      <c r="X33" s="236"/>
      <c r="Y33" s="211">
        <v>48400</v>
      </c>
      <c r="Z33" s="237">
        <v>0.71330278950554171</v>
      </c>
      <c r="AA33" s="238"/>
      <c r="AB33" s="211"/>
      <c r="AC33" s="237"/>
      <c r="AD33" s="238"/>
      <c r="AE33" s="294">
        <v>33714</v>
      </c>
    </row>
    <row r="34" spans="1:31">
      <c r="A34" s="233"/>
      <c r="B34" s="233">
        <v>47485</v>
      </c>
      <c r="C34" s="233">
        <v>47574</v>
      </c>
      <c r="D34" s="233">
        <v>47576</v>
      </c>
      <c r="E34" s="295">
        <v>89</v>
      </c>
      <c r="F34" s="241">
        <v>0.24383561643835616</v>
      </c>
      <c r="G34" s="296">
        <v>4.3814687897923192E-2</v>
      </c>
      <c r="H34" s="240">
        <v>1068358.1432644285</v>
      </c>
      <c r="I34" s="240">
        <v>0</v>
      </c>
      <c r="J34" s="261">
        <v>1068358.1432644285</v>
      </c>
      <c r="K34" s="241">
        <v>5.7626124364489639</v>
      </c>
      <c r="L34" s="234">
        <v>4.3623979300642754E-2</v>
      </c>
      <c r="M34" s="237">
        <v>0.77772049082642991</v>
      </c>
      <c r="N34" s="240">
        <v>830884.01955802459</v>
      </c>
      <c r="O34" s="236"/>
      <c r="P34" s="297">
        <v>24</v>
      </c>
      <c r="Q34" s="298">
        <v>47574</v>
      </c>
      <c r="R34" s="298">
        <v>47665</v>
      </c>
      <c r="S34" s="297">
        <v>91</v>
      </c>
      <c r="T34" s="299">
        <v>0.24931506849315069</v>
      </c>
      <c r="U34" s="235">
        <v>0.7846033387995246</v>
      </c>
      <c r="V34" s="235">
        <v>0.77641149237694274</v>
      </c>
      <c r="W34" s="300">
        <v>4.2319577058415561E-2</v>
      </c>
      <c r="X34" s="236"/>
      <c r="Y34" s="211">
        <v>48765</v>
      </c>
      <c r="Z34" s="237">
        <v>0.6838952737078996</v>
      </c>
      <c r="AA34" s="238"/>
      <c r="AB34" s="211"/>
      <c r="AC34" s="237"/>
      <c r="AD34" s="238"/>
      <c r="AE34" s="294">
        <v>33721</v>
      </c>
    </row>
    <row r="35" spans="1:31">
      <c r="A35" s="233"/>
      <c r="B35" s="233">
        <v>47574</v>
      </c>
      <c r="C35" s="233">
        <v>47665</v>
      </c>
      <c r="D35" s="233">
        <v>47667</v>
      </c>
      <c r="E35" s="295">
        <v>91</v>
      </c>
      <c r="F35" s="241">
        <v>0.24931506849315069</v>
      </c>
      <c r="G35" s="296">
        <v>4.3819577058415562E-2</v>
      </c>
      <c r="H35" s="240">
        <v>1092488.085565977</v>
      </c>
      <c r="I35" s="240">
        <v>0</v>
      </c>
      <c r="J35" s="261">
        <v>1092488.085565977</v>
      </c>
      <c r="K35" s="241">
        <v>6.0117324990222922</v>
      </c>
      <c r="L35" s="234">
        <v>4.3623458734633427E-2</v>
      </c>
      <c r="M35" s="237">
        <v>0.76931669700876959</v>
      </c>
      <c r="N35" s="240">
        <v>840469.32550905144</v>
      </c>
      <c r="O35" s="236"/>
      <c r="P35" s="297">
        <v>25</v>
      </c>
      <c r="Q35" s="298">
        <v>47665</v>
      </c>
      <c r="R35" s="298">
        <v>47757</v>
      </c>
      <c r="S35" s="297">
        <v>92</v>
      </c>
      <c r="T35" s="299">
        <v>0.25205479452054796</v>
      </c>
      <c r="U35" s="235">
        <v>0.77641149237694274</v>
      </c>
      <c r="V35" s="235">
        <v>0.76821593856333381</v>
      </c>
      <c r="W35" s="300">
        <v>4.2325298528997364E-2</v>
      </c>
      <c r="X35" s="236"/>
      <c r="Y35" s="211">
        <v>49130</v>
      </c>
      <c r="Z35" s="237">
        <v>0.65569559783112474</v>
      </c>
      <c r="AA35" s="238"/>
      <c r="AB35" s="211"/>
      <c r="AC35" s="237"/>
      <c r="AD35" s="238"/>
      <c r="AE35" s="294">
        <v>33763</v>
      </c>
    </row>
    <row r="36" spans="1:31">
      <c r="A36" s="233"/>
      <c r="B36" s="301">
        <v>47665</v>
      </c>
      <c r="C36" s="233">
        <v>47757</v>
      </c>
      <c r="D36" s="233">
        <v>47759</v>
      </c>
      <c r="E36" s="295">
        <v>92</v>
      </c>
      <c r="F36" s="241">
        <v>0.25205479452054796</v>
      </c>
      <c r="G36" s="296">
        <v>4.3825298528997365E-2</v>
      </c>
      <c r="H36" s="240">
        <v>1104637.6615528103</v>
      </c>
      <c r="I36" s="240">
        <v>0</v>
      </c>
      <c r="J36" s="261">
        <v>1104637.6615528103</v>
      </c>
      <c r="K36" s="241">
        <v>6.2635901447008218</v>
      </c>
      <c r="L36" s="234">
        <v>4.3623419412142352E-2</v>
      </c>
      <c r="M36" s="237">
        <v>0.7609107408577378</v>
      </c>
      <c r="N36" s="240">
        <v>840530.66143150791</v>
      </c>
      <c r="O36" s="236"/>
      <c r="P36" s="297">
        <v>26</v>
      </c>
      <c r="Q36" s="298">
        <v>47757</v>
      </c>
      <c r="R36" s="298">
        <v>47850</v>
      </c>
      <c r="S36" s="297">
        <v>93</v>
      </c>
      <c r="T36" s="299">
        <v>0.25479452054794521</v>
      </c>
      <c r="U36" s="235">
        <v>0.76821593856333381</v>
      </c>
      <c r="V36" s="235">
        <v>0.76001921058472599</v>
      </c>
      <c r="W36" s="300">
        <v>4.2327816779507546E-2</v>
      </c>
      <c r="X36" s="236"/>
      <c r="Y36" s="211">
        <v>49859</v>
      </c>
      <c r="Z36" s="237">
        <v>0.60282068786489229</v>
      </c>
      <c r="AA36" s="238"/>
      <c r="AB36" s="211"/>
      <c r="AC36" s="237"/>
      <c r="AD36" s="238"/>
      <c r="AE36" s="294">
        <v>33819</v>
      </c>
    </row>
    <row r="37" spans="1:31">
      <c r="A37" s="233"/>
      <c r="B37" s="233">
        <v>47757</v>
      </c>
      <c r="C37" s="233">
        <v>47850</v>
      </c>
      <c r="D37" s="233">
        <v>47854</v>
      </c>
      <c r="E37" s="295">
        <v>93</v>
      </c>
      <c r="F37" s="241">
        <v>0.25479452054794521</v>
      </c>
      <c r="G37" s="296">
        <v>4.3827816779507547E-2</v>
      </c>
      <c r="H37" s="240">
        <v>1116708.7562997814</v>
      </c>
      <c r="I37" s="240">
        <v>0</v>
      </c>
      <c r="J37" s="261">
        <v>1116708.7562997814</v>
      </c>
      <c r="K37" s="241">
        <v>6.5242984257357977</v>
      </c>
      <c r="L37" s="234">
        <v>4.3619116899697732E-2</v>
      </c>
      <c r="M37" s="237">
        <v>0.75232705522214371</v>
      </c>
      <c r="N37" s="240">
        <v>840130.21016779705</v>
      </c>
      <c r="O37" s="236"/>
      <c r="P37" s="297">
        <v>27</v>
      </c>
      <c r="Q37" s="298">
        <v>47850</v>
      </c>
      <c r="R37" s="298">
        <v>47939</v>
      </c>
      <c r="S37" s="297">
        <v>89</v>
      </c>
      <c r="T37" s="299">
        <v>0.24383561643835616</v>
      </c>
      <c r="U37" s="235">
        <v>0.76001921058472599</v>
      </c>
      <c r="V37" s="235">
        <v>0.75225693871135491</v>
      </c>
      <c r="W37" s="300">
        <v>4.2318036160815496E-2</v>
      </c>
      <c r="X37" s="236"/>
      <c r="Y37" s="211">
        <v>50956</v>
      </c>
      <c r="Z37" s="237">
        <v>0.53117181478689957</v>
      </c>
      <c r="AA37" s="238"/>
      <c r="AB37" s="211"/>
      <c r="AC37" s="237"/>
      <c r="AD37" s="238"/>
      <c r="AE37" s="294">
        <v>33882</v>
      </c>
    </row>
    <row r="38" spans="1:31">
      <c r="A38" s="233"/>
      <c r="B38" s="301">
        <v>47850</v>
      </c>
      <c r="C38" s="233">
        <v>47939</v>
      </c>
      <c r="D38" s="233">
        <v>47941</v>
      </c>
      <c r="E38" s="295">
        <v>89</v>
      </c>
      <c r="F38" s="241">
        <v>0.24383561643835616</v>
      </c>
      <c r="G38" s="296">
        <v>4.3818036160815498E-2</v>
      </c>
      <c r="H38" s="240">
        <v>1068439.7858390629</v>
      </c>
      <c r="I38" s="240">
        <v>0</v>
      </c>
      <c r="J38" s="261">
        <v>1068439.7858390629</v>
      </c>
      <c r="K38" s="241">
        <v>6.7624914442162902</v>
      </c>
      <c r="L38" s="234">
        <v>4.3619085160397711E-2</v>
      </c>
      <c r="M38" s="237">
        <v>0.74455117619946698</v>
      </c>
      <c r="N38" s="240">
        <v>795508.09924478084</v>
      </c>
      <c r="O38" s="236"/>
      <c r="P38" s="297">
        <v>28</v>
      </c>
      <c r="Q38" s="298">
        <v>47939</v>
      </c>
      <c r="R38" s="298">
        <v>48030</v>
      </c>
      <c r="S38" s="297">
        <v>91</v>
      </c>
      <c r="T38" s="299">
        <v>0.24931506849315069</v>
      </c>
      <c r="U38" s="235">
        <v>0.75225693871135491</v>
      </c>
      <c r="V38" s="235">
        <v>0.74440219786860373</v>
      </c>
      <c r="W38" s="300">
        <v>4.232292609378132E-2</v>
      </c>
      <c r="X38" s="236"/>
      <c r="Y38" s="211">
        <v>52783</v>
      </c>
      <c r="Z38" s="237">
        <v>0.43024461659188812</v>
      </c>
      <c r="AA38" s="238"/>
      <c r="AB38" s="211"/>
      <c r="AC38" s="237"/>
      <c r="AD38" s="238"/>
      <c r="AE38" s="294">
        <v>33963</v>
      </c>
    </row>
    <row r="39" spans="1:31">
      <c r="A39" s="233"/>
      <c r="B39" s="301">
        <v>47939</v>
      </c>
      <c r="C39" s="233">
        <v>48030</v>
      </c>
      <c r="D39" s="233">
        <v>48032</v>
      </c>
      <c r="E39" s="295">
        <v>91</v>
      </c>
      <c r="F39" s="241">
        <v>0.24931506849315069</v>
      </c>
      <c r="G39" s="296">
        <v>4.3822926093781321E-2</v>
      </c>
      <c r="H39" s="240">
        <v>1092571.5820641371</v>
      </c>
      <c r="I39" s="240">
        <v>0</v>
      </c>
      <c r="J39" s="261">
        <v>1092571.5820641371</v>
      </c>
      <c r="K39" s="241">
        <v>7.0116358658453111</v>
      </c>
      <c r="L39" s="234">
        <v>4.3619054269256823E-2</v>
      </c>
      <c r="M39" s="237">
        <v>0.73650376921843652</v>
      </c>
      <c r="N39" s="240">
        <v>804683.08833118726</v>
      </c>
      <c r="O39" s="236"/>
      <c r="P39" s="297">
        <v>29</v>
      </c>
      <c r="Q39" s="298">
        <v>48030</v>
      </c>
      <c r="R39" s="298">
        <v>48122</v>
      </c>
      <c r="S39" s="297">
        <v>92</v>
      </c>
      <c r="T39" s="299">
        <v>0.25205479452054796</v>
      </c>
      <c r="U39" s="235">
        <v>0.74440219786860373</v>
      </c>
      <c r="V39" s="235">
        <v>0.73654495117889729</v>
      </c>
      <c r="W39" s="300">
        <v>4.2322973150468006E-2</v>
      </c>
      <c r="X39" s="236"/>
      <c r="Y39" s="211"/>
      <c r="Z39" s="237"/>
      <c r="AA39" s="238"/>
      <c r="AB39" s="211"/>
      <c r="AC39" s="237"/>
      <c r="AD39" s="238"/>
      <c r="AE39" s="294">
        <v>33970</v>
      </c>
    </row>
    <row r="40" spans="1:31">
      <c r="A40" s="233"/>
      <c r="B40" s="301">
        <v>48030</v>
      </c>
      <c r="C40" s="233">
        <v>48122</v>
      </c>
      <c r="D40" s="233">
        <v>48124</v>
      </c>
      <c r="E40" s="295">
        <v>92</v>
      </c>
      <c r="F40" s="241">
        <v>0.25205479452054796</v>
      </c>
      <c r="G40" s="296">
        <v>4.3822973150468007E-2</v>
      </c>
      <c r="H40" s="240">
        <v>1104579.0492720704</v>
      </c>
      <c r="I40" s="240">
        <v>0</v>
      </c>
      <c r="J40" s="261">
        <v>1104579.0492720704</v>
      </c>
      <c r="K40" s="241">
        <v>7.2635181382614649</v>
      </c>
      <c r="L40" s="234">
        <v>4.3619029533290402E-2</v>
      </c>
      <c r="M40" s="237">
        <v>0.72845632129341364</v>
      </c>
      <c r="N40" s="240">
        <v>804637.5908105087</v>
      </c>
      <c r="O40" s="236"/>
      <c r="P40" s="297">
        <v>30</v>
      </c>
      <c r="Q40" s="298">
        <v>48122</v>
      </c>
      <c r="R40" s="298">
        <v>48215</v>
      </c>
      <c r="S40" s="297">
        <v>93</v>
      </c>
      <c r="T40" s="299">
        <v>0.25479452054794521</v>
      </c>
      <c r="U40" s="235">
        <v>0.73654495117889729</v>
      </c>
      <c r="V40" s="235">
        <v>0.72868659737668906</v>
      </c>
      <c r="W40" s="300">
        <v>4.2325365011516132E-2</v>
      </c>
      <c r="X40" s="236"/>
      <c r="Y40" s="211"/>
      <c r="Z40" s="237"/>
      <c r="AA40" s="238"/>
      <c r="AB40" s="211"/>
      <c r="AC40" s="237"/>
      <c r="AD40" s="238"/>
      <c r="AE40" s="294">
        <v>33995</v>
      </c>
    </row>
    <row r="41" spans="1:31">
      <c r="A41" s="233"/>
      <c r="B41" s="301">
        <v>48122</v>
      </c>
      <c r="C41" s="233">
        <v>48215</v>
      </c>
      <c r="D41" s="233">
        <v>48219</v>
      </c>
      <c r="E41" s="295">
        <v>93</v>
      </c>
      <c r="F41" s="241">
        <v>0.25479452054794521</v>
      </c>
      <c r="G41" s="296">
        <v>4.3825365011516133E-2</v>
      </c>
      <c r="H41" s="240">
        <v>1116646.2865947946</v>
      </c>
      <c r="I41" s="240">
        <v>0</v>
      </c>
      <c r="J41" s="261">
        <v>1116646.2865947946</v>
      </c>
      <c r="K41" s="241">
        <v>7.5218978102189782</v>
      </c>
      <c r="L41" s="234">
        <v>4.3628957589639597E-2</v>
      </c>
      <c r="M41" s="237">
        <v>0.72023872418691393</v>
      </c>
      <c r="N41" s="240">
        <v>804251.89682508993</v>
      </c>
      <c r="O41" s="236"/>
      <c r="P41" s="297">
        <v>31</v>
      </c>
      <c r="Q41" s="298">
        <v>48215</v>
      </c>
      <c r="R41" s="298">
        <v>48305</v>
      </c>
      <c r="S41" s="297">
        <v>90</v>
      </c>
      <c r="T41" s="299">
        <v>0.24657534246575341</v>
      </c>
      <c r="U41" s="235">
        <v>0.72868659737668906</v>
      </c>
      <c r="V41" s="235">
        <v>0.72116157721040164</v>
      </c>
      <c r="W41" s="300">
        <v>4.2318030113452414E-2</v>
      </c>
      <c r="X41" s="236"/>
      <c r="Y41" s="211"/>
      <c r="Z41" s="237"/>
      <c r="AA41" s="238"/>
      <c r="AB41" s="211"/>
      <c r="AC41" s="237"/>
      <c r="AD41" s="238"/>
      <c r="AE41" s="294">
        <v>34068</v>
      </c>
    </row>
    <row r="42" spans="1:31">
      <c r="A42" s="233"/>
      <c r="B42" s="301">
        <v>48215</v>
      </c>
      <c r="C42" s="233">
        <v>48305</v>
      </c>
      <c r="D42" s="233">
        <v>48309</v>
      </c>
      <c r="E42" s="295">
        <v>90</v>
      </c>
      <c r="F42" s="241">
        <v>0.24657534246575341</v>
      </c>
      <c r="G42" s="296">
        <v>4.3818030113452415E-2</v>
      </c>
      <c r="H42" s="240">
        <v>1080444.5781399223</v>
      </c>
      <c r="I42" s="240">
        <v>0</v>
      </c>
      <c r="J42" s="261">
        <v>1080444.5781399223</v>
      </c>
      <c r="K42" s="241">
        <v>7.7682481751824826</v>
      </c>
      <c r="L42" s="234">
        <v>4.3628936503341167E-2</v>
      </c>
      <c r="M42" s="237">
        <v>0.71253916040537268</v>
      </c>
      <c r="N42" s="240">
        <v>769859.07257235737</v>
      </c>
      <c r="O42" s="236"/>
      <c r="P42" s="297">
        <v>32</v>
      </c>
      <c r="Q42" s="298">
        <v>48305</v>
      </c>
      <c r="R42" s="298">
        <v>48396</v>
      </c>
      <c r="S42" s="297">
        <v>91</v>
      </c>
      <c r="T42" s="299">
        <v>0.24931506849315069</v>
      </c>
      <c r="U42" s="235">
        <v>0.72116157721040164</v>
      </c>
      <c r="V42" s="235">
        <v>0.71363195221452436</v>
      </c>
      <c r="W42" s="300">
        <v>4.2320474891310501E-2</v>
      </c>
      <c r="X42" s="236"/>
      <c r="Y42" s="211"/>
      <c r="Z42" s="237"/>
      <c r="AA42" s="238"/>
      <c r="AB42" s="211"/>
      <c r="AC42" s="237"/>
      <c r="AD42" s="238"/>
      <c r="AE42" s="294">
        <v>34071</v>
      </c>
    </row>
    <row r="43" spans="1:31">
      <c r="A43" s="233"/>
      <c r="B43" s="301">
        <v>48305</v>
      </c>
      <c r="C43" s="233">
        <v>48396</v>
      </c>
      <c r="D43" s="233">
        <v>48400</v>
      </c>
      <c r="E43" s="295">
        <v>91</v>
      </c>
      <c r="F43" s="241">
        <v>0.24931506849315069</v>
      </c>
      <c r="G43" s="296">
        <v>4.3820474891310503E-2</v>
      </c>
      <c r="H43" s="240">
        <v>1092510.4698929468</v>
      </c>
      <c r="I43" s="240">
        <v>0</v>
      </c>
      <c r="J43" s="261">
        <v>1092510.4698929468</v>
      </c>
      <c r="K43" s="241">
        <v>8.0173357664233578</v>
      </c>
      <c r="L43" s="234">
        <v>4.3628916500274249E-2</v>
      </c>
      <c r="M43" s="237">
        <v>0.70483773011835371</v>
      </c>
      <c r="N43" s="240">
        <v>770042.59972988057</v>
      </c>
      <c r="O43" s="236"/>
      <c r="P43" s="297">
        <v>33</v>
      </c>
      <c r="Q43" s="298">
        <v>48396</v>
      </c>
      <c r="R43" s="298">
        <v>48488</v>
      </c>
      <c r="S43" s="297">
        <v>92</v>
      </c>
      <c r="T43" s="299">
        <v>0.25205479452054796</v>
      </c>
      <c r="U43" s="235">
        <v>0.71363195221452436</v>
      </c>
      <c r="V43" s="235">
        <v>0.70609908384113529</v>
      </c>
      <c r="W43" s="300">
        <v>4.232527298973917E-2</v>
      </c>
      <c r="X43" s="236"/>
      <c r="Y43" s="211"/>
      <c r="Z43" s="237"/>
      <c r="AA43" s="238"/>
      <c r="AB43" s="211"/>
      <c r="AC43" s="237"/>
      <c r="AD43" s="238"/>
      <c r="AE43" s="294">
        <v>34085</v>
      </c>
    </row>
    <row r="44" spans="1:31">
      <c r="A44" s="233"/>
      <c r="B44" s="301">
        <v>48396</v>
      </c>
      <c r="C44" s="233">
        <v>48488</v>
      </c>
      <c r="D44" s="233">
        <v>48493</v>
      </c>
      <c r="E44" s="295">
        <v>92</v>
      </c>
      <c r="F44" s="241">
        <v>0.25205479452054796</v>
      </c>
      <c r="G44" s="296">
        <v>4.3825272989739171E-2</v>
      </c>
      <c r="H44" s="240">
        <v>1104637.0178235627</v>
      </c>
      <c r="I44" s="240">
        <v>0</v>
      </c>
      <c r="J44" s="261">
        <v>1104637.0178235627</v>
      </c>
      <c r="K44" s="241">
        <v>8.2718978102189791</v>
      </c>
      <c r="L44" s="234">
        <v>4.3628928472584115E-2</v>
      </c>
      <c r="M44" s="237">
        <v>0.69705285574195852</v>
      </c>
      <c r="N44" s="240">
        <v>769990.38783219515</v>
      </c>
      <c r="O44" s="236"/>
      <c r="P44" s="297">
        <v>34</v>
      </c>
      <c r="Q44" s="298">
        <v>48488</v>
      </c>
      <c r="R44" s="298">
        <v>48583</v>
      </c>
      <c r="S44" s="297">
        <v>95</v>
      </c>
      <c r="T44" s="299">
        <v>0.26027397260273971</v>
      </c>
      <c r="U44" s="235">
        <v>0.70609908384113529</v>
      </c>
      <c r="V44" s="235">
        <v>0.69840399571683209</v>
      </c>
      <c r="W44" s="300">
        <v>4.2332716828894341E-2</v>
      </c>
      <c r="X44" s="236"/>
      <c r="Y44" s="211"/>
      <c r="Z44" s="237"/>
      <c r="AA44" s="238"/>
      <c r="AB44" s="211"/>
      <c r="AC44" s="237"/>
      <c r="AD44" s="238"/>
      <c r="AE44" s="294">
        <v>34134</v>
      </c>
    </row>
    <row r="45" spans="1:31">
      <c r="A45" s="233"/>
      <c r="B45" s="301">
        <v>48488</v>
      </c>
      <c r="C45" s="233">
        <v>48583</v>
      </c>
      <c r="D45" s="233">
        <v>48585</v>
      </c>
      <c r="E45" s="295">
        <v>95</v>
      </c>
      <c r="F45" s="241">
        <v>0.26027397260273971</v>
      </c>
      <c r="G45" s="296">
        <v>4.3832716828894343E-2</v>
      </c>
      <c r="H45" s="240">
        <v>1140851.5339027294</v>
      </c>
      <c r="I45" s="240">
        <v>0</v>
      </c>
      <c r="J45" s="261">
        <v>1140851.5339027294</v>
      </c>
      <c r="K45" s="241">
        <v>8.5245004106214068</v>
      </c>
      <c r="L45" s="234">
        <v>4.3624958869877717E-2</v>
      </c>
      <c r="M45" s="237">
        <v>0.68943629448712784</v>
      </c>
      <c r="N45" s="240">
        <v>786544.45409385371</v>
      </c>
      <c r="O45" s="236"/>
      <c r="P45" s="297">
        <v>35</v>
      </c>
      <c r="Q45" s="298">
        <v>48583</v>
      </c>
      <c r="R45" s="298">
        <v>48670</v>
      </c>
      <c r="S45" s="297">
        <v>87</v>
      </c>
      <c r="T45" s="299">
        <v>0.23835616438356164</v>
      </c>
      <c r="U45" s="235">
        <v>0.69840399571683209</v>
      </c>
      <c r="V45" s="235">
        <v>0.69143050321868627</v>
      </c>
      <c r="W45" s="300">
        <v>4.2313155583309649E-2</v>
      </c>
      <c r="X45" s="236"/>
      <c r="Y45" s="211"/>
      <c r="Z45" s="237"/>
      <c r="AA45" s="238"/>
      <c r="AB45" s="211"/>
      <c r="AC45" s="237"/>
      <c r="AD45" s="238"/>
      <c r="AE45" s="294">
        <v>34183</v>
      </c>
    </row>
    <row r="46" spans="1:31">
      <c r="A46" s="233"/>
      <c r="B46" s="301">
        <v>48583</v>
      </c>
      <c r="C46" s="233">
        <v>48670</v>
      </c>
      <c r="D46" s="233">
        <v>48674</v>
      </c>
      <c r="E46" s="295">
        <v>87</v>
      </c>
      <c r="F46" s="241">
        <v>0.23835616438356164</v>
      </c>
      <c r="G46" s="296">
        <v>4.381315558330965E-2</v>
      </c>
      <c r="H46" s="240">
        <v>1044313.5714377917</v>
      </c>
      <c r="I46" s="240">
        <v>0</v>
      </c>
      <c r="J46" s="261">
        <v>1044313.5714377917</v>
      </c>
      <c r="K46" s="241">
        <v>8.768135778811935</v>
      </c>
      <c r="L46" s="234">
        <v>4.3624969036663325E-2</v>
      </c>
      <c r="M46" s="237">
        <v>0.6821473069544195</v>
      </c>
      <c r="N46" s="240">
        <v>712375.69037224143</v>
      </c>
      <c r="O46" s="236"/>
      <c r="P46" s="297">
        <v>36</v>
      </c>
      <c r="Q46" s="298">
        <v>48670</v>
      </c>
      <c r="R46" s="298">
        <v>48761</v>
      </c>
      <c r="S46" s="297">
        <v>91</v>
      </c>
      <c r="T46" s="299">
        <v>0.24931506849315069</v>
      </c>
      <c r="U46" s="235">
        <v>0.69143050321868627</v>
      </c>
      <c r="V46" s="235">
        <v>0.68421088419359866</v>
      </c>
      <c r="W46" s="300">
        <v>4.2322934700582841E-2</v>
      </c>
      <c r="X46" s="236"/>
      <c r="Y46" s="211"/>
      <c r="Z46" s="237"/>
      <c r="AA46" s="238"/>
      <c r="AB46" s="211"/>
      <c r="AC46" s="237"/>
      <c r="AD46" s="238"/>
      <c r="AE46" s="294">
        <v>34246</v>
      </c>
    </row>
    <row r="47" spans="1:31">
      <c r="A47" s="233"/>
      <c r="B47" s="301">
        <v>48670</v>
      </c>
      <c r="C47" s="233">
        <v>48761</v>
      </c>
      <c r="D47" s="233">
        <v>48765</v>
      </c>
      <c r="E47" s="295">
        <v>91</v>
      </c>
      <c r="F47" s="241">
        <v>0.24931506849315069</v>
      </c>
      <c r="G47" s="296">
        <v>4.3822934700582843E-2</v>
      </c>
      <c r="H47" s="240">
        <v>1092571.7966446683</v>
      </c>
      <c r="I47" s="240">
        <v>0</v>
      </c>
      <c r="J47" s="261">
        <v>1092571.7966446683</v>
      </c>
      <c r="K47" s="241">
        <v>9.0172460990966332</v>
      </c>
      <c r="L47" s="234">
        <v>4.3624978863869408E-2</v>
      </c>
      <c r="M47" s="237">
        <v>0.67477419467503752</v>
      </c>
      <c r="N47" s="240">
        <v>737239.25420556497</v>
      </c>
      <c r="O47" s="236"/>
      <c r="P47" s="297">
        <v>37</v>
      </c>
      <c r="Q47" s="298">
        <v>48761</v>
      </c>
      <c r="R47" s="298">
        <v>48856</v>
      </c>
      <c r="S47" s="297">
        <v>95</v>
      </c>
      <c r="T47" s="299">
        <v>0.26027397260273971</v>
      </c>
      <c r="U47" s="235">
        <v>0.68421088419359866</v>
      </c>
      <c r="V47" s="235">
        <v>0.67675316317264456</v>
      </c>
      <c r="W47" s="300">
        <v>4.2339438875236397E-2</v>
      </c>
      <c r="X47" s="236"/>
      <c r="Y47" s="211"/>
      <c r="Z47" s="237"/>
      <c r="AA47" s="238"/>
      <c r="AB47" s="211"/>
      <c r="AC47" s="237"/>
      <c r="AD47" s="238"/>
      <c r="AE47" s="294">
        <v>34330</v>
      </c>
    </row>
    <row r="48" spans="1:31">
      <c r="A48" s="233"/>
      <c r="B48" s="301">
        <v>48761</v>
      </c>
      <c r="C48" s="233">
        <v>48856</v>
      </c>
      <c r="D48" s="233">
        <v>48858</v>
      </c>
      <c r="E48" s="295">
        <v>95</v>
      </c>
      <c r="F48" s="241">
        <v>0.26027397260273971</v>
      </c>
      <c r="G48" s="296">
        <v>4.3839438875236399E-2</v>
      </c>
      <c r="H48" s="240">
        <v>1141026.491273276</v>
      </c>
      <c r="I48" s="240">
        <v>0</v>
      </c>
      <c r="J48" s="261">
        <v>1141026.491273276</v>
      </c>
      <c r="K48" s="241">
        <v>9.2718313714754999</v>
      </c>
      <c r="L48" s="234">
        <v>4.3625267581940609E-2</v>
      </c>
      <c r="M48" s="237">
        <v>0.66731964194248583</v>
      </c>
      <c r="N48" s="240">
        <v>761429.38960337348</v>
      </c>
      <c r="O48" s="236"/>
      <c r="P48" s="297">
        <v>38</v>
      </c>
      <c r="Q48" s="298">
        <v>48856</v>
      </c>
      <c r="R48" s="298">
        <v>48947</v>
      </c>
      <c r="S48" s="297">
        <v>91</v>
      </c>
      <c r="T48" s="299">
        <v>0.24931506849315069</v>
      </c>
      <c r="U48" s="235">
        <v>0.67675316317264456</v>
      </c>
      <c r="V48" s="235">
        <v>0.66968563970482342</v>
      </c>
      <c r="W48" s="300">
        <v>4.232994898447065E-2</v>
      </c>
      <c r="X48" s="236"/>
      <c r="Y48" s="211"/>
      <c r="Z48" s="237"/>
      <c r="AA48" s="238"/>
      <c r="AB48" s="211"/>
      <c r="AC48" s="237"/>
      <c r="AD48" s="259"/>
      <c r="AE48" s="294">
        <v>34360</v>
      </c>
    </row>
    <row r="49" spans="1:31">
      <c r="A49" s="233"/>
      <c r="B49" s="301">
        <v>48856</v>
      </c>
      <c r="C49" s="233">
        <v>48947</v>
      </c>
      <c r="D49" s="233">
        <v>48949</v>
      </c>
      <c r="E49" s="295">
        <v>91</v>
      </c>
      <c r="F49" s="241">
        <v>0.24931506849315069</v>
      </c>
      <c r="G49" s="296">
        <v>4.3829948984470651E-2</v>
      </c>
      <c r="H49" s="240">
        <v>1092746.6733114601</v>
      </c>
      <c r="I49" s="240">
        <v>0</v>
      </c>
      <c r="J49" s="261">
        <v>1092746.6733114601</v>
      </c>
      <c r="K49" s="241">
        <v>9.5216525634644107</v>
      </c>
      <c r="L49" s="234">
        <v>4.362227813087427E-2</v>
      </c>
      <c r="M49" s="237">
        <v>0.6601051249692389</v>
      </c>
      <c r="N49" s="240">
        <v>721327.67934598145</v>
      </c>
      <c r="O49" s="236"/>
      <c r="P49" s="297">
        <v>39</v>
      </c>
      <c r="Q49" s="298">
        <v>48947</v>
      </c>
      <c r="R49" s="298">
        <v>49037</v>
      </c>
      <c r="S49" s="297">
        <v>90</v>
      </c>
      <c r="T49" s="299">
        <v>0.24657534246575341</v>
      </c>
      <c r="U49" s="235">
        <v>0.66968563970482342</v>
      </c>
      <c r="V49" s="235">
        <v>0.66276838008710004</v>
      </c>
      <c r="W49" s="300">
        <v>4.2327503113820275E-2</v>
      </c>
      <c r="X49" s="236"/>
      <c r="Y49" s="211"/>
      <c r="Z49" s="237"/>
      <c r="AA49" s="238"/>
      <c r="AB49" s="211"/>
      <c r="AC49" s="237"/>
      <c r="AD49" s="238"/>
      <c r="AE49" s="294">
        <v>34425</v>
      </c>
    </row>
    <row r="50" spans="1:31">
      <c r="A50" s="233"/>
      <c r="B50" s="301">
        <v>48947</v>
      </c>
      <c r="C50" s="233">
        <v>49037</v>
      </c>
      <c r="D50" s="233">
        <v>49039</v>
      </c>
      <c r="E50" s="295">
        <v>90</v>
      </c>
      <c r="F50" s="241">
        <v>0.24657534246575341</v>
      </c>
      <c r="G50" s="296">
        <v>4.3827503113820276E-2</v>
      </c>
      <c r="H50" s="240">
        <v>1080678.1589709108</v>
      </c>
      <c r="I50" s="240">
        <v>0</v>
      </c>
      <c r="J50" s="261">
        <v>1080678.1589709108</v>
      </c>
      <c r="K50" s="241">
        <v>9.7680438028870089</v>
      </c>
      <c r="L50" s="234">
        <v>4.3622529311114683E-2</v>
      </c>
      <c r="M50" s="237">
        <v>0.65304660797236236</v>
      </c>
      <c r="N50" s="240">
        <v>705733.20602577063</v>
      </c>
      <c r="O50" s="236"/>
      <c r="P50" s="297">
        <v>40</v>
      </c>
      <c r="Q50" s="298">
        <v>49037</v>
      </c>
      <c r="R50" s="298">
        <v>49128</v>
      </c>
      <c r="S50" s="297">
        <v>91</v>
      </c>
      <c r="T50" s="299">
        <v>0.24931506849315069</v>
      </c>
      <c r="U50" s="235">
        <v>0.66276838008710004</v>
      </c>
      <c r="V50" s="235">
        <v>0.65584690363912013</v>
      </c>
      <c r="W50" s="300">
        <v>4.2329948984469755E-2</v>
      </c>
      <c r="X50" s="236"/>
      <c r="Y50" s="211"/>
      <c r="Z50" s="237"/>
      <c r="AA50" s="238"/>
      <c r="AB50" s="211"/>
      <c r="AC50" s="237"/>
      <c r="AD50" s="238"/>
      <c r="AE50" s="294">
        <v>34428</v>
      </c>
    </row>
    <row r="51" spans="1:31">
      <c r="A51" s="233"/>
      <c r="B51" s="301">
        <v>49037</v>
      </c>
      <c r="C51" s="233">
        <v>49128</v>
      </c>
      <c r="D51" s="233">
        <v>49130</v>
      </c>
      <c r="E51" s="295">
        <v>91</v>
      </c>
      <c r="F51" s="241">
        <v>0.24931506849315069</v>
      </c>
      <c r="G51" s="296">
        <v>4.3829948984469756E-2</v>
      </c>
      <c r="H51" s="240">
        <v>1092746.6733114377</v>
      </c>
      <c r="I51" s="240">
        <v>0</v>
      </c>
      <c r="J51" s="261">
        <v>1092746.6733114377</v>
      </c>
      <c r="K51" s="241">
        <v>10.017172722747636</v>
      </c>
      <c r="L51" s="234">
        <v>4.3622770719039514E-2</v>
      </c>
      <c r="M51" s="237">
        <v>0.64598639942848746</v>
      </c>
      <c r="N51" s="240">
        <v>705899.48897991329</v>
      </c>
      <c r="O51" s="236"/>
      <c r="P51" s="297">
        <v>41</v>
      </c>
      <c r="Q51" s="298">
        <v>49128</v>
      </c>
      <c r="R51" s="298">
        <v>49220</v>
      </c>
      <c r="S51" s="297">
        <v>92</v>
      </c>
      <c r="T51" s="299">
        <v>0.25205479452054796</v>
      </c>
      <c r="U51" s="235">
        <v>0.65584690363912013</v>
      </c>
      <c r="V51" s="235">
        <v>0.64892477009368799</v>
      </c>
      <c r="W51" s="300">
        <v>4.2320487214129329E-2</v>
      </c>
      <c r="X51" s="236"/>
      <c r="Y51" s="211"/>
      <c r="Z51" s="237"/>
      <c r="AA51" s="238"/>
      <c r="AB51" s="211"/>
      <c r="AC51" s="237"/>
      <c r="AD51" s="238"/>
      <c r="AE51" s="294">
        <v>34449</v>
      </c>
    </row>
    <row r="52" spans="1:31">
      <c r="A52" s="233"/>
      <c r="B52" s="301">
        <v>49128</v>
      </c>
      <c r="C52" s="233">
        <v>49220</v>
      </c>
      <c r="D52" s="233">
        <v>49222</v>
      </c>
      <c r="E52" s="295">
        <v>92</v>
      </c>
      <c r="F52" s="241">
        <v>0.25205479452054796</v>
      </c>
      <c r="G52" s="296">
        <v>4.3820487214129331E-2</v>
      </c>
      <c r="H52" s="240">
        <v>1104516.3900547668</v>
      </c>
      <c r="I52" s="240">
        <v>0</v>
      </c>
      <c r="J52" s="261">
        <v>1104516.3900547668</v>
      </c>
      <c r="K52" s="241">
        <v>10.269039323046293</v>
      </c>
      <c r="L52" s="234">
        <v>4.362264679162673E-2</v>
      </c>
      <c r="M52" s="237">
        <v>0.63892853141631112</v>
      </c>
      <c r="N52" s="240">
        <v>705707.03502293758</v>
      </c>
      <c r="O52" s="236"/>
      <c r="P52" s="297">
        <v>42</v>
      </c>
      <c r="Q52" s="298">
        <v>49220</v>
      </c>
      <c r="R52" s="298">
        <v>49311</v>
      </c>
      <c r="S52" s="297">
        <v>91</v>
      </c>
      <c r="T52" s="299">
        <v>0.24931506849315069</v>
      </c>
      <c r="U52" s="235">
        <v>0.64892477009368799</v>
      </c>
      <c r="V52" s="235">
        <v>0.64214979456103405</v>
      </c>
      <c r="W52" s="300">
        <v>4.2317777941158478E-2</v>
      </c>
      <c r="X52" s="236"/>
      <c r="Y52" s="211"/>
      <c r="Z52" s="237"/>
      <c r="AA52" s="238"/>
      <c r="AB52" s="211"/>
      <c r="AC52" s="237"/>
      <c r="AD52" s="238"/>
      <c r="AE52" s="294">
        <v>34498</v>
      </c>
    </row>
    <row r="53" spans="1:31">
      <c r="A53" s="233"/>
      <c r="B53" s="301">
        <v>49220</v>
      </c>
      <c r="C53" s="233">
        <v>49311</v>
      </c>
      <c r="D53" s="233">
        <v>49313</v>
      </c>
      <c r="E53" s="295">
        <v>91</v>
      </c>
      <c r="F53" s="241">
        <v>0.24931506849315069</v>
      </c>
      <c r="G53" s="296">
        <v>4.381777794115848E-2</v>
      </c>
      <c r="H53" s="240">
        <v>1092443.2308617593</v>
      </c>
      <c r="I53" s="240">
        <v>0</v>
      </c>
      <c r="J53" s="261">
        <v>1092443.2308617593</v>
      </c>
      <c r="K53" s="241">
        <v>10.518822724161533</v>
      </c>
      <c r="L53" s="234">
        <v>4.3619815855677126E-2</v>
      </c>
      <c r="M53" s="237">
        <v>0.63202324196750215</v>
      </c>
      <c r="N53" s="240">
        <v>690449.51243470155</v>
      </c>
      <c r="O53" s="236"/>
      <c r="P53" s="297">
        <v>43</v>
      </c>
      <c r="Q53" s="298">
        <v>49311</v>
      </c>
      <c r="R53" s="298">
        <v>49401</v>
      </c>
      <c r="S53" s="297">
        <v>90</v>
      </c>
      <c r="T53" s="299">
        <v>0.24657534246575341</v>
      </c>
      <c r="U53" s="235">
        <v>0.64214979456103405</v>
      </c>
      <c r="V53" s="235">
        <v>0.63551884316379303</v>
      </c>
      <c r="W53" s="300">
        <v>4.2315333474335609E-2</v>
      </c>
      <c r="X53" s="236"/>
      <c r="Y53" s="211"/>
      <c r="Z53" s="237"/>
      <c r="AA53" s="238"/>
      <c r="AB53" s="211"/>
      <c r="AC53" s="237"/>
      <c r="AD53" s="238"/>
      <c r="AE53" s="294">
        <v>34547</v>
      </c>
    </row>
    <row r="54" spans="1:31">
      <c r="A54" s="233"/>
      <c r="B54" s="301">
        <v>49311</v>
      </c>
      <c r="C54" s="233">
        <v>49401</v>
      </c>
      <c r="D54" s="233">
        <v>49403</v>
      </c>
      <c r="E54" s="295">
        <v>90</v>
      </c>
      <c r="F54" s="241">
        <v>0.24657534246575341</v>
      </c>
      <c r="G54" s="296">
        <v>4.381533347433561E-2</v>
      </c>
      <c r="H54" s="240">
        <v>1080378.0856685494</v>
      </c>
      <c r="I54" s="240">
        <v>0</v>
      </c>
      <c r="J54" s="261">
        <v>1080378.0856685494</v>
      </c>
      <c r="K54" s="241">
        <v>10.765229295003422</v>
      </c>
      <c r="L54" s="234">
        <v>4.3619705718574715E-2</v>
      </c>
      <c r="M54" s="237">
        <v>0.62526724174618098</v>
      </c>
      <c r="N54" s="240">
        <v>675525.02566899313</v>
      </c>
      <c r="O54" s="236"/>
      <c r="P54" s="297">
        <v>44</v>
      </c>
      <c r="Q54" s="298">
        <v>49401</v>
      </c>
      <c r="R54" s="298">
        <v>49492</v>
      </c>
      <c r="S54" s="297">
        <v>91</v>
      </c>
      <c r="T54" s="299">
        <v>0.24931506849315069</v>
      </c>
      <c r="U54" s="235">
        <v>0.63551884316379303</v>
      </c>
      <c r="V54" s="235">
        <v>0.62888382965929446</v>
      </c>
      <c r="W54" s="300">
        <v>4.2317777941158478E-2</v>
      </c>
      <c r="X54" s="236"/>
      <c r="Y54" s="211"/>
      <c r="Z54" s="237"/>
      <c r="AA54" s="238"/>
      <c r="AB54" s="211"/>
      <c r="AC54" s="237"/>
      <c r="AD54" s="238"/>
      <c r="AE54" s="294">
        <v>34610</v>
      </c>
    </row>
    <row r="55" spans="1:31">
      <c r="A55" s="233"/>
      <c r="B55" s="301">
        <v>49401</v>
      </c>
      <c r="C55" s="233">
        <v>49492</v>
      </c>
      <c r="D55" s="233">
        <v>49494</v>
      </c>
      <c r="E55" s="295">
        <v>91</v>
      </c>
      <c r="F55" s="241">
        <v>0.24931506849315069</v>
      </c>
      <c r="G55" s="296">
        <v>4.381777794115848E-2</v>
      </c>
      <c r="H55" s="240">
        <v>1092443.2308617593</v>
      </c>
      <c r="I55" s="240">
        <v>0</v>
      </c>
      <c r="J55" s="261">
        <v>1092443.2308617593</v>
      </c>
      <c r="K55" s="241">
        <v>11.014373716632443</v>
      </c>
      <c r="L55" s="234">
        <v>4.3619599367996066E-2</v>
      </c>
      <c r="M55" s="237">
        <v>0.61850959816819751</v>
      </c>
      <c r="N55" s="240">
        <v>675686.62374187412</v>
      </c>
      <c r="O55" s="236"/>
      <c r="P55" s="297">
        <v>45</v>
      </c>
      <c r="Q55" s="298">
        <v>49492</v>
      </c>
      <c r="R55" s="298">
        <v>49584</v>
      </c>
      <c r="S55" s="297">
        <v>92</v>
      </c>
      <c r="T55" s="299">
        <v>0.25205479452054796</v>
      </c>
      <c r="U55" s="235">
        <v>0.62888382965929446</v>
      </c>
      <c r="V55" s="235">
        <v>0.62224631883602699</v>
      </c>
      <c r="W55" s="300">
        <v>4.2320222596102082E-2</v>
      </c>
      <c r="X55" s="236"/>
      <c r="Y55" s="211"/>
      <c r="Z55" s="237"/>
      <c r="AA55" s="238"/>
      <c r="AB55" s="211"/>
      <c r="AC55" s="237"/>
      <c r="AD55" s="238"/>
      <c r="AE55" s="294">
        <v>34694</v>
      </c>
    </row>
    <row r="56" spans="1:31">
      <c r="A56" s="233"/>
      <c r="B56" s="301">
        <v>49492</v>
      </c>
      <c r="C56" s="233">
        <v>49584</v>
      </c>
      <c r="D56" s="233">
        <v>49586</v>
      </c>
      <c r="E56" s="295">
        <v>92</v>
      </c>
      <c r="F56" s="241">
        <v>0.25205479452054796</v>
      </c>
      <c r="G56" s="296">
        <v>4.3820222596102083E-2</v>
      </c>
      <c r="H56" s="240">
        <v>1104509.7202305184</v>
      </c>
      <c r="I56" s="240">
        <v>0</v>
      </c>
      <c r="J56" s="261">
        <v>1104509.7202305184</v>
      </c>
      <c r="K56" s="241">
        <v>11.266255989048597</v>
      </c>
      <c r="L56" s="234">
        <v>4.361949663026695E-2</v>
      </c>
      <c r="M56" s="237">
        <v>0.61175193405638739</v>
      </c>
      <c r="N56" s="240">
        <v>675685.95753509901</v>
      </c>
      <c r="O56" s="236"/>
      <c r="P56" s="297">
        <v>46</v>
      </c>
      <c r="Q56" s="298">
        <v>49584</v>
      </c>
      <c r="R56" s="298">
        <v>49676</v>
      </c>
      <c r="S56" s="297">
        <v>92</v>
      </c>
      <c r="T56" s="299">
        <v>0.25205479452054796</v>
      </c>
      <c r="U56" s="235">
        <v>0.62224631883602699</v>
      </c>
      <c r="V56" s="235">
        <v>0.61567886316102582</v>
      </c>
      <c r="W56" s="300">
        <v>4.2320222596101201E-2</v>
      </c>
      <c r="X56" s="236"/>
      <c r="Y56" s="211"/>
      <c r="Z56" s="237"/>
      <c r="AA56" s="238"/>
      <c r="AB56" s="211"/>
      <c r="AC56" s="237"/>
      <c r="AD56" s="238"/>
      <c r="AE56" s="294">
        <v>34695</v>
      </c>
    </row>
    <row r="57" spans="1:31">
      <c r="A57" s="233"/>
      <c r="B57" s="301">
        <v>49584</v>
      </c>
      <c r="C57" s="233">
        <v>49676</v>
      </c>
      <c r="D57" s="233">
        <v>49678</v>
      </c>
      <c r="E57" s="295">
        <v>92</v>
      </c>
      <c r="F57" s="241">
        <v>0.25205479452054796</v>
      </c>
      <c r="G57" s="296">
        <v>4.3820222596101202E-2</v>
      </c>
      <c r="H57" s="240">
        <v>1104509.720230496</v>
      </c>
      <c r="I57" s="240">
        <v>0</v>
      </c>
      <c r="J57" s="261">
        <v>1104509.720230496</v>
      </c>
      <c r="K57" s="241">
        <v>11.516319225100021</v>
      </c>
      <c r="L57" s="234">
        <v>4.3626288197720894E-2</v>
      </c>
      <c r="M57" s="237">
        <v>0.6050681023060851</v>
      </c>
      <c r="N57" s="240">
        <v>668303.60039849125</v>
      </c>
      <c r="O57" s="236"/>
      <c r="P57" s="297">
        <v>47</v>
      </c>
      <c r="Q57" s="298">
        <v>49676</v>
      </c>
      <c r="R57" s="298">
        <v>49766</v>
      </c>
      <c r="S57" s="297">
        <v>90</v>
      </c>
      <c r="T57" s="299">
        <v>0.24657534246575341</v>
      </c>
      <c r="U57" s="235">
        <v>0.61567886316102582</v>
      </c>
      <c r="V57" s="235">
        <v>0.60932125524382608</v>
      </c>
      <c r="W57" s="300">
        <v>4.2315333474335609E-2</v>
      </c>
      <c r="X57" s="236"/>
      <c r="Y57" s="211"/>
      <c r="Z57" s="237"/>
      <c r="AA57" s="238"/>
      <c r="AB57" s="211"/>
      <c r="AC57" s="237"/>
      <c r="AD57" s="238"/>
      <c r="AE57" s="294">
        <v>34701</v>
      </c>
    </row>
    <row r="58" spans="1:31">
      <c r="A58" s="233"/>
      <c r="B58" s="301">
        <v>49676</v>
      </c>
      <c r="C58" s="233">
        <v>49766</v>
      </c>
      <c r="D58" s="233">
        <v>49768</v>
      </c>
      <c r="E58" s="295">
        <v>90</v>
      </c>
      <c r="F58" s="241">
        <v>0.24657534246575341</v>
      </c>
      <c r="G58" s="296">
        <v>4.381533347433561E-2</v>
      </c>
      <c r="H58" s="240">
        <v>1080378.0856685494</v>
      </c>
      <c r="I58" s="240">
        <v>0</v>
      </c>
      <c r="J58" s="261">
        <v>1080378.0856685494</v>
      </c>
      <c r="K58" s="241">
        <v>11.762686881448726</v>
      </c>
      <c r="L58" s="234">
        <v>4.3626196145293956E-2</v>
      </c>
      <c r="M58" s="237">
        <v>0.59860023852884681</v>
      </c>
      <c r="N58" s="240">
        <v>646714.57978253253</v>
      </c>
      <c r="O58" s="236"/>
      <c r="P58" s="297">
        <v>48</v>
      </c>
      <c r="Q58" s="298">
        <v>49766</v>
      </c>
      <c r="R58" s="298">
        <v>49857</v>
      </c>
      <c r="S58" s="297">
        <v>91</v>
      </c>
      <c r="T58" s="299">
        <v>0.24931506849315069</v>
      </c>
      <c r="U58" s="235">
        <v>0.60932125524382608</v>
      </c>
      <c r="V58" s="235">
        <v>0.60295975266902535</v>
      </c>
      <c r="W58" s="300">
        <v>4.2317777941159374E-2</v>
      </c>
      <c r="X58" s="236"/>
      <c r="Y58" s="211"/>
      <c r="Z58" s="237"/>
      <c r="AA58" s="238"/>
      <c r="AB58" s="211"/>
      <c r="AC58" s="237"/>
      <c r="AD58" s="238"/>
      <c r="AE58" s="294">
        <v>34725</v>
      </c>
    </row>
    <row r="59" spans="1:31">
      <c r="A59" s="233"/>
      <c r="B59" s="301">
        <v>49766</v>
      </c>
      <c r="C59" s="233">
        <v>49857</v>
      </c>
      <c r="D59" s="233">
        <v>49859</v>
      </c>
      <c r="E59" s="295">
        <v>91</v>
      </c>
      <c r="F59" s="241">
        <v>0.24931506849315069</v>
      </c>
      <c r="G59" s="296">
        <v>4.3817777941159375E-2</v>
      </c>
      <c r="H59" s="240">
        <v>1092443.2308617816</v>
      </c>
      <c r="I59" s="240">
        <v>0</v>
      </c>
      <c r="J59" s="261">
        <v>1092443.2308617816</v>
      </c>
      <c r="K59" s="241">
        <v>12.011791956201305</v>
      </c>
      <c r="L59" s="234">
        <v>4.3626106909309514E-2</v>
      </c>
      <c r="M59" s="237">
        <v>0.5921308014824137</v>
      </c>
      <c r="N59" s="240">
        <v>646869.28586422431</v>
      </c>
      <c r="O59" s="236"/>
      <c r="P59" s="297">
        <v>49</v>
      </c>
      <c r="Q59" s="298">
        <v>49857</v>
      </c>
      <c r="R59" s="298">
        <v>49949</v>
      </c>
      <c r="S59" s="297">
        <v>92</v>
      </c>
      <c r="T59" s="299">
        <v>0.25205479452054796</v>
      </c>
      <c r="U59" s="235">
        <v>0.60295975266902535</v>
      </c>
      <c r="V59" s="235">
        <v>0.59659510755189304</v>
      </c>
      <c r="W59" s="300">
        <v>4.2325251034302583E-2</v>
      </c>
      <c r="X59" s="236"/>
      <c r="Y59" s="211"/>
      <c r="Z59" s="237"/>
      <c r="AA59" s="238"/>
      <c r="AB59" s="211"/>
      <c r="AC59" s="237"/>
      <c r="AD59" s="238"/>
      <c r="AE59" s="294">
        <v>34803</v>
      </c>
    </row>
    <row r="60" spans="1:31">
      <c r="A60" s="233"/>
      <c r="B60" s="301">
        <v>49857</v>
      </c>
      <c r="C60" s="233">
        <v>49949</v>
      </c>
      <c r="D60" s="233">
        <v>49951</v>
      </c>
      <c r="E60" s="295">
        <v>92</v>
      </c>
      <c r="F60" s="241">
        <v>0.25205479452054796</v>
      </c>
      <c r="G60" s="296">
        <v>4.3825251034302584E-2</v>
      </c>
      <c r="H60" s="240">
        <v>1104636.4644262569</v>
      </c>
      <c r="I60" s="240">
        <v>0</v>
      </c>
      <c r="J60" s="261">
        <v>1104636.4644262569</v>
      </c>
      <c r="K60" s="241">
        <v>12.26363444935776</v>
      </c>
      <c r="L60" s="234">
        <v>4.3626020377896854E-2</v>
      </c>
      <c r="M60" s="237">
        <v>0.58566134477790033</v>
      </c>
      <c r="N60" s="240">
        <v>646942.87724658696</v>
      </c>
      <c r="O60" s="236"/>
      <c r="P60" s="297">
        <v>50</v>
      </c>
      <c r="Q60" s="298">
        <v>49949</v>
      </c>
      <c r="R60" s="298">
        <v>50042</v>
      </c>
      <c r="S60" s="297">
        <v>93</v>
      </c>
      <c r="T60" s="299">
        <v>0.25479452054794521</v>
      </c>
      <c r="U60" s="235">
        <v>0.59659510755189304</v>
      </c>
      <c r="V60" s="235">
        <v>0.59022954471283395</v>
      </c>
      <c r="W60" s="300">
        <v>4.2327808213422857E-2</v>
      </c>
      <c r="X60" s="236"/>
      <c r="Y60" s="211"/>
      <c r="Z60" s="237"/>
      <c r="AA60" s="238"/>
      <c r="AB60" s="211"/>
      <c r="AC60" s="237"/>
      <c r="AD60" s="238"/>
      <c r="AE60" s="294">
        <v>34806</v>
      </c>
    </row>
    <row r="61" spans="1:31">
      <c r="A61" s="233"/>
      <c r="B61" s="301">
        <v>49949</v>
      </c>
      <c r="C61" s="233">
        <v>50042</v>
      </c>
      <c r="D61" s="233">
        <v>50046</v>
      </c>
      <c r="E61" s="295">
        <v>93</v>
      </c>
      <c r="F61" s="241">
        <v>0.25479452054794521</v>
      </c>
      <c r="G61" s="296">
        <v>4.3827808213422859E-2</v>
      </c>
      <c r="H61" s="240">
        <v>1116708.5380406373</v>
      </c>
      <c r="I61" s="240">
        <v>0</v>
      </c>
      <c r="J61" s="261">
        <v>1116708.5380406373</v>
      </c>
      <c r="K61" s="241">
        <v>12.524442706296442</v>
      </c>
      <c r="L61" s="234">
        <v>4.3623310008120732E-2</v>
      </c>
      <c r="M61" s="237">
        <v>0.57905509710776215</v>
      </c>
      <c r="N61" s="240">
        <v>646635.77093618829</v>
      </c>
      <c r="O61" s="236"/>
      <c r="P61" s="297">
        <v>51</v>
      </c>
      <c r="Q61" s="298">
        <v>50042</v>
      </c>
      <c r="R61" s="298">
        <v>50131</v>
      </c>
      <c r="S61" s="297">
        <v>89</v>
      </c>
      <c r="T61" s="299">
        <v>0.24383561643835616</v>
      </c>
      <c r="U61" s="235">
        <v>0.59022954471283395</v>
      </c>
      <c r="V61" s="235">
        <v>0.58420137961852225</v>
      </c>
      <c r="W61" s="300">
        <v>4.2318027598682979E-2</v>
      </c>
      <c r="X61" s="236"/>
      <c r="Y61" s="211"/>
      <c r="Z61" s="237"/>
      <c r="AA61" s="238"/>
      <c r="AB61" s="211"/>
      <c r="AC61" s="237"/>
      <c r="AD61" s="238"/>
      <c r="AE61" s="294">
        <v>34814</v>
      </c>
    </row>
    <row r="62" spans="1:31">
      <c r="A62" s="233"/>
      <c r="B62" s="301">
        <v>50042</v>
      </c>
      <c r="C62" s="233">
        <v>50131</v>
      </c>
      <c r="D62" s="233">
        <v>50137</v>
      </c>
      <c r="E62" s="295">
        <v>89</v>
      </c>
      <c r="F62" s="241">
        <v>0.24383561643835616</v>
      </c>
      <c r="G62" s="296">
        <v>4.3818027598682981E-2</v>
      </c>
      <c r="H62" s="240">
        <v>1068439.5770637768</v>
      </c>
      <c r="I62" s="240">
        <v>0</v>
      </c>
      <c r="J62" s="261">
        <v>1068439.5770637768</v>
      </c>
      <c r="K62" s="241">
        <v>12.77356276886977</v>
      </c>
      <c r="L62" s="234">
        <v>4.3623231192912101E-2</v>
      </c>
      <c r="M62" s="237">
        <v>0.57279689629855146</v>
      </c>
      <c r="N62" s="240">
        <v>611998.87362466834</v>
      </c>
      <c r="O62" s="236"/>
      <c r="P62" s="297">
        <v>52</v>
      </c>
      <c r="Q62" s="298">
        <v>50131</v>
      </c>
      <c r="R62" s="298">
        <v>50222</v>
      </c>
      <c r="S62" s="297">
        <v>91</v>
      </c>
      <c r="T62" s="299">
        <v>0.24931506849315069</v>
      </c>
      <c r="U62" s="235">
        <v>0.58420137961852225</v>
      </c>
      <c r="V62" s="235">
        <v>0.57810140329142223</v>
      </c>
      <c r="W62" s="300">
        <v>4.2322917529673369E-2</v>
      </c>
      <c r="X62" s="236"/>
      <c r="Y62" s="211"/>
      <c r="Z62" s="237"/>
      <c r="AA62" s="238"/>
      <c r="AB62" s="211"/>
      <c r="AC62" s="237"/>
      <c r="AD62" s="238"/>
      <c r="AE62" s="294">
        <v>34862</v>
      </c>
    </row>
    <row r="63" spans="1:31">
      <c r="A63" s="233"/>
      <c r="B63" s="301">
        <v>50131</v>
      </c>
      <c r="C63" s="233">
        <v>50222</v>
      </c>
      <c r="D63" s="233">
        <v>50224</v>
      </c>
      <c r="E63" s="295">
        <v>91</v>
      </c>
      <c r="F63" s="241">
        <v>0.24931506849315069</v>
      </c>
      <c r="G63" s="296">
        <v>4.3822917529673371E-2</v>
      </c>
      <c r="H63" s="240">
        <v>1092571.368548021</v>
      </c>
      <c r="I63" s="240">
        <v>0</v>
      </c>
      <c r="J63" s="261">
        <v>1092571.368548021</v>
      </c>
      <c r="K63" s="241">
        <v>13.011732499022292</v>
      </c>
      <c r="L63" s="234">
        <v>4.362315866399822E-2</v>
      </c>
      <c r="M63" s="237">
        <v>0.5668770332790507</v>
      </c>
      <c r="N63" s="240">
        <v>619353.6160481344</v>
      </c>
      <c r="O63" s="236"/>
      <c r="P63" s="297">
        <v>53</v>
      </c>
      <c r="Q63" s="298">
        <v>50222</v>
      </c>
      <c r="R63" s="298">
        <v>50314</v>
      </c>
      <c r="S63" s="297">
        <v>92</v>
      </c>
      <c r="T63" s="299">
        <v>0.25205479452054796</v>
      </c>
      <c r="U63" s="235">
        <v>0.57810140329142223</v>
      </c>
      <c r="V63" s="235">
        <v>0.57199913880548725</v>
      </c>
      <c r="W63" s="300">
        <v>4.2325362777446293E-2</v>
      </c>
      <c r="X63" s="236"/>
      <c r="Y63" s="211"/>
      <c r="Z63" s="237"/>
      <c r="AA63" s="238"/>
      <c r="AB63" s="211"/>
      <c r="AC63" s="237"/>
      <c r="AD63" s="238"/>
      <c r="AE63" s="294">
        <v>34918</v>
      </c>
    </row>
    <row r="64" spans="1:31">
      <c r="A64" s="233"/>
      <c r="B64" s="301">
        <v>50222</v>
      </c>
      <c r="C64" s="233">
        <v>50314</v>
      </c>
      <c r="D64" s="233">
        <v>50319</v>
      </c>
      <c r="E64" s="295">
        <v>92</v>
      </c>
      <c r="F64" s="241">
        <v>0.25205479452054796</v>
      </c>
      <c r="G64" s="296">
        <v>4.3825362777446294E-2</v>
      </c>
      <c r="H64" s="240">
        <v>1104639.2809657697</v>
      </c>
      <c r="I64" s="240">
        <v>0</v>
      </c>
      <c r="J64" s="261">
        <v>1104639.2809657697</v>
      </c>
      <c r="K64" s="241">
        <v>13.271802894016426</v>
      </c>
      <c r="L64" s="234">
        <v>4.3623082438960153E-2</v>
      </c>
      <c r="M64" s="237">
        <v>0.56048267224814674</v>
      </c>
      <c r="N64" s="240">
        <v>619131.1760659659</v>
      </c>
      <c r="O64" s="236"/>
      <c r="P64" s="297">
        <v>54</v>
      </c>
      <c r="Q64" s="298">
        <v>50314</v>
      </c>
      <c r="R64" s="298">
        <v>50409</v>
      </c>
      <c r="S64" s="297">
        <v>95</v>
      </c>
      <c r="T64" s="299">
        <v>0.26027397260273971</v>
      </c>
      <c r="U64" s="235">
        <v>0.57199913880548725</v>
      </c>
      <c r="V64" s="235">
        <v>0.56576547824120771</v>
      </c>
      <c r="W64" s="300">
        <v>4.2332699650061048E-2</v>
      </c>
      <c r="X64" s="236"/>
      <c r="Y64" s="211"/>
      <c r="Z64" s="237"/>
      <c r="AA64" s="238"/>
      <c r="AB64" s="211"/>
      <c r="AC64" s="237"/>
      <c r="AD64" s="238"/>
      <c r="AE64" s="294">
        <v>34974</v>
      </c>
    </row>
    <row r="65" spans="1:31">
      <c r="A65" s="233"/>
      <c r="B65" s="301">
        <v>50314</v>
      </c>
      <c r="C65" s="233">
        <v>50409</v>
      </c>
      <c r="D65" s="233">
        <v>50411</v>
      </c>
      <c r="E65" s="295">
        <v>95</v>
      </c>
      <c r="F65" s="241">
        <v>0.26027397260273971</v>
      </c>
      <c r="G65" s="296">
        <v>4.3832699650061049E-2</v>
      </c>
      <c r="H65" s="240">
        <v>1140851.0867824107</v>
      </c>
      <c r="I65" s="240">
        <v>0</v>
      </c>
      <c r="J65" s="261">
        <v>1140851.0867824107</v>
      </c>
      <c r="K65" s="241">
        <v>13.524365760175215</v>
      </c>
      <c r="L65" s="234">
        <v>4.362073671784536E-2</v>
      </c>
      <c r="M65" s="237">
        <v>0.55435899421508128</v>
      </c>
      <c r="N65" s="240">
        <v>632441.06101787963</v>
      </c>
      <c r="O65" s="236"/>
      <c r="P65" s="297">
        <v>55</v>
      </c>
      <c r="Q65" s="298">
        <v>50409</v>
      </c>
      <c r="R65" s="298">
        <v>50496</v>
      </c>
      <c r="S65" s="297">
        <v>87</v>
      </c>
      <c r="T65" s="299">
        <v>0.23835616438356164</v>
      </c>
      <c r="U65" s="235">
        <v>0.56576547824120771</v>
      </c>
      <c r="V65" s="235">
        <v>0.56011637004868686</v>
      </c>
      <c r="W65" s="300">
        <v>4.2313138420320424E-2</v>
      </c>
      <c r="X65" s="236"/>
      <c r="Y65" s="211"/>
      <c r="Z65" s="237"/>
      <c r="AA65" s="238"/>
      <c r="AB65" s="211"/>
      <c r="AC65" s="237"/>
      <c r="AD65" s="238"/>
      <c r="AE65" s="294">
        <v>35058</v>
      </c>
    </row>
    <row r="66" spans="1:31">
      <c r="A66" s="233"/>
      <c r="B66" s="301">
        <v>50409</v>
      </c>
      <c r="C66" s="233">
        <v>50496</v>
      </c>
      <c r="D66" s="233">
        <v>50500</v>
      </c>
      <c r="E66" s="295">
        <v>87</v>
      </c>
      <c r="F66" s="241">
        <v>0.23835616438356164</v>
      </c>
      <c r="G66" s="296">
        <v>4.3813138420320426E-2</v>
      </c>
      <c r="H66" s="240">
        <v>1044313.1623473634</v>
      </c>
      <c r="I66" s="240">
        <v>0</v>
      </c>
      <c r="J66" s="261">
        <v>1044313.1623473634</v>
      </c>
      <c r="K66" s="241">
        <v>13.76802336192736</v>
      </c>
      <c r="L66" s="234">
        <v>4.3620670486550543E-2</v>
      </c>
      <c r="M66" s="237">
        <v>0.54849867753797554</v>
      </c>
      <c r="N66" s="240">
        <v>572804.38848303002</v>
      </c>
      <c r="O66" s="236"/>
      <c r="P66" s="297">
        <v>56</v>
      </c>
      <c r="Q66" s="298">
        <v>50496</v>
      </c>
      <c r="R66" s="298">
        <v>50587</v>
      </c>
      <c r="S66" s="297">
        <v>91</v>
      </c>
      <c r="T66" s="299">
        <v>0.24931506849315069</v>
      </c>
      <c r="U66" s="235">
        <v>0.56011637004868686</v>
      </c>
      <c r="V66" s="235">
        <v>0.55426787890005369</v>
      </c>
      <c r="W66" s="300">
        <v>4.2322917529673369E-2</v>
      </c>
      <c r="X66" s="236"/>
      <c r="Y66" s="211"/>
      <c r="Z66" s="237"/>
      <c r="AA66" s="238"/>
      <c r="AB66" s="211"/>
      <c r="AC66" s="237"/>
      <c r="AD66" s="238"/>
      <c r="AE66" s="294">
        <v>35059</v>
      </c>
    </row>
    <row r="67" spans="1:31">
      <c r="A67" s="233"/>
      <c r="B67" s="301">
        <v>50496</v>
      </c>
      <c r="C67" s="233">
        <v>50587</v>
      </c>
      <c r="D67" s="233">
        <v>50591</v>
      </c>
      <c r="E67" s="295">
        <v>91</v>
      </c>
      <c r="F67" s="241">
        <v>0.24931506849315069</v>
      </c>
      <c r="G67" s="296">
        <v>4.3822917529673371E-2</v>
      </c>
      <c r="H67" s="240">
        <v>1092571.368548021</v>
      </c>
      <c r="I67" s="240">
        <v>0</v>
      </c>
      <c r="J67" s="261">
        <v>1092571.368548021</v>
      </c>
      <c r="K67" s="241">
        <v>14.017156415404271</v>
      </c>
      <c r="L67" s="234">
        <v>4.3620605147680562E-2</v>
      </c>
      <c r="M67" s="237">
        <v>0.54257071854967864</v>
      </c>
      <c r="N67" s="240">
        <v>592797.23249990551</v>
      </c>
      <c r="O67" s="236"/>
      <c r="P67" s="297">
        <v>57</v>
      </c>
      <c r="Q67" s="298">
        <v>50587</v>
      </c>
      <c r="R67" s="298">
        <v>50679</v>
      </c>
      <c r="S67" s="297">
        <v>92</v>
      </c>
      <c r="T67" s="299">
        <v>0.25205479452054796</v>
      </c>
      <c r="U67" s="235">
        <v>0.55426787890005369</v>
      </c>
      <c r="V67" s="235">
        <v>0.54841719392705557</v>
      </c>
      <c r="W67" s="300">
        <v>4.2325362777445412E-2</v>
      </c>
      <c r="X67" s="236"/>
      <c r="Y67" s="211"/>
      <c r="Z67" s="237"/>
      <c r="AA67" s="238"/>
      <c r="AB67" s="211"/>
      <c r="AC67" s="237"/>
      <c r="AD67" s="238"/>
      <c r="AE67" s="294">
        <v>35065</v>
      </c>
    </row>
    <row r="68" spans="1:31">
      <c r="A68" s="233"/>
      <c r="B68" s="301">
        <v>50587</v>
      </c>
      <c r="C68" s="233">
        <v>50679</v>
      </c>
      <c r="D68" s="233">
        <v>50684</v>
      </c>
      <c r="E68" s="295">
        <v>92</v>
      </c>
      <c r="F68" s="241">
        <v>0.25205479452054796</v>
      </c>
      <c r="G68" s="296">
        <v>4.3825362777445413E-2</v>
      </c>
      <c r="H68" s="240">
        <v>1104639.2809657473</v>
      </c>
      <c r="I68" s="240">
        <v>0</v>
      </c>
      <c r="J68" s="261">
        <v>1104639.2809657473</v>
      </c>
      <c r="K68" s="241">
        <v>14.27176492060595</v>
      </c>
      <c r="L68" s="234">
        <v>4.362054072970295E-2</v>
      </c>
      <c r="M68" s="237">
        <v>0.53657866412777788</v>
      </c>
      <c r="N68" s="240">
        <v>592725.86972366984</v>
      </c>
      <c r="O68" s="236"/>
      <c r="P68" s="297">
        <v>58</v>
      </c>
      <c r="Q68" s="298">
        <v>50679</v>
      </c>
      <c r="R68" s="298">
        <v>50774</v>
      </c>
      <c r="S68" s="297">
        <v>95</v>
      </c>
      <c r="T68" s="299">
        <v>0.26027397260273971</v>
      </c>
      <c r="U68" s="235">
        <v>0.54841719392705557</v>
      </c>
      <c r="V68" s="235">
        <v>0.54244052997316372</v>
      </c>
      <c r="W68" s="300">
        <v>4.2332699650061048E-2</v>
      </c>
      <c r="X68" s="236"/>
      <c r="Y68" s="211"/>
      <c r="Z68" s="237"/>
      <c r="AA68" s="238"/>
      <c r="AB68" s="211"/>
      <c r="AC68" s="237"/>
      <c r="AD68" s="238"/>
      <c r="AE68" s="294">
        <v>35090</v>
      </c>
    </row>
    <row r="69" spans="1:31">
      <c r="A69" s="233"/>
      <c r="B69" s="301">
        <v>50679</v>
      </c>
      <c r="C69" s="233">
        <v>50774</v>
      </c>
      <c r="D69" s="233">
        <v>50776</v>
      </c>
      <c r="E69" s="295">
        <v>95</v>
      </c>
      <c r="F69" s="241">
        <v>0.26027397260273971</v>
      </c>
      <c r="G69" s="296">
        <v>4.3832699650061049E-2</v>
      </c>
      <c r="H69" s="240">
        <v>1140851.0867824107</v>
      </c>
      <c r="I69" s="240">
        <v>0</v>
      </c>
      <c r="J69" s="261">
        <v>1140851.0867824107</v>
      </c>
      <c r="K69" s="241">
        <v>14.524298425735797</v>
      </c>
      <c r="L69" s="234">
        <v>4.3618488878100874E-2</v>
      </c>
      <c r="M69" s="237">
        <v>0.53071615464938293</v>
      </c>
      <c r="N69" s="240">
        <v>605468.10180473048</v>
      </c>
      <c r="O69" s="236"/>
      <c r="P69" s="297">
        <v>59</v>
      </c>
      <c r="Q69" s="298">
        <v>50774</v>
      </c>
      <c r="R69" s="298">
        <v>50861</v>
      </c>
      <c r="S69" s="297">
        <v>87</v>
      </c>
      <c r="T69" s="299">
        <v>0.23835616438356164</v>
      </c>
      <c r="U69" s="235">
        <v>0.54244052997316372</v>
      </c>
      <c r="V69" s="235">
        <v>0.53702431891102409</v>
      </c>
      <c r="W69" s="300">
        <v>4.2313138420320424E-2</v>
      </c>
      <c r="X69" s="236"/>
      <c r="Y69" s="211"/>
      <c r="Z69" s="237"/>
      <c r="AA69" s="238"/>
      <c r="AB69" s="211"/>
      <c r="AC69" s="237"/>
      <c r="AD69" s="238"/>
      <c r="AE69" s="294">
        <v>35160</v>
      </c>
    </row>
    <row r="70" spans="1:31">
      <c r="A70" s="233"/>
      <c r="B70" s="301">
        <v>50774</v>
      </c>
      <c r="C70" s="233">
        <v>50861</v>
      </c>
      <c r="D70" s="233">
        <v>50865</v>
      </c>
      <c r="E70" s="295">
        <v>87</v>
      </c>
      <c r="F70" s="241">
        <v>0.23835616438356164</v>
      </c>
      <c r="G70" s="296">
        <v>4.3813138420320426E-2</v>
      </c>
      <c r="H70" s="240">
        <v>1044313.1623473634</v>
      </c>
      <c r="I70" s="240">
        <v>0</v>
      </c>
      <c r="J70" s="261">
        <v>1044313.1623473634</v>
      </c>
      <c r="K70" s="241">
        <v>14.767967145790555</v>
      </c>
      <c r="L70" s="234">
        <v>4.3618431379711033E-2</v>
      </c>
      <c r="M70" s="237">
        <v>0.52510577443663853</v>
      </c>
      <c r="N70" s="240">
        <v>548374.87186878733</v>
      </c>
      <c r="O70" s="236"/>
      <c r="P70" s="297">
        <v>60</v>
      </c>
      <c r="Q70" s="298">
        <v>50861</v>
      </c>
      <c r="R70" s="298">
        <v>50952</v>
      </c>
      <c r="S70" s="297">
        <v>91</v>
      </c>
      <c r="T70" s="299">
        <v>0.24931506849315069</v>
      </c>
      <c r="U70" s="235">
        <v>0.53702431891102409</v>
      </c>
      <c r="V70" s="235">
        <v>0.53141694490144298</v>
      </c>
      <c r="W70" s="300">
        <v>4.2322917529674264E-2</v>
      </c>
      <c r="X70" s="236"/>
      <c r="Y70" s="211"/>
      <c r="Z70" s="237"/>
      <c r="AA70" s="238"/>
      <c r="AB70" s="211"/>
      <c r="AC70" s="237"/>
      <c r="AD70" s="238"/>
      <c r="AE70" s="294">
        <v>35163</v>
      </c>
    </row>
    <row r="71" spans="1:31">
      <c r="A71" s="233"/>
      <c r="B71" s="301">
        <v>50861</v>
      </c>
      <c r="C71" s="233">
        <v>50952</v>
      </c>
      <c r="D71" s="233">
        <v>50956</v>
      </c>
      <c r="E71" s="295">
        <v>91</v>
      </c>
      <c r="F71" s="241">
        <v>0.24931506849315069</v>
      </c>
      <c r="G71" s="296">
        <v>4.3822917529674266E-2</v>
      </c>
      <c r="H71" s="240">
        <v>1092571.3685480433</v>
      </c>
      <c r="I71" s="240">
        <v>0</v>
      </c>
      <c r="J71" s="261">
        <v>1092571.3685480433</v>
      </c>
      <c r="K71" s="241">
        <v>15.017111567419576</v>
      </c>
      <c r="L71" s="234">
        <v>4.361837451853668E-2</v>
      </c>
      <c r="M71" s="237">
        <v>0.51943063678753676</v>
      </c>
      <c r="N71" s="240">
        <v>567515.04170074069</v>
      </c>
      <c r="O71" s="236"/>
      <c r="P71" s="297">
        <v>61</v>
      </c>
      <c r="Q71" s="298">
        <v>50952</v>
      </c>
      <c r="R71" s="298">
        <v>51047</v>
      </c>
      <c r="S71" s="297">
        <v>95</v>
      </c>
      <c r="T71" s="299">
        <v>0.26027397260273971</v>
      </c>
      <c r="U71" s="235">
        <v>0.53141694490144298</v>
      </c>
      <c r="V71" s="235">
        <v>0.52562568112129548</v>
      </c>
      <c r="W71" s="300">
        <v>4.2331731209506701E-2</v>
      </c>
      <c r="X71" s="236"/>
      <c r="Y71" s="211"/>
      <c r="Z71" s="237"/>
      <c r="AA71" s="238"/>
      <c r="AB71" s="211"/>
      <c r="AC71" s="237"/>
      <c r="AD71" s="238"/>
      <c r="AE71" s="294">
        <v>35180</v>
      </c>
    </row>
    <row r="72" spans="1:31">
      <c r="A72" s="233"/>
      <c r="B72" s="301">
        <v>50952</v>
      </c>
      <c r="C72" s="233">
        <v>51047</v>
      </c>
      <c r="D72" s="233">
        <v>51049</v>
      </c>
      <c r="E72" s="295">
        <v>95</v>
      </c>
      <c r="F72" s="241">
        <v>0.26027397260273971</v>
      </c>
      <c r="G72" s="296">
        <v>4.3831731209506702E-2</v>
      </c>
      <c r="H72" s="240">
        <v>1140825.8807953799</v>
      </c>
      <c r="I72" s="240">
        <v>0</v>
      </c>
      <c r="J72" s="261">
        <v>1140825.8807953799</v>
      </c>
      <c r="K72" s="241">
        <v>15.271731690622861</v>
      </c>
      <c r="L72" s="234">
        <v>4.3618356207571325E-2</v>
      </c>
      <c r="M72" s="237">
        <v>0.51369384011684416</v>
      </c>
      <c r="N72" s="240">
        <v>586035.22761045978</v>
      </c>
      <c r="O72" s="236"/>
      <c r="P72" s="297">
        <v>62</v>
      </c>
      <c r="Q72" s="298">
        <v>51047</v>
      </c>
      <c r="R72" s="298">
        <v>51138</v>
      </c>
      <c r="S72" s="297">
        <v>91</v>
      </c>
      <c r="T72" s="299">
        <v>0.24931506849315069</v>
      </c>
      <c r="U72" s="235">
        <v>0.52562568112129548</v>
      </c>
      <c r="V72" s="235">
        <v>0.52013745639923936</v>
      </c>
      <c r="W72" s="300">
        <v>4.2321906986657998E-2</v>
      </c>
      <c r="X72" s="236"/>
      <c r="Y72" s="211"/>
      <c r="Z72" s="237"/>
      <c r="AA72" s="238"/>
      <c r="AB72" s="211"/>
      <c r="AC72" s="237"/>
      <c r="AD72" s="238"/>
      <c r="AE72" s="294">
        <v>35226</v>
      </c>
    </row>
    <row r="73" spans="1:31">
      <c r="A73" s="233"/>
      <c r="B73" s="301">
        <v>51047</v>
      </c>
      <c r="C73" s="233">
        <v>51138</v>
      </c>
      <c r="D73" s="233">
        <v>51140</v>
      </c>
      <c r="E73" s="295">
        <v>91</v>
      </c>
      <c r="F73" s="241">
        <v>0.24931506849315069</v>
      </c>
      <c r="G73" s="296">
        <v>4.3821906986657999E-2</v>
      </c>
      <c r="H73" s="240">
        <v>1092546.1741879117</v>
      </c>
      <c r="I73" s="240">
        <v>0</v>
      </c>
      <c r="J73" s="261">
        <v>1092546.1741879117</v>
      </c>
      <c r="K73" s="241">
        <v>15.519001610305958</v>
      </c>
      <c r="L73" s="234">
        <v>4.3623607423553326E-2</v>
      </c>
      <c r="M73" s="237">
        <v>0.50814175052859512</v>
      </c>
      <c r="N73" s="240">
        <v>555168.32548516488</v>
      </c>
      <c r="O73" s="236"/>
      <c r="P73" s="297">
        <v>63</v>
      </c>
      <c r="Q73" s="298">
        <v>51138</v>
      </c>
      <c r="R73" s="298">
        <v>51229</v>
      </c>
      <c r="S73" s="297">
        <v>91</v>
      </c>
      <c r="T73" s="299">
        <v>0.24931506849315069</v>
      </c>
      <c r="U73" s="235">
        <v>0.52013745639923936</v>
      </c>
      <c r="V73" s="235">
        <v>0.51470653597505456</v>
      </c>
      <c r="W73" s="300">
        <v>4.2321906986657998E-2</v>
      </c>
      <c r="X73" s="236"/>
      <c r="Y73" s="211"/>
      <c r="Z73" s="237"/>
      <c r="AA73" s="238"/>
      <c r="AB73" s="211"/>
      <c r="AC73" s="237"/>
      <c r="AD73" s="238"/>
      <c r="AE73" s="294">
        <v>35282</v>
      </c>
    </row>
    <row r="74" spans="1:31">
      <c r="A74" s="233"/>
      <c r="B74" s="301">
        <v>51138</v>
      </c>
      <c r="C74" s="233">
        <v>51229</v>
      </c>
      <c r="D74" s="233">
        <v>51231</v>
      </c>
      <c r="E74" s="295">
        <v>91</v>
      </c>
      <c r="F74" s="241">
        <v>0.24931506849315069</v>
      </c>
      <c r="G74" s="296">
        <v>4.3821906986657999E-2</v>
      </c>
      <c r="H74" s="240">
        <v>1092546.1741879117</v>
      </c>
      <c r="I74" s="240">
        <v>0</v>
      </c>
      <c r="J74" s="261">
        <v>1092546.1741879117</v>
      </c>
      <c r="K74" s="241">
        <v>15.768115942028984</v>
      </c>
      <c r="L74" s="234">
        <v>4.3623590633644418E-2</v>
      </c>
      <c r="M74" s="237">
        <v>0.50264966886021689</v>
      </c>
      <c r="N74" s="240">
        <v>549167.97267005069</v>
      </c>
      <c r="O74" s="236"/>
      <c r="P74" s="297">
        <v>64</v>
      </c>
      <c r="Q74" s="298">
        <v>51229</v>
      </c>
      <c r="R74" s="298">
        <v>51319</v>
      </c>
      <c r="S74" s="297">
        <v>90</v>
      </c>
      <c r="T74" s="299">
        <v>0.24657534246575341</v>
      </c>
      <c r="U74" s="235">
        <v>0.51470653597505456</v>
      </c>
      <c r="V74" s="235">
        <v>0.50939107280957097</v>
      </c>
      <c r="W74" s="300">
        <v>4.2319462043628811E-2</v>
      </c>
      <c r="X74" s="236"/>
      <c r="Y74" s="211"/>
      <c r="Z74" s="237"/>
      <c r="AA74" s="238"/>
      <c r="AB74" s="211"/>
      <c r="AC74" s="237"/>
      <c r="AD74" s="238"/>
      <c r="AE74" s="294">
        <v>35345</v>
      </c>
    </row>
    <row r="75" spans="1:31">
      <c r="A75" s="233"/>
      <c r="B75" s="301">
        <v>51229</v>
      </c>
      <c r="C75" s="233">
        <v>51319</v>
      </c>
      <c r="D75" s="233">
        <v>51321</v>
      </c>
      <c r="E75" s="295">
        <v>90</v>
      </c>
      <c r="F75" s="241">
        <v>0.24657534246575341</v>
      </c>
      <c r="G75" s="296">
        <v>4.3819462043628812E-2</v>
      </c>
      <c r="H75" s="240">
        <v>1080479.8860072857</v>
      </c>
      <c r="I75" s="240">
        <v>0</v>
      </c>
      <c r="J75" s="261">
        <v>1080479.8860072857</v>
      </c>
      <c r="K75" s="241">
        <v>16.014492753623188</v>
      </c>
      <c r="L75" s="234">
        <v>4.3623574542014029E-2</v>
      </c>
      <c r="M75" s="237">
        <v>0.49727632653295117</v>
      </c>
      <c r="N75" s="240">
        <v>537297.06860644487</v>
      </c>
      <c r="O75" s="236"/>
      <c r="P75" s="297">
        <v>65</v>
      </c>
      <c r="Q75" s="298">
        <v>51319</v>
      </c>
      <c r="R75" s="298">
        <v>51411</v>
      </c>
      <c r="S75" s="297">
        <v>92</v>
      </c>
      <c r="T75" s="299">
        <v>0.25205479452054796</v>
      </c>
      <c r="U75" s="235">
        <v>0.50939107280957097</v>
      </c>
      <c r="V75" s="235">
        <v>0.50401422093816128</v>
      </c>
      <c r="W75" s="300">
        <v>4.2324352117863E-2</v>
      </c>
      <c r="X75" s="236"/>
      <c r="Y75" s="211"/>
      <c r="Z75" s="237"/>
      <c r="AA75" s="238"/>
      <c r="AB75" s="211"/>
      <c r="AC75" s="237"/>
      <c r="AD75" s="238"/>
      <c r="AE75" s="294">
        <v>35424</v>
      </c>
    </row>
    <row r="76" spans="1:31">
      <c r="A76" s="233"/>
      <c r="B76" s="301">
        <v>51319</v>
      </c>
      <c r="C76" s="233">
        <v>51411</v>
      </c>
      <c r="D76" s="233">
        <v>51413</v>
      </c>
      <c r="E76" s="295">
        <v>92</v>
      </c>
      <c r="F76" s="241">
        <v>0.25205479452054796</v>
      </c>
      <c r="G76" s="296">
        <v>4.3824352117863001E-2</v>
      </c>
      <c r="H76" s="240">
        <v>1104613.80680641</v>
      </c>
      <c r="I76" s="240">
        <v>0</v>
      </c>
      <c r="J76" s="261">
        <v>1104613.80680641</v>
      </c>
      <c r="K76" s="241">
        <v>16.266344605475041</v>
      </c>
      <c r="L76" s="234">
        <v>4.3623558596621953E-2</v>
      </c>
      <c r="M76" s="237">
        <v>0.49184294199014883</v>
      </c>
      <c r="N76" s="240">
        <v>543296.50450260262</v>
      </c>
      <c r="O76" s="236"/>
      <c r="P76" s="297">
        <v>66</v>
      </c>
      <c r="Q76" s="298">
        <v>51411</v>
      </c>
      <c r="R76" s="298">
        <v>51503</v>
      </c>
      <c r="S76" s="297">
        <v>92</v>
      </c>
      <c r="T76" s="299">
        <v>0.25205479452054796</v>
      </c>
      <c r="U76" s="235">
        <v>0.50401422093816128</v>
      </c>
      <c r="V76" s="235">
        <v>0.49869412415648584</v>
      </c>
      <c r="W76" s="300">
        <v>4.2324352117862118E-2</v>
      </c>
      <c r="X76" s="236"/>
      <c r="Y76" s="211"/>
      <c r="Z76" s="237"/>
      <c r="AA76" s="238"/>
      <c r="AB76" s="211"/>
      <c r="AC76" s="237"/>
      <c r="AD76" s="238"/>
      <c r="AE76" s="294">
        <v>35425</v>
      </c>
    </row>
    <row r="77" spans="1:31">
      <c r="A77" s="233"/>
      <c r="B77" s="301">
        <v>51411</v>
      </c>
      <c r="C77" s="233">
        <v>51503</v>
      </c>
      <c r="D77" s="233">
        <v>51505</v>
      </c>
      <c r="E77" s="295">
        <v>92</v>
      </c>
      <c r="F77" s="241">
        <v>0.25205479452054796</v>
      </c>
      <c r="G77" s="296">
        <v>4.382435211786212E-2</v>
      </c>
      <c r="H77" s="240">
        <v>1104613.8068063878</v>
      </c>
      <c r="I77" s="240">
        <v>0</v>
      </c>
      <c r="J77" s="261">
        <v>1104613.8068063878</v>
      </c>
      <c r="K77" s="241">
        <v>16.51893536121673</v>
      </c>
      <c r="L77" s="234">
        <v>4.3621591824926878E-2</v>
      </c>
      <c r="M77" s="237">
        <v>0.48646892417368109</v>
      </c>
      <c r="N77" s="240">
        <v>537360.29022449791</v>
      </c>
      <c r="O77" s="236"/>
      <c r="P77" s="297">
        <v>67</v>
      </c>
      <c r="Q77" s="298">
        <v>51503</v>
      </c>
      <c r="R77" s="298">
        <v>51592</v>
      </c>
      <c r="S77" s="297">
        <v>89</v>
      </c>
      <c r="T77" s="299">
        <v>0.24383561643835616</v>
      </c>
      <c r="U77" s="235">
        <v>0.49869412415648584</v>
      </c>
      <c r="V77" s="235">
        <v>0.4936009540483951</v>
      </c>
      <c r="W77" s="300">
        <v>4.2317017288761312E-2</v>
      </c>
      <c r="X77" s="236"/>
      <c r="Y77" s="211"/>
      <c r="Z77" s="237"/>
      <c r="AA77" s="238"/>
      <c r="AB77" s="211"/>
      <c r="AC77" s="237"/>
      <c r="AD77" s="238"/>
      <c r="AE77" s="294">
        <v>35431</v>
      </c>
    </row>
    <row r="78" spans="1:31">
      <c r="A78" s="233"/>
      <c r="B78" s="301">
        <v>51503</v>
      </c>
      <c r="C78" s="233">
        <v>51592</v>
      </c>
      <c r="D78" s="233">
        <v>51594</v>
      </c>
      <c r="E78" s="295">
        <v>89</v>
      </c>
      <c r="F78" s="241">
        <v>0.24383561643835616</v>
      </c>
      <c r="G78" s="296">
        <v>4.3817017288761313E-2</v>
      </c>
      <c r="H78" s="240">
        <v>1068414.9421095224</v>
      </c>
      <c r="I78" s="240">
        <v>0</v>
      </c>
      <c r="J78" s="261">
        <v>1068414.9421095224</v>
      </c>
      <c r="K78" s="241">
        <v>16.762585551330798</v>
      </c>
      <c r="L78" s="234">
        <v>4.3621577312604978E-2</v>
      </c>
      <c r="M78" s="237">
        <v>0.48132602993080975</v>
      </c>
      <c r="N78" s="240">
        <v>514255.92240433238</v>
      </c>
      <c r="O78" s="236"/>
      <c r="P78" s="297">
        <v>68</v>
      </c>
      <c r="Q78" s="298">
        <v>51592</v>
      </c>
      <c r="R78" s="298">
        <v>51683</v>
      </c>
      <c r="S78" s="297">
        <v>91</v>
      </c>
      <c r="T78" s="299">
        <v>0.24931506849315069</v>
      </c>
      <c r="U78" s="235">
        <v>0.4936009540483951</v>
      </c>
      <c r="V78" s="235">
        <v>0.48844710967560895</v>
      </c>
      <c r="W78" s="300">
        <v>4.232190698665711E-2</v>
      </c>
      <c r="X78" s="236"/>
      <c r="Y78" s="211"/>
      <c r="Z78" s="237"/>
      <c r="AA78" s="238"/>
      <c r="AB78" s="211"/>
      <c r="AC78" s="237"/>
      <c r="AD78" s="238"/>
      <c r="AE78" s="294">
        <v>35457</v>
      </c>
    </row>
    <row r="79" spans="1:31">
      <c r="A79" s="233"/>
      <c r="B79" s="301">
        <v>51592</v>
      </c>
      <c r="C79" s="233">
        <v>51683</v>
      </c>
      <c r="D79" s="233">
        <v>51685</v>
      </c>
      <c r="E79" s="295">
        <v>91</v>
      </c>
      <c r="F79" s="241">
        <v>0.24931506849315069</v>
      </c>
      <c r="G79" s="296">
        <v>4.3821906986657111E-2</v>
      </c>
      <c r="H79" s="240">
        <v>1092546.1741878896</v>
      </c>
      <c r="I79" s="240">
        <v>0</v>
      </c>
      <c r="J79" s="261">
        <v>1092546.1741878896</v>
      </c>
      <c r="K79" s="241">
        <v>17.01171102661597</v>
      </c>
      <c r="L79" s="234">
        <v>4.3621562903986374E-2</v>
      </c>
      <c r="M79" s="237">
        <v>0.47612377708945919</v>
      </c>
      <c r="N79" s="240">
        <v>520187.2110989762</v>
      </c>
      <c r="O79" s="236"/>
      <c r="P79" s="297">
        <v>69</v>
      </c>
      <c r="Q79" s="298">
        <v>51683</v>
      </c>
      <c r="R79" s="298">
        <v>51775</v>
      </c>
      <c r="S79" s="297">
        <v>92</v>
      </c>
      <c r="T79" s="299">
        <v>0.25205479452054796</v>
      </c>
      <c r="U79" s="235">
        <v>0.48844710967560895</v>
      </c>
      <c r="V79" s="235">
        <v>0.48329133075459568</v>
      </c>
      <c r="W79" s="300">
        <v>4.2324352117862118E-2</v>
      </c>
      <c r="X79" s="236"/>
      <c r="Y79" s="211"/>
      <c r="Z79" s="237"/>
      <c r="AA79" s="238"/>
      <c r="AB79" s="211"/>
      <c r="AC79" s="237"/>
      <c r="AD79" s="238"/>
      <c r="AE79" s="294">
        <v>35517</v>
      </c>
    </row>
    <row r="80" spans="1:31">
      <c r="A80" s="233"/>
      <c r="B80" s="301">
        <v>51683</v>
      </c>
      <c r="C80" s="233">
        <v>51775</v>
      </c>
      <c r="D80" s="233">
        <v>51777</v>
      </c>
      <c r="E80" s="295">
        <v>92</v>
      </c>
      <c r="F80" s="241">
        <v>0.25205479452054796</v>
      </c>
      <c r="G80" s="296">
        <v>4.382435211786212E-2</v>
      </c>
      <c r="H80" s="240">
        <v>1104613.8068063878</v>
      </c>
      <c r="I80" s="240">
        <v>0</v>
      </c>
      <c r="J80" s="261">
        <v>1104613.8068063878</v>
      </c>
      <c r="K80" s="241">
        <v>17.263574144486693</v>
      </c>
      <c r="L80" s="234">
        <v>4.3621548759764067E-2</v>
      </c>
      <c r="M80" s="237">
        <v>0.47092151140161703</v>
      </c>
      <c r="N80" s="240">
        <v>520186.40341635799</v>
      </c>
      <c r="O80" s="236"/>
      <c r="P80" s="297">
        <v>70</v>
      </c>
      <c r="Q80" s="298">
        <v>51775</v>
      </c>
      <c r="R80" s="298">
        <v>51868</v>
      </c>
      <c r="S80" s="297">
        <v>93</v>
      </c>
      <c r="T80" s="299">
        <v>0.25479452054794521</v>
      </c>
      <c r="U80" s="235">
        <v>0.48329133075459568</v>
      </c>
      <c r="V80" s="235">
        <v>0.47813482072576269</v>
      </c>
      <c r="W80" s="300">
        <v>4.2326797437259076E-2</v>
      </c>
      <c r="X80" s="236"/>
      <c r="Y80" s="211"/>
      <c r="Z80" s="237"/>
      <c r="AA80" s="238"/>
      <c r="AB80" s="211"/>
      <c r="AC80" s="237"/>
      <c r="AD80" s="238"/>
      <c r="AE80" s="294">
        <v>35520</v>
      </c>
    </row>
    <row r="81" spans="1:31">
      <c r="A81" s="233"/>
      <c r="B81" s="301">
        <v>51775</v>
      </c>
      <c r="C81" s="233">
        <v>51868</v>
      </c>
      <c r="D81" s="233">
        <v>51872</v>
      </c>
      <c r="E81" s="295">
        <v>93</v>
      </c>
      <c r="F81" s="241">
        <v>0.25479452054794521</v>
      </c>
      <c r="G81" s="296">
        <v>4.3826797437259077E-2</v>
      </c>
      <c r="H81" s="240">
        <v>1116682.7840178341</v>
      </c>
      <c r="I81" s="240">
        <v>0</v>
      </c>
      <c r="J81" s="261">
        <v>1116682.7840178341</v>
      </c>
      <c r="K81" s="241">
        <v>17.524351585014411</v>
      </c>
      <c r="L81" s="234">
        <v>4.361978867207475E-2</v>
      </c>
      <c r="M81" s="237">
        <v>0.46560925147611976</v>
      </c>
      <c r="N81" s="240">
        <v>519937.83520281326</v>
      </c>
      <c r="O81" s="236"/>
      <c r="P81" s="297">
        <v>71</v>
      </c>
      <c r="Q81" s="298">
        <v>51868</v>
      </c>
      <c r="R81" s="298">
        <v>51957</v>
      </c>
      <c r="S81" s="297">
        <v>89</v>
      </c>
      <c r="T81" s="299">
        <v>0.24383561643835616</v>
      </c>
      <c r="U81" s="235">
        <v>0.47813482072576269</v>
      </c>
      <c r="V81" s="235">
        <v>0.47325162307293928</v>
      </c>
      <c r="W81" s="300">
        <v>4.2317017288761312E-2</v>
      </c>
      <c r="X81" s="236"/>
      <c r="Y81" s="211"/>
      <c r="Z81" s="237"/>
      <c r="AA81" s="238"/>
      <c r="AB81" s="211"/>
      <c r="AC81" s="237"/>
      <c r="AD81" s="238"/>
      <c r="AE81" s="294">
        <v>35545</v>
      </c>
    </row>
    <row r="82" spans="1:31">
      <c r="A82" s="233"/>
      <c r="B82" s="301">
        <v>51868</v>
      </c>
      <c r="C82" s="233">
        <v>51957</v>
      </c>
      <c r="D82" s="233">
        <v>51959</v>
      </c>
      <c r="E82" s="295">
        <v>89</v>
      </c>
      <c r="F82" s="241">
        <v>0.24383561643835616</v>
      </c>
      <c r="G82" s="296">
        <v>4.3817017288761313E-2</v>
      </c>
      <c r="H82" s="240">
        <v>1068414.9421095224</v>
      </c>
      <c r="I82" s="240">
        <v>0</v>
      </c>
      <c r="J82" s="261">
        <v>1068414.9421095224</v>
      </c>
      <c r="K82" s="241">
        <v>17.762536023054757</v>
      </c>
      <c r="L82" s="234">
        <v>4.3619776052065781E-2</v>
      </c>
      <c r="M82" s="237">
        <v>0.46079692470389422</v>
      </c>
      <c r="N82" s="240">
        <v>492322.3196317571</v>
      </c>
      <c r="O82" s="236"/>
      <c r="P82" s="297">
        <v>72</v>
      </c>
      <c r="Q82" s="298">
        <v>51957</v>
      </c>
      <c r="R82" s="298">
        <v>52048</v>
      </c>
      <c r="S82" s="297">
        <v>91</v>
      </c>
      <c r="T82" s="299">
        <v>0.24931506849315069</v>
      </c>
      <c r="U82" s="235">
        <v>0.47325162307293928</v>
      </c>
      <c r="V82" s="235">
        <v>0.46831025252962533</v>
      </c>
      <c r="W82" s="300">
        <v>4.2321906986657998E-2</v>
      </c>
      <c r="X82" s="236"/>
      <c r="Y82" s="211"/>
      <c r="Z82" s="237"/>
      <c r="AA82" s="238"/>
      <c r="AB82" s="211"/>
      <c r="AC82" s="237"/>
      <c r="AD82" s="238"/>
      <c r="AE82" s="294">
        <v>35590</v>
      </c>
    </row>
    <row r="83" spans="1:31">
      <c r="A83" s="233"/>
      <c r="B83" s="301">
        <v>51957</v>
      </c>
      <c r="C83" s="233">
        <v>52048</v>
      </c>
      <c r="D83" s="233">
        <v>52050</v>
      </c>
      <c r="E83" s="295">
        <v>91</v>
      </c>
      <c r="F83" s="241">
        <v>0.24931506849315069</v>
      </c>
      <c r="G83" s="296">
        <v>4.3821906986657999E-2</v>
      </c>
      <c r="H83" s="240">
        <v>1092546.1741879117</v>
      </c>
      <c r="I83" s="240">
        <v>0</v>
      </c>
      <c r="J83" s="261">
        <v>1092546.1741879117</v>
      </c>
      <c r="K83" s="241">
        <v>18.011671469740634</v>
      </c>
      <c r="L83" s="234">
        <v>4.3619763208969348E-2</v>
      </c>
      <c r="M83" s="237">
        <v>0.4558165538912643</v>
      </c>
      <c r="N83" s="240">
        <v>498000.63208541885</v>
      </c>
      <c r="O83" s="236"/>
      <c r="P83" s="297">
        <v>73</v>
      </c>
      <c r="Q83" s="298">
        <v>52048</v>
      </c>
      <c r="R83" s="298">
        <v>52140</v>
      </c>
      <c r="S83" s="297">
        <v>92</v>
      </c>
      <c r="T83" s="299">
        <v>0.25205479452054796</v>
      </c>
      <c r="U83" s="235">
        <v>0.46831025252962533</v>
      </c>
      <c r="V83" s="235">
        <v>0.46336702719231054</v>
      </c>
      <c r="W83" s="300">
        <v>4.2324352117862118E-2</v>
      </c>
      <c r="X83" s="236"/>
      <c r="Y83" s="211"/>
      <c r="Z83" s="237"/>
      <c r="AA83" s="238"/>
      <c r="AB83" s="211"/>
      <c r="AC83" s="237"/>
      <c r="AD83" s="238"/>
      <c r="AE83" s="294">
        <v>35646</v>
      </c>
    </row>
    <row r="84" spans="1:31">
      <c r="A84" s="233"/>
      <c r="B84" s="301">
        <v>52048</v>
      </c>
      <c r="C84" s="233">
        <v>52140</v>
      </c>
      <c r="D84" s="233">
        <v>52142</v>
      </c>
      <c r="E84" s="295">
        <v>92</v>
      </c>
      <c r="F84" s="241">
        <v>0.25205479452054796</v>
      </c>
      <c r="G84" s="296">
        <v>4.382435211786212E-2</v>
      </c>
      <c r="H84" s="240">
        <v>1104613.8068063878</v>
      </c>
      <c r="I84" s="240">
        <v>0</v>
      </c>
      <c r="J84" s="261">
        <v>1104613.8068063878</v>
      </c>
      <c r="K84" s="241">
        <v>18.263544668587897</v>
      </c>
      <c r="L84" s="234">
        <v>4.361975058092555E-2</v>
      </c>
      <c r="M84" s="237">
        <v>0.45083617078006033</v>
      </c>
      <c r="N84" s="240">
        <v>497999.85885137721</v>
      </c>
      <c r="O84" s="236"/>
      <c r="P84" s="297">
        <v>74</v>
      </c>
      <c r="Q84" s="298">
        <v>52140</v>
      </c>
      <c r="R84" s="298">
        <v>52233</v>
      </c>
      <c r="S84" s="297">
        <v>93</v>
      </c>
      <c r="T84" s="299">
        <v>0.25479452054794521</v>
      </c>
      <c r="U84" s="235">
        <v>0.46336702719231054</v>
      </c>
      <c r="V84" s="235">
        <v>0.45842310088803151</v>
      </c>
      <c r="W84" s="300">
        <v>4.2326797437259076E-2</v>
      </c>
      <c r="X84" s="236"/>
      <c r="Y84" s="211"/>
      <c r="Z84" s="237"/>
      <c r="AA84" s="238"/>
      <c r="AB84" s="211"/>
      <c r="AC84" s="237"/>
      <c r="AD84" s="238"/>
      <c r="AE84" s="294">
        <v>35709</v>
      </c>
    </row>
    <row r="85" spans="1:31">
      <c r="A85" s="233"/>
      <c r="B85" s="301">
        <v>52140</v>
      </c>
      <c r="C85" s="233">
        <v>52233</v>
      </c>
      <c r="D85" s="233">
        <v>52237</v>
      </c>
      <c r="E85" s="295">
        <v>93</v>
      </c>
      <c r="F85" s="241">
        <v>0.25479452054794521</v>
      </c>
      <c r="G85" s="296">
        <v>4.3826797437259077E-2</v>
      </c>
      <c r="H85" s="240">
        <v>1116682.7840178341</v>
      </c>
      <c r="I85" s="240">
        <v>0</v>
      </c>
      <c r="J85" s="261">
        <v>1116682.7840178341</v>
      </c>
      <c r="K85" s="241">
        <v>18.524298425735797</v>
      </c>
      <c r="L85" s="234">
        <v>4.3618166585288144E-2</v>
      </c>
      <c r="M85" s="237">
        <v>0.4457504848111366</v>
      </c>
      <c r="N85" s="240">
        <v>497761.89235619933</v>
      </c>
      <c r="O85" s="236"/>
      <c r="P85" s="297">
        <v>75</v>
      </c>
      <c r="Q85" s="298">
        <v>52233</v>
      </c>
      <c r="R85" s="298">
        <v>52322</v>
      </c>
      <c r="S85" s="297">
        <v>89</v>
      </c>
      <c r="T85" s="299">
        <v>0.24383561643835616</v>
      </c>
      <c r="U85" s="235">
        <v>0.45842310088803151</v>
      </c>
      <c r="V85" s="235">
        <v>0.4537412193073122</v>
      </c>
      <c r="W85" s="300">
        <v>4.2317017288761312E-2</v>
      </c>
      <c r="X85" s="236"/>
      <c r="Y85" s="211"/>
      <c r="Z85" s="237"/>
      <c r="AA85" s="238"/>
      <c r="AB85" s="211"/>
      <c r="AC85" s="237"/>
      <c r="AD85" s="238"/>
      <c r="AE85" s="294">
        <v>35789</v>
      </c>
    </row>
    <row r="86" spans="1:31">
      <c r="A86" s="233"/>
      <c r="B86" s="301">
        <v>52233</v>
      </c>
      <c r="C86" s="233">
        <v>52322</v>
      </c>
      <c r="D86" s="233">
        <v>52324</v>
      </c>
      <c r="E86" s="295">
        <v>89</v>
      </c>
      <c r="F86" s="241">
        <v>0.24383561643835616</v>
      </c>
      <c r="G86" s="296">
        <v>4.3817017288761313E-2</v>
      </c>
      <c r="H86" s="240">
        <v>1068414.9421095224</v>
      </c>
      <c r="I86" s="240">
        <v>0</v>
      </c>
      <c r="J86" s="261">
        <v>1068414.9421095224</v>
      </c>
      <c r="K86" s="241">
        <v>18.762491444216291</v>
      </c>
      <c r="L86" s="234">
        <v>4.3618155282386162E-2</v>
      </c>
      <c r="M86" s="237">
        <v>0.44114340927518325</v>
      </c>
      <c r="N86" s="240">
        <v>471324.21008274227</v>
      </c>
      <c r="O86" s="236"/>
      <c r="P86" s="297">
        <v>76</v>
      </c>
      <c r="Q86" s="298">
        <v>52322</v>
      </c>
      <c r="R86" s="298">
        <v>52413</v>
      </c>
      <c r="S86" s="297">
        <v>91</v>
      </c>
      <c r="T86" s="299">
        <v>0.24931506849315069</v>
      </c>
      <c r="U86" s="235">
        <v>0.4537412193073122</v>
      </c>
      <c r="V86" s="235">
        <v>0.4490035630879548</v>
      </c>
      <c r="W86" s="300">
        <v>4.2321906986657998E-2</v>
      </c>
      <c r="X86" s="236"/>
      <c r="Y86" s="211"/>
      <c r="Z86" s="237"/>
      <c r="AA86" s="238"/>
      <c r="AB86" s="211"/>
      <c r="AC86" s="237"/>
      <c r="AD86" s="238"/>
      <c r="AE86" s="294">
        <v>35790</v>
      </c>
    </row>
    <row r="87" spans="1:31">
      <c r="A87" s="233"/>
      <c r="B87" s="301">
        <v>52322</v>
      </c>
      <c r="C87" s="233">
        <v>52413</v>
      </c>
      <c r="D87" s="233">
        <v>52415</v>
      </c>
      <c r="E87" s="295">
        <v>91</v>
      </c>
      <c r="F87" s="241">
        <v>0.24931506849315069</v>
      </c>
      <c r="G87" s="296">
        <v>4.3821906986657999E-2</v>
      </c>
      <c r="H87" s="240">
        <v>1092546.1741879117</v>
      </c>
      <c r="I87" s="240">
        <v>0</v>
      </c>
      <c r="J87" s="261">
        <v>1092546.1741879117</v>
      </c>
      <c r="K87" s="241">
        <v>19.01163586584531</v>
      </c>
      <c r="L87" s="234">
        <v>4.3618143762866178E-2</v>
      </c>
      <c r="M87" s="237">
        <v>0.4363754569691865</v>
      </c>
      <c r="N87" s="240">
        <v>476760.33602118638</v>
      </c>
      <c r="O87" s="236"/>
      <c r="P87" s="297">
        <v>77</v>
      </c>
      <c r="Q87" s="298">
        <v>52413</v>
      </c>
      <c r="R87" s="298">
        <v>52505</v>
      </c>
      <c r="S87" s="297">
        <v>92</v>
      </c>
      <c r="T87" s="299">
        <v>0.25205479452054796</v>
      </c>
      <c r="U87" s="235">
        <v>0.4490035630879548</v>
      </c>
      <c r="V87" s="235">
        <v>0.44426412854085273</v>
      </c>
      <c r="W87" s="300">
        <v>4.2324352117863E-2</v>
      </c>
      <c r="X87" s="236"/>
      <c r="Y87" s="211"/>
      <c r="Z87" s="237"/>
      <c r="AA87" s="238"/>
      <c r="AB87" s="211"/>
      <c r="AC87" s="237"/>
      <c r="AD87" s="238"/>
      <c r="AE87" s="294">
        <v>35796</v>
      </c>
    </row>
    <row r="88" spans="1:31">
      <c r="A88" s="233"/>
      <c r="B88" s="301">
        <v>52413</v>
      </c>
      <c r="C88" s="233">
        <v>52505</v>
      </c>
      <c r="D88" s="233">
        <v>52510</v>
      </c>
      <c r="E88" s="295">
        <v>92</v>
      </c>
      <c r="F88" s="241">
        <v>0.25205479452054796</v>
      </c>
      <c r="G88" s="296">
        <v>4.3824352117863001E-2</v>
      </c>
      <c r="H88" s="240">
        <v>1104613.80680641</v>
      </c>
      <c r="I88" s="240">
        <v>0</v>
      </c>
      <c r="J88" s="261">
        <v>1104613.80680641</v>
      </c>
      <c r="K88" s="241">
        <v>19.271731690622861</v>
      </c>
      <c r="L88" s="234">
        <v>4.3618132054767812E-2</v>
      </c>
      <c r="M88" s="237">
        <v>0.43145289599797831</v>
      </c>
      <c r="N88" s="240">
        <v>476588.82590597693</v>
      </c>
      <c r="O88" s="236"/>
      <c r="P88" s="297">
        <v>78</v>
      </c>
      <c r="Q88" s="298">
        <v>52505</v>
      </c>
      <c r="R88" s="298">
        <v>52600</v>
      </c>
      <c r="S88" s="297">
        <v>95</v>
      </c>
      <c r="T88" s="299">
        <v>0.26027397260273971</v>
      </c>
      <c r="U88" s="235">
        <v>0.44426412854085273</v>
      </c>
      <c r="V88" s="235">
        <v>0.43942264160285166</v>
      </c>
      <c r="W88" s="300">
        <v>4.2331688640695898E-2</v>
      </c>
      <c r="X88" s="236"/>
      <c r="Y88" s="211"/>
      <c r="Z88" s="237"/>
      <c r="AA88" s="238"/>
      <c r="AB88" s="211"/>
      <c r="AC88" s="237"/>
      <c r="AD88" s="238"/>
      <c r="AE88" s="294">
        <v>35821</v>
      </c>
    </row>
    <row r="89" spans="1:31">
      <c r="A89" s="233"/>
      <c r="B89" s="301">
        <v>52505</v>
      </c>
      <c r="C89" s="233">
        <v>52600</v>
      </c>
      <c r="D89" s="233">
        <v>52602</v>
      </c>
      <c r="E89" s="295">
        <v>95</v>
      </c>
      <c r="F89" s="241">
        <v>0.26027397260273971</v>
      </c>
      <c r="G89" s="296">
        <v>4.38316886406959E-2</v>
      </c>
      <c r="H89" s="240">
        <v>1140824.7728400303</v>
      </c>
      <c r="I89" s="240">
        <v>0</v>
      </c>
      <c r="J89" s="261">
        <v>1140824.7728400303</v>
      </c>
      <c r="K89" s="241">
        <v>19.521705123191239</v>
      </c>
      <c r="L89" s="234">
        <v>4.3622386010407764E-2</v>
      </c>
      <c r="M89" s="237">
        <v>0.42673871723864137</v>
      </c>
      <c r="N89" s="240">
        <v>486834.10015581897</v>
      </c>
      <c r="O89" s="236"/>
      <c r="P89" s="297">
        <v>79</v>
      </c>
      <c r="Q89" s="298">
        <v>52600</v>
      </c>
      <c r="R89" s="298">
        <v>52688</v>
      </c>
      <c r="S89" s="297">
        <v>88</v>
      </c>
      <c r="T89" s="299">
        <v>0.24109589041095891</v>
      </c>
      <c r="U89" s="235">
        <v>0.43942264160285166</v>
      </c>
      <c r="V89" s="235">
        <v>0.43498498154845211</v>
      </c>
      <c r="W89" s="300">
        <v>4.2314572722036148E-2</v>
      </c>
      <c r="X89" s="236"/>
      <c r="Y89" s="211"/>
      <c r="Z89" s="237"/>
      <c r="AA89" s="238"/>
      <c r="AB89" s="211"/>
      <c r="AC89" s="237"/>
      <c r="AD89" s="238"/>
      <c r="AE89" s="294">
        <v>35895</v>
      </c>
    </row>
    <row r="90" spans="1:31">
      <c r="A90" s="233"/>
      <c r="B90" s="301">
        <v>52600</v>
      </c>
      <c r="C90" s="233">
        <v>52688</v>
      </c>
      <c r="D90" s="233">
        <v>52692</v>
      </c>
      <c r="E90" s="295">
        <v>88</v>
      </c>
      <c r="F90" s="241">
        <v>0.24109589041095891</v>
      </c>
      <c r="G90" s="296">
        <v>4.3814572722036149E-2</v>
      </c>
      <c r="H90" s="240">
        <v>1056351.3423395017</v>
      </c>
      <c r="I90" s="240">
        <v>0</v>
      </c>
      <c r="J90" s="261">
        <v>1056351.3423395017</v>
      </c>
      <c r="K90" s="241">
        <v>19.768087602659367</v>
      </c>
      <c r="L90" s="234">
        <v>4.3622375480595561E-2</v>
      </c>
      <c r="M90" s="237">
        <v>0.42217686560702478</v>
      </c>
      <c r="N90" s="240">
        <v>445967.09868866403</v>
      </c>
      <c r="O90" s="236"/>
      <c r="P90" s="297">
        <v>80</v>
      </c>
      <c r="Q90" s="298">
        <v>52688</v>
      </c>
      <c r="R90" s="298">
        <v>52779</v>
      </c>
      <c r="S90" s="297">
        <v>91</v>
      </c>
      <c r="T90" s="299">
        <v>0.24931506849315069</v>
      </c>
      <c r="U90" s="235">
        <v>0.43498498154845211</v>
      </c>
      <c r="V90" s="235">
        <v>0.43044316516618436</v>
      </c>
      <c r="W90" s="300">
        <v>4.2321906986657998E-2</v>
      </c>
      <c r="X90" s="236"/>
      <c r="Y90" s="211"/>
      <c r="Z90" s="237"/>
      <c r="AA90" s="238"/>
      <c r="AB90" s="211"/>
      <c r="AC90" s="237"/>
      <c r="AD90" s="238"/>
      <c r="AE90" s="294">
        <v>35898</v>
      </c>
    </row>
    <row r="91" spans="1:31">
      <c r="A91" s="233"/>
      <c r="B91" s="301">
        <v>52688</v>
      </c>
      <c r="C91" s="233">
        <v>52779</v>
      </c>
      <c r="D91" s="233">
        <v>52783</v>
      </c>
      <c r="E91" s="295">
        <v>91</v>
      </c>
      <c r="F91" s="241">
        <v>0.24931506849315069</v>
      </c>
      <c r="G91" s="296">
        <v>4.3821906986657999E-2</v>
      </c>
      <c r="H91" s="240">
        <v>1092546.1741879117</v>
      </c>
      <c r="I91" s="240">
        <v>0</v>
      </c>
      <c r="J91" s="261">
        <v>1092546.1741879117</v>
      </c>
      <c r="K91" s="241">
        <v>20.017207665232696</v>
      </c>
      <c r="L91" s="234">
        <v>4.3622365097334762E-2</v>
      </c>
      <c r="M91" s="237">
        <v>0.41761390690110917</v>
      </c>
      <c r="N91" s="240">
        <v>456262.47627247352</v>
      </c>
      <c r="O91" s="236"/>
      <c r="P91" s="297"/>
      <c r="Q91" s="298"/>
      <c r="R91" s="298"/>
      <c r="S91" s="297"/>
      <c r="T91" s="299"/>
      <c r="U91" s="235"/>
      <c r="V91" s="235"/>
      <c r="W91" s="300"/>
      <c r="X91" s="236"/>
      <c r="Y91" s="211"/>
      <c r="Z91" s="237"/>
      <c r="AA91" s="238"/>
      <c r="AB91" s="211"/>
      <c r="AC91" s="237"/>
      <c r="AD91" s="238"/>
      <c r="AE91" s="294">
        <v>35912</v>
      </c>
    </row>
    <row r="92" spans="1:31">
      <c r="A92" s="233"/>
      <c r="B92" s="301"/>
      <c r="C92" s="233"/>
      <c r="D92" s="233">
        <v>52779</v>
      </c>
      <c r="E92" s="295" t="str">
        <v>n/a</v>
      </c>
      <c r="F92" s="241"/>
      <c r="G92" s="296"/>
      <c r="H92" s="240">
        <v>0</v>
      </c>
      <c r="I92" s="240">
        <v>100000000</v>
      </c>
      <c r="J92" s="261">
        <v>100000000</v>
      </c>
      <c r="K92" s="241">
        <v>20.006257332811888</v>
      </c>
      <c r="L92" s="234">
        <v>4.3622365548308416E-2</v>
      </c>
      <c r="M92" s="237">
        <v>0.41781343634410961</v>
      </c>
      <c r="N92" s="240">
        <v>41781343.634410962</v>
      </c>
      <c r="O92" s="236"/>
      <c r="P92" s="297"/>
      <c r="Q92" s="298"/>
      <c r="R92" s="298"/>
      <c r="S92" s="297"/>
      <c r="T92" s="299"/>
      <c r="U92" s="235"/>
      <c r="V92" s="235"/>
      <c r="W92" s="300"/>
      <c r="X92" s="236"/>
      <c r="Y92" s="211"/>
      <c r="Z92" s="237"/>
      <c r="AA92" s="238"/>
      <c r="AB92" s="211"/>
      <c r="AC92" s="237"/>
      <c r="AD92" s="238"/>
      <c r="AE92" s="294">
        <v>35954</v>
      </c>
    </row>
    <row r="93" spans="1:31">
      <c r="A93" s="233"/>
      <c r="B93" s="301"/>
      <c r="C93" s="233"/>
      <c r="D93" s="233"/>
      <c r="E93" s="295"/>
      <c r="F93" s="241"/>
      <c r="G93" s="296"/>
      <c r="H93" s="240"/>
      <c r="I93" s="240"/>
      <c r="J93" s="261"/>
      <c r="K93" s="241"/>
      <c r="L93" s="234"/>
      <c r="M93" s="237"/>
      <c r="N93" s="240"/>
      <c r="O93" s="236"/>
      <c r="P93" s="297"/>
      <c r="Q93" s="298"/>
      <c r="R93" s="298"/>
      <c r="S93" s="297"/>
      <c r="T93" s="299"/>
      <c r="U93" s="235"/>
      <c r="V93" s="235"/>
      <c r="W93" s="300"/>
      <c r="X93" s="236"/>
      <c r="Y93" s="211"/>
      <c r="Z93" s="237"/>
      <c r="AA93" s="238"/>
      <c r="AB93" s="211"/>
      <c r="AC93" s="237"/>
      <c r="AD93" s="238"/>
      <c r="AE93" s="294">
        <v>36010</v>
      </c>
    </row>
    <row r="94" spans="1:31">
      <c r="A94" s="233"/>
      <c r="B94" s="301"/>
      <c r="C94" s="233"/>
      <c r="D94" s="233"/>
      <c r="E94" s="295"/>
      <c r="F94" s="241"/>
      <c r="G94" s="296"/>
      <c r="H94" s="240"/>
      <c r="I94" s="240"/>
      <c r="J94" s="261"/>
      <c r="K94" s="241"/>
      <c r="L94" s="234"/>
      <c r="M94" s="237"/>
      <c r="N94" s="240"/>
      <c r="O94" s="236"/>
      <c r="P94" s="297"/>
      <c r="Q94" s="298"/>
      <c r="R94" s="298"/>
      <c r="S94" s="297"/>
      <c r="T94" s="299"/>
      <c r="U94" s="235"/>
      <c r="V94" s="235"/>
      <c r="W94" s="300"/>
      <c r="X94" s="236"/>
      <c r="Y94" s="211"/>
      <c r="Z94" s="237"/>
      <c r="AA94" s="238"/>
      <c r="AB94" s="211"/>
      <c r="AC94" s="237"/>
      <c r="AD94" s="238"/>
      <c r="AE94" s="294">
        <v>36073</v>
      </c>
    </row>
    <row r="95" spans="1:31">
      <c r="A95" s="233"/>
      <c r="B95" s="301"/>
      <c r="C95" s="233"/>
      <c r="D95" s="233"/>
      <c r="E95" s="295"/>
      <c r="F95" s="241"/>
      <c r="G95" s="296"/>
      <c r="H95" s="240"/>
      <c r="I95" s="240"/>
      <c r="J95" s="261"/>
      <c r="K95" s="241"/>
      <c r="L95" s="234"/>
      <c r="M95" s="237"/>
      <c r="N95" s="240"/>
      <c r="O95" s="236"/>
      <c r="P95" s="297"/>
      <c r="Q95" s="298"/>
      <c r="R95" s="298"/>
      <c r="S95" s="297"/>
      <c r="T95" s="299"/>
      <c r="U95" s="235"/>
      <c r="V95" s="235"/>
      <c r="W95" s="300"/>
      <c r="X95" s="236"/>
      <c r="Y95" s="211"/>
      <c r="Z95" s="237"/>
      <c r="AA95" s="238"/>
      <c r="AB95" s="211"/>
      <c r="AC95" s="237"/>
      <c r="AD95" s="238"/>
      <c r="AE95" s="294">
        <v>36154</v>
      </c>
    </row>
    <row r="96" spans="1:31">
      <c r="A96" s="233"/>
      <c r="B96" s="301"/>
      <c r="C96" s="233"/>
      <c r="D96" s="233"/>
      <c r="E96" s="295"/>
      <c r="F96" s="241"/>
      <c r="G96" s="296"/>
      <c r="H96" s="240"/>
      <c r="I96" s="240"/>
      <c r="J96" s="261"/>
      <c r="K96" s="241"/>
      <c r="L96" s="234"/>
      <c r="M96" s="237"/>
      <c r="N96" s="240"/>
      <c r="O96" s="236"/>
      <c r="P96" s="297"/>
      <c r="Q96" s="298"/>
      <c r="R96" s="298"/>
      <c r="S96" s="297"/>
      <c r="T96" s="299"/>
      <c r="U96" s="235"/>
      <c r="V96" s="235"/>
      <c r="W96" s="300"/>
      <c r="X96" s="236"/>
      <c r="Y96" s="211"/>
      <c r="Z96" s="237"/>
      <c r="AA96" s="238"/>
      <c r="AB96" s="211"/>
      <c r="AC96" s="237"/>
      <c r="AD96" s="238"/>
      <c r="AE96" s="294">
        <v>36161</v>
      </c>
    </row>
    <row r="97" spans="1:31">
      <c r="A97" s="233"/>
      <c r="B97" s="301"/>
      <c r="C97" s="233"/>
      <c r="D97" s="233"/>
      <c r="E97" s="295"/>
      <c r="F97" s="241"/>
      <c r="G97" s="296"/>
      <c r="H97" s="240"/>
      <c r="I97" s="240"/>
      <c r="J97" s="261"/>
      <c r="K97" s="241"/>
      <c r="L97" s="234"/>
      <c r="M97" s="237"/>
      <c r="N97" s="240"/>
      <c r="O97" s="236"/>
      <c r="P97" s="297"/>
      <c r="Q97" s="298"/>
      <c r="R97" s="298"/>
      <c r="S97" s="297"/>
      <c r="T97" s="299"/>
      <c r="U97" s="235"/>
      <c r="V97" s="235"/>
      <c r="W97" s="300"/>
      <c r="X97" s="236"/>
      <c r="Y97" s="211"/>
      <c r="Z97" s="237"/>
      <c r="AA97" s="238"/>
      <c r="AB97" s="211"/>
      <c r="AC97" s="237"/>
      <c r="AD97" s="238"/>
      <c r="AE97" s="294">
        <v>36186</v>
      </c>
    </row>
    <row r="98" spans="1:31">
      <c r="A98" s="233"/>
      <c r="B98" s="301"/>
      <c r="C98" s="233"/>
      <c r="D98" s="233"/>
      <c r="E98" s="295"/>
      <c r="F98" s="241"/>
      <c r="G98" s="296"/>
      <c r="H98" s="240"/>
      <c r="I98" s="240"/>
      <c r="J98" s="261"/>
      <c r="K98" s="241"/>
      <c r="L98" s="234"/>
      <c r="M98" s="237"/>
      <c r="N98" s="240"/>
      <c r="O98" s="236"/>
      <c r="P98" s="297"/>
      <c r="Q98" s="298"/>
      <c r="R98" s="298"/>
      <c r="S98" s="297"/>
      <c r="T98" s="299"/>
      <c r="U98" s="235"/>
      <c r="V98" s="235"/>
      <c r="W98" s="300"/>
      <c r="X98" s="236"/>
      <c r="Y98" s="211"/>
      <c r="Z98" s="237"/>
      <c r="AA98" s="238"/>
      <c r="AB98" s="211"/>
      <c r="AC98" s="237"/>
      <c r="AD98" s="238"/>
      <c r="AE98" s="294">
        <v>36252</v>
      </c>
    </row>
    <row r="99" spans="1:31">
      <c r="A99" s="233"/>
      <c r="B99" s="301"/>
      <c r="C99" s="233"/>
      <c r="D99" s="233"/>
      <c r="E99" s="295"/>
      <c r="F99" s="241"/>
      <c r="G99" s="296"/>
      <c r="H99" s="240"/>
      <c r="I99" s="240"/>
      <c r="J99" s="261"/>
      <c r="K99" s="241"/>
      <c r="L99" s="234"/>
      <c r="M99" s="237"/>
      <c r="N99" s="240"/>
      <c r="O99" s="236"/>
      <c r="P99" s="297"/>
      <c r="Q99" s="298"/>
      <c r="R99" s="298"/>
      <c r="S99" s="297"/>
      <c r="T99" s="299"/>
      <c r="U99" s="235"/>
      <c r="V99" s="235"/>
      <c r="W99" s="300"/>
      <c r="X99" s="236"/>
      <c r="Y99" s="211"/>
      <c r="Z99" s="237"/>
      <c r="AA99" s="238"/>
      <c r="AB99" s="211"/>
      <c r="AC99" s="237"/>
      <c r="AD99" s="238"/>
      <c r="AE99" s="294">
        <v>36255</v>
      </c>
    </row>
    <row r="100" spans="1:31">
      <c r="A100" s="233"/>
      <c r="B100" s="301"/>
      <c r="C100" s="233"/>
      <c r="D100" s="233"/>
      <c r="E100" s="295"/>
      <c r="F100" s="241"/>
      <c r="G100" s="296"/>
      <c r="H100" s="240"/>
      <c r="I100" s="240"/>
      <c r="J100" s="261"/>
      <c r="K100" s="241"/>
      <c r="L100" s="234"/>
      <c r="M100" s="237"/>
      <c r="N100" s="240"/>
      <c r="O100" s="236"/>
      <c r="P100" s="297"/>
      <c r="Q100" s="298"/>
      <c r="R100" s="298"/>
      <c r="S100" s="297"/>
      <c r="T100" s="299"/>
      <c r="U100" s="235"/>
      <c r="V100" s="235"/>
      <c r="W100" s="300"/>
      <c r="X100" s="236"/>
      <c r="Y100" s="211"/>
      <c r="Z100" s="237"/>
      <c r="AA100" s="238"/>
      <c r="AB100" s="211"/>
      <c r="AC100" s="237"/>
      <c r="AD100" s="238"/>
      <c r="AE100" s="294">
        <v>36276</v>
      </c>
    </row>
    <row r="101" spans="1:31">
      <c r="A101" s="233"/>
      <c r="B101" s="301"/>
      <c r="C101" s="233"/>
      <c r="D101" s="233"/>
      <c r="E101" s="295"/>
      <c r="F101" s="241"/>
      <c r="G101" s="296"/>
      <c r="H101" s="240"/>
      <c r="I101" s="240"/>
      <c r="J101" s="261"/>
      <c r="K101" s="241"/>
      <c r="L101" s="234"/>
      <c r="M101" s="237"/>
      <c r="N101" s="240"/>
      <c r="O101" s="236"/>
      <c r="P101" s="297"/>
      <c r="Q101" s="298"/>
      <c r="R101" s="298"/>
      <c r="S101" s="297"/>
      <c r="T101" s="299"/>
      <c r="U101" s="235"/>
      <c r="V101" s="235"/>
      <c r="W101" s="300"/>
      <c r="X101" s="236"/>
      <c r="Y101" s="211"/>
      <c r="Z101" s="237"/>
      <c r="AA101" s="238"/>
      <c r="AB101" s="211"/>
      <c r="AC101" s="237"/>
      <c r="AD101" s="238"/>
      <c r="AE101" s="294">
        <v>36325</v>
      </c>
    </row>
    <row r="102" spans="1:31">
      <c r="A102" s="233"/>
      <c r="B102" s="301"/>
      <c r="C102" s="233"/>
      <c r="D102" s="233"/>
      <c r="E102" s="295"/>
      <c r="F102" s="241"/>
      <c r="G102" s="296"/>
      <c r="H102" s="240"/>
      <c r="I102" s="240"/>
      <c r="J102" s="261"/>
      <c r="K102" s="241"/>
      <c r="L102" s="234"/>
      <c r="M102" s="237"/>
      <c r="N102" s="240"/>
      <c r="O102" s="236"/>
      <c r="P102" s="297"/>
      <c r="Q102" s="298"/>
      <c r="R102" s="298"/>
      <c r="S102" s="297"/>
      <c r="T102" s="299"/>
      <c r="U102" s="235"/>
      <c r="V102" s="235"/>
      <c r="W102" s="300"/>
      <c r="X102" s="236"/>
      <c r="Y102" s="211"/>
      <c r="Z102" s="237"/>
      <c r="AA102" s="238"/>
      <c r="AB102" s="211"/>
      <c r="AC102" s="237"/>
      <c r="AD102" s="238"/>
      <c r="AE102" s="294">
        <v>36374</v>
      </c>
    </row>
    <row r="103" spans="1:31">
      <c r="A103" s="233"/>
      <c r="B103" s="301"/>
      <c r="C103" s="233"/>
      <c r="D103" s="233"/>
      <c r="E103" s="295"/>
      <c r="F103" s="241"/>
      <c r="G103" s="296"/>
      <c r="H103" s="240"/>
      <c r="I103" s="240"/>
      <c r="J103" s="261"/>
      <c r="K103" s="241"/>
      <c r="L103" s="234"/>
      <c r="M103" s="237"/>
      <c r="N103" s="240"/>
      <c r="O103" s="236"/>
      <c r="P103" s="297"/>
      <c r="Q103" s="298"/>
      <c r="R103" s="298"/>
      <c r="S103" s="297"/>
      <c r="T103" s="299"/>
      <c r="U103" s="235"/>
      <c r="V103" s="235"/>
      <c r="W103" s="300"/>
      <c r="X103" s="236"/>
      <c r="Y103" s="211"/>
      <c r="Z103" s="237"/>
      <c r="AA103" s="238"/>
      <c r="AB103" s="211"/>
      <c r="AC103" s="237"/>
      <c r="AD103" s="238"/>
      <c r="AE103" s="294">
        <v>36437</v>
      </c>
    </row>
    <row r="104" spans="1:31">
      <c r="A104" s="233"/>
      <c r="B104" s="301"/>
      <c r="C104" s="233"/>
      <c r="D104" s="233"/>
      <c r="E104" s="295"/>
      <c r="F104" s="241"/>
      <c r="G104" s="296"/>
      <c r="H104" s="240"/>
      <c r="I104" s="240"/>
      <c r="J104" s="261"/>
      <c r="K104" s="241"/>
      <c r="L104" s="234"/>
      <c r="M104" s="237"/>
      <c r="N104" s="240"/>
      <c r="O104" s="236"/>
      <c r="P104" s="297"/>
      <c r="Q104" s="298"/>
      <c r="R104" s="298"/>
      <c r="S104" s="297"/>
      <c r="T104" s="299"/>
      <c r="U104" s="235"/>
      <c r="V104" s="235"/>
      <c r="W104" s="300"/>
      <c r="X104" s="236"/>
      <c r="Y104" s="211"/>
      <c r="Z104" s="237"/>
      <c r="AA104" s="238"/>
      <c r="AB104" s="211"/>
      <c r="AC104" s="237"/>
      <c r="AD104" s="238"/>
      <c r="AE104" s="294">
        <v>36521</v>
      </c>
    </row>
    <row r="105" spans="1:31">
      <c r="A105" s="233"/>
      <c r="B105" s="301"/>
      <c r="C105" s="233"/>
      <c r="D105" s="233"/>
      <c r="E105" s="295"/>
      <c r="F105" s="241"/>
      <c r="G105" s="296"/>
      <c r="H105" s="240"/>
      <c r="I105" s="240"/>
      <c r="J105" s="261"/>
      <c r="K105" s="241"/>
      <c r="L105" s="234"/>
      <c r="M105" s="237"/>
      <c r="N105" s="240"/>
      <c r="O105" s="236"/>
      <c r="P105" s="297"/>
      <c r="Q105" s="298"/>
      <c r="R105" s="298"/>
      <c r="S105" s="297"/>
      <c r="T105" s="299"/>
      <c r="U105" s="235"/>
      <c r="V105" s="235"/>
      <c r="W105" s="300"/>
      <c r="X105" s="236"/>
      <c r="Y105" s="211"/>
      <c r="Z105" s="237"/>
      <c r="AA105" s="238"/>
      <c r="AB105" s="211"/>
      <c r="AC105" s="237"/>
      <c r="AD105" s="238"/>
      <c r="AE105" s="294">
        <v>36551</v>
      </c>
    </row>
    <row r="106" spans="1:31">
      <c r="A106" s="233"/>
      <c r="B106" s="301"/>
      <c r="C106" s="233"/>
      <c r="D106" s="233"/>
      <c r="E106" s="295"/>
      <c r="F106" s="241"/>
      <c r="G106" s="296"/>
      <c r="H106" s="240"/>
      <c r="I106" s="240"/>
      <c r="J106" s="261"/>
      <c r="K106" s="241"/>
      <c r="L106" s="234"/>
      <c r="M106" s="237"/>
      <c r="N106" s="240"/>
      <c r="O106" s="236"/>
      <c r="P106" s="297"/>
      <c r="Q106" s="298"/>
      <c r="R106" s="298"/>
      <c r="S106" s="297"/>
      <c r="T106" s="299"/>
      <c r="U106" s="235"/>
      <c r="V106" s="235"/>
      <c r="W106" s="300"/>
      <c r="X106" s="236"/>
      <c r="Y106" s="211"/>
      <c r="Z106" s="237"/>
      <c r="AA106" s="238"/>
      <c r="AB106" s="211"/>
      <c r="AC106" s="237"/>
      <c r="AD106" s="238"/>
      <c r="AE106" s="294">
        <v>36637</v>
      </c>
    </row>
    <row r="107" spans="1:31">
      <c r="A107" s="233"/>
      <c r="B107" s="301"/>
      <c r="C107" s="233"/>
      <c r="D107" s="233"/>
      <c r="E107" s="295"/>
      <c r="F107" s="241"/>
      <c r="G107" s="296"/>
      <c r="H107" s="240"/>
      <c r="I107" s="240"/>
      <c r="J107" s="261"/>
      <c r="K107" s="241"/>
      <c r="L107" s="234"/>
      <c r="M107" s="237"/>
      <c r="N107" s="240"/>
      <c r="O107" s="236"/>
      <c r="P107" s="297"/>
      <c r="Q107" s="298"/>
      <c r="R107" s="298"/>
      <c r="S107" s="297"/>
      <c r="T107" s="299"/>
      <c r="U107" s="235"/>
      <c r="V107" s="235"/>
      <c r="W107" s="300"/>
      <c r="X107" s="236"/>
      <c r="Y107" s="211"/>
      <c r="Z107" s="237"/>
      <c r="AA107" s="238"/>
      <c r="AB107" s="211"/>
      <c r="AC107" s="237"/>
      <c r="AD107" s="238"/>
      <c r="AE107" s="294">
        <v>36640</v>
      </c>
    </row>
    <row r="108" spans="1:31">
      <c r="A108" s="233"/>
      <c r="B108" s="301"/>
      <c r="C108" s="233"/>
      <c r="D108" s="233"/>
      <c r="E108" s="295"/>
      <c r="F108" s="241"/>
      <c r="G108" s="296"/>
      <c r="H108" s="240"/>
      <c r="I108" s="240"/>
      <c r="J108" s="261"/>
      <c r="K108" s="241"/>
      <c r="L108" s="234"/>
      <c r="M108" s="237"/>
      <c r="N108" s="240"/>
      <c r="O108" s="236"/>
      <c r="P108" s="297"/>
      <c r="Q108" s="298"/>
      <c r="R108" s="298"/>
      <c r="S108" s="297"/>
      <c r="T108" s="299"/>
      <c r="U108" s="235"/>
      <c r="V108" s="235"/>
      <c r="W108" s="300"/>
      <c r="X108" s="236"/>
      <c r="Y108" s="211"/>
      <c r="Z108" s="237"/>
      <c r="AA108" s="238"/>
      <c r="AB108" s="211"/>
      <c r="AC108" s="237"/>
      <c r="AD108" s="238"/>
      <c r="AE108" s="294">
        <v>36641</v>
      </c>
    </row>
    <row r="109" spans="1:31">
      <c r="A109" s="233"/>
      <c r="B109" s="301"/>
      <c r="C109" s="233"/>
      <c r="D109" s="233"/>
      <c r="E109" s="295"/>
      <c r="F109" s="241"/>
      <c r="G109" s="296"/>
      <c r="H109" s="240"/>
      <c r="I109" s="240"/>
      <c r="J109" s="261"/>
      <c r="K109" s="241"/>
      <c r="L109" s="234"/>
      <c r="M109" s="237"/>
      <c r="N109" s="240"/>
      <c r="O109" s="236"/>
      <c r="P109" s="297"/>
      <c r="Q109" s="298"/>
      <c r="R109" s="298"/>
      <c r="S109" s="297"/>
      <c r="T109" s="299"/>
      <c r="U109" s="235"/>
      <c r="V109" s="235"/>
      <c r="W109" s="300"/>
      <c r="X109" s="236"/>
      <c r="Y109" s="211"/>
      <c r="Z109" s="237"/>
      <c r="AA109" s="238"/>
      <c r="AB109" s="211"/>
      <c r="AC109" s="237"/>
      <c r="AD109" s="238"/>
      <c r="AE109" s="294">
        <v>36689</v>
      </c>
    </row>
    <row r="110" spans="1:31">
      <c r="A110" s="233"/>
      <c r="B110" s="301"/>
      <c r="C110" s="233"/>
      <c r="D110" s="233"/>
      <c r="E110" s="295"/>
      <c r="F110" s="241"/>
      <c r="G110" s="296"/>
      <c r="H110" s="240"/>
      <c r="I110" s="240"/>
      <c r="J110" s="261"/>
      <c r="K110" s="241"/>
      <c r="L110" s="234"/>
      <c r="M110" s="237"/>
      <c r="N110" s="240"/>
      <c r="O110" s="236"/>
      <c r="P110" s="297"/>
      <c r="Q110" s="298"/>
      <c r="R110" s="298"/>
      <c r="S110" s="297"/>
      <c r="T110" s="299"/>
      <c r="U110" s="235"/>
      <c r="V110" s="235"/>
      <c r="W110" s="300"/>
      <c r="X110" s="236"/>
      <c r="Y110" s="211"/>
      <c r="Z110" s="237"/>
      <c r="AA110" s="238"/>
      <c r="AB110" s="211"/>
      <c r="AC110" s="237"/>
      <c r="AD110" s="238"/>
      <c r="AE110" s="294">
        <v>36745</v>
      </c>
    </row>
    <row r="111" spans="1:31">
      <c r="A111" s="233"/>
      <c r="B111" s="301"/>
      <c r="C111" s="233"/>
      <c r="D111" s="233"/>
      <c r="E111" s="295"/>
      <c r="F111" s="241"/>
      <c r="G111" s="296"/>
      <c r="H111" s="240"/>
      <c r="I111" s="240"/>
      <c r="J111" s="261"/>
      <c r="K111" s="241"/>
      <c r="L111" s="234"/>
      <c r="M111" s="237"/>
      <c r="N111" s="240"/>
      <c r="O111" s="236"/>
      <c r="P111" s="297"/>
      <c r="Q111" s="298"/>
      <c r="R111" s="298"/>
      <c r="S111" s="297"/>
      <c r="T111" s="299"/>
      <c r="U111" s="235"/>
      <c r="V111" s="235"/>
      <c r="W111" s="300"/>
      <c r="X111" s="236"/>
      <c r="Y111" s="211"/>
      <c r="Z111" s="237"/>
      <c r="AA111" s="238"/>
      <c r="AB111" s="211"/>
      <c r="AC111" s="237"/>
      <c r="AD111" s="238"/>
      <c r="AE111" s="294">
        <v>36801</v>
      </c>
    </row>
    <row r="112" spans="1:31">
      <c r="A112" s="233"/>
      <c r="B112" s="301"/>
      <c r="C112" s="233"/>
      <c r="D112" s="233"/>
      <c r="E112" s="295"/>
      <c r="F112" s="241"/>
      <c r="G112" s="296"/>
      <c r="H112" s="240"/>
      <c r="I112" s="240"/>
      <c r="J112" s="261"/>
      <c r="K112" s="241"/>
      <c r="L112" s="234"/>
      <c r="M112" s="237"/>
      <c r="N112" s="240"/>
      <c r="O112" s="236"/>
      <c r="P112" s="297"/>
      <c r="Q112" s="298"/>
      <c r="R112" s="298"/>
      <c r="S112" s="297"/>
      <c r="T112" s="299"/>
      <c r="U112" s="235"/>
      <c r="V112" s="235"/>
      <c r="W112" s="300"/>
      <c r="X112" s="236"/>
      <c r="Y112" s="211"/>
      <c r="Z112" s="237"/>
      <c r="AA112" s="238"/>
      <c r="AB112" s="211"/>
      <c r="AC112" s="237"/>
      <c r="AD112" s="238"/>
      <c r="AE112" s="294">
        <v>36885</v>
      </c>
    </row>
    <row r="113" spans="1:31">
      <c r="A113" s="233"/>
      <c r="B113" s="301"/>
      <c r="C113" s="233"/>
      <c r="D113" s="233"/>
      <c r="E113" s="295"/>
      <c r="F113" s="241"/>
      <c r="G113" s="296"/>
      <c r="H113" s="240"/>
      <c r="I113" s="240"/>
      <c r="J113" s="261"/>
      <c r="K113" s="241"/>
      <c r="L113" s="234"/>
      <c r="M113" s="237"/>
      <c r="N113" s="240"/>
      <c r="O113" s="236"/>
      <c r="P113" s="297"/>
      <c r="Q113" s="298"/>
      <c r="R113" s="298"/>
      <c r="S113" s="297"/>
      <c r="T113" s="299"/>
      <c r="U113" s="235"/>
      <c r="V113" s="235"/>
      <c r="W113" s="300"/>
      <c r="X113" s="236"/>
      <c r="Y113" s="211"/>
      <c r="Z113" s="237"/>
      <c r="AA113" s="238"/>
      <c r="AB113" s="211"/>
      <c r="AC113" s="237"/>
      <c r="AD113" s="238"/>
      <c r="AE113" s="294">
        <v>36886</v>
      </c>
    </row>
    <row r="114" spans="1:31">
      <c r="A114" s="233"/>
      <c r="B114" s="301"/>
      <c r="C114" s="233"/>
      <c r="D114" s="233"/>
      <c r="E114" s="295"/>
      <c r="F114" s="241"/>
      <c r="G114" s="296"/>
      <c r="H114" s="240"/>
      <c r="I114" s="240"/>
      <c r="J114" s="261"/>
      <c r="K114" s="241"/>
      <c r="L114" s="234"/>
      <c r="M114" s="237"/>
      <c r="N114" s="240"/>
      <c r="O114" s="236"/>
      <c r="P114" s="297"/>
      <c r="Q114" s="298"/>
      <c r="R114" s="298"/>
      <c r="S114" s="297"/>
      <c r="T114" s="299"/>
      <c r="U114" s="235"/>
      <c r="V114" s="235"/>
      <c r="W114" s="300"/>
      <c r="X114" s="236"/>
      <c r="Y114" s="211"/>
      <c r="Z114" s="237"/>
      <c r="AA114" s="238"/>
      <c r="AB114" s="211"/>
      <c r="AC114" s="237"/>
      <c r="AD114" s="238"/>
      <c r="AE114" s="294">
        <v>36892</v>
      </c>
    </row>
    <row r="115" spans="1:31">
      <c r="A115" s="233"/>
      <c r="B115" s="301"/>
      <c r="C115" s="233"/>
      <c r="D115" s="233"/>
      <c r="E115" s="295"/>
      <c r="F115" s="241"/>
      <c r="G115" s="296"/>
      <c r="H115" s="240"/>
      <c r="I115" s="240"/>
      <c r="J115" s="261"/>
      <c r="K115" s="241"/>
      <c r="L115" s="234"/>
      <c r="M115" s="237"/>
      <c r="N115" s="240"/>
      <c r="O115" s="236"/>
      <c r="P115" s="297"/>
      <c r="Q115" s="298"/>
      <c r="R115" s="298"/>
      <c r="S115" s="297"/>
      <c r="T115" s="299"/>
      <c r="U115" s="235"/>
      <c r="V115" s="235"/>
      <c r="W115" s="300"/>
      <c r="X115" s="236"/>
      <c r="Y115" s="211"/>
      <c r="Z115" s="237"/>
      <c r="AA115" s="238"/>
      <c r="AB115" s="211"/>
      <c r="AC115" s="237"/>
      <c r="AD115" s="238"/>
      <c r="AE115" s="294">
        <v>36917</v>
      </c>
    </row>
    <row r="116" spans="1:31">
      <c r="A116" s="233"/>
      <c r="B116" s="301"/>
      <c r="C116" s="233"/>
      <c r="D116" s="233"/>
      <c r="E116" s="295"/>
      <c r="F116" s="241"/>
      <c r="G116" s="296"/>
      <c r="H116" s="240"/>
      <c r="I116" s="240"/>
      <c r="J116" s="261"/>
      <c r="K116" s="241"/>
      <c r="L116" s="234"/>
      <c r="M116" s="237"/>
      <c r="N116" s="240"/>
      <c r="O116" s="236"/>
      <c r="P116" s="297"/>
      <c r="Q116" s="298"/>
      <c r="R116" s="298"/>
      <c r="S116" s="297"/>
      <c r="T116" s="299"/>
      <c r="U116" s="235"/>
      <c r="V116" s="235"/>
      <c r="W116" s="300"/>
      <c r="X116" s="236"/>
      <c r="Y116" s="211"/>
      <c r="Z116" s="237"/>
      <c r="AA116" s="238"/>
      <c r="AB116" s="211"/>
      <c r="AC116" s="237"/>
      <c r="AD116" s="238"/>
      <c r="AE116" s="294">
        <v>36994</v>
      </c>
    </row>
    <row r="117" spans="1:31">
      <c r="A117" s="233"/>
      <c r="B117" s="301"/>
      <c r="C117" s="233"/>
      <c r="D117" s="233"/>
      <c r="E117" s="295"/>
      <c r="F117" s="241"/>
      <c r="G117" s="296"/>
      <c r="H117" s="240"/>
      <c r="I117" s="240"/>
      <c r="J117" s="261"/>
      <c r="K117" s="241"/>
      <c r="L117" s="234"/>
      <c r="M117" s="237"/>
      <c r="N117" s="240"/>
      <c r="O117" s="236"/>
      <c r="P117" s="297"/>
      <c r="Q117" s="298"/>
      <c r="R117" s="298"/>
      <c r="S117" s="297"/>
      <c r="T117" s="299"/>
      <c r="U117" s="235"/>
      <c r="V117" s="235"/>
      <c r="W117" s="300"/>
      <c r="X117" s="236"/>
      <c r="Y117" s="211"/>
      <c r="Z117" s="237"/>
      <c r="AA117" s="238"/>
      <c r="AB117" s="211"/>
      <c r="AC117" s="237"/>
      <c r="AD117" s="238"/>
      <c r="AE117" s="294">
        <v>36997</v>
      </c>
    </row>
    <row r="118" spans="1:31">
      <c r="A118" s="233"/>
      <c r="B118" s="301"/>
      <c r="C118" s="233"/>
      <c r="D118" s="233"/>
      <c r="E118" s="295"/>
      <c r="F118" s="241"/>
      <c r="G118" s="296"/>
      <c r="H118" s="240"/>
      <c r="I118" s="240"/>
      <c r="J118" s="261"/>
      <c r="K118" s="241"/>
      <c r="L118" s="234"/>
      <c r="M118" s="237"/>
      <c r="N118" s="240"/>
      <c r="O118" s="236"/>
      <c r="P118" s="297"/>
      <c r="Q118" s="298"/>
      <c r="R118" s="298"/>
      <c r="S118" s="297"/>
      <c r="T118" s="299"/>
      <c r="U118" s="235"/>
      <c r="V118" s="235"/>
      <c r="W118" s="300"/>
      <c r="X118" s="236"/>
      <c r="Y118" s="211"/>
      <c r="Z118" s="237"/>
      <c r="AA118" s="238"/>
      <c r="AB118" s="211"/>
      <c r="AC118" s="237"/>
      <c r="AD118" s="238"/>
      <c r="AE118" s="294">
        <v>37006</v>
      </c>
    </row>
    <row r="119" spans="1:31">
      <c r="A119" s="233"/>
      <c r="B119" s="301"/>
      <c r="C119" s="233"/>
      <c r="D119" s="233"/>
      <c r="E119" s="295"/>
      <c r="F119" s="241"/>
      <c r="G119" s="296"/>
      <c r="H119" s="240"/>
      <c r="I119" s="240"/>
      <c r="J119" s="261"/>
      <c r="K119" s="241"/>
      <c r="L119" s="234"/>
      <c r="M119" s="237"/>
      <c r="N119" s="240"/>
      <c r="O119" s="236"/>
      <c r="P119" s="297"/>
      <c r="Q119" s="298"/>
      <c r="R119" s="298"/>
      <c r="S119" s="297"/>
      <c r="T119" s="299"/>
      <c r="U119" s="235"/>
      <c r="V119" s="235"/>
      <c r="W119" s="300"/>
      <c r="X119" s="236"/>
      <c r="Y119" s="211"/>
      <c r="Z119" s="237"/>
      <c r="AA119" s="238"/>
      <c r="AB119" s="211"/>
      <c r="AC119" s="237"/>
      <c r="AD119" s="238"/>
      <c r="AE119" s="294">
        <v>37053</v>
      </c>
    </row>
    <row r="120" spans="1:31">
      <c r="A120" s="233"/>
      <c r="B120" s="301"/>
      <c r="C120" s="233"/>
      <c r="D120" s="233"/>
      <c r="E120" s="295"/>
      <c r="F120" s="241"/>
      <c r="G120" s="296"/>
      <c r="H120" s="240"/>
      <c r="I120" s="240"/>
      <c r="J120" s="261"/>
      <c r="K120" s="241"/>
      <c r="L120" s="234"/>
      <c r="M120" s="237"/>
      <c r="N120" s="240"/>
      <c r="O120" s="236"/>
      <c r="P120" s="297"/>
      <c r="Q120" s="298"/>
      <c r="R120" s="298"/>
      <c r="S120" s="297"/>
      <c r="T120" s="299"/>
      <c r="U120" s="235"/>
      <c r="V120" s="235"/>
      <c r="W120" s="300"/>
      <c r="X120" s="236"/>
      <c r="Y120" s="211"/>
      <c r="Z120" s="237"/>
      <c r="AA120" s="238"/>
      <c r="AB120" s="211"/>
      <c r="AC120" s="237"/>
      <c r="AD120" s="238"/>
      <c r="AE120" s="294">
        <v>37109</v>
      </c>
    </row>
    <row r="121" spans="1:31">
      <c r="A121" s="233"/>
      <c r="B121" s="301"/>
      <c r="C121" s="233"/>
      <c r="D121" s="233"/>
      <c r="E121" s="295"/>
      <c r="F121" s="241"/>
      <c r="G121" s="296"/>
      <c r="H121" s="240"/>
      <c r="I121" s="240"/>
      <c r="J121" s="261"/>
      <c r="K121" s="241"/>
      <c r="L121" s="234"/>
      <c r="M121" s="237"/>
      <c r="N121" s="240"/>
      <c r="O121" s="236"/>
      <c r="P121" s="297"/>
      <c r="Q121" s="298"/>
      <c r="R121" s="298"/>
      <c r="S121" s="297"/>
      <c r="T121" s="299"/>
      <c r="U121" s="235"/>
      <c r="V121" s="235"/>
      <c r="W121" s="300"/>
      <c r="X121" s="236"/>
      <c r="Y121" s="211"/>
      <c r="Z121" s="237"/>
      <c r="AA121" s="238"/>
      <c r="AB121" s="211"/>
      <c r="AC121" s="237"/>
      <c r="AD121" s="238"/>
      <c r="AE121" s="294">
        <v>37165</v>
      </c>
    </row>
    <row r="122" spans="1:31">
      <c r="A122" s="233"/>
      <c r="B122" s="301"/>
      <c r="C122" s="233"/>
      <c r="D122" s="233"/>
      <c r="E122" s="295"/>
      <c r="F122" s="241"/>
      <c r="G122" s="296"/>
      <c r="H122" s="240"/>
      <c r="I122" s="240"/>
      <c r="J122" s="261"/>
      <c r="K122" s="241"/>
      <c r="L122" s="234"/>
      <c r="M122" s="237"/>
      <c r="N122" s="240"/>
      <c r="O122" s="236"/>
      <c r="P122" s="297"/>
      <c r="Q122" s="298"/>
      <c r="R122" s="298"/>
      <c r="S122" s="297"/>
      <c r="T122" s="299"/>
      <c r="U122" s="235"/>
      <c r="V122" s="235"/>
      <c r="W122" s="300"/>
      <c r="X122" s="236"/>
      <c r="Y122" s="211"/>
      <c r="Z122" s="237"/>
      <c r="AA122" s="238"/>
      <c r="AB122" s="211"/>
      <c r="AC122" s="237"/>
      <c r="AD122" s="238"/>
      <c r="AE122" s="294">
        <v>37250</v>
      </c>
    </row>
    <row r="123" spans="1:31">
      <c r="A123" s="233"/>
      <c r="B123" s="301"/>
      <c r="C123" s="233"/>
      <c r="D123" s="233"/>
      <c r="E123" s="295"/>
      <c r="F123" s="241"/>
      <c r="G123" s="296"/>
      <c r="H123" s="240"/>
      <c r="I123" s="240"/>
      <c r="J123" s="261"/>
      <c r="K123" s="241"/>
      <c r="L123" s="234"/>
      <c r="M123" s="237"/>
      <c r="N123" s="240"/>
      <c r="O123" s="236"/>
      <c r="P123" s="297"/>
      <c r="Q123" s="298"/>
      <c r="R123" s="298"/>
      <c r="S123" s="297"/>
      <c r="T123" s="299"/>
      <c r="U123" s="235"/>
      <c r="V123" s="235"/>
      <c r="W123" s="300"/>
      <c r="X123" s="236"/>
      <c r="Y123" s="211"/>
      <c r="Z123" s="237"/>
      <c r="AA123" s="238"/>
      <c r="AB123" s="211"/>
      <c r="AC123" s="237"/>
      <c r="AD123" s="238"/>
      <c r="AE123" s="294">
        <v>37251</v>
      </c>
    </row>
    <row r="124" spans="1:31">
      <c r="A124" s="233"/>
      <c r="B124" s="301"/>
      <c r="C124" s="233"/>
      <c r="D124" s="233"/>
      <c r="E124" s="295"/>
      <c r="F124" s="241"/>
      <c r="G124" s="296"/>
      <c r="H124" s="240"/>
      <c r="I124" s="240"/>
      <c r="J124" s="261"/>
      <c r="K124" s="241"/>
      <c r="L124" s="234"/>
      <c r="M124" s="237"/>
      <c r="N124" s="240"/>
      <c r="O124" s="236"/>
      <c r="P124" s="297"/>
      <c r="Q124" s="298"/>
      <c r="R124" s="298"/>
      <c r="S124" s="297"/>
      <c r="T124" s="299"/>
      <c r="U124" s="235"/>
      <c r="V124" s="235"/>
      <c r="W124" s="300"/>
      <c r="X124" s="236"/>
      <c r="Y124" s="211"/>
      <c r="Z124" s="237"/>
      <c r="AA124" s="238"/>
      <c r="AB124" s="211"/>
      <c r="AC124" s="237"/>
      <c r="AD124" s="238"/>
      <c r="AE124" s="294">
        <v>37257</v>
      </c>
    </row>
    <row r="125" spans="1:31">
      <c r="A125" s="233"/>
      <c r="B125" s="301"/>
      <c r="C125" s="233"/>
      <c r="D125" s="233"/>
      <c r="E125" s="295"/>
      <c r="F125" s="241"/>
      <c r="G125" s="296"/>
      <c r="H125" s="240"/>
      <c r="I125" s="240"/>
      <c r="J125" s="261"/>
      <c r="K125" s="241"/>
      <c r="L125" s="234"/>
      <c r="M125" s="237"/>
      <c r="N125" s="240"/>
      <c r="O125" s="236"/>
      <c r="P125" s="297"/>
      <c r="Q125" s="298"/>
      <c r="R125" s="298"/>
      <c r="S125" s="297"/>
      <c r="T125" s="299"/>
      <c r="U125" s="235"/>
      <c r="V125" s="235"/>
      <c r="W125" s="300"/>
      <c r="X125" s="236"/>
      <c r="Y125" s="211"/>
      <c r="Z125" s="237"/>
      <c r="AA125" s="238"/>
      <c r="AB125" s="211"/>
      <c r="AC125" s="237"/>
      <c r="AD125" s="238"/>
      <c r="AE125" s="294">
        <v>37344</v>
      </c>
    </row>
    <row r="126" spans="1:31">
      <c r="A126" s="233"/>
      <c r="B126" s="301"/>
      <c r="C126" s="233"/>
      <c r="D126" s="233"/>
      <c r="E126" s="295"/>
      <c r="F126" s="241"/>
      <c r="G126" s="296"/>
      <c r="H126" s="240"/>
      <c r="I126" s="240"/>
      <c r="J126" s="261"/>
      <c r="K126" s="241"/>
      <c r="L126" s="234"/>
      <c r="M126" s="237"/>
      <c r="N126" s="240"/>
      <c r="O126" s="236"/>
      <c r="P126" s="297"/>
      <c r="Q126" s="298"/>
      <c r="R126" s="298"/>
      <c r="S126" s="297"/>
      <c r="T126" s="299"/>
      <c r="U126" s="235"/>
      <c r="V126" s="235"/>
      <c r="W126" s="300"/>
      <c r="X126" s="236"/>
      <c r="Y126" s="211"/>
      <c r="Z126" s="237"/>
      <c r="AA126" s="238"/>
      <c r="AB126" s="211"/>
      <c r="AC126" s="237"/>
      <c r="AD126" s="238"/>
      <c r="AE126" s="294">
        <v>37347</v>
      </c>
    </row>
    <row r="127" spans="1:31">
      <c r="A127" s="233"/>
      <c r="B127" s="301"/>
      <c r="C127" s="233"/>
      <c r="D127" s="233"/>
      <c r="E127" s="295"/>
      <c r="F127" s="241"/>
      <c r="G127" s="296"/>
      <c r="H127" s="240"/>
      <c r="I127" s="240"/>
      <c r="J127" s="261"/>
      <c r="K127" s="241"/>
      <c r="L127" s="234"/>
      <c r="M127" s="237"/>
      <c r="N127" s="240"/>
      <c r="O127" s="236"/>
      <c r="P127" s="297"/>
      <c r="Q127" s="298"/>
      <c r="R127" s="298"/>
      <c r="S127" s="297"/>
      <c r="T127" s="299"/>
      <c r="U127" s="235"/>
      <c r="V127" s="235"/>
      <c r="W127" s="300"/>
      <c r="X127" s="236"/>
      <c r="Y127" s="211"/>
      <c r="Z127" s="237"/>
      <c r="AA127" s="238"/>
      <c r="AB127" s="211"/>
      <c r="AC127" s="237"/>
      <c r="AD127" s="238"/>
      <c r="AE127" s="294">
        <v>37371</v>
      </c>
    </row>
    <row r="128" spans="1:31">
      <c r="A128" s="233"/>
      <c r="B128" s="301"/>
      <c r="C128" s="233"/>
      <c r="D128" s="233"/>
      <c r="E128" s="295"/>
      <c r="F128" s="241"/>
      <c r="G128" s="296"/>
      <c r="H128" s="240"/>
      <c r="I128" s="240"/>
      <c r="J128" s="261"/>
      <c r="K128" s="241"/>
      <c r="L128" s="234"/>
      <c r="M128" s="237"/>
      <c r="N128" s="240"/>
      <c r="O128" s="236"/>
      <c r="P128" s="297"/>
      <c r="Q128" s="298"/>
      <c r="R128" s="298"/>
      <c r="S128" s="297"/>
      <c r="T128" s="299"/>
      <c r="U128" s="235"/>
      <c r="V128" s="235"/>
      <c r="W128" s="300"/>
      <c r="X128" s="236"/>
      <c r="Y128" s="211"/>
      <c r="Z128" s="237"/>
      <c r="AA128" s="238"/>
      <c r="AB128" s="211"/>
      <c r="AC128" s="237"/>
      <c r="AD128" s="238"/>
      <c r="AE128" s="294">
        <v>37417</v>
      </c>
    </row>
    <row r="129" spans="1:31">
      <c r="A129" s="233"/>
      <c r="B129" s="301"/>
      <c r="C129" s="233"/>
      <c r="D129" s="233"/>
      <c r="E129" s="295"/>
      <c r="F129" s="241"/>
      <c r="G129" s="296"/>
      <c r="H129" s="240"/>
      <c r="I129" s="240"/>
      <c r="J129" s="261"/>
      <c r="K129" s="241"/>
      <c r="L129" s="234"/>
      <c r="M129" s="237"/>
      <c r="N129" s="240"/>
      <c r="O129" s="236"/>
      <c r="P129" s="297"/>
      <c r="Q129" s="298"/>
      <c r="R129" s="298"/>
      <c r="S129" s="297"/>
      <c r="T129" s="299"/>
      <c r="U129" s="235"/>
      <c r="V129" s="235"/>
      <c r="W129" s="300"/>
      <c r="X129" s="236"/>
      <c r="Y129" s="211"/>
      <c r="Z129" s="237"/>
      <c r="AA129" s="238"/>
      <c r="AB129" s="211"/>
      <c r="AC129" s="237"/>
      <c r="AD129" s="238"/>
      <c r="AE129" s="294">
        <v>37473</v>
      </c>
    </row>
    <row r="130" spans="1:31">
      <c r="A130" s="233"/>
      <c r="B130" s="301"/>
      <c r="C130" s="233"/>
      <c r="D130" s="233"/>
      <c r="E130" s="295"/>
      <c r="F130" s="241"/>
      <c r="G130" s="296"/>
      <c r="H130" s="240"/>
      <c r="I130" s="240"/>
      <c r="J130" s="261"/>
      <c r="K130" s="241"/>
      <c r="L130" s="234"/>
      <c r="M130" s="237"/>
      <c r="N130" s="240"/>
      <c r="O130" s="236"/>
      <c r="P130" s="297"/>
      <c r="Q130" s="298"/>
      <c r="R130" s="298"/>
      <c r="S130" s="297"/>
      <c r="T130" s="299"/>
      <c r="U130" s="235"/>
      <c r="V130" s="235"/>
      <c r="W130" s="300"/>
      <c r="X130" s="236"/>
      <c r="Y130" s="211"/>
      <c r="Z130" s="237"/>
      <c r="AA130" s="238"/>
      <c r="AB130" s="211"/>
      <c r="AC130" s="237"/>
      <c r="AD130" s="238"/>
      <c r="AE130" s="294">
        <v>37536</v>
      </c>
    </row>
    <row r="131" spans="1:31">
      <c r="A131" s="233"/>
      <c r="B131" s="301"/>
      <c r="C131" s="233"/>
      <c r="D131" s="233"/>
      <c r="E131" s="295"/>
      <c r="F131" s="241"/>
      <c r="G131" s="296"/>
      <c r="H131" s="240"/>
      <c r="I131" s="240"/>
      <c r="J131" s="261"/>
      <c r="K131" s="241"/>
      <c r="L131" s="234"/>
      <c r="M131" s="237"/>
      <c r="N131" s="240"/>
      <c r="O131" s="236"/>
      <c r="P131" s="297"/>
      <c r="Q131" s="298"/>
      <c r="R131" s="298"/>
      <c r="S131" s="297"/>
      <c r="T131" s="299"/>
      <c r="U131" s="235"/>
      <c r="V131" s="235"/>
      <c r="W131" s="300"/>
      <c r="X131" s="236"/>
      <c r="Y131" s="211"/>
      <c r="Z131" s="237"/>
      <c r="AA131" s="238"/>
      <c r="AB131" s="211"/>
      <c r="AC131" s="237"/>
      <c r="AD131" s="238"/>
      <c r="AE131" s="294">
        <v>37615</v>
      </c>
    </row>
    <row r="132" spans="1:31">
      <c r="A132" s="233"/>
      <c r="B132" s="301"/>
      <c r="C132" s="233"/>
      <c r="D132" s="233"/>
      <c r="E132" s="295"/>
      <c r="F132" s="241"/>
      <c r="G132" s="296"/>
      <c r="H132" s="240"/>
      <c r="I132" s="240"/>
      <c r="J132" s="261"/>
      <c r="K132" s="241"/>
      <c r="L132" s="234"/>
      <c r="M132" s="237"/>
      <c r="N132" s="240"/>
      <c r="O132" s="236"/>
      <c r="P132" s="297"/>
      <c r="Q132" s="298"/>
      <c r="R132" s="298"/>
      <c r="S132" s="297"/>
      <c r="T132" s="299"/>
      <c r="U132" s="235"/>
      <c r="V132" s="235"/>
      <c r="W132" s="300"/>
      <c r="X132" s="236"/>
      <c r="Y132" s="211"/>
      <c r="Z132" s="237"/>
      <c r="AA132" s="238"/>
      <c r="AB132" s="211"/>
      <c r="AC132" s="237"/>
      <c r="AD132" s="238"/>
      <c r="AE132" s="294">
        <v>37616</v>
      </c>
    </row>
    <row r="133" spans="1:31">
      <c r="A133" s="233"/>
      <c r="B133" s="301"/>
      <c r="C133" s="233"/>
      <c r="D133" s="233"/>
      <c r="E133" s="295"/>
      <c r="F133" s="241"/>
      <c r="G133" s="296"/>
      <c r="H133" s="240"/>
      <c r="I133" s="240"/>
      <c r="J133" s="261"/>
      <c r="K133" s="241"/>
      <c r="L133" s="234"/>
      <c r="M133" s="237"/>
      <c r="N133" s="240"/>
      <c r="O133" s="236"/>
      <c r="P133" s="297"/>
      <c r="Q133" s="298"/>
      <c r="R133" s="298"/>
      <c r="S133" s="297"/>
      <c r="T133" s="299"/>
      <c r="U133" s="235"/>
      <c r="V133" s="235"/>
      <c r="W133" s="300"/>
      <c r="X133" s="236"/>
      <c r="Y133" s="211"/>
      <c r="Z133" s="237"/>
      <c r="AA133" s="238"/>
      <c r="AB133" s="211"/>
      <c r="AC133" s="237"/>
      <c r="AD133" s="238"/>
      <c r="AE133" s="294">
        <v>37622</v>
      </c>
    </row>
    <row r="134" spans="1:31">
      <c r="A134" s="233"/>
      <c r="B134" s="301"/>
      <c r="C134" s="233"/>
      <c r="D134" s="233"/>
      <c r="E134" s="295"/>
      <c r="F134" s="241"/>
      <c r="G134" s="296"/>
      <c r="H134" s="240"/>
      <c r="I134" s="240"/>
      <c r="J134" s="261"/>
      <c r="K134" s="241"/>
      <c r="L134" s="234"/>
      <c r="M134" s="237"/>
      <c r="N134" s="240"/>
      <c r="O134" s="236"/>
      <c r="P134" s="297"/>
      <c r="Q134" s="298"/>
      <c r="R134" s="298"/>
      <c r="S134" s="297"/>
      <c r="T134" s="299"/>
      <c r="U134" s="235"/>
      <c r="V134" s="235"/>
      <c r="W134" s="300"/>
      <c r="X134" s="236"/>
      <c r="Y134" s="211"/>
      <c r="Z134" s="237"/>
      <c r="AA134" s="238"/>
      <c r="AB134" s="211"/>
      <c r="AC134" s="237"/>
      <c r="AD134" s="238"/>
      <c r="AE134" s="294">
        <v>37648</v>
      </c>
    </row>
    <row r="135" spans="1:31">
      <c r="A135" s="233"/>
      <c r="B135" s="301"/>
      <c r="C135" s="233"/>
      <c r="D135" s="233"/>
      <c r="E135" s="295"/>
      <c r="F135" s="241"/>
      <c r="G135" s="296"/>
      <c r="H135" s="240"/>
      <c r="I135" s="240"/>
      <c r="J135" s="261"/>
      <c r="K135" s="241"/>
      <c r="L135" s="234"/>
      <c r="M135" s="237"/>
      <c r="N135" s="240"/>
      <c r="O135" s="236"/>
      <c r="P135" s="297"/>
      <c r="Q135" s="298"/>
      <c r="R135" s="298"/>
      <c r="S135" s="297"/>
      <c r="T135" s="299"/>
      <c r="U135" s="235"/>
      <c r="V135" s="235"/>
      <c r="W135" s="300"/>
      <c r="X135" s="236"/>
      <c r="Y135" s="211"/>
      <c r="Z135" s="237"/>
      <c r="AA135" s="238"/>
      <c r="AB135" s="211"/>
      <c r="AC135" s="237"/>
      <c r="AD135" s="238"/>
      <c r="AE135" s="294">
        <v>37729</v>
      </c>
    </row>
    <row r="136" spans="1:31">
      <c r="A136" s="233"/>
      <c r="B136" s="301"/>
      <c r="C136" s="233"/>
      <c r="D136" s="233"/>
      <c r="E136" s="295"/>
      <c r="F136" s="241"/>
      <c r="G136" s="296"/>
      <c r="H136" s="240"/>
      <c r="I136" s="240"/>
      <c r="J136" s="261"/>
      <c r="K136" s="241"/>
      <c r="L136" s="234"/>
      <c r="M136" s="237"/>
      <c r="N136" s="240"/>
      <c r="O136" s="236"/>
      <c r="P136" s="297"/>
      <c r="Q136" s="298"/>
      <c r="R136" s="298"/>
      <c r="S136" s="297"/>
      <c r="T136" s="299"/>
      <c r="U136" s="235"/>
      <c r="V136" s="235"/>
      <c r="W136" s="300"/>
      <c r="X136" s="236"/>
      <c r="Y136" s="211"/>
      <c r="Z136" s="237"/>
      <c r="AA136" s="238"/>
      <c r="AB136" s="211"/>
      <c r="AC136" s="237"/>
      <c r="AD136" s="238"/>
      <c r="AE136" s="294">
        <v>37732</v>
      </c>
    </row>
    <row r="137" spans="1:31">
      <c r="A137" s="233"/>
      <c r="B137" s="301"/>
      <c r="C137" s="233"/>
      <c r="D137" s="233"/>
      <c r="E137" s="295"/>
      <c r="F137" s="241"/>
      <c r="G137" s="296"/>
      <c r="H137" s="240"/>
      <c r="I137" s="240"/>
      <c r="J137" s="261"/>
      <c r="K137" s="241"/>
      <c r="L137" s="234"/>
      <c r="M137" s="237"/>
      <c r="N137" s="240"/>
      <c r="O137" s="236"/>
      <c r="P137" s="297"/>
      <c r="Q137" s="298"/>
      <c r="R137" s="298"/>
      <c r="S137" s="297"/>
      <c r="T137" s="299"/>
      <c r="U137" s="235"/>
      <c r="V137" s="235"/>
      <c r="W137" s="300"/>
      <c r="X137" s="236"/>
      <c r="Y137" s="211"/>
      <c r="Z137" s="237"/>
      <c r="AA137" s="238"/>
      <c r="AB137" s="211"/>
      <c r="AC137" s="237"/>
      <c r="AD137" s="238"/>
      <c r="AE137" s="294">
        <v>37736</v>
      </c>
    </row>
    <row r="138" spans="1:31">
      <c r="A138" s="233"/>
      <c r="B138" s="301"/>
      <c r="C138" s="233"/>
      <c r="D138" s="233"/>
      <c r="E138" s="295"/>
      <c r="F138" s="241"/>
      <c r="G138" s="296"/>
      <c r="H138" s="240"/>
      <c r="I138" s="240"/>
      <c r="J138" s="261"/>
      <c r="K138" s="241"/>
      <c r="L138" s="234"/>
      <c r="M138" s="237"/>
      <c r="N138" s="240"/>
      <c r="O138" s="236"/>
      <c r="P138" s="297"/>
      <c r="Q138" s="298"/>
      <c r="R138" s="298"/>
      <c r="S138" s="297"/>
      <c r="T138" s="299"/>
      <c r="U138" s="235"/>
      <c r="V138" s="235"/>
      <c r="W138" s="300"/>
      <c r="X138" s="236"/>
      <c r="Y138" s="211"/>
      <c r="Z138" s="237"/>
      <c r="AA138" s="238"/>
      <c r="AB138" s="211"/>
      <c r="AC138" s="237"/>
      <c r="AD138" s="238"/>
      <c r="AE138" s="294">
        <v>37781</v>
      </c>
    </row>
    <row r="139" spans="1:31">
      <c r="A139" s="233"/>
      <c r="B139" s="301"/>
      <c r="C139" s="233"/>
      <c r="D139" s="233"/>
      <c r="E139" s="295"/>
      <c r="F139" s="241"/>
      <c r="G139" s="296"/>
      <c r="H139" s="240"/>
      <c r="I139" s="240"/>
      <c r="J139" s="261"/>
      <c r="K139" s="241"/>
      <c r="L139" s="234"/>
      <c r="M139" s="237"/>
      <c r="N139" s="240"/>
      <c r="O139" s="236"/>
      <c r="P139" s="297"/>
      <c r="Q139" s="298"/>
      <c r="R139" s="298"/>
      <c r="S139" s="297"/>
      <c r="T139" s="299"/>
      <c r="U139" s="235"/>
      <c r="V139" s="235"/>
      <c r="W139" s="300"/>
      <c r="X139" s="236"/>
      <c r="Y139" s="211"/>
      <c r="Z139" s="237"/>
      <c r="AA139" s="238"/>
      <c r="AB139" s="211"/>
      <c r="AC139" s="237"/>
      <c r="AD139" s="238"/>
      <c r="AE139" s="294">
        <v>37837</v>
      </c>
    </row>
    <row r="140" spans="1:31">
      <c r="A140" s="233"/>
      <c r="B140" s="301"/>
      <c r="C140" s="233"/>
      <c r="D140" s="233"/>
      <c r="E140" s="295"/>
      <c r="F140" s="241"/>
      <c r="G140" s="296"/>
      <c r="H140" s="240"/>
      <c r="I140" s="240"/>
      <c r="J140" s="261"/>
      <c r="K140" s="241"/>
      <c r="L140" s="234"/>
      <c r="M140" s="237"/>
      <c r="N140" s="240"/>
      <c r="O140" s="236"/>
      <c r="P140" s="297"/>
      <c r="Q140" s="298"/>
      <c r="R140" s="298"/>
      <c r="S140" s="297"/>
      <c r="T140" s="299"/>
      <c r="U140" s="235"/>
      <c r="V140" s="235"/>
      <c r="W140" s="300"/>
      <c r="X140" s="236"/>
      <c r="Y140" s="211"/>
      <c r="Z140" s="237"/>
      <c r="AA140" s="238"/>
      <c r="AB140" s="211"/>
      <c r="AC140" s="237"/>
      <c r="AD140" s="238"/>
      <c r="AE140" s="294">
        <v>37900</v>
      </c>
    </row>
    <row r="141" spans="1:31">
      <c r="A141" s="233"/>
      <c r="B141" s="301"/>
      <c r="C141" s="233"/>
      <c r="D141" s="233"/>
      <c r="E141" s="295"/>
      <c r="F141" s="241"/>
      <c r="G141" s="296"/>
      <c r="H141" s="240"/>
      <c r="I141" s="240"/>
      <c r="J141" s="261"/>
      <c r="K141" s="241"/>
      <c r="L141" s="234"/>
      <c r="M141" s="237"/>
      <c r="N141" s="240"/>
      <c r="O141" s="236"/>
      <c r="P141" s="297"/>
      <c r="Q141" s="298"/>
      <c r="R141" s="298"/>
      <c r="S141" s="297"/>
      <c r="T141" s="299"/>
      <c r="U141" s="235"/>
      <c r="V141" s="235"/>
      <c r="W141" s="300"/>
      <c r="X141" s="236"/>
      <c r="Y141" s="211"/>
      <c r="Z141" s="237"/>
      <c r="AA141" s="238"/>
      <c r="AB141" s="211"/>
      <c r="AC141" s="237"/>
      <c r="AD141" s="238"/>
      <c r="AE141" s="294">
        <v>37980</v>
      </c>
    </row>
    <row r="142" spans="1:31">
      <c r="A142" s="233"/>
      <c r="B142" s="301"/>
      <c r="C142" s="233"/>
      <c r="D142" s="233"/>
      <c r="E142" s="295"/>
      <c r="F142" s="241"/>
      <c r="G142" s="296"/>
      <c r="H142" s="240"/>
      <c r="I142" s="240"/>
      <c r="J142" s="261"/>
      <c r="K142" s="241"/>
      <c r="L142" s="234"/>
      <c r="M142" s="237"/>
      <c r="N142" s="240"/>
      <c r="O142" s="236"/>
      <c r="P142" s="297"/>
      <c r="Q142" s="298"/>
      <c r="R142" s="298"/>
      <c r="S142" s="297"/>
      <c r="T142" s="299"/>
      <c r="U142" s="235"/>
      <c r="V142" s="235"/>
      <c r="W142" s="300"/>
      <c r="X142" s="236"/>
      <c r="Y142" s="211"/>
      <c r="Z142" s="237"/>
      <c r="AA142" s="238"/>
      <c r="AB142" s="211"/>
      <c r="AC142" s="237"/>
      <c r="AD142" s="238"/>
      <c r="AE142" s="294">
        <v>37981</v>
      </c>
    </row>
    <row r="143" spans="1:31">
      <c r="A143" s="233"/>
      <c r="B143" s="301"/>
      <c r="C143" s="233"/>
      <c r="D143" s="233"/>
      <c r="E143" s="295"/>
      <c r="F143" s="241"/>
      <c r="G143" s="296"/>
      <c r="H143" s="240"/>
      <c r="I143" s="240"/>
      <c r="J143" s="261"/>
      <c r="K143" s="241"/>
      <c r="L143" s="234"/>
      <c r="M143" s="237"/>
      <c r="N143" s="240"/>
      <c r="O143" s="236"/>
      <c r="P143" s="297"/>
      <c r="Q143" s="298"/>
      <c r="R143" s="298"/>
      <c r="S143" s="297"/>
      <c r="T143" s="299"/>
      <c r="U143" s="235"/>
      <c r="V143" s="235"/>
      <c r="W143" s="300"/>
      <c r="X143" s="236"/>
      <c r="Y143" s="211"/>
      <c r="Z143" s="237"/>
      <c r="AA143" s="238"/>
      <c r="AB143" s="211"/>
      <c r="AC143" s="237"/>
      <c r="AD143" s="238"/>
      <c r="AE143" s="294">
        <v>37987</v>
      </c>
    </row>
    <row r="144" spans="1:31">
      <c r="A144" s="233"/>
      <c r="B144" s="301"/>
      <c r="C144" s="233"/>
      <c r="D144" s="233"/>
      <c r="E144" s="295"/>
      <c r="F144" s="241"/>
      <c r="G144" s="296"/>
      <c r="H144" s="240"/>
      <c r="I144" s="240"/>
      <c r="J144" s="261"/>
      <c r="K144" s="241"/>
      <c r="L144" s="234"/>
      <c r="M144" s="237"/>
      <c r="N144" s="240"/>
      <c r="O144" s="236"/>
      <c r="P144" s="297"/>
      <c r="Q144" s="298"/>
      <c r="R144" s="298"/>
      <c r="S144" s="297"/>
      <c r="T144" s="299"/>
      <c r="U144" s="235"/>
      <c r="V144" s="235"/>
      <c r="W144" s="300"/>
      <c r="X144" s="236"/>
      <c r="Y144" s="211"/>
      <c r="Z144" s="237"/>
      <c r="AA144" s="238"/>
      <c r="AB144" s="211"/>
      <c r="AC144" s="237"/>
      <c r="AD144" s="238"/>
      <c r="AE144" s="294">
        <v>38012</v>
      </c>
    </row>
    <row r="145" spans="1:31">
      <c r="A145" s="233"/>
      <c r="B145" s="301"/>
      <c r="C145" s="233"/>
      <c r="D145" s="233"/>
      <c r="E145" s="295"/>
      <c r="F145" s="241"/>
      <c r="G145" s="296"/>
      <c r="H145" s="240"/>
      <c r="I145" s="240"/>
      <c r="J145" s="261"/>
      <c r="K145" s="241"/>
      <c r="L145" s="234"/>
      <c r="M145" s="237"/>
      <c r="N145" s="240"/>
      <c r="O145" s="236"/>
      <c r="P145" s="297"/>
      <c r="Q145" s="298"/>
      <c r="R145" s="298"/>
      <c r="S145" s="297"/>
      <c r="T145" s="299"/>
      <c r="U145" s="235"/>
      <c r="V145" s="235"/>
      <c r="W145" s="300"/>
      <c r="X145" s="236"/>
      <c r="Y145" s="211"/>
      <c r="Z145" s="237"/>
      <c r="AA145" s="238"/>
      <c r="AB145" s="211"/>
      <c r="AC145" s="237"/>
      <c r="AD145" s="238"/>
      <c r="AE145" s="294">
        <v>38086</v>
      </c>
    </row>
    <row r="146" spans="1:31">
      <c r="A146" s="233"/>
      <c r="B146" s="301"/>
      <c r="C146" s="233"/>
      <c r="D146" s="233"/>
      <c r="E146" s="295"/>
      <c r="F146" s="241"/>
      <c r="G146" s="296"/>
      <c r="H146" s="240"/>
      <c r="I146" s="240"/>
      <c r="J146" s="261"/>
      <c r="K146" s="241"/>
      <c r="L146" s="234"/>
      <c r="M146" s="237"/>
      <c r="N146" s="240"/>
      <c r="O146" s="236"/>
      <c r="P146" s="297"/>
      <c r="Q146" s="298"/>
      <c r="R146" s="298"/>
      <c r="S146" s="297"/>
      <c r="T146" s="299"/>
      <c r="U146" s="235"/>
      <c r="V146" s="235"/>
      <c r="W146" s="300"/>
      <c r="X146" s="236"/>
      <c r="Y146" s="211"/>
      <c r="Z146" s="237"/>
      <c r="AA146" s="238"/>
      <c r="AB146" s="211"/>
      <c r="AC146" s="237"/>
      <c r="AD146" s="238"/>
      <c r="AE146" s="294">
        <v>38089</v>
      </c>
    </row>
    <row r="147" spans="1:31">
      <c r="A147" s="233"/>
      <c r="B147" s="301"/>
      <c r="C147" s="233"/>
      <c r="D147" s="233"/>
      <c r="E147" s="295"/>
      <c r="F147" s="241"/>
      <c r="G147" s="296"/>
      <c r="H147" s="240"/>
      <c r="I147" s="240"/>
      <c r="J147" s="261"/>
      <c r="K147" s="241"/>
      <c r="L147" s="234"/>
      <c r="M147" s="237"/>
      <c r="N147" s="240"/>
      <c r="O147" s="236"/>
      <c r="P147" s="297"/>
      <c r="Q147" s="298"/>
      <c r="R147" s="298"/>
      <c r="S147" s="297"/>
      <c r="T147" s="299"/>
      <c r="U147" s="235"/>
      <c r="V147" s="235"/>
      <c r="W147" s="300"/>
      <c r="X147" s="236"/>
      <c r="Y147" s="211"/>
      <c r="Z147" s="237"/>
      <c r="AA147" s="238"/>
      <c r="AB147" s="211"/>
      <c r="AC147" s="237"/>
      <c r="AD147" s="238"/>
      <c r="AE147" s="294">
        <v>38103</v>
      </c>
    </row>
    <row r="148" spans="1:31">
      <c r="A148" s="233"/>
      <c r="B148" s="301"/>
      <c r="C148" s="233"/>
      <c r="D148" s="233"/>
      <c r="E148" s="295"/>
      <c r="F148" s="241"/>
      <c r="G148" s="296"/>
      <c r="H148" s="240"/>
      <c r="I148" s="240"/>
      <c r="J148" s="261"/>
      <c r="K148" s="241"/>
      <c r="L148" s="234"/>
      <c r="M148" s="237"/>
      <c r="N148" s="240"/>
      <c r="O148" s="236"/>
      <c r="P148" s="297"/>
      <c r="Q148" s="298"/>
      <c r="R148" s="298"/>
      <c r="S148" s="297"/>
      <c r="T148" s="299"/>
      <c r="U148" s="235"/>
      <c r="V148" s="235"/>
      <c r="W148" s="300"/>
      <c r="X148" s="236"/>
      <c r="Y148" s="211"/>
      <c r="Z148" s="237"/>
      <c r="AA148" s="238"/>
      <c r="AB148" s="211"/>
      <c r="AC148" s="237"/>
      <c r="AD148" s="238"/>
      <c r="AE148" s="294">
        <v>38152</v>
      </c>
    </row>
    <row r="149" spans="1:31">
      <c r="A149" s="233"/>
      <c r="B149" s="301"/>
      <c r="C149" s="233"/>
      <c r="D149" s="233"/>
      <c r="E149" s="295"/>
      <c r="F149" s="241"/>
      <c r="G149" s="296"/>
      <c r="H149" s="240"/>
      <c r="I149" s="240"/>
      <c r="J149" s="261"/>
      <c r="K149" s="241"/>
      <c r="L149" s="234"/>
      <c r="M149" s="237"/>
      <c r="N149" s="240"/>
      <c r="O149" s="236"/>
      <c r="P149" s="297"/>
      <c r="Q149" s="298"/>
      <c r="R149" s="298"/>
      <c r="S149" s="297"/>
      <c r="T149" s="299"/>
      <c r="U149" s="235"/>
      <c r="V149" s="235"/>
      <c r="W149" s="300"/>
      <c r="X149" s="236"/>
      <c r="Y149" s="211"/>
      <c r="Z149" s="237"/>
      <c r="AA149" s="238"/>
      <c r="AB149" s="211"/>
      <c r="AC149" s="237"/>
      <c r="AD149" s="238"/>
      <c r="AE149" s="294">
        <v>38201</v>
      </c>
    </row>
    <row r="150" spans="1:31">
      <c r="A150" s="233"/>
      <c r="B150" s="301"/>
      <c r="C150" s="233"/>
      <c r="D150" s="233"/>
      <c r="E150" s="295"/>
      <c r="F150" s="241"/>
      <c r="G150" s="296"/>
      <c r="H150" s="240"/>
      <c r="I150" s="240"/>
      <c r="J150" s="261"/>
      <c r="K150" s="241"/>
      <c r="L150" s="234"/>
      <c r="M150" s="237"/>
      <c r="N150" s="240"/>
      <c r="O150" s="236"/>
      <c r="P150" s="297"/>
      <c r="Q150" s="298"/>
      <c r="R150" s="298"/>
      <c r="S150" s="297"/>
      <c r="T150" s="299"/>
      <c r="U150" s="235"/>
      <c r="V150" s="235"/>
      <c r="W150" s="300"/>
      <c r="X150" s="236"/>
      <c r="Y150" s="211"/>
      <c r="Z150" s="237"/>
      <c r="AA150" s="238"/>
      <c r="AB150" s="211"/>
      <c r="AC150" s="237"/>
      <c r="AD150" s="238"/>
      <c r="AE150" s="294">
        <v>38264</v>
      </c>
    </row>
    <row r="151" spans="1:31">
      <c r="A151" s="233"/>
      <c r="B151" s="301"/>
      <c r="C151" s="233"/>
      <c r="D151" s="233"/>
      <c r="E151" s="295"/>
      <c r="F151" s="241"/>
      <c r="G151" s="296"/>
      <c r="H151" s="240"/>
      <c r="I151" s="240"/>
      <c r="J151" s="261"/>
      <c r="K151" s="241"/>
      <c r="L151" s="234"/>
      <c r="M151" s="237"/>
      <c r="N151" s="240"/>
      <c r="O151" s="236"/>
      <c r="P151" s="297"/>
      <c r="Q151" s="298"/>
      <c r="R151" s="298"/>
      <c r="S151" s="297"/>
      <c r="T151" s="299"/>
      <c r="U151" s="235"/>
      <c r="V151" s="235"/>
      <c r="W151" s="300"/>
      <c r="X151" s="236"/>
      <c r="Y151" s="211"/>
      <c r="Z151" s="237"/>
      <c r="AA151" s="238"/>
      <c r="AB151" s="211"/>
      <c r="AC151" s="237"/>
      <c r="AD151" s="238"/>
      <c r="AE151" s="294">
        <v>38348</v>
      </c>
    </row>
    <row r="152" spans="1:31">
      <c r="A152" s="233"/>
      <c r="B152" s="301"/>
      <c r="C152" s="233"/>
      <c r="D152" s="233"/>
      <c r="E152" s="295"/>
      <c r="F152" s="241"/>
      <c r="G152" s="296"/>
      <c r="H152" s="240"/>
      <c r="I152" s="240"/>
      <c r="J152" s="261"/>
      <c r="K152" s="241"/>
      <c r="L152" s="234"/>
      <c r="M152" s="237"/>
      <c r="N152" s="240"/>
      <c r="O152" s="236"/>
      <c r="P152" s="297"/>
      <c r="Q152" s="298"/>
      <c r="R152" s="298"/>
      <c r="S152" s="297"/>
      <c r="T152" s="299"/>
      <c r="U152" s="235"/>
      <c r="V152" s="235"/>
      <c r="W152" s="300"/>
      <c r="X152" s="236"/>
      <c r="Y152" s="211"/>
      <c r="Z152" s="237"/>
      <c r="AA152" s="238"/>
      <c r="AB152" s="211"/>
      <c r="AC152" s="237"/>
      <c r="AD152" s="238"/>
      <c r="AE152" s="294">
        <v>38378</v>
      </c>
    </row>
    <row r="153" spans="1:31">
      <c r="A153" s="233"/>
      <c r="B153" s="301"/>
      <c r="C153" s="233"/>
      <c r="D153" s="233"/>
      <c r="E153" s="295"/>
      <c r="F153" s="241"/>
      <c r="G153" s="296"/>
      <c r="H153" s="240"/>
      <c r="I153" s="240"/>
      <c r="J153" s="261"/>
      <c r="K153" s="241"/>
      <c r="L153" s="234"/>
      <c r="M153" s="237"/>
      <c r="N153" s="240"/>
      <c r="O153" s="236"/>
      <c r="P153" s="297"/>
      <c r="Q153" s="298"/>
      <c r="R153" s="298"/>
      <c r="S153" s="297"/>
      <c r="T153" s="299"/>
      <c r="U153" s="235"/>
      <c r="V153" s="235"/>
      <c r="W153" s="300"/>
      <c r="X153" s="236"/>
      <c r="Y153" s="211"/>
      <c r="Z153" s="237"/>
      <c r="AA153" s="238"/>
      <c r="AB153" s="211"/>
      <c r="AC153" s="237"/>
      <c r="AD153" s="238"/>
      <c r="AE153" s="294">
        <v>38436</v>
      </c>
    </row>
    <row r="154" spans="1:31">
      <c r="A154" s="233"/>
      <c r="B154" s="301"/>
      <c r="C154" s="233"/>
      <c r="D154" s="233"/>
      <c r="E154" s="295"/>
      <c r="F154" s="241"/>
      <c r="G154" s="296"/>
      <c r="H154" s="240"/>
      <c r="I154" s="240"/>
      <c r="J154" s="261"/>
      <c r="K154" s="241"/>
      <c r="L154" s="234"/>
      <c r="M154" s="237"/>
      <c r="N154" s="240"/>
      <c r="O154" s="236"/>
      <c r="P154" s="297"/>
      <c r="Q154" s="298"/>
      <c r="R154" s="298"/>
      <c r="S154" s="297"/>
      <c r="T154" s="299"/>
      <c r="U154" s="235"/>
      <c r="V154" s="235"/>
      <c r="W154" s="300"/>
      <c r="X154" s="236"/>
      <c r="Y154" s="211"/>
      <c r="Z154" s="237"/>
      <c r="AA154" s="238"/>
      <c r="AB154" s="211"/>
      <c r="AC154" s="237"/>
      <c r="AD154" s="238"/>
      <c r="AE154" s="294">
        <v>38439</v>
      </c>
    </row>
    <row r="155" spans="1:31">
      <c r="A155" s="233"/>
      <c r="B155" s="301"/>
      <c r="C155" s="233"/>
      <c r="D155" s="233"/>
      <c r="E155" s="295"/>
      <c r="F155" s="241"/>
      <c r="G155" s="296"/>
      <c r="H155" s="240"/>
      <c r="I155" s="240"/>
      <c r="J155" s="261"/>
      <c r="K155" s="241"/>
      <c r="L155" s="234"/>
      <c r="M155" s="237"/>
      <c r="N155" s="240"/>
      <c r="O155" s="236"/>
      <c r="P155" s="297"/>
      <c r="Q155" s="298"/>
      <c r="R155" s="298"/>
      <c r="S155" s="297"/>
      <c r="T155" s="299"/>
      <c r="U155" s="235"/>
      <c r="V155" s="235"/>
      <c r="W155" s="300"/>
      <c r="X155" s="236"/>
      <c r="Y155" s="211"/>
      <c r="Z155" s="237"/>
      <c r="AA155" s="238"/>
      <c r="AB155" s="211"/>
      <c r="AC155" s="237"/>
      <c r="AD155" s="238"/>
      <c r="AE155" s="294">
        <v>38467</v>
      </c>
    </row>
    <row r="156" spans="1:31">
      <c r="A156" s="233"/>
      <c r="B156" s="301"/>
      <c r="C156" s="233"/>
      <c r="D156" s="233"/>
      <c r="E156" s="295"/>
      <c r="F156" s="241"/>
      <c r="G156" s="296"/>
      <c r="H156" s="240"/>
      <c r="I156" s="240"/>
      <c r="J156" s="261"/>
      <c r="K156" s="241"/>
      <c r="L156" s="234"/>
      <c r="M156" s="237"/>
      <c r="N156" s="240"/>
      <c r="O156" s="236"/>
      <c r="P156" s="297"/>
      <c r="Q156" s="298"/>
      <c r="R156" s="298"/>
      <c r="S156" s="297"/>
      <c r="T156" s="299"/>
      <c r="U156" s="235"/>
      <c r="V156" s="235"/>
      <c r="W156" s="300"/>
      <c r="X156" s="236"/>
      <c r="Y156" s="211"/>
      <c r="Z156" s="237"/>
      <c r="AA156" s="238"/>
      <c r="AB156" s="211"/>
      <c r="AC156" s="237"/>
      <c r="AD156" s="238"/>
      <c r="AE156" s="294">
        <v>38516</v>
      </c>
    </row>
    <row r="157" spans="1:31">
      <c r="A157" s="233"/>
      <c r="B157" s="301"/>
      <c r="C157" s="233"/>
      <c r="D157" s="233"/>
      <c r="E157" s="295"/>
      <c r="F157" s="241"/>
      <c r="G157" s="296"/>
      <c r="H157" s="240"/>
      <c r="I157" s="240"/>
      <c r="J157" s="261"/>
      <c r="K157" s="241"/>
      <c r="L157" s="234"/>
      <c r="M157" s="237"/>
      <c r="N157" s="240"/>
      <c r="O157" s="236"/>
      <c r="P157" s="297"/>
      <c r="Q157" s="298"/>
      <c r="R157" s="298"/>
      <c r="S157" s="297"/>
      <c r="T157" s="299"/>
      <c r="U157" s="235"/>
      <c r="V157" s="235"/>
      <c r="W157" s="300"/>
      <c r="X157" s="236"/>
      <c r="Y157" s="211"/>
      <c r="Z157" s="237"/>
      <c r="AA157" s="238"/>
      <c r="AB157" s="211"/>
      <c r="AC157" s="237"/>
      <c r="AD157" s="238"/>
      <c r="AE157" s="294">
        <v>38565</v>
      </c>
    </row>
    <row r="158" spans="1:31">
      <c r="A158" s="233"/>
      <c r="B158" s="301"/>
      <c r="C158" s="233"/>
      <c r="D158" s="233"/>
      <c r="E158" s="295"/>
      <c r="F158" s="241"/>
      <c r="G158" s="296"/>
      <c r="H158" s="240"/>
      <c r="I158" s="240"/>
      <c r="J158" s="261"/>
      <c r="K158" s="241"/>
      <c r="L158" s="234"/>
      <c r="M158" s="237"/>
      <c r="N158" s="240"/>
      <c r="O158" s="236"/>
      <c r="P158" s="297"/>
      <c r="Q158" s="298"/>
      <c r="R158" s="298"/>
      <c r="S158" s="297"/>
      <c r="T158" s="299"/>
      <c r="U158" s="235"/>
      <c r="V158" s="235"/>
      <c r="W158" s="300"/>
      <c r="X158" s="236"/>
      <c r="Y158" s="211"/>
      <c r="Z158" s="237"/>
      <c r="AA158" s="238"/>
      <c r="AB158" s="211"/>
      <c r="AC158" s="237"/>
      <c r="AD158" s="238"/>
      <c r="AE158" s="294">
        <v>38628</v>
      </c>
    </row>
    <row r="159" spans="1:31">
      <c r="A159" s="233"/>
      <c r="B159" s="301"/>
      <c r="C159" s="233"/>
      <c r="D159" s="233"/>
      <c r="E159" s="295"/>
      <c r="F159" s="241"/>
      <c r="G159" s="296"/>
      <c r="H159" s="240"/>
      <c r="I159" s="240"/>
      <c r="J159" s="261"/>
      <c r="K159" s="241"/>
      <c r="L159" s="234"/>
      <c r="M159" s="237"/>
      <c r="N159" s="240"/>
      <c r="O159" s="236"/>
      <c r="P159" s="297"/>
      <c r="Q159" s="298"/>
      <c r="R159" s="298"/>
      <c r="S159" s="297"/>
      <c r="T159" s="299"/>
      <c r="U159" s="235"/>
      <c r="V159" s="235"/>
      <c r="W159" s="300"/>
      <c r="X159" s="236"/>
      <c r="Y159" s="211"/>
      <c r="Z159" s="237"/>
      <c r="AA159" s="238"/>
      <c r="AB159" s="211"/>
      <c r="AC159" s="237"/>
      <c r="AD159" s="238"/>
      <c r="AE159" s="294">
        <v>38712</v>
      </c>
    </row>
    <row r="160" spans="1:31">
      <c r="A160" s="233"/>
      <c r="B160" s="301"/>
      <c r="C160" s="233"/>
      <c r="D160" s="233"/>
      <c r="E160" s="295"/>
      <c r="F160" s="241"/>
      <c r="G160" s="296"/>
      <c r="H160" s="240"/>
      <c r="I160" s="240"/>
      <c r="J160" s="261"/>
      <c r="K160" s="241"/>
      <c r="L160" s="234"/>
      <c r="M160" s="237"/>
      <c r="N160" s="240"/>
      <c r="O160" s="236"/>
      <c r="P160" s="297"/>
      <c r="Q160" s="298"/>
      <c r="R160" s="298"/>
      <c r="S160" s="297"/>
      <c r="T160" s="299"/>
      <c r="U160" s="235"/>
      <c r="V160" s="235"/>
      <c r="W160" s="300"/>
      <c r="X160" s="236"/>
      <c r="Y160" s="211"/>
      <c r="Z160" s="237"/>
      <c r="AA160" s="238"/>
      <c r="AB160" s="211"/>
      <c r="AC160" s="237"/>
      <c r="AD160" s="238"/>
      <c r="AE160" s="294">
        <v>38713</v>
      </c>
    </row>
    <row r="161" spans="1:31">
      <c r="A161" s="233"/>
      <c r="B161" s="301"/>
      <c r="C161" s="233"/>
      <c r="D161" s="233"/>
      <c r="E161" s="295"/>
      <c r="F161" s="241"/>
      <c r="G161" s="296"/>
      <c r="H161" s="240"/>
      <c r="I161" s="240"/>
      <c r="J161" s="261"/>
      <c r="K161" s="241"/>
      <c r="L161" s="234"/>
      <c r="M161" s="237"/>
      <c r="N161" s="240"/>
      <c r="O161" s="236"/>
      <c r="P161" s="297"/>
      <c r="Q161" s="298"/>
      <c r="R161" s="298"/>
      <c r="S161" s="297"/>
      <c r="T161" s="299"/>
      <c r="U161" s="235"/>
      <c r="V161" s="235"/>
      <c r="W161" s="300"/>
      <c r="X161" s="236"/>
      <c r="Y161" s="211"/>
      <c r="Z161" s="237"/>
      <c r="AA161" s="238"/>
      <c r="AB161" s="211"/>
      <c r="AC161" s="237"/>
      <c r="AD161" s="238"/>
      <c r="AE161" s="294">
        <v>38719</v>
      </c>
    </row>
    <row r="162" spans="1:31">
      <c r="A162" s="233"/>
      <c r="B162" s="301"/>
      <c r="C162" s="233"/>
      <c r="D162" s="233"/>
      <c r="E162" s="295"/>
      <c r="F162" s="241"/>
      <c r="G162" s="296"/>
      <c r="H162" s="240"/>
      <c r="I162" s="240"/>
      <c r="J162" s="261"/>
      <c r="K162" s="241"/>
      <c r="L162" s="234"/>
      <c r="M162" s="237"/>
      <c r="N162" s="240"/>
      <c r="O162" s="236"/>
      <c r="P162" s="297"/>
      <c r="Q162" s="298"/>
      <c r="R162" s="298"/>
      <c r="S162" s="297"/>
      <c r="T162" s="299"/>
      <c r="U162" s="235"/>
      <c r="V162" s="235"/>
      <c r="W162" s="300"/>
      <c r="X162" s="236"/>
      <c r="Y162" s="211"/>
      <c r="Z162" s="237"/>
      <c r="AA162" s="238"/>
      <c r="AB162" s="211"/>
      <c r="AC162" s="237"/>
      <c r="AD162" s="238"/>
      <c r="AE162" s="294">
        <v>38743</v>
      </c>
    </row>
    <row r="163" spans="1:31">
      <c r="A163" s="233"/>
      <c r="B163" s="301"/>
      <c r="C163" s="233"/>
      <c r="D163" s="233"/>
      <c r="E163" s="295"/>
      <c r="F163" s="241"/>
      <c r="G163" s="296"/>
      <c r="H163" s="240"/>
      <c r="I163" s="240"/>
      <c r="J163" s="261"/>
      <c r="K163" s="241"/>
      <c r="L163" s="234"/>
      <c r="M163" s="237"/>
      <c r="N163" s="240"/>
      <c r="O163" s="236"/>
      <c r="P163" s="297"/>
      <c r="Q163" s="298"/>
      <c r="R163" s="298"/>
      <c r="S163" s="297"/>
      <c r="T163" s="299"/>
      <c r="U163" s="235"/>
      <c r="V163" s="235"/>
      <c r="W163" s="300"/>
      <c r="X163" s="236"/>
      <c r="Y163" s="211"/>
      <c r="Z163" s="237"/>
      <c r="AA163" s="238"/>
      <c r="AB163" s="211"/>
      <c r="AC163" s="237"/>
      <c r="AD163" s="238"/>
      <c r="AE163" s="294">
        <v>38821</v>
      </c>
    </row>
    <row r="164" spans="1:31">
      <c r="A164" s="233"/>
      <c r="B164" s="301"/>
      <c r="C164" s="233"/>
      <c r="D164" s="233"/>
      <c r="E164" s="295"/>
      <c r="F164" s="241"/>
      <c r="G164" s="296"/>
      <c r="H164" s="240"/>
      <c r="I164" s="240"/>
      <c r="J164" s="261"/>
      <c r="K164" s="241"/>
      <c r="L164" s="234"/>
      <c r="M164" s="237"/>
      <c r="N164" s="240"/>
      <c r="O164" s="236"/>
      <c r="P164" s="297"/>
      <c r="Q164" s="298"/>
      <c r="R164" s="298"/>
      <c r="S164" s="297"/>
      <c r="T164" s="299"/>
      <c r="U164" s="235"/>
      <c r="V164" s="235"/>
      <c r="W164" s="300"/>
      <c r="X164" s="236"/>
      <c r="Y164" s="211"/>
      <c r="Z164" s="237"/>
      <c r="AA164" s="238"/>
      <c r="AB164" s="211"/>
      <c r="AC164" s="237"/>
      <c r="AD164" s="238"/>
      <c r="AE164" s="294">
        <v>38824</v>
      </c>
    </row>
    <row r="165" spans="1:31">
      <c r="A165" s="233"/>
      <c r="B165" s="301"/>
      <c r="C165" s="233"/>
      <c r="D165" s="233"/>
      <c r="E165" s="295"/>
      <c r="F165" s="241"/>
      <c r="G165" s="296"/>
      <c r="H165" s="240"/>
      <c r="I165" s="240"/>
      <c r="J165" s="261"/>
      <c r="K165" s="241"/>
      <c r="L165" s="234"/>
      <c r="M165" s="237"/>
      <c r="N165" s="240"/>
      <c r="O165" s="236"/>
      <c r="P165" s="297"/>
      <c r="Q165" s="298"/>
      <c r="R165" s="298"/>
      <c r="S165" s="297"/>
      <c r="T165" s="299"/>
      <c r="U165" s="235"/>
      <c r="V165" s="235"/>
      <c r="W165" s="300"/>
      <c r="X165" s="236"/>
      <c r="Y165" s="211"/>
      <c r="Z165" s="237"/>
      <c r="AA165" s="238"/>
      <c r="AB165" s="211"/>
      <c r="AC165" s="237"/>
      <c r="AD165" s="238"/>
      <c r="AE165" s="294">
        <v>38832</v>
      </c>
    </row>
    <row r="166" spans="1:31">
      <c r="A166" s="233"/>
      <c r="B166" s="301"/>
      <c r="C166" s="233"/>
      <c r="D166" s="233"/>
      <c r="E166" s="295"/>
      <c r="F166" s="241"/>
      <c r="G166" s="296"/>
      <c r="H166" s="240"/>
      <c r="I166" s="240"/>
      <c r="J166" s="261"/>
      <c r="K166" s="241"/>
      <c r="L166" s="234"/>
      <c r="M166" s="237"/>
      <c r="N166" s="240"/>
      <c r="O166" s="236"/>
      <c r="P166" s="297"/>
      <c r="Q166" s="298"/>
      <c r="R166" s="298"/>
      <c r="S166" s="297"/>
      <c r="T166" s="299"/>
      <c r="U166" s="235"/>
      <c r="V166" s="235"/>
      <c r="W166" s="300"/>
      <c r="X166" s="236"/>
      <c r="Y166" s="211"/>
      <c r="Z166" s="237"/>
      <c r="AA166" s="238"/>
      <c r="AB166" s="211"/>
      <c r="AC166" s="237"/>
      <c r="AD166" s="238"/>
      <c r="AE166" s="294">
        <v>38880</v>
      </c>
    </row>
    <row r="167" spans="1:31">
      <c r="A167" s="233"/>
      <c r="B167" s="301"/>
      <c r="C167" s="233"/>
      <c r="D167" s="233"/>
      <c r="E167" s="295"/>
      <c r="F167" s="241"/>
      <c r="G167" s="296"/>
      <c r="H167" s="240"/>
      <c r="I167" s="240"/>
      <c r="J167" s="261"/>
      <c r="K167" s="241"/>
      <c r="L167" s="234"/>
      <c r="M167" s="237"/>
      <c r="N167" s="240"/>
      <c r="O167" s="236"/>
      <c r="P167" s="297"/>
      <c r="Q167" s="298"/>
      <c r="R167" s="298"/>
      <c r="S167" s="297"/>
      <c r="T167" s="299"/>
      <c r="U167" s="235"/>
      <c r="V167" s="235"/>
      <c r="W167" s="300"/>
      <c r="X167" s="236"/>
      <c r="Y167" s="211"/>
      <c r="Z167" s="237"/>
      <c r="AA167" s="238"/>
      <c r="AB167" s="211"/>
      <c r="AC167" s="237"/>
      <c r="AD167" s="238"/>
      <c r="AE167" s="294">
        <v>38936</v>
      </c>
    </row>
    <row r="168" spans="1:31">
      <c r="A168" s="233"/>
      <c r="B168" s="301"/>
      <c r="C168" s="233"/>
      <c r="D168" s="233"/>
      <c r="E168" s="295"/>
      <c r="F168" s="241"/>
      <c r="G168" s="296"/>
      <c r="H168" s="240"/>
      <c r="I168" s="240"/>
      <c r="J168" s="261"/>
      <c r="K168" s="241"/>
      <c r="L168" s="234"/>
      <c r="M168" s="237"/>
      <c r="N168" s="240"/>
      <c r="O168" s="236"/>
      <c r="P168" s="297"/>
      <c r="Q168" s="298"/>
      <c r="R168" s="298"/>
      <c r="S168" s="297"/>
      <c r="T168" s="299"/>
      <c r="U168" s="235"/>
      <c r="V168" s="235"/>
      <c r="W168" s="300"/>
      <c r="X168" s="236"/>
      <c r="Y168" s="211"/>
      <c r="Z168" s="237"/>
      <c r="AA168" s="238"/>
      <c r="AB168" s="211"/>
      <c r="AC168" s="237"/>
      <c r="AD168" s="238"/>
      <c r="AE168" s="294">
        <v>38992</v>
      </c>
    </row>
    <row r="169" spans="1:31">
      <c r="A169" s="233"/>
      <c r="B169" s="301"/>
      <c r="C169" s="233"/>
      <c r="D169" s="233"/>
      <c r="E169" s="295"/>
      <c r="F169" s="241"/>
      <c r="G169" s="296"/>
      <c r="H169" s="240"/>
      <c r="I169" s="240"/>
      <c r="J169" s="261"/>
      <c r="K169" s="241"/>
      <c r="L169" s="234"/>
      <c r="M169" s="237"/>
      <c r="N169" s="240"/>
      <c r="O169" s="236"/>
      <c r="P169" s="297"/>
      <c r="Q169" s="298"/>
      <c r="R169" s="298"/>
      <c r="S169" s="297"/>
      <c r="T169" s="299"/>
      <c r="U169" s="235"/>
      <c r="V169" s="235"/>
      <c r="W169" s="300"/>
      <c r="X169" s="236"/>
      <c r="Y169" s="211"/>
      <c r="Z169" s="237"/>
      <c r="AA169" s="238"/>
      <c r="AB169" s="211"/>
      <c r="AC169" s="237"/>
      <c r="AD169" s="238"/>
      <c r="AE169" s="294">
        <v>39076</v>
      </c>
    </row>
    <row r="170" spans="1:31">
      <c r="A170" s="233"/>
      <c r="B170" s="301"/>
      <c r="C170" s="233"/>
      <c r="D170" s="233"/>
      <c r="E170" s="295"/>
      <c r="F170" s="241"/>
      <c r="G170" s="296"/>
      <c r="H170" s="240"/>
      <c r="I170" s="240"/>
      <c r="J170" s="261"/>
      <c r="K170" s="241"/>
      <c r="L170" s="234"/>
      <c r="M170" s="237"/>
      <c r="N170" s="240"/>
      <c r="O170" s="236"/>
      <c r="P170" s="297"/>
      <c r="Q170" s="298"/>
      <c r="R170" s="298"/>
      <c r="S170" s="297"/>
      <c r="T170" s="299"/>
      <c r="U170" s="235"/>
      <c r="V170" s="235"/>
      <c r="W170" s="300"/>
      <c r="X170" s="236"/>
      <c r="Y170" s="211"/>
      <c r="Z170" s="237"/>
      <c r="AA170" s="238"/>
      <c r="AB170" s="211"/>
      <c r="AC170" s="237"/>
      <c r="AD170" s="238"/>
      <c r="AE170" s="294">
        <v>39077</v>
      </c>
    </row>
    <row r="171" spans="1:31">
      <c r="A171" s="233"/>
      <c r="B171" s="301"/>
      <c r="C171" s="233"/>
      <c r="D171" s="233"/>
      <c r="E171" s="295"/>
      <c r="F171" s="241"/>
      <c r="G171" s="296"/>
      <c r="H171" s="240"/>
      <c r="I171" s="240"/>
      <c r="J171" s="261"/>
      <c r="K171" s="241"/>
      <c r="L171" s="234"/>
      <c r="M171" s="237"/>
      <c r="N171" s="240"/>
      <c r="O171" s="236"/>
      <c r="P171" s="297"/>
      <c r="Q171" s="298"/>
      <c r="R171" s="298"/>
      <c r="S171" s="297"/>
      <c r="T171" s="299"/>
      <c r="U171" s="235"/>
      <c r="V171" s="235"/>
      <c r="W171" s="300"/>
      <c r="X171" s="236"/>
      <c r="Y171" s="211"/>
      <c r="Z171" s="237"/>
      <c r="AA171" s="238"/>
      <c r="AB171" s="211"/>
      <c r="AC171" s="237"/>
      <c r="AD171" s="238"/>
      <c r="AE171" s="294">
        <v>39083</v>
      </c>
    </row>
    <row r="172" spans="1:31">
      <c r="A172" s="233"/>
      <c r="B172" s="301"/>
      <c r="C172" s="233"/>
      <c r="D172" s="233"/>
      <c r="E172" s="295"/>
      <c r="F172" s="241"/>
      <c r="G172" s="296"/>
      <c r="H172" s="240"/>
      <c r="I172" s="240"/>
      <c r="J172" s="261"/>
      <c r="K172" s="241"/>
      <c r="L172" s="234"/>
      <c r="M172" s="237"/>
      <c r="N172" s="240"/>
      <c r="O172" s="236"/>
      <c r="P172" s="297"/>
      <c r="Q172" s="298"/>
      <c r="R172" s="298"/>
      <c r="S172" s="297"/>
      <c r="T172" s="299"/>
      <c r="U172" s="235"/>
      <c r="V172" s="235"/>
      <c r="W172" s="300"/>
      <c r="X172" s="236"/>
      <c r="Y172" s="211"/>
      <c r="Z172" s="237"/>
      <c r="AA172" s="238"/>
      <c r="AB172" s="211"/>
      <c r="AC172" s="237"/>
      <c r="AD172" s="238"/>
      <c r="AE172" s="294">
        <v>39108</v>
      </c>
    </row>
    <row r="173" spans="1:31">
      <c r="A173" s="233"/>
      <c r="B173" s="301"/>
      <c r="C173" s="233"/>
      <c r="D173" s="233"/>
      <c r="E173" s="295"/>
      <c r="F173" s="241"/>
      <c r="G173" s="296"/>
      <c r="H173" s="240"/>
      <c r="I173" s="240"/>
      <c r="J173" s="261"/>
      <c r="K173" s="241"/>
      <c r="L173" s="234"/>
      <c r="M173" s="237"/>
      <c r="N173" s="240"/>
      <c r="O173" s="236"/>
      <c r="P173" s="297"/>
      <c r="Q173" s="298"/>
      <c r="R173" s="298"/>
      <c r="S173" s="297"/>
      <c r="T173" s="299"/>
      <c r="U173" s="235"/>
      <c r="V173" s="235"/>
      <c r="W173" s="300"/>
      <c r="X173" s="236"/>
      <c r="Y173" s="211"/>
      <c r="Z173" s="237"/>
      <c r="AA173" s="238"/>
      <c r="AB173" s="211"/>
      <c r="AC173" s="237"/>
      <c r="AD173" s="238"/>
      <c r="AE173" s="294">
        <v>39178</v>
      </c>
    </row>
    <row r="174" spans="1:31">
      <c r="A174" s="233"/>
      <c r="B174" s="301"/>
      <c r="C174" s="233"/>
      <c r="D174" s="233"/>
      <c r="E174" s="295"/>
      <c r="F174" s="241"/>
      <c r="G174" s="296"/>
      <c r="H174" s="240"/>
      <c r="I174" s="240"/>
      <c r="J174" s="261"/>
      <c r="K174" s="241"/>
      <c r="L174" s="234"/>
      <c r="M174" s="237"/>
      <c r="N174" s="240"/>
      <c r="O174" s="236"/>
      <c r="P174" s="297"/>
      <c r="Q174" s="298"/>
      <c r="R174" s="298"/>
      <c r="S174" s="297"/>
      <c r="T174" s="299"/>
      <c r="U174" s="235"/>
      <c r="V174" s="235"/>
      <c r="W174" s="300"/>
      <c r="X174" s="236"/>
      <c r="Y174" s="211"/>
      <c r="Z174" s="237"/>
      <c r="AA174" s="238"/>
      <c r="AB174" s="211"/>
      <c r="AC174" s="237"/>
      <c r="AD174" s="238"/>
      <c r="AE174" s="294">
        <v>39181</v>
      </c>
    </row>
    <row r="175" spans="1:31">
      <c r="A175" s="233"/>
      <c r="B175" s="301"/>
      <c r="C175" s="233"/>
      <c r="D175" s="233"/>
      <c r="E175" s="295"/>
      <c r="F175" s="241"/>
      <c r="G175" s="296"/>
      <c r="H175" s="240"/>
      <c r="I175" s="240"/>
      <c r="J175" s="261"/>
      <c r="K175" s="241"/>
      <c r="L175" s="234"/>
      <c r="M175" s="237"/>
      <c r="N175" s="240"/>
      <c r="O175" s="236"/>
      <c r="P175" s="297"/>
      <c r="Q175" s="298"/>
      <c r="R175" s="298"/>
      <c r="S175" s="297"/>
      <c r="T175" s="299"/>
      <c r="U175" s="235"/>
      <c r="V175" s="235"/>
      <c r="W175" s="300"/>
      <c r="X175" s="236"/>
      <c r="Y175" s="211"/>
      <c r="Z175" s="237"/>
      <c r="AA175" s="238"/>
      <c r="AB175" s="211"/>
      <c r="AC175" s="237"/>
      <c r="AD175" s="238"/>
      <c r="AE175" s="294">
        <v>39197</v>
      </c>
    </row>
    <row r="176" spans="1:31">
      <c r="A176" s="233"/>
      <c r="B176" s="301"/>
      <c r="C176" s="233"/>
      <c r="D176" s="233"/>
      <c r="E176" s="295"/>
      <c r="F176" s="241"/>
      <c r="G176" s="296"/>
      <c r="H176" s="240"/>
      <c r="I176" s="240"/>
      <c r="J176" s="261"/>
      <c r="K176" s="241"/>
      <c r="L176" s="234"/>
      <c r="M176" s="237"/>
      <c r="N176" s="240"/>
      <c r="O176" s="236"/>
      <c r="P176" s="297"/>
      <c r="Q176" s="298"/>
      <c r="R176" s="298"/>
      <c r="S176" s="297"/>
      <c r="T176" s="299"/>
      <c r="U176" s="235"/>
      <c r="V176" s="235"/>
      <c r="W176" s="300"/>
      <c r="X176" s="236"/>
      <c r="Y176" s="211"/>
      <c r="Z176" s="237"/>
      <c r="AA176" s="238"/>
      <c r="AB176" s="211"/>
      <c r="AC176" s="237"/>
      <c r="AD176" s="238"/>
      <c r="AE176" s="294">
        <v>39244</v>
      </c>
    </row>
    <row r="177" spans="1:31">
      <c r="A177" s="233"/>
      <c r="B177" s="301"/>
      <c r="C177" s="233"/>
      <c r="D177" s="233"/>
      <c r="E177" s="295"/>
      <c r="F177" s="241"/>
      <c r="G177" s="296"/>
      <c r="H177" s="240"/>
      <c r="I177" s="240"/>
      <c r="J177" s="261"/>
      <c r="K177" s="241"/>
      <c r="L177" s="234"/>
      <c r="M177" s="237"/>
      <c r="N177" s="240"/>
      <c r="O177" s="236"/>
      <c r="P177" s="297"/>
      <c r="Q177" s="298"/>
      <c r="R177" s="298"/>
      <c r="S177" s="297"/>
      <c r="T177" s="299"/>
      <c r="U177" s="235"/>
      <c r="V177" s="235"/>
      <c r="W177" s="300"/>
      <c r="X177" s="236"/>
      <c r="Y177" s="211"/>
      <c r="Z177" s="237"/>
      <c r="AA177" s="238"/>
      <c r="AB177" s="211"/>
      <c r="AC177" s="237"/>
      <c r="AD177" s="238"/>
      <c r="AE177" s="294">
        <v>39300</v>
      </c>
    </row>
    <row r="178" spans="1:31">
      <c r="A178" s="233"/>
      <c r="B178" s="301"/>
      <c r="C178" s="233"/>
      <c r="D178" s="233"/>
      <c r="E178" s="295"/>
      <c r="F178" s="241"/>
      <c r="G178" s="296"/>
      <c r="H178" s="240"/>
      <c r="I178" s="240"/>
      <c r="J178" s="261"/>
      <c r="K178" s="241"/>
      <c r="L178" s="234"/>
      <c r="M178" s="237"/>
      <c r="N178" s="240"/>
      <c r="O178" s="236"/>
      <c r="P178" s="297"/>
      <c r="Q178" s="298"/>
      <c r="R178" s="298"/>
      <c r="S178" s="297"/>
      <c r="T178" s="299"/>
      <c r="U178" s="235"/>
      <c r="V178" s="235"/>
      <c r="W178" s="300"/>
      <c r="X178" s="236"/>
      <c r="Y178" s="211"/>
      <c r="Z178" s="237"/>
      <c r="AA178" s="238"/>
      <c r="AB178" s="211"/>
      <c r="AC178" s="237"/>
      <c r="AD178" s="238"/>
      <c r="AE178" s="294">
        <v>39356</v>
      </c>
    </row>
    <row r="179" spans="1:31">
      <c r="A179" s="233"/>
      <c r="B179" s="301"/>
      <c r="C179" s="233"/>
      <c r="D179" s="233"/>
      <c r="E179" s="295"/>
      <c r="F179" s="241"/>
      <c r="G179" s="296"/>
      <c r="H179" s="240"/>
      <c r="I179" s="240"/>
      <c r="J179" s="261"/>
      <c r="K179" s="241"/>
      <c r="L179" s="234"/>
      <c r="M179" s="237"/>
      <c r="N179" s="240"/>
      <c r="O179" s="236"/>
      <c r="P179" s="297"/>
      <c r="Q179" s="298"/>
      <c r="R179" s="298"/>
      <c r="S179" s="297"/>
      <c r="T179" s="299"/>
      <c r="U179" s="235"/>
      <c r="V179" s="235"/>
      <c r="W179" s="300"/>
      <c r="X179" s="236"/>
      <c r="Y179" s="211"/>
      <c r="Z179" s="237"/>
      <c r="AA179" s="238"/>
      <c r="AB179" s="211"/>
      <c r="AC179" s="237"/>
      <c r="AD179" s="238"/>
      <c r="AE179" s="294">
        <v>39441</v>
      </c>
    </row>
    <row r="180" spans="1:31">
      <c r="A180" s="233"/>
      <c r="B180" s="301"/>
      <c r="C180" s="233"/>
      <c r="D180" s="233"/>
      <c r="E180" s="295"/>
      <c r="F180" s="241"/>
      <c r="G180" s="296"/>
      <c r="H180" s="240"/>
      <c r="I180" s="240"/>
      <c r="J180" s="261"/>
      <c r="K180" s="241"/>
      <c r="L180" s="234"/>
      <c r="M180" s="237"/>
      <c r="N180" s="240"/>
      <c r="O180" s="236"/>
      <c r="P180" s="297"/>
      <c r="Q180" s="298"/>
      <c r="R180" s="298"/>
      <c r="S180" s="297"/>
      <c r="T180" s="299"/>
      <c r="U180" s="235"/>
      <c r="V180" s="235"/>
      <c r="W180" s="300"/>
      <c r="X180" s="236"/>
      <c r="Y180" s="211"/>
      <c r="Z180" s="237"/>
      <c r="AA180" s="238"/>
      <c r="AB180" s="211"/>
      <c r="AC180" s="237"/>
      <c r="AD180" s="238"/>
      <c r="AE180" s="294">
        <v>39442</v>
      </c>
    </row>
    <row r="181" spans="1:31">
      <c r="A181" s="233"/>
      <c r="B181" s="301"/>
      <c r="C181" s="233"/>
      <c r="D181" s="233"/>
      <c r="E181" s="295"/>
      <c r="F181" s="241"/>
      <c r="G181" s="296"/>
      <c r="H181" s="240"/>
      <c r="I181" s="240"/>
      <c r="J181" s="261"/>
      <c r="K181" s="241"/>
      <c r="L181" s="234"/>
      <c r="M181" s="237"/>
      <c r="N181" s="240"/>
      <c r="O181" s="236"/>
      <c r="P181" s="297"/>
      <c r="Q181" s="298"/>
      <c r="R181" s="298"/>
      <c r="S181" s="297"/>
      <c r="T181" s="299"/>
      <c r="U181" s="235"/>
      <c r="V181" s="235"/>
      <c r="W181" s="300"/>
      <c r="X181" s="236"/>
      <c r="Y181" s="211"/>
      <c r="Z181" s="237"/>
      <c r="AA181" s="238"/>
      <c r="AB181" s="211"/>
      <c r="AC181" s="237"/>
      <c r="AD181" s="238"/>
      <c r="AE181" s="294">
        <v>39448</v>
      </c>
    </row>
    <row r="182" spans="1:31">
      <c r="A182" s="233"/>
      <c r="B182" s="301"/>
      <c r="C182" s="233"/>
      <c r="D182" s="233"/>
      <c r="E182" s="295"/>
      <c r="F182" s="241"/>
      <c r="G182" s="296"/>
      <c r="H182" s="240"/>
      <c r="I182" s="240"/>
      <c r="J182" s="261"/>
      <c r="K182" s="241"/>
      <c r="L182" s="234"/>
      <c r="M182" s="237"/>
      <c r="N182" s="240"/>
      <c r="O182" s="236"/>
      <c r="P182" s="297"/>
      <c r="Q182" s="298"/>
      <c r="R182" s="298"/>
      <c r="S182" s="297"/>
      <c r="T182" s="299"/>
      <c r="U182" s="235"/>
      <c r="V182" s="235"/>
      <c r="W182" s="300"/>
      <c r="X182" s="236"/>
      <c r="Y182" s="211"/>
      <c r="Z182" s="237"/>
      <c r="AA182" s="238"/>
      <c r="AB182" s="211"/>
      <c r="AC182" s="237"/>
      <c r="AD182" s="238"/>
      <c r="AE182" s="294">
        <v>39528</v>
      </c>
    </row>
    <row r="183" spans="1:31">
      <c r="A183" s="233"/>
      <c r="B183" s="301"/>
      <c r="C183" s="233"/>
      <c r="D183" s="233"/>
      <c r="E183" s="295"/>
      <c r="F183" s="241"/>
      <c r="G183" s="296"/>
      <c r="H183" s="240"/>
      <c r="I183" s="240"/>
      <c r="J183" s="261"/>
      <c r="K183" s="241"/>
      <c r="L183" s="234"/>
      <c r="M183" s="237"/>
      <c r="N183" s="240"/>
      <c r="O183" s="236"/>
      <c r="P183" s="297"/>
      <c r="Q183" s="298"/>
      <c r="R183" s="298"/>
      <c r="S183" s="297"/>
      <c r="T183" s="299"/>
      <c r="U183" s="235"/>
      <c r="V183" s="235"/>
      <c r="W183" s="300"/>
      <c r="X183" s="236"/>
      <c r="Y183" s="211"/>
      <c r="Z183" s="237"/>
      <c r="AA183" s="238"/>
      <c r="AB183" s="211"/>
      <c r="AC183" s="237"/>
      <c r="AD183" s="238"/>
      <c r="AE183" s="294">
        <v>39531</v>
      </c>
    </row>
    <row r="184" spans="1:31">
      <c r="A184" s="233"/>
      <c r="B184" s="301"/>
      <c r="C184" s="233"/>
      <c r="D184" s="233"/>
      <c r="E184" s="295"/>
      <c r="F184" s="241"/>
      <c r="G184" s="296"/>
      <c r="H184" s="240"/>
      <c r="I184" s="240"/>
      <c r="J184" s="261"/>
      <c r="K184" s="241"/>
      <c r="L184" s="234"/>
      <c r="M184" s="237"/>
      <c r="N184" s="240"/>
      <c r="O184" s="236"/>
      <c r="P184" s="297"/>
      <c r="Q184" s="298"/>
      <c r="R184" s="298"/>
      <c r="S184" s="297"/>
      <c r="T184" s="299"/>
      <c r="U184" s="235"/>
      <c r="V184" s="235"/>
      <c r="W184" s="300"/>
      <c r="X184" s="236"/>
      <c r="Y184" s="211"/>
      <c r="Z184" s="237"/>
      <c r="AA184" s="238"/>
      <c r="AB184" s="211"/>
      <c r="AC184" s="237"/>
      <c r="AD184" s="238"/>
      <c r="AE184" s="294">
        <v>39563</v>
      </c>
    </row>
    <row r="185" spans="1:31">
      <c r="A185" s="233"/>
      <c r="B185" s="301"/>
      <c r="C185" s="233"/>
      <c r="D185" s="233"/>
      <c r="E185" s="295"/>
      <c r="F185" s="241"/>
      <c r="G185" s="296"/>
      <c r="H185" s="240"/>
      <c r="I185" s="240"/>
      <c r="J185" s="261"/>
      <c r="K185" s="241"/>
      <c r="L185" s="234"/>
      <c r="M185" s="237"/>
      <c r="N185" s="240"/>
      <c r="O185" s="236"/>
      <c r="P185" s="297"/>
      <c r="Q185" s="298"/>
      <c r="R185" s="298"/>
      <c r="S185" s="297"/>
      <c r="T185" s="299"/>
      <c r="U185" s="235"/>
      <c r="V185" s="235"/>
      <c r="W185" s="300"/>
      <c r="X185" s="236"/>
      <c r="Y185" s="211"/>
      <c r="Z185" s="237"/>
      <c r="AA185" s="238"/>
      <c r="AB185" s="211"/>
      <c r="AC185" s="237"/>
      <c r="AD185" s="238"/>
      <c r="AE185" s="294">
        <v>39608</v>
      </c>
    </row>
    <row r="186" spans="1:31">
      <c r="A186" s="233"/>
      <c r="B186" s="301"/>
      <c r="C186" s="233"/>
      <c r="D186" s="233"/>
      <c r="E186" s="295"/>
      <c r="F186" s="241"/>
      <c r="G186" s="296"/>
      <c r="H186" s="240"/>
      <c r="I186" s="240"/>
      <c r="J186" s="261"/>
      <c r="K186" s="241"/>
      <c r="L186" s="234"/>
      <c r="M186" s="237"/>
      <c r="N186" s="240"/>
      <c r="O186" s="236"/>
      <c r="P186" s="297"/>
      <c r="Q186" s="298"/>
      <c r="R186" s="298"/>
      <c r="S186" s="297"/>
      <c r="T186" s="299"/>
      <c r="U186" s="235"/>
      <c r="V186" s="235"/>
      <c r="W186" s="300"/>
      <c r="X186" s="236"/>
      <c r="Y186" s="211"/>
      <c r="Z186" s="237"/>
      <c r="AA186" s="238"/>
      <c r="AB186" s="211"/>
      <c r="AC186" s="237"/>
      <c r="AD186" s="238"/>
      <c r="AE186" s="294">
        <v>39664</v>
      </c>
    </row>
    <row r="187" spans="1:31">
      <c r="A187" s="233"/>
      <c r="B187" s="301"/>
      <c r="C187" s="233"/>
      <c r="D187" s="233"/>
      <c r="E187" s="295"/>
      <c r="F187" s="241"/>
      <c r="G187" s="296"/>
      <c r="H187" s="240"/>
      <c r="I187" s="240"/>
      <c r="J187" s="261"/>
      <c r="K187" s="241"/>
      <c r="L187" s="234"/>
      <c r="M187" s="237"/>
      <c r="N187" s="240"/>
      <c r="O187" s="236"/>
      <c r="P187" s="297"/>
      <c r="Q187" s="298"/>
      <c r="R187" s="298"/>
      <c r="S187" s="297"/>
      <c r="T187" s="299"/>
      <c r="U187" s="235"/>
      <c r="V187" s="235"/>
      <c r="W187" s="300"/>
      <c r="X187" s="236"/>
      <c r="Y187" s="211"/>
      <c r="Z187" s="237"/>
      <c r="AA187" s="238"/>
      <c r="AB187" s="211"/>
      <c r="AC187" s="237"/>
      <c r="AD187" s="238"/>
      <c r="AE187" s="294">
        <v>39727</v>
      </c>
    </row>
    <row r="188" spans="1:31">
      <c r="A188" s="233"/>
      <c r="B188" s="301"/>
      <c r="C188" s="233"/>
      <c r="D188" s="233"/>
      <c r="E188" s="295"/>
      <c r="F188" s="241"/>
      <c r="G188" s="296"/>
      <c r="H188" s="240"/>
      <c r="I188" s="240"/>
      <c r="J188" s="261"/>
      <c r="K188" s="241"/>
      <c r="L188" s="234"/>
      <c r="M188" s="237"/>
      <c r="N188" s="240"/>
      <c r="O188" s="236"/>
      <c r="P188" s="297"/>
      <c r="Q188" s="298"/>
      <c r="R188" s="298"/>
      <c r="S188" s="297"/>
      <c r="T188" s="299"/>
      <c r="U188" s="235"/>
      <c r="V188" s="235"/>
      <c r="W188" s="300"/>
      <c r="X188" s="236"/>
      <c r="Y188" s="211"/>
      <c r="Z188" s="237"/>
      <c r="AA188" s="238"/>
      <c r="AB188" s="211"/>
      <c r="AC188" s="237"/>
      <c r="AD188" s="238"/>
      <c r="AE188" s="294">
        <v>39807</v>
      </c>
    </row>
    <row r="189" spans="1:31">
      <c r="A189" s="233"/>
      <c r="B189" s="301"/>
      <c r="C189" s="233"/>
      <c r="D189" s="233"/>
      <c r="E189" s="295"/>
      <c r="F189" s="241"/>
      <c r="G189" s="296"/>
      <c r="H189" s="240"/>
      <c r="I189" s="240"/>
      <c r="J189" s="261"/>
      <c r="K189" s="241"/>
      <c r="L189" s="234"/>
      <c r="M189" s="237"/>
      <c r="N189" s="240"/>
      <c r="O189" s="236"/>
      <c r="P189" s="297"/>
      <c r="Q189" s="298"/>
      <c r="R189" s="298"/>
      <c r="S189" s="297"/>
      <c r="T189" s="299"/>
      <c r="U189" s="235"/>
      <c r="V189" s="235"/>
      <c r="W189" s="300"/>
      <c r="X189" s="236"/>
      <c r="Y189" s="211"/>
      <c r="Z189" s="237"/>
      <c r="AA189" s="238"/>
      <c r="AB189" s="211"/>
      <c r="AC189" s="237"/>
      <c r="AD189" s="238"/>
      <c r="AE189" s="294">
        <v>39808</v>
      </c>
    </row>
    <row r="190" spans="1:31">
      <c r="A190" s="233"/>
      <c r="B190" s="301"/>
      <c r="C190" s="233"/>
      <c r="D190" s="233"/>
      <c r="E190" s="295"/>
      <c r="F190" s="241"/>
      <c r="G190" s="296"/>
      <c r="H190" s="240"/>
      <c r="I190" s="240"/>
      <c r="J190" s="261"/>
      <c r="K190" s="241"/>
      <c r="L190" s="234"/>
      <c r="M190" s="237"/>
      <c r="N190" s="240"/>
      <c r="O190" s="236"/>
      <c r="P190" s="297"/>
      <c r="Q190" s="298"/>
      <c r="R190" s="298"/>
      <c r="S190" s="297"/>
      <c r="T190" s="299"/>
      <c r="U190" s="235"/>
      <c r="V190" s="235"/>
      <c r="W190" s="300"/>
      <c r="X190" s="236"/>
      <c r="Y190" s="211"/>
      <c r="Z190" s="237"/>
      <c r="AA190" s="238"/>
      <c r="AB190" s="211"/>
      <c r="AC190" s="237"/>
      <c r="AD190" s="238"/>
      <c r="AE190" s="294">
        <v>39814</v>
      </c>
    </row>
    <row r="191" spans="1:31">
      <c r="A191" s="233"/>
      <c r="B191" s="301"/>
      <c r="C191" s="233"/>
      <c r="D191" s="233"/>
      <c r="E191" s="295"/>
      <c r="F191" s="241"/>
      <c r="G191" s="296"/>
      <c r="H191" s="240"/>
      <c r="I191" s="240"/>
      <c r="J191" s="261"/>
      <c r="K191" s="241"/>
      <c r="L191" s="234"/>
      <c r="M191" s="237"/>
      <c r="N191" s="240"/>
      <c r="O191" s="236"/>
      <c r="P191" s="297"/>
      <c r="Q191" s="298"/>
      <c r="R191" s="298"/>
      <c r="S191" s="297"/>
      <c r="T191" s="299"/>
      <c r="U191" s="235"/>
      <c r="V191" s="235"/>
      <c r="W191" s="300"/>
      <c r="X191" s="236"/>
      <c r="Y191" s="211"/>
      <c r="Z191" s="237"/>
      <c r="AA191" s="238"/>
      <c r="AB191" s="211"/>
      <c r="AC191" s="237"/>
      <c r="AD191" s="238"/>
      <c r="AE191" s="294">
        <v>39839</v>
      </c>
    </row>
    <row r="192" spans="1:31">
      <c r="A192" s="233"/>
      <c r="B192" s="301"/>
      <c r="C192" s="233"/>
      <c r="D192" s="233"/>
      <c r="E192" s="295"/>
      <c r="F192" s="241"/>
      <c r="G192" s="296"/>
      <c r="H192" s="240"/>
      <c r="I192" s="240"/>
      <c r="J192" s="261"/>
      <c r="K192" s="241"/>
      <c r="L192" s="234"/>
      <c r="M192" s="237"/>
      <c r="N192" s="240"/>
      <c r="O192" s="236"/>
      <c r="P192" s="297"/>
      <c r="Q192" s="298"/>
      <c r="R192" s="298"/>
      <c r="S192" s="297"/>
      <c r="T192" s="299"/>
      <c r="U192" s="235"/>
      <c r="V192" s="235"/>
      <c r="W192" s="300"/>
      <c r="X192" s="236"/>
      <c r="Y192" s="211"/>
      <c r="Z192" s="237"/>
      <c r="AA192" s="238"/>
      <c r="AB192" s="211"/>
      <c r="AC192" s="237"/>
      <c r="AD192" s="238"/>
      <c r="AE192" s="294">
        <v>39913</v>
      </c>
    </row>
    <row r="193" spans="1:31">
      <c r="A193" s="233"/>
      <c r="B193" s="301"/>
      <c r="C193" s="233"/>
      <c r="D193" s="233"/>
      <c r="E193" s="295"/>
      <c r="F193" s="241"/>
      <c r="G193" s="296"/>
      <c r="H193" s="240"/>
      <c r="I193" s="240"/>
      <c r="J193" s="261"/>
      <c r="K193" s="241"/>
      <c r="L193" s="234"/>
      <c r="M193" s="237"/>
      <c r="N193" s="240"/>
      <c r="O193" s="236"/>
      <c r="P193" s="297"/>
      <c r="Q193" s="298"/>
      <c r="R193" s="298"/>
      <c r="S193" s="297"/>
      <c r="T193" s="299"/>
      <c r="U193" s="235"/>
      <c r="V193" s="235"/>
      <c r="W193" s="300"/>
      <c r="X193" s="236"/>
      <c r="Y193" s="211"/>
      <c r="Z193" s="237"/>
      <c r="AA193" s="238"/>
      <c r="AB193" s="211"/>
      <c r="AC193" s="237"/>
      <c r="AD193" s="238"/>
      <c r="AE193" s="294">
        <v>39916</v>
      </c>
    </row>
    <row r="194" spans="1:31">
      <c r="A194" s="233"/>
      <c r="B194" s="301"/>
      <c r="C194" s="233"/>
      <c r="D194" s="233"/>
      <c r="E194" s="295"/>
      <c r="F194" s="241"/>
      <c r="G194" s="296"/>
      <c r="H194" s="240"/>
      <c r="I194" s="240"/>
      <c r="J194" s="261"/>
      <c r="K194" s="241"/>
      <c r="L194" s="234"/>
      <c r="M194" s="237"/>
      <c r="N194" s="240"/>
      <c r="O194" s="236"/>
      <c r="P194" s="297"/>
      <c r="Q194" s="298"/>
      <c r="R194" s="298"/>
      <c r="S194" s="297"/>
      <c r="T194" s="299"/>
      <c r="U194" s="235"/>
      <c r="V194" s="235"/>
      <c r="W194" s="300"/>
      <c r="X194" s="236"/>
      <c r="Y194" s="211"/>
      <c r="Z194" s="237"/>
      <c r="AA194" s="238"/>
      <c r="AB194" s="211"/>
      <c r="AC194" s="237"/>
      <c r="AD194" s="238"/>
      <c r="AE194" s="294">
        <v>39930</v>
      </c>
    </row>
    <row r="195" spans="1:31">
      <c r="A195" s="233"/>
      <c r="B195" s="301"/>
      <c r="C195" s="233"/>
      <c r="D195" s="233"/>
      <c r="E195" s="295"/>
      <c r="F195" s="241"/>
      <c r="G195" s="296"/>
      <c r="H195" s="240"/>
      <c r="I195" s="240"/>
      <c r="J195" s="261"/>
      <c r="K195" s="241"/>
      <c r="L195" s="234"/>
      <c r="M195" s="237"/>
      <c r="N195" s="240"/>
      <c r="O195" s="236"/>
      <c r="P195" s="297"/>
      <c r="Q195" s="298"/>
      <c r="R195" s="298"/>
      <c r="S195" s="297"/>
      <c r="T195" s="299"/>
      <c r="U195" s="235"/>
      <c r="V195" s="235"/>
      <c r="W195" s="300"/>
      <c r="X195" s="236"/>
      <c r="Y195" s="211"/>
      <c r="Z195" s="237"/>
      <c r="AA195" s="238"/>
      <c r="AB195" s="211"/>
      <c r="AC195" s="237"/>
      <c r="AD195" s="238"/>
      <c r="AE195" s="294">
        <v>39972</v>
      </c>
    </row>
    <row r="196" spans="1:31">
      <c r="A196" s="233"/>
      <c r="B196" s="301"/>
      <c r="C196" s="233"/>
      <c r="D196" s="233"/>
      <c r="E196" s="295"/>
      <c r="F196" s="241"/>
      <c r="G196" s="296"/>
      <c r="H196" s="240"/>
      <c r="I196" s="240"/>
      <c r="J196" s="261"/>
      <c r="K196" s="241"/>
      <c r="L196" s="234"/>
      <c r="M196" s="237"/>
      <c r="N196" s="240"/>
      <c r="O196" s="236"/>
      <c r="P196" s="297"/>
      <c r="Q196" s="298"/>
      <c r="R196" s="298"/>
      <c r="S196" s="297"/>
      <c r="T196" s="299"/>
      <c r="U196" s="235"/>
      <c r="V196" s="235"/>
      <c r="W196" s="300"/>
      <c r="X196" s="236"/>
      <c r="Y196" s="211"/>
      <c r="Z196" s="237"/>
      <c r="AA196" s="238"/>
      <c r="AB196" s="211"/>
      <c r="AC196" s="237"/>
      <c r="AD196" s="238"/>
      <c r="AE196" s="294">
        <v>40028</v>
      </c>
    </row>
    <row r="197" spans="1:31">
      <c r="A197" s="233"/>
      <c r="B197" s="301"/>
      <c r="C197" s="233"/>
      <c r="D197" s="233"/>
      <c r="E197" s="295"/>
      <c r="F197" s="241"/>
      <c r="G197" s="296"/>
      <c r="H197" s="240"/>
      <c r="I197" s="240"/>
      <c r="J197" s="261"/>
      <c r="K197" s="241"/>
      <c r="L197" s="234"/>
      <c r="M197" s="237"/>
      <c r="N197" s="240"/>
      <c r="O197" s="236"/>
      <c r="P197" s="297"/>
      <c r="Q197" s="298"/>
      <c r="R197" s="298"/>
      <c r="S197" s="297"/>
      <c r="T197" s="299"/>
      <c r="U197" s="235"/>
      <c r="V197" s="235"/>
      <c r="W197" s="300"/>
      <c r="X197" s="236"/>
      <c r="Y197" s="211"/>
      <c r="Z197" s="237"/>
      <c r="AA197" s="238"/>
      <c r="AB197" s="211"/>
      <c r="AC197" s="237"/>
      <c r="AD197" s="238"/>
      <c r="AE197" s="294">
        <v>40091</v>
      </c>
    </row>
    <row r="198" spans="1:31">
      <c r="A198" s="233"/>
      <c r="B198" s="301"/>
      <c r="C198" s="233"/>
      <c r="D198" s="233"/>
      <c r="E198" s="295"/>
      <c r="F198" s="241"/>
      <c r="G198" s="296"/>
      <c r="H198" s="240"/>
      <c r="I198" s="240"/>
      <c r="J198" s="261"/>
      <c r="K198" s="241"/>
      <c r="L198" s="234"/>
      <c r="M198" s="237"/>
      <c r="N198" s="240"/>
      <c r="O198" s="236"/>
      <c r="P198" s="297"/>
      <c r="Q198" s="298"/>
      <c r="R198" s="298"/>
      <c r="S198" s="297"/>
      <c r="T198" s="299"/>
      <c r="U198" s="235"/>
      <c r="V198" s="235"/>
      <c r="W198" s="300"/>
      <c r="X198" s="236"/>
      <c r="Y198" s="211"/>
      <c r="Z198" s="237"/>
      <c r="AA198" s="238"/>
      <c r="AB198" s="211"/>
      <c r="AC198" s="237"/>
      <c r="AD198" s="238"/>
      <c r="AE198" s="294">
        <v>40172</v>
      </c>
    </row>
    <row r="199" spans="1:31">
      <c r="A199" s="233"/>
      <c r="B199" s="301"/>
      <c r="C199" s="233"/>
      <c r="D199" s="233"/>
      <c r="E199" s="295"/>
      <c r="F199" s="241"/>
      <c r="G199" s="296"/>
      <c r="H199" s="240"/>
      <c r="I199" s="240"/>
      <c r="J199" s="261"/>
      <c r="K199" s="241"/>
      <c r="L199" s="234"/>
      <c r="M199" s="237"/>
      <c r="N199" s="240"/>
      <c r="O199" s="236"/>
      <c r="P199" s="297"/>
      <c r="Q199" s="298"/>
      <c r="R199" s="298"/>
      <c r="S199" s="297"/>
      <c r="T199" s="299"/>
      <c r="U199" s="235"/>
      <c r="V199" s="235"/>
      <c r="W199" s="300"/>
      <c r="X199" s="236"/>
      <c r="Y199" s="211"/>
      <c r="Z199" s="237"/>
      <c r="AA199" s="238"/>
      <c r="AB199" s="211"/>
      <c r="AC199" s="237"/>
      <c r="AD199" s="238"/>
      <c r="AE199" s="294">
        <v>40179</v>
      </c>
    </row>
    <row r="200" spans="1:31">
      <c r="A200" s="233"/>
      <c r="B200" s="301"/>
      <c r="C200" s="233"/>
      <c r="D200" s="233"/>
      <c r="E200" s="295"/>
      <c r="F200" s="241"/>
      <c r="G200" s="296"/>
      <c r="H200" s="240"/>
      <c r="I200" s="240"/>
      <c r="J200" s="261"/>
      <c r="K200" s="241"/>
      <c r="L200" s="234"/>
      <c r="M200" s="237"/>
      <c r="N200" s="240"/>
      <c r="O200" s="236"/>
      <c r="P200" s="297"/>
      <c r="Q200" s="298"/>
      <c r="R200" s="298"/>
      <c r="S200" s="297"/>
      <c r="T200" s="299"/>
      <c r="U200" s="235"/>
      <c r="V200" s="235"/>
      <c r="W200" s="300"/>
      <c r="X200" s="236"/>
      <c r="Y200" s="211"/>
      <c r="Z200" s="237"/>
      <c r="AA200" s="238"/>
      <c r="AB200" s="211"/>
      <c r="AC200" s="237"/>
      <c r="AD200" s="238"/>
      <c r="AE200" s="294">
        <v>40204</v>
      </c>
    </row>
    <row r="201" spans="1:31">
      <c r="A201" s="233"/>
      <c r="B201" s="301"/>
      <c r="C201" s="233"/>
      <c r="D201" s="233"/>
      <c r="E201" s="295"/>
      <c r="F201" s="241"/>
      <c r="G201" s="296"/>
      <c r="H201" s="240"/>
      <c r="I201" s="240"/>
      <c r="J201" s="261"/>
      <c r="K201" s="241"/>
      <c r="L201" s="234"/>
      <c r="M201" s="237"/>
      <c r="N201" s="240"/>
      <c r="O201" s="236"/>
      <c r="P201" s="297"/>
      <c r="Q201" s="298"/>
      <c r="R201" s="298"/>
      <c r="S201" s="297"/>
      <c r="T201" s="299"/>
      <c r="U201" s="235"/>
      <c r="V201" s="235"/>
      <c r="W201" s="300"/>
      <c r="X201" s="236"/>
      <c r="Y201" s="211"/>
      <c r="Z201" s="237"/>
      <c r="AA201" s="238"/>
      <c r="AB201" s="211"/>
      <c r="AC201" s="237"/>
      <c r="AD201" s="238"/>
      <c r="AE201" s="294">
        <v>40270</v>
      </c>
    </row>
    <row r="202" spans="1:31">
      <c r="A202" s="233"/>
      <c r="B202" s="301"/>
      <c r="C202" s="233"/>
      <c r="D202" s="233"/>
      <c r="E202" s="295"/>
      <c r="F202" s="241"/>
      <c r="G202" s="296"/>
      <c r="H202" s="240"/>
      <c r="I202" s="240"/>
      <c r="J202" s="261"/>
      <c r="K202" s="241"/>
      <c r="L202" s="234"/>
      <c r="M202" s="237"/>
      <c r="N202" s="240"/>
      <c r="O202" s="236"/>
      <c r="P202" s="297"/>
      <c r="Q202" s="298"/>
      <c r="R202" s="298"/>
      <c r="S202" s="297"/>
      <c r="T202" s="299"/>
      <c r="U202" s="235"/>
      <c r="V202" s="235"/>
      <c r="W202" s="300"/>
      <c r="X202" s="236"/>
      <c r="Y202" s="211"/>
      <c r="Z202" s="237"/>
      <c r="AA202" s="238"/>
      <c r="AB202" s="211"/>
      <c r="AC202" s="237"/>
      <c r="AD202" s="238"/>
      <c r="AE202" s="294">
        <v>40273</v>
      </c>
    </row>
    <row r="203" spans="1:31">
      <c r="A203" s="233"/>
      <c r="B203" s="301"/>
      <c r="C203" s="233"/>
      <c r="D203" s="233"/>
      <c r="E203" s="295"/>
      <c r="F203" s="241"/>
      <c r="G203" s="296"/>
      <c r="H203" s="240"/>
      <c r="I203" s="240"/>
      <c r="J203" s="261"/>
      <c r="K203" s="241"/>
      <c r="L203" s="234"/>
      <c r="M203" s="237"/>
      <c r="N203" s="240"/>
      <c r="O203" s="236"/>
      <c r="P203" s="297"/>
      <c r="Q203" s="298"/>
      <c r="R203" s="298"/>
      <c r="S203" s="297"/>
      <c r="T203" s="299"/>
      <c r="U203" s="235"/>
      <c r="V203" s="235"/>
      <c r="W203" s="300"/>
      <c r="X203" s="236"/>
      <c r="Y203" s="211"/>
      <c r="Z203" s="237"/>
      <c r="AA203" s="238"/>
      <c r="AB203" s="211"/>
      <c r="AC203" s="237"/>
      <c r="AD203" s="238"/>
      <c r="AE203" s="294">
        <v>40294</v>
      </c>
    </row>
    <row r="204" spans="1:31">
      <c r="A204" s="233"/>
      <c r="B204" s="301"/>
      <c r="C204" s="233"/>
      <c r="D204" s="233"/>
      <c r="E204" s="295"/>
      <c r="F204" s="241"/>
      <c r="G204" s="296"/>
      <c r="H204" s="240"/>
      <c r="I204" s="240"/>
      <c r="J204" s="261"/>
      <c r="K204" s="241"/>
      <c r="L204" s="234"/>
      <c r="M204" s="237"/>
      <c r="N204" s="240"/>
      <c r="O204" s="236"/>
      <c r="P204" s="297"/>
      <c r="Q204" s="298"/>
      <c r="R204" s="298"/>
      <c r="S204" s="297"/>
      <c r="T204" s="299"/>
      <c r="U204" s="235"/>
      <c r="V204" s="235"/>
      <c r="W204" s="300"/>
      <c r="X204" s="236"/>
      <c r="Y204" s="211"/>
      <c r="Z204" s="237"/>
      <c r="AA204" s="238"/>
      <c r="AB204" s="211"/>
      <c r="AC204" s="237"/>
      <c r="AD204" s="238"/>
      <c r="AE204" s="294">
        <v>40343</v>
      </c>
    </row>
    <row r="205" spans="1:31">
      <c r="A205" s="233"/>
      <c r="B205" s="301"/>
      <c r="C205" s="233"/>
      <c r="D205" s="233"/>
      <c r="E205" s="295"/>
      <c r="F205" s="241"/>
      <c r="G205" s="296"/>
      <c r="H205" s="240"/>
      <c r="I205" s="240"/>
      <c r="J205" s="261"/>
      <c r="K205" s="241"/>
      <c r="L205" s="234"/>
      <c r="M205" s="237"/>
      <c r="N205" s="240"/>
      <c r="O205" s="236"/>
      <c r="P205" s="297"/>
      <c r="Q205" s="298"/>
      <c r="R205" s="298"/>
      <c r="S205" s="297"/>
      <c r="T205" s="299"/>
      <c r="U205" s="235"/>
      <c r="V205" s="235"/>
      <c r="W205" s="300"/>
      <c r="X205" s="236"/>
      <c r="Y205" s="211"/>
      <c r="Z205" s="237"/>
      <c r="AA205" s="238"/>
      <c r="AB205" s="211"/>
      <c r="AC205" s="237"/>
      <c r="AD205" s="238"/>
      <c r="AE205" s="294">
        <v>40392</v>
      </c>
    </row>
    <row r="206" spans="1:31">
      <c r="A206" s="233"/>
      <c r="B206" s="301"/>
      <c r="C206" s="233"/>
      <c r="D206" s="233"/>
      <c r="E206" s="295"/>
      <c r="F206" s="241"/>
      <c r="G206" s="296"/>
      <c r="H206" s="240"/>
      <c r="I206" s="240"/>
      <c r="J206" s="261"/>
      <c r="K206" s="241"/>
      <c r="L206" s="234"/>
      <c r="M206" s="237"/>
      <c r="N206" s="240"/>
      <c r="O206" s="236"/>
      <c r="P206" s="297"/>
      <c r="Q206" s="298"/>
      <c r="R206" s="298"/>
      <c r="S206" s="297"/>
      <c r="T206" s="299"/>
      <c r="U206" s="235"/>
      <c r="V206" s="235"/>
      <c r="W206" s="300"/>
      <c r="X206" s="236"/>
      <c r="Y206" s="211"/>
      <c r="Z206" s="237"/>
      <c r="AA206" s="238"/>
      <c r="AB206" s="211"/>
      <c r="AC206" s="237"/>
      <c r="AD206" s="238"/>
      <c r="AE206" s="294">
        <v>40455</v>
      </c>
    </row>
    <row r="207" spans="1:31">
      <c r="A207" s="233"/>
      <c r="B207" s="301"/>
      <c r="C207" s="233"/>
      <c r="D207" s="233"/>
      <c r="E207" s="295"/>
      <c r="F207" s="241"/>
      <c r="G207" s="296"/>
      <c r="H207" s="240"/>
      <c r="I207" s="240"/>
      <c r="J207" s="261"/>
      <c r="K207" s="241"/>
      <c r="L207" s="234"/>
      <c r="M207" s="237"/>
      <c r="N207" s="240"/>
      <c r="O207" s="236"/>
      <c r="P207" s="297"/>
      <c r="Q207" s="298"/>
      <c r="R207" s="298"/>
      <c r="S207" s="297"/>
      <c r="T207" s="299"/>
      <c r="U207" s="235"/>
      <c r="V207" s="235"/>
      <c r="W207" s="300"/>
      <c r="X207" s="236"/>
      <c r="Y207" s="211"/>
      <c r="Z207" s="237"/>
      <c r="AA207" s="238"/>
      <c r="AB207" s="211"/>
      <c r="AC207" s="237"/>
      <c r="AD207" s="238"/>
      <c r="AE207" s="294">
        <v>40539</v>
      </c>
    </row>
    <row r="208" spans="1:31">
      <c r="A208" s="233"/>
      <c r="B208" s="301"/>
      <c r="C208" s="233"/>
      <c r="D208" s="233"/>
      <c r="E208" s="295"/>
      <c r="F208" s="241"/>
      <c r="G208" s="296"/>
      <c r="H208" s="240"/>
      <c r="I208" s="240"/>
      <c r="J208" s="261"/>
      <c r="K208" s="241"/>
      <c r="L208" s="234"/>
      <c r="M208" s="237"/>
      <c r="N208" s="240"/>
      <c r="O208" s="236"/>
      <c r="P208" s="297"/>
      <c r="Q208" s="298"/>
      <c r="R208" s="298"/>
      <c r="S208" s="297"/>
      <c r="T208" s="299"/>
      <c r="U208" s="235"/>
      <c r="V208" s="235"/>
      <c r="W208" s="300"/>
      <c r="X208" s="236"/>
      <c r="Y208" s="211"/>
      <c r="Z208" s="237"/>
      <c r="AA208" s="238"/>
      <c r="AB208" s="211"/>
      <c r="AC208" s="237"/>
      <c r="AD208" s="238"/>
      <c r="AE208" s="294">
        <v>40546</v>
      </c>
    </row>
    <row r="209" spans="1:31">
      <c r="A209" s="233"/>
      <c r="B209" s="301"/>
      <c r="C209" s="233"/>
      <c r="D209" s="233"/>
      <c r="E209" s="295"/>
      <c r="F209" s="241"/>
      <c r="G209" s="296"/>
      <c r="H209" s="240"/>
      <c r="I209" s="240"/>
      <c r="J209" s="261"/>
      <c r="K209" s="241"/>
      <c r="L209" s="234"/>
      <c r="M209" s="237"/>
      <c r="N209" s="240"/>
      <c r="O209" s="236"/>
      <c r="P209" s="297"/>
      <c r="Q209" s="298"/>
      <c r="R209" s="298"/>
      <c r="S209" s="297"/>
      <c r="T209" s="299"/>
      <c r="U209" s="235"/>
      <c r="V209" s="235"/>
      <c r="W209" s="300"/>
      <c r="X209" s="236"/>
      <c r="Y209" s="211"/>
      <c r="Z209" s="237"/>
      <c r="AA209" s="238"/>
      <c r="AB209" s="211"/>
      <c r="AC209" s="237"/>
      <c r="AD209" s="238"/>
      <c r="AE209" s="294">
        <v>40569</v>
      </c>
    </row>
    <row r="210" spans="1:31">
      <c r="A210" s="233"/>
      <c r="B210" s="301"/>
      <c r="C210" s="233"/>
      <c r="D210" s="233"/>
      <c r="E210" s="295"/>
      <c r="F210" s="241"/>
      <c r="G210" s="296"/>
      <c r="H210" s="240"/>
      <c r="I210" s="240"/>
      <c r="J210" s="261"/>
      <c r="K210" s="241"/>
      <c r="L210" s="234"/>
      <c r="M210" s="237"/>
      <c r="N210" s="240"/>
      <c r="O210" s="236"/>
      <c r="P210" s="297"/>
      <c r="Q210" s="298"/>
      <c r="R210" s="298"/>
      <c r="S210" s="297"/>
      <c r="T210" s="299"/>
      <c r="U210" s="235"/>
      <c r="V210" s="235"/>
      <c r="W210" s="300"/>
      <c r="X210" s="236"/>
      <c r="Y210" s="211"/>
      <c r="Z210" s="237"/>
      <c r="AA210" s="238"/>
      <c r="AB210" s="211"/>
      <c r="AC210" s="237"/>
      <c r="AD210" s="238"/>
      <c r="AE210" s="294">
        <v>40655</v>
      </c>
    </row>
    <row r="211" spans="1:31">
      <c r="A211" s="233"/>
      <c r="B211" s="301"/>
      <c r="C211" s="233"/>
      <c r="D211" s="233"/>
      <c r="E211" s="295"/>
      <c r="F211" s="241"/>
      <c r="G211" s="296"/>
      <c r="H211" s="240"/>
      <c r="I211" s="240"/>
      <c r="J211" s="261"/>
      <c r="K211" s="241"/>
      <c r="L211" s="234"/>
      <c r="M211" s="237"/>
      <c r="N211" s="240"/>
      <c r="O211" s="236"/>
      <c r="P211" s="297"/>
      <c r="Q211" s="298"/>
      <c r="R211" s="298"/>
      <c r="S211" s="297"/>
      <c r="T211" s="299"/>
      <c r="U211" s="235"/>
      <c r="V211" s="235"/>
      <c r="W211" s="300"/>
      <c r="X211" s="236"/>
      <c r="Y211" s="211"/>
      <c r="Z211" s="237"/>
      <c r="AA211" s="238"/>
      <c r="AB211" s="211"/>
      <c r="AC211" s="237"/>
      <c r="AD211" s="238"/>
      <c r="AE211" s="294">
        <v>40658</v>
      </c>
    </row>
    <row r="212" spans="1:31">
      <c r="A212" s="233"/>
      <c r="B212" s="301"/>
      <c r="C212" s="233"/>
      <c r="D212" s="233"/>
      <c r="E212" s="295"/>
      <c r="F212" s="241"/>
      <c r="G212" s="296"/>
      <c r="H212" s="240"/>
      <c r="I212" s="240"/>
      <c r="J212" s="261"/>
      <c r="K212" s="241"/>
      <c r="L212" s="234"/>
      <c r="M212" s="237"/>
      <c r="N212" s="240"/>
      <c r="O212" s="236"/>
      <c r="P212" s="297"/>
      <c r="Q212" s="298"/>
      <c r="R212" s="298"/>
      <c r="S212" s="297"/>
      <c r="T212" s="299"/>
      <c r="U212" s="235"/>
      <c r="V212" s="235"/>
      <c r="W212" s="300"/>
      <c r="X212" s="236"/>
      <c r="Y212" s="211"/>
      <c r="Z212" s="237"/>
      <c r="AA212" s="238"/>
      <c r="AB212" s="211"/>
      <c r="AC212" s="237"/>
      <c r="AD212" s="238"/>
      <c r="AE212" s="294">
        <v>40707</v>
      </c>
    </row>
    <row r="213" spans="1:31">
      <c r="A213" s="233"/>
      <c r="B213" s="301"/>
      <c r="C213" s="233"/>
      <c r="D213" s="233"/>
      <c r="E213" s="295"/>
      <c r="F213" s="241"/>
      <c r="G213" s="296"/>
      <c r="H213" s="240"/>
      <c r="I213" s="240"/>
      <c r="J213" s="261"/>
      <c r="K213" s="241"/>
      <c r="L213" s="234"/>
      <c r="M213" s="237"/>
      <c r="N213" s="240"/>
      <c r="O213" s="236"/>
      <c r="P213" s="297"/>
      <c r="Q213" s="298"/>
      <c r="R213" s="298"/>
      <c r="S213" s="297"/>
      <c r="T213" s="299"/>
      <c r="U213" s="235"/>
      <c r="V213" s="235"/>
      <c r="W213" s="300"/>
      <c r="X213" s="236"/>
      <c r="Y213" s="211"/>
      <c r="Z213" s="237"/>
      <c r="AA213" s="238"/>
      <c r="AB213" s="211"/>
      <c r="AC213" s="237"/>
      <c r="AD213" s="238"/>
      <c r="AE213" s="294">
        <v>40756</v>
      </c>
    </row>
    <row r="214" spans="1:31">
      <c r="A214" s="233"/>
      <c r="B214" s="301"/>
      <c r="C214" s="233"/>
      <c r="D214" s="233"/>
      <c r="E214" s="295"/>
      <c r="F214" s="241"/>
      <c r="G214" s="296"/>
      <c r="H214" s="240"/>
      <c r="I214" s="240"/>
      <c r="J214" s="261"/>
      <c r="K214" s="241"/>
      <c r="L214" s="234"/>
      <c r="M214" s="237"/>
      <c r="N214" s="240"/>
      <c r="O214" s="236"/>
      <c r="P214" s="297"/>
      <c r="Q214" s="298"/>
      <c r="R214" s="298"/>
      <c r="S214" s="297"/>
      <c r="T214" s="299"/>
      <c r="U214" s="235"/>
      <c r="V214" s="235"/>
      <c r="W214" s="300"/>
      <c r="X214" s="236"/>
      <c r="Y214" s="211"/>
      <c r="Z214" s="237"/>
      <c r="AA214" s="238"/>
      <c r="AB214" s="211"/>
      <c r="AC214" s="237"/>
      <c r="AD214" s="238"/>
      <c r="AE214" s="294">
        <v>40819</v>
      </c>
    </row>
    <row r="215" spans="1:31">
      <c r="A215" s="233"/>
      <c r="B215" s="301"/>
      <c r="C215" s="233"/>
      <c r="D215" s="233"/>
      <c r="E215" s="295"/>
      <c r="F215" s="241"/>
      <c r="G215" s="296"/>
      <c r="H215" s="240"/>
      <c r="I215" s="240"/>
      <c r="J215" s="261"/>
      <c r="K215" s="241"/>
      <c r="L215" s="234"/>
      <c r="M215" s="237"/>
      <c r="N215" s="240"/>
      <c r="O215" s="236"/>
      <c r="P215" s="297"/>
      <c r="Q215" s="298"/>
      <c r="R215" s="298"/>
      <c r="S215" s="297"/>
      <c r="T215" s="299"/>
      <c r="U215" s="235"/>
      <c r="V215" s="235"/>
      <c r="W215" s="300"/>
      <c r="X215" s="236"/>
      <c r="Y215" s="211"/>
      <c r="Z215" s="237"/>
      <c r="AA215" s="238"/>
      <c r="AB215" s="211"/>
      <c r="AC215" s="237"/>
      <c r="AD215" s="238"/>
      <c r="AE215" s="294">
        <v>40903</v>
      </c>
    </row>
    <row r="216" spans="1:31">
      <c r="A216" s="233"/>
      <c r="B216" s="301"/>
      <c r="C216" s="233"/>
      <c r="D216" s="233"/>
      <c r="E216" s="295"/>
      <c r="F216" s="241"/>
      <c r="G216" s="296"/>
      <c r="H216" s="240"/>
      <c r="I216" s="240"/>
      <c r="J216" s="261"/>
      <c r="K216" s="241"/>
      <c r="L216" s="234"/>
      <c r="M216" s="237"/>
      <c r="N216" s="240"/>
      <c r="O216" s="236"/>
      <c r="P216" s="297"/>
      <c r="Q216" s="298"/>
      <c r="R216" s="298"/>
      <c r="S216" s="297"/>
      <c r="T216" s="299"/>
      <c r="U216" s="235"/>
      <c r="V216" s="235"/>
      <c r="W216" s="300"/>
      <c r="X216" s="236"/>
      <c r="Y216" s="211"/>
      <c r="Z216" s="237"/>
      <c r="AA216" s="238"/>
      <c r="AB216" s="211"/>
      <c r="AC216" s="237"/>
      <c r="AD216" s="238"/>
      <c r="AE216" s="294">
        <v>40904</v>
      </c>
    </row>
    <row r="217" spans="1:31">
      <c r="A217" s="233"/>
      <c r="B217" s="301"/>
      <c r="C217" s="233"/>
      <c r="D217" s="233"/>
      <c r="E217" s="295"/>
      <c r="F217" s="241"/>
      <c r="G217" s="296"/>
      <c r="H217" s="240"/>
      <c r="I217" s="240"/>
      <c r="J217" s="261"/>
      <c r="K217" s="241"/>
      <c r="L217" s="234"/>
      <c r="M217" s="237"/>
      <c r="N217" s="240"/>
      <c r="O217" s="236"/>
      <c r="P217" s="297"/>
      <c r="Q217" s="298"/>
      <c r="R217" s="298"/>
      <c r="S217" s="297"/>
      <c r="T217" s="299"/>
      <c r="U217" s="235"/>
      <c r="V217" s="235"/>
      <c r="W217" s="300"/>
      <c r="X217" s="236"/>
      <c r="Y217" s="211"/>
      <c r="Z217" s="237"/>
      <c r="AA217" s="238"/>
      <c r="AB217" s="211"/>
      <c r="AC217" s="237"/>
      <c r="AD217" s="238"/>
      <c r="AE217" s="294">
        <v>40910</v>
      </c>
    </row>
    <row r="218" spans="1:31">
      <c r="A218" s="233"/>
      <c r="B218" s="301"/>
      <c r="C218" s="233"/>
      <c r="D218" s="233"/>
      <c r="E218" s="295"/>
      <c r="F218" s="241"/>
      <c r="G218" s="296"/>
      <c r="H218" s="240"/>
      <c r="I218" s="240"/>
      <c r="J218" s="261"/>
      <c r="K218" s="241"/>
      <c r="L218" s="234"/>
      <c r="M218" s="237"/>
      <c r="N218" s="240"/>
      <c r="O218" s="236"/>
      <c r="P218" s="297"/>
      <c r="Q218" s="298"/>
      <c r="R218" s="298"/>
      <c r="S218" s="297"/>
      <c r="T218" s="299"/>
      <c r="U218" s="235"/>
      <c r="V218" s="235"/>
      <c r="W218" s="300"/>
      <c r="X218" s="236"/>
      <c r="Y218" s="211"/>
      <c r="Z218" s="237"/>
      <c r="AA218" s="238"/>
      <c r="AB218" s="211"/>
      <c r="AC218" s="237"/>
      <c r="AD218" s="238"/>
      <c r="AE218" s="294">
        <v>40934</v>
      </c>
    </row>
    <row r="219" spans="1:31">
      <c r="A219" s="233"/>
      <c r="B219" s="301"/>
      <c r="C219" s="233"/>
      <c r="D219" s="233"/>
      <c r="E219" s="295"/>
      <c r="F219" s="241"/>
      <c r="G219" s="296"/>
      <c r="H219" s="240"/>
      <c r="I219" s="240"/>
      <c r="J219" s="261"/>
      <c r="K219" s="241"/>
      <c r="L219" s="234"/>
      <c r="M219" s="237"/>
      <c r="N219" s="240"/>
      <c r="O219" s="236"/>
      <c r="P219" s="297"/>
      <c r="Q219" s="298"/>
      <c r="R219" s="298"/>
      <c r="S219" s="297"/>
      <c r="T219" s="299"/>
      <c r="U219" s="235"/>
      <c r="V219" s="235"/>
      <c r="W219" s="300"/>
      <c r="X219" s="236"/>
      <c r="Y219" s="211"/>
      <c r="Z219" s="237"/>
      <c r="AA219" s="238"/>
      <c r="AB219" s="211"/>
      <c r="AC219" s="237"/>
      <c r="AD219" s="238"/>
      <c r="AE219" s="294">
        <v>41005</v>
      </c>
    </row>
    <row r="220" spans="1:31">
      <c r="A220" s="233"/>
      <c r="B220" s="301"/>
      <c r="C220" s="233"/>
      <c r="D220" s="233"/>
      <c r="E220" s="295"/>
      <c r="F220" s="241"/>
      <c r="G220" s="296"/>
      <c r="H220" s="240"/>
      <c r="I220" s="240"/>
      <c r="J220" s="261"/>
      <c r="K220" s="241"/>
      <c r="L220" s="234"/>
      <c r="M220" s="237"/>
      <c r="N220" s="240"/>
      <c r="O220" s="236"/>
      <c r="P220" s="297"/>
      <c r="Q220" s="298"/>
      <c r="R220" s="298"/>
      <c r="S220" s="297"/>
      <c r="T220" s="299"/>
      <c r="U220" s="235"/>
      <c r="V220" s="235"/>
      <c r="W220" s="300"/>
      <c r="X220" s="236"/>
      <c r="Y220" s="211"/>
      <c r="Z220" s="237"/>
      <c r="AA220" s="238"/>
      <c r="AB220" s="211"/>
      <c r="AC220" s="237"/>
      <c r="AD220" s="238"/>
      <c r="AE220" s="294">
        <v>41008</v>
      </c>
    </row>
    <row r="221" spans="1:31">
      <c r="A221" s="233"/>
      <c r="B221" s="301"/>
      <c r="C221" s="233"/>
      <c r="D221" s="233"/>
      <c r="E221" s="295"/>
      <c r="F221" s="241"/>
      <c r="G221" s="296"/>
      <c r="H221" s="240"/>
      <c r="I221" s="240"/>
      <c r="J221" s="261"/>
      <c r="K221" s="241"/>
      <c r="L221" s="234"/>
      <c r="M221" s="237"/>
      <c r="N221" s="240"/>
      <c r="O221" s="236"/>
      <c r="P221" s="297"/>
      <c r="Q221" s="298"/>
      <c r="R221" s="298"/>
      <c r="S221" s="297"/>
      <c r="T221" s="299"/>
      <c r="U221" s="235"/>
      <c r="V221" s="235"/>
      <c r="W221" s="300"/>
      <c r="X221" s="236"/>
      <c r="Y221" s="211"/>
      <c r="Z221" s="237"/>
      <c r="AA221" s="238"/>
      <c r="AB221" s="211"/>
      <c r="AC221" s="237"/>
      <c r="AD221" s="238"/>
      <c r="AE221" s="294">
        <v>41024</v>
      </c>
    </row>
    <row r="222" spans="1:31">
      <c r="A222" s="233"/>
      <c r="B222" s="301"/>
      <c r="C222" s="233"/>
      <c r="D222" s="233"/>
      <c r="E222" s="295"/>
      <c r="F222" s="241"/>
      <c r="G222" s="296"/>
      <c r="H222" s="240"/>
      <c r="I222" s="240"/>
      <c r="J222" s="261"/>
      <c r="K222" s="241"/>
      <c r="L222" s="234"/>
      <c r="M222" s="237"/>
      <c r="N222" s="240"/>
      <c r="O222" s="236"/>
      <c r="P222" s="297"/>
      <c r="Q222" s="298"/>
      <c r="R222" s="298"/>
      <c r="S222" s="297"/>
      <c r="T222" s="299"/>
      <c r="U222" s="235"/>
      <c r="V222" s="235"/>
      <c r="W222" s="300"/>
      <c r="X222" s="236"/>
      <c r="Y222" s="211"/>
      <c r="Z222" s="237"/>
      <c r="AA222" s="238"/>
      <c r="AB222" s="211"/>
      <c r="AC222" s="237"/>
      <c r="AD222" s="238"/>
      <c r="AE222" s="294">
        <v>41071</v>
      </c>
    </row>
    <row r="223" spans="1:31">
      <c r="A223" s="233"/>
      <c r="B223" s="301"/>
      <c r="C223" s="233"/>
      <c r="D223" s="233"/>
      <c r="E223" s="295"/>
      <c r="F223" s="241"/>
      <c r="G223" s="296"/>
      <c r="H223" s="240"/>
      <c r="I223" s="240"/>
      <c r="J223" s="261"/>
      <c r="K223" s="241"/>
      <c r="L223" s="234"/>
      <c r="M223" s="237"/>
      <c r="N223" s="240"/>
      <c r="O223" s="236"/>
      <c r="P223" s="297"/>
      <c r="Q223" s="298"/>
      <c r="R223" s="298"/>
      <c r="S223" s="297"/>
      <c r="T223" s="299"/>
      <c r="U223" s="235"/>
      <c r="V223" s="235"/>
      <c r="W223" s="300"/>
      <c r="X223" s="236"/>
      <c r="Y223" s="211"/>
      <c r="Z223" s="237"/>
      <c r="AA223" s="238"/>
      <c r="AB223" s="211"/>
      <c r="AC223" s="237"/>
      <c r="AD223" s="238"/>
      <c r="AE223" s="294">
        <v>41127</v>
      </c>
    </row>
    <row r="224" spans="1:31">
      <c r="A224" s="233"/>
      <c r="B224" s="301"/>
      <c r="C224" s="233"/>
      <c r="D224" s="233"/>
      <c r="E224" s="295"/>
      <c r="F224" s="241"/>
      <c r="G224" s="296"/>
      <c r="H224" s="240"/>
      <c r="I224" s="240"/>
      <c r="J224" s="261"/>
      <c r="K224" s="241"/>
      <c r="L224" s="234"/>
      <c r="M224" s="237"/>
      <c r="N224" s="240"/>
      <c r="O224" s="236"/>
      <c r="P224" s="297"/>
      <c r="Q224" s="298"/>
      <c r="R224" s="298"/>
      <c r="S224" s="297"/>
      <c r="T224" s="299"/>
      <c r="U224" s="235"/>
      <c r="V224" s="235"/>
      <c r="W224" s="300"/>
      <c r="X224" s="236"/>
      <c r="Y224" s="211"/>
      <c r="Z224" s="237"/>
      <c r="AA224" s="238"/>
      <c r="AB224" s="211"/>
      <c r="AC224" s="237"/>
      <c r="AD224" s="238"/>
      <c r="AE224" s="294">
        <v>41183</v>
      </c>
    </row>
    <row r="225" spans="1:31">
      <c r="A225" s="233"/>
      <c r="B225" s="301"/>
      <c r="C225" s="233"/>
      <c r="D225" s="233"/>
      <c r="E225" s="295"/>
      <c r="F225" s="241"/>
      <c r="G225" s="296"/>
      <c r="H225" s="240"/>
      <c r="I225" s="240"/>
      <c r="J225" s="261"/>
      <c r="K225" s="241"/>
      <c r="L225" s="234"/>
      <c r="M225" s="237"/>
      <c r="N225" s="240"/>
      <c r="O225" s="236"/>
      <c r="P225" s="297"/>
      <c r="Q225" s="298"/>
      <c r="R225" s="298"/>
      <c r="S225" s="297"/>
      <c r="T225" s="299"/>
      <c r="U225" s="235"/>
      <c r="V225" s="235"/>
      <c r="W225" s="300"/>
      <c r="X225" s="236"/>
      <c r="Y225" s="211"/>
      <c r="Z225" s="237"/>
      <c r="AA225" s="238"/>
      <c r="AB225" s="211"/>
      <c r="AC225" s="237"/>
      <c r="AD225" s="238"/>
      <c r="AE225" s="294">
        <v>41268</v>
      </c>
    </row>
    <row r="226" spans="1:31">
      <c r="A226" s="233"/>
      <c r="B226" s="301"/>
      <c r="C226" s="233"/>
      <c r="D226" s="233"/>
      <c r="E226" s="295"/>
      <c r="F226" s="241"/>
      <c r="G226" s="296"/>
      <c r="H226" s="240"/>
      <c r="I226" s="240"/>
      <c r="J226" s="261"/>
      <c r="K226" s="241"/>
      <c r="L226" s="234"/>
      <c r="M226" s="237"/>
      <c r="N226" s="240"/>
      <c r="O226" s="236"/>
      <c r="P226" s="297"/>
      <c r="Q226" s="298"/>
      <c r="R226" s="298"/>
      <c r="S226" s="297"/>
      <c r="T226" s="299"/>
      <c r="U226" s="235"/>
      <c r="V226" s="235"/>
      <c r="W226" s="300"/>
      <c r="X226" s="236"/>
      <c r="Y226" s="211"/>
      <c r="Z226" s="237"/>
      <c r="AA226" s="238"/>
      <c r="AB226" s="211"/>
      <c r="AC226" s="237"/>
      <c r="AD226" s="238"/>
      <c r="AE226" s="294">
        <v>41269</v>
      </c>
    </row>
    <row r="227" spans="1:31">
      <c r="A227" s="233"/>
      <c r="B227" s="301"/>
      <c r="C227" s="233"/>
      <c r="D227" s="233"/>
      <c r="E227" s="295"/>
      <c r="F227" s="241"/>
      <c r="G227" s="296"/>
      <c r="H227" s="240"/>
      <c r="I227" s="240"/>
      <c r="J227" s="261"/>
      <c r="K227" s="241"/>
      <c r="L227" s="234"/>
      <c r="M227" s="237"/>
      <c r="N227" s="240"/>
      <c r="O227" s="236"/>
      <c r="P227" s="297"/>
      <c r="Q227" s="298"/>
      <c r="R227" s="298"/>
      <c r="S227" s="297"/>
      <c r="T227" s="299"/>
      <c r="U227" s="235"/>
      <c r="V227" s="235"/>
      <c r="W227" s="300"/>
      <c r="X227" s="236"/>
      <c r="Y227" s="211"/>
      <c r="Z227" s="237"/>
      <c r="AA227" s="238"/>
      <c r="AB227" s="211"/>
      <c r="AC227" s="237"/>
      <c r="AD227" s="238"/>
      <c r="AE227" s="294">
        <v>41275</v>
      </c>
    </row>
    <row r="228" spans="1:31">
      <c r="A228" s="233"/>
      <c r="B228" s="301"/>
      <c r="C228" s="233"/>
      <c r="D228" s="233"/>
      <c r="E228" s="295"/>
      <c r="F228" s="241"/>
      <c r="G228" s="296"/>
      <c r="H228" s="240"/>
      <c r="I228" s="240"/>
      <c r="J228" s="261"/>
      <c r="K228" s="241"/>
      <c r="L228" s="234"/>
      <c r="M228" s="237"/>
      <c r="N228" s="240"/>
      <c r="O228" s="236"/>
      <c r="P228" s="297"/>
      <c r="Q228" s="298"/>
      <c r="R228" s="298"/>
      <c r="S228" s="297"/>
      <c r="T228" s="299"/>
      <c r="U228" s="235"/>
      <c r="V228" s="235"/>
      <c r="W228" s="300"/>
      <c r="X228" s="236"/>
      <c r="Y228" s="211"/>
      <c r="Z228" s="237"/>
      <c r="AA228" s="238"/>
      <c r="AB228" s="211"/>
      <c r="AC228" s="237"/>
      <c r="AD228" s="238"/>
      <c r="AE228" s="294">
        <v>41302</v>
      </c>
    </row>
    <row r="229" spans="1:31">
      <c r="A229" s="233"/>
      <c r="B229" s="301"/>
      <c r="C229" s="233"/>
      <c r="D229" s="233"/>
      <c r="E229" s="295"/>
      <c r="F229" s="241"/>
      <c r="G229" s="296"/>
      <c r="H229" s="240"/>
      <c r="I229" s="240"/>
      <c r="J229" s="261"/>
      <c r="K229" s="241"/>
      <c r="L229" s="234"/>
      <c r="M229" s="237"/>
      <c r="N229" s="240"/>
      <c r="O229" s="236"/>
      <c r="P229" s="297"/>
      <c r="Q229" s="298"/>
      <c r="R229" s="298"/>
      <c r="S229" s="297"/>
      <c r="T229" s="299"/>
      <c r="U229" s="235"/>
      <c r="V229" s="235"/>
      <c r="W229" s="300"/>
      <c r="X229" s="236"/>
      <c r="Y229" s="211"/>
      <c r="Z229" s="237"/>
      <c r="AA229" s="238"/>
      <c r="AB229" s="211"/>
      <c r="AC229" s="237"/>
      <c r="AD229" s="238"/>
      <c r="AE229" s="294">
        <v>41362</v>
      </c>
    </row>
    <row r="230" spans="1:31">
      <c r="A230" s="233"/>
      <c r="B230" s="301"/>
      <c r="C230" s="233"/>
      <c r="D230" s="233"/>
      <c r="E230" s="295"/>
      <c r="F230" s="241"/>
      <c r="G230" s="296"/>
      <c r="H230" s="240"/>
      <c r="I230" s="240"/>
      <c r="J230" s="261"/>
      <c r="K230" s="241"/>
      <c r="L230" s="234"/>
      <c r="M230" s="237"/>
      <c r="N230" s="240"/>
      <c r="O230" s="236"/>
      <c r="P230" s="297"/>
      <c r="Q230" s="298"/>
      <c r="R230" s="298"/>
      <c r="S230" s="297"/>
      <c r="T230" s="299"/>
      <c r="U230" s="235"/>
      <c r="V230" s="235"/>
      <c r="W230" s="300"/>
      <c r="X230" s="236"/>
      <c r="Y230" s="211"/>
      <c r="Z230" s="237"/>
      <c r="AA230" s="238"/>
      <c r="AB230" s="211"/>
      <c r="AC230" s="237"/>
      <c r="AD230" s="238"/>
      <c r="AE230" s="294">
        <v>41365</v>
      </c>
    </row>
    <row r="231" spans="1:31">
      <c r="A231" s="233"/>
      <c r="B231" s="301"/>
      <c r="C231" s="233"/>
      <c r="D231" s="233"/>
      <c r="E231" s="295"/>
      <c r="F231" s="241"/>
      <c r="G231" s="296"/>
      <c r="H231" s="240"/>
      <c r="I231" s="240"/>
      <c r="J231" s="261"/>
      <c r="K231" s="241"/>
      <c r="L231" s="234"/>
      <c r="M231" s="237"/>
      <c r="N231" s="240"/>
      <c r="O231" s="236"/>
      <c r="P231" s="297"/>
      <c r="Q231" s="298"/>
      <c r="R231" s="298"/>
      <c r="S231" s="297"/>
      <c r="T231" s="299"/>
      <c r="U231" s="235"/>
      <c r="V231" s="235"/>
      <c r="W231" s="300"/>
      <c r="X231" s="236"/>
      <c r="Y231" s="211"/>
      <c r="Z231" s="237"/>
      <c r="AA231" s="238"/>
      <c r="AB231" s="211"/>
      <c r="AC231" s="237"/>
      <c r="AD231" s="238"/>
      <c r="AE231" s="294">
        <v>41389</v>
      </c>
    </row>
    <row r="232" spans="1:31">
      <c r="A232" s="233"/>
      <c r="B232" s="301"/>
      <c r="C232" s="233"/>
      <c r="D232" s="233"/>
      <c r="E232" s="295"/>
      <c r="F232" s="241"/>
      <c r="G232" s="296"/>
      <c r="H232" s="240"/>
      <c r="I232" s="240"/>
      <c r="J232" s="261"/>
      <c r="K232" s="241"/>
      <c r="L232" s="234"/>
      <c r="M232" s="237"/>
      <c r="N232" s="240"/>
      <c r="O232" s="236"/>
      <c r="P232" s="297"/>
      <c r="Q232" s="298"/>
      <c r="R232" s="298"/>
      <c r="S232" s="297"/>
      <c r="T232" s="299"/>
      <c r="U232" s="235"/>
      <c r="V232" s="235"/>
      <c r="W232" s="300"/>
      <c r="X232" s="236"/>
      <c r="Y232" s="211"/>
      <c r="Z232" s="237"/>
      <c r="AA232" s="238"/>
      <c r="AB232" s="211"/>
      <c r="AC232" s="237"/>
      <c r="AD232" s="238"/>
      <c r="AE232" s="294">
        <v>41435</v>
      </c>
    </row>
    <row r="233" spans="1:31">
      <c r="A233" s="233"/>
      <c r="B233" s="301"/>
      <c r="C233" s="233"/>
      <c r="D233" s="233"/>
      <c r="E233" s="295"/>
      <c r="F233" s="241"/>
      <c r="G233" s="296"/>
      <c r="H233" s="240"/>
      <c r="I233" s="240"/>
      <c r="J233" s="261"/>
      <c r="K233" s="241"/>
      <c r="L233" s="234"/>
      <c r="M233" s="237"/>
      <c r="N233" s="240"/>
      <c r="O233" s="236"/>
      <c r="P233" s="297"/>
      <c r="Q233" s="298"/>
      <c r="R233" s="298"/>
      <c r="S233" s="297"/>
      <c r="T233" s="299"/>
      <c r="U233" s="235"/>
      <c r="V233" s="235"/>
      <c r="W233" s="300"/>
      <c r="X233" s="236"/>
      <c r="Y233" s="211"/>
      <c r="Z233" s="237"/>
      <c r="AA233" s="238"/>
      <c r="AB233" s="211"/>
      <c r="AC233" s="237"/>
      <c r="AD233" s="238"/>
      <c r="AE233" s="294">
        <v>41491</v>
      </c>
    </row>
    <row r="234" spans="1:31">
      <c r="A234" s="233"/>
      <c r="B234" s="301"/>
      <c r="C234" s="233"/>
      <c r="D234" s="233"/>
      <c r="E234" s="295"/>
      <c r="F234" s="241"/>
      <c r="G234" s="296"/>
      <c r="H234" s="240"/>
      <c r="I234" s="240"/>
      <c r="J234" s="261"/>
      <c r="K234" s="241"/>
      <c r="L234" s="234"/>
      <c r="M234" s="237"/>
      <c r="N234" s="240"/>
      <c r="O234" s="236"/>
      <c r="P234" s="297"/>
      <c r="Q234" s="298"/>
      <c r="R234" s="298"/>
      <c r="S234" s="297"/>
      <c r="T234" s="299"/>
      <c r="U234" s="235"/>
      <c r="V234" s="235"/>
      <c r="W234" s="300"/>
      <c r="X234" s="236"/>
      <c r="Y234" s="211"/>
      <c r="Z234" s="237"/>
      <c r="AA234" s="238"/>
      <c r="AB234" s="211"/>
      <c r="AC234" s="237"/>
      <c r="AD234" s="238"/>
      <c r="AE234" s="294">
        <v>41554</v>
      </c>
    </row>
    <row r="235" spans="1:31">
      <c r="A235" s="233"/>
      <c r="B235" s="301"/>
      <c r="C235" s="233"/>
      <c r="D235" s="233"/>
      <c r="E235" s="295"/>
      <c r="F235" s="241"/>
      <c r="G235" s="296"/>
      <c r="H235" s="240"/>
      <c r="I235" s="240"/>
      <c r="J235" s="261"/>
      <c r="K235" s="241"/>
      <c r="L235" s="234"/>
      <c r="M235" s="237"/>
      <c r="N235" s="240"/>
      <c r="O235" s="236"/>
      <c r="P235" s="297"/>
      <c r="Q235" s="298"/>
      <c r="R235" s="298"/>
      <c r="S235" s="297"/>
      <c r="T235" s="299"/>
      <c r="U235" s="235"/>
      <c r="V235" s="235"/>
      <c r="W235" s="300"/>
      <c r="X235" s="236"/>
      <c r="Y235" s="211"/>
      <c r="Z235" s="237"/>
      <c r="AA235" s="238"/>
      <c r="AB235" s="211"/>
      <c r="AC235" s="237"/>
      <c r="AD235" s="238"/>
      <c r="AE235" s="294">
        <v>41633</v>
      </c>
    </row>
    <row r="236" spans="1:31">
      <c r="A236" s="233"/>
      <c r="B236" s="301"/>
      <c r="C236" s="233"/>
      <c r="D236" s="233"/>
      <c r="E236" s="295"/>
      <c r="F236" s="241"/>
      <c r="G236" s="296"/>
      <c r="H236" s="240"/>
      <c r="I236" s="240"/>
      <c r="J236" s="261"/>
      <c r="K236" s="241"/>
      <c r="L236" s="234"/>
      <c r="M236" s="237"/>
      <c r="N236" s="240"/>
      <c r="O236" s="236"/>
      <c r="P236" s="297"/>
      <c r="Q236" s="298"/>
      <c r="R236" s="298"/>
      <c r="S236" s="297"/>
      <c r="T236" s="299"/>
      <c r="U236" s="235"/>
      <c r="V236" s="235"/>
      <c r="W236" s="300"/>
      <c r="X236" s="236"/>
      <c r="Y236" s="211"/>
      <c r="Z236" s="237"/>
      <c r="AA236" s="238"/>
      <c r="AB236" s="211"/>
      <c r="AC236" s="237"/>
      <c r="AD236" s="238"/>
      <c r="AE236" s="294">
        <v>41634</v>
      </c>
    </row>
    <row r="237" spans="1:31">
      <c r="A237" s="233"/>
      <c r="B237" s="301"/>
      <c r="C237" s="233"/>
      <c r="D237" s="233"/>
      <c r="E237" s="295"/>
      <c r="F237" s="241"/>
      <c r="G237" s="296"/>
      <c r="H237" s="240"/>
      <c r="I237" s="240"/>
      <c r="J237" s="261"/>
      <c r="K237" s="241"/>
      <c r="L237" s="234"/>
      <c r="M237" s="237"/>
      <c r="N237" s="240"/>
      <c r="O237" s="236"/>
      <c r="P237" s="297"/>
      <c r="Q237" s="298"/>
      <c r="R237" s="298"/>
      <c r="S237" s="297"/>
      <c r="T237" s="299"/>
      <c r="U237" s="235"/>
      <c r="V237" s="235"/>
      <c r="W237" s="300"/>
      <c r="X237" s="236"/>
      <c r="Y237" s="211"/>
      <c r="Z237" s="237"/>
      <c r="AA237" s="238"/>
      <c r="AB237" s="211"/>
      <c r="AC237" s="237"/>
      <c r="AD237" s="238"/>
      <c r="AE237" s="294">
        <v>41640</v>
      </c>
    </row>
    <row r="238" spans="1:31">
      <c r="A238" s="233"/>
      <c r="B238" s="301"/>
      <c r="C238" s="233"/>
      <c r="D238" s="233"/>
      <c r="E238" s="295"/>
      <c r="F238" s="241"/>
      <c r="G238" s="296"/>
      <c r="H238" s="240"/>
      <c r="I238" s="240"/>
      <c r="J238" s="261"/>
      <c r="K238" s="241"/>
      <c r="L238" s="234"/>
      <c r="M238" s="237"/>
      <c r="N238" s="240"/>
      <c r="O238" s="236"/>
      <c r="P238" s="297"/>
      <c r="Q238" s="298"/>
      <c r="R238" s="298"/>
      <c r="S238" s="297"/>
      <c r="T238" s="299"/>
      <c r="U238" s="235"/>
      <c r="V238" s="235"/>
      <c r="W238" s="300"/>
      <c r="X238" s="236"/>
      <c r="Y238" s="211"/>
      <c r="Z238" s="237"/>
      <c r="AA238" s="238"/>
      <c r="AB238" s="211"/>
      <c r="AC238" s="237"/>
      <c r="AD238" s="238"/>
      <c r="AE238" s="294">
        <v>41666</v>
      </c>
    </row>
    <row r="239" spans="1:31">
      <c r="A239" s="233"/>
      <c r="B239" s="301"/>
      <c r="C239" s="233"/>
      <c r="D239" s="233"/>
      <c r="E239" s="295"/>
      <c r="F239" s="241"/>
      <c r="G239" s="296"/>
      <c r="H239" s="240"/>
      <c r="I239" s="240"/>
      <c r="J239" s="261"/>
      <c r="K239" s="241"/>
      <c r="L239" s="234"/>
      <c r="M239" s="237"/>
      <c r="N239" s="240"/>
      <c r="O239" s="236"/>
      <c r="P239" s="297"/>
      <c r="Q239" s="298"/>
      <c r="R239" s="298"/>
      <c r="S239" s="297"/>
      <c r="T239" s="299"/>
      <c r="U239" s="235"/>
      <c r="V239" s="235"/>
      <c r="W239" s="300"/>
      <c r="X239" s="236"/>
      <c r="Y239" s="211"/>
      <c r="Z239" s="237"/>
      <c r="AA239" s="238"/>
      <c r="AB239" s="211"/>
      <c r="AC239" s="237"/>
      <c r="AD239" s="238"/>
      <c r="AE239" s="294">
        <v>41747</v>
      </c>
    </row>
    <row r="240" spans="1:31">
      <c r="A240" s="233"/>
      <c r="B240" s="301"/>
      <c r="C240" s="233"/>
      <c r="D240" s="233"/>
      <c r="E240" s="295"/>
      <c r="F240" s="241"/>
      <c r="G240" s="296"/>
      <c r="H240" s="240"/>
      <c r="I240" s="240"/>
      <c r="J240" s="261"/>
      <c r="K240" s="241"/>
      <c r="L240" s="234"/>
      <c r="M240" s="237"/>
      <c r="N240" s="240"/>
      <c r="O240" s="236"/>
      <c r="P240" s="297"/>
      <c r="Q240" s="298"/>
      <c r="R240" s="298"/>
      <c r="S240" s="297"/>
      <c r="T240" s="299"/>
      <c r="U240" s="235"/>
      <c r="V240" s="235"/>
      <c r="W240" s="300"/>
      <c r="X240" s="236"/>
      <c r="Y240" s="211"/>
      <c r="Z240" s="237"/>
      <c r="AA240" s="238"/>
      <c r="AB240" s="211"/>
      <c r="AC240" s="237"/>
      <c r="AD240" s="238"/>
      <c r="AE240" s="294">
        <v>41750</v>
      </c>
    </row>
    <row r="241" spans="1:31">
      <c r="A241" s="233"/>
      <c r="B241" s="301"/>
      <c r="C241" s="233"/>
      <c r="D241" s="233"/>
      <c r="E241" s="295"/>
      <c r="F241" s="241"/>
      <c r="G241" s="296"/>
      <c r="H241" s="240"/>
      <c r="I241" s="240"/>
      <c r="J241" s="261"/>
      <c r="K241" s="241"/>
      <c r="L241" s="234"/>
      <c r="M241" s="237"/>
      <c r="N241" s="240"/>
      <c r="O241" s="236"/>
      <c r="P241" s="297"/>
      <c r="Q241" s="298"/>
      <c r="R241" s="298"/>
      <c r="S241" s="297"/>
      <c r="T241" s="299"/>
      <c r="U241" s="235"/>
      <c r="V241" s="235"/>
      <c r="W241" s="300"/>
      <c r="X241" s="236"/>
      <c r="Y241" s="211"/>
      <c r="Z241" s="237"/>
      <c r="AA241" s="238"/>
      <c r="AB241" s="211"/>
      <c r="AC241" s="237"/>
      <c r="AD241" s="238"/>
      <c r="AE241" s="294">
        <v>41754</v>
      </c>
    </row>
    <row r="242" spans="1:31">
      <c r="A242" s="233"/>
      <c r="B242" s="301"/>
      <c r="C242" s="233"/>
      <c r="D242" s="233"/>
      <c r="E242" s="295"/>
      <c r="F242" s="241"/>
      <c r="G242" s="296"/>
      <c r="H242" s="240"/>
      <c r="I242" s="240"/>
      <c r="J242" s="261"/>
      <c r="K242" s="241"/>
      <c r="L242" s="234"/>
      <c r="M242" s="237"/>
      <c r="N242" s="240"/>
      <c r="O242" s="236"/>
      <c r="P242" s="297"/>
      <c r="Q242" s="298"/>
      <c r="R242" s="298"/>
      <c r="S242" s="297"/>
      <c r="T242" s="299"/>
      <c r="U242" s="235"/>
      <c r="V242" s="235"/>
      <c r="W242" s="300"/>
      <c r="X242" s="236"/>
      <c r="Y242" s="211"/>
      <c r="Z242" s="237"/>
      <c r="AA242" s="238"/>
      <c r="AB242" s="211"/>
      <c r="AC242" s="237"/>
      <c r="AD242" s="238"/>
      <c r="AE242" s="294">
        <v>41799</v>
      </c>
    </row>
    <row r="243" spans="1:31">
      <c r="A243" s="233"/>
      <c r="B243" s="301"/>
      <c r="C243" s="233"/>
      <c r="D243" s="233"/>
      <c r="E243" s="295"/>
      <c r="F243" s="241"/>
      <c r="G243" s="296"/>
      <c r="H243" s="240"/>
      <c r="I243" s="240"/>
      <c r="J243" s="261"/>
      <c r="K243" s="241"/>
      <c r="L243" s="234"/>
      <c r="M243" s="237"/>
      <c r="N243" s="240"/>
      <c r="O243" s="236"/>
      <c r="P243" s="297"/>
      <c r="Q243" s="298"/>
      <c r="R243" s="298"/>
      <c r="S243" s="297"/>
      <c r="T243" s="299"/>
      <c r="U243" s="235"/>
      <c r="V243" s="235"/>
      <c r="W243" s="300"/>
      <c r="X243" s="236"/>
      <c r="Y243" s="211"/>
      <c r="Z243" s="237"/>
      <c r="AA243" s="238"/>
      <c r="AB243" s="211"/>
      <c r="AC243" s="237"/>
      <c r="AD243" s="238"/>
      <c r="AE243" s="294">
        <v>41855</v>
      </c>
    </row>
    <row r="244" spans="1:31">
      <c r="A244" s="233"/>
      <c r="B244" s="301"/>
      <c r="C244" s="233"/>
      <c r="D244" s="233"/>
      <c r="E244" s="295"/>
      <c r="F244" s="241"/>
      <c r="G244" s="296"/>
      <c r="H244" s="240"/>
      <c r="I244" s="240"/>
      <c r="J244" s="261"/>
      <c r="K244" s="241"/>
      <c r="L244" s="234"/>
      <c r="M244" s="237"/>
      <c r="N244" s="240"/>
      <c r="O244" s="236"/>
      <c r="P244" s="297"/>
      <c r="Q244" s="298"/>
      <c r="R244" s="298"/>
      <c r="S244" s="297"/>
      <c r="T244" s="299"/>
      <c r="U244" s="235"/>
      <c r="V244" s="235"/>
      <c r="W244" s="300"/>
      <c r="X244" s="236"/>
      <c r="Y244" s="211"/>
      <c r="Z244" s="237"/>
      <c r="AA244" s="238"/>
      <c r="AB244" s="211"/>
      <c r="AC244" s="237"/>
      <c r="AD244" s="238"/>
      <c r="AE244" s="294">
        <v>41918</v>
      </c>
    </row>
    <row r="245" spans="1:31">
      <c r="A245" s="233"/>
      <c r="B245" s="301"/>
      <c r="C245" s="233"/>
      <c r="D245" s="233"/>
      <c r="E245" s="295"/>
      <c r="F245" s="241"/>
      <c r="G245" s="296"/>
      <c r="H245" s="240"/>
      <c r="I245" s="240"/>
      <c r="J245" s="261"/>
      <c r="K245" s="241"/>
      <c r="L245" s="234"/>
      <c r="M245" s="237"/>
      <c r="N245" s="240"/>
      <c r="O245" s="236"/>
      <c r="P245" s="297"/>
      <c r="Q245" s="298"/>
      <c r="R245" s="298"/>
      <c r="S245" s="297"/>
      <c r="T245" s="299"/>
      <c r="U245" s="235"/>
      <c r="V245" s="235"/>
      <c r="W245" s="300"/>
      <c r="X245" s="236"/>
      <c r="Y245" s="211"/>
      <c r="Z245" s="237"/>
      <c r="AA245" s="238"/>
      <c r="AB245" s="211"/>
      <c r="AC245" s="237"/>
      <c r="AD245" s="238"/>
      <c r="AE245" s="294">
        <v>41998</v>
      </c>
    </row>
    <row r="246" spans="1:31">
      <c r="A246" s="233"/>
      <c r="B246" s="301"/>
      <c r="C246" s="233"/>
      <c r="D246" s="233"/>
      <c r="E246" s="295"/>
      <c r="F246" s="241"/>
      <c r="G246" s="296"/>
      <c r="H246" s="240"/>
      <c r="I246" s="240"/>
      <c r="J246" s="261"/>
      <c r="K246" s="241"/>
      <c r="L246" s="234"/>
      <c r="M246" s="237"/>
      <c r="N246" s="240"/>
      <c r="O246" s="236"/>
      <c r="P246" s="297"/>
      <c r="Q246" s="298"/>
      <c r="R246" s="298"/>
      <c r="S246" s="297"/>
      <c r="T246" s="299"/>
      <c r="U246" s="235"/>
      <c r="V246" s="235"/>
      <c r="W246" s="300"/>
      <c r="X246" s="236"/>
      <c r="Y246" s="211"/>
      <c r="Z246" s="237"/>
      <c r="AA246" s="238"/>
      <c r="AB246" s="211"/>
      <c r="AC246" s="237"/>
      <c r="AD246" s="238"/>
      <c r="AE246" s="294">
        <v>41999</v>
      </c>
    </row>
    <row r="247" spans="1:31">
      <c r="A247" s="233"/>
      <c r="B247" s="301"/>
      <c r="C247" s="233"/>
      <c r="D247" s="233"/>
      <c r="E247" s="295"/>
      <c r="F247" s="241"/>
      <c r="G247" s="296"/>
      <c r="H247" s="240"/>
      <c r="I247" s="240"/>
      <c r="J247" s="261"/>
      <c r="K247" s="241"/>
      <c r="L247" s="234"/>
      <c r="M247" s="237"/>
      <c r="N247" s="240"/>
      <c r="O247" s="236"/>
      <c r="P247" s="297"/>
      <c r="Q247" s="298"/>
      <c r="R247" s="298"/>
      <c r="S247" s="297"/>
      <c r="T247" s="299"/>
      <c r="U247" s="235"/>
      <c r="V247" s="235"/>
      <c r="W247" s="300"/>
      <c r="X247" s="236"/>
      <c r="Y247" s="211"/>
      <c r="Z247" s="237"/>
      <c r="AA247" s="238"/>
      <c r="AB247" s="211"/>
      <c r="AC247" s="237"/>
      <c r="AD247" s="238"/>
      <c r="AE247" s="294">
        <v>42005</v>
      </c>
    </row>
    <row r="248" spans="1:31">
      <c r="A248" s="233"/>
      <c r="B248" s="301"/>
      <c r="C248" s="233"/>
      <c r="D248" s="233"/>
      <c r="E248" s="295"/>
      <c r="F248" s="241"/>
      <c r="G248" s="296"/>
      <c r="H248" s="240"/>
      <c r="I248" s="240"/>
      <c r="J248" s="261"/>
      <c r="K248" s="241"/>
      <c r="L248" s="234"/>
      <c r="M248" s="237"/>
      <c r="N248" s="240"/>
      <c r="O248" s="236"/>
      <c r="P248" s="297"/>
      <c r="Q248" s="298"/>
      <c r="R248" s="298"/>
      <c r="S248" s="297"/>
      <c r="T248" s="299"/>
      <c r="U248" s="235"/>
      <c r="V248" s="235"/>
      <c r="W248" s="300"/>
      <c r="X248" s="236"/>
      <c r="Y248" s="211"/>
      <c r="Z248" s="237"/>
      <c r="AA248" s="238"/>
      <c r="AB248" s="211"/>
      <c r="AC248" s="237"/>
      <c r="AD248" s="238"/>
      <c r="AE248" s="294">
        <v>42030</v>
      </c>
    </row>
    <row r="249" spans="1:31">
      <c r="A249" s="233"/>
      <c r="B249" s="301"/>
      <c r="C249" s="233"/>
      <c r="D249" s="233"/>
      <c r="E249" s="295"/>
      <c r="F249" s="241"/>
      <c r="G249" s="296"/>
      <c r="H249" s="240"/>
      <c r="I249" s="240"/>
      <c r="J249" s="261"/>
      <c r="K249" s="241"/>
      <c r="L249" s="234"/>
      <c r="M249" s="237"/>
      <c r="N249" s="240"/>
      <c r="O249" s="236"/>
      <c r="P249" s="297"/>
      <c r="Q249" s="298"/>
      <c r="R249" s="298"/>
      <c r="S249" s="297"/>
      <c r="T249" s="299"/>
      <c r="U249" s="235"/>
      <c r="V249" s="235"/>
      <c r="W249" s="300"/>
      <c r="X249" s="236"/>
      <c r="Y249" s="211"/>
      <c r="Z249" s="237"/>
      <c r="AA249" s="238"/>
      <c r="AB249" s="211"/>
      <c r="AC249" s="237"/>
      <c r="AD249" s="238"/>
      <c r="AE249" s="294">
        <v>42097</v>
      </c>
    </row>
    <row r="250" spans="1:31">
      <c r="A250" s="233"/>
      <c r="B250" s="301"/>
      <c r="C250" s="233"/>
      <c r="D250" s="233"/>
      <c r="E250" s="295"/>
      <c r="F250" s="241"/>
      <c r="G250" s="296"/>
      <c r="H250" s="240"/>
      <c r="I250" s="240"/>
      <c r="J250" s="261"/>
      <c r="K250" s="241"/>
      <c r="L250" s="234"/>
      <c r="M250" s="237"/>
      <c r="N250" s="240"/>
      <c r="O250" s="236"/>
      <c r="P250" s="297"/>
      <c r="Q250" s="298"/>
      <c r="R250" s="298"/>
      <c r="S250" s="297"/>
      <c r="T250" s="299"/>
      <c r="U250" s="235"/>
      <c r="V250" s="235"/>
      <c r="W250" s="300"/>
      <c r="X250" s="236"/>
      <c r="Y250" s="211"/>
      <c r="Z250" s="237"/>
      <c r="AA250" s="238"/>
      <c r="AB250" s="211"/>
      <c r="AC250" s="237"/>
      <c r="AD250" s="238"/>
      <c r="AE250" s="294">
        <v>42100</v>
      </c>
    </row>
    <row r="251" spans="1:31">
      <c r="A251" s="233"/>
      <c r="B251" s="301"/>
      <c r="C251" s="233"/>
      <c r="D251" s="233"/>
      <c r="E251" s="295"/>
      <c r="F251" s="241"/>
      <c r="G251" s="296"/>
      <c r="H251" s="240"/>
      <c r="I251" s="240"/>
      <c r="J251" s="261"/>
      <c r="K251" s="241"/>
      <c r="L251" s="234"/>
      <c r="M251" s="237"/>
      <c r="N251" s="240"/>
      <c r="O251" s="236"/>
      <c r="P251" s="297"/>
      <c r="Q251" s="298"/>
      <c r="R251" s="298"/>
      <c r="S251" s="297"/>
      <c r="T251" s="299"/>
      <c r="U251" s="235"/>
      <c r="V251" s="235"/>
      <c r="W251" s="300"/>
      <c r="X251" s="236"/>
      <c r="Y251" s="211"/>
      <c r="Z251" s="237"/>
      <c r="AA251" s="238"/>
      <c r="AB251" s="211"/>
      <c r="AC251" s="237"/>
      <c r="AD251" s="238"/>
      <c r="AE251" s="294">
        <v>42163</v>
      </c>
    </row>
    <row r="252" spans="1:31">
      <c r="A252" s="233"/>
      <c r="B252" s="301"/>
      <c r="C252" s="233"/>
      <c r="D252" s="233"/>
      <c r="E252" s="295"/>
      <c r="F252" s="241"/>
      <c r="G252" s="296"/>
      <c r="H252" s="240"/>
      <c r="I252" s="240"/>
      <c r="J252" s="261"/>
      <c r="K252" s="241"/>
      <c r="L252" s="234"/>
      <c r="M252" s="237"/>
      <c r="N252" s="240"/>
      <c r="O252" s="236"/>
      <c r="P252" s="297"/>
      <c r="Q252" s="298"/>
      <c r="R252" s="298"/>
      <c r="S252" s="297"/>
      <c r="T252" s="299"/>
      <c r="U252" s="235"/>
      <c r="V252" s="235"/>
      <c r="W252" s="300"/>
      <c r="X252" s="236"/>
      <c r="Y252" s="211"/>
      <c r="Z252" s="237"/>
      <c r="AA252" s="238"/>
      <c r="AB252" s="211"/>
      <c r="AC252" s="237"/>
      <c r="AD252" s="238"/>
      <c r="AE252" s="294">
        <v>42219</v>
      </c>
    </row>
    <row r="253" spans="1:31">
      <c r="A253" s="233"/>
      <c r="B253" s="301"/>
      <c r="C253" s="233"/>
      <c r="D253" s="233"/>
      <c r="E253" s="295"/>
      <c r="F253" s="241"/>
      <c r="G253" s="296"/>
      <c r="H253" s="240"/>
      <c r="I253" s="240"/>
      <c r="J253" s="261"/>
      <c r="K253" s="241"/>
      <c r="L253" s="234"/>
      <c r="M253" s="237"/>
      <c r="N253" s="240"/>
      <c r="O253" s="236"/>
      <c r="P253" s="297"/>
      <c r="Q253" s="298"/>
      <c r="R253" s="298"/>
      <c r="S253" s="297"/>
      <c r="T253" s="299"/>
      <c r="U253" s="235"/>
      <c r="V253" s="235"/>
      <c r="W253" s="300"/>
      <c r="X253" s="236"/>
      <c r="Y253" s="211"/>
      <c r="Z253" s="237"/>
      <c r="AA253" s="238"/>
      <c r="AB253" s="211"/>
      <c r="AC253" s="237"/>
      <c r="AD253" s="238"/>
      <c r="AE253" s="294">
        <v>42282</v>
      </c>
    </row>
    <row r="254" spans="1:31">
      <c r="A254" s="233"/>
      <c r="B254" s="301"/>
      <c r="C254" s="233"/>
      <c r="D254" s="233"/>
      <c r="E254" s="295"/>
      <c r="F254" s="241"/>
      <c r="G254" s="296"/>
      <c r="H254" s="240"/>
      <c r="I254" s="240"/>
      <c r="J254" s="261"/>
      <c r="K254" s="241"/>
      <c r="L254" s="234"/>
      <c r="M254" s="237"/>
      <c r="N254" s="240"/>
      <c r="O254" s="236"/>
      <c r="P254" s="297"/>
      <c r="Q254" s="298"/>
      <c r="R254" s="298"/>
      <c r="S254" s="297"/>
      <c r="T254" s="299"/>
      <c r="U254" s="235"/>
      <c r="V254" s="235"/>
      <c r="W254" s="300"/>
      <c r="X254" s="236"/>
      <c r="Y254" s="211"/>
      <c r="Z254" s="237"/>
      <c r="AA254" s="238"/>
      <c r="AB254" s="211"/>
      <c r="AC254" s="237"/>
      <c r="AD254" s="238"/>
      <c r="AE254" s="294">
        <v>42363</v>
      </c>
    </row>
    <row r="255" spans="1:31">
      <c r="A255" s="233"/>
      <c r="B255" s="301"/>
      <c r="C255" s="233"/>
      <c r="D255" s="233"/>
      <c r="E255" s="295"/>
      <c r="F255" s="241"/>
      <c r="G255" s="296"/>
      <c r="H255" s="240"/>
      <c r="I255" s="240"/>
      <c r="J255" s="261"/>
      <c r="K255" s="241"/>
      <c r="L255" s="234"/>
      <c r="M255" s="237"/>
      <c r="N255" s="240"/>
      <c r="O255" s="236"/>
      <c r="P255" s="297"/>
      <c r="Q255" s="298"/>
      <c r="R255" s="298"/>
      <c r="S255" s="297"/>
      <c r="T255" s="299"/>
      <c r="U255" s="235"/>
      <c r="V255" s="235"/>
      <c r="W255" s="300"/>
      <c r="X255" s="236"/>
      <c r="Y255" s="211"/>
      <c r="Z255" s="237"/>
      <c r="AA255" s="238"/>
      <c r="AB255" s="211"/>
      <c r="AC255" s="237"/>
      <c r="AD255" s="238"/>
      <c r="AE255" s="294">
        <v>42366</v>
      </c>
    </row>
    <row r="256" spans="1:31">
      <c r="A256" s="233"/>
      <c r="B256" s="301"/>
      <c r="C256" s="233"/>
      <c r="D256" s="233"/>
      <c r="E256" s="295"/>
      <c r="F256" s="241"/>
      <c r="G256" s="296"/>
      <c r="H256" s="240"/>
      <c r="I256" s="240"/>
      <c r="J256" s="261"/>
      <c r="K256" s="241"/>
      <c r="L256" s="234"/>
      <c r="M256" s="237"/>
      <c r="N256" s="240"/>
      <c r="O256" s="236"/>
      <c r="P256" s="297"/>
      <c r="Q256" s="298"/>
      <c r="R256" s="298"/>
      <c r="S256" s="297"/>
      <c r="T256" s="299"/>
      <c r="U256" s="235"/>
      <c r="V256" s="235"/>
      <c r="W256" s="300"/>
      <c r="X256" s="236"/>
      <c r="Y256" s="211"/>
      <c r="Z256" s="237"/>
      <c r="AA256" s="238"/>
      <c r="AB256" s="211"/>
      <c r="AC256" s="237"/>
      <c r="AD256" s="238"/>
      <c r="AE256" s="294">
        <v>42370</v>
      </c>
    </row>
    <row r="257" spans="1:31">
      <c r="A257" s="233"/>
      <c r="B257" s="301"/>
      <c r="C257" s="233"/>
      <c r="D257" s="233"/>
      <c r="E257" s="295"/>
      <c r="F257" s="241"/>
      <c r="G257" s="296"/>
      <c r="H257" s="240"/>
      <c r="I257" s="240"/>
      <c r="J257" s="261"/>
      <c r="K257" s="241"/>
      <c r="L257" s="234"/>
      <c r="M257" s="237"/>
      <c r="N257" s="240"/>
      <c r="O257" s="236"/>
      <c r="P257" s="297"/>
      <c r="Q257" s="298"/>
      <c r="R257" s="298"/>
      <c r="S257" s="297"/>
      <c r="T257" s="299"/>
      <c r="U257" s="235"/>
      <c r="V257" s="235"/>
      <c r="W257" s="300"/>
      <c r="X257" s="236"/>
      <c r="Y257" s="211"/>
      <c r="Z257" s="237"/>
      <c r="AA257" s="238"/>
      <c r="AB257" s="211"/>
      <c r="AC257" s="237"/>
      <c r="AD257" s="238"/>
      <c r="AE257" s="294">
        <v>42395</v>
      </c>
    </row>
    <row r="258" spans="1:31">
      <c r="A258" s="233"/>
      <c r="B258" s="301"/>
      <c r="C258" s="233"/>
      <c r="D258" s="233"/>
      <c r="E258" s="295"/>
      <c r="F258" s="241"/>
      <c r="G258" s="296"/>
      <c r="H258" s="240"/>
      <c r="I258" s="240"/>
      <c r="J258" s="261"/>
      <c r="K258" s="241"/>
      <c r="L258" s="234"/>
      <c r="M258" s="237"/>
      <c r="N258" s="240"/>
      <c r="O258" s="236"/>
      <c r="P258" s="297"/>
      <c r="Q258" s="298"/>
      <c r="R258" s="298"/>
      <c r="S258" s="297"/>
      <c r="T258" s="299"/>
      <c r="U258" s="235"/>
      <c r="V258" s="235"/>
      <c r="W258" s="300"/>
      <c r="X258" s="236"/>
      <c r="Y258" s="211"/>
      <c r="Z258" s="237"/>
      <c r="AA258" s="238"/>
      <c r="AB258" s="211"/>
      <c r="AC258" s="237"/>
      <c r="AD258" s="238"/>
      <c r="AE258" s="294">
        <v>42454</v>
      </c>
    </row>
    <row r="259" spans="1:31">
      <c r="A259" s="233"/>
      <c r="B259" s="301"/>
      <c r="C259" s="233"/>
      <c r="D259" s="233"/>
      <c r="E259" s="295"/>
      <c r="F259" s="241"/>
      <c r="G259" s="296"/>
      <c r="H259" s="240"/>
      <c r="I259" s="240"/>
      <c r="J259" s="261"/>
      <c r="K259" s="241"/>
      <c r="L259" s="234"/>
      <c r="M259" s="237"/>
      <c r="N259" s="240"/>
      <c r="O259" s="236"/>
      <c r="P259" s="297"/>
      <c r="Q259" s="298"/>
      <c r="R259" s="298"/>
      <c r="S259" s="297"/>
      <c r="T259" s="299"/>
      <c r="U259" s="235"/>
      <c r="V259" s="235"/>
      <c r="W259" s="300"/>
      <c r="X259" s="236"/>
      <c r="Y259" s="211"/>
      <c r="Z259" s="237"/>
      <c r="AA259" s="238"/>
      <c r="AB259" s="211"/>
      <c r="AC259" s="237"/>
      <c r="AD259" s="238"/>
      <c r="AE259" s="294">
        <v>42457</v>
      </c>
    </row>
    <row r="260" spans="1:31">
      <c r="A260" s="233"/>
      <c r="B260" s="301"/>
      <c r="C260" s="233"/>
      <c r="D260" s="233"/>
      <c r="E260" s="295"/>
      <c r="F260" s="241"/>
      <c r="G260" s="296"/>
      <c r="H260" s="240"/>
      <c r="I260" s="240"/>
      <c r="J260" s="261"/>
      <c r="K260" s="241"/>
      <c r="L260" s="234"/>
      <c r="M260" s="237"/>
      <c r="N260" s="240"/>
      <c r="O260" s="236"/>
      <c r="P260" s="297"/>
      <c r="Q260" s="298"/>
      <c r="R260" s="298"/>
      <c r="S260" s="297"/>
      <c r="T260" s="299"/>
      <c r="U260" s="235"/>
      <c r="V260" s="235"/>
      <c r="W260" s="300"/>
      <c r="X260" s="236"/>
      <c r="Y260" s="211"/>
      <c r="Z260" s="237"/>
      <c r="AA260" s="238"/>
      <c r="AB260" s="211"/>
      <c r="AC260" s="237"/>
      <c r="AD260" s="238"/>
      <c r="AE260" s="294">
        <v>42485</v>
      </c>
    </row>
    <row r="261" spans="1:31">
      <c r="A261" s="233"/>
      <c r="B261" s="301"/>
      <c r="C261" s="233"/>
      <c r="D261" s="233"/>
      <c r="E261" s="295"/>
      <c r="F261" s="241"/>
      <c r="G261" s="296"/>
      <c r="H261" s="240"/>
      <c r="I261" s="240"/>
      <c r="J261" s="261"/>
      <c r="K261" s="241"/>
      <c r="L261" s="234"/>
      <c r="M261" s="237"/>
      <c r="N261" s="240"/>
      <c r="O261" s="236"/>
      <c r="P261" s="297"/>
      <c r="Q261" s="298"/>
      <c r="R261" s="298"/>
      <c r="S261" s="297"/>
      <c r="T261" s="299"/>
      <c r="U261" s="235"/>
      <c r="V261" s="235"/>
      <c r="W261" s="300"/>
      <c r="X261" s="236"/>
      <c r="Y261" s="211"/>
      <c r="Z261" s="237"/>
      <c r="AA261" s="238"/>
      <c r="AB261" s="211"/>
      <c r="AC261" s="237"/>
      <c r="AD261" s="238"/>
      <c r="AE261" s="294">
        <v>42534</v>
      </c>
    </row>
    <row r="262" spans="1:31">
      <c r="A262" s="233"/>
      <c r="B262" s="301"/>
      <c r="C262" s="233"/>
      <c r="D262" s="233"/>
      <c r="E262" s="295"/>
      <c r="F262" s="241"/>
      <c r="G262" s="296"/>
      <c r="H262" s="240"/>
      <c r="I262" s="240"/>
      <c r="J262" s="261"/>
      <c r="K262" s="241"/>
      <c r="L262" s="234"/>
      <c r="M262" s="237"/>
      <c r="N262" s="240"/>
      <c r="O262" s="236"/>
      <c r="P262" s="297"/>
      <c r="Q262" s="298"/>
      <c r="R262" s="298"/>
      <c r="S262" s="297"/>
      <c r="T262" s="299"/>
      <c r="U262" s="235"/>
      <c r="V262" s="235"/>
      <c r="W262" s="300"/>
      <c r="X262" s="236"/>
      <c r="Y262" s="211"/>
      <c r="Z262" s="237"/>
      <c r="AA262" s="238"/>
      <c r="AB262" s="211"/>
      <c r="AC262" s="237"/>
      <c r="AD262" s="238"/>
      <c r="AE262" s="294">
        <v>42583</v>
      </c>
    </row>
    <row r="263" spans="1:31">
      <c r="A263" s="233"/>
      <c r="B263" s="301"/>
      <c r="C263" s="233"/>
      <c r="D263" s="233"/>
      <c r="E263" s="295"/>
      <c r="F263" s="241"/>
      <c r="G263" s="296"/>
      <c r="H263" s="240"/>
      <c r="I263" s="240"/>
      <c r="J263" s="261"/>
      <c r="K263" s="241"/>
      <c r="L263" s="234"/>
      <c r="M263" s="237"/>
      <c r="N263" s="240"/>
      <c r="O263" s="236"/>
      <c r="P263" s="297"/>
      <c r="Q263" s="298"/>
      <c r="R263" s="298"/>
      <c r="S263" s="297"/>
      <c r="T263" s="299"/>
      <c r="U263" s="235"/>
      <c r="V263" s="235"/>
      <c r="W263" s="300"/>
      <c r="X263" s="236"/>
      <c r="Y263" s="211"/>
      <c r="Z263" s="237"/>
      <c r="AA263" s="238"/>
      <c r="AB263" s="211"/>
      <c r="AC263" s="237"/>
      <c r="AD263" s="238"/>
      <c r="AE263" s="294">
        <v>42646</v>
      </c>
    </row>
    <row r="264" spans="1:31">
      <c r="A264" s="233"/>
      <c r="B264" s="301"/>
      <c r="C264" s="233"/>
      <c r="D264" s="233"/>
      <c r="E264" s="295"/>
      <c r="F264" s="241"/>
      <c r="G264" s="296"/>
      <c r="H264" s="240"/>
      <c r="I264" s="240"/>
      <c r="J264" s="261"/>
      <c r="K264" s="241"/>
      <c r="L264" s="234"/>
      <c r="M264" s="237"/>
      <c r="N264" s="240"/>
      <c r="O264" s="236"/>
      <c r="P264" s="297"/>
      <c r="Q264" s="298"/>
      <c r="R264" s="298"/>
      <c r="S264" s="297"/>
      <c r="T264" s="299"/>
      <c r="U264" s="235"/>
      <c r="V264" s="235"/>
      <c r="W264" s="300"/>
      <c r="X264" s="236"/>
      <c r="Y264" s="211"/>
      <c r="Z264" s="237"/>
      <c r="AA264" s="238"/>
      <c r="AB264" s="211"/>
      <c r="AC264" s="237"/>
      <c r="AD264" s="238"/>
      <c r="AE264" s="294">
        <v>42730</v>
      </c>
    </row>
    <row r="265" spans="1:31">
      <c r="A265" s="233"/>
      <c r="B265" s="301"/>
      <c r="C265" s="233"/>
      <c r="D265" s="233"/>
      <c r="E265" s="295"/>
      <c r="F265" s="241"/>
      <c r="G265" s="296"/>
      <c r="H265" s="240"/>
      <c r="I265" s="240"/>
      <c r="J265" s="261"/>
      <c r="K265" s="241"/>
      <c r="L265" s="234"/>
      <c r="M265" s="237"/>
      <c r="N265" s="240"/>
      <c r="O265" s="236"/>
      <c r="P265" s="297"/>
      <c r="Q265" s="298"/>
      <c r="R265" s="298"/>
      <c r="S265" s="297"/>
      <c r="T265" s="299"/>
      <c r="U265" s="235"/>
      <c r="V265" s="235"/>
      <c r="W265" s="300"/>
      <c r="X265" s="236"/>
      <c r="Y265" s="211"/>
      <c r="Z265" s="237"/>
      <c r="AA265" s="238"/>
      <c r="AB265" s="211"/>
      <c r="AC265" s="237"/>
      <c r="AD265" s="238"/>
      <c r="AE265" s="294">
        <v>42731</v>
      </c>
    </row>
    <row r="266" spans="1:31">
      <c r="A266" s="233"/>
      <c r="B266" s="301"/>
      <c r="C266" s="233"/>
      <c r="D266" s="233"/>
      <c r="E266" s="295"/>
      <c r="F266" s="241"/>
      <c r="G266" s="296"/>
      <c r="H266" s="240"/>
      <c r="I266" s="240"/>
      <c r="J266" s="261"/>
      <c r="K266" s="241"/>
      <c r="L266" s="234"/>
      <c r="M266" s="237"/>
      <c r="N266" s="240"/>
      <c r="O266" s="236"/>
      <c r="P266" s="297"/>
      <c r="Q266" s="298"/>
      <c r="R266" s="298"/>
      <c r="S266" s="297"/>
      <c r="T266" s="299"/>
      <c r="U266" s="235"/>
      <c r="V266" s="235"/>
      <c r="W266" s="300"/>
      <c r="X266" s="236"/>
      <c r="Y266" s="211"/>
      <c r="Z266" s="237"/>
      <c r="AA266" s="238"/>
      <c r="AB266" s="211"/>
      <c r="AC266" s="237"/>
      <c r="AD266" s="238"/>
      <c r="AE266" s="294">
        <v>42737</v>
      </c>
    </row>
    <row r="267" spans="1:31">
      <c r="A267" s="233"/>
      <c r="B267" s="301"/>
      <c r="C267" s="233"/>
      <c r="D267" s="233"/>
      <c r="E267" s="295"/>
      <c r="F267" s="241"/>
      <c r="G267" s="296"/>
      <c r="H267" s="240"/>
      <c r="I267" s="240"/>
      <c r="J267" s="261"/>
      <c r="K267" s="241"/>
      <c r="L267" s="234"/>
      <c r="M267" s="237"/>
      <c r="N267" s="240"/>
      <c r="O267" s="236"/>
      <c r="P267" s="297"/>
      <c r="Q267" s="298"/>
      <c r="R267" s="298"/>
      <c r="S267" s="297"/>
      <c r="T267" s="299"/>
      <c r="U267" s="235"/>
      <c r="V267" s="235"/>
      <c r="W267" s="300"/>
      <c r="X267" s="236"/>
      <c r="Y267" s="211"/>
      <c r="Z267" s="237"/>
      <c r="AA267" s="238"/>
      <c r="AB267" s="211"/>
      <c r="AC267" s="237"/>
      <c r="AD267" s="238"/>
      <c r="AE267" s="294">
        <v>42761</v>
      </c>
    </row>
    <row r="268" spans="1:31">
      <c r="A268" s="233"/>
      <c r="B268" s="301"/>
      <c r="C268" s="233"/>
      <c r="D268" s="233"/>
      <c r="E268" s="295"/>
      <c r="F268" s="241"/>
      <c r="G268" s="296"/>
      <c r="H268" s="240"/>
      <c r="I268" s="240"/>
      <c r="J268" s="261"/>
      <c r="K268" s="241"/>
      <c r="L268" s="234"/>
      <c r="M268" s="237"/>
      <c r="N268" s="240"/>
      <c r="O268" s="236"/>
      <c r="P268" s="297"/>
      <c r="Q268" s="298"/>
      <c r="R268" s="298"/>
      <c r="S268" s="297"/>
      <c r="T268" s="299"/>
      <c r="U268" s="235"/>
      <c r="V268" s="235"/>
      <c r="W268" s="300"/>
      <c r="X268" s="236"/>
      <c r="Y268" s="211"/>
      <c r="Z268" s="237"/>
      <c r="AA268" s="238"/>
      <c r="AB268" s="211"/>
      <c r="AC268" s="237"/>
      <c r="AD268" s="238"/>
      <c r="AE268" s="294">
        <v>42839</v>
      </c>
    </row>
    <row r="269" spans="1:31">
      <c r="A269" s="233"/>
      <c r="B269" s="301"/>
      <c r="C269" s="233"/>
      <c r="D269" s="233"/>
      <c r="E269" s="295"/>
      <c r="F269" s="241"/>
      <c r="G269" s="296"/>
      <c r="H269" s="240"/>
      <c r="I269" s="240"/>
      <c r="J269" s="261"/>
      <c r="K269" s="241"/>
      <c r="L269" s="234"/>
      <c r="M269" s="237"/>
      <c r="N269" s="240"/>
      <c r="O269" s="236"/>
      <c r="P269" s="297"/>
      <c r="Q269" s="298"/>
      <c r="R269" s="298"/>
      <c r="S269" s="297"/>
      <c r="T269" s="299"/>
      <c r="U269" s="235"/>
      <c r="V269" s="235"/>
      <c r="W269" s="300"/>
      <c r="X269" s="236"/>
      <c r="Y269" s="211"/>
      <c r="Z269" s="237"/>
      <c r="AA269" s="238"/>
      <c r="AB269" s="211"/>
      <c r="AC269" s="237"/>
      <c r="AD269" s="238"/>
      <c r="AE269" s="294">
        <v>42842</v>
      </c>
    </row>
    <row r="270" spans="1:31">
      <c r="A270" s="233"/>
      <c r="B270" s="301"/>
      <c r="C270" s="233"/>
      <c r="D270" s="233"/>
      <c r="E270" s="295"/>
      <c r="F270" s="241"/>
      <c r="G270" s="296"/>
      <c r="H270" s="240"/>
      <c r="I270" s="240"/>
      <c r="J270" s="261"/>
      <c r="K270" s="241"/>
      <c r="L270" s="234"/>
      <c r="M270" s="237"/>
      <c r="N270" s="240"/>
      <c r="O270" s="236"/>
      <c r="P270" s="297"/>
      <c r="Q270" s="298"/>
      <c r="R270" s="298"/>
      <c r="S270" s="297"/>
      <c r="T270" s="299"/>
      <c r="U270" s="235"/>
      <c r="V270" s="235"/>
      <c r="W270" s="300"/>
      <c r="X270" s="236"/>
      <c r="Y270" s="211"/>
      <c r="Z270" s="237"/>
      <c r="AA270" s="238"/>
      <c r="AB270" s="211"/>
      <c r="AC270" s="237"/>
      <c r="AD270" s="238"/>
      <c r="AE270" s="294">
        <v>42850</v>
      </c>
    </row>
    <row r="271" spans="1:31">
      <c r="A271" s="233"/>
      <c r="B271" s="301"/>
      <c r="C271" s="233"/>
      <c r="D271" s="233"/>
      <c r="E271" s="295"/>
      <c r="F271" s="241"/>
      <c r="G271" s="296"/>
      <c r="H271" s="240"/>
      <c r="I271" s="240"/>
      <c r="J271" s="261"/>
      <c r="K271" s="241"/>
      <c r="L271" s="234"/>
      <c r="M271" s="237"/>
      <c r="N271" s="240"/>
      <c r="O271" s="236"/>
      <c r="P271" s="297"/>
      <c r="Q271" s="298"/>
      <c r="R271" s="298"/>
      <c r="S271" s="297"/>
      <c r="T271" s="299"/>
      <c r="U271" s="235"/>
      <c r="V271" s="235"/>
      <c r="W271" s="300"/>
      <c r="X271" s="236"/>
      <c r="Y271" s="211"/>
      <c r="Z271" s="237"/>
      <c r="AA271" s="238"/>
      <c r="AB271" s="211"/>
      <c r="AC271" s="237"/>
      <c r="AD271" s="238"/>
      <c r="AE271" s="294">
        <v>42898</v>
      </c>
    </row>
    <row r="272" spans="1:31">
      <c r="A272" s="233"/>
      <c r="B272" s="301"/>
      <c r="C272" s="233"/>
      <c r="D272" s="233"/>
      <c r="E272" s="295"/>
      <c r="F272" s="241"/>
      <c r="G272" s="296"/>
      <c r="H272" s="240"/>
      <c r="I272" s="240"/>
      <c r="J272" s="261"/>
      <c r="K272" s="241"/>
      <c r="L272" s="234"/>
      <c r="M272" s="237"/>
      <c r="N272" s="240"/>
      <c r="O272" s="236"/>
      <c r="P272" s="297"/>
      <c r="Q272" s="298"/>
      <c r="R272" s="298"/>
      <c r="S272" s="297"/>
      <c r="T272" s="299"/>
      <c r="U272" s="235"/>
      <c r="V272" s="235"/>
      <c r="W272" s="300"/>
      <c r="X272" s="236"/>
      <c r="Y272" s="211"/>
      <c r="Z272" s="237"/>
      <c r="AA272" s="238"/>
      <c r="AB272" s="211"/>
      <c r="AC272" s="237"/>
      <c r="AD272" s="238"/>
      <c r="AE272" s="294">
        <v>42954</v>
      </c>
    </row>
    <row r="273" spans="1:31">
      <c r="A273" s="233"/>
      <c r="B273" s="301"/>
      <c r="C273" s="233"/>
      <c r="D273" s="233"/>
      <c r="E273" s="295"/>
      <c r="F273" s="241"/>
      <c r="G273" s="296"/>
      <c r="H273" s="240"/>
      <c r="I273" s="240"/>
      <c r="J273" s="261"/>
      <c r="K273" s="241"/>
      <c r="L273" s="234"/>
      <c r="M273" s="237"/>
      <c r="N273" s="240"/>
      <c r="O273" s="236"/>
      <c r="P273" s="297"/>
      <c r="Q273" s="298"/>
      <c r="R273" s="298"/>
      <c r="S273" s="297"/>
      <c r="T273" s="299"/>
      <c r="U273" s="235"/>
      <c r="V273" s="235"/>
      <c r="W273" s="300"/>
      <c r="X273" s="236"/>
      <c r="Y273" s="211"/>
      <c r="Z273" s="237"/>
      <c r="AA273" s="238"/>
      <c r="AB273" s="211"/>
      <c r="AC273" s="237"/>
      <c r="AD273" s="238"/>
      <c r="AE273" s="294">
        <v>43010</v>
      </c>
    </row>
    <row r="274" spans="1:31">
      <c r="A274" s="233"/>
      <c r="B274" s="301"/>
      <c r="C274" s="233"/>
      <c r="D274" s="233"/>
      <c r="E274" s="295"/>
      <c r="F274" s="241"/>
      <c r="G274" s="296"/>
      <c r="H274" s="240"/>
      <c r="I274" s="240"/>
      <c r="J274" s="261"/>
      <c r="K274" s="241"/>
      <c r="L274" s="234"/>
      <c r="M274" s="237"/>
      <c r="N274" s="240"/>
      <c r="O274" s="236"/>
      <c r="P274" s="297"/>
      <c r="Q274" s="298"/>
      <c r="R274" s="298"/>
      <c r="S274" s="297"/>
      <c r="T274" s="299"/>
      <c r="U274" s="235"/>
      <c r="V274" s="235"/>
      <c r="W274" s="300"/>
      <c r="X274" s="236"/>
      <c r="Y274" s="211"/>
      <c r="Z274" s="237"/>
      <c r="AA274" s="238"/>
      <c r="AB274" s="211"/>
      <c r="AC274" s="237"/>
      <c r="AD274" s="238"/>
      <c r="AE274" s="294">
        <v>43094</v>
      </c>
    </row>
    <row r="275" spans="1:31">
      <c r="A275" s="233"/>
      <c r="B275" s="301"/>
      <c r="C275" s="233"/>
      <c r="D275" s="233"/>
      <c r="E275" s="295"/>
      <c r="F275" s="241"/>
      <c r="G275" s="296"/>
      <c r="H275" s="240"/>
      <c r="I275" s="240"/>
      <c r="J275" s="261"/>
      <c r="K275" s="241"/>
      <c r="L275" s="234"/>
      <c r="M275" s="237"/>
      <c r="N275" s="240"/>
      <c r="O275" s="236"/>
      <c r="P275" s="297"/>
      <c r="Q275" s="298"/>
      <c r="R275" s="298"/>
      <c r="S275" s="297"/>
      <c r="T275" s="299"/>
      <c r="U275" s="235"/>
      <c r="V275" s="235"/>
      <c r="W275" s="300"/>
      <c r="X275" s="236"/>
      <c r="Y275" s="211"/>
      <c r="Z275" s="237"/>
      <c r="AA275" s="238"/>
      <c r="AB275" s="211"/>
      <c r="AC275" s="237"/>
      <c r="AD275" s="238"/>
      <c r="AE275" s="294">
        <v>43095</v>
      </c>
    </row>
    <row r="276" spans="1:31">
      <c r="A276" s="233"/>
      <c r="B276" s="301"/>
      <c r="C276" s="233"/>
      <c r="D276" s="233"/>
      <c r="E276" s="295"/>
      <c r="F276" s="241"/>
      <c r="G276" s="296"/>
      <c r="H276" s="240"/>
      <c r="I276" s="240"/>
      <c r="J276" s="261"/>
      <c r="K276" s="241"/>
      <c r="L276" s="234"/>
      <c r="M276" s="237"/>
      <c r="N276" s="240"/>
      <c r="O276" s="236"/>
      <c r="P276" s="297"/>
      <c r="Q276" s="298"/>
      <c r="R276" s="298"/>
      <c r="S276" s="297"/>
      <c r="T276" s="299"/>
      <c r="U276" s="235"/>
      <c r="V276" s="235"/>
      <c r="W276" s="300"/>
      <c r="X276" s="236"/>
      <c r="Y276" s="211"/>
      <c r="Z276" s="237"/>
      <c r="AA276" s="238"/>
      <c r="AB276" s="211"/>
      <c r="AC276" s="237"/>
      <c r="AD276" s="238"/>
      <c r="AE276" s="294">
        <v>43101</v>
      </c>
    </row>
    <row r="277" spans="1:31">
      <c r="A277" s="233"/>
      <c r="B277" s="301"/>
      <c r="C277" s="233"/>
      <c r="D277" s="233"/>
      <c r="E277" s="295"/>
      <c r="F277" s="241"/>
      <c r="G277" s="296"/>
      <c r="H277" s="240"/>
      <c r="I277" s="240"/>
      <c r="J277" s="261"/>
      <c r="K277" s="241"/>
      <c r="L277" s="234"/>
      <c r="M277" s="237"/>
      <c r="N277" s="240"/>
      <c r="O277" s="236"/>
      <c r="P277" s="297"/>
      <c r="Q277" s="298"/>
      <c r="R277" s="298"/>
      <c r="S277" s="297"/>
      <c r="T277" s="299"/>
      <c r="U277" s="235"/>
      <c r="V277" s="235"/>
      <c r="W277" s="300"/>
      <c r="X277" s="236"/>
      <c r="Y277" s="211"/>
      <c r="Z277" s="237"/>
      <c r="AA277" s="238"/>
      <c r="AB277" s="211"/>
      <c r="AC277" s="237"/>
      <c r="AD277" s="238"/>
      <c r="AE277" s="294">
        <v>43126</v>
      </c>
    </row>
    <row r="278" spans="1:31">
      <c r="A278" s="233"/>
      <c r="B278" s="301"/>
      <c r="C278" s="233"/>
      <c r="D278" s="233"/>
      <c r="E278" s="295"/>
      <c r="F278" s="241"/>
      <c r="G278" s="296"/>
      <c r="H278" s="240"/>
      <c r="I278" s="240"/>
      <c r="J278" s="261"/>
      <c r="K278" s="241"/>
      <c r="L278" s="234"/>
      <c r="M278" s="237"/>
      <c r="N278" s="240"/>
      <c r="O278" s="236"/>
      <c r="P278" s="297"/>
      <c r="Q278" s="298"/>
      <c r="R278" s="298"/>
      <c r="S278" s="297"/>
      <c r="T278" s="299"/>
      <c r="U278" s="235"/>
      <c r="V278" s="235"/>
      <c r="W278" s="300"/>
      <c r="X278" s="236"/>
      <c r="Y278" s="211"/>
      <c r="Z278" s="237"/>
      <c r="AA278" s="238"/>
      <c r="AB278" s="211"/>
      <c r="AC278" s="237"/>
      <c r="AD278" s="238"/>
      <c r="AE278" s="294">
        <v>43189</v>
      </c>
    </row>
    <row r="279" spans="1:31">
      <c r="A279" s="233"/>
      <c r="B279" s="301"/>
      <c r="C279" s="233"/>
      <c r="D279" s="233"/>
      <c r="E279" s="295"/>
      <c r="F279" s="241"/>
      <c r="G279" s="296"/>
      <c r="H279" s="240"/>
      <c r="I279" s="240"/>
      <c r="J279" s="261"/>
      <c r="K279" s="241"/>
      <c r="L279" s="234"/>
      <c r="M279" s="237"/>
      <c r="N279" s="240"/>
      <c r="O279" s="236"/>
      <c r="P279" s="297"/>
      <c r="Q279" s="298"/>
      <c r="R279" s="298"/>
      <c r="S279" s="297"/>
      <c r="T279" s="299"/>
      <c r="U279" s="235"/>
      <c r="V279" s="235"/>
      <c r="W279" s="300"/>
      <c r="X279" s="236"/>
      <c r="Y279" s="211"/>
      <c r="Z279" s="237"/>
      <c r="AA279" s="238"/>
      <c r="AB279" s="211"/>
      <c r="AC279" s="237"/>
      <c r="AD279" s="238"/>
      <c r="AE279" s="294">
        <v>43192</v>
      </c>
    </row>
    <row r="280" spans="1:31">
      <c r="A280" s="233"/>
      <c r="B280" s="301"/>
      <c r="C280" s="233"/>
      <c r="D280" s="233"/>
      <c r="E280" s="295"/>
      <c r="F280" s="241"/>
      <c r="G280" s="296"/>
      <c r="H280" s="240"/>
      <c r="I280" s="240"/>
      <c r="J280" s="261"/>
      <c r="K280" s="241"/>
      <c r="L280" s="234"/>
      <c r="M280" s="237"/>
      <c r="N280" s="240"/>
      <c r="O280" s="236"/>
      <c r="P280" s="297"/>
      <c r="Q280" s="298"/>
      <c r="R280" s="298"/>
      <c r="S280" s="297"/>
      <c r="T280" s="299"/>
      <c r="U280" s="235"/>
      <c r="V280" s="235"/>
      <c r="W280" s="300"/>
      <c r="X280" s="236"/>
      <c r="Y280" s="211"/>
      <c r="Z280" s="237"/>
      <c r="AA280" s="238"/>
      <c r="AB280" s="211"/>
      <c r="AC280" s="237"/>
      <c r="AD280" s="238"/>
      <c r="AE280" s="294">
        <v>43215</v>
      </c>
    </row>
    <row r="281" spans="1:31">
      <c r="A281" s="233"/>
      <c r="B281" s="301"/>
      <c r="C281" s="233"/>
      <c r="D281" s="233"/>
      <c r="E281" s="295"/>
      <c r="F281" s="241"/>
      <c r="G281" s="296"/>
      <c r="H281" s="240"/>
      <c r="I281" s="240"/>
      <c r="J281" s="261"/>
      <c r="K281" s="241"/>
      <c r="L281" s="234"/>
      <c r="M281" s="237"/>
      <c r="N281" s="240"/>
      <c r="O281" s="236"/>
      <c r="P281" s="297"/>
      <c r="Q281" s="298"/>
      <c r="R281" s="298"/>
      <c r="S281" s="297"/>
      <c r="T281" s="299"/>
      <c r="U281" s="235"/>
      <c r="V281" s="235"/>
      <c r="W281" s="300"/>
      <c r="X281" s="236"/>
      <c r="Y281" s="211"/>
      <c r="Z281" s="237"/>
      <c r="AA281" s="238"/>
      <c r="AB281" s="211"/>
      <c r="AC281" s="237"/>
      <c r="AD281" s="238"/>
      <c r="AE281" s="294">
        <v>43262</v>
      </c>
    </row>
    <row r="282" spans="1:31">
      <c r="A282" s="233"/>
      <c r="B282" s="301"/>
      <c r="C282" s="233"/>
      <c r="D282" s="233"/>
      <c r="E282" s="295"/>
      <c r="F282" s="241"/>
      <c r="G282" s="296"/>
      <c r="H282" s="240"/>
      <c r="I282" s="240"/>
      <c r="J282" s="261"/>
      <c r="K282" s="241"/>
      <c r="L282" s="234"/>
      <c r="M282" s="237"/>
      <c r="N282" s="240"/>
      <c r="O282" s="236"/>
      <c r="P282" s="297"/>
      <c r="Q282" s="298"/>
      <c r="R282" s="298"/>
      <c r="S282" s="297"/>
      <c r="T282" s="299"/>
      <c r="U282" s="235"/>
      <c r="V282" s="235"/>
      <c r="W282" s="300"/>
      <c r="X282" s="236"/>
      <c r="Y282" s="211"/>
      <c r="Z282" s="237"/>
      <c r="AA282" s="238"/>
      <c r="AB282" s="211"/>
      <c r="AC282" s="237"/>
      <c r="AD282" s="238"/>
      <c r="AE282" s="294">
        <v>43318</v>
      </c>
    </row>
    <row r="283" spans="1:31">
      <c r="A283" s="233"/>
      <c r="B283" s="301"/>
      <c r="C283" s="233"/>
      <c r="D283" s="233"/>
      <c r="E283" s="295"/>
      <c r="F283" s="241"/>
      <c r="G283" s="296"/>
      <c r="H283" s="240"/>
      <c r="I283" s="240"/>
      <c r="J283" s="261"/>
      <c r="K283" s="241"/>
      <c r="L283" s="234"/>
      <c r="M283" s="237"/>
      <c r="N283" s="240"/>
      <c r="O283" s="236"/>
      <c r="P283" s="297"/>
      <c r="Q283" s="298"/>
      <c r="R283" s="298"/>
      <c r="S283" s="297"/>
      <c r="T283" s="299"/>
      <c r="U283" s="235"/>
      <c r="V283" s="235"/>
      <c r="W283" s="300"/>
      <c r="X283" s="236"/>
      <c r="Y283" s="211"/>
      <c r="Z283" s="237"/>
      <c r="AA283" s="238"/>
      <c r="AB283" s="211"/>
      <c r="AC283" s="237"/>
      <c r="AD283" s="238"/>
      <c r="AE283" s="294">
        <v>43374</v>
      </c>
    </row>
    <row r="284" spans="1:31">
      <c r="A284" s="233"/>
      <c r="B284" s="301"/>
      <c r="C284" s="233"/>
      <c r="D284" s="233"/>
      <c r="E284" s="295"/>
      <c r="F284" s="241"/>
      <c r="G284" s="296"/>
      <c r="H284" s="240"/>
      <c r="I284" s="240"/>
      <c r="J284" s="261"/>
      <c r="K284" s="241"/>
      <c r="L284" s="234"/>
      <c r="M284" s="237"/>
      <c r="N284" s="240"/>
      <c r="O284" s="236"/>
      <c r="P284" s="297"/>
      <c r="Q284" s="298"/>
      <c r="R284" s="298"/>
      <c r="S284" s="297"/>
      <c r="T284" s="299"/>
      <c r="U284" s="235"/>
      <c r="V284" s="235"/>
      <c r="W284" s="300"/>
      <c r="X284" s="236"/>
      <c r="Y284" s="211"/>
      <c r="Z284" s="237"/>
      <c r="AA284" s="238"/>
      <c r="AB284" s="211"/>
      <c r="AC284" s="237"/>
      <c r="AD284" s="238"/>
      <c r="AE284" s="294">
        <v>43459</v>
      </c>
    </row>
    <row r="285" spans="1:31">
      <c r="A285" s="233"/>
      <c r="B285" s="301"/>
      <c r="C285" s="233"/>
      <c r="D285" s="233"/>
      <c r="E285" s="295"/>
      <c r="F285" s="241"/>
      <c r="G285" s="296"/>
      <c r="H285" s="240"/>
      <c r="I285" s="240"/>
      <c r="J285" s="261"/>
      <c r="K285" s="241"/>
      <c r="L285" s="234"/>
      <c r="M285" s="237"/>
      <c r="N285" s="240"/>
      <c r="O285" s="236"/>
      <c r="P285" s="297"/>
      <c r="Q285" s="298"/>
      <c r="R285" s="298"/>
      <c r="S285" s="297"/>
      <c r="T285" s="299"/>
      <c r="U285" s="235"/>
      <c r="V285" s="235"/>
      <c r="W285" s="300"/>
      <c r="X285" s="236"/>
      <c r="Y285" s="211"/>
      <c r="Z285" s="237"/>
      <c r="AA285" s="238"/>
      <c r="AB285" s="211"/>
      <c r="AC285" s="237"/>
      <c r="AD285" s="238"/>
      <c r="AE285" s="294">
        <v>43460</v>
      </c>
    </row>
    <row r="286" spans="1:31">
      <c r="A286" s="233"/>
      <c r="B286" s="301"/>
      <c r="C286" s="233"/>
      <c r="D286" s="233"/>
      <c r="E286" s="295"/>
      <c r="F286" s="241"/>
      <c r="G286" s="296"/>
      <c r="H286" s="240"/>
      <c r="I286" s="240"/>
      <c r="J286" s="261"/>
      <c r="K286" s="241"/>
      <c r="L286" s="234"/>
      <c r="M286" s="237"/>
      <c r="N286" s="240"/>
      <c r="O286" s="236"/>
      <c r="P286" s="297"/>
      <c r="Q286" s="298"/>
      <c r="R286" s="298"/>
      <c r="S286" s="297"/>
      <c r="T286" s="299"/>
      <c r="U286" s="235"/>
      <c r="V286" s="235"/>
      <c r="W286" s="300"/>
      <c r="X286" s="236"/>
      <c r="Y286" s="211"/>
      <c r="Z286" s="237"/>
      <c r="AA286" s="238"/>
      <c r="AB286" s="211"/>
      <c r="AC286" s="237"/>
      <c r="AD286" s="238"/>
      <c r="AE286" s="294">
        <v>43466</v>
      </c>
    </row>
    <row r="287" spans="1:31">
      <c r="A287" s="233"/>
      <c r="B287" s="301"/>
      <c r="C287" s="233"/>
      <c r="D287" s="233"/>
      <c r="E287" s="295"/>
      <c r="F287" s="241"/>
      <c r="G287" s="296"/>
      <c r="H287" s="240"/>
      <c r="I287" s="240"/>
      <c r="J287" s="261"/>
      <c r="K287" s="241"/>
      <c r="L287" s="234"/>
      <c r="M287" s="237"/>
      <c r="N287" s="240"/>
      <c r="O287" s="236"/>
      <c r="P287" s="297"/>
      <c r="Q287" s="298"/>
      <c r="R287" s="298"/>
      <c r="S287" s="297"/>
      <c r="T287" s="299"/>
      <c r="U287" s="235"/>
      <c r="V287" s="235"/>
      <c r="W287" s="300"/>
      <c r="X287" s="236"/>
      <c r="Y287" s="211"/>
      <c r="Z287" s="237"/>
      <c r="AA287" s="238"/>
      <c r="AB287" s="211"/>
      <c r="AC287" s="237"/>
      <c r="AD287" s="238"/>
      <c r="AE287" s="294">
        <v>43493</v>
      </c>
    </row>
    <row r="288" spans="1:31">
      <c r="A288" s="233"/>
      <c r="B288" s="301"/>
      <c r="C288" s="233"/>
      <c r="D288" s="233"/>
      <c r="E288" s="295"/>
      <c r="F288" s="241"/>
      <c r="G288" s="296"/>
      <c r="H288" s="240"/>
      <c r="I288" s="240"/>
      <c r="J288" s="261"/>
      <c r="K288" s="241"/>
      <c r="L288" s="234"/>
      <c r="M288" s="237"/>
      <c r="N288" s="240"/>
      <c r="O288" s="236"/>
      <c r="P288" s="297"/>
      <c r="Q288" s="298"/>
      <c r="R288" s="298"/>
      <c r="S288" s="297"/>
      <c r="T288" s="299"/>
      <c r="U288" s="235"/>
      <c r="V288" s="235"/>
      <c r="W288" s="300"/>
      <c r="X288" s="236"/>
      <c r="Y288" s="211"/>
      <c r="Z288" s="237"/>
      <c r="AA288" s="238"/>
      <c r="AB288" s="211"/>
      <c r="AC288" s="237"/>
      <c r="AD288" s="238"/>
      <c r="AE288" s="294">
        <v>43574</v>
      </c>
    </row>
    <row r="289" spans="1:31">
      <c r="A289" s="233"/>
      <c r="B289" s="301"/>
      <c r="C289" s="233"/>
      <c r="D289" s="233"/>
      <c r="E289" s="295"/>
      <c r="F289" s="241"/>
      <c r="G289" s="296"/>
      <c r="H289" s="240"/>
      <c r="I289" s="240"/>
      <c r="J289" s="261"/>
      <c r="K289" s="241"/>
      <c r="L289" s="234"/>
      <c r="M289" s="237"/>
      <c r="N289" s="240"/>
      <c r="O289" s="236"/>
      <c r="P289" s="297"/>
      <c r="Q289" s="298"/>
      <c r="R289" s="298"/>
      <c r="S289" s="297"/>
      <c r="T289" s="299"/>
      <c r="U289" s="235"/>
      <c r="V289" s="235"/>
      <c r="W289" s="300"/>
      <c r="X289" s="236"/>
      <c r="Y289" s="211"/>
      <c r="Z289" s="237"/>
      <c r="AA289" s="238"/>
      <c r="AB289" s="211"/>
      <c r="AC289" s="237"/>
      <c r="AD289" s="238"/>
      <c r="AE289" s="294">
        <v>43577</v>
      </c>
    </row>
    <row r="290" spans="1:31">
      <c r="A290" s="233"/>
      <c r="B290" s="301"/>
      <c r="C290" s="233"/>
      <c r="D290" s="233"/>
      <c r="E290" s="295"/>
      <c r="F290" s="241"/>
      <c r="G290" s="296"/>
      <c r="H290" s="240"/>
      <c r="I290" s="240"/>
      <c r="J290" s="261"/>
      <c r="K290" s="241"/>
      <c r="L290" s="234"/>
      <c r="M290" s="237"/>
      <c r="N290" s="240"/>
      <c r="O290" s="236"/>
      <c r="P290" s="297"/>
      <c r="Q290" s="298"/>
      <c r="R290" s="298"/>
      <c r="S290" s="297"/>
      <c r="T290" s="299"/>
      <c r="U290" s="235"/>
      <c r="V290" s="235"/>
      <c r="W290" s="300"/>
      <c r="X290" s="236"/>
      <c r="Y290" s="211"/>
      <c r="Z290" s="237"/>
      <c r="AA290" s="238"/>
      <c r="AB290" s="211"/>
      <c r="AC290" s="237"/>
      <c r="AD290" s="238"/>
      <c r="AE290" s="294">
        <v>43580</v>
      </c>
    </row>
    <row r="291" spans="1:31">
      <c r="A291" s="233"/>
      <c r="B291" s="301"/>
      <c r="C291" s="233"/>
      <c r="D291" s="233"/>
      <c r="E291" s="295"/>
      <c r="F291" s="241"/>
      <c r="G291" s="296"/>
      <c r="H291" s="240"/>
      <c r="I291" s="240"/>
      <c r="J291" s="261"/>
      <c r="K291" s="241"/>
      <c r="L291" s="234"/>
      <c r="M291" s="237"/>
      <c r="N291" s="240"/>
      <c r="O291" s="236"/>
      <c r="P291" s="297"/>
      <c r="Q291" s="298"/>
      <c r="R291" s="298"/>
      <c r="S291" s="297"/>
      <c r="T291" s="299"/>
      <c r="U291" s="235"/>
      <c r="V291" s="235"/>
      <c r="W291" s="300"/>
      <c r="X291" s="236"/>
      <c r="Y291" s="211"/>
      <c r="Z291" s="237"/>
      <c r="AA291" s="238"/>
      <c r="AB291" s="211"/>
      <c r="AC291" s="237"/>
      <c r="AD291" s="238"/>
      <c r="AE291" s="294">
        <v>43626</v>
      </c>
    </row>
    <row r="292" spans="1:31">
      <c r="A292" s="233"/>
      <c r="B292" s="301"/>
      <c r="C292" s="233"/>
      <c r="D292" s="233"/>
      <c r="E292" s="295"/>
      <c r="F292" s="241"/>
      <c r="G292" s="296"/>
      <c r="H292" s="240"/>
      <c r="I292" s="240"/>
      <c r="J292" s="261"/>
      <c r="K292" s="241"/>
      <c r="L292" s="234"/>
      <c r="M292" s="237"/>
      <c r="N292" s="240"/>
      <c r="O292" s="236"/>
      <c r="P292" s="297"/>
      <c r="Q292" s="298"/>
      <c r="R292" s="298"/>
      <c r="S292" s="297"/>
      <c r="T292" s="299"/>
      <c r="U292" s="235"/>
      <c r="V292" s="235"/>
      <c r="W292" s="300"/>
      <c r="X292" s="236"/>
      <c r="Y292" s="211"/>
      <c r="Z292" s="237"/>
      <c r="AA292" s="238"/>
      <c r="AB292" s="211"/>
      <c r="AC292" s="237"/>
      <c r="AD292" s="238"/>
      <c r="AE292" s="294">
        <v>43682</v>
      </c>
    </row>
    <row r="293" spans="1:31">
      <c r="A293" s="233"/>
      <c r="B293" s="301"/>
      <c r="C293" s="233"/>
      <c r="D293" s="233"/>
      <c r="E293" s="295"/>
      <c r="F293" s="241"/>
      <c r="G293" s="296"/>
      <c r="H293" s="240"/>
      <c r="I293" s="240"/>
      <c r="J293" s="261"/>
      <c r="K293" s="241"/>
      <c r="L293" s="234"/>
      <c r="M293" s="237"/>
      <c r="N293" s="240"/>
      <c r="O293" s="236"/>
      <c r="P293" s="297"/>
      <c r="Q293" s="298"/>
      <c r="R293" s="298"/>
      <c r="S293" s="297"/>
      <c r="T293" s="299"/>
      <c r="U293" s="235"/>
      <c r="V293" s="235"/>
      <c r="W293" s="300"/>
      <c r="X293" s="236"/>
      <c r="Y293" s="211"/>
      <c r="Z293" s="237"/>
      <c r="AA293" s="238"/>
      <c r="AB293" s="211"/>
      <c r="AC293" s="237"/>
      <c r="AD293" s="238"/>
      <c r="AE293" s="294">
        <v>43745</v>
      </c>
    </row>
    <row r="294" spans="1:31">
      <c r="A294" s="233"/>
      <c r="B294" s="301"/>
      <c r="C294" s="233"/>
      <c r="D294" s="233"/>
      <c r="E294" s="295"/>
      <c r="F294" s="241"/>
      <c r="G294" s="296"/>
      <c r="H294" s="240"/>
      <c r="I294" s="240"/>
      <c r="J294" s="261"/>
      <c r="K294" s="241"/>
      <c r="L294" s="234"/>
      <c r="M294" s="237"/>
      <c r="N294" s="240"/>
      <c r="O294" s="236"/>
      <c r="P294" s="297"/>
      <c r="Q294" s="298"/>
      <c r="R294" s="298"/>
      <c r="S294" s="297"/>
      <c r="T294" s="299"/>
      <c r="U294" s="235"/>
      <c r="V294" s="235"/>
      <c r="W294" s="300"/>
      <c r="X294" s="236"/>
      <c r="Y294" s="211"/>
      <c r="Z294" s="237"/>
      <c r="AA294" s="238"/>
      <c r="AB294" s="211"/>
      <c r="AC294" s="237"/>
      <c r="AD294" s="238"/>
      <c r="AE294" s="294">
        <v>43824</v>
      </c>
    </row>
    <row r="295" spans="1:31">
      <c r="A295" s="233"/>
      <c r="B295" s="301"/>
      <c r="C295" s="233"/>
      <c r="D295" s="233"/>
      <c r="E295" s="295"/>
      <c r="F295" s="241"/>
      <c r="G295" s="296"/>
      <c r="H295" s="240"/>
      <c r="I295" s="240"/>
      <c r="J295" s="261"/>
      <c r="K295" s="241"/>
      <c r="L295" s="234"/>
      <c r="M295" s="237"/>
      <c r="N295" s="240"/>
      <c r="O295" s="236"/>
      <c r="P295" s="297"/>
      <c r="Q295" s="298"/>
      <c r="R295" s="298"/>
      <c r="S295" s="297"/>
      <c r="T295" s="299"/>
      <c r="U295" s="235"/>
      <c r="V295" s="235"/>
      <c r="W295" s="300"/>
      <c r="X295" s="236"/>
      <c r="Y295" s="211"/>
      <c r="Z295" s="237"/>
      <c r="AA295" s="238"/>
      <c r="AB295" s="211"/>
      <c r="AC295" s="237"/>
      <c r="AD295" s="238"/>
      <c r="AE295" s="294">
        <v>43825</v>
      </c>
    </row>
    <row r="296" spans="1:31">
      <c r="A296" s="233"/>
      <c r="B296" s="301"/>
      <c r="C296" s="233"/>
      <c r="D296" s="233"/>
      <c r="E296" s="295"/>
      <c r="F296" s="241"/>
      <c r="G296" s="296"/>
      <c r="H296" s="240"/>
      <c r="I296" s="240"/>
      <c r="J296" s="261"/>
      <c r="K296" s="241"/>
      <c r="L296" s="234"/>
      <c r="M296" s="237"/>
      <c r="N296" s="240"/>
      <c r="O296" s="236"/>
      <c r="P296" s="297"/>
      <c r="Q296" s="298"/>
      <c r="R296" s="298"/>
      <c r="S296" s="297"/>
      <c r="T296" s="299"/>
      <c r="U296" s="235"/>
      <c r="V296" s="235"/>
      <c r="W296" s="300"/>
      <c r="X296" s="236"/>
      <c r="Y296" s="211"/>
      <c r="Z296" s="237"/>
      <c r="AA296" s="238"/>
      <c r="AB296" s="211"/>
      <c r="AC296" s="237"/>
      <c r="AD296" s="238"/>
      <c r="AE296" s="294">
        <v>43831</v>
      </c>
    </row>
    <row r="297" spans="1:31">
      <c r="A297" s="233"/>
      <c r="B297" s="301"/>
      <c r="C297" s="233"/>
      <c r="D297" s="233"/>
      <c r="E297" s="295"/>
      <c r="F297" s="241"/>
      <c r="G297" s="296"/>
      <c r="H297" s="240"/>
      <c r="I297" s="240"/>
      <c r="J297" s="261"/>
      <c r="K297" s="241"/>
      <c r="L297" s="234"/>
      <c r="M297" s="237"/>
      <c r="N297" s="240"/>
      <c r="O297" s="236"/>
      <c r="P297" s="297"/>
      <c r="Q297" s="298"/>
      <c r="R297" s="298"/>
      <c r="S297" s="297"/>
      <c r="T297" s="299"/>
      <c r="U297" s="235"/>
      <c r="V297" s="235"/>
      <c r="W297" s="300"/>
      <c r="X297" s="236"/>
      <c r="Y297" s="211"/>
      <c r="Z297" s="237"/>
      <c r="AA297" s="238"/>
      <c r="AB297" s="211"/>
      <c r="AC297" s="237"/>
      <c r="AD297" s="238"/>
      <c r="AE297" s="294">
        <v>43857</v>
      </c>
    </row>
    <row r="298" spans="1:31">
      <c r="A298" s="233"/>
      <c r="B298" s="301"/>
      <c r="C298" s="233"/>
      <c r="D298" s="233"/>
      <c r="E298" s="295"/>
      <c r="F298" s="241"/>
      <c r="G298" s="296"/>
      <c r="H298" s="240"/>
      <c r="I298" s="240"/>
      <c r="J298" s="261"/>
      <c r="K298" s="241"/>
      <c r="L298" s="234"/>
      <c r="M298" s="237"/>
      <c r="N298" s="240"/>
      <c r="O298" s="236"/>
      <c r="P298" s="297"/>
      <c r="Q298" s="298"/>
      <c r="R298" s="298"/>
      <c r="S298" s="297"/>
      <c r="T298" s="299"/>
      <c r="U298" s="235"/>
      <c r="V298" s="235"/>
      <c r="W298" s="300"/>
      <c r="X298" s="236"/>
      <c r="Y298" s="211"/>
      <c r="Z298" s="237"/>
      <c r="AA298" s="238"/>
      <c r="AB298" s="211"/>
      <c r="AC298" s="237"/>
      <c r="AD298" s="238"/>
      <c r="AE298" s="294">
        <v>43931</v>
      </c>
    </row>
    <row r="299" spans="1:31">
      <c r="A299" s="233"/>
      <c r="B299" s="301"/>
      <c r="C299" s="233"/>
      <c r="D299" s="233"/>
      <c r="E299" s="295"/>
      <c r="F299" s="241"/>
      <c r="G299" s="296"/>
      <c r="H299" s="240"/>
      <c r="I299" s="240"/>
      <c r="J299" s="261"/>
      <c r="K299" s="241"/>
      <c r="L299" s="234"/>
      <c r="M299" s="237"/>
      <c r="N299" s="240"/>
      <c r="O299" s="236"/>
      <c r="P299" s="297"/>
      <c r="Q299" s="298"/>
      <c r="R299" s="298"/>
      <c r="S299" s="297"/>
      <c r="T299" s="299"/>
      <c r="U299" s="235"/>
      <c r="V299" s="235"/>
      <c r="W299" s="300"/>
      <c r="X299" s="236"/>
      <c r="Y299" s="211"/>
      <c r="Z299" s="237"/>
      <c r="AA299" s="238"/>
      <c r="AB299" s="211"/>
      <c r="AC299" s="237"/>
      <c r="AD299" s="238"/>
      <c r="AE299" s="294">
        <v>43934</v>
      </c>
    </row>
    <row r="300" spans="1:31">
      <c r="A300" s="233"/>
      <c r="B300" s="301"/>
      <c r="C300" s="233"/>
      <c r="D300" s="233"/>
      <c r="E300" s="295"/>
      <c r="F300" s="241"/>
      <c r="G300" s="296"/>
      <c r="H300" s="240"/>
      <c r="I300" s="240"/>
      <c r="J300" s="261"/>
      <c r="K300" s="241"/>
      <c r="L300" s="234"/>
      <c r="M300" s="237"/>
      <c r="N300" s="240"/>
      <c r="O300" s="236"/>
      <c r="P300" s="297"/>
      <c r="Q300" s="298"/>
      <c r="R300" s="298"/>
      <c r="S300" s="297"/>
      <c r="T300" s="299"/>
      <c r="U300" s="235"/>
      <c r="V300" s="235"/>
      <c r="W300" s="300"/>
      <c r="X300" s="236"/>
      <c r="Y300" s="211"/>
      <c r="Z300" s="237"/>
      <c r="AA300" s="238"/>
      <c r="AB300" s="211"/>
      <c r="AC300" s="237"/>
      <c r="AD300" s="238"/>
      <c r="AE300" s="294">
        <v>43990</v>
      </c>
    </row>
    <row r="301" spans="1:31">
      <c r="A301" s="233"/>
      <c r="B301" s="301"/>
      <c r="C301" s="233"/>
      <c r="D301" s="233"/>
      <c r="E301" s="295"/>
      <c r="F301" s="241"/>
      <c r="G301" s="296"/>
      <c r="H301" s="240"/>
      <c r="I301" s="240"/>
      <c r="J301" s="261"/>
      <c r="K301" s="241"/>
      <c r="L301" s="234"/>
      <c r="M301" s="237"/>
      <c r="N301" s="240"/>
      <c r="O301" s="236"/>
      <c r="P301" s="297"/>
      <c r="Q301" s="298"/>
      <c r="R301" s="298"/>
      <c r="S301" s="297"/>
      <c r="T301" s="299"/>
      <c r="U301" s="235"/>
      <c r="V301" s="235"/>
      <c r="W301" s="300"/>
      <c r="X301" s="236"/>
      <c r="Y301" s="211"/>
      <c r="Z301" s="237"/>
      <c r="AA301" s="238"/>
      <c r="AB301" s="211"/>
      <c r="AC301" s="237"/>
      <c r="AD301" s="238"/>
      <c r="AE301" s="294">
        <v>44046</v>
      </c>
    </row>
    <row r="302" spans="1:31">
      <c r="A302" s="233"/>
      <c r="B302" s="301"/>
      <c r="C302" s="233"/>
      <c r="D302" s="233"/>
      <c r="E302" s="295"/>
      <c r="F302" s="241"/>
      <c r="G302" s="296"/>
      <c r="H302" s="240"/>
      <c r="I302" s="240"/>
      <c r="J302" s="261"/>
      <c r="K302" s="241"/>
      <c r="L302" s="234"/>
      <c r="M302" s="237"/>
      <c r="N302" s="240"/>
      <c r="O302" s="236"/>
      <c r="P302" s="297"/>
      <c r="Q302" s="298"/>
      <c r="R302" s="298"/>
      <c r="S302" s="297"/>
      <c r="T302" s="299"/>
      <c r="U302" s="235"/>
      <c r="V302" s="235"/>
      <c r="W302" s="300"/>
      <c r="X302" s="236"/>
      <c r="Y302" s="211"/>
      <c r="Z302" s="237"/>
      <c r="AA302" s="238"/>
      <c r="AB302" s="211"/>
      <c r="AC302" s="237"/>
      <c r="AD302" s="238"/>
      <c r="AE302" s="294">
        <v>44109</v>
      </c>
    </row>
    <row r="303" spans="1:31">
      <c r="A303" s="233"/>
      <c r="B303" s="301"/>
      <c r="C303" s="233"/>
      <c r="D303" s="233"/>
      <c r="E303" s="295"/>
      <c r="F303" s="241"/>
      <c r="G303" s="296"/>
      <c r="H303" s="240"/>
      <c r="I303" s="240"/>
      <c r="J303" s="261"/>
      <c r="K303" s="241"/>
      <c r="L303" s="234"/>
      <c r="M303" s="237"/>
      <c r="N303" s="240"/>
      <c r="O303" s="236"/>
      <c r="P303" s="297"/>
      <c r="Q303" s="298"/>
      <c r="R303" s="298"/>
      <c r="S303" s="297"/>
      <c r="T303" s="299"/>
      <c r="U303" s="235"/>
      <c r="V303" s="235"/>
      <c r="W303" s="300"/>
      <c r="X303" s="236"/>
      <c r="Y303" s="211"/>
      <c r="Z303" s="237"/>
      <c r="AA303" s="238"/>
      <c r="AB303" s="211"/>
      <c r="AC303" s="237"/>
      <c r="AD303" s="238"/>
      <c r="AE303" s="294">
        <v>44190</v>
      </c>
    </row>
    <row r="304" spans="1:31">
      <c r="A304" s="233"/>
      <c r="B304" s="301"/>
      <c r="C304" s="233"/>
      <c r="D304" s="233"/>
      <c r="E304" s="295"/>
      <c r="F304" s="241"/>
      <c r="G304" s="296"/>
      <c r="H304" s="240"/>
      <c r="I304" s="240"/>
      <c r="J304" s="261"/>
      <c r="K304" s="241"/>
      <c r="L304" s="234"/>
      <c r="M304" s="237"/>
      <c r="N304" s="240"/>
      <c r="O304" s="236"/>
      <c r="P304" s="297"/>
      <c r="Q304" s="298"/>
      <c r="R304" s="298"/>
      <c r="S304" s="297"/>
      <c r="T304" s="299"/>
      <c r="U304" s="235"/>
      <c r="V304" s="235"/>
      <c r="W304" s="300"/>
      <c r="X304" s="236"/>
      <c r="Y304" s="211"/>
      <c r="Z304" s="237"/>
      <c r="AA304" s="238"/>
      <c r="AB304" s="211"/>
      <c r="AC304" s="237"/>
      <c r="AD304" s="238"/>
      <c r="AE304" s="294">
        <v>44193</v>
      </c>
    </row>
    <row r="305" spans="1:31">
      <c r="A305" s="233"/>
      <c r="B305" s="301"/>
      <c r="C305" s="233"/>
      <c r="D305" s="233"/>
      <c r="E305" s="295"/>
      <c r="F305" s="241"/>
      <c r="G305" s="296"/>
      <c r="H305" s="240"/>
      <c r="I305" s="240"/>
      <c r="J305" s="261"/>
      <c r="K305" s="241"/>
      <c r="L305" s="234"/>
      <c r="M305" s="237"/>
      <c r="N305" s="240"/>
      <c r="O305" s="236"/>
      <c r="P305" s="297"/>
      <c r="Q305" s="298"/>
      <c r="R305" s="298"/>
      <c r="S305" s="297"/>
      <c r="T305" s="299"/>
      <c r="U305" s="235"/>
      <c r="V305" s="235"/>
      <c r="W305" s="300"/>
      <c r="X305" s="236"/>
      <c r="Y305" s="211"/>
      <c r="Z305" s="237"/>
      <c r="AA305" s="238"/>
      <c r="AB305" s="211"/>
      <c r="AC305" s="237"/>
      <c r="AD305" s="238"/>
      <c r="AE305" s="294">
        <v>44197</v>
      </c>
    </row>
    <row r="306" spans="1:31">
      <c r="A306" s="233"/>
      <c r="B306" s="301"/>
      <c r="C306" s="233"/>
      <c r="D306" s="233"/>
      <c r="E306" s="295"/>
      <c r="F306" s="241"/>
      <c r="G306" s="296"/>
      <c r="H306" s="240"/>
      <c r="I306" s="240"/>
      <c r="J306" s="261"/>
      <c r="K306" s="241"/>
      <c r="L306" s="234"/>
      <c r="M306" s="237"/>
      <c r="N306" s="240"/>
      <c r="O306" s="236"/>
      <c r="P306" s="297"/>
      <c r="Q306" s="298"/>
      <c r="R306" s="298"/>
      <c r="S306" s="297"/>
      <c r="T306" s="299"/>
      <c r="U306" s="235"/>
      <c r="V306" s="235"/>
      <c r="W306" s="300"/>
      <c r="X306" s="236"/>
      <c r="Y306" s="211"/>
      <c r="Z306" s="237"/>
      <c r="AA306" s="238"/>
      <c r="AB306" s="211"/>
      <c r="AC306" s="237"/>
      <c r="AD306" s="238"/>
      <c r="AE306" s="294">
        <v>44222</v>
      </c>
    </row>
    <row r="307" spans="1:31">
      <c r="A307" s="233"/>
      <c r="B307" s="301"/>
      <c r="C307" s="233"/>
      <c r="D307" s="233"/>
      <c r="E307" s="295"/>
      <c r="F307" s="241"/>
      <c r="G307" s="296"/>
      <c r="H307" s="240"/>
      <c r="I307" s="240"/>
      <c r="J307" s="261"/>
      <c r="K307" s="241"/>
      <c r="L307" s="234"/>
      <c r="M307" s="237"/>
      <c r="N307" s="240"/>
      <c r="O307" s="236"/>
      <c r="P307" s="297"/>
      <c r="Q307" s="298"/>
      <c r="R307" s="298"/>
      <c r="S307" s="297"/>
      <c r="T307" s="299"/>
      <c r="U307" s="235"/>
      <c r="V307" s="235"/>
      <c r="W307" s="300"/>
      <c r="X307" s="236"/>
      <c r="Y307" s="211"/>
      <c r="Z307" s="237"/>
      <c r="AA307" s="238"/>
      <c r="AB307" s="211"/>
      <c r="AC307" s="237"/>
      <c r="AD307" s="238"/>
      <c r="AE307" s="294">
        <v>44288</v>
      </c>
    </row>
    <row r="308" spans="1:31">
      <c r="A308" s="233"/>
      <c r="B308" s="301"/>
      <c r="C308" s="233"/>
      <c r="D308" s="233"/>
      <c r="E308" s="295"/>
      <c r="F308" s="241"/>
      <c r="G308" s="296"/>
      <c r="H308" s="240"/>
      <c r="I308" s="240"/>
      <c r="J308" s="261"/>
      <c r="K308" s="241"/>
      <c r="L308" s="234"/>
      <c r="M308" s="237"/>
      <c r="N308" s="240"/>
      <c r="O308" s="236"/>
      <c r="P308" s="297"/>
      <c r="Q308" s="298"/>
      <c r="R308" s="298"/>
      <c r="S308" s="297"/>
      <c r="T308" s="299"/>
      <c r="U308" s="235"/>
      <c r="V308" s="235"/>
      <c r="W308" s="300"/>
      <c r="X308" s="236"/>
      <c r="Y308" s="211"/>
      <c r="Z308" s="237"/>
      <c r="AA308" s="238"/>
      <c r="AB308" s="211"/>
      <c r="AC308" s="237"/>
      <c r="AD308" s="238"/>
      <c r="AE308" s="294">
        <v>44291</v>
      </c>
    </row>
    <row r="309" spans="1:31">
      <c r="A309" s="233"/>
      <c r="B309" s="301"/>
      <c r="C309" s="233"/>
      <c r="D309" s="233"/>
      <c r="E309" s="295"/>
      <c r="F309" s="241"/>
      <c r="G309" s="296"/>
      <c r="H309" s="240"/>
      <c r="I309" s="240"/>
      <c r="J309" s="261"/>
      <c r="K309" s="241"/>
      <c r="L309" s="234"/>
      <c r="M309" s="237"/>
      <c r="N309" s="240"/>
      <c r="O309" s="236"/>
      <c r="P309" s="297"/>
      <c r="Q309" s="298"/>
      <c r="R309" s="298"/>
      <c r="S309" s="297"/>
      <c r="T309" s="299"/>
      <c r="U309" s="235"/>
      <c r="V309" s="235"/>
      <c r="W309" s="300"/>
      <c r="X309" s="236"/>
      <c r="Y309" s="211"/>
      <c r="Z309" s="237"/>
      <c r="AA309" s="238"/>
      <c r="AB309" s="211"/>
      <c r="AC309" s="237"/>
      <c r="AD309" s="238"/>
      <c r="AE309" s="294">
        <v>44361</v>
      </c>
    </row>
    <row r="310" spans="1:31">
      <c r="A310" s="233"/>
      <c r="B310" s="301"/>
      <c r="C310" s="233"/>
      <c r="D310" s="233"/>
      <c r="E310" s="295"/>
      <c r="F310" s="241"/>
      <c r="G310" s="296"/>
      <c r="H310" s="240"/>
      <c r="I310" s="240"/>
      <c r="J310" s="261"/>
      <c r="K310" s="241"/>
      <c r="L310" s="234"/>
      <c r="M310" s="237"/>
      <c r="N310" s="240"/>
      <c r="O310" s="236"/>
      <c r="P310" s="297"/>
      <c r="Q310" s="298"/>
      <c r="R310" s="298"/>
      <c r="S310" s="297"/>
      <c r="T310" s="299"/>
      <c r="U310" s="235"/>
      <c r="V310" s="235"/>
      <c r="W310" s="300"/>
      <c r="X310" s="236"/>
      <c r="Y310" s="211"/>
      <c r="Z310" s="237"/>
      <c r="AA310" s="238"/>
      <c r="AB310" s="211"/>
      <c r="AC310" s="237"/>
      <c r="AD310" s="238"/>
      <c r="AE310" s="294">
        <v>44410</v>
      </c>
    </row>
    <row r="311" spans="1:31">
      <c r="A311" s="233"/>
      <c r="B311" s="301"/>
      <c r="C311" s="233"/>
      <c r="D311" s="233"/>
      <c r="E311" s="295"/>
      <c r="F311" s="241"/>
      <c r="G311" s="296"/>
      <c r="H311" s="240"/>
      <c r="I311" s="240"/>
      <c r="J311" s="261"/>
      <c r="K311" s="241"/>
      <c r="L311" s="234"/>
      <c r="M311" s="237"/>
      <c r="N311" s="240"/>
      <c r="O311" s="236"/>
      <c r="P311" s="297"/>
      <c r="Q311" s="298"/>
      <c r="R311" s="298"/>
      <c r="S311" s="297"/>
      <c r="T311" s="299"/>
      <c r="U311" s="235"/>
      <c r="V311" s="235"/>
      <c r="W311" s="300"/>
      <c r="X311" s="236"/>
      <c r="Y311" s="211"/>
      <c r="Z311" s="237"/>
      <c r="AA311" s="238"/>
      <c r="AB311" s="211"/>
      <c r="AC311" s="237"/>
      <c r="AD311" s="238"/>
      <c r="AE311" s="294">
        <v>44473</v>
      </c>
    </row>
    <row r="312" spans="1:31">
      <c r="A312" s="233"/>
      <c r="B312" s="301"/>
      <c r="C312" s="233"/>
      <c r="D312" s="233"/>
      <c r="E312" s="295"/>
      <c r="F312" s="241"/>
      <c r="G312" s="296"/>
      <c r="H312" s="240"/>
      <c r="I312" s="240"/>
      <c r="J312" s="261"/>
      <c r="K312" s="241"/>
      <c r="L312" s="234"/>
      <c r="M312" s="237"/>
      <c r="N312" s="240"/>
      <c r="O312" s="236"/>
      <c r="P312" s="297"/>
      <c r="Q312" s="298"/>
      <c r="R312" s="298"/>
      <c r="S312" s="297"/>
      <c r="T312" s="299"/>
      <c r="U312" s="235"/>
      <c r="V312" s="235"/>
      <c r="W312" s="300"/>
      <c r="X312" s="236"/>
      <c r="Y312" s="211"/>
      <c r="Z312" s="237"/>
      <c r="AA312" s="238"/>
      <c r="AB312" s="211"/>
      <c r="AC312" s="237"/>
      <c r="AD312" s="238"/>
      <c r="AE312" s="294">
        <v>44557</v>
      </c>
    </row>
    <row r="313" spans="1:31">
      <c r="A313" s="233"/>
      <c r="B313" s="301"/>
      <c r="C313" s="233"/>
      <c r="D313" s="233"/>
      <c r="E313" s="295"/>
      <c r="F313" s="241"/>
      <c r="G313" s="296"/>
      <c r="H313" s="240"/>
      <c r="I313" s="240"/>
      <c r="J313" s="261"/>
      <c r="K313" s="241"/>
      <c r="L313" s="234"/>
      <c r="M313" s="237"/>
      <c r="N313" s="240"/>
      <c r="O313" s="236"/>
      <c r="P313" s="297"/>
      <c r="Q313" s="298"/>
      <c r="R313" s="298"/>
      <c r="S313" s="297"/>
      <c r="T313" s="299"/>
      <c r="U313" s="235"/>
      <c r="V313" s="235"/>
      <c r="W313" s="300"/>
      <c r="X313" s="236"/>
      <c r="Y313" s="211"/>
      <c r="Z313" s="237"/>
      <c r="AA313" s="238"/>
      <c r="AB313" s="211"/>
      <c r="AC313" s="237"/>
      <c r="AD313" s="238"/>
      <c r="AE313" s="294">
        <v>44558</v>
      </c>
    </row>
    <row r="314" spans="1:31">
      <c r="A314" s="233"/>
      <c r="B314" s="301"/>
      <c r="C314" s="233"/>
      <c r="D314" s="233"/>
      <c r="E314" s="295"/>
      <c r="F314" s="241"/>
      <c r="G314" s="296"/>
      <c r="H314" s="240"/>
      <c r="I314" s="240"/>
      <c r="J314" s="261"/>
      <c r="K314" s="241"/>
      <c r="L314" s="234"/>
      <c r="M314" s="237"/>
      <c r="N314" s="240"/>
      <c r="O314" s="236"/>
      <c r="P314" s="297"/>
      <c r="Q314" s="298"/>
      <c r="R314" s="298"/>
      <c r="S314" s="297"/>
      <c r="T314" s="299"/>
      <c r="U314" s="235"/>
      <c r="V314" s="235"/>
      <c r="W314" s="300"/>
      <c r="X314" s="236"/>
      <c r="Y314" s="211"/>
      <c r="Z314" s="237"/>
      <c r="AA314" s="238"/>
      <c r="AB314" s="211"/>
      <c r="AC314" s="237"/>
      <c r="AD314" s="238"/>
      <c r="AE314" s="294">
        <v>44564</v>
      </c>
    </row>
    <row r="315" spans="1:31">
      <c r="A315" s="233"/>
      <c r="B315" s="301"/>
      <c r="C315" s="233"/>
      <c r="D315" s="233"/>
      <c r="E315" s="295"/>
      <c r="F315" s="241"/>
      <c r="G315" s="296"/>
      <c r="H315" s="240"/>
      <c r="I315" s="240"/>
      <c r="J315" s="261"/>
      <c r="K315" s="241"/>
      <c r="L315" s="234"/>
      <c r="M315" s="237"/>
      <c r="N315" s="240"/>
      <c r="O315" s="236"/>
      <c r="P315" s="297"/>
      <c r="Q315" s="298"/>
      <c r="R315" s="298"/>
      <c r="S315" s="297"/>
      <c r="T315" s="299"/>
      <c r="U315" s="235"/>
      <c r="V315" s="235"/>
      <c r="W315" s="300"/>
      <c r="X315" s="236"/>
      <c r="Y315" s="211"/>
      <c r="Z315" s="237"/>
      <c r="AA315" s="238"/>
      <c r="AB315" s="211"/>
      <c r="AC315" s="237"/>
      <c r="AD315" s="238"/>
      <c r="AE315" s="294">
        <v>44587</v>
      </c>
    </row>
    <row r="316" spans="1:31">
      <c r="A316" s="233"/>
      <c r="B316" s="301"/>
      <c r="C316" s="233"/>
      <c r="D316" s="233"/>
      <c r="E316" s="295"/>
      <c r="F316" s="241"/>
      <c r="G316" s="296"/>
      <c r="H316" s="240"/>
      <c r="I316" s="240"/>
      <c r="J316" s="261"/>
      <c r="K316" s="241"/>
      <c r="L316" s="234"/>
      <c r="M316" s="237"/>
      <c r="N316" s="240"/>
      <c r="O316" s="236"/>
      <c r="P316" s="297"/>
      <c r="Q316" s="298"/>
      <c r="R316" s="298"/>
      <c r="S316" s="297"/>
      <c r="T316" s="299"/>
      <c r="U316" s="235"/>
      <c r="V316" s="235"/>
      <c r="W316" s="300"/>
      <c r="X316" s="236"/>
      <c r="Y316" s="211"/>
      <c r="Z316" s="237"/>
      <c r="AA316" s="238"/>
      <c r="AB316" s="211"/>
      <c r="AC316" s="237"/>
      <c r="AD316" s="238"/>
      <c r="AE316" s="294">
        <v>44666</v>
      </c>
    </row>
    <row r="317" spans="1:31">
      <c r="A317" s="233"/>
      <c r="B317" s="301"/>
      <c r="C317" s="233"/>
      <c r="D317" s="233"/>
      <c r="E317" s="295"/>
      <c r="F317" s="241"/>
      <c r="G317" s="296"/>
      <c r="H317" s="240"/>
      <c r="I317" s="240"/>
      <c r="J317" s="261"/>
      <c r="K317" s="241"/>
      <c r="L317" s="234"/>
      <c r="M317" s="237"/>
      <c r="N317" s="240"/>
      <c r="O317" s="236"/>
      <c r="P317" s="297"/>
      <c r="Q317" s="298"/>
      <c r="R317" s="298"/>
      <c r="S317" s="297"/>
      <c r="T317" s="299"/>
      <c r="U317" s="235"/>
      <c r="V317" s="235"/>
      <c r="W317" s="300"/>
      <c r="X317" s="236"/>
      <c r="Y317" s="211"/>
      <c r="Z317" s="237"/>
      <c r="AA317" s="238"/>
      <c r="AB317" s="211"/>
      <c r="AC317" s="237"/>
      <c r="AD317" s="238"/>
      <c r="AE317" s="294">
        <v>44669</v>
      </c>
    </row>
    <row r="318" spans="1:31">
      <c r="A318" s="233"/>
      <c r="B318" s="301"/>
      <c r="C318" s="233"/>
      <c r="D318" s="233"/>
      <c r="E318" s="295"/>
      <c r="F318" s="241"/>
      <c r="G318" s="296"/>
      <c r="H318" s="240"/>
      <c r="I318" s="240"/>
      <c r="J318" s="261"/>
      <c r="K318" s="241"/>
      <c r="L318" s="234"/>
      <c r="M318" s="237"/>
      <c r="N318" s="240"/>
      <c r="O318" s="236"/>
      <c r="P318" s="297"/>
      <c r="Q318" s="298"/>
      <c r="R318" s="298"/>
      <c r="S318" s="297"/>
      <c r="T318" s="299"/>
      <c r="U318" s="235"/>
      <c r="V318" s="235"/>
      <c r="W318" s="300"/>
      <c r="X318" s="236"/>
      <c r="Y318" s="211"/>
      <c r="Z318" s="237"/>
      <c r="AA318" s="238"/>
      <c r="AB318" s="211"/>
      <c r="AC318" s="237"/>
      <c r="AD318" s="238"/>
      <c r="AE318" s="294">
        <v>44676</v>
      </c>
    </row>
    <row r="319" spans="1:31">
      <c r="A319" s="233"/>
      <c r="B319" s="301"/>
      <c r="C319" s="233"/>
      <c r="D319" s="233"/>
      <c r="E319" s="295"/>
      <c r="F319" s="241"/>
      <c r="G319" s="296"/>
      <c r="H319" s="240"/>
      <c r="I319" s="240"/>
      <c r="J319" s="261"/>
      <c r="K319" s="241"/>
      <c r="L319" s="234"/>
      <c r="M319" s="237"/>
      <c r="N319" s="240"/>
      <c r="O319" s="236"/>
      <c r="P319" s="297"/>
      <c r="Q319" s="298"/>
      <c r="R319" s="298"/>
      <c r="S319" s="297"/>
      <c r="T319" s="299"/>
      <c r="U319" s="235"/>
      <c r="V319" s="235"/>
      <c r="W319" s="300"/>
      <c r="X319" s="236"/>
      <c r="Y319" s="211"/>
      <c r="Z319" s="237"/>
      <c r="AA319" s="238"/>
      <c r="AB319" s="211"/>
      <c r="AC319" s="237"/>
      <c r="AD319" s="238"/>
      <c r="AE319" s="294">
        <v>44725</v>
      </c>
    </row>
    <row r="320" spans="1:31">
      <c r="A320" s="233"/>
      <c r="B320" s="301"/>
      <c r="C320" s="233"/>
      <c r="D320" s="233"/>
      <c r="E320" s="295"/>
      <c r="F320" s="241"/>
      <c r="G320" s="296"/>
      <c r="H320" s="240"/>
      <c r="I320" s="240"/>
      <c r="J320" s="261"/>
      <c r="K320" s="241"/>
      <c r="L320" s="234"/>
      <c r="M320" s="237"/>
      <c r="N320" s="240"/>
      <c r="O320" s="236"/>
      <c r="P320" s="297"/>
      <c r="Q320" s="298"/>
      <c r="R320" s="298"/>
      <c r="S320" s="297"/>
      <c r="T320" s="299"/>
      <c r="U320" s="235"/>
      <c r="V320" s="235"/>
      <c r="W320" s="300"/>
      <c r="X320" s="236"/>
      <c r="Y320" s="211"/>
      <c r="Z320" s="237"/>
      <c r="AA320" s="238"/>
      <c r="AB320" s="211"/>
      <c r="AC320" s="237"/>
      <c r="AD320" s="238"/>
      <c r="AE320" s="294">
        <v>44774</v>
      </c>
    </row>
    <row r="321" spans="1:31">
      <c r="A321" s="233"/>
      <c r="B321" s="301"/>
      <c r="C321" s="233"/>
      <c r="D321" s="233"/>
      <c r="E321" s="295"/>
      <c r="F321" s="241"/>
      <c r="G321" s="296"/>
      <c r="H321" s="240"/>
      <c r="I321" s="240"/>
      <c r="J321" s="261"/>
      <c r="K321" s="241"/>
      <c r="L321" s="234"/>
      <c r="M321" s="237"/>
      <c r="N321" s="240"/>
      <c r="O321" s="236"/>
      <c r="P321" s="297"/>
      <c r="Q321" s="298"/>
      <c r="R321" s="298"/>
      <c r="S321" s="297"/>
      <c r="T321" s="299"/>
      <c r="U321" s="235"/>
      <c r="V321" s="235"/>
      <c r="W321" s="300"/>
      <c r="X321" s="236"/>
      <c r="Y321" s="211"/>
      <c r="Z321" s="237"/>
      <c r="AA321" s="238"/>
      <c r="AB321" s="211"/>
      <c r="AC321" s="237"/>
      <c r="AD321" s="238"/>
      <c r="AE321" s="294">
        <v>44826</v>
      </c>
    </row>
    <row r="322" spans="1:31">
      <c r="A322" s="233"/>
      <c r="B322" s="301"/>
      <c r="C322" s="233"/>
      <c r="D322" s="233"/>
      <c r="E322" s="295"/>
      <c r="F322" s="241"/>
      <c r="G322" s="296"/>
      <c r="H322" s="240"/>
      <c r="I322" s="240"/>
      <c r="J322" s="261"/>
      <c r="K322" s="241"/>
      <c r="L322" s="234"/>
      <c r="M322" s="237"/>
      <c r="N322" s="240"/>
      <c r="O322" s="236"/>
      <c r="P322" s="297"/>
      <c r="Q322" s="298"/>
      <c r="R322" s="298"/>
      <c r="S322" s="297"/>
      <c r="T322" s="299"/>
      <c r="U322" s="235"/>
      <c r="V322" s="235"/>
      <c r="W322" s="300"/>
      <c r="X322" s="236"/>
      <c r="Y322" s="211"/>
      <c r="Z322" s="237"/>
      <c r="AA322" s="238"/>
      <c r="AB322" s="211"/>
      <c r="AC322" s="237"/>
      <c r="AD322" s="238"/>
      <c r="AE322" s="294">
        <v>44837</v>
      </c>
    </row>
    <row r="323" spans="1:31">
      <c r="A323" s="233"/>
      <c r="B323" s="301"/>
      <c r="C323" s="233"/>
      <c r="D323" s="233"/>
      <c r="E323" s="295"/>
      <c r="F323" s="241"/>
      <c r="G323" s="296"/>
      <c r="H323" s="240"/>
      <c r="I323" s="240"/>
      <c r="J323" s="261"/>
      <c r="K323" s="241"/>
      <c r="L323" s="234"/>
      <c r="M323" s="237"/>
      <c r="N323" s="240"/>
      <c r="O323" s="236"/>
      <c r="P323" s="297"/>
      <c r="Q323" s="298"/>
      <c r="R323" s="298"/>
      <c r="S323" s="297"/>
      <c r="T323" s="299"/>
      <c r="U323" s="235"/>
      <c r="V323" s="235"/>
      <c r="W323" s="300"/>
      <c r="X323" s="236"/>
      <c r="Y323" s="211"/>
      <c r="Z323" s="237"/>
      <c r="AA323" s="238"/>
      <c r="AB323" s="211"/>
      <c r="AC323" s="237"/>
      <c r="AD323" s="238"/>
      <c r="AE323" s="294">
        <v>44921</v>
      </c>
    </row>
    <row r="324" spans="1:31">
      <c r="A324" s="233"/>
      <c r="B324" s="301"/>
      <c r="C324" s="233"/>
      <c r="D324" s="233"/>
      <c r="E324" s="295"/>
      <c r="F324" s="241"/>
      <c r="G324" s="296"/>
      <c r="H324" s="240"/>
      <c r="I324" s="240"/>
      <c r="J324" s="261"/>
      <c r="K324" s="241"/>
      <c r="L324" s="234"/>
      <c r="M324" s="237"/>
      <c r="N324" s="240"/>
      <c r="O324" s="236"/>
      <c r="P324" s="297"/>
      <c r="Q324" s="298"/>
      <c r="R324" s="298"/>
      <c r="S324" s="297"/>
      <c r="T324" s="299"/>
      <c r="U324" s="235"/>
      <c r="V324" s="235"/>
      <c r="W324" s="300"/>
      <c r="X324" s="236"/>
      <c r="Y324" s="211"/>
      <c r="Z324" s="237"/>
      <c r="AA324" s="238"/>
      <c r="AB324" s="211"/>
      <c r="AC324" s="237"/>
      <c r="AD324" s="238"/>
      <c r="AE324" s="294">
        <v>44922</v>
      </c>
    </row>
    <row r="325" spans="1:31">
      <c r="A325" s="233"/>
      <c r="B325" s="301"/>
      <c r="C325" s="233"/>
      <c r="D325" s="233"/>
      <c r="E325" s="295"/>
      <c r="F325" s="241"/>
      <c r="G325" s="296"/>
      <c r="H325" s="240"/>
      <c r="I325" s="240"/>
      <c r="J325" s="261"/>
      <c r="K325" s="241"/>
      <c r="L325" s="234"/>
      <c r="M325" s="237"/>
      <c r="N325" s="240"/>
      <c r="O325" s="236"/>
      <c r="P325" s="297"/>
      <c r="Q325" s="298"/>
      <c r="R325" s="298"/>
      <c r="S325" s="297"/>
      <c r="T325" s="299"/>
      <c r="U325" s="235"/>
      <c r="V325" s="235"/>
      <c r="W325" s="300"/>
      <c r="X325" s="236"/>
      <c r="Y325" s="211"/>
      <c r="Z325" s="237"/>
      <c r="AA325" s="238"/>
      <c r="AB325" s="211"/>
      <c r="AC325" s="237"/>
      <c r="AD325" s="238"/>
      <c r="AE325" s="294">
        <v>44928</v>
      </c>
    </row>
    <row r="326" spans="1:31">
      <c r="A326" s="233"/>
      <c r="B326" s="301"/>
      <c r="C326" s="233"/>
      <c r="D326" s="233"/>
      <c r="E326" s="295"/>
      <c r="F326" s="241"/>
      <c r="G326" s="296"/>
      <c r="H326" s="240"/>
      <c r="I326" s="240"/>
      <c r="J326" s="261"/>
      <c r="K326" s="241"/>
      <c r="L326" s="234"/>
      <c r="M326" s="237"/>
      <c r="N326" s="240"/>
      <c r="O326" s="236"/>
      <c r="P326" s="297"/>
      <c r="Q326" s="298"/>
      <c r="R326" s="298"/>
      <c r="S326" s="297"/>
      <c r="T326" s="299"/>
      <c r="U326" s="235"/>
      <c r="V326" s="235"/>
      <c r="W326" s="300"/>
      <c r="X326" s="236"/>
      <c r="Y326" s="211"/>
      <c r="Z326" s="237"/>
      <c r="AA326" s="238"/>
      <c r="AB326" s="211"/>
      <c r="AC326" s="237"/>
      <c r="AD326" s="238"/>
      <c r="AE326" s="294">
        <v>44952</v>
      </c>
    </row>
    <row r="327" spans="1:31">
      <c r="A327" s="233"/>
      <c r="B327" s="301"/>
      <c r="C327" s="233"/>
      <c r="D327" s="233"/>
      <c r="E327" s="295"/>
      <c r="F327" s="241"/>
      <c r="G327" s="296"/>
      <c r="H327" s="240"/>
      <c r="I327" s="240"/>
      <c r="J327" s="261"/>
      <c r="K327" s="241"/>
      <c r="L327" s="234"/>
      <c r="M327" s="237"/>
      <c r="N327" s="240"/>
      <c r="O327" s="236"/>
      <c r="P327" s="297"/>
      <c r="Q327" s="298"/>
      <c r="R327" s="298"/>
      <c r="S327" s="297"/>
      <c r="T327" s="299"/>
      <c r="U327" s="235"/>
      <c r="V327" s="235"/>
      <c r="W327" s="300"/>
      <c r="X327" s="236"/>
      <c r="Y327" s="211"/>
      <c r="Z327" s="237"/>
      <c r="AA327" s="238"/>
      <c r="AB327" s="211"/>
      <c r="AC327" s="237"/>
      <c r="AD327" s="238"/>
      <c r="AE327" s="294">
        <v>45023</v>
      </c>
    </row>
    <row r="328" spans="1:31">
      <c r="A328" s="233"/>
      <c r="B328" s="301"/>
      <c r="C328" s="233"/>
      <c r="D328" s="233"/>
      <c r="E328" s="295"/>
      <c r="F328" s="241"/>
      <c r="G328" s="296"/>
      <c r="H328" s="240"/>
      <c r="I328" s="240"/>
      <c r="J328" s="261"/>
      <c r="K328" s="241"/>
      <c r="L328" s="234"/>
      <c r="M328" s="237"/>
      <c r="N328" s="240"/>
      <c r="O328" s="236"/>
      <c r="P328" s="297"/>
      <c r="Q328" s="298"/>
      <c r="R328" s="298"/>
      <c r="S328" s="297"/>
      <c r="T328" s="299"/>
      <c r="U328" s="235"/>
      <c r="V328" s="235"/>
      <c r="W328" s="300"/>
      <c r="X328" s="236"/>
      <c r="Y328" s="211"/>
      <c r="Z328" s="237"/>
      <c r="AA328" s="238"/>
      <c r="AB328" s="211"/>
      <c r="AC328" s="237"/>
      <c r="AD328" s="238"/>
      <c r="AE328" s="294">
        <v>45026</v>
      </c>
    </row>
    <row r="329" spans="1:31">
      <c r="A329" s="233"/>
      <c r="B329" s="301"/>
      <c r="C329" s="233"/>
      <c r="D329" s="233"/>
      <c r="E329" s="295"/>
      <c r="F329" s="241"/>
      <c r="G329" s="296"/>
      <c r="H329" s="240"/>
      <c r="I329" s="240"/>
      <c r="J329" s="261"/>
      <c r="K329" s="241"/>
      <c r="L329" s="234"/>
      <c r="M329" s="237"/>
      <c r="N329" s="240"/>
      <c r="O329" s="236"/>
      <c r="P329" s="297"/>
      <c r="Q329" s="298"/>
      <c r="R329" s="298"/>
      <c r="S329" s="297"/>
      <c r="T329" s="299"/>
      <c r="U329" s="235"/>
      <c r="V329" s="235"/>
      <c r="W329" s="300"/>
      <c r="X329" s="236"/>
      <c r="Y329" s="211"/>
      <c r="Z329" s="237"/>
      <c r="AA329" s="238"/>
      <c r="AB329" s="211"/>
      <c r="AC329" s="237"/>
      <c r="AD329" s="238"/>
      <c r="AE329" s="294">
        <v>45041</v>
      </c>
    </row>
    <row r="330" spans="1:31">
      <c r="A330" s="233"/>
      <c r="B330" s="301"/>
      <c r="C330" s="233"/>
      <c r="D330" s="233"/>
      <c r="E330" s="295"/>
      <c r="F330" s="241"/>
      <c r="G330" s="296"/>
      <c r="H330" s="240"/>
      <c r="I330" s="240"/>
      <c r="J330" s="261"/>
      <c r="K330" s="241"/>
      <c r="L330" s="234"/>
      <c r="M330" s="237"/>
      <c r="N330" s="240"/>
      <c r="O330" s="236"/>
      <c r="P330" s="297"/>
      <c r="Q330" s="298"/>
      <c r="R330" s="298"/>
      <c r="S330" s="297"/>
      <c r="T330" s="299"/>
      <c r="U330" s="235"/>
      <c r="V330" s="235"/>
      <c r="W330" s="300"/>
      <c r="X330" s="236"/>
      <c r="Y330" s="211"/>
      <c r="Z330" s="237"/>
      <c r="AA330" s="238"/>
      <c r="AB330" s="211"/>
      <c r="AC330" s="237"/>
      <c r="AD330" s="238"/>
      <c r="AE330" s="294">
        <v>45089</v>
      </c>
    </row>
    <row r="331" spans="1:31">
      <c r="A331" s="233"/>
      <c r="B331" s="301"/>
      <c r="C331" s="233"/>
      <c r="D331" s="233"/>
      <c r="E331" s="295"/>
      <c r="F331" s="241"/>
      <c r="G331" s="296"/>
      <c r="H331" s="240"/>
      <c r="I331" s="240"/>
      <c r="J331" s="261"/>
      <c r="K331" s="241"/>
      <c r="L331" s="234"/>
      <c r="M331" s="237"/>
      <c r="N331" s="240"/>
      <c r="O331" s="236"/>
      <c r="P331" s="297"/>
      <c r="Q331" s="298"/>
      <c r="R331" s="298"/>
      <c r="S331" s="297"/>
      <c r="T331" s="299"/>
      <c r="U331" s="235"/>
      <c r="V331" s="235"/>
      <c r="W331" s="300"/>
      <c r="X331" s="236"/>
      <c r="Y331" s="211"/>
      <c r="Z331" s="237"/>
      <c r="AA331" s="238"/>
      <c r="AB331" s="211"/>
      <c r="AC331" s="237"/>
      <c r="AD331" s="238"/>
      <c r="AE331" s="294">
        <v>45145</v>
      </c>
    </row>
    <row r="332" spans="1:31">
      <c r="A332" s="233"/>
      <c r="B332" s="301"/>
      <c r="C332" s="233"/>
      <c r="D332" s="233"/>
      <c r="E332" s="295"/>
      <c r="F332" s="241"/>
      <c r="G332" s="296"/>
      <c r="H332" s="240"/>
      <c r="I332" s="240"/>
      <c r="J332" s="261"/>
      <c r="K332" s="241"/>
      <c r="L332" s="234"/>
      <c r="M332" s="237"/>
      <c r="N332" s="240"/>
      <c r="O332" s="236"/>
      <c r="P332" s="297"/>
      <c r="Q332" s="298"/>
      <c r="R332" s="298"/>
      <c r="S332" s="297"/>
      <c r="T332" s="299"/>
      <c r="U332" s="235"/>
      <c r="V332" s="235"/>
      <c r="W332" s="300"/>
      <c r="X332" s="236"/>
      <c r="Y332" s="211"/>
      <c r="Z332" s="237"/>
      <c r="AA332" s="238"/>
      <c r="AB332" s="211"/>
      <c r="AC332" s="237"/>
      <c r="AD332" s="238"/>
      <c r="AE332" s="294">
        <v>45201</v>
      </c>
    </row>
    <row r="333" spans="1:31">
      <c r="A333" s="233"/>
      <c r="B333" s="301"/>
      <c r="C333" s="233"/>
      <c r="D333" s="233"/>
      <c r="E333" s="295"/>
      <c r="F333" s="241"/>
      <c r="G333" s="296"/>
      <c r="H333" s="240"/>
      <c r="I333" s="240"/>
      <c r="J333" s="261"/>
      <c r="K333" s="241"/>
      <c r="L333" s="234"/>
      <c r="M333" s="237"/>
      <c r="N333" s="240"/>
      <c r="O333" s="236"/>
      <c r="P333" s="297"/>
      <c r="Q333" s="298"/>
      <c r="R333" s="298"/>
      <c r="S333" s="297"/>
      <c r="T333" s="299"/>
      <c r="U333" s="235"/>
      <c r="V333" s="235"/>
      <c r="W333" s="300"/>
      <c r="X333" s="236"/>
      <c r="Y333" s="211"/>
      <c r="Z333" s="237"/>
      <c r="AA333" s="238"/>
      <c r="AB333" s="211"/>
      <c r="AC333" s="237"/>
      <c r="AD333" s="238"/>
      <c r="AE333" s="294">
        <v>45285</v>
      </c>
    </row>
    <row r="334" spans="1:31">
      <c r="A334" s="233"/>
      <c r="B334" s="301"/>
      <c r="C334" s="233"/>
      <c r="D334" s="233"/>
      <c r="E334" s="295"/>
      <c r="F334" s="241"/>
      <c r="G334" s="296"/>
      <c r="H334" s="240"/>
      <c r="I334" s="240"/>
      <c r="J334" s="261"/>
      <c r="K334" s="241"/>
      <c r="L334" s="234"/>
      <c r="M334" s="237"/>
      <c r="N334" s="240"/>
      <c r="O334" s="236"/>
      <c r="P334" s="297"/>
      <c r="Q334" s="298"/>
      <c r="R334" s="298"/>
      <c r="S334" s="297"/>
      <c r="T334" s="299"/>
      <c r="U334" s="235"/>
      <c r="V334" s="235"/>
      <c r="W334" s="300"/>
      <c r="X334" s="236"/>
      <c r="Y334" s="211"/>
      <c r="Z334" s="237"/>
      <c r="AA334" s="238"/>
      <c r="AB334" s="211"/>
      <c r="AC334" s="237"/>
      <c r="AD334" s="238"/>
      <c r="AE334" s="294">
        <v>45286</v>
      </c>
    </row>
    <row r="335" spans="1:31">
      <c r="A335" s="233"/>
      <c r="B335" s="301"/>
      <c r="C335" s="233"/>
      <c r="D335" s="233"/>
      <c r="E335" s="295"/>
      <c r="F335" s="241"/>
      <c r="G335" s="296"/>
      <c r="H335" s="240"/>
      <c r="I335" s="240"/>
      <c r="J335" s="261"/>
      <c r="K335" s="241"/>
      <c r="L335" s="234"/>
      <c r="M335" s="237"/>
      <c r="N335" s="240"/>
      <c r="O335" s="236"/>
      <c r="P335" s="297"/>
      <c r="Q335" s="298"/>
      <c r="R335" s="298"/>
      <c r="S335" s="297"/>
      <c r="T335" s="299"/>
      <c r="U335" s="235"/>
      <c r="V335" s="235"/>
      <c r="W335" s="300"/>
      <c r="X335" s="236"/>
      <c r="Y335" s="211"/>
      <c r="Z335" s="237"/>
      <c r="AA335" s="238"/>
      <c r="AB335" s="211"/>
      <c r="AC335" s="237"/>
      <c r="AD335" s="238"/>
      <c r="AE335" s="294">
        <v>45292</v>
      </c>
    </row>
    <row r="336" spans="1:31">
      <c r="A336" s="233"/>
      <c r="B336" s="301"/>
      <c r="C336" s="233"/>
      <c r="D336" s="233"/>
      <c r="E336" s="295"/>
      <c r="F336" s="241"/>
      <c r="G336" s="296"/>
      <c r="H336" s="240"/>
      <c r="I336" s="240"/>
      <c r="J336" s="261"/>
      <c r="K336" s="241"/>
      <c r="L336" s="234"/>
      <c r="M336" s="237"/>
      <c r="N336" s="240"/>
      <c r="O336" s="236"/>
      <c r="P336" s="297"/>
      <c r="Q336" s="298"/>
      <c r="R336" s="298"/>
      <c r="S336" s="297"/>
      <c r="T336" s="299"/>
      <c r="U336" s="235"/>
      <c r="V336" s="235"/>
      <c r="W336" s="300"/>
      <c r="X336" s="236"/>
      <c r="Y336" s="211"/>
      <c r="Z336" s="237"/>
      <c r="AA336" s="238"/>
      <c r="AB336" s="211"/>
      <c r="AC336" s="237"/>
      <c r="AD336" s="238"/>
      <c r="AE336" s="294">
        <v>45317</v>
      </c>
    </row>
    <row r="337" spans="1:31">
      <c r="A337" s="233"/>
      <c r="B337" s="301"/>
      <c r="C337" s="233"/>
      <c r="D337" s="233"/>
      <c r="E337" s="295"/>
      <c r="F337" s="241"/>
      <c r="G337" s="296"/>
      <c r="H337" s="240"/>
      <c r="I337" s="240"/>
      <c r="J337" s="261"/>
      <c r="K337" s="241"/>
      <c r="L337" s="234"/>
      <c r="M337" s="237"/>
      <c r="N337" s="240"/>
      <c r="O337" s="236"/>
      <c r="P337" s="297"/>
      <c r="Q337" s="298"/>
      <c r="R337" s="298"/>
      <c r="S337" s="297"/>
      <c r="T337" s="299"/>
      <c r="U337" s="235"/>
      <c r="V337" s="235"/>
      <c r="W337" s="300"/>
      <c r="X337" s="236"/>
      <c r="Y337" s="211"/>
      <c r="Z337" s="237"/>
      <c r="AA337" s="238"/>
      <c r="AB337" s="211"/>
      <c r="AC337" s="237"/>
      <c r="AD337" s="238"/>
      <c r="AE337" s="294">
        <v>45380</v>
      </c>
    </row>
    <row r="338" spans="1:31">
      <c r="A338" s="233"/>
      <c r="B338" s="301"/>
      <c r="C338" s="233"/>
      <c r="D338" s="233"/>
      <c r="E338" s="295"/>
      <c r="F338" s="241"/>
      <c r="G338" s="296"/>
      <c r="H338" s="240"/>
      <c r="I338" s="240"/>
      <c r="J338" s="261"/>
      <c r="K338" s="241"/>
      <c r="L338" s="234"/>
      <c r="M338" s="237"/>
      <c r="N338" s="240"/>
      <c r="O338" s="236"/>
      <c r="P338" s="297"/>
      <c r="Q338" s="298"/>
      <c r="R338" s="298"/>
      <c r="S338" s="297"/>
      <c r="T338" s="299"/>
      <c r="U338" s="235"/>
      <c r="V338" s="235"/>
      <c r="W338" s="300"/>
      <c r="X338" s="236"/>
      <c r="Y338" s="211"/>
      <c r="Z338" s="237"/>
      <c r="AA338" s="238"/>
      <c r="AB338" s="211"/>
      <c r="AC338" s="237"/>
      <c r="AD338" s="238"/>
      <c r="AE338" s="294">
        <v>45383</v>
      </c>
    </row>
    <row r="339" spans="1:31">
      <c r="A339" s="233"/>
      <c r="B339" s="301"/>
      <c r="C339" s="233"/>
      <c r="D339" s="233"/>
      <c r="E339" s="295"/>
      <c r="F339" s="241"/>
      <c r="G339" s="296"/>
      <c r="H339" s="240"/>
      <c r="I339" s="240"/>
      <c r="J339" s="261"/>
      <c r="K339" s="241"/>
      <c r="L339" s="234"/>
      <c r="M339" s="237"/>
      <c r="N339" s="240"/>
      <c r="O339" s="236"/>
      <c r="P339" s="297"/>
      <c r="Q339" s="298"/>
      <c r="R339" s="298"/>
      <c r="S339" s="297"/>
      <c r="T339" s="299"/>
      <c r="U339" s="235"/>
      <c r="V339" s="235"/>
      <c r="W339" s="300"/>
      <c r="X339" s="236"/>
      <c r="Y339" s="211"/>
      <c r="Z339" s="237"/>
      <c r="AA339" s="238"/>
      <c r="AB339" s="211"/>
      <c r="AC339" s="237"/>
      <c r="AD339" s="238"/>
      <c r="AE339" s="294">
        <v>45407</v>
      </c>
    </row>
    <row r="340" spans="1:31">
      <c r="A340" s="233"/>
      <c r="B340" s="301"/>
      <c r="C340" s="233"/>
      <c r="D340" s="233"/>
      <c r="E340" s="295"/>
      <c r="F340" s="241"/>
      <c r="G340" s="296"/>
      <c r="H340" s="240"/>
      <c r="I340" s="240"/>
      <c r="J340" s="261"/>
      <c r="K340" s="241"/>
      <c r="L340" s="234"/>
      <c r="M340" s="237"/>
      <c r="N340" s="240"/>
      <c r="O340" s="236"/>
      <c r="P340" s="297"/>
      <c r="Q340" s="298"/>
      <c r="R340" s="298"/>
      <c r="S340" s="297"/>
      <c r="T340" s="299"/>
      <c r="U340" s="235"/>
      <c r="V340" s="235"/>
      <c r="W340" s="300"/>
      <c r="X340" s="236"/>
      <c r="Y340" s="211"/>
      <c r="Z340" s="237"/>
      <c r="AA340" s="238"/>
      <c r="AB340" s="211"/>
      <c r="AC340" s="237"/>
      <c r="AD340" s="238"/>
      <c r="AE340" s="294">
        <v>45453</v>
      </c>
    </row>
    <row r="341" spans="1:31">
      <c r="A341" s="233"/>
      <c r="B341" s="301"/>
      <c r="C341" s="233"/>
      <c r="D341" s="233"/>
      <c r="E341" s="295"/>
      <c r="F341" s="241"/>
      <c r="G341" s="296"/>
      <c r="H341" s="240"/>
      <c r="I341" s="240"/>
      <c r="J341" s="261"/>
      <c r="K341" s="241"/>
      <c r="L341" s="234"/>
      <c r="M341" s="237"/>
      <c r="N341" s="240"/>
      <c r="O341" s="236"/>
      <c r="P341" s="297"/>
      <c r="Q341" s="298"/>
      <c r="R341" s="298"/>
      <c r="S341" s="297"/>
      <c r="T341" s="299"/>
      <c r="U341" s="235"/>
      <c r="V341" s="235"/>
      <c r="W341" s="300"/>
      <c r="X341" s="236"/>
      <c r="Y341" s="211"/>
      <c r="Z341" s="237"/>
      <c r="AA341" s="238"/>
      <c r="AB341" s="211"/>
      <c r="AC341" s="237"/>
      <c r="AD341" s="238"/>
      <c r="AE341" s="294">
        <v>45509</v>
      </c>
    </row>
    <row r="342" spans="1:31">
      <c r="A342" s="233"/>
      <c r="B342" s="301"/>
      <c r="C342" s="233"/>
      <c r="D342" s="233"/>
      <c r="E342" s="295"/>
      <c r="F342" s="241"/>
      <c r="G342" s="296"/>
      <c r="H342" s="240"/>
      <c r="I342" s="240"/>
      <c r="J342" s="261"/>
      <c r="K342" s="241"/>
      <c r="L342" s="234"/>
      <c r="M342" s="237"/>
      <c r="N342" s="240"/>
      <c r="O342" s="236"/>
      <c r="P342" s="297"/>
      <c r="Q342" s="298"/>
      <c r="R342" s="298"/>
      <c r="S342" s="297"/>
      <c r="T342" s="299"/>
      <c r="U342" s="235"/>
      <c r="V342" s="235"/>
      <c r="W342" s="300"/>
      <c r="X342" s="236"/>
      <c r="Y342" s="211"/>
      <c r="Z342" s="237"/>
      <c r="AA342" s="238"/>
      <c r="AB342" s="211"/>
      <c r="AC342" s="237"/>
      <c r="AD342" s="238"/>
      <c r="AE342" s="294">
        <v>45572</v>
      </c>
    </row>
    <row r="343" spans="1:31">
      <c r="A343" s="233"/>
      <c r="B343" s="301"/>
      <c r="C343" s="233"/>
      <c r="D343" s="233"/>
      <c r="E343" s="295"/>
      <c r="F343" s="241"/>
      <c r="G343" s="296"/>
      <c r="H343" s="240"/>
      <c r="I343" s="240"/>
      <c r="J343" s="261"/>
      <c r="K343" s="241"/>
      <c r="L343" s="234"/>
      <c r="M343" s="237"/>
      <c r="N343" s="240"/>
      <c r="O343" s="236"/>
      <c r="P343" s="297"/>
      <c r="Q343" s="298"/>
      <c r="R343" s="298"/>
      <c r="S343" s="297"/>
      <c r="T343" s="299"/>
      <c r="U343" s="235"/>
      <c r="V343" s="235"/>
      <c r="W343" s="300"/>
      <c r="X343" s="236"/>
      <c r="Y343" s="211"/>
      <c r="Z343" s="237"/>
      <c r="AA343" s="238"/>
      <c r="AB343" s="211"/>
      <c r="AC343" s="237"/>
      <c r="AD343" s="238"/>
      <c r="AE343" s="294">
        <v>45651</v>
      </c>
    </row>
    <row r="344" spans="1:31">
      <c r="A344" s="233"/>
      <c r="B344" s="301"/>
      <c r="C344" s="233"/>
      <c r="D344" s="233"/>
      <c r="E344" s="295"/>
      <c r="F344" s="241"/>
      <c r="G344" s="296"/>
      <c r="H344" s="240"/>
      <c r="I344" s="240"/>
      <c r="J344" s="261"/>
      <c r="K344" s="241"/>
      <c r="L344" s="234"/>
      <c r="M344" s="237"/>
      <c r="N344" s="240"/>
      <c r="O344" s="236"/>
      <c r="P344" s="297"/>
      <c r="Q344" s="298"/>
      <c r="R344" s="298"/>
      <c r="S344" s="297"/>
      <c r="T344" s="299"/>
      <c r="U344" s="235"/>
      <c r="V344" s="235"/>
      <c r="W344" s="300"/>
      <c r="X344" s="236"/>
      <c r="Y344" s="211"/>
      <c r="Z344" s="237"/>
      <c r="AA344" s="238"/>
      <c r="AB344" s="211"/>
      <c r="AC344" s="237"/>
      <c r="AD344" s="238"/>
      <c r="AE344" s="294">
        <v>45652</v>
      </c>
    </row>
    <row r="345" spans="1:31">
      <c r="A345" s="233"/>
      <c r="B345" s="301"/>
      <c r="C345" s="233"/>
      <c r="D345" s="233"/>
      <c r="E345" s="295"/>
      <c r="F345" s="241"/>
      <c r="G345" s="296"/>
      <c r="H345" s="240"/>
      <c r="I345" s="240"/>
      <c r="J345" s="261"/>
      <c r="K345" s="241"/>
      <c r="L345" s="234"/>
      <c r="M345" s="237"/>
      <c r="N345" s="240"/>
      <c r="O345" s="236"/>
      <c r="P345" s="297"/>
      <c r="Q345" s="298"/>
      <c r="R345" s="298"/>
      <c r="S345" s="297"/>
      <c r="T345" s="299"/>
      <c r="U345" s="235"/>
      <c r="V345" s="235"/>
      <c r="W345" s="300"/>
      <c r="X345" s="236"/>
      <c r="Y345" s="211"/>
      <c r="Z345" s="237"/>
      <c r="AA345" s="238"/>
      <c r="AB345" s="211"/>
      <c r="AC345" s="237"/>
      <c r="AD345" s="238"/>
      <c r="AE345" s="294">
        <v>45658</v>
      </c>
    </row>
    <row r="346" spans="1:31">
      <c r="A346" s="233"/>
      <c r="B346" s="301"/>
      <c r="C346" s="233"/>
      <c r="D346" s="233"/>
      <c r="E346" s="295"/>
      <c r="F346" s="241"/>
      <c r="G346" s="296"/>
      <c r="H346" s="240"/>
      <c r="I346" s="240"/>
      <c r="J346" s="261"/>
      <c r="K346" s="241"/>
      <c r="L346" s="234"/>
      <c r="M346" s="237"/>
      <c r="N346" s="240"/>
      <c r="O346" s="236"/>
      <c r="P346" s="297"/>
      <c r="Q346" s="298"/>
      <c r="R346" s="298"/>
      <c r="S346" s="297"/>
      <c r="T346" s="299"/>
      <c r="U346" s="235"/>
      <c r="V346" s="235"/>
      <c r="W346" s="300"/>
      <c r="X346" s="236"/>
      <c r="Y346" s="211"/>
      <c r="Z346" s="237"/>
      <c r="AA346" s="238"/>
      <c r="AB346" s="211"/>
      <c r="AC346" s="237"/>
      <c r="AD346" s="238"/>
      <c r="AE346" s="294">
        <v>45684</v>
      </c>
    </row>
    <row r="347" spans="1:31">
      <c r="A347" s="233"/>
      <c r="B347" s="301"/>
      <c r="C347" s="233"/>
      <c r="D347" s="233"/>
      <c r="E347" s="295"/>
      <c r="F347" s="241"/>
      <c r="G347" s="296"/>
      <c r="H347" s="240"/>
      <c r="I347" s="240"/>
      <c r="J347" s="261"/>
      <c r="K347" s="241"/>
      <c r="L347" s="234"/>
      <c r="M347" s="237"/>
      <c r="N347" s="240"/>
      <c r="O347" s="236"/>
      <c r="P347" s="297"/>
      <c r="Q347" s="298"/>
      <c r="R347" s="298"/>
      <c r="S347" s="297"/>
      <c r="T347" s="299"/>
      <c r="U347" s="235"/>
      <c r="V347" s="235"/>
      <c r="W347" s="300"/>
      <c r="X347" s="236"/>
      <c r="Y347" s="211"/>
      <c r="Z347" s="237"/>
      <c r="AA347" s="238"/>
      <c r="AB347" s="211"/>
      <c r="AC347" s="237"/>
      <c r="AD347" s="238"/>
      <c r="AE347" s="294">
        <v>45765</v>
      </c>
    </row>
    <row r="348" spans="1:31">
      <c r="A348" s="233"/>
      <c r="B348" s="301"/>
      <c r="C348" s="233"/>
      <c r="D348" s="233"/>
      <c r="E348" s="295"/>
      <c r="F348" s="241"/>
      <c r="G348" s="296"/>
      <c r="H348" s="240"/>
      <c r="I348" s="240"/>
      <c r="J348" s="261"/>
      <c r="K348" s="241"/>
      <c r="L348" s="234"/>
      <c r="M348" s="237"/>
      <c r="N348" s="240"/>
      <c r="O348" s="236"/>
      <c r="P348" s="297"/>
      <c r="Q348" s="298"/>
      <c r="R348" s="298"/>
      <c r="S348" s="297"/>
      <c r="T348" s="299"/>
      <c r="U348" s="235"/>
      <c r="V348" s="235"/>
      <c r="W348" s="300"/>
      <c r="X348" s="236"/>
      <c r="Y348" s="211"/>
      <c r="Z348" s="237"/>
      <c r="AA348" s="238"/>
      <c r="AB348" s="211"/>
      <c r="AC348" s="237"/>
      <c r="AD348" s="238"/>
      <c r="AE348" s="294">
        <v>45768</v>
      </c>
    </row>
    <row r="349" spans="1:31">
      <c r="A349" s="233"/>
      <c r="B349" s="301"/>
      <c r="C349" s="233"/>
      <c r="D349" s="233"/>
      <c r="E349" s="295"/>
      <c r="F349" s="241"/>
      <c r="G349" s="296"/>
      <c r="H349" s="240"/>
      <c r="I349" s="240"/>
      <c r="J349" s="261"/>
      <c r="K349" s="241"/>
      <c r="L349" s="234"/>
      <c r="M349" s="237"/>
      <c r="N349" s="240"/>
      <c r="O349" s="236"/>
      <c r="P349" s="297"/>
      <c r="Q349" s="298"/>
      <c r="R349" s="298"/>
      <c r="S349" s="297"/>
      <c r="T349" s="299"/>
      <c r="U349" s="235"/>
      <c r="V349" s="235"/>
      <c r="W349" s="300"/>
      <c r="X349" s="236"/>
      <c r="Y349" s="211"/>
      <c r="Z349" s="237"/>
      <c r="AA349" s="238"/>
      <c r="AB349" s="211"/>
      <c r="AC349" s="237"/>
      <c r="AD349" s="238"/>
      <c r="AE349" s="294">
        <v>45772</v>
      </c>
    </row>
    <row r="350" spans="1:31">
      <c r="A350" s="233"/>
      <c r="B350" s="301"/>
      <c r="C350" s="233"/>
      <c r="D350" s="233"/>
      <c r="E350" s="295"/>
      <c r="F350" s="241"/>
      <c r="G350" s="296"/>
      <c r="H350" s="240"/>
      <c r="I350" s="240"/>
      <c r="J350" s="261"/>
      <c r="K350" s="241"/>
      <c r="L350" s="234"/>
      <c r="M350" s="237"/>
      <c r="N350" s="240"/>
      <c r="O350" s="236"/>
      <c r="P350" s="297"/>
      <c r="Q350" s="298"/>
      <c r="R350" s="298"/>
      <c r="S350" s="297"/>
      <c r="T350" s="299"/>
      <c r="U350" s="235"/>
      <c r="V350" s="235"/>
      <c r="W350" s="300"/>
      <c r="X350" s="236"/>
      <c r="Y350" s="211"/>
      <c r="Z350" s="237"/>
      <c r="AA350" s="238"/>
      <c r="AB350" s="211"/>
      <c r="AC350" s="237"/>
      <c r="AD350" s="238"/>
      <c r="AE350" s="294">
        <v>45817</v>
      </c>
    </row>
    <row r="351" spans="1:31">
      <c r="A351" s="233"/>
      <c r="B351" s="301"/>
      <c r="C351" s="233"/>
      <c r="D351" s="233"/>
      <c r="E351" s="295"/>
      <c r="F351" s="241"/>
      <c r="G351" s="296"/>
      <c r="H351" s="240"/>
      <c r="I351" s="240"/>
      <c r="J351" s="261"/>
      <c r="K351" s="241"/>
      <c r="L351" s="234"/>
      <c r="M351" s="237"/>
      <c r="N351" s="240"/>
      <c r="O351" s="236"/>
      <c r="P351" s="297"/>
      <c r="Q351" s="298"/>
      <c r="R351" s="298"/>
      <c r="S351" s="297"/>
      <c r="T351" s="299"/>
      <c r="U351" s="235"/>
      <c r="V351" s="235"/>
      <c r="W351" s="300"/>
      <c r="X351" s="236"/>
      <c r="Y351" s="211"/>
      <c r="Z351" s="237"/>
      <c r="AA351" s="238"/>
      <c r="AB351" s="211"/>
      <c r="AC351" s="237"/>
      <c r="AD351" s="238"/>
      <c r="AE351" s="294">
        <v>45873</v>
      </c>
    </row>
    <row r="352" spans="1:31">
      <c r="A352" s="233"/>
      <c r="B352" s="301"/>
      <c r="C352" s="233"/>
      <c r="D352" s="233"/>
      <c r="E352" s="295"/>
      <c r="F352" s="241"/>
      <c r="G352" s="296"/>
      <c r="H352" s="240"/>
      <c r="I352" s="240"/>
      <c r="J352" s="261"/>
      <c r="K352" s="241"/>
      <c r="L352" s="234"/>
      <c r="M352" s="237"/>
      <c r="N352" s="240"/>
      <c r="O352" s="236"/>
      <c r="P352" s="297"/>
      <c r="Q352" s="298"/>
      <c r="R352" s="298"/>
      <c r="S352" s="297"/>
      <c r="T352" s="299"/>
      <c r="U352" s="235"/>
      <c r="V352" s="235"/>
      <c r="W352" s="300"/>
      <c r="X352" s="236"/>
      <c r="Y352" s="211"/>
      <c r="Z352" s="237"/>
      <c r="AA352" s="238"/>
      <c r="AB352" s="211"/>
      <c r="AC352" s="237"/>
      <c r="AD352" s="238"/>
      <c r="AE352" s="294">
        <v>45936</v>
      </c>
    </row>
    <row r="353" spans="1:31">
      <c r="A353" s="233"/>
      <c r="B353" s="301"/>
      <c r="C353" s="233"/>
      <c r="D353" s="233"/>
      <c r="E353" s="295"/>
      <c r="F353" s="241"/>
      <c r="G353" s="296"/>
      <c r="H353" s="240"/>
      <c r="I353" s="240"/>
      <c r="J353" s="261"/>
      <c r="K353" s="241"/>
      <c r="L353" s="234"/>
      <c r="M353" s="237"/>
      <c r="N353" s="240"/>
      <c r="O353" s="236"/>
      <c r="P353" s="297"/>
      <c r="Q353" s="298"/>
      <c r="R353" s="298"/>
      <c r="S353" s="297"/>
      <c r="T353" s="299"/>
      <c r="U353" s="235"/>
      <c r="V353" s="235"/>
      <c r="W353" s="300"/>
      <c r="X353" s="236"/>
      <c r="Y353" s="211"/>
      <c r="Z353" s="237"/>
      <c r="AA353" s="238"/>
      <c r="AB353" s="211"/>
      <c r="AC353" s="237"/>
      <c r="AD353" s="238"/>
      <c r="AE353" s="294">
        <v>46016</v>
      </c>
    </row>
    <row r="354" spans="1:31">
      <c r="A354" s="233"/>
      <c r="B354" s="301"/>
      <c r="C354" s="233"/>
      <c r="D354" s="233"/>
      <c r="E354" s="295"/>
      <c r="F354" s="241"/>
      <c r="G354" s="296"/>
      <c r="H354" s="240"/>
      <c r="I354" s="240"/>
      <c r="J354" s="261"/>
      <c r="K354" s="241"/>
      <c r="L354" s="234"/>
      <c r="M354" s="237"/>
      <c r="N354" s="240"/>
      <c r="O354" s="236"/>
      <c r="P354" s="297"/>
      <c r="Q354" s="298"/>
      <c r="R354" s="298"/>
      <c r="S354" s="297"/>
      <c r="T354" s="299"/>
      <c r="U354" s="235"/>
      <c r="V354" s="235"/>
      <c r="W354" s="300"/>
      <c r="X354" s="236"/>
      <c r="Y354" s="211"/>
      <c r="Z354" s="237"/>
      <c r="AA354" s="238"/>
      <c r="AB354" s="211"/>
      <c r="AC354" s="237"/>
      <c r="AD354" s="238"/>
      <c r="AE354" s="294">
        <v>46017</v>
      </c>
    </row>
    <row r="355" spans="1:31">
      <c r="A355" s="233"/>
      <c r="B355" s="301"/>
      <c r="C355" s="233"/>
      <c r="D355" s="233"/>
      <c r="E355" s="295"/>
      <c r="F355" s="241"/>
      <c r="G355" s="296"/>
      <c r="H355" s="240"/>
      <c r="I355" s="240"/>
      <c r="J355" s="261"/>
      <c r="K355" s="241"/>
      <c r="L355" s="234"/>
      <c r="M355" s="237"/>
      <c r="N355" s="240"/>
      <c r="O355" s="236"/>
      <c r="P355" s="297"/>
      <c r="Q355" s="298"/>
      <c r="R355" s="298"/>
      <c r="S355" s="297"/>
      <c r="T355" s="299"/>
      <c r="U355" s="235"/>
      <c r="V355" s="235"/>
      <c r="W355" s="300"/>
      <c r="X355" s="236"/>
      <c r="Y355" s="211"/>
      <c r="Z355" s="237"/>
      <c r="AA355" s="238"/>
      <c r="AB355" s="211"/>
      <c r="AC355" s="237"/>
      <c r="AD355" s="238"/>
      <c r="AE355" s="294">
        <v>46023</v>
      </c>
    </row>
    <row r="356" spans="1:31">
      <c r="A356" s="233"/>
      <c r="B356" s="301"/>
      <c r="C356" s="233"/>
      <c r="D356" s="233"/>
      <c r="E356" s="295"/>
      <c r="F356" s="241"/>
      <c r="G356" s="296"/>
      <c r="H356" s="240"/>
      <c r="I356" s="240"/>
      <c r="J356" s="261"/>
      <c r="K356" s="241"/>
      <c r="L356" s="234"/>
      <c r="M356" s="237"/>
      <c r="N356" s="240"/>
      <c r="O356" s="236"/>
      <c r="P356" s="297"/>
      <c r="Q356" s="298"/>
      <c r="R356" s="298"/>
      <c r="S356" s="297"/>
      <c r="T356" s="299"/>
      <c r="U356" s="235"/>
      <c r="V356" s="235"/>
      <c r="W356" s="300"/>
      <c r="X356" s="236"/>
      <c r="Y356" s="211"/>
      <c r="Z356" s="237"/>
      <c r="AA356" s="238"/>
      <c r="AB356" s="211"/>
      <c r="AC356" s="237"/>
      <c r="AD356" s="238"/>
      <c r="AE356" s="294">
        <v>46048</v>
      </c>
    </row>
    <row r="357" spans="1:31">
      <c r="A357" s="233"/>
      <c r="B357" s="301"/>
      <c r="C357" s="233"/>
      <c r="D357" s="233"/>
      <c r="E357" s="295"/>
      <c r="F357" s="241"/>
      <c r="G357" s="296"/>
      <c r="H357" s="240"/>
      <c r="I357" s="240"/>
      <c r="J357" s="261"/>
      <c r="K357" s="241"/>
      <c r="L357" s="234"/>
      <c r="M357" s="237"/>
      <c r="N357" s="240"/>
      <c r="O357" s="236"/>
      <c r="P357" s="297"/>
      <c r="Q357" s="298"/>
      <c r="R357" s="298"/>
      <c r="S357" s="297"/>
      <c r="T357" s="299"/>
      <c r="U357" s="235"/>
      <c r="V357" s="235"/>
      <c r="W357" s="300"/>
      <c r="X357" s="236"/>
      <c r="Y357" s="211"/>
      <c r="Z357" s="237"/>
      <c r="AA357" s="238"/>
      <c r="AB357" s="211"/>
      <c r="AC357" s="237"/>
      <c r="AD357" s="238"/>
      <c r="AE357" s="294">
        <v>46115</v>
      </c>
    </row>
    <row r="358" spans="1:31">
      <c r="A358" s="233"/>
      <c r="B358" s="301"/>
      <c r="C358" s="233"/>
      <c r="D358" s="233"/>
      <c r="E358" s="295"/>
      <c r="F358" s="241"/>
      <c r="G358" s="296"/>
      <c r="H358" s="240"/>
      <c r="I358" s="240"/>
      <c r="J358" s="261"/>
      <c r="K358" s="241"/>
      <c r="L358" s="234"/>
      <c r="M358" s="237"/>
      <c r="N358" s="240"/>
      <c r="O358" s="236"/>
      <c r="P358" s="297"/>
      <c r="Q358" s="298"/>
      <c r="R358" s="298"/>
      <c r="S358" s="297"/>
      <c r="T358" s="299"/>
      <c r="U358" s="235"/>
      <c r="V358" s="235"/>
      <c r="W358" s="300"/>
      <c r="X358" s="236"/>
      <c r="Y358" s="211"/>
      <c r="Z358" s="237"/>
      <c r="AA358" s="238"/>
      <c r="AB358" s="211"/>
      <c r="AC358" s="237"/>
      <c r="AD358" s="238"/>
      <c r="AE358" s="294">
        <v>46118</v>
      </c>
    </row>
    <row r="359" spans="1:31">
      <c r="A359" s="233"/>
      <c r="B359" s="301"/>
      <c r="C359" s="233"/>
      <c r="D359" s="233"/>
      <c r="E359" s="295"/>
      <c r="F359" s="241"/>
      <c r="G359" s="296"/>
      <c r="H359" s="240"/>
      <c r="I359" s="240"/>
      <c r="J359" s="261"/>
      <c r="K359" s="241"/>
      <c r="L359" s="234"/>
      <c r="M359" s="237"/>
      <c r="N359" s="240"/>
      <c r="O359" s="236"/>
      <c r="P359" s="297"/>
      <c r="Q359" s="298"/>
      <c r="R359" s="298"/>
      <c r="S359" s="297"/>
      <c r="T359" s="299"/>
      <c r="U359" s="235"/>
      <c r="V359" s="235"/>
      <c r="W359" s="300"/>
      <c r="X359" s="236"/>
      <c r="Y359" s="211"/>
      <c r="Z359" s="237"/>
      <c r="AA359" s="238"/>
      <c r="AB359" s="211"/>
      <c r="AC359" s="237"/>
      <c r="AD359" s="238"/>
      <c r="AE359" s="294">
        <v>46181</v>
      </c>
    </row>
    <row r="360" spans="1:31">
      <c r="A360" s="233"/>
      <c r="B360" s="301"/>
      <c r="C360" s="233"/>
      <c r="D360" s="233"/>
      <c r="E360" s="295"/>
      <c r="F360" s="241"/>
      <c r="G360" s="296"/>
      <c r="H360" s="240"/>
      <c r="I360" s="240"/>
      <c r="J360" s="261"/>
      <c r="K360" s="241"/>
      <c r="L360" s="234"/>
      <c r="M360" s="237"/>
      <c r="N360" s="240"/>
      <c r="O360" s="236"/>
      <c r="P360" s="297"/>
      <c r="Q360" s="298"/>
      <c r="R360" s="298"/>
      <c r="S360" s="297"/>
      <c r="T360" s="299"/>
      <c r="U360" s="235"/>
      <c r="V360" s="235"/>
      <c r="W360" s="300"/>
      <c r="X360" s="236"/>
      <c r="Y360" s="211"/>
      <c r="Z360" s="237"/>
      <c r="AA360" s="238"/>
      <c r="AB360" s="211"/>
      <c r="AC360" s="237"/>
      <c r="AD360" s="238"/>
      <c r="AE360" s="294">
        <v>46237</v>
      </c>
    </row>
    <row r="361" spans="1:31">
      <c r="A361" s="233"/>
      <c r="B361" s="301"/>
      <c r="C361" s="233"/>
      <c r="D361" s="233"/>
      <c r="E361" s="295"/>
      <c r="F361" s="241"/>
      <c r="G361" s="296"/>
      <c r="H361" s="240"/>
      <c r="I361" s="240"/>
      <c r="J361" s="261"/>
      <c r="K361" s="241"/>
      <c r="L361" s="234"/>
      <c r="M361" s="237"/>
      <c r="N361" s="240"/>
      <c r="O361" s="236"/>
      <c r="P361" s="297"/>
      <c r="Q361" s="298"/>
      <c r="R361" s="298"/>
      <c r="S361" s="297"/>
      <c r="T361" s="299"/>
      <c r="U361" s="235"/>
      <c r="V361" s="235"/>
      <c r="W361" s="300"/>
      <c r="X361" s="236"/>
      <c r="Y361" s="211"/>
      <c r="Z361" s="237"/>
      <c r="AA361" s="238"/>
      <c r="AB361" s="211"/>
      <c r="AC361" s="237"/>
      <c r="AD361" s="238"/>
      <c r="AE361" s="294">
        <v>46300</v>
      </c>
    </row>
    <row r="362" spans="1:31">
      <c r="A362" s="233"/>
      <c r="B362" s="301"/>
      <c r="C362" s="233"/>
      <c r="D362" s="233"/>
      <c r="E362" s="295"/>
      <c r="F362" s="241"/>
      <c r="G362" s="296"/>
      <c r="H362" s="240"/>
      <c r="I362" s="240"/>
      <c r="J362" s="261"/>
      <c r="K362" s="241"/>
      <c r="L362" s="234"/>
      <c r="M362" s="237"/>
      <c r="N362" s="240"/>
      <c r="O362" s="236"/>
      <c r="P362" s="297"/>
      <c r="Q362" s="298"/>
      <c r="R362" s="298"/>
      <c r="S362" s="297"/>
      <c r="T362" s="299"/>
      <c r="U362" s="235"/>
      <c r="V362" s="235"/>
      <c r="W362" s="300"/>
      <c r="X362" s="236"/>
      <c r="Y362" s="211"/>
      <c r="Z362" s="237"/>
      <c r="AA362" s="238"/>
      <c r="AB362" s="211"/>
      <c r="AC362" s="237"/>
      <c r="AD362" s="238"/>
      <c r="AE362" s="294">
        <v>46381</v>
      </c>
    </row>
    <row r="363" spans="1:31">
      <c r="A363" s="233"/>
      <c r="B363" s="301"/>
      <c r="C363" s="233"/>
      <c r="D363" s="233"/>
      <c r="E363" s="295"/>
      <c r="F363" s="241"/>
      <c r="G363" s="296"/>
      <c r="H363" s="240"/>
      <c r="I363" s="240"/>
      <c r="J363" s="261"/>
      <c r="K363" s="241"/>
      <c r="L363" s="234"/>
      <c r="M363" s="237"/>
      <c r="N363" s="240"/>
      <c r="O363" s="236"/>
      <c r="P363" s="297"/>
      <c r="Q363" s="298"/>
      <c r="R363" s="298"/>
      <c r="S363" s="297"/>
      <c r="T363" s="299"/>
      <c r="U363" s="235"/>
      <c r="V363" s="235"/>
      <c r="W363" s="300"/>
      <c r="X363" s="236"/>
      <c r="Y363" s="211"/>
      <c r="Z363" s="237"/>
      <c r="AA363" s="238"/>
      <c r="AB363" s="211"/>
      <c r="AC363" s="237"/>
      <c r="AD363" s="238"/>
      <c r="AE363" s="294">
        <v>46384</v>
      </c>
    </row>
    <row r="364" spans="1:31">
      <c r="A364" s="233"/>
      <c r="B364" s="301"/>
      <c r="C364" s="233"/>
      <c r="D364" s="233"/>
      <c r="E364" s="295"/>
      <c r="F364" s="241"/>
      <c r="G364" s="296"/>
      <c r="H364" s="240"/>
      <c r="I364" s="240"/>
      <c r="J364" s="261"/>
      <c r="K364" s="241"/>
      <c r="L364" s="234"/>
      <c r="M364" s="237"/>
      <c r="N364" s="240"/>
      <c r="O364" s="236"/>
      <c r="P364" s="297"/>
      <c r="Q364" s="298"/>
      <c r="R364" s="298"/>
      <c r="S364" s="297"/>
      <c r="T364" s="299"/>
      <c r="U364" s="235"/>
      <c r="V364" s="235"/>
      <c r="W364" s="300"/>
      <c r="X364" s="236"/>
      <c r="Y364" s="211"/>
      <c r="Z364" s="237"/>
      <c r="AA364" s="238"/>
      <c r="AB364" s="211"/>
      <c r="AC364" s="237"/>
      <c r="AD364" s="238"/>
      <c r="AE364" s="294">
        <v>46388</v>
      </c>
    </row>
    <row r="365" spans="1:31">
      <c r="A365" s="233"/>
      <c r="B365" s="301"/>
      <c r="C365" s="233"/>
      <c r="D365" s="233"/>
      <c r="E365" s="295"/>
      <c r="F365" s="241"/>
      <c r="G365" s="296"/>
      <c r="H365" s="240"/>
      <c r="I365" s="240"/>
      <c r="J365" s="261"/>
      <c r="K365" s="241"/>
      <c r="L365" s="234"/>
      <c r="M365" s="237"/>
      <c r="N365" s="240"/>
      <c r="O365" s="236"/>
      <c r="P365" s="297"/>
      <c r="Q365" s="298"/>
      <c r="R365" s="298"/>
      <c r="S365" s="297"/>
      <c r="T365" s="299"/>
      <c r="U365" s="235"/>
      <c r="V365" s="235"/>
      <c r="W365" s="300"/>
      <c r="X365" s="236"/>
      <c r="Y365" s="211"/>
      <c r="Z365" s="237"/>
      <c r="AA365" s="238"/>
      <c r="AB365" s="211"/>
      <c r="AC365" s="237"/>
      <c r="AD365" s="238"/>
      <c r="AE365" s="294">
        <v>46413</v>
      </c>
    </row>
    <row r="366" spans="1:31">
      <c r="A366" s="233"/>
      <c r="B366" s="301"/>
      <c r="C366" s="233"/>
      <c r="D366" s="233"/>
      <c r="E366" s="295"/>
      <c r="F366" s="241"/>
      <c r="G366" s="296"/>
      <c r="H366" s="240"/>
      <c r="I366" s="240"/>
      <c r="J366" s="261"/>
      <c r="K366" s="241"/>
      <c r="L366" s="234"/>
      <c r="M366" s="237"/>
      <c r="N366" s="240"/>
      <c r="O366" s="236"/>
      <c r="P366" s="297"/>
      <c r="Q366" s="298"/>
      <c r="R366" s="298"/>
      <c r="S366" s="297"/>
      <c r="T366" s="299"/>
      <c r="U366" s="235"/>
      <c r="V366" s="235"/>
      <c r="W366" s="300"/>
      <c r="X366" s="236"/>
      <c r="Y366" s="211"/>
      <c r="Z366" s="237"/>
      <c r="AA366" s="238"/>
      <c r="AB366" s="211"/>
      <c r="AC366" s="237"/>
      <c r="AD366" s="238"/>
      <c r="AE366" s="294">
        <v>46472</v>
      </c>
    </row>
    <row r="367" spans="1:31">
      <c r="A367" s="233"/>
      <c r="B367" s="301"/>
      <c r="C367" s="233"/>
      <c r="D367" s="233"/>
      <c r="E367" s="295"/>
      <c r="F367" s="241"/>
      <c r="G367" s="296"/>
      <c r="H367" s="240"/>
      <c r="I367" s="240"/>
      <c r="J367" s="261"/>
      <c r="K367" s="241"/>
      <c r="L367" s="234"/>
      <c r="M367" s="237"/>
      <c r="N367" s="240"/>
      <c r="O367" s="236"/>
      <c r="P367" s="297"/>
      <c r="Q367" s="298"/>
      <c r="R367" s="298"/>
      <c r="S367" s="297"/>
      <c r="T367" s="299"/>
      <c r="U367" s="235"/>
      <c r="V367" s="235"/>
      <c r="W367" s="300"/>
      <c r="X367" s="236"/>
      <c r="Y367" s="211"/>
      <c r="Z367" s="237"/>
      <c r="AA367" s="238"/>
      <c r="AB367" s="211"/>
      <c r="AC367" s="237"/>
      <c r="AD367" s="238"/>
      <c r="AE367" s="294">
        <v>46475</v>
      </c>
    </row>
    <row r="368" spans="1:31">
      <c r="A368" s="233"/>
      <c r="B368" s="301"/>
      <c r="C368" s="233"/>
      <c r="D368" s="233"/>
      <c r="E368" s="295"/>
      <c r="F368" s="241"/>
      <c r="G368" s="296"/>
      <c r="H368" s="240"/>
      <c r="I368" s="240"/>
      <c r="J368" s="261"/>
      <c r="K368" s="241"/>
      <c r="L368" s="234"/>
      <c r="M368" s="237"/>
      <c r="N368" s="240"/>
      <c r="O368" s="236"/>
      <c r="P368" s="297"/>
      <c r="Q368" s="298"/>
      <c r="R368" s="298"/>
      <c r="S368" s="297"/>
      <c r="T368" s="299"/>
      <c r="U368" s="235"/>
      <c r="V368" s="235"/>
      <c r="W368" s="300"/>
      <c r="X368" s="236"/>
      <c r="Y368" s="211"/>
      <c r="Z368" s="237"/>
      <c r="AA368" s="238"/>
      <c r="AB368" s="211"/>
      <c r="AC368" s="237"/>
      <c r="AD368" s="238"/>
      <c r="AE368" s="294">
        <v>46552</v>
      </c>
    </row>
    <row r="369" spans="1:31">
      <c r="A369" s="233"/>
      <c r="B369" s="301"/>
      <c r="C369" s="233"/>
      <c r="D369" s="233"/>
      <c r="E369" s="295"/>
      <c r="F369" s="241"/>
      <c r="G369" s="296"/>
      <c r="H369" s="240"/>
      <c r="I369" s="240"/>
      <c r="J369" s="261"/>
      <c r="K369" s="241"/>
      <c r="L369" s="234"/>
      <c r="M369" s="237"/>
      <c r="N369" s="240"/>
      <c r="O369" s="236"/>
      <c r="P369" s="297"/>
      <c r="Q369" s="298"/>
      <c r="R369" s="298"/>
      <c r="S369" s="297"/>
      <c r="T369" s="299"/>
      <c r="U369" s="235"/>
      <c r="V369" s="235"/>
      <c r="W369" s="300"/>
      <c r="X369" s="236"/>
      <c r="Y369" s="211"/>
      <c r="Z369" s="237"/>
      <c r="AA369" s="238"/>
      <c r="AB369" s="211"/>
      <c r="AC369" s="237"/>
      <c r="AD369" s="238"/>
      <c r="AE369" s="294">
        <v>46601</v>
      </c>
    </row>
    <row r="370" spans="1:31">
      <c r="A370" s="233"/>
      <c r="B370" s="301"/>
      <c r="C370" s="233"/>
      <c r="D370" s="233"/>
      <c r="E370" s="295"/>
      <c r="F370" s="241"/>
      <c r="G370" s="296"/>
      <c r="H370" s="240"/>
      <c r="I370" s="240"/>
      <c r="J370" s="261"/>
      <c r="K370" s="241"/>
      <c r="L370" s="234"/>
      <c r="M370" s="237"/>
      <c r="N370" s="240"/>
      <c r="O370" s="236"/>
      <c r="P370" s="297"/>
      <c r="Q370" s="298"/>
      <c r="R370" s="298"/>
      <c r="S370" s="297"/>
      <c r="T370" s="299"/>
      <c r="U370" s="235"/>
      <c r="V370" s="235"/>
      <c r="W370" s="300"/>
      <c r="X370" s="236"/>
      <c r="Y370" s="211"/>
      <c r="Z370" s="237"/>
      <c r="AA370" s="238"/>
      <c r="AB370" s="211"/>
      <c r="AC370" s="237"/>
      <c r="AD370" s="238"/>
      <c r="AE370" s="294">
        <v>46664</v>
      </c>
    </row>
    <row r="371" spans="1:31">
      <c r="A371" s="233"/>
      <c r="B371" s="301"/>
      <c r="C371" s="233"/>
      <c r="D371" s="233"/>
      <c r="E371" s="295"/>
      <c r="F371" s="241"/>
      <c r="G371" s="296"/>
      <c r="H371" s="240"/>
      <c r="I371" s="240"/>
      <c r="J371" s="261"/>
      <c r="K371" s="241"/>
      <c r="L371" s="234"/>
      <c r="M371" s="237"/>
      <c r="N371" s="240"/>
      <c r="O371" s="236"/>
      <c r="P371" s="297"/>
      <c r="Q371" s="298"/>
      <c r="R371" s="298"/>
      <c r="S371" s="297"/>
      <c r="T371" s="299"/>
      <c r="U371" s="235"/>
      <c r="V371" s="235"/>
      <c r="W371" s="300"/>
      <c r="X371" s="236"/>
      <c r="Y371" s="211"/>
      <c r="Z371" s="237"/>
      <c r="AA371" s="238"/>
      <c r="AB371" s="211"/>
      <c r="AC371" s="237"/>
      <c r="AD371" s="238"/>
      <c r="AE371" s="294">
        <v>46748</v>
      </c>
    </row>
    <row r="372" spans="1:31">
      <c r="A372" s="233"/>
      <c r="B372" s="301"/>
      <c r="C372" s="233"/>
      <c r="D372" s="233"/>
      <c r="E372" s="295"/>
      <c r="F372" s="241"/>
      <c r="G372" s="296"/>
      <c r="H372" s="240"/>
      <c r="I372" s="240"/>
      <c r="J372" s="261"/>
      <c r="K372" s="241"/>
      <c r="L372" s="234"/>
      <c r="M372" s="237"/>
      <c r="N372" s="240"/>
      <c r="O372" s="236"/>
      <c r="P372" s="297"/>
      <c r="Q372" s="298"/>
      <c r="R372" s="298"/>
      <c r="S372" s="297"/>
      <c r="T372" s="299"/>
      <c r="U372" s="235"/>
      <c r="V372" s="235"/>
      <c r="W372" s="300"/>
      <c r="X372" s="236"/>
      <c r="Y372" s="211"/>
      <c r="Z372" s="237"/>
      <c r="AA372" s="238"/>
      <c r="AB372" s="211"/>
      <c r="AC372" s="237"/>
      <c r="AD372" s="238"/>
      <c r="AE372" s="294">
        <v>46749</v>
      </c>
    </row>
    <row r="373" spans="1:31">
      <c r="A373" s="233"/>
      <c r="B373" s="301"/>
      <c r="C373" s="233"/>
      <c r="D373" s="233"/>
      <c r="E373" s="295"/>
      <c r="F373" s="241"/>
      <c r="G373" s="296"/>
      <c r="H373" s="240"/>
      <c r="I373" s="240"/>
      <c r="J373" s="261"/>
      <c r="K373" s="241"/>
      <c r="L373" s="234"/>
      <c r="M373" s="237"/>
      <c r="N373" s="240"/>
      <c r="O373" s="236"/>
      <c r="P373" s="297"/>
      <c r="Q373" s="298"/>
      <c r="R373" s="298"/>
      <c r="S373" s="297"/>
      <c r="T373" s="299"/>
      <c r="U373" s="235"/>
      <c r="V373" s="235"/>
      <c r="W373" s="300"/>
      <c r="X373" s="236"/>
      <c r="Y373" s="211"/>
      <c r="Z373" s="237"/>
      <c r="AA373" s="238"/>
      <c r="AB373" s="211"/>
      <c r="AC373" s="237"/>
      <c r="AD373" s="238"/>
      <c r="AE373" s="294">
        <v>46755</v>
      </c>
    </row>
    <row r="374" spans="1:31">
      <c r="A374" s="233"/>
      <c r="B374" s="301"/>
      <c r="C374" s="233"/>
      <c r="D374" s="233"/>
      <c r="E374" s="295"/>
      <c r="F374" s="241"/>
      <c r="G374" s="296"/>
      <c r="H374" s="240"/>
      <c r="I374" s="240"/>
      <c r="J374" s="261"/>
      <c r="K374" s="241"/>
      <c r="L374" s="234"/>
      <c r="M374" s="237"/>
      <c r="N374" s="240"/>
      <c r="O374" s="236"/>
      <c r="P374" s="297"/>
      <c r="Q374" s="298"/>
      <c r="R374" s="298"/>
      <c r="S374" s="297"/>
      <c r="T374" s="299"/>
      <c r="U374" s="235"/>
      <c r="V374" s="235"/>
      <c r="W374" s="300"/>
      <c r="X374" s="236"/>
      <c r="Y374" s="211"/>
      <c r="Z374" s="237"/>
      <c r="AA374" s="238"/>
      <c r="AB374" s="211"/>
      <c r="AC374" s="237"/>
      <c r="AD374" s="238"/>
      <c r="AE374" s="294">
        <v>46778</v>
      </c>
    </row>
    <row r="375" spans="1:31">
      <c r="A375" s="233"/>
      <c r="B375" s="301"/>
      <c r="C375" s="233"/>
      <c r="D375" s="233"/>
      <c r="E375" s="295"/>
      <c r="F375" s="241"/>
      <c r="G375" s="296"/>
      <c r="H375" s="240"/>
      <c r="I375" s="240"/>
      <c r="J375" s="261"/>
      <c r="K375" s="241"/>
      <c r="L375" s="234"/>
      <c r="M375" s="237"/>
      <c r="N375" s="240"/>
      <c r="O375" s="236"/>
      <c r="P375" s="297"/>
      <c r="Q375" s="298"/>
      <c r="R375" s="298"/>
      <c r="S375" s="297"/>
      <c r="T375" s="299"/>
      <c r="U375" s="235"/>
      <c r="V375" s="235"/>
      <c r="W375" s="300"/>
      <c r="X375" s="236"/>
      <c r="Y375" s="211"/>
      <c r="Z375" s="237"/>
      <c r="AA375" s="238"/>
      <c r="AB375" s="211"/>
      <c r="AC375" s="237"/>
      <c r="AD375" s="238"/>
      <c r="AE375" s="294">
        <v>46857</v>
      </c>
    </row>
    <row r="376" spans="1:31">
      <c r="A376" s="233"/>
      <c r="B376" s="301"/>
      <c r="C376" s="233"/>
      <c r="D376" s="233"/>
      <c r="E376" s="295"/>
      <c r="F376" s="241"/>
      <c r="G376" s="296"/>
      <c r="H376" s="240"/>
      <c r="I376" s="240"/>
      <c r="J376" s="261"/>
      <c r="K376" s="241"/>
      <c r="L376" s="234"/>
      <c r="M376" s="237"/>
      <c r="N376" s="240"/>
      <c r="O376" s="236"/>
      <c r="P376" s="297"/>
      <c r="Q376" s="298"/>
      <c r="R376" s="298"/>
      <c r="S376" s="297"/>
      <c r="T376" s="299"/>
      <c r="U376" s="235"/>
      <c r="V376" s="235"/>
      <c r="W376" s="300"/>
      <c r="X376" s="236"/>
      <c r="Y376" s="211"/>
      <c r="Z376" s="237"/>
      <c r="AA376" s="238"/>
      <c r="AB376" s="211"/>
      <c r="AC376" s="237"/>
      <c r="AD376" s="238"/>
      <c r="AE376" s="294">
        <v>46860</v>
      </c>
    </row>
    <row r="377" spans="1:31">
      <c r="A377" s="233"/>
      <c r="B377" s="301"/>
      <c r="C377" s="233"/>
      <c r="D377" s="233"/>
      <c r="E377" s="295"/>
      <c r="F377" s="241"/>
      <c r="G377" s="296"/>
      <c r="H377" s="240"/>
      <c r="I377" s="240"/>
      <c r="J377" s="261"/>
      <c r="K377" s="241"/>
      <c r="L377" s="234"/>
      <c r="M377" s="237"/>
      <c r="N377" s="240"/>
      <c r="O377" s="236"/>
      <c r="P377" s="297"/>
      <c r="Q377" s="298"/>
      <c r="R377" s="298"/>
      <c r="S377" s="297"/>
      <c r="T377" s="299"/>
      <c r="U377" s="235"/>
      <c r="V377" s="235"/>
      <c r="W377" s="300"/>
      <c r="X377" s="236"/>
      <c r="Y377" s="211"/>
      <c r="Z377" s="237"/>
      <c r="AA377" s="238"/>
      <c r="AB377" s="211"/>
      <c r="AC377" s="237"/>
      <c r="AD377" s="238"/>
      <c r="AE377" s="294">
        <v>46868</v>
      </c>
    </row>
    <row r="378" spans="1:31">
      <c r="A378" s="233"/>
      <c r="B378" s="301"/>
      <c r="C378" s="233"/>
      <c r="D378" s="233"/>
      <c r="E378" s="295"/>
      <c r="F378" s="241"/>
      <c r="G378" s="296"/>
      <c r="H378" s="240"/>
      <c r="I378" s="240"/>
      <c r="J378" s="261"/>
      <c r="K378" s="241"/>
      <c r="L378" s="234"/>
      <c r="M378" s="237"/>
      <c r="N378" s="240"/>
      <c r="O378" s="236"/>
      <c r="P378" s="297"/>
      <c r="Q378" s="298"/>
      <c r="R378" s="298"/>
      <c r="S378" s="297"/>
      <c r="T378" s="299"/>
      <c r="U378" s="235"/>
      <c r="V378" s="235"/>
      <c r="W378" s="300"/>
      <c r="X378" s="236"/>
      <c r="Y378" s="211"/>
      <c r="Z378" s="237"/>
      <c r="AA378" s="238"/>
      <c r="AB378" s="211"/>
      <c r="AC378" s="237"/>
      <c r="AD378" s="238"/>
      <c r="AE378" s="294">
        <v>46916</v>
      </c>
    </row>
    <row r="379" spans="1:31">
      <c r="A379" s="233"/>
      <c r="B379" s="301"/>
      <c r="C379" s="233"/>
      <c r="D379" s="233"/>
      <c r="E379" s="295"/>
      <c r="F379" s="241"/>
      <c r="G379" s="296"/>
      <c r="H379" s="240"/>
      <c r="I379" s="240"/>
      <c r="J379" s="261"/>
      <c r="K379" s="241"/>
      <c r="L379" s="234"/>
      <c r="M379" s="237"/>
      <c r="N379" s="240"/>
      <c r="O379" s="236"/>
      <c r="P379" s="297"/>
      <c r="Q379" s="298"/>
      <c r="R379" s="298"/>
      <c r="S379" s="297"/>
      <c r="T379" s="299"/>
      <c r="U379" s="235"/>
      <c r="V379" s="235"/>
      <c r="W379" s="300"/>
      <c r="X379" s="236"/>
      <c r="Y379" s="211"/>
      <c r="Z379" s="237"/>
      <c r="AA379" s="238"/>
      <c r="AB379" s="211"/>
      <c r="AC379" s="237"/>
      <c r="AD379" s="238"/>
      <c r="AE379" s="294">
        <v>46972</v>
      </c>
    </row>
    <row r="380" spans="1:31">
      <c r="A380" s="233"/>
      <c r="B380" s="301"/>
      <c r="C380" s="233"/>
      <c r="D380" s="233"/>
      <c r="E380" s="295"/>
      <c r="F380" s="241"/>
      <c r="G380" s="296"/>
      <c r="H380" s="240"/>
      <c r="I380" s="240"/>
      <c r="J380" s="261"/>
      <c r="K380" s="241"/>
      <c r="L380" s="234"/>
      <c r="M380" s="237"/>
      <c r="N380" s="240"/>
      <c r="O380" s="236"/>
      <c r="P380" s="297"/>
      <c r="Q380" s="298"/>
      <c r="R380" s="298"/>
      <c r="S380" s="297"/>
      <c r="T380" s="299"/>
      <c r="U380" s="235"/>
      <c r="V380" s="235"/>
      <c r="W380" s="300"/>
      <c r="X380" s="236"/>
      <c r="Y380" s="211"/>
      <c r="Z380" s="237"/>
      <c r="AA380" s="238"/>
      <c r="AB380" s="211"/>
      <c r="AC380" s="237"/>
      <c r="AD380" s="238"/>
      <c r="AE380" s="294">
        <v>47028</v>
      </c>
    </row>
    <row r="381" spans="1:31">
      <c r="A381" s="233"/>
      <c r="B381" s="301"/>
      <c r="C381" s="233"/>
      <c r="D381" s="233"/>
      <c r="E381" s="295"/>
      <c r="F381" s="241"/>
      <c r="G381" s="296"/>
      <c r="H381" s="240"/>
      <c r="I381" s="240"/>
      <c r="J381" s="261"/>
      <c r="K381" s="241"/>
      <c r="L381" s="234"/>
      <c r="M381" s="237"/>
      <c r="N381" s="240"/>
      <c r="O381" s="236"/>
      <c r="P381" s="297"/>
      <c r="Q381" s="298"/>
      <c r="R381" s="298"/>
      <c r="S381" s="297"/>
      <c r="T381" s="299"/>
      <c r="U381" s="235"/>
      <c r="V381" s="235"/>
      <c r="W381" s="300"/>
      <c r="X381" s="236"/>
      <c r="Y381" s="211"/>
      <c r="Z381" s="237"/>
      <c r="AA381" s="238"/>
      <c r="AB381" s="211"/>
      <c r="AC381" s="237"/>
      <c r="AD381" s="238"/>
      <c r="AE381" s="294">
        <v>47112</v>
      </c>
    </row>
    <row r="382" spans="1:31">
      <c r="A382" s="233"/>
      <c r="B382" s="301"/>
      <c r="C382" s="233"/>
      <c r="D382" s="233"/>
      <c r="E382" s="295"/>
      <c r="F382" s="241"/>
      <c r="G382" s="296"/>
      <c r="H382" s="240"/>
      <c r="I382" s="240"/>
      <c r="J382" s="261"/>
      <c r="K382" s="241"/>
      <c r="L382" s="234"/>
      <c r="M382" s="237"/>
      <c r="N382" s="240"/>
      <c r="O382" s="236"/>
      <c r="P382" s="297"/>
      <c r="Q382" s="298"/>
      <c r="R382" s="298"/>
      <c r="S382" s="297"/>
      <c r="T382" s="299"/>
      <c r="U382" s="235"/>
      <c r="V382" s="235"/>
      <c r="W382" s="300"/>
      <c r="X382" s="236"/>
      <c r="Y382" s="211"/>
      <c r="Z382" s="237"/>
      <c r="AA382" s="238"/>
      <c r="AB382" s="211"/>
      <c r="AC382" s="237"/>
      <c r="AD382" s="238"/>
      <c r="AE382" s="294">
        <v>47113</v>
      </c>
    </row>
    <row r="383" spans="1:31">
      <c r="A383" s="233"/>
      <c r="B383" s="301"/>
      <c r="C383" s="233"/>
      <c r="D383" s="233"/>
      <c r="E383" s="295"/>
      <c r="F383" s="241"/>
      <c r="G383" s="296"/>
      <c r="H383" s="240"/>
      <c r="I383" s="240"/>
      <c r="J383" s="261"/>
      <c r="K383" s="241"/>
      <c r="L383" s="234"/>
      <c r="M383" s="237"/>
      <c r="N383" s="240"/>
      <c r="O383" s="236"/>
      <c r="P383" s="297"/>
      <c r="Q383" s="298"/>
      <c r="R383" s="298"/>
      <c r="S383" s="297"/>
      <c r="T383" s="299"/>
      <c r="U383" s="235"/>
      <c r="V383" s="235"/>
      <c r="W383" s="300"/>
      <c r="X383" s="236"/>
      <c r="Y383" s="211"/>
      <c r="Z383" s="237"/>
      <c r="AA383" s="238"/>
      <c r="AB383" s="211"/>
      <c r="AC383" s="237"/>
      <c r="AD383" s="238"/>
      <c r="AE383" s="294">
        <v>47119</v>
      </c>
    </row>
    <row r="384" spans="1:31">
      <c r="A384" s="233"/>
      <c r="B384" s="301"/>
      <c r="C384" s="233"/>
      <c r="D384" s="233"/>
      <c r="E384" s="295"/>
      <c r="F384" s="241"/>
      <c r="G384" s="296"/>
      <c r="H384" s="240"/>
      <c r="I384" s="240"/>
      <c r="J384" s="261"/>
      <c r="K384" s="241"/>
      <c r="L384" s="234"/>
      <c r="M384" s="237"/>
      <c r="N384" s="240"/>
      <c r="O384" s="236"/>
      <c r="P384" s="297"/>
      <c r="Q384" s="298"/>
      <c r="R384" s="298"/>
      <c r="S384" s="297"/>
      <c r="T384" s="299"/>
      <c r="U384" s="235"/>
      <c r="V384" s="235"/>
      <c r="W384" s="300"/>
      <c r="X384" s="236"/>
      <c r="Y384" s="211"/>
      <c r="Z384" s="237"/>
      <c r="AA384" s="238"/>
      <c r="AB384" s="211"/>
      <c r="AC384" s="237"/>
      <c r="AD384" s="238"/>
      <c r="AE384" s="294">
        <v>47144</v>
      </c>
    </row>
    <row r="385" spans="1:31">
      <c r="A385" s="233"/>
      <c r="B385" s="301"/>
      <c r="C385" s="233"/>
      <c r="D385" s="233"/>
      <c r="E385" s="295"/>
      <c r="F385" s="241"/>
      <c r="G385" s="296"/>
      <c r="H385" s="240"/>
      <c r="I385" s="240"/>
      <c r="J385" s="261"/>
      <c r="K385" s="241"/>
      <c r="L385" s="234"/>
      <c r="M385" s="237"/>
      <c r="N385" s="240"/>
      <c r="O385" s="236"/>
      <c r="P385" s="297"/>
      <c r="Q385" s="298"/>
      <c r="R385" s="298"/>
      <c r="S385" s="297"/>
      <c r="T385" s="299"/>
      <c r="U385" s="235"/>
      <c r="V385" s="235"/>
      <c r="W385" s="300"/>
      <c r="X385" s="236"/>
      <c r="Y385" s="211"/>
      <c r="Z385" s="237"/>
      <c r="AA385" s="238"/>
      <c r="AB385" s="211"/>
      <c r="AC385" s="237"/>
      <c r="AD385" s="238"/>
      <c r="AE385" s="294">
        <v>47207</v>
      </c>
    </row>
    <row r="386" spans="1:31">
      <c r="A386" s="233"/>
      <c r="B386" s="301"/>
      <c r="C386" s="233"/>
      <c r="D386" s="233"/>
      <c r="E386" s="295"/>
      <c r="F386" s="241"/>
      <c r="G386" s="296"/>
      <c r="H386" s="240"/>
      <c r="I386" s="240"/>
      <c r="J386" s="261"/>
      <c r="K386" s="241"/>
      <c r="L386" s="234"/>
      <c r="M386" s="237"/>
      <c r="N386" s="240"/>
      <c r="O386" s="236"/>
      <c r="P386" s="297"/>
      <c r="Q386" s="298"/>
      <c r="R386" s="298"/>
      <c r="S386" s="297"/>
      <c r="T386" s="299"/>
      <c r="U386" s="235"/>
      <c r="V386" s="235"/>
      <c r="W386" s="300"/>
      <c r="X386" s="236"/>
      <c r="Y386" s="211"/>
      <c r="Z386" s="237"/>
      <c r="AA386" s="238"/>
      <c r="AB386" s="211"/>
      <c r="AC386" s="237"/>
      <c r="AD386" s="238"/>
      <c r="AE386" s="294">
        <v>47210</v>
      </c>
    </row>
    <row r="387" spans="1:31">
      <c r="A387" s="233"/>
      <c r="B387" s="301"/>
      <c r="C387" s="233"/>
      <c r="D387" s="233"/>
      <c r="E387" s="295"/>
      <c r="F387" s="241"/>
      <c r="G387" s="296"/>
      <c r="H387" s="240"/>
      <c r="I387" s="240"/>
      <c r="J387" s="261"/>
      <c r="K387" s="241"/>
      <c r="L387" s="234"/>
      <c r="M387" s="237"/>
      <c r="N387" s="240"/>
      <c r="O387" s="236"/>
      <c r="P387" s="297"/>
      <c r="Q387" s="298"/>
      <c r="R387" s="298"/>
      <c r="S387" s="297"/>
      <c r="T387" s="299"/>
      <c r="U387" s="235"/>
      <c r="V387" s="235"/>
      <c r="W387" s="300"/>
      <c r="X387" s="236"/>
      <c r="Y387" s="211"/>
      <c r="Z387" s="237"/>
      <c r="AA387" s="238"/>
      <c r="AB387" s="211"/>
      <c r="AC387" s="237"/>
      <c r="AD387" s="238"/>
      <c r="AE387" s="294">
        <v>47233</v>
      </c>
    </row>
    <row r="388" spans="1:31">
      <c r="A388" s="233"/>
      <c r="B388" s="301"/>
      <c r="C388" s="233"/>
      <c r="D388" s="233"/>
      <c r="E388" s="295"/>
      <c r="F388" s="241"/>
      <c r="G388" s="296"/>
      <c r="H388" s="240"/>
      <c r="I388" s="240"/>
      <c r="J388" s="261"/>
      <c r="K388" s="241"/>
      <c r="L388" s="234"/>
      <c r="M388" s="237"/>
      <c r="N388" s="240"/>
      <c r="O388" s="236"/>
      <c r="P388" s="297"/>
      <c r="Q388" s="298"/>
      <c r="R388" s="298"/>
      <c r="S388" s="297"/>
      <c r="T388" s="299"/>
      <c r="U388" s="235"/>
      <c r="V388" s="235"/>
      <c r="W388" s="300"/>
      <c r="X388" s="236"/>
      <c r="Y388" s="211"/>
      <c r="Z388" s="237"/>
      <c r="AA388" s="238"/>
      <c r="AB388" s="211"/>
      <c r="AC388" s="237"/>
      <c r="AD388" s="238"/>
      <c r="AE388" s="294">
        <v>47280</v>
      </c>
    </row>
    <row r="389" spans="1:31">
      <c r="A389" s="233"/>
      <c r="B389" s="301"/>
      <c r="C389" s="233"/>
      <c r="D389" s="233"/>
      <c r="E389" s="295"/>
      <c r="F389" s="241"/>
      <c r="G389" s="296"/>
      <c r="H389" s="240"/>
      <c r="I389" s="240"/>
      <c r="J389" s="261"/>
      <c r="K389" s="241"/>
      <c r="L389" s="234"/>
      <c r="M389" s="237"/>
      <c r="N389" s="240"/>
      <c r="O389" s="236"/>
      <c r="P389" s="297"/>
      <c r="Q389" s="298"/>
      <c r="R389" s="298"/>
      <c r="S389" s="297"/>
      <c r="T389" s="299"/>
      <c r="U389" s="235"/>
      <c r="V389" s="235"/>
      <c r="W389" s="300"/>
      <c r="X389" s="236"/>
      <c r="Y389" s="211"/>
      <c r="Z389" s="237"/>
      <c r="AA389" s="238"/>
      <c r="AB389" s="211"/>
      <c r="AC389" s="237"/>
      <c r="AD389" s="238"/>
      <c r="AE389" s="294">
        <v>47336</v>
      </c>
    </row>
    <row r="390" spans="1:31">
      <c r="A390" s="233"/>
      <c r="B390" s="301"/>
      <c r="C390" s="233"/>
      <c r="D390" s="233"/>
      <c r="E390" s="295"/>
      <c r="F390" s="241"/>
      <c r="G390" s="296"/>
      <c r="H390" s="240"/>
      <c r="I390" s="240"/>
      <c r="J390" s="261"/>
      <c r="K390" s="241"/>
      <c r="L390" s="234"/>
      <c r="M390" s="237"/>
      <c r="N390" s="240"/>
      <c r="O390" s="236"/>
      <c r="P390" s="297"/>
      <c r="Q390" s="298"/>
      <c r="R390" s="298"/>
      <c r="S390" s="297"/>
      <c r="T390" s="299"/>
      <c r="U390" s="235"/>
      <c r="V390" s="235"/>
      <c r="W390" s="300"/>
      <c r="X390" s="236"/>
      <c r="Y390" s="211"/>
      <c r="Z390" s="237"/>
      <c r="AA390" s="238"/>
      <c r="AB390" s="211"/>
      <c r="AC390" s="237"/>
      <c r="AD390" s="238"/>
      <c r="AE390" s="294">
        <v>47392</v>
      </c>
    </row>
    <row r="391" spans="1:31">
      <c r="A391" s="233"/>
      <c r="B391" s="301"/>
      <c r="C391" s="233"/>
      <c r="D391" s="233"/>
      <c r="E391" s="295"/>
      <c r="F391" s="241"/>
      <c r="G391" s="296"/>
      <c r="H391" s="240"/>
      <c r="I391" s="240"/>
      <c r="J391" s="261"/>
      <c r="K391" s="241"/>
      <c r="L391" s="234"/>
      <c r="M391" s="237"/>
      <c r="N391" s="240"/>
      <c r="O391" s="236"/>
      <c r="P391" s="297"/>
      <c r="Q391" s="298"/>
      <c r="R391" s="298"/>
      <c r="S391" s="297"/>
      <c r="T391" s="299"/>
      <c r="U391" s="235"/>
      <c r="V391" s="235"/>
      <c r="W391" s="300"/>
      <c r="X391" s="236"/>
      <c r="Y391" s="211"/>
      <c r="Z391" s="237"/>
      <c r="AA391" s="238"/>
      <c r="AB391" s="211"/>
      <c r="AC391" s="237"/>
      <c r="AD391" s="238"/>
      <c r="AE391" s="294">
        <v>47477</v>
      </c>
    </row>
    <row r="392" spans="1:31">
      <c r="A392" s="233"/>
      <c r="B392" s="301"/>
      <c r="C392" s="233"/>
      <c r="D392" s="233"/>
      <c r="E392" s="295"/>
      <c r="F392" s="241"/>
      <c r="G392" s="296"/>
      <c r="H392" s="240"/>
      <c r="I392" s="240"/>
      <c r="J392" s="261"/>
      <c r="K392" s="241"/>
      <c r="L392" s="234"/>
      <c r="M392" s="237"/>
      <c r="N392" s="240"/>
      <c r="O392" s="236"/>
      <c r="P392" s="297"/>
      <c r="Q392" s="298"/>
      <c r="R392" s="298"/>
      <c r="S392" s="297"/>
      <c r="T392" s="299"/>
      <c r="U392" s="235"/>
      <c r="V392" s="235"/>
      <c r="W392" s="300"/>
      <c r="X392" s="236"/>
      <c r="Y392" s="211"/>
      <c r="Z392" s="237"/>
      <c r="AA392" s="238"/>
      <c r="AB392" s="211"/>
      <c r="AC392" s="237"/>
      <c r="AD392" s="238"/>
      <c r="AE392" s="294">
        <v>47478</v>
      </c>
    </row>
    <row r="393" spans="1:31">
      <c r="A393" s="233"/>
      <c r="B393" s="301"/>
      <c r="C393" s="233"/>
      <c r="D393" s="233"/>
      <c r="E393" s="295"/>
      <c r="F393" s="241"/>
      <c r="G393" s="296"/>
      <c r="H393" s="240"/>
      <c r="I393" s="240"/>
      <c r="J393" s="261"/>
      <c r="K393" s="241"/>
      <c r="L393" s="234"/>
      <c r="M393" s="237"/>
      <c r="N393" s="240"/>
      <c r="O393" s="236"/>
      <c r="P393" s="297"/>
      <c r="Q393" s="298"/>
      <c r="R393" s="298"/>
      <c r="S393" s="297"/>
      <c r="T393" s="299"/>
      <c r="U393" s="235"/>
      <c r="V393" s="235"/>
      <c r="W393" s="300"/>
      <c r="X393" s="236"/>
      <c r="Y393" s="211"/>
      <c r="Z393" s="237"/>
      <c r="AA393" s="238"/>
      <c r="AB393" s="211"/>
      <c r="AC393" s="237"/>
      <c r="AD393" s="238"/>
      <c r="AE393" s="294">
        <v>47484</v>
      </c>
    </row>
    <row r="394" spans="1:31">
      <c r="A394" s="233"/>
      <c r="B394" s="301"/>
      <c r="C394" s="233"/>
      <c r="D394" s="233"/>
      <c r="E394" s="295"/>
      <c r="F394" s="241"/>
      <c r="G394" s="296"/>
      <c r="H394" s="240"/>
      <c r="I394" s="240"/>
      <c r="J394" s="261"/>
      <c r="K394" s="241"/>
      <c r="L394" s="234"/>
      <c r="M394" s="237"/>
      <c r="N394" s="240"/>
      <c r="O394" s="236"/>
      <c r="P394" s="297"/>
      <c r="Q394" s="298"/>
      <c r="R394" s="298"/>
      <c r="S394" s="297"/>
      <c r="T394" s="299"/>
      <c r="U394" s="235"/>
      <c r="V394" s="235"/>
      <c r="W394" s="300"/>
      <c r="X394" s="236"/>
      <c r="Y394" s="211"/>
      <c r="Z394" s="237"/>
      <c r="AA394" s="238"/>
      <c r="AB394" s="211"/>
      <c r="AC394" s="237"/>
      <c r="AD394" s="238"/>
      <c r="AE394" s="294">
        <v>47511</v>
      </c>
    </row>
    <row r="395" spans="1:31">
      <c r="A395" s="233"/>
      <c r="B395" s="301"/>
      <c r="C395" s="233"/>
      <c r="D395" s="233"/>
      <c r="E395" s="295"/>
      <c r="F395" s="241"/>
      <c r="G395" s="296"/>
      <c r="H395" s="240"/>
      <c r="I395" s="240"/>
      <c r="J395" s="261"/>
      <c r="K395" s="241"/>
      <c r="L395" s="234"/>
      <c r="M395" s="237"/>
      <c r="N395" s="240"/>
      <c r="O395" s="236"/>
      <c r="P395" s="297"/>
      <c r="Q395" s="298"/>
      <c r="R395" s="298"/>
      <c r="S395" s="297"/>
      <c r="T395" s="299"/>
      <c r="U395" s="235"/>
      <c r="V395" s="235"/>
      <c r="W395" s="300"/>
      <c r="X395" s="236"/>
      <c r="Y395" s="211"/>
      <c r="Z395" s="237"/>
      <c r="AA395" s="238"/>
      <c r="AB395" s="211"/>
      <c r="AC395" s="237"/>
      <c r="AD395" s="238"/>
      <c r="AE395" s="294">
        <v>47592</v>
      </c>
    </row>
    <row r="396" spans="1:31">
      <c r="A396" s="233"/>
      <c r="B396" s="301"/>
      <c r="C396" s="233"/>
      <c r="D396" s="233"/>
      <c r="E396" s="295"/>
      <c r="F396" s="241"/>
      <c r="G396" s="296"/>
      <c r="H396" s="240"/>
      <c r="I396" s="240"/>
      <c r="J396" s="261"/>
      <c r="K396" s="241"/>
      <c r="L396" s="234"/>
      <c r="M396" s="237"/>
      <c r="N396" s="240"/>
      <c r="O396" s="236"/>
      <c r="P396" s="297"/>
      <c r="Q396" s="298"/>
      <c r="R396" s="298"/>
      <c r="S396" s="297"/>
      <c r="T396" s="299"/>
      <c r="U396" s="235"/>
      <c r="V396" s="235"/>
      <c r="W396" s="300"/>
      <c r="X396" s="236"/>
      <c r="Y396" s="211"/>
      <c r="Z396" s="237"/>
      <c r="AA396" s="238"/>
      <c r="AB396" s="211"/>
      <c r="AC396" s="237"/>
      <c r="AD396" s="238"/>
      <c r="AE396" s="294">
        <v>47595</v>
      </c>
    </row>
    <row r="397" spans="1:31">
      <c r="A397" s="233"/>
      <c r="B397" s="301"/>
      <c r="C397" s="233"/>
      <c r="D397" s="233"/>
      <c r="E397" s="295"/>
      <c r="F397" s="241"/>
      <c r="G397" s="296"/>
      <c r="H397" s="240"/>
      <c r="I397" s="240"/>
      <c r="J397" s="261"/>
      <c r="K397" s="241"/>
      <c r="L397" s="234"/>
      <c r="M397" s="237"/>
      <c r="N397" s="240"/>
      <c r="O397" s="236"/>
      <c r="P397" s="297"/>
      <c r="Q397" s="298"/>
      <c r="R397" s="298"/>
      <c r="S397" s="297"/>
      <c r="T397" s="299"/>
      <c r="U397" s="235"/>
      <c r="V397" s="235"/>
      <c r="W397" s="300"/>
      <c r="X397" s="236"/>
      <c r="Y397" s="211"/>
      <c r="Z397" s="237"/>
      <c r="AA397" s="238"/>
      <c r="AB397" s="211"/>
      <c r="AC397" s="237"/>
      <c r="AD397" s="238"/>
      <c r="AE397" s="294">
        <v>47598</v>
      </c>
    </row>
    <row r="398" spans="1:31">
      <c r="A398" s="233"/>
      <c r="B398" s="301"/>
      <c r="C398" s="233"/>
      <c r="D398" s="233"/>
      <c r="E398" s="295"/>
      <c r="F398" s="241"/>
      <c r="G398" s="296"/>
      <c r="H398" s="240"/>
      <c r="I398" s="240"/>
      <c r="J398" s="261"/>
      <c r="K398" s="241"/>
      <c r="L398" s="234"/>
      <c r="M398" s="237"/>
      <c r="N398" s="240"/>
      <c r="O398" s="236"/>
      <c r="P398" s="297"/>
      <c r="Q398" s="298"/>
      <c r="R398" s="298"/>
      <c r="S398" s="297"/>
      <c r="T398" s="299"/>
      <c r="U398" s="235"/>
      <c r="V398" s="235"/>
      <c r="W398" s="300"/>
      <c r="X398" s="236"/>
      <c r="Y398" s="211"/>
      <c r="Z398" s="237"/>
      <c r="AA398" s="238"/>
      <c r="AB398" s="211"/>
      <c r="AC398" s="237"/>
      <c r="AD398" s="238"/>
      <c r="AE398" s="294">
        <v>47644</v>
      </c>
    </row>
    <row r="399" spans="1:31">
      <c r="A399" s="233"/>
      <c r="B399" s="301"/>
      <c r="C399" s="233"/>
      <c r="D399" s="233"/>
      <c r="E399" s="295"/>
      <c r="F399" s="241"/>
      <c r="G399" s="296"/>
      <c r="H399" s="240"/>
      <c r="I399" s="240"/>
      <c r="J399" s="261"/>
      <c r="K399" s="241"/>
      <c r="L399" s="234"/>
      <c r="M399" s="237"/>
      <c r="N399" s="240"/>
      <c r="O399" s="236"/>
      <c r="P399" s="297"/>
      <c r="Q399" s="298"/>
      <c r="R399" s="298"/>
      <c r="S399" s="297"/>
      <c r="T399" s="299"/>
      <c r="U399" s="235"/>
      <c r="V399" s="235"/>
      <c r="W399" s="300"/>
      <c r="X399" s="236"/>
      <c r="Y399" s="211"/>
      <c r="Z399" s="237"/>
      <c r="AA399" s="238"/>
      <c r="AB399" s="211"/>
      <c r="AC399" s="237"/>
      <c r="AD399" s="238"/>
      <c r="AE399" s="294">
        <v>47700</v>
      </c>
    </row>
    <row r="400" spans="1:31">
      <c r="A400" s="233"/>
      <c r="B400" s="301"/>
      <c r="C400" s="233"/>
      <c r="D400" s="233"/>
      <c r="E400" s="295"/>
      <c r="F400" s="241"/>
      <c r="G400" s="296"/>
      <c r="H400" s="240"/>
      <c r="I400" s="240"/>
      <c r="J400" s="261"/>
      <c r="K400" s="241"/>
      <c r="L400" s="234"/>
      <c r="M400" s="237"/>
      <c r="N400" s="240"/>
      <c r="O400" s="236"/>
      <c r="P400" s="297"/>
      <c r="Q400" s="298"/>
      <c r="R400" s="298"/>
      <c r="S400" s="297"/>
      <c r="T400" s="299"/>
      <c r="U400" s="235"/>
      <c r="V400" s="235"/>
      <c r="W400" s="300"/>
      <c r="X400" s="236"/>
      <c r="Y400" s="211"/>
      <c r="Z400" s="237"/>
      <c r="AA400" s="238"/>
      <c r="AB400" s="211"/>
      <c r="AC400" s="237"/>
      <c r="AD400" s="238"/>
      <c r="AE400" s="294">
        <v>47763</v>
      </c>
    </row>
    <row r="401" spans="1:31">
      <c r="A401" s="233"/>
      <c r="B401" s="301"/>
      <c r="C401" s="233"/>
      <c r="D401" s="233"/>
      <c r="E401" s="295"/>
      <c r="F401" s="241"/>
      <c r="G401" s="296"/>
      <c r="H401" s="240"/>
      <c r="I401" s="240"/>
      <c r="J401" s="261"/>
      <c r="K401" s="241"/>
      <c r="L401" s="234"/>
      <c r="M401" s="237"/>
      <c r="N401" s="240"/>
      <c r="O401" s="236"/>
      <c r="P401" s="297"/>
      <c r="Q401" s="298"/>
      <c r="R401" s="298"/>
      <c r="S401" s="297"/>
      <c r="T401" s="299"/>
      <c r="U401" s="235"/>
      <c r="V401" s="235"/>
      <c r="W401" s="300"/>
      <c r="X401" s="236"/>
      <c r="Y401" s="211"/>
      <c r="Z401" s="237"/>
      <c r="AA401" s="238"/>
      <c r="AB401" s="211"/>
      <c r="AC401" s="237"/>
      <c r="AD401" s="238"/>
      <c r="AE401" s="294">
        <v>47842</v>
      </c>
    </row>
    <row r="402" spans="1:31">
      <c r="A402" s="233"/>
      <c r="B402" s="301"/>
      <c r="C402" s="233"/>
      <c r="D402" s="233"/>
      <c r="E402" s="295"/>
      <c r="F402" s="241"/>
      <c r="G402" s="296"/>
      <c r="H402" s="240"/>
      <c r="I402" s="240"/>
      <c r="J402" s="261"/>
      <c r="K402" s="241"/>
      <c r="L402" s="234"/>
      <c r="M402" s="237"/>
      <c r="N402" s="240"/>
      <c r="O402" s="236"/>
      <c r="P402" s="297"/>
      <c r="Q402" s="298"/>
      <c r="R402" s="298"/>
      <c r="S402" s="297"/>
      <c r="T402" s="299"/>
      <c r="U402" s="235"/>
      <c r="V402" s="235"/>
      <c r="W402" s="300"/>
      <c r="X402" s="236"/>
      <c r="Y402" s="211"/>
      <c r="Z402" s="237"/>
      <c r="AA402" s="238"/>
      <c r="AB402" s="211"/>
      <c r="AC402" s="237"/>
      <c r="AD402" s="238"/>
      <c r="AE402" s="294">
        <v>47843</v>
      </c>
    </row>
    <row r="403" spans="1:31">
      <c r="A403" s="233"/>
      <c r="B403" s="301"/>
      <c r="C403" s="233"/>
      <c r="D403" s="233"/>
      <c r="E403" s="295"/>
      <c r="F403" s="241"/>
      <c r="G403" s="296"/>
      <c r="H403" s="240"/>
      <c r="I403" s="240"/>
      <c r="J403" s="261"/>
      <c r="K403" s="241"/>
      <c r="L403" s="234"/>
      <c r="M403" s="237"/>
      <c r="N403" s="240"/>
      <c r="O403" s="236"/>
      <c r="P403" s="297"/>
      <c r="Q403" s="298"/>
      <c r="R403" s="298"/>
      <c r="S403" s="297"/>
      <c r="T403" s="299"/>
      <c r="U403" s="235"/>
      <c r="V403" s="235"/>
      <c r="W403" s="300"/>
      <c r="X403" s="236"/>
      <c r="Y403" s="211"/>
      <c r="Z403" s="237"/>
      <c r="AA403" s="238"/>
      <c r="AB403" s="211"/>
      <c r="AC403" s="237"/>
      <c r="AD403" s="238"/>
      <c r="AE403" s="294">
        <v>47849</v>
      </c>
    </row>
    <row r="404" spans="1:31">
      <c r="A404" s="233"/>
      <c r="B404" s="301"/>
      <c r="C404" s="233"/>
      <c r="D404" s="233"/>
      <c r="E404" s="295"/>
      <c r="F404" s="241"/>
      <c r="G404" s="296"/>
      <c r="H404" s="240"/>
      <c r="I404" s="240"/>
      <c r="J404" s="261"/>
      <c r="K404" s="241"/>
      <c r="L404" s="234"/>
      <c r="M404" s="237"/>
      <c r="N404" s="240"/>
      <c r="O404" s="236"/>
      <c r="P404" s="297"/>
      <c r="Q404" s="298"/>
      <c r="R404" s="298"/>
      <c r="S404" s="297"/>
      <c r="T404" s="299"/>
      <c r="U404" s="235"/>
      <c r="V404" s="235"/>
      <c r="W404" s="300"/>
      <c r="X404" s="236"/>
      <c r="Y404" s="211"/>
      <c r="Z404" s="237"/>
      <c r="AA404" s="238"/>
      <c r="AB404" s="211"/>
      <c r="AC404" s="237"/>
      <c r="AD404" s="238"/>
      <c r="AE404" s="294">
        <v>47875</v>
      </c>
    </row>
    <row r="405" spans="1:31">
      <c r="A405" s="233"/>
      <c r="B405" s="301"/>
      <c r="C405" s="233"/>
      <c r="D405" s="233"/>
      <c r="E405" s="295"/>
      <c r="F405" s="241"/>
      <c r="G405" s="296"/>
      <c r="H405" s="240"/>
      <c r="I405" s="240"/>
      <c r="J405" s="261"/>
      <c r="K405" s="241"/>
      <c r="L405" s="234"/>
      <c r="M405" s="237"/>
      <c r="N405" s="240"/>
      <c r="O405" s="236"/>
      <c r="P405" s="297"/>
      <c r="Q405" s="298"/>
      <c r="R405" s="298"/>
      <c r="S405" s="297"/>
      <c r="T405" s="299"/>
      <c r="U405" s="235"/>
      <c r="V405" s="235"/>
      <c r="W405" s="300"/>
      <c r="X405" s="236"/>
      <c r="Y405" s="211"/>
      <c r="Z405" s="237"/>
      <c r="AA405" s="238"/>
      <c r="AB405" s="211"/>
      <c r="AC405" s="237"/>
      <c r="AD405" s="238"/>
      <c r="AE405" s="294">
        <v>47949</v>
      </c>
    </row>
    <row r="406" spans="1:31">
      <c r="A406" s="233"/>
      <c r="B406" s="301"/>
      <c r="C406" s="233"/>
      <c r="D406" s="233"/>
      <c r="E406" s="295"/>
      <c r="F406" s="241"/>
      <c r="G406" s="296"/>
      <c r="H406" s="240"/>
      <c r="I406" s="240"/>
      <c r="J406" s="261"/>
      <c r="K406" s="241"/>
      <c r="L406" s="234"/>
      <c r="M406" s="237"/>
      <c r="N406" s="240"/>
      <c r="O406" s="236"/>
      <c r="P406" s="297"/>
      <c r="Q406" s="298"/>
      <c r="R406" s="298"/>
      <c r="S406" s="297"/>
      <c r="T406" s="299"/>
      <c r="U406" s="235"/>
      <c r="V406" s="235"/>
      <c r="W406" s="300"/>
      <c r="X406" s="236"/>
      <c r="Y406" s="211"/>
      <c r="Z406" s="237"/>
      <c r="AA406" s="238"/>
      <c r="AB406" s="211"/>
      <c r="AC406" s="237"/>
      <c r="AD406" s="238"/>
      <c r="AE406" s="294">
        <v>47952</v>
      </c>
    </row>
    <row r="407" spans="1:31">
      <c r="A407" s="233"/>
      <c r="B407" s="301"/>
      <c r="C407" s="233"/>
      <c r="D407" s="233"/>
      <c r="E407" s="295"/>
      <c r="F407" s="241"/>
      <c r="G407" s="296"/>
      <c r="H407" s="240"/>
      <c r="I407" s="240"/>
      <c r="J407" s="261"/>
      <c r="K407" s="241"/>
      <c r="L407" s="234"/>
      <c r="M407" s="237"/>
      <c r="N407" s="240"/>
      <c r="O407" s="236"/>
      <c r="P407" s="297"/>
      <c r="Q407" s="298"/>
      <c r="R407" s="298"/>
      <c r="S407" s="297"/>
      <c r="T407" s="299"/>
      <c r="U407" s="235"/>
      <c r="V407" s="235"/>
      <c r="W407" s="300"/>
      <c r="X407" s="236"/>
      <c r="Y407" s="211"/>
      <c r="Z407" s="237"/>
      <c r="AA407" s="238"/>
      <c r="AB407" s="211"/>
      <c r="AC407" s="237"/>
      <c r="AD407" s="238"/>
      <c r="AE407" s="294">
        <v>47963</v>
      </c>
    </row>
    <row r="408" spans="1:31">
      <c r="A408" s="233"/>
      <c r="B408" s="301"/>
      <c r="C408" s="233"/>
      <c r="D408" s="233"/>
      <c r="E408" s="295"/>
      <c r="F408" s="241"/>
      <c r="G408" s="296"/>
      <c r="H408" s="240"/>
      <c r="I408" s="240"/>
      <c r="J408" s="261"/>
      <c r="K408" s="241"/>
      <c r="L408" s="234"/>
      <c r="M408" s="237"/>
      <c r="N408" s="240"/>
      <c r="O408" s="236"/>
      <c r="P408" s="297"/>
      <c r="Q408" s="298"/>
      <c r="R408" s="298"/>
      <c r="S408" s="297"/>
      <c r="T408" s="299"/>
      <c r="U408" s="235"/>
      <c r="V408" s="235"/>
      <c r="W408" s="300"/>
      <c r="X408" s="236"/>
      <c r="Y408" s="211"/>
      <c r="Z408" s="237"/>
      <c r="AA408" s="238"/>
      <c r="AB408" s="211"/>
      <c r="AC408" s="237"/>
      <c r="AD408" s="238"/>
      <c r="AE408" s="294">
        <v>48008</v>
      </c>
    </row>
    <row r="409" spans="1:31">
      <c r="A409" s="233"/>
      <c r="B409" s="301"/>
      <c r="C409" s="233"/>
      <c r="D409" s="233"/>
      <c r="E409" s="295"/>
      <c r="F409" s="241"/>
      <c r="G409" s="296"/>
      <c r="H409" s="240"/>
      <c r="I409" s="240"/>
      <c r="J409" s="261"/>
      <c r="K409" s="241"/>
      <c r="L409" s="234"/>
      <c r="M409" s="237"/>
      <c r="N409" s="240"/>
      <c r="O409" s="236"/>
      <c r="P409" s="297"/>
      <c r="Q409" s="298"/>
      <c r="R409" s="298"/>
      <c r="S409" s="297"/>
      <c r="T409" s="299"/>
      <c r="U409" s="235"/>
      <c r="V409" s="235"/>
      <c r="W409" s="300"/>
      <c r="X409" s="236"/>
      <c r="Y409" s="211"/>
      <c r="Z409" s="237"/>
      <c r="AA409" s="238"/>
      <c r="AB409" s="211"/>
      <c r="AC409" s="237"/>
      <c r="AD409" s="238"/>
      <c r="AE409" s="294">
        <v>48064</v>
      </c>
    </row>
    <row r="410" spans="1:31">
      <c r="A410" s="233"/>
      <c r="B410" s="301"/>
      <c r="C410" s="233"/>
      <c r="D410" s="233"/>
      <c r="E410" s="295"/>
      <c r="F410" s="241"/>
      <c r="G410" s="296"/>
      <c r="H410" s="240"/>
      <c r="I410" s="240"/>
      <c r="J410" s="261"/>
      <c r="K410" s="241"/>
      <c r="L410" s="234"/>
      <c r="M410" s="237"/>
      <c r="N410" s="240"/>
      <c r="O410" s="236"/>
      <c r="P410" s="297"/>
      <c r="Q410" s="298"/>
      <c r="R410" s="298"/>
      <c r="S410" s="297"/>
      <c r="T410" s="299"/>
      <c r="U410" s="235"/>
      <c r="V410" s="235"/>
      <c r="W410" s="300"/>
      <c r="X410" s="236"/>
      <c r="Y410" s="211"/>
      <c r="Z410" s="237"/>
      <c r="AA410" s="238"/>
      <c r="AB410" s="211"/>
      <c r="AC410" s="237"/>
      <c r="AD410" s="238"/>
      <c r="AE410" s="294">
        <v>48127</v>
      </c>
    </row>
    <row r="411" spans="1:31">
      <c r="A411" s="233"/>
      <c r="B411" s="301"/>
      <c r="C411" s="233"/>
      <c r="D411" s="233"/>
      <c r="E411" s="295"/>
      <c r="F411" s="241"/>
      <c r="G411" s="296"/>
      <c r="H411" s="240"/>
      <c r="I411" s="240"/>
      <c r="J411" s="261"/>
      <c r="K411" s="241"/>
      <c r="L411" s="234"/>
      <c r="M411" s="237"/>
      <c r="N411" s="240"/>
      <c r="O411" s="236"/>
      <c r="P411" s="297"/>
      <c r="Q411" s="298"/>
      <c r="R411" s="298"/>
      <c r="S411" s="297"/>
      <c r="T411" s="299"/>
      <c r="U411" s="235"/>
      <c r="V411" s="235"/>
      <c r="W411" s="300"/>
      <c r="X411" s="236"/>
      <c r="Y411" s="211"/>
      <c r="Z411" s="237"/>
      <c r="AA411" s="238"/>
      <c r="AB411" s="211"/>
      <c r="AC411" s="237"/>
      <c r="AD411" s="238"/>
      <c r="AE411" s="294">
        <v>48207</v>
      </c>
    </row>
    <row r="412" spans="1:31">
      <c r="A412" s="233"/>
      <c r="B412" s="301"/>
      <c r="C412" s="233"/>
      <c r="D412" s="233"/>
      <c r="E412" s="295"/>
      <c r="F412" s="241"/>
      <c r="G412" s="296"/>
      <c r="H412" s="240"/>
      <c r="I412" s="240"/>
      <c r="J412" s="261"/>
      <c r="K412" s="241"/>
      <c r="L412" s="234"/>
      <c r="M412" s="237"/>
      <c r="N412" s="240"/>
      <c r="O412" s="236"/>
      <c r="P412" s="297"/>
      <c r="Q412" s="298"/>
      <c r="R412" s="298"/>
      <c r="S412" s="297"/>
      <c r="T412" s="299"/>
      <c r="U412" s="235"/>
      <c r="V412" s="235"/>
      <c r="W412" s="300"/>
      <c r="X412" s="236"/>
      <c r="Y412" s="211"/>
      <c r="Z412" s="237"/>
      <c r="AA412" s="238"/>
      <c r="AB412" s="211"/>
      <c r="AC412" s="237"/>
      <c r="AD412" s="238"/>
      <c r="AE412" s="294">
        <v>48208</v>
      </c>
    </row>
    <row r="413" spans="1:31">
      <c r="A413" s="233"/>
      <c r="B413" s="301"/>
      <c r="C413" s="233"/>
      <c r="D413" s="233"/>
      <c r="E413" s="295"/>
      <c r="F413" s="241"/>
      <c r="G413" s="296"/>
      <c r="H413" s="240"/>
      <c r="I413" s="240"/>
      <c r="J413" s="261"/>
      <c r="K413" s="241"/>
      <c r="L413" s="234"/>
      <c r="M413" s="237"/>
      <c r="N413" s="240"/>
      <c r="O413" s="236"/>
      <c r="P413" s="297"/>
      <c r="Q413" s="298"/>
      <c r="R413" s="298"/>
      <c r="S413" s="297"/>
      <c r="T413" s="299"/>
      <c r="U413" s="235"/>
      <c r="V413" s="235"/>
      <c r="W413" s="300"/>
      <c r="X413" s="236"/>
      <c r="Y413" s="211"/>
      <c r="Z413" s="237"/>
      <c r="AA413" s="238"/>
      <c r="AB413" s="211"/>
      <c r="AC413" s="237"/>
      <c r="AD413" s="238"/>
      <c r="AE413" s="294">
        <v>48214</v>
      </c>
    </row>
    <row r="414" spans="1:31">
      <c r="A414" s="233"/>
      <c r="B414" s="301"/>
      <c r="C414" s="233"/>
      <c r="D414" s="233"/>
      <c r="E414" s="295"/>
      <c r="F414" s="241"/>
      <c r="G414" s="296"/>
      <c r="H414" s="240"/>
      <c r="I414" s="240"/>
      <c r="J414" s="261"/>
      <c r="K414" s="241"/>
      <c r="L414" s="234"/>
      <c r="M414" s="237"/>
      <c r="N414" s="240"/>
      <c r="O414" s="236"/>
      <c r="P414" s="297"/>
      <c r="Q414" s="298"/>
      <c r="R414" s="298"/>
      <c r="S414" s="297"/>
      <c r="T414" s="299"/>
      <c r="U414" s="235"/>
      <c r="V414" s="235"/>
      <c r="W414" s="300"/>
      <c r="X414" s="236"/>
      <c r="Y414" s="211"/>
      <c r="Z414" s="237"/>
      <c r="AA414" s="238"/>
      <c r="AB414" s="211"/>
      <c r="AC414" s="237"/>
      <c r="AD414" s="238"/>
      <c r="AE414" s="294">
        <v>48239</v>
      </c>
    </row>
    <row r="415" spans="1:31">
      <c r="A415" s="233"/>
      <c r="B415" s="301"/>
      <c r="C415" s="233"/>
      <c r="D415" s="233"/>
      <c r="E415" s="295"/>
      <c r="F415" s="241"/>
      <c r="G415" s="296"/>
      <c r="H415" s="240"/>
      <c r="I415" s="240"/>
      <c r="J415" s="261"/>
      <c r="K415" s="241"/>
      <c r="L415" s="234"/>
      <c r="M415" s="237"/>
      <c r="N415" s="240"/>
      <c r="O415" s="236"/>
      <c r="P415" s="297"/>
      <c r="Q415" s="298"/>
      <c r="R415" s="298"/>
      <c r="S415" s="297"/>
      <c r="T415" s="299"/>
      <c r="U415" s="235"/>
      <c r="V415" s="235"/>
      <c r="W415" s="300"/>
      <c r="X415" s="236"/>
      <c r="Y415" s="211"/>
      <c r="Z415" s="237"/>
      <c r="AA415" s="238"/>
      <c r="AB415" s="211"/>
      <c r="AC415" s="237"/>
      <c r="AD415" s="238"/>
      <c r="AE415" s="294">
        <v>48299</v>
      </c>
    </row>
    <row r="416" spans="1:31">
      <c r="A416" s="233"/>
      <c r="B416" s="301"/>
      <c r="C416" s="233"/>
      <c r="D416" s="233"/>
      <c r="E416" s="295"/>
      <c r="F416" s="241"/>
      <c r="G416" s="296"/>
      <c r="H416" s="240"/>
      <c r="I416" s="240"/>
      <c r="J416" s="261"/>
      <c r="K416" s="241"/>
      <c r="L416" s="234"/>
      <c r="M416" s="237"/>
      <c r="N416" s="240"/>
      <c r="O416" s="236"/>
      <c r="P416" s="297"/>
      <c r="Q416" s="298"/>
      <c r="R416" s="298"/>
      <c r="S416" s="297"/>
      <c r="T416" s="299"/>
      <c r="U416" s="235"/>
      <c r="V416" s="235"/>
      <c r="W416" s="300"/>
      <c r="X416" s="236"/>
      <c r="Y416" s="211"/>
      <c r="Z416" s="237"/>
      <c r="AA416" s="238"/>
      <c r="AB416" s="211"/>
      <c r="AC416" s="237"/>
      <c r="AD416" s="238"/>
      <c r="AE416" s="294">
        <v>48302</v>
      </c>
    </row>
    <row r="417" spans="1:31">
      <c r="A417" s="233"/>
      <c r="B417" s="301"/>
      <c r="C417" s="233"/>
      <c r="D417" s="233"/>
      <c r="E417" s="295"/>
      <c r="F417" s="241"/>
      <c r="G417" s="296"/>
      <c r="H417" s="240"/>
      <c r="I417" s="240"/>
      <c r="J417" s="261"/>
      <c r="K417" s="241"/>
      <c r="L417" s="234"/>
      <c r="M417" s="237"/>
      <c r="N417" s="240"/>
      <c r="O417" s="236"/>
      <c r="P417" s="297"/>
      <c r="Q417" s="298"/>
      <c r="R417" s="298"/>
      <c r="S417" s="297"/>
      <c r="T417" s="299"/>
      <c r="U417" s="235"/>
      <c r="V417" s="235"/>
      <c r="W417" s="300"/>
      <c r="X417" s="236"/>
      <c r="Y417" s="211"/>
      <c r="Z417" s="237"/>
      <c r="AA417" s="238"/>
      <c r="AB417" s="211"/>
      <c r="AC417" s="237"/>
      <c r="AD417" s="238"/>
      <c r="AE417" s="294">
        <v>48379</v>
      </c>
    </row>
    <row r="418" spans="1:31">
      <c r="A418" s="233"/>
      <c r="B418" s="301"/>
      <c r="C418" s="233"/>
      <c r="D418" s="233"/>
      <c r="E418" s="295"/>
      <c r="F418" s="241"/>
      <c r="G418" s="296"/>
      <c r="H418" s="240"/>
      <c r="I418" s="240"/>
      <c r="J418" s="261"/>
      <c r="K418" s="241"/>
      <c r="L418" s="234"/>
      <c r="M418" s="237"/>
      <c r="N418" s="240"/>
      <c r="O418" s="236"/>
      <c r="P418" s="297"/>
      <c r="Q418" s="298"/>
      <c r="R418" s="298"/>
      <c r="S418" s="297"/>
      <c r="T418" s="299"/>
      <c r="U418" s="235"/>
      <c r="V418" s="235"/>
      <c r="W418" s="300"/>
      <c r="X418" s="236"/>
      <c r="Y418" s="211"/>
      <c r="Z418" s="237"/>
      <c r="AA418" s="238"/>
      <c r="AB418" s="211"/>
      <c r="AC418" s="237"/>
      <c r="AD418" s="238"/>
      <c r="AE418" s="294">
        <v>48428</v>
      </c>
    </row>
    <row r="419" spans="1:31">
      <c r="A419" s="233"/>
      <c r="B419" s="301"/>
      <c r="C419" s="233"/>
      <c r="D419" s="233"/>
      <c r="E419" s="295"/>
      <c r="F419" s="241"/>
      <c r="G419" s="296"/>
      <c r="H419" s="240"/>
      <c r="I419" s="240"/>
      <c r="J419" s="261"/>
      <c r="K419" s="241"/>
      <c r="L419" s="234"/>
      <c r="M419" s="237"/>
      <c r="N419" s="240"/>
      <c r="O419" s="236"/>
      <c r="P419" s="297"/>
      <c r="Q419" s="298"/>
      <c r="R419" s="298"/>
      <c r="S419" s="297"/>
      <c r="T419" s="299"/>
      <c r="U419" s="235"/>
      <c r="V419" s="235"/>
      <c r="W419" s="300"/>
      <c r="X419" s="236"/>
      <c r="Y419" s="211"/>
      <c r="Z419" s="237"/>
      <c r="AA419" s="238"/>
      <c r="AB419" s="211"/>
      <c r="AC419" s="237"/>
      <c r="AD419" s="238"/>
      <c r="AE419" s="294">
        <v>48491</v>
      </c>
    </row>
    <row r="420" spans="1:31">
      <c r="A420" s="233"/>
      <c r="B420" s="301"/>
      <c r="C420" s="233"/>
      <c r="D420" s="233"/>
      <c r="E420" s="295"/>
      <c r="F420" s="241"/>
      <c r="G420" s="296"/>
      <c r="H420" s="240"/>
      <c r="I420" s="240"/>
      <c r="J420" s="261"/>
      <c r="K420" s="241"/>
      <c r="L420" s="234"/>
      <c r="M420" s="237"/>
      <c r="N420" s="240"/>
      <c r="O420" s="236"/>
      <c r="P420" s="297"/>
      <c r="Q420" s="298"/>
      <c r="R420" s="298"/>
      <c r="S420" s="297"/>
      <c r="T420" s="299"/>
      <c r="U420" s="235"/>
      <c r="V420" s="235"/>
      <c r="W420" s="300"/>
      <c r="X420" s="236"/>
      <c r="Y420" s="211"/>
      <c r="Z420" s="237"/>
      <c r="AA420" s="238"/>
      <c r="AB420" s="211"/>
      <c r="AC420" s="237"/>
      <c r="AD420" s="238"/>
      <c r="AE420" s="294">
        <v>48575</v>
      </c>
    </row>
    <row r="421" spans="1:31">
      <c r="A421" s="233"/>
      <c r="B421" s="301"/>
      <c r="C421" s="233"/>
      <c r="D421" s="233"/>
      <c r="E421" s="295"/>
      <c r="F421" s="241"/>
      <c r="G421" s="296"/>
      <c r="H421" s="240"/>
      <c r="I421" s="240"/>
      <c r="J421" s="261"/>
      <c r="K421" s="241"/>
      <c r="L421" s="234"/>
      <c r="M421" s="237"/>
      <c r="N421" s="240"/>
      <c r="O421" s="236"/>
      <c r="P421" s="297"/>
      <c r="Q421" s="298"/>
      <c r="R421" s="298"/>
      <c r="S421" s="297"/>
      <c r="T421" s="299"/>
      <c r="U421" s="235"/>
      <c r="V421" s="235"/>
      <c r="W421" s="300"/>
      <c r="X421" s="236"/>
      <c r="Y421" s="211"/>
      <c r="Z421" s="237"/>
      <c r="AA421" s="238"/>
      <c r="AB421" s="211"/>
      <c r="AC421" s="237"/>
      <c r="AD421" s="238"/>
      <c r="AE421" s="294">
        <v>48576</v>
      </c>
    </row>
    <row r="422" spans="1:31">
      <c r="A422" s="233"/>
      <c r="B422" s="301"/>
      <c r="C422" s="233"/>
      <c r="D422" s="233"/>
      <c r="E422" s="295"/>
      <c r="F422" s="241"/>
      <c r="G422" s="296"/>
      <c r="H422" s="240"/>
      <c r="I422" s="240"/>
      <c r="J422" s="261"/>
      <c r="K422" s="241"/>
      <c r="L422" s="234"/>
      <c r="M422" s="237"/>
      <c r="N422" s="240"/>
      <c r="O422" s="236"/>
      <c r="P422" s="297"/>
      <c r="Q422" s="298"/>
      <c r="R422" s="298"/>
      <c r="S422" s="297"/>
      <c r="T422" s="299"/>
      <c r="U422" s="235"/>
      <c r="V422" s="235"/>
      <c r="W422" s="300"/>
      <c r="X422" s="236"/>
      <c r="Y422" s="211"/>
      <c r="Z422" s="237"/>
      <c r="AA422" s="238"/>
      <c r="AB422" s="211"/>
      <c r="AC422" s="237"/>
      <c r="AD422" s="238"/>
      <c r="AE422" s="294">
        <v>48582</v>
      </c>
    </row>
    <row r="423" spans="1:31">
      <c r="A423" s="233"/>
      <c r="B423" s="301"/>
      <c r="C423" s="233"/>
      <c r="D423" s="233"/>
      <c r="E423" s="295"/>
      <c r="F423" s="241"/>
      <c r="G423" s="296"/>
      <c r="H423" s="240"/>
      <c r="I423" s="240"/>
      <c r="J423" s="261"/>
      <c r="K423" s="241"/>
      <c r="L423" s="234"/>
      <c r="M423" s="237"/>
      <c r="N423" s="240"/>
      <c r="O423" s="236"/>
      <c r="P423" s="297"/>
      <c r="Q423" s="298"/>
      <c r="R423" s="298"/>
      <c r="S423" s="297"/>
      <c r="T423" s="299"/>
      <c r="U423" s="235"/>
      <c r="V423" s="235"/>
      <c r="W423" s="300"/>
      <c r="X423" s="236"/>
      <c r="Y423" s="211"/>
      <c r="Z423" s="237"/>
      <c r="AA423" s="238"/>
      <c r="AB423" s="211"/>
      <c r="AC423" s="237"/>
      <c r="AD423" s="238"/>
      <c r="AE423" s="294">
        <v>48605</v>
      </c>
    </row>
    <row r="424" spans="1:31">
      <c r="A424" s="233"/>
      <c r="B424" s="301"/>
      <c r="C424" s="233"/>
      <c r="D424" s="233"/>
      <c r="E424" s="295"/>
      <c r="F424" s="241"/>
      <c r="G424" s="296"/>
      <c r="H424" s="240"/>
      <c r="I424" s="240"/>
      <c r="J424" s="261"/>
      <c r="K424" s="241"/>
      <c r="L424" s="234"/>
      <c r="M424" s="237"/>
      <c r="N424" s="240"/>
      <c r="O424" s="236"/>
      <c r="P424" s="297"/>
      <c r="Q424" s="298"/>
      <c r="R424" s="298"/>
      <c r="S424" s="297"/>
      <c r="T424" s="299"/>
      <c r="U424" s="235"/>
      <c r="V424" s="235"/>
      <c r="W424" s="300"/>
      <c r="X424" s="236"/>
      <c r="Y424" s="211"/>
      <c r="Z424" s="237"/>
      <c r="AA424" s="238"/>
      <c r="AB424" s="211"/>
      <c r="AC424" s="237"/>
      <c r="AD424" s="238"/>
      <c r="AE424" s="294">
        <v>48684</v>
      </c>
    </row>
    <row r="425" spans="1:31">
      <c r="A425" s="233"/>
      <c r="B425" s="301"/>
      <c r="C425" s="233"/>
      <c r="D425" s="233"/>
      <c r="E425" s="295"/>
      <c r="F425" s="241"/>
      <c r="G425" s="296"/>
      <c r="H425" s="240"/>
      <c r="I425" s="240"/>
      <c r="J425" s="261"/>
      <c r="K425" s="241"/>
      <c r="L425" s="234"/>
      <c r="M425" s="237"/>
      <c r="N425" s="240"/>
      <c r="O425" s="236"/>
      <c r="P425" s="297"/>
      <c r="Q425" s="298"/>
      <c r="R425" s="298"/>
      <c r="S425" s="297"/>
      <c r="T425" s="299"/>
      <c r="U425" s="235"/>
      <c r="V425" s="235"/>
      <c r="W425" s="300"/>
      <c r="X425" s="236"/>
      <c r="Y425" s="211"/>
      <c r="Z425" s="237"/>
      <c r="AA425" s="238"/>
      <c r="AB425" s="211"/>
      <c r="AC425" s="237"/>
      <c r="AD425" s="238"/>
      <c r="AE425" s="294">
        <v>48687</v>
      </c>
    </row>
    <row r="426" spans="1:31">
      <c r="A426" s="233"/>
      <c r="B426" s="301"/>
      <c r="C426" s="233"/>
      <c r="D426" s="233"/>
      <c r="E426" s="295"/>
      <c r="F426" s="241"/>
      <c r="G426" s="296"/>
      <c r="H426" s="240"/>
      <c r="I426" s="240"/>
      <c r="J426" s="261"/>
      <c r="K426" s="241"/>
      <c r="L426" s="234"/>
      <c r="M426" s="237"/>
      <c r="N426" s="240"/>
      <c r="O426" s="236"/>
      <c r="P426" s="297"/>
      <c r="Q426" s="298"/>
      <c r="R426" s="298"/>
      <c r="S426" s="297"/>
      <c r="T426" s="299"/>
      <c r="U426" s="235"/>
      <c r="V426" s="235"/>
      <c r="W426" s="300"/>
      <c r="X426" s="236"/>
      <c r="Y426" s="211"/>
      <c r="Z426" s="237"/>
      <c r="AA426" s="238"/>
      <c r="AB426" s="211"/>
      <c r="AC426" s="237"/>
      <c r="AD426" s="238"/>
      <c r="AE426" s="294">
        <v>48694</v>
      </c>
    </row>
    <row r="427" spans="1:31">
      <c r="A427" s="233"/>
      <c r="B427" s="301"/>
      <c r="C427" s="233"/>
      <c r="D427" s="233"/>
      <c r="E427" s="295"/>
      <c r="F427" s="241"/>
      <c r="G427" s="296"/>
      <c r="H427" s="240"/>
      <c r="I427" s="240"/>
      <c r="J427" s="261"/>
      <c r="K427" s="241"/>
      <c r="L427" s="234"/>
      <c r="M427" s="237"/>
      <c r="N427" s="240"/>
      <c r="O427" s="236"/>
      <c r="P427" s="297"/>
      <c r="Q427" s="298"/>
      <c r="R427" s="298"/>
      <c r="S427" s="297"/>
      <c r="T427" s="299"/>
      <c r="U427" s="235"/>
      <c r="V427" s="235"/>
      <c r="W427" s="300"/>
      <c r="X427" s="236"/>
      <c r="Y427" s="211"/>
      <c r="Z427" s="237"/>
      <c r="AA427" s="238"/>
      <c r="AB427" s="211"/>
      <c r="AC427" s="237"/>
      <c r="AD427" s="238"/>
      <c r="AE427" s="294">
        <v>48743</v>
      </c>
    </row>
    <row r="428" spans="1:31">
      <c r="A428" s="233"/>
      <c r="B428" s="301"/>
      <c r="C428" s="233"/>
      <c r="D428" s="233"/>
      <c r="E428" s="295"/>
      <c r="F428" s="241"/>
      <c r="G428" s="296"/>
      <c r="H428" s="240"/>
      <c r="I428" s="240"/>
      <c r="J428" s="261"/>
      <c r="K428" s="241"/>
      <c r="L428" s="234"/>
      <c r="M428" s="237"/>
      <c r="N428" s="240"/>
      <c r="O428" s="236"/>
      <c r="P428" s="297"/>
      <c r="Q428" s="298"/>
      <c r="R428" s="298"/>
      <c r="S428" s="297"/>
      <c r="T428" s="299"/>
      <c r="U428" s="235"/>
      <c r="V428" s="235"/>
      <c r="W428" s="300"/>
      <c r="X428" s="236"/>
      <c r="Y428" s="211"/>
      <c r="Z428" s="237"/>
      <c r="AA428" s="238"/>
      <c r="AB428" s="211"/>
      <c r="AC428" s="237"/>
      <c r="AD428" s="238"/>
      <c r="AE428" s="294">
        <v>48792</v>
      </c>
    </row>
    <row r="429" spans="1:31">
      <c r="A429" s="233"/>
      <c r="B429" s="301"/>
      <c r="C429" s="233"/>
      <c r="D429" s="233"/>
      <c r="E429" s="295"/>
      <c r="F429" s="241"/>
      <c r="G429" s="296"/>
      <c r="H429" s="240"/>
      <c r="I429" s="240"/>
      <c r="J429" s="261"/>
      <c r="K429" s="241"/>
      <c r="L429" s="234"/>
      <c r="M429" s="237"/>
      <c r="N429" s="240"/>
      <c r="O429" s="236"/>
      <c r="P429" s="297"/>
      <c r="Q429" s="298"/>
      <c r="R429" s="298"/>
      <c r="S429" s="297"/>
      <c r="T429" s="299"/>
      <c r="U429" s="235"/>
      <c r="V429" s="235"/>
      <c r="W429" s="300"/>
      <c r="X429" s="236"/>
      <c r="Y429" s="211"/>
      <c r="Z429" s="237"/>
      <c r="AA429" s="238"/>
      <c r="AB429" s="211"/>
      <c r="AC429" s="237"/>
      <c r="AD429" s="238"/>
      <c r="AE429" s="294">
        <v>48855</v>
      </c>
    </row>
    <row r="430" spans="1:31">
      <c r="A430" s="233"/>
      <c r="B430" s="301"/>
      <c r="C430" s="233"/>
      <c r="D430" s="233"/>
      <c r="E430" s="295"/>
      <c r="F430" s="241"/>
      <c r="G430" s="296"/>
      <c r="H430" s="240"/>
      <c r="I430" s="240"/>
      <c r="J430" s="261"/>
      <c r="K430" s="241"/>
      <c r="L430" s="234"/>
      <c r="M430" s="237"/>
      <c r="N430" s="240"/>
      <c r="O430" s="236"/>
      <c r="P430" s="297"/>
      <c r="Q430" s="298"/>
      <c r="R430" s="298"/>
      <c r="S430" s="297"/>
      <c r="T430" s="299"/>
      <c r="U430" s="235"/>
      <c r="V430" s="235"/>
      <c r="W430" s="300"/>
      <c r="X430" s="236"/>
      <c r="Y430" s="211"/>
      <c r="Z430" s="237"/>
      <c r="AA430" s="238"/>
      <c r="AB430" s="211"/>
      <c r="AC430" s="237"/>
      <c r="AD430" s="238"/>
      <c r="AE430" s="294">
        <v>48939</v>
      </c>
    </row>
    <row r="431" spans="1:31">
      <c r="A431" s="233"/>
      <c r="B431" s="301"/>
      <c r="C431" s="233"/>
      <c r="D431" s="233"/>
      <c r="E431" s="295"/>
      <c r="F431" s="241"/>
      <c r="G431" s="296"/>
      <c r="H431" s="240"/>
      <c r="I431" s="240"/>
      <c r="J431" s="261"/>
      <c r="K431" s="241"/>
      <c r="L431" s="234"/>
      <c r="M431" s="237"/>
      <c r="N431" s="240"/>
      <c r="O431" s="236"/>
      <c r="P431" s="297"/>
      <c r="Q431" s="298"/>
      <c r="R431" s="298"/>
      <c r="S431" s="297"/>
      <c r="T431" s="299"/>
      <c r="U431" s="235"/>
      <c r="V431" s="235"/>
      <c r="W431" s="300"/>
      <c r="X431" s="236"/>
      <c r="Y431" s="211"/>
      <c r="Z431" s="237"/>
      <c r="AA431" s="238"/>
      <c r="AB431" s="211"/>
      <c r="AC431" s="237"/>
      <c r="AD431" s="238"/>
      <c r="AE431" s="294">
        <v>48940</v>
      </c>
    </row>
    <row r="432" spans="1:31">
      <c r="A432" s="233"/>
      <c r="B432" s="301"/>
      <c r="C432" s="233"/>
      <c r="D432" s="233"/>
      <c r="E432" s="295"/>
      <c r="F432" s="241"/>
      <c r="G432" s="296"/>
      <c r="H432" s="240"/>
      <c r="I432" s="240"/>
      <c r="J432" s="261"/>
      <c r="K432" s="241"/>
      <c r="L432" s="234"/>
      <c r="M432" s="237"/>
      <c r="N432" s="240"/>
      <c r="O432" s="236"/>
      <c r="P432" s="297"/>
      <c r="Q432" s="298"/>
      <c r="R432" s="298"/>
      <c r="S432" s="297"/>
      <c r="T432" s="299"/>
      <c r="U432" s="235"/>
      <c r="V432" s="235"/>
      <c r="W432" s="300"/>
      <c r="X432" s="236"/>
      <c r="Y432" s="211"/>
      <c r="Z432" s="237"/>
      <c r="AA432" s="238"/>
      <c r="AB432" s="211"/>
      <c r="AC432" s="237"/>
      <c r="AD432" s="238"/>
      <c r="AE432" s="294">
        <v>48946</v>
      </c>
    </row>
    <row r="433" spans="1:31">
      <c r="A433" s="233"/>
      <c r="B433" s="301"/>
      <c r="C433" s="233"/>
      <c r="D433" s="233"/>
      <c r="E433" s="295"/>
      <c r="F433" s="241"/>
      <c r="G433" s="296"/>
      <c r="H433" s="240"/>
      <c r="I433" s="240"/>
      <c r="J433" s="261"/>
      <c r="K433" s="241"/>
      <c r="L433" s="234"/>
      <c r="M433" s="237"/>
      <c r="N433" s="240"/>
      <c r="O433" s="236"/>
      <c r="P433" s="297"/>
      <c r="Q433" s="298"/>
      <c r="R433" s="298"/>
      <c r="S433" s="297"/>
      <c r="T433" s="299"/>
      <c r="U433" s="235"/>
      <c r="V433" s="235"/>
      <c r="W433" s="300"/>
      <c r="X433" s="236"/>
      <c r="Y433" s="211"/>
      <c r="Z433" s="237"/>
      <c r="AA433" s="238"/>
      <c r="AB433" s="211"/>
      <c r="AC433" s="237"/>
      <c r="AD433" s="238"/>
      <c r="AE433" s="294">
        <v>48970</v>
      </c>
    </row>
    <row r="434" spans="1:31">
      <c r="A434" s="233"/>
      <c r="B434" s="301"/>
      <c r="C434" s="233"/>
      <c r="D434" s="233"/>
      <c r="E434" s="295"/>
      <c r="F434" s="241"/>
      <c r="G434" s="296"/>
      <c r="H434" s="240"/>
      <c r="I434" s="240"/>
      <c r="J434" s="261"/>
      <c r="K434" s="241"/>
      <c r="L434" s="234"/>
      <c r="M434" s="237"/>
      <c r="N434" s="240"/>
      <c r="O434" s="236"/>
      <c r="P434" s="297"/>
      <c r="Q434" s="298"/>
      <c r="R434" s="298"/>
      <c r="S434" s="297"/>
      <c r="T434" s="299"/>
      <c r="U434" s="235"/>
      <c r="V434" s="235"/>
      <c r="W434" s="300"/>
      <c r="X434" s="236"/>
      <c r="Y434" s="211"/>
      <c r="Z434" s="237"/>
      <c r="AA434" s="238"/>
      <c r="AB434" s="211"/>
      <c r="AC434" s="237"/>
      <c r="AD434" s="238"/>
      <c r="AE434" s="294">
        <v>49041</v>
      </c>
    </row>
    <row r="435" spans="1:31">
      <c r="A435" s="233"/>
      <c r="B435" s="301"/>
      <c r="C435" s="233"/>
      <c r="D435" s="233"/>
      <c r="E435" s="295"/>
      <c r="F435" s="241"/>
      <c r="G435" s="296"/>
      <c r="H435" s="240"/>
      <c r="I435" s="240"/>
      <c r="J435" s="261"/>
      <c r="K435" s="241"/>
      <c r="L435" s="234"/>
      <c r="M435" s="237"/>
      <c r="N435" s="240"/>
      <c r="O435" s="236"/>
      <c r="P435" s="297"/>
      <c r="Q435" s="298"/>
      <c r="R435" s="298"/>
      <c r="S435" s="297"/>
      <c r="T435" s="299"/>
      <c r="U435" s="235"/>
      <c r="V435" s="235"/>
      <c r="W435" s="300"/>
      <c r="X435" s="236"/>
      <c r="Y435" s="211"/>
      <c r="Z435" s="237"/>
      <c r="AA435" s="238"/>
      <c r="AB435" s="211"/>
      <c r="AC435" s="237"/>
      <c r="AD435" s="238"/>
      <c r="AE435" s="294">
        <v>49044</v>
      </c>
    </row>
    <row r="436" spans="1:31">
      <c r="A436" s="233"/>
      <c r="B436" s="301"/>
      <c r="C436" s="233"/>
      <c r="D436" s="233"/>
      <c r="E436" s="295"/>
      <c r="F436" s="241"/>
      <c r="G436" s="296"/>
      <c r="H436" s="240"/>
      <c r="I436" s="240"/>
      <c r="J436" s="261"/>
      <c r="K436" s="241"/>
      <c r="L436" s="234"/>
      <c r="M436" s="237"/>
      <c r="N436" s="240"/>
      <c r="O436" s="236"/>
      <c r="P436" s="297"/>
      <c r="Q436" s="298"/>
      <c r="R436" s="298"/>
      <c r="S436" s="297"/>
      <c r="T436" s="299"/>
      <c r="U436" s="235"/>
      <c r="V436" s="235"/>
      <c r="W436" s="300"/>
      <c r="X436" s="236"/>
      <c r="Y436" s="211"/>
      <c r="Z436" s="237"/>
      <c r="AA436" s="238"/>
      <c r="AB436" s="211"/>
      <c r="AC436" s="237"/>
      <c r="AD436" s="238"/>
      <c r="AE436" s="294">
        <v>49059</v>
      </c>
    </row>
    <row r="437" spans="1:31">
      <c r="A437" s="233"/>
      <c r="B437" s="301"/>
      <c r="C437" s="233"/>
      <c r="D437" s="233"/>
      <c r="E437" s="295"/>
      <c r="F437" s="241"/>
      <c r="G437" s="296"/>
      <c r="H437" s="240"/>
      <c r="I437" s="240"/>
      <c r="J437" s="261"/>
      <c r="K437" s="241"/>
      <c r="L437" s="234"/>
      <c r="M437" s="237"/>
      <c r="N437" s="240"/>
      <c r="O437" s="236"/>
      <c r="P437" s="297"/>
      <c r="Q437" s="298"/>
      <c r="R437" s="298"/>
      <c r="S437" s="297"/>
      <c r="T437" s="299"/>
      <c r="U437" s="235"/>
      <c r="V437" s="235"/>
      <c r="W437" s="300"/>
      <c r="X437" s="236"/>
      <c r="Y437" s="211"/>
      <c r="Z437" s="237"/>
      <c r="AA437" s="238"/>
      <c r="AB437" s="211"/>
      <c r="AC437" s="237"/>
      <c r="AD437" s="238"/>
      <c r="AE437" s="294">
        <v>49107</v>
      </c>
    </row>
    <row r="438" spans="1:31">
      <c r="A438" s="233"/>
      <c r="B438" s="301"/>
      <c r="C438" s="233"/>
      <c r="D438" s="233"/>
      <c r="E438" s="295"/>
      <c r="F438" s="241"/>
      <c r="G438" s="296"/>
      <c r="H438" s="240"/>
      <c r="I438" s="240"/>
      <c r="J438" s="261"/>
      <c r="K438" s="241"/>
      <c r="L438" s="234"/>
      <c r="M438" s="237"/>
      <c r="N438" s="240"/>
      <c r="O438" s="236"/>
      <c r="P438" s="297"/>
      <c r="Q438" s="298"/>
      <c r="R438" s="298"/>
      <c r="S438" s="297"/>
      <c r="T438" s="299"/>
      <c r="U438" s="235"/>
      <c r="V438" s="235"/>
      <c r="W438" s="300"/>
      <c r="X438" s="236"/>
      <c r="Y438" s="211"/>
      <c r="Z438" s="237"/>
      <c r="AA438" s="238"/>
      <c r="AB438" s="211"/>
      <c r="AC438" s="237"/>
      <c r="AD438" s="238"/>
      <c r="AE438" s="294">
        <v>49163</v>
      </c>
    </row>
    <row r="439" spans="1:31">
      <c r="A439" s="233"/>
      <c r="B439" s="301"/>
      <c r="C439" s="233"/>
      <c r="D439" s="233"/>
      <c r="E439" s="295"/>
      <c r="F439" s="241"/>
      <c r="G439" s="296"/>
      <c r="H439" s="240"/>
      <c r="I439" s="240"/>
      <c r="J439" s="261"/>
      <c r="K439" s="241"/>
      <c r="L439" s="234"/>
      <c r="M439" s="237"/>
      <c r="N439" s="240"/>
      <c r="O439" s="236"/>
      <c r="P439" s="297"/>
      <c r="Q439" s="298"/>
      <c r="R439" s="298"/>
      <c r="S439" s="297"/>
      <c r="T439" s="299"/>
      <c r="U439" s="235"/>
      <c r="V439" s="235"/>
      <c r="W439" s="300"/>
      <c r="X439" s="236"/>
      <c r="Y439" s="211"/>
      <c r="Z439" s="237"/>
      <c r="AA439" s="238"/>
      <c r="AB439" s="211"/>
      <c r="AC439" s="237"/>
      <c r="AD439" s="238"/>
      <c r="AE439" s="294">
        <v>49219</v>
      </c>
    </row>
    <row r="440" spans="1:31">
      <c r="A440" s="233"/>
      <c r="B440" s="301"/>
      <c r="C440" s="233"/>
      <c r="D440" s="233"/>
      <c r="E440" s="295"/>
      <c r="F440" s="241"/>
      <c r="G440" s="296"/>
      <c r="H440" s="240"/>
      <c r="I440" s="240"/>
      <c r="J440" s="261"/>
      <c r="K440" s="241"/>
      <c r="L440" s="234"/>
      <c r="M440" s="237"/>
      <c r="N440" s="240"/>
      <c r="O440" s="236"/>
      <c r="P440" s="297"/>
      <c r="Q440" s="298"/>
      <c r="R440" s="298"/>
      <c r="S440" s="297"/>
      <c r="T440" s="299"/>
      <c r="U440" s="235"/>
      <c r="V440" s="235"/>
      <c r="W440" s="300"/>
      <c r="X440" s="236"/>
      <c r="Y440" s="211"/>
      <c r="Z440" s="237"/>
      <c r="AA440" s="238"/>
      <c r="AB440" s="211"/>
      <c r="AC440" s="237"/>
      <c r="AD440" s="238"/>
      <c r="AE440" s="294">
        <v>49303</v>
      </c>
    </row>
    <row r="441" spans="1:31">
      <c r="A441" s="233"/>
      <c r="B441" s="301"/>
      <c r="C441" s="233"/>
      <c r="D441" s="233"/>
      <c r="E441" s="295"/>
      <c r="F441" s="241"/>
      <c r="G441" s="296"/>
      <c r="H441" s="240"/>
      <c r="I441" s="240"/>
      <c r="J441" s="261"/>
      <c r="K441" s="241"/>
      <c r="L441" s="234"/>
      <c r="M441" s="237"/>
      <c r="N441" s="240"/>
      <c r="O441" s="236"/>
      <c r="P441" s="297"/>
      <c r="Q441" s="298"/>
      <c r="R441" s="298"/>
      <c r="S441" s="297"/>
      <c r="T441" s="299"/>
      <c r="U441" s="235"/>
      <c r="V441" s="235"/>
      <c r="W441" s="300"/>
      <c r="X441" s="236"/>
      <c r="Y441" s="211"/>
      <c r="Z441" s="237"/>
      <c r="AA441" s="238"/>
      <c r="AB441" s="211"/>
      <c r="AC441" s="237"/>
      <c r="AD441" s="238"/>
      <c r="AE441" s="294">
        <v>49304</v>
      </c>
    </row>
    <row r="442" spans="1:31">
      <c r="A442" s="233"/>
      <c r="B442" s="301"/>
      <c r="C442" s="233"/>
      <c r="D442" s="233"/>
      <c r="E442" s="295"/>
      <c r="F442" s="241"/>
      <c r="G442" s="296"/>
      <c r="H442" s="240"/>
      <c r="I442" s="240"/>
      <c r="J442" s="261"/>
      <c r="K442" s="241"/>
      <c r="L442" s="234"/>
      <c r="M442" s="237"/>
      <c r="N442" s="240"/>
      <c r="O442" s="236"/>
      <c r="P442" s="297"/>
      <c r="Q442" s="298"/>
      <c r="R442" s="298"/>
      <c r="S442" s="297"/>
      <c r="T442" s="299"/>
      <c r="U442" s="235"/>
      <c r="V442" s="235"/>
      <c r="W442" s="300"/>
      <c r="X442" s="236"/>
      <c r="Y442" s="211"/>
      <c r="Z442" s="237"/>
      <c r="AA442" s="238"/>
      <c r="AB442" s="211"/>
      <c r="AC442" s="237"/>
      <c r="AD442" s="238"/>
      <c r="AE442" s="294">
        <v>49310</v>
      </c>
    </row>
    <row r="443" spans="1:31">
      <c r="A443" s="233"/>
      <c r="B443" s="301"/>
      <c r="C443" s="233"/>
      <c r="D443" s="233"/>
      <c r="E443" s="295"/>
      <c r="F443" s="241"/>
      <c r="G443" s="296"/>
      <c r="H443" s="240"/>
      <c r="I443" s="240"/>
      <c r="J443" s="261"/>
      <c r="K443" s="241"/>
      <c r="L443" s="234"/>
      <c r="M443" s="237"/>
      <c r="N443" s="240"/>
      <c r="O443" s="236"/>
      <c r="P443" s="297"/>
      <c r="Q443" s="298"/>
      <c r="R443" s="298"/>
      <c r="S443" s="297"/>
      <c r="T443" s="299"/>
      <c r="U443" s="235"/>
      <c r="V443" s="235"/>
      <c r="W443" s="300"/>
      <c r="X443" s="236"/>
      <c r="Y443" s="211"/>
      <c r="Z443" s="237"/>
      <c r="AA443" s="238"/>
      <c r="AB443" s="211"/>
      <c r="AC443" s="237"/>
      <c r="AD443" s="238"/>
      <c r="AE443" s="294">
        <v>49335</v>
      </c>
    </row>
    <row r="444" spans="1:31">
      <c r="A444" s="233"/>
      <c r="B444" s="301"/>
      <c r="C444" s="233"/>
      <c r="D444" s="233"/>
      <c r="E444" s="295"/>
      <c r="F444" s="241"/>
      <c r="G444" s="296"/>
      <c r="H444" s="240"/>
      <c r="I444" s="240"/>
      <c r="J444" s="261"/>
      <c r="K444" s="241"/>
      <c r="L444" s="234"/>
      <c r="M444" s="237"/>
      <c r="N444" s="240"/>
      <c r="O444" s="236"/>
      <c r="P444" s="297"/>
      <c r="Q444" s="298"/>
      <c r="R444" s="298"/>
      <c r="S444" s="297"/>
      <c r="T444" s="299"/>
      <c r="U444" s="235"/>
      <c r="V444" s="235"/>
      <c r="W444" s="300"/>
      <c r="X444" s="236"/>
      <c r="Y444" s="211"/>
      <c r="Z444" s="237"/>
      <c r="AA444" s="238"/>
      <c r="AB444" s="211"/>
      <c r="AC444" s="237"/>
      <c r="AD444" s="238"/>
      <c r="AE444" s="294">
        <v>49391</v>
      </c>
    </row>
    <row r="445" spans="1:31">
      <c r="A445" s="233"/>
      <c r="B445" s="301"/>
      <c r="C445" s="233"/>
      <c r="D445" s="233"/>
      <c r="E445" s="295"/>
      <c r="F445" s="241"/>
      <c r="G445" s="296"/>
      <c r="H445" s="240"/>
      <c r="I445" s="240"/>
      <c r="J445" s="261"/>
      <c r="K445" s="241"/>
      <c r="L445" s="234"/>
      <c r="M445" s="237"/>
      <c r="N445" s="240"/>
      <c r="O445" s="236"/>
      <c r="P445" s="297"/>
      <c r="Q445" s="298"/>
      <c r="R445" s="298"/>
      <c r="S445" s="297"/>
      <c r="T445" s="299"/>
      <c r="U445" s="235"/>
      <c r="V445" s="235"/>
      <c r="W445" s="300"/>
      <c r="X445" s="236"/>
      <c r="Y445" s="211"/>
      <c r="Z445" s="237"/>
      <c r="AA445" s="238"/>
      <c r="AB445" s="211"/>
      <c r="AC445" s="237"/>
      <c r="AD445" s="238"/>
      <c r="AE445" s="294">
        <v>49394</v>
      </c>
    </row>
    <row r="446" spans="1:31">
      <c r="A446" s="233"/>
      <c r="B446" s="301"/>
      <c r="C446" s="233"/>
      <c r="D446" s="233"/>
      <c r="E446" s="295"/>
      <c r="F446" s="241"/>
      <c r="G446" s="296"/>
      <c r="H446" s="240"/>
      <c r="I446" s="240"/>
      <c r="J446" s="261"/>
      <c r="K446" s="241"/>
      <c r="L446" s="234"/>
      <c r="M446" s="237"/>
      <c r="N446" s="240"/>
      <c r="O446" s="236"/>
      <c r="P446" s="297"/>
      <c r="Q446" s="298"/>
      <c r="R446" s="298"/>
      <c r="S446" s="297"/>
      <c r="T446" s="299"/>
      <c r="U446" s="235"/>
      <c r="V446" s="235"/>
      <c r="W446" s="300"/>
      <c r="X446" s="236"/>
      <c r="Y446" s="211"/>
      <c r="Z446" s="237"/>
      <c r="AA446" s="238"/>
      <c r="AB446" s="211"/>
      <c r="AC446" s="237"/>
      <c r="AD446" s="238"/>
      <c r="AE446" s="294">
        <v>49424</v>
      </c>
    </row>
    <row r="447" spans="1:31">
      <c r="A447" s="233"/>
      <c r="B447" s="301"/>
      <c r="C447" s="233"/>
      <c r="D447" s="233"/>
      <c r="E447" s="295"/>
      <c r="F447" s="241"/>
      <c r="G447" s="296"/>
      <c r="H447" s="240"/>
      <c r="I447" s="240"/>
      <c r="J447" s="261"/>
      <c r="K447" s="241"/>
      <c r="L447" s="234"/>
      <c r="M447" s="237"/>
      <c r="N447" s="240"/>
      <c r="O447" s="236"/>
      <c r="P447" s="297"/>
      <c r="Q447" s="298"/>
      <c r="R447" s="298"/>
      <c r="S447" s="297"/>
      <c r="T447" s="299"/>
      <c r="U447" s="235"/>
      <c r="V447" s="235"/>
      <c r="W447" s="300"/>
      <c r="X447" s="236"/>
      <c r="Y447" s="211"/>
      <c r="Z447" s="237"/>
      <c r="AA447" s="238"/>
      <c r="AB447" s="211"/>
      <c r="AC447" s="237"/>
      <c r="AD447" s="238"/>
      <c r="AE447" s="294">
        <v>49471</v>
      </c>
    </row>
    <row r="448" spans="1:31">
      <c r="A448" s="233"/>
      <c r="B448" s="301"/>
      <c r="C448" s="233"/>
      <c r="D448" s="233"/>
      <c r="E448" s="295"/>
      <c r="F448" s="241"/>
      <c r="G448" s="296"/>
      <c r="H448" s="240"/>
      <c r="I448" s="240"/>
      <c r="J448" s="261"/>
      <c r="K448" s="241"/>
      <c r="L448" s="234"/>
      <c r="M448" s="237"/>
      <c r="N448" s="240"/>
      <c r="O448" s="236"/>
      <c r="P448" s="297"/>
      <c r="Q448" s="298"/>
      <c r="R448" s="298"/>
      <c r="S448" s="297"/>
      <c r="T448" s="299"/>
      <c r="U448" s="235"/>
      <c r="V448" s="235"/>
      <c r="W448" s="300"/>
      <c r="X448" s="236"/>
      <c r="Y448" s="211"/>
      <c r="Z448" s="237"/>
      <c r="AA448" s="238"/>
      <c r="AB448" s="211"/>
      <c r="AC448" s="237"/>
      <c r="AD448" s="238"/>
      <c r="AE448" s="294">
        <v>49527</v>
      </c>
    </row>
    <row r="449" spans="1:31">
      <c r="A449" s="233"/>
      <c r="B449" s="301"/>
      <c r="C449" s="233"/>
      <c r="D449" s="233"/>
      <c r="E449" s="295"/>
      <c r="F449" s="241"/>
      <c r="G449" s="296"/>
      <c r="H449" s="240"/>
      <c r="I449" s="240"/>
      <c r="J449" s="261"/>
      <c r="K449" s="241"/>
      <c r="L449" s="234"/>
      <c r="M449" s="237"/>
      <c r="N449" s="240"/>
      <c r="O449" s="236"/>
      <c r="P449" s="297"/>
      <c r="Q449" s="298"/>
      <c r="R449" s="298"/>
      <c r="S449" s="297"/>
      <c r="T449" s="299"/>
      <c r="U449" s="235"/>
      <c r="V449" s="235"/>
      <c r="W449" s="300"/>
      <c r="X449" s="236"/>
      <c r="Y449" s="211"/>
      <c r="Z449" s="237"/>
      <c r="AA449" s="238"/>
      <c r="AB449" s="211"/>
      <c r="AC449" s="237"/>
      <c r="AD449" s="238"/>
      <c r="AE449" s="294">
        <v>49583</v>
      </c>
    </row>
    <row r="450" spans="1:31">
      <c r="A450" s="233"/>
      <c r="B450" s="301"/>
      <c r="C450" s="233"/>
      <c r="D450" s="233"/>
      <c r="E450" s="295"/>
      <c r="F450" s="241"/>
      <c r="G450" s="296"/>
      <c r="H450" s="240"/>
      <c r="I450" s="240"/>
      <c r="J450" s="261"/>
      <c r="K450" s="241"/>
      <c r="L450" s="234"/>
      <c r="M450" s="237"/>
      <c r="N450" s="240"/>
      <c r="O450" s="236"/>
      <c r="P450" s="297"/>
      <c r="Q450" s="298"/>
      <c r="R450" s="298"/>
      <c r="S450" s="297"/>
      <c r="T450" s="299"/>
      <c r="U450" s="235"/>
      <c r="V450" s="235"/>
      <c r="W450" s="300"/>
      <c r="X450" s="236"/>
      <c r="Y450" s="211"/>
      <c r="Z450" s="237"/>
      <c r="AA450" s="238"/>
      <c r="AB450" s="211"/>
      <c r="AC450" s="237"/>
      <c r="AD450" s="238"/>
      <c r="AE450" s="294">
        <v>49668</v>
      </c>
    </row>
    <row r="451" spans="1:31">
      <c r="A451" s="233"/>
      <c r="B451" s="301"/>
      <c r="C451" s="233"/>
      <c r="D451" s="233"/>
      <c r="E451" s="295"/>
      <c r="F451" s="241"/>
      <c r="G451" s="296"/>
      <c r="H451" s="240"/>
      <c r="I451" s="240"/>
      <c r="J451" s="261"/>
      <c r="K451" s="241"/>
      <c r="L451" s="234"/>
      <c r="M451" s="237"/>
      <c r="N451" s="240"/>
      <c r="O451" s="236"/>
      <c r="P451" s="297"/>
      <c r="Q451" s="298"/>
      <c r="R451" s="298"/>
      <c r="S451" s="297"/>
      <c r="T451" s="299"/>
      <c r="U451" s="235"/>
      <c r="V451" s="235"/>
      <c r="W451" s="300"/>
      <c r="X451" s="236"/>
      <c r="Y451" s="211"/>
      <c r="Z451" s="237"/>
      <c r="AA451" s="238"/>
      <c r="AB451" s="211"/>
      <c r="AC451" s="237"/>
      <c r="AD451" s="238"/>
      <c r="AE451" s="294">
        <v>49669</v>
      </c>
    </row>
    <row r="452" spans="1:31">
      <c r="A452" s="233"/>
      <c r="B452" s="301"/>
      <c r="C452" s="233"/>
      <c r="D452" s="233"/>
      <c r="E452" s="295"/>
      <c r="F452" s="241"/>
      <c r="G452" s="296"/>
      <c r="H452" s="240"/>
      <c r="I452" s="240"/>
      <c r="J452" s="261"/>
      <c r="K452" s="241"/>
      <c r="L452" s="234"/>
      <c r="M452" s="237"/>
      <c r="N452" s="240"/>
      <c r="O452" s="236"/>
      <c r="P452" s="297"/>
      <c r="Q452" s="298"/>
      <c r="R452" s="298"/>
      <c r="S452" s="297"/>
      <c r="T452" s="299"/>
      <c r="U452" s="235"/>
      <c r="V452" s="235"/>
      <c r="W452" s="300"/>
      <c r="X452" s="236"/>
      <c r="Y452" s="211"/>
      <c r="Z452" s="237"/>
      <c r="AA452" s="238"/>
      <c r="AB452" s="211"/>
      <c r="AC452" s="237"/>
      <c r="AD452" s="238"/>
      <c r="AE452" s="294">
        <v>49675</v>
      </c>
    </row>
    <row r="453" spans="1:31">
      <c r="A453" s="233"/>
      <c r="B453" s="301"/>
      <c r="C453" s="233"/>
      <c r="D453" s="233"/>
      <c r="E453" s="295"/>
      <c r="F453" s="241"/>
      <c r="G453" s="296"/>
      <c r="H453" s="240"/>
      <c r="I453" s="240"/>
      <c r="J453" s="261"/>
      <c r="K453" s="241"/>
      <c r="L453" s="234"/>
      <c r="M453" s="237"/>
      <c r="N453" s="240"/>
      <c r="O453" s="236"/>
      <c r="P453" s="297"/>
      <c r="Q453" s="298"/>
      <c r="R453" s="298"/>
      <c r="S453" s="297"/>
      <c r="T453" s="299"/>
      <c r="U453" s="235"/>
      <c r="V453" s="235"/>
      <c r="W453" s="300"/>
      <c r="X453" s="236"/>
      <c r="Y453" s="211"/>
      <c r="Z453" s="237"/>
      <c r="AA453" s="238"/>
      <c r="AB453" s="211"/>
      <c r="AC453" s="237"/>
      <c r="AD453" s="238"/>
      <c r="AE453" s="294">
        <v>49702</v>
      </c>
    </row>
    <row r="454" spans="1:31">
      <c r="A454" s="233"/>
      <c r="B454" s="301"/>
      <c r="C454" s="233"/>
      <c r="D454" s="233"/>
      <c r="E454" s="295"/>
      <c r="F454" s="241"/>
      <c r="G454" s="296"/>
      <c r="H454" s="240"/>
      <c r="I454" s="240"/>
      <c r="J454" s="261"/>
      <c r="K454" s="241"/>
      <c r="L454" s="234"/>
      <c r="M454" s="237"/>
      <c r="N454" s="240"/>
      <c r="O454" s="236"/>
      <c r="P454" s="297"/>
      <c r="Q454" s="298"/>
      <c r="R454" s="298"/>
      <c r="S454" s="297"/>
      <c r="T454" s="299"/>
      <c r="U454" s="235"/>
      <c r="V454" s="235"/>
      <c r="W454" s="300"/>
      <c r="X454" s="236"/>
      <c r="Y454" s="211"/>
      <c r="Z454" s="237"/>
      <c r="AA454" s="238"/>
      <c r="AB454" s="211"/>
      <c r="AC454" s="237"/>
      <c r="AD454" s="238"/>
      <c r="AE454" s="294">
        <v>49776</v>
      </c>
    </row>
    <row r="455" spans="1:31">
      <c r="A455" s="233"/>
      <c r="B455" s="301"/>
      <c r="C455" s="233"/>
      <c r="D455" s="233"/>
      <c r="E455" s="295"/>
      <c r="F455" s="241"/>
      <c r="G455" s="296"/>
      <c r="H455" s="240"/>
      <c r="I455" s="240"/>
      <c r="J455" s="261"/>
      <c r="K455" s="241"/>
      <c r="L455" s="234"/>
      <c r="M455" s="237"/>
      <c r="N455" s="240"/>
      <c r="O455" s="236"/>
      <c r="P455" s="297"/>
      <c r="Q455" s="298"/>
      <c r="R455" s="298"/>
      <c r="S455" s="297"/>
      <c r="T455" s="299"/>
      <c r="U455" s="235"/>
      <c r="V455" s="235"/>
      <c r="W455" s="300"/>
      <c r="X455" s="236"/>
      <c r="Y455" s="211"/>
      <c r="Z455" s="237"/>
      <c r="AA455" s="238"/>
      <c r="AB455" s="211"/>
      <c r="AC455" s="237"/>
      <c r="AD455" s="238"/>
      <c r="AE455" s="294">
        <v>49779</v>
      </c>
    </row>
    <row r="456" spans="1:31">
      <c r="A456" s="233"/>
      <c r="B456" s="301"/>
      <c r="C456" s="233"/>
      <c r="D456" s="233"/>
      <c r="E456" s="295"/>
      <c r="F456" s="241"/>
      <c r="G456" s="296"/>
      <c r="H456" s="240"/>
      <c r="I456" s="240"/>
      <c r="J456" s="261"/>
      <c r="K456" s="241"/>
      <c r="L456" s="234"/>
      <c r="M456" s="237"/>
      <c r="N456" s="240"/>
      <c r="O456" s="236"/>
      <c r="P456" s="297"/>
      <c r="Q456" s="298"/>
      <c r="R456" s="298"/>
      <c r="S456" s="297"/>
      <c r="T456" s="299"/>
      <c r="U456" s="235"/>
      <c r="V456" s="235"/>
      <c r="W456" s="300"/>
      <c r="X456" s="236"/>
      <c r="Y456" s="211"/>
      <c r="Z456" s="237"/>
      <c r="AA456" s="238"/>
      <c r="AB456" s="211"/>
      <c r="AC456" s="237"/>
      <c r="AD456" s="238"/>
      <c r="AE456" s="294">
        <v>49790</v>
      </c>
    </row>
    <row r="457" spans="1:31">
      <c r="A457" s="233"/>
      <c r="B457" s="301"/>
      <c r="C457" s="233"/>
      <c r="D457" s="233"/>
      <c r="E457" s="295"/>
      <c r="F457" s="241"/>
      <c r="G457" s="296"/>
      <c r="H457" s="240"/>
      <c r="I457" s="240"/>
      <c r="J457" s="261"/>
      <c r="K457" s="241"/>
      <c r="L457" s="234"/>
      <c r="M457" s="237"/>
      <c r="N457" s="240"/>
      <c r="O457" s="236"/>
      <c r="P457" s="297"/>
      <c r="Q457" s="298"/>
      <c r="R457" s="298"/>
      <c r="S457" s="297"/>
      <c r="T457" s="299"/>
      <c r="U457" s="235"/>
      <c r="V457" s="235"/>
      <c r="W457" s="300"/>
      <c r="X457" s="236"/>
      <c r="Y457" s="211"/>
      <c r="Z457" s="237"/>
      <c r="AA457" s="238"/>
      <c r="AB457" s="211"/>
      <c r="AC457" s="237"/>
      <c r="AD457" s="238"/>
      <c r="AE457" s="294">
        <v>49835</v>
      </c>
    </row>
    <row r="458" spans="1:31">
      <c r="A458" s="233"/>
      <c r="B458" s="301"/>
      <c r="C458" s="233"/>
      <c r="D458" s="233"/>
      <c r="E458" s="295"/>
      <c r="F458" s="241"/>
      <c r="G458" s="296"/>
      <c r="H458" s="240"/>
      <c r="I458" s="240"/>
      <c r="J458" s="261"/>
      <c r="K458" s="241"/>
      <c r="L458" s="234"/>
      <c r="M458" s="237"/>
      <c r="N458" s="240"/>
      <c r="O458" s="236"/>
      <c r="P458" s="297"/>
      <c r="Q458" s="298"/>
      <c r="R458" s="298"/>
      <c r="S458" s="297"/>
      <c r="T458" s="299"/>
      <c r="U458" s="235"/>
      <c r="V458" s="235"/>
      <c r="W458" s="300"/>
      <c r="X458" s="236"/>
      <c r="Y458" s="211"/>
      <c r="Z458" s="237"/>
      <c r="AA458" s="238"/>
      <c r="AB458" s="211"/>
      <c r="AC458" s="237"/>
      <c r="AD458" s="238"/>
      <c r="AE458" s="294">
        <v>49891</v>
      </c>
    </row>
    <row r="459" spans="1:31">
      <c r="A459" s="233"/>
      <c r="B459" s="301"/>
      <c r="C459" s="233"/>
      <c r="D459" s="233"/>
      <c r="E459" s="295"/>
      <c r="F459" s="241"/>
      <c r="G459" s="296"/>
      <c r="H459" s="240"/>
      <c r="I459" s="240"/>
      <c r="J459" s="261"/>
      <c r="K459" s="241"/>
      <c r="L459" s="234"/>
      <c r="M459" s="237"/>
      <c r="N459" s="240"/>
      <c r="O459" s="236"/>
      <c r="P459" s="297"/>
      <c r="Q459" s="298"/>
      <c r="R459" s="298"/>
      <c r="S459" s="297"/>
      <c r="T459" s="299"/>
      <c r="U459" s="235"/>
      <c r="V459" s="235"/>
      <c r="W459" s="300"/>
      <c r="X459" s="236"/>
      <c r="Y459" s="211"/>
      <c r="Z459" s="237"/>
      <c r="AA459" s="238"/>
      <c r="AB459" s="211"/>
      <c r="AC459" s="237"/>
      <c r="AD459" s="238"/>
      <c r="AE459" s="294">
        <v>49954</v>
      </c>
    </row>
    <row r="460" spans="1:31">
      <c r="A460" s="233"/>
      <c r="B460" s="301"/>
      <c r="C460" s="233"/>
      <c r="D460" s="233"/>
      <c r="E460" s="295"/>
      <c r="F460" s="241"/>
      <c r="G460" s="296"/>
      <c r="H460" s="240"/>
      <c r="I460" s="240"/>
      <c r="J460" s="261"/>
      <c r="K460" s="241"/>
      <c r="L460" s="234"/>
      <c r="M460" s="237"/>
      <c r="N460" s="240"/>
      <c r="O460" s="236"/>
      <c r="P460" s="297"/>
      <c r="Q460" s="298"/>
      <c r="R460" s="298"/>
      <c r="S460" s="297"/>
      <c r="T460" s="299"/>
      <c r="U460" s="235"/>
      <c r="V460" s="235"/>
      <c r="W460" s="300"/>
      <c r="X460" s="236"/>
      <c r="Y460" s="211"/>
      <c r="Z460" s="237"/>
      <c r="AA460" s="238"/>
      <c r="AB460" s="211"/>
      <c r="AC460" s="237"/>
      <c r="AD460" s="238"/>
      <c r="AE460" s="294">
        <v>50034</v>
      </c>
    </row>
    <row r="461" spans="1:31">
      <c r="A461" s="233"/>
      <c r="B461" s="301"/>
      <c r="C461" s="233"/>
      <c r="D461" s="233"/>
      <c r="E461" s="295"/>
      <c r="F461" s="241"/>
      <c r="G461" s="296"/>
      <c r="H461" s="240"/>
      <c r="I461" s="240"/>
      <c r="J461" s="261"/>
      <c r="K461" s="241"/>
      <c r="L461" s="234"/>
      <c r="M461" s="237"/>
      <c r="N461" s="240"/>
      <c r="O461" s="236"/>
      <c r="P461" s="297"/>
      <c r="Q461" s="298"/>
      <c r="R461" s="298"/>
      <c r="S461" s="297"/>
      <c r="T461" s="299"/>
      <c r="U461" s="235"/>
      <c r="V461" s="235"/>
      <c r="W461" s="300"/>
      <c r="X461" s="236"/>
      <c r="Y461" s="211"/>
      <c r="Z461" s="237"/>
      <c r="AA461" s="238"/>
      <c r="AB461" s="211"/>
      <c r="AC461" s="237"/>
      <c r="AD461" s="238"/>
      <c r="AE461" s="294">
        <v>50035</v>
      </c>
    </row>
    <row r="462" spans="1:31">
      <c r="A462" s="233"/>
      <c r="B462" s="301"/>
      <c r="C462" s="233"/>
      <c r="D462" s="233"/>
      <c r="E462" s="295"/>
      <c r="F462" s="241"/>
      <c r="G462" s="296"/>
      <c r="H462" s="240"/>
      <c r="I462" s="240"/>
      <c r="J462" s="261"/>
      <c r="K462" s="241"/>
      <c r="L462" s="234"/>
      <c r="M462" s="237"/>
      <c r="N462" s="240"/>
      <c r="O462" s="236"/>
      <c r="P462" s="297"/>
      <c r="Q462" s="298"/>
      <c r="R462" s="298"/>
      <c r="S462" s="297"/>
      <c r="T462" s="299"/>
      <c r="U462" s="235"/>
      <c r="V462" s="235"/>
      <c r="W462" s="300"/>
      <c r="X462" s="236"/>
      <c r="Y462" s="211"/>
      <c r="Z462" s="237"/>
      <c r="AA462" s="238"/>
      <c r="AB462" s="211"/>
      <c r="AC462" s="237"/>
      <c r="AD462" s="238"/>
      <c r="AE462" s="294">
        <v>50041</v>
      </c>
    </row>
    <row r="463" spans="1:31">
      <c r="A463" s="233"/>
      <c r="B463" s="301"/>
      <c r="C463" s="233"/>
      <c r="D463" s="233"/>
      <c r="E463" s="295"/>
      <c r="F463" s="241"/>
      <c r="G463" s="296"/>
      <c r="H463" s="240"/>
      <c r="I463" s="240"/>
      <c r="J463" s="261"/>
      <c r="K463" s="241"/>
      <c r="L463" s="234"/>
      <c r="M463" s="237"/>
      <c r="N463" s="240"/>
      <c r="O463" s="236"/>
      <c r="P463" s="297"/>
      <c r="Q463" s="298"/>
      <c r="R463" s="298"/>
      <c r="S463" s="297"/>
      <c r="T463" s="299"/>
      <c r="U463" s="235"/>
      <c r="V463" s="235"/>
      <c r="W463" s="300"/>
      <c r="X463" s="236"/>
      <c r="Y463" s="211"/>
      <c r="Z463" s="237"/>
      <c r="AA463" s="238"/>
      <c r="AB463" s="211"/>
      <c r="AC463" s="237"/>
      <c r="AD463" s="238"/>
      <c r="AE463" s="294">
        <v>50066</v>
      </c>
    </row>
    <row r="464" spans="1:31">
      <c r="A464" s="233"/>
      <c r="B464" s="301"/>
      <c r="C464" s="233"/>
      <c r="D464" s="233"/>
      <c r="E464" s="295"/>
      <c r="F464" s="241"/>
      <c r="G464" s="296"/>
      <c r="H464" s="240"/>
      <c r="I464" s="240"/>
      <c r="J464" s="261"/>
      <c r="K464" s="241"/>
      <c r="L464" s="234"/>
      <c r="M464" s="237"/>
      <c r="N464" s="240"/>
      <c r="O464" s="236"/>
      <c r="P464" s="297"/>
      <c r="Q464" s="298"/>
      <c r="R464" s="298"/>
      <c r="S464" s="297"/>
      <c r="T464" s="299"/>
      <c r="U464" s="235"/>
      <c r="V464" s="235"/>
      <c r="W464" s="300"/>
      <c r="X464" s="236"/>
      <c r="Y464" s="211"/>
      <c r="Z464" s="237"/>
      <c r="AA464" s="238"/>
      <c r="AB464" s="211"/>
      <c r="AC464" s="237"/>
      <c r="AD464" s="238"/>
      <c r="AE464" s="294">
        <v>50133</v>
      </c>
    </row>
    <row r="465" spans="1:31">
      <c r="A465" s="233"/>
      <c r="B465" s="301"/>
      <c r="C465" s="233"/>
      <c r="D465" s="233"/>
      <c r="E465" s="295"/>
      <c r="F465" s="241"/>
      <c r="G465" s="296"/>
      <c r="H465" s="240"/>
      <c r="I465" s="240"/>
      <c r="J465" s="261"/>
      <c r="K465" s="241"/>
      <c r="L465" s="234"/>
      <c r="M465" s="237"/>
      <c r="N465" s="240"/>
      <c r="O465" s="236"/>
      <c r="P465" s="297"/>
      <c r="Q465" s="298"/>
      <c r="R465" s="298"/>
      <c r="S465" s="297"/>
      <c r="T465" s="299"/>
      <c r="U465" s="235"/>
      <c r="V465" s="235"/>
      <c r="W465" s="300"/>
      <c r="X465" s="236"/>
      <c r="Y465" s="211"/>
      <c r="Z465" s="237"/>
      <c r="AA465" s="238"/>
      <c r="AB465" s="211"/>
      <c r="AC465" s="237"/>
      <c r="AD465" s="238"/>
      <c r="AE465" s="294">
        <v>50136</v>
      </c>
    </row>
    <row r="466" spans="1:31">
      <c r="A466" s="233"/>
      <c r="B466" s="301"/>
      <c r="C466" s="233"/>
      <c r="D466" s="233"/>
      <c r="E466" s="295"/>
      <c r="F466" s="241"/>
      <c r="G466" s="296"/>
      <c r="H466" s="240"/>
      <c r="I466" s="240"/>
      <c r="J466" s="261"/>
      <c r="K466" s="241"/>
      <c r="L466" s="234"/>
      <c r="M466" s="237"/>
      <c r="N466" s="240"/>
      <c r="O466" s="236"/>
      <c r="P466" s="297"/>
      <c r="Q466" s="298"/>
      <c r="R466" s="298"/>
      <c r="S466" s="297"/>
      <c r="T466" s="299"/>
      <c r="U466" s="235"/>
      <c r="V466" s="235"/>
      <c r="W466" s="300"/>
      <c r="X466" s="236"/>
      <c r="Y466" s="211"/>
      <c r="Z466" s="237"/>
      <c r="AA466" s="238"/>
      <c r="AB466" s="211"/>
      <c r="AC466" s="237"/>
      <c r="AD466" s="238"/>
      <c r="AE466" s="294">
        <v>50199</v>
      </c>
    </row>
    <row r="467" spans="1:31">
      <c r="A467" s="233"/>
      <c r="B467" s="301"/>
      <c r="C467" s="233"/>
      <c r="D467" s="233"/>
      <c r="E467" s="295"/>
      <c r="F467" s="241"/>
      <c r="G467" s="296"/>
      <c r="H467" s="240"/>
      <c r="I467" s="240"/>
      <c r="J467" s="261"/>
      <c r="K467" s="241"/>
      <c r="L467" s="234"/>
      <c r="M467" s="237"/>
      <c r="N467" s="240"/>
      <c r="O467" s="236"/>
      <c r="P467" s="297"/>
      <c r="Q467" s="298"/>
      <c r="R467" s="298"/>
      <c r="S467" s="297"/>
      <c r="T467" s="299"/>
      <c r="U467" s="235"/>
      <c r="V467" s="235"/>
      <c r="W467" s="300"/>
      <c r="X467" s="236"/>
      <c r="Y467" s="211"/>
      <c r="Z467" s="237"/>
      <c r="AA467" s="238"/>
      <c r="AB467" s="211"/>
      <c r="AC467" s="237"/>
      <c r="AD467" s="238"/>
      <c r="AE467" s="294">
        <v>50255</v>
      </c>
    </row>
    <row r="468" spans="1:31">
      <c r="A468" s="233"/>
      <c r="B468" s="301"/>
      <c r="C468" s="233"/>
      <c r="D468" s="233"/>
      <c r="E468" s="295"/>
      <c r="F468" s="241"/>
      <c r="G468" s="296"/>
      <c r="H468" s="240"/>
      <c r="I468" s="240"/>
      <c r="J468" s="261"/>
      <c r="K468" s="241"/>
      <c r="L468" s="234"/>
      <c r="M468" s="237"/>
      <c r="N468" s="240"/>
      <c r="O468" s="236"/>
      <c r="P468" s="297"/>
      <c r="Q468" s="298"/>
      <c r="R468" s="298"/>
      <c r="S468" s="297"/>
      <c r="T468" s="299"/>
      <c r="U468" s="235"/>
      <c r="V468" s="235"/>
      <c r="W468" s="300"/>
      <c r="X468" s="236"/>
      <c r="Y468" s="211"/>
      <c r="Z468" s="237"/>
      <c r="AA468" s="238"/>
      <c r="AB468" s="211"/>
      <c r="AC468" s="237"/>
      <c r="AD468" s="238"/>
      <c r="AE468" s="294">
        <v>50318</v>
      </c>
    </row>
    <row r="469" spans="1:31">
      <c r="A469" s="233"/>
      <c r="B469" s="301"/>
      <c r="C469" s="233"/>
      <c r="D469" s="233"/>
      <c r="E469" s="295"/>
      <c r="F469" s="241"/>
      <c r="G469" s="296"/>
      <c r="H469" s="240"/>
      <c r="I469" s="240"/>
      <c r="J469" s="261"/>
      <c r="K469" s="241"/>
      <c r="L469" s="234"/>
      <c r="M469" s="237"/>
      <c r="N469" s="240"/>
      <c r="O469" s="236"/>
      <c r="P469" s="297"/>
      <c r="Q469" s="298"/>
      <c r="R469" s="298"/>
      <c r="S469" s="297"/>
      <c r="T469" s="299"/>
      <c r="U469" s="235"/>
      <c r="V469" s="235"/>
      <c r="W469" s="300"/>
      <c r="X469" s="236"/>
      <c r="Y469" s="211"/>
      <c r="Z469" s="237"/>
      <c r="AA469" s="238"/>
      <c r="AB469" s="211"/>
      <c r="AC469" s="237"/>
      <c r="AD469" s="238"/>
      <c r="AE469" s="294">
        <v>50399</v>
      </c>
    </row>
    <row r="470" spans="1:31">
      <c r="A470" s="233"/>
      <c r="B470" s="301"/>
      <c r="C470" s="233"/>
      <c r="D470" s="233"/>
      <c r="E470" s="295"/>
      <c r="F470" s="241"/>
      <c r="G470" s="296"/>
      <c r="H470" s="240"/>
      <c r="I470" s="240"/>
      <c r="J470" s="261"/>
      <c r="K470" s="241"/>
      <c r="L470" s="234"/>
      <c r="M470" s="237"/>
      <c r="N470" s="240"/>
      <c r="O470" s="236"/>
      <c r="P470" s="297"/>
      <c r="Q470" s="298"/>
      <c r="R470" s="298"/>
      <c r="S470" s="297"/>
      <c r="T470" s="299"/>
      <c r="U470" s="235"/>
      <c r="V470" s="235"/>
      <c r="W470" s="300"/>
      <c r="X470" s="236"/>
      <c r="Y470" s="211"/>
      <c r="Z470" s="237"/>
      <c r="AA470" s="238"/>
      <c r="AB470" s="211"/>
      <c r="AC470" s="237"/>
      <c r="AD470" s="238"/>
      <c r="AE470" s="294">
        <v>50402</v>
      </c>
    </row>
    <row r="471" spans="1:31">
      <c r="A471" s="233"/>
      <c r="B471" s="301"/>
      <c r="C471" s="233"/>
      <c r="D471" s="233"/>
      <c r="E471" s="295"/>
      <c r="F471" s="241"/>
      <c r="G471" s="296"/>
      <c r="H471" s="240"/>
      <c r="I471" s="240"/>
      <c r="J471" s="261"/>
      <c r="K471" s="241"/>
      <c r="L471" s="234"/>
      <c r="M471" s="237"/>
      <c r="N471" s="240"/>
      <c r="O471" s="236"/>
      <c r="P471" s="297"/>
      <c r="Q471" s="298"/>
      <c r="R471" s="298"/>
      <c r="S471" s="297"/>
      <c r="T471" s="299"/>
      <c r="U471" s="235"/>
      <c r="V471" s="235"/>
      <c r="W471" s="300"/>
      <c r="X471" s="236"/>
      <c r="Y471" s="211"/>
      <c r="Z471" s="237"/>
      <c r="AA471" s="238"/>
      <c r="AB471" s="211"/>
      <c r="AC471" s="237"/>
      <c r="AD471" s="238"/>
      <c r="AE471" s="294">
        <v>50406</v>
      </c>
    </row>
    <row r="472" spans="1:31">
      <c r="A472" s="233"/>
      <c r="B472" s="301"/>
      <c r="C472" s="233"/>
      <c r="D472" s="233"/>
      <c r="E472" s="295"/>
      <c r="F472" s="241"/>
      <c r="G472" s="296"/>
      <c r="H472" s="240"/>
      <c r="I472" s="240"/>
      <c r="J472" s="261"/>
      <c r="K472" s="241"/>
      <c r="L472" s="234"/>
      <c r="M472" s="237"/>
      <c r="N472" s="240"/>
      <c r="O472" s="236"/>
      <c r="P472" s="297"/>
      <c r="Q472" s="298"/>
      <c r="R472" s="298"/>
      <c r="S472" s="297"/>
      <c r="T472" s="299"/>
      <c r="U472" s="235"/>
      <c r="V472" s="235"/>
      <c r="W472" s="300"/>
      <c r="X472" s="236"/>
      <c r="Y472" s="211"/>
      <c r="Z472" s="237"/>
      <c r="AA472" s="238"/>
      <c r="AB472" s="211"/>
      <c r="AC472" s="237"/>
      <c r="AD472" s="238"/>
      <c r="AE472" s="294">
        <v>50431</v>
      </c>
    </row>
    <row r="473" spans="1:31">
      <c r="A473" s="233"/>
      <c r="B473" s="301"/>
      <c r="C473" s="233"/>
      <c r="D473" s="233"/>
      <c r="E473" s="295"/>
      <c r="F473" s="241"/>
      <c r="G473" s="296"/>
      <c r="H473" s="240"/>
      <c r="I473" s="240"/>
      <c r="J473" s="261"/>
      <c r="K473" s="241"/>
      <c r="L473" s="234"/>
      <c r="M473" s="237"/>
      <c r="N473" s="240"/>
      <c r="O473" s="236"/>
      <c r="P473" s="297"/>
      <c r="Q473" s="298"/>
      <c r="R473" s="298"/>
      <c r="S473" s="297"/>
      <c r="T473" s="299"/>
      <c r="U473" s="235"/>
      <c r="V473" s="235"/>
      <c r="W473" s="300"/>
      <c r="X473" s="236"/>
      <c r="Y473" s="211"/>
      <c r="Z473" s="237"/>
      <c r="AA473" s="238"/>
      <c r="AB473" s="211"/>
      <c r="AC473" s="237"/>
      <c r="AD473" s="238"/>
      <c r="AE473" s="294">
        <v>50518</v>
      </c>
    </row>
    <row r="474" spans="1:31">
      <c r="A474" s="233"/>
      <c r="B474" s="301"/>
      <c r="C474" s="233"/>
      <c r="D474" s="233"/>
      <c r="E474" s="295"/>
      <c r="F474" s="241"/>
      <c r="G474" s="296"/>
      <c r="H474" s="240"/>
      <c r="I474" s="240"/>
      <c r="J474" s="261"/>
      <c r="K474" s="241"/>
      <c r="L474" s="234"/>
      <c r="M474" s="237"/>
      <c r="N474" s="240"/>
      <c r="O474" s="236"/>
      <c r="P474" s="297"/>
      <c r="Q474" s="298"/>
      <c r="R474" s="298"/>
      <c r="S474" s="297"/>
      <c r="T474" s="299"/>
      <c r="U474" s="235"/>
      <c r="V474" s="235"/>
      <c r="W474" s="300"/>
      <c r="X474" s="236"/>
      <c r="Y474" s="211"/>
      <c r="Z474" s="237"/>
      <c r="AA474" s="238"/>
      <c r="AB474" s="211"/>
      <c r="AC474" s="237"/>
      <c r="AD474" s="238"/>
      <c r="AE474" s="294">
        <v>50521</v>
      </c>
    </row>
    <row r="475" spans="1:31">
      <c r="A475" s="233"/>
      <c r="B475" s="301"/>
      <c r="C475" s="233"/>
      <c r="D475" s="233"/>
      <c r="E475" s="295"/>
      <c r="F475" s="241"/>
      <c r="G475" s="296"/>
      <c r="H475" s="240"/>
      <c r="I475" s="240"/>
      <c r="J475" s="261"/>
      <c r="K475" s="241"/>
      <c r="L475" s="234"/>
      <c r="M475" s="237"/>
      <c r="N475" s="240"/>
      <c r="O475" s="236"/>
      <c r="P475" s="297"/>
      <c r="Q475" s="298"/>
      <c r="R475" s="298"/>
      <c r="S475" s="297"/>
      <c r="T475" s="299"/>
      <c r="U475" s="235"/>
      <c r="V475" s="235"/>
      <c r="W475" s="300"/>
      <c r="X475" s="236"/>
      <c r="Y475" s="211"/>
      <c r="Z475" s="237"/>
      <c r="AA475" s="238"/>
      <c r="AB475" s="211"/>
      <c r="AC475" s="237"/>
      <c r="AD475" s="238"/>
      <c r="AE475" s="294">
        <v>50570</v>
      </c>
    </row>
    <row r="476" spans="1:31">
      <c r="A476" s="233"/>
      <c r="B476" s="301"/>
      <c r="C476" s="233"/>
      <c r="D476" s="233"/>
      <c r="E476" s="295"/>
      <c r="F476" s="241"/>
      <c r="G476" s="296"/>
      <c r="H476" s="240"/>
      <c r="I476" s="240"/>
      <c r="J476" s="261"/>
      <c r="K476" s="241"/>
      <c r="L476" s="234"/>
      <c r="M476" s="237"/>
      <c r="N476" s="240"/>
      <c r="O476" s="236"/>
      <c r="P476" s="297"/>
      <c r="Q476" s="298"/>
      <c r="R476" s="298"/>
      <c r="S476" s="297"/>
      <c r="T476" s="299"/>
      <c r="U476" s="235"/>
      <c r="V476" s="235"/>
      <c r="W476" s="300"/>
      <c r="X476" s="236"/>
      <c r="Y476" s="211"/>
      <c r="Z476" s="237"/>
      <c r="AA476" s="238"/>
      <c r="AB476" s="211"/>
      <c r="AC476" s="237"/>
      <c r="AD476" s="238"/>
      <c r="AE476" s="294">
        <v>50619</v>
      </c>
    </row>
    <row r="477" spans="1:31">
      <c r="A477" s="233"/>
      <c r="B477" s="301"/>
      <c r="C477" s="233"/>
      <c r="D477" s="233"/>
      <c r="E477" s="295"/>
      <c r="F477" s="241"/>
      <c r="G477" s="296"/>
      <c r="H477" s="240"/>
      <c r="I477" s="240"/>
      <c r="J477" s="261"/>
      <c r="K477" s="241"/>
      <c r="L477" s="234"/>
      <c r="M477" s="237"/>
      <c r="N477" s="240"/>
      <c r="O477" s="236"/>
      <c r="P477" s="297"/>
      <c r="Q477" s="298"/>
      <c r="R477" s="298"/>
      <c r="S477" s="297"/>
      <c r="T477" s="299"/>
      <c r="U477" s="235"/>
      <c r="V477" s="235"/>
      <c r="W477" s="300"/>
      <c r="X477" s="236"/>
      <c r="Y477" s="211"/>
      <c r="Z477" s="237"/>
      <c r="AA477" s="238"/>
      <c r="AB477" s="211"/>
      <c r="AC477" s="237"/>
      <c r="AD477" s="238"/>
      <c r="AE477" s="294">
        <v>50682</v>
      </c>
    </row>
    <row r="478" spans="1:31">
      <c r="A478" s="233"/>
      <c r="B478" s="301"/>
      <c r="C478" s="233"/>
      <c r="D478" s="233"/>
      <c r="E478" s="295"/>
      <c r="F478" s="241"/>
      <c r="G478" s="296"/>
      <c r="H478" s="240"/>
      <c r="I478" s="240"/>
      <c r="J478" s="261"/>
      <c r="K478" s="241"/>
      <c r="L478" s="234"/>
      <c r="M478" s="237"/>
      <c r="N478" s="240"/>
      <c r="O478" s="236"/>
      <c r="P478" s="297"/>
      <c r="Q478" s="298"/>
      <c r="R478" s="298"/>
      <c r="S478" s="297"/>
      <c r="T478" s="299"/>
      <c r="U478" s="235"/>
      <c r="V478" s="235"/>
      <c r="W478" s="300"/>
      <c r="X478" s="236"/>
      <c r="Y478" s="211"/>
      <c r="Z478" s="237"/>
      <c r="AA478" s="238"/>
      <c r="AB478" s="211"/>
      <c r="AC478" s="237"/>
      <c r="AD478" s="238"/>
      <c r="AE478" s="294">
        <v>50766</v>
      </c>
    </row>
    <row r="479" spans="1:31">
      <c r="A479" s="233"/>
      <c r="B479" s="301"/>
      <c r="C479" s="233"/>
      <c r="D479" s="233"/>
      <c r="E479" s="295"/>
      <c r="F479" s="241"/>
      <c r="G479" s="296"/>
      <c r="H479" s="240"/>
      <c r="I479" s="240"/>
      <c r="J479" s="261"/>
      <c r="K479" s="241"/>
      <c r="L479" s="234"/>
      <c r="M479" s="237"/>
      <c r="N479" s="240"/>
      <c r="O479" s="236"/>
      <c r="P479" s="297"/>
      <c r="Q479" s="298"/>
      <c r="R479" s="298"/>
      <c r="S479" s="297"/>
      <c r="T479" s="299"/>
      <c r="U479" s="235"/>
      <c r="V479" s="235"/>
      <c r="W479" s="300"/>
      <c r="X479" s="236"/>
      <c r="Y479" s="211"/>
      <c r="Z479" s="237"/>
      <c r="AA479" s="238"/>
      <c r="AB479" s="211"/>
      <c r="AC479" s="237"/>
      <c r="AD479" s="238"/>
      <c r="AE479" s="294">
        <v>50767</v>
      </c>
    </row>
    <row r="480" spans="1:31">
      <c r="A480" s="233"/>
      <c r="B480" s="301"/>
      <c r="C480" s="233"/>
      <c r="D480" s="233"/>
      <c r="E480" s="295"/>
      <c r="F480" s="241"/>
      <c r="G480" s="296"/>
      <c r="H480" s="240"/>
      <c r="I480" s="240"/>
      <c r="J480" s="261"/>
      <c r="K480" s="241"/>
      <c r="L480" s="234"/>
      <c r="M480" s="237"/>
      <c r="N480" s="240"/>
      <c r="O480" s="236"/>
      <c r="P480" s="297"/>
      <c r="Q480" s="298"/>
      <c r="R480" s="298"/>
      <c r="S480" s="297"/>
      <c r="T480" s="299"/>
      <c r="U480" s="235"/>
      <c r="V480" s="235"/>
      <c r="W480" s="300"/>
      <c r="X480" s="236"/>
      <c r="Y480" s="211"/>
      <c r="Z480" s="237"/>
      <c r="AA480" s="238"/>
      <c r="AB480" s="211"/>
      <c r="AC480" s="237"/>
      <c r="AD480" s="238"/>
      <c r="AE480" s="294">
        <v>50773</v>
      </c>
    </row>
    <row r="481" spans="1:31">
      <c r="A481" s="233"/>
      <c r="B481" s="301"/>
      <c r="C481" s="233"/>
      <c r="D481" s="233"/>
      <c r="E481" s="295"/>
      <c r="F481" s="241"/>
      <c r="G481" s="296"/>
      <c r="H481" s="240"/>
      <c r="I481" s="240"/>
      <c r="J481" s="261"/>
      <c r="K481" s="241"/>
      <c r="L481" s="234"/>
      <c r="M481" s="237"/>
      <c r="N481" s="240"/>
      <c r="O481" s="236"/>
      <c r="P481" s="297"/>
      <c r="Q481" s="298"/>
      <c r="R481" s="298"/>
      <c r="S481" s="297"/>
      <c r="T481" s="299"/>
      <c r="U481" s="235"/>
      <c r="V481" s="235"/>
      <c r="W481" s="300"/>
      <c r="X481" s="236"/>
      <c r="Y481" s="211"/>
      <c r="Z481" s="237"/>
      <c r="AA481" s="238"/>
      <c r="AB481" s="211"/>
      <c r="AC481" s="237"/>
      <c r="AD481" s="238"/>
      <c r="AE481" s="294">
        <v>50796</v>
      </c>
    </row>
    <row r="482" spans="1:31">
      <c r="A482" s="233"/>
      <c r="B482" s="301"/>
      <c r="C482" s="233"/>
      <c r="D482" s="233"/>
      <c r="E482" s="295"/>
      <c r="F482" s="241"/>
      <c r="G482" s="296"/>
      <c r="H482" s="240"/>
      <c r="I482" s="240"/>
      <c r="J482" s="261"/>
      <c r="K482" s="241"/>
      <c r="L482" s="234"/>
      <c r="M482" s="237"/>
      <c r="N482" s="240"/>
      <c r="O482" s="236"/>
      <c r="P482" s="297"/>
      <c r="Q482" s="298"/>
      <c r="R482" s="298"/>
      <c r="S482" s="297"/>
      <c r="T482" s="299"/>
      <c r="U482" s="235"/>
      <c r="V482" s="235"/>
      <c r="W482" s="300"/>
      <c r="X482" s="236"/>
      <c r="Y482" s="211"/>
      <c r="Z482" s="237"/>
      <c r="AA482" s="238"/>
      <c r="AB482" s="211"/>
      <c r="AC482" s="237"/>
      <c r="AD482" s="238"/>
      <c r="AE482" s="294">
        <v>50868</v>
      </c>
    </row>
    <row r="483" spans="1:31">
      <c r="A483" s="233"/>
      <c r="B483" s="301"/>
      <c r="C483" s="233"/>
      <c r="D483" s="233"/>
      <c r="E483" s="295"/>
      <c r="F483" s="241"/>
      <c r="G483" s="296"/>
      <c r="H483" s="240"/>
      <c r="I483" s="240"/>
      <c r="J483" s="261"/>
      <c r="K483" s="241"/>
      <c r="L483" s="234"/>
      <c r="M483" s="237"/>
      <c r="N483" s="240"/>
      <c r="O483" s="236"/>
      <c r="P483" s="297"/>
      <c r="Q483" s="298"/>
      <c r="R483" s="298"/>
      <c r="S483" s="297"/>
      <c r="T483" s="299"/>
      <c r="U483" s="235"/>
      <c r="V483" s="235"/>
      <c r="W483" s="300"/>
      <c r="X483" s="236"/>
      <c r="Y483" s="211"/>
      <c r="Z483" s="237"/>
      <c r="AA483" s="238"/>
      <c r="AB483" s="211"/>
      <c r="AC483" s="237"/>
      <c r="AD483" s="238"/>
      <c r="AE483" s="294">
        <v>50871</v>
      </c>
    </row>
    <row r="484" spans="1:31">
      <c r="A484" s="233"/>
      <c r="B484" s="301"/>
      <c r="C484" s="233"/>
      <c r="D484" s="233"/>
      <c r="E484" s="295"/>
      <c r="F484" s="241"/>
      <c r="G484" s="296"/>
      <c r="H484" s="240"/>
      <c r="I484" s="240"/>
      <c r="J484" s="261"/>
      <c r="K484" s="241"/>
      <c r="L484" s="234"/>
      <c r="M484" s="237"/>
      <c r="N484" s="240"/>
      <c r="O484" s="236"/>
      <c r="P484" s="297"/>
      <c r="Q484" s="298"/>
      <c r="R484" s="298"/>
      <c r="S484" s="297"/>
      <c r="T484" s="299"/>
      <c r="U484" s="235"/>
      <c r="V484" s="235"/>
      <c r="W484" s="300"/>
      <c r="X484" s="236"/>
      <c r="Y484" s="211"/>
      <c r="Z484" s="237"/>
      <c r="AA484" s="238"/>
      <c r="AB484" s="211"/>
      <c r="AC484" s="237"/>
      <c r="AD484" s="238"/>
      <c r="AE484" s="294">
        <v>50885</v>
      </c>
    </row>
    <row r="485" spans="1:31">
      <c r="A485" s="233"/>
      <c r="B485" s="301"/>
      <c r="C485" s="233"/>
      <c r="D485" s="233"/>
      <c r="E485" s="295"/>
      <c r="F485" s="241"/>
      <c r="G485" s="296"/>
      <c r="H485" s="240"/>
      <c r="I485" s="240"/>
      <c r="J485" s="261"/>
      <c r="K485" s="241"/>
      <c r="L485" s="234"/>
      <c r="M485" s="237"/>
      <c r="N485" s="240"/>
      <c r="O485" s="236"/>
      <c r="P485" s="297"/>
      <c r="Q485" s="298"/>
      <c r="R485" s="298"/>
      <c r="S485" s="297"/>
      <c r="T485" s="299"/>
      <c r="U485" s="235"/>
      <c r="V485" s="235"/>
      <c r="W485" s="300"/>
      <c r="X485" s="236"/>
      <c r="Y485" s="211"/>
      <c r="Z485" s="237"/>
      <c r="AA485" s="238"/>
      <c r="AB485" s="211"/>
      <c r="AC485" s="237"/>
      <c r="AD485" s="238"/>
      <c r="AE485" s="294">
        <v>50934</v>
      </c>
    </row>
    <row r="486" spans="1:31">
      <c r="A486" s="233"/>
      <c r="B486" s="301"/>
      <c r="C486" s="233"/>
      <c r="D486" s="233"/>
      <c r="E486" s="295"/>
      <c r="F486" s="241"/>
      <c r="G486" s="296"/>
      <c r="H486" s="240"/>
      <c r="I486" s="240"/>
      <c r="J486" s="261"/>
      <c r="K486" s="241"/>
      <c r="L486" s="234"/>
      <c r="M486" s="237"/>
      <c r="N486" s="240"/>
      <c r="O486" s="236"/>
      <c r="P486" s="297"/>
      <c r="Q486" s="298"/>
      <c r="R486" s="298"/>
      <c r="S486" s="297"/>
      <c r="T486" s="299"/>
      <c r="U486" s="235"/>
      <c r="V486" s="235"/>
      <c r="W486" s="300"/>
      <c r="X486" s="236"/>
      <c r="Y486" s="211"/>
      <c r="Z486" s="237"/>
      <c r="AA486" s="238"/>
      <c r="AB486" s="211"/>
      <c r="AC486" s="237"/>
      <c r="AD486" s="238"/>
      <c r="AE486" s="294">
        <v>50983</v>
      </c>
    </row>
    <row r="487" spans="1:31">
      <c r="A487" s="233"/>
      <c r="B487" s="301"/>
      <c r="C487" s="233"/>
      <c r="D487" s="233"/>
      <c r="E487" s="295"/>
      <c r="F487" s="241"/>
      <c r="G487" s="296"/>
      <c r="H487" s="240"/>
      <c r="I487" s="240"/>
      <c r="J487" s="261"/>
      <c r="K487" s="241"/>
      <c r="L487" s="234"/>
      <c r="M487" s="237"/>
      <c r="N487" s="240"/>
      <c r="O487" s="236"/>
      <c r="P487" s="297"/>
      <c r="Q487" s="298"/>
      <c r="R487" s="298"/>
      <c r="S487" s="297"/>
      <c r="T487" s="299"/>
      <c r="U487" s="235"/>
      <c r="V487" s="235"/>
      <c r="W487" s="300"/>
      <c r="X487" s="236"/>
      <c r="Y487" s="211"/>
      <c r="Z487" s="237"/>
      <c r="AA487" s="238"/>
      <c r="AB487" s="211"/>
      <c r="AC487" s="237"/>
      <c r="AD487" s="238"/>
      <c r="AE487" s="294">
        <v>51046</v>
      </c>
    </row>
    <row r="488" spans="1:31">
      <c r="A488" s="233"/>
      <c r="B488" s="301"/>
      <c r="C488" s="233"/>
      <c r="D488" s="233"/>
      <c r="E488" s="295"/>
      <c r="F488" s="241"/>
      <c r="G488" s="296"/>
      <c r="H488" s="240"/>
      <c r="I488" s="240"/>
      <c r="J488" s="261"/>
      <c r="K488" s="241"/>
      <c r="L488" s="234"/>
      <c r="M488" s="237"/>
      <c r="N488" s="240"/>
      <c r="O488" s="236"/>
      <c r="P488" s="297"/>
      <c r="Q488" s="298"/>
      <c r="R488" s="298"/>
      <c r="S488" s="297"/>
      <c r="T488" s="299"/>
      <c r="U488" s="235"/>
      <c r="V488" s="235"/>
      <c r="W488" s="300"/>
      <c r="X488" s="236"/>
      <c r="Y488" s="211"/>
      <c r="Z488" s="237"/>
      <c r="AA488" s="238"/>
      <c r="AB488" s="211"/>
      <c r="AC488" s="237"/>
      <c r="AD488" s="238"/>
      <c r="AE488" s="294">
        <v>51130</v>
      </c>
    </row>
    <row r="489" spans="1:31">
      <c r="A489" s="233"/>
      <c r="B489" s="301"/>
      <c r="C489" s="233"/>
      <c r="D489" s="233"/>
      <c r="E489" s="295"/>
      <c r="F489" s="241"/>
      <c r="G489" s="296"/>
      <c r="H489" s="240"/>
      <c r="I489" s="240"/>
      <c r="J489" s="261"/>
      <c r="K489" s="241"/>
      <c r="L489" s="234"/>
      <c r="M489" s="237"/>
      <c r="N489" s="240"/>
      <c r="O489" s="236"/>
      <c r="P489" s="297"/>
      <c r="Q489" s="298"/>
      <c r="R489" s="298"/>
      <c r="S489" s="297"/>
      <c r="T489" s="299"/>
      <c r="U489" s="235"/>
      <c r="V489" s="235"/>
      <c r="W489" s="300"/>
      <c r="X489" s="236"/>
      <c r="Y489" s="211"/>
      <c r="Z489" s="237"/>
      <c r="AA489" s="238"/>
      <c r="AB489" s="211"/>
      <c r="AC489" s="237"/>
      <c r="AD489" s="238"/>
      <c r="AE489" s="294">
        <v>51131</v>
      </c>
    </row>
    <row r="490" spans="1:31">
      <c r="A490" s="233"/>
      <c r="B490" s="301"/>
      <c r="C490" s="233"/>
      <c r="D490" s="233"/>
      <c r="E490" s="295"/>
      <c r="F490" s="241"/>
      <c r="G490" s="296"/>
      <c r="H490" s="240"/>
      <c r="I490" s="240"/>
      <c r="J490" s="261"/>
      <c r="K490" s="241"/>
      <c r="L490" s="234"/>
      <c r="M490" s="237"/>
      <c r="N490" s="240"/>
      <c r="O490" s="236"/>
      <c r="P490" s="297"/>
      <c r="Q490" s="298"/>
      <c r="R490" s="298"/>
      <c r="S490" s="297"/>
      <c r="T490" s="299"/>
      <c r="U490" s="235"/>
      <c r="V490" s="235"/>
      <c r="W490" s="300"/>
      <c r="X490" s="236"/>
      <c r="Y490" s="211"/>
      <c r="Z490" s="237"/>
      <c r="AA490" s="238"/>
      <c r="AB490" s="211"/>
      <c r="AC490" s="237"/>
      <c r="AD490" s="238"/>
      <c r="AE490" s="294">
        <v>51137</v>
      </c>
    </row>
    <row r="491" spans="1:31">
      <c r="A491" s="233"/>
      <c r="B491" s="301"/>
      <c r="C491" s="233"/>
      <c r="D491" s="233"/>
      <c r="E491" s="295"/>
      <c r="F491" s="241"/>
      <c r="G491" s="296"/>
      <c r="H491" s="240"/>
      <c r="I491" s="240"/>
      <c r="J491" s="261"/>
      <c r="K491" s="241"/>
      <c r="L491" s="234"/>
      <c r="M491" s="237"/>
      <c r="N491" s="240"/>
      <c r="O491" s="236"/>
      <c r="P491" s="297"/>
      <c r="Q491" s="298"/>
      <c r="R491" s="298"/>
      <c r="S491" s="297"/>
      <c r="T491" s="299"/>
      <c r="U491" s="235"/>
      <c r="V491" s="235"/>
      <c r="W491" s="300"/>
      <c r="X491" s="236"/>
      <c r="Y491" s="211"/>
      <c r="Z491" s="237"/>
      <c r="AA491" s="238"/>
      <c r="AB491" s="211"/>
      <c r="AC491" s="237"/>
      <c r="AD491" s="238"/>
      <c r="AE491" s="294">
        <v>51161</v>
      </c>
    </row>
    <row r="492" spans="1:31">
      <c r="A492" s="233"/>
      <c r="B492" s="301"/>
      <c r="C492" s="233"/>
      <c r="D492" s="233"/>
      <c r="E492" s="295"/>
      <c r="F492" s="241"/>
      <c r="G492" s="296"/>
      <c r="H492" s="240"/>
      <c r="I492" s="240"/>
      <c r="J492" s="261"/>
      <c r="K492" s="241"/>
      <c r="L492" s="234"/>
      <c r="M492" s="237"/>
      <c r="N492" s="240"/>
      <c r="O492" s="236"/>
      <c r="P492" s="297"/>
      <c r="Q492" s="298"/>
      <c r="R492" s="298"/>
      <c r="S492" s="297"/>
      <c r="T492" s="299"/>
      <c r="U492" s="235"/>
      <c r="V492" s="235"/>
      <c r="W492" s="300"/>
      <c r="X492" s="236"/>
      <c r="Y492" s="211"/>
      <c r="Z492" s="237"/>
      <c r="AA492" s="238"/>
      <c r="AB492" s="211"/>
      <c r="AC492" s="237"/>
      <c r="AD492" s="238"/>
      <c r="AE492" s="294">
        <v>51225</v>
      </c>
    </row>
    <row r="493" spans="1:31">
      <c r="A493" s="233"/>
      <c r="B493" s="301"/>
      <c r="C493" s="233"/>
      <c r="D493" s="233"/>
      <c r="E493" s="295"/>
      <c r="F493" s="241"/>
      <c r="G493" s="296"/>
      <c r="H493" s="240"/>
      <c r="I493" s="240"/>
      <c r="J493" s="261"/>
      <c r="K493" s="241"/>
      <c r="L493" s="234"/>
      <c r="M493" s="237"/>
      <c r="N493" s="240"/>
      <c r="O493" s="236"/>
      <c r="P493" s="297"/>
      <c r="Q493" s="298"/>
      <c r="R493" s="298"/>
      <c r="S493" s="297"/>
      <c r="T493" s="299"/>
      <c r="U493" s="235"/>
      <c r="V493" s="235"/>
      <c r="W493" s="300"/>
      <c r="X493" s="236"/>
      <c r="Y493" s="211"/>
      <c r="Z493" s="237"/>
      <c r="AA493" s="238"/>
      <c r="AB493" s="211"/>
      <c r="AC493" s="237"/>
      <c r="AD493" s="238"/>
      <c r="AE493" s="294">
        <v>51228</v>
      </c>
    </row>
    <row r="494" spans="1:31">
      <c r="A494" s="233"/>
      <c r="B494" s="301"/>
      <c r="C494" s="233"/>
      <c r="D494" s="233"/>
      <c r="E494" s="295"/>
      <c r="F494" s="241"/>
      <c r="G494" s="296"/>
      <c r="H494" s="240"/>
      <c r="I494" s="240"/>
      <c r="J494" s="261"/>
      <c r="K494" s="241"/>
      <c r="L494" s="234"/>
      <c r="M494" s="237"/>
      <c r="N494" s="240"/>
      <c r="O494" s="236"/>
      <c r="P494" s="297"/>
      <c r="Q494" s="298"/>
      <c r="R494" s="298"/>
      <c r="S494" s="297"/>
      <c r="T494" s="299"/>
      <c r="U494" s="235"/>
      <c r="V494" s="235"/>
      <c r="W494" s="300"/>
      <c r="X494" s="236"/>
      <c r="Y494" s="211"/>
      <c r="Z494" s="237"/>
      <c r="AA494" s="238"/>
      <c r="AB494" s="211"/>
      <c r="AC494" s="237"/>
      <c r="AD494" s="238"/>
      <c r="AE494" s="294">
        <v>51251</v>
      </c>
    </row>
    <row r="495" spans="1:31">
      <c r="A495" s="233"/>
      <c r="B495" s="301"/>
      <c r="C495" s="233"/>
      <c r="D495" s="233"/>
      <c r="E495" s="295"/>
      <c r="F495" s="241"/>
      <c r="G495" s="296"/>
      <c r="H495" s="240"/>
      <c r="I495" s="240"/>
      <c r="J495" s="261"/>
      <c r="K495" s="241"/>
      <c r="L495" s="234"/>
      <c r="M495" s="237"/>
      <c r="N495" s="240"/>
      <c r="O495" s="236"/>
      <c r="P495" s="297"/>
      <c r="Q495" s="298"/>
      <c r="R495" s="298"/>
      <c r="S495" s="297"/>
      <c r="T495" s="299"/>
      <c r="U495" s="235"/>
      <c r="V495" s="235"/>
      <c r="W495" s="300"/>
      <c r="X495" s="236"/>
      <c r="Y495" s="211"/>
      <c r="Z495" s="237"/>
      <c r="AA495" s="238"/>
      <c r="AB495" s="211"/>
      <c r="AC495" s="237"/>
      <c r="AD495" s="238"/>
      <c r="AE495" s="294">
        <v>51298</v>
      </c>
    </row>
    <row r="496" spans="1:31">
      <c r="A496" s="233"/>
      <c r="B496" s="301"/>
      <c r="C496" s="233"/>
      <c r="D496" s="233"/>
      <c r="E496" s="295"/>
      <c r="F496" s="241"/>
      <c r="G496" s="296"/>
      <c r="H496" s="240"/>
      <c r="I496" s="240"/>
      <c r="J496" s="261"/>
      <c r="K496" s="241"/>
      <c r="L496" s="234"/>
      <c r="M496" s="237"/>
      <c r="N496" s="240"/>
      <c r="O496" s="236"/>
      <c r="P496" s="297"/>
      <c r="Q496" s="298"/>
      <c r="R496" s="298"/>
      <c r="S496" s="297"/>
      <c r="T496" s="299"/>
      <c r="U496" s="235"/>
      <c r="V496" s="235"/>
      <c r="W496" s="300"/>
      <c r="X496" s="236"/>
      <c r="Y496" s="211"/>
      <c r="Z496" s="237"/>
      <c r="AA496" s="238"/>
      <c r="AB496" s="211"/>
      <c r="AC496" s="237"/>
      <c r="AD496" s="238"/>
      <c r="AE496" s="294">
        <v>51354</v>
      </c>
    </row>
    <row r="497" spans="1:31">
      <c r="A497" s="233"/>
      <c r="B497" s="301"/>
      <c r="C497" s="233"/>
      <c r="D497" s="233"/>
      <c r="E497" s="295"/>
      <c r="F497" s="241"/>
      <c r="G497" s="296"/>
      <c r="H497" s="240"/>
      <c r="I497" s="240"/>
      <c r="J497" s="261"/>
      <c r="K497" s="241"/>
      <c r="L497" s="234"/>
      <c r="M497" s="237"/>
      <c r="N497" s="240"/>
      <c r="O497" s="236"/>
      <c r="P497" s="297"/>
      <c r="Q497" s="298"/>
      <c r="R497" s="298"/>
      <c r="S497" s="297"/>
      <c r="T497" s="299"/>
      <c r="U497" s="235"/>
      <c r="V497" s="235"/>
      <c r="W497" s="300"/>
      <c r="X497" s="236"/>
      <c r="Y497" s="211"/>
      <c r="Z497" s="237"/>
      <c r="AA497" s="238"/>
      <c r="AB497" s="211"/>
      <c r="AC497" s="237"/>
      <c r="AD497" s="238"/>
      <c r="AE497" s="294">
        <v>51410</v>
      </c>
    </row>
    <row r="498" spans="1:31">
      <c r="A498" s="233"/>
      <c r="B498" s="301"/>
      <c r="C498" s="233"/>
      <c r="D498" s="233"/>
      <c r="E498" s="295"/>
      <c r="F498" s="241"/>
      <c r="G498" s="296"/>
      <c r="H498" s="240"/>
      <c r="I498" s="240"/>
      <c r="J498" s="261"/>
      <c r="K498" s="241"/>
      <c r="L498" s="234"/>
      <c r="M498" s="237"/>
      <c r="N498" s="240"/>
      <c r="O498" s="236"/>
      <c r="P498" s="297"/>
      <c r="Q498" s="298"/>
      <c r="R498" s="298"/>
      <c r="S498" s="297"/>
      <c r="T498" s="299"/>
      <c r="U498" s="235"/>
      <c r="V498" s="235"/>
      <c r="W498" s="300"/>
      <c r="X498" s="236"/>
      <c r="Y498" s="211"/>
      <c r="Z498" s="237"/>
      <c r="AA498" s="238"/>
      <c r="AB498" s="211"/>
      <c r="AC498" s="237"/>
      <c r="AD498" s="238"/>
      <c r="AE498" s="294">
        <v>51495</v>
      </c>
    </row>
    <row r="499" spans="1:31">
      <c r="A499" s="233"/>
      <c r="B499" s="301"/>
      <c r="C499" s="233"/>
      <c r="D499" s="233"/>
      <c r="E499" s="295"/>
      <c r="F499" s="241"/>
      <c r="G499" s="296"/>
      <c r="H499" s="240"/>
      <c r="I499" s="240"/>
      <c r="J499" s="261"/>
      <c r="K499" s="241"/>
      <c r="L499" s="234"/>
      <c r="M499" s="237"/>
      <c r="N499" s="240"/>
      <c r="O499" s="236"/>
      <c r="P499" s="297"/>
      <c r="Q499" s="298"/>
      <c r="R499" s="298"/>
      <c r="S499" s="297"/>
      <c r="T499" s="299"/>
      <c r="U499" s="235"/>
      <c r="V499" s="235"/>
      <c r="W499" s="300"/>
      <c r="X499" s="236"/>
      <c r="Y499" s="211"/>
      <c r="Z499" s="237"/>
      <c r="AA499" s="238"/>
      <c r="AB499" s="211"/>
      <c r="AC499" s="237"/>
      <c r="AD499" s="238"/>
      <c r="AE499" s="294">
        <v>51496</v>
      </c>
    </row>
    <row r="500" spans="1:31">
      <c r="A500" s="233"/>
      <c r="B500" s="301"/>
      <c r="C500" s="233"/>
      <c r="D500" s="233"/>
      <c r="E500" s="295"/>
      <c r="F500" s="241"/>
      <c r="G500" s="296"/>
      <c r="H500" s="240"/>
      <c r="I500" s="240"/>
      <c r="J500" s="261"/>
      <c r="K500" s="241"/>
      <c r="L500" s="234"/>
      <c r="M500" s="237"/>
      <c r="N500" s="240"/>
      <c r="O500" s="236"/>
      <c r="P500" s="297"/>
      <c r="Q500" s="298"/>
      <c r="R500" s="298"/>
      <c r="S500" s="297"/>
      <c r="T500" s="299"/>
      <c r="U500" s="235"/>
      <c r="V500" s="235"/>
      <c r="W500" s="300"/>
      <c r="X500" s="236"/>
      <c r="Y500" s="211"/>
      <c r="Z500" s="237"/>
      <c r="AA500" s="238"/>
      <c r="AB500" s="211"/>
      <c r="AC500" s="237"/>
      <c r="AD500" s="238"/>
      <c r="AE500" s="294">
        <v>51502</v>
      </c>
    </row>
    <row r="501" spans="1:31">
      <c r="A501" s="233"/>
      <c r="B501" s="301"/>
      <c r="C501" s="233"/>
      <c r="D501" s="233"/>
      <c r="E501" s="295"/>
      <c r="F501" s="241"/>
      <c r="G501" s="296"/>
      <c r="H501" s="240"/>
      <c r="I501" s="240"/>
      <c r="J501" s="261"/>
      <c r="K501" s="241"/>
      <c r="L501" s="234"/>
      <c r="M501" s="237"/>
      <c r="N501" s="240"/>
      <c r="O501" s="236"/>
      <c r="P501" s="297"/>
      <c r="Q501" s="298"/>
      <c r="R501" s="298"/>
      <c r="S501" s="297"/>
      <c r="T501" s="299"/>
      <c r="U501" s="235"/>
      <c r="V501" s="235"/>
      <c r="W501" s="300"/>
      <c r="X501" s="236"/>
      <c r="Y501" s="211"/>
      <c r="Z501" s="237"/>
      <c r="AA501" s="238"/>
      <c r="AB501" s="211"/>
      <c r="AC501" s="237"/>
      <c r="AD501" s="238"/>
      <c r="AE501" s="294">
        <v>51529</v>
      </c>
    </row>
    <row r="502" spans="1:31">
      <c r="A502" s="233"/>
      <c r="B502" s="301"/>
      <c r="C502" s="233"/>
      <c r="D502" s="233"/>
      <c r="E502" s="295"/>
      <c r="F502" s="241"/>
      <c r="G502" s="296"/>
      <c r="H502" s="240"/>
      <c r="I502" s="240"/>
      <c r="J502" s="261"/>
      <c r="K502" s="241"/>
      <c r="L502" s="234"/>
      <c r="M502" s="237"/>
      <c r="N502" s="240"/>
      <c r="O502" s="236"/>
      <c r="P502" s="297"/>
      <c r="Q502" s="298"/>
      <c r="R502" s="298"/>
      <c r="S502" s="297"/>
      <c r="T502" s="299"/>
      <c r="U502" s="235"/>
      <c r="V502" s="235"/>
      <c r="W502" s="300"/>
      <c r="X502" s="236"/>
      <c r="Y502" s="211"/>
      <c r="Z502" s="237"/>
      <c r="AA502" s="238"/>
      <c r="AB502" s="211"/>
      <c r="AC502" s="237"/>
      <c r="AD502" s="238"/>
      <c r="AE502" s="294">
        <v>51610</v>
      </c>
    </row>
    <row r="503" spans="1:31">
      <c r="A503" s="233"/>
      <c r="B503" s="301"/>
      <c r="C503" s="233"/>
      <c r="D503" s="233"/>
      <c r="E503" s="295"/>
      <c r="F503" s="241"/>
      <c r="G503" s="296"/>
      <c r="H503" s="240"/>
      <c r="I503" s="240"/>
      <c r="J503" s="261"/>
      <c r="K503" s="241"/>
      <c r="L503" s="234"/>
      <c r="M503" s="237"/>
      <c r="N503" s="240"/>
      <c r="O503" s="236"/>
      <c r="P503" s="297"/>
      <c r="Q503" s="298"/>
      <c r="R503" s="298"/>
      <c r="S503" s="297"/>
      <c r="T503" s="299"/>
      <c r="U503" s="235"/>
      <c r="V503" s="235"/>
      <c r="W503" s="300"/>
      <c r="X503" s="236"/>
      <c r="Y503" s="211"/>
      <c r="Z503" s="237"/>
      <c r="AA503" s="238"/>
      <c r="AB503" s="211"/>
      <c r="AC503" s="237"/>
      <c r="AD503" s="238"/>
      <c r="AE503" s="294">
        <v>51613</v>
      </c>
    </row>
    <row r="504" spans="1:31">
      <c r="A504" s="233"/>
      <c r="B504" s="301"/>
      <c r="C504" s="233"/>
      <c r="D504" s="233"/>
      <c r="E504" s="295"/>
      <c r="F504" s="241"/>
      <c r="G504" s="296"/>
      <c r="H504" s="240"/>
      <c r="I504" s="240"/>
      <c r="J504" s="261"/>
      <c r="K504" s="241"/>
      <c r="L504" s="234"/>
      <c r="M504" s="237"/>
      <c r="N504" s="240"/>
      <c r="O504" s="236"/>
      <c r="P504" s="297"/>
      <c r="Q504" s="298"/>
      <c r="R504" s="298"/>
      <c r="S504" s="297"/>
      <c r="T504" s="299"/>
      <c r="U504" s="235"/>
      <c r="V504" s="235"/>
      <c r="W504" s="300"/>
      <c r="X504" s="236"/>
      <c r="Y504" s="211"/>
      <c r="Z504" s="237"/>
      <c r="AA504" s="238"/>
      <c r="AB504" s="211"/>
      <c r="AC504" s="237"/>
      <c r="AD504" s="238"/>
      <c r="AE504" s="294">
        <v>51616</v>
      </c>
    </row>
    <row r="505" spans="1:31">
      <c r="A505" s="233"/>
      <c r="B505" s="301"/>
      <c r="C505" s="233"/>
      <c r="D505" s="233"/>
      <c r="E505" s="295"/>
      <c r="F505" s="241"/>
      <c r="G505" s="296"/>
      <c r="H505" s="240"/>
      <c r="I505" s="240"/>
      <c r="J505" s="261"/>
      <c r="K505" s="241"/>
      <c r="L505" s="234"/>
      <c r="M505" s="237"/>
      <c r="N505" s="240"/>
      <c r="O505" s="236"/>
      <c r="P505" s="297"/>
      <c r="Q505" s="298"/>
      <c r="R505" s="298"/>
      <c r="S505" s="297"/>
      <c r="T505" s="299"/>
      <c r="U505" s="235"/>
      <c r="V505" s="235"/>
      <c r="W505" s="300"/>
      <c r="X505" s="236"/>
      <c r="Y505" s="211"/>
      <c r="Z505" s="237"/>
      <c r="AA505" s="238"/>
      <c r="AB505" s="211"/>
      <c r="AC505" s="237"/>
      <c r="AD505" s="238"/>
      <c r="AE505" s="294">
        <v>51662</v>
      </c>
    </row>
    <row r="506" spans="1:31">
      <c r="A506" s="233"/>
      <c r="B506" s="301"/>
      <c r="C506" s="233"/>
      <c r="D506" s="233"/>
      <c r="E506" s="295"/>
      <c r="F506" s="241"/>
      <c r="G506" s="296"/>
      <c r="H506" s="240"/>
      <c r="I506" s="240"/>
      <c r="J506" s="261"/>
      <c r="K506" s="241"/>
      <c r="L506" s="234"/>
      <c r="M506" s="237"/>
      <c r="N506" s="240"/>
      <c r="O506" s="236"/>
      <c r="P506" s="297"/>
      <c r="Q506" s="298"/>
      <c r="R506" s="298"/>
      <c r="S506" s="297"/>
      <c r="T506" s="299"/>
      <c r="U506" s="235"/>
      <c r="V506" s="235"/>
      <c r="W506" s="300"/>
      <c r="X506" s="236"/>
      <c r="Y506" s="211"/>
      <c r="Z506" s="237"/>
      <c r="AA506" s="238"/>
      <c r="AB506" s="211"/>
      <c r="AC506" s="237"/>
      <c r="AD506" s="238"/>
      <c r="AE506" s="294">
        <v>51718</v>
      </c>
    </row>
    <row r="507" spans="1:31">
      <c r="A507" s="233"/>
      <c r="B507" s="301"/>
      <c r="C507" s="233"/>
      <c r="D507" s="233"/>
      <c r="E507" s="295"/>
      <c r="F507" s="241"/>
      <c r="G507" s="296"/>
      <c r="H507" s="240"/>
      <c r="I507" s="240"/>
      <c r="J507" s="261"/>
      <c r="K507" s="241"/>
      <c r="L507" s="234"/>
      <c r="M507" s="237"/>
      <c r="N507" s="240"/>
      <c r="O507" s="236"/>
      <c r="P507" s="297"/>
      <c r="Q507" s="298"/>
      <c r="R507" s="298"/>
      <c r="S507" s="297"/>
      <c r="T507" s="299"/>
      <c r="U507" s="235"/>
      <c r="V507" s="235"/>
      <c r="W507" s="300"/>
      <c r="X507" s="236"/>
      <c r="Y507" s="211"/>
      <c r="Z507" s="237"/>
      <c r="AA507" s="238"/>
      <c r="AB507" s="211"/>
      <c r="AC507" s="237"/>
      <c r="AD507" s="238"/>
      <c r="AE507" s="294">
        <v>51781</v>
      </c>
    </row>
    <row r="508" spans="1:31">
      <c r="A508" s="233"/>
      <c r="B508" s="301"/>
      <c r="C508" s="233"/>
      <c r="D508" s="233"/>
      <c r="E508" s="295"/>
      <c r="F508" s="241"/>
      <c r="G508" s="296"/>
      <c r="H508" s="240"/>
      <c r="I508" s="240"/>
      <c r="J508" s="261"/>
      <c r="K508" s="241"/>
      <c r="L508" s="234"/>
      <c r="M508" s="237"/>
      <c r="N508" s="240"/>
      <c r="O508" s="236"/>
      <c r="P508" s="297"/>
      <c r="Q508" s="298"/>
      <c r="R508" s="298"/>
      <c r="S508" s="297"/>
      <c r="T508" s="299"/>
      <c r="U508" s="235"/>
      <c r="V508" s="235"/>
      <c r="W508" s="300"/>
      <c r="X508" s="236"/>
      <c r="Y508" s="211"/>
      <c r="Z508" s="237"/>
      <c r="AA508" s="238"/>
      <c r="AB508" s="211"/>
      <c r="AC508" s="237"/>
      <c r="AD508" s="238"/>
      <c r="AE508" s="294">
        <v>51860</v>
      </c>
    </row>
    <row r="509" spans="1:31">
      <c r="A509" s="233"/>
      <c r="B509" s="301"/>
      <c r="C509" s="233"/>
      <c r="D509" s="233"/>
      <c r="E509" s="295"/>
      <c r="F509" s="241"/>
      <c r="G509" s="296"/>
      <c r="H509" s="240"/>
      <c r="I509" s="240"/>
      <c r="J509" s="261"/>
      <c r="K509" s="241"/>
      <c r="L509" s="234"/>
      <c r="M509" s="237"/>
      <c r="N509" s="240"/>
      <c r="O509" s="236"/>
      <c r="P509" s="297"/>
      <c r="Q509" s="298"/>
      <c r="R509" s="298"/>
      <c r="S509" s="297"/>
      <c r="T509" s="299"/>
      <c r="U509" s="235"/>
      <c r="V509" s="235"/>
      <c r="W509" s="300"/>
      <c r="X509" s="236"/>
      <c r="Y509" s="211"/>
      <c r="Z509" s="237"/>
      <c r="AA509" s="238"/>
      <c r="AB509" s="211"/>
      <c r="AC509" s="237"/>
      <c r="AD509" s="238"/>
      <c r="AE509" s="294">
        <v>51861</v>
      </c>
    </row>
    <row r="510" spans="1:31">
      <c r="A510" s="233"/>
      <c r="B510" s="301"/>
      <c r="C510" s="233"/>
      <c r="D510" s="233"/>
      <c r="E510" s="295"/>
      <c r="F510" s="241"/>
      <c r="G510" s="296"/>
      <c r="H510" s="240"/>
      <c r="I510" s="240"/>
      <c r="J510" s="261"/>
      <c r="K510" s="241"/>
      <c r="L510" s="234"/>
      <c r="M510" s="237"/>
      <c r="N510" s="240"/>
      <c r="O510" s="236"/>
      <c r="P510" s="297"/>
      <c r="Q510" s="298"/>
      <c r="R510" s="298"/>
      <c r="S510" s="297"/>
      <c r="T510" s="299"/>
      <c r="U510" s="235"/>
      <c r="V510" s="235"/>
      <c r="W510" s="300"/>
      <c r="X510" s="236"/>
      <c r="Y510" s="211"/>
      <c r="Z510" s="237"/>
      <c r="AA510" s="238"/>
      <c r="AB510" s="211"/>
      <c r="AC510" s="237"/>
      <c r="AD510" s="238"/>
      <c r="AE510" s="294">
        <v>51867</v>
      </c>
    </row>
    <row r="511" spans="1:31">
      <c r="A511" s="233"/>
      <c r="B511" s="301"/>
      <c r="C511" s="233"/>
      <c r="D511" s="233"/>
      <c r="E511" s="295"/>
      <c r="F511" s="241"/>
      <c r="G511" s="296"/>
      <c r="H511" s="240"/>
      <c r="I511" s="240"/>
      <c r="J511" s="261"/>
      <c r="K511" s="241"/>
      <c r="L511" s="234"/>
      <c r="M511" s="237"/>
      <c r="N511" s="240"/>
      <c r="O511" s="236"/>
      <c r="P511" s="297"/>
      <c r="Q511" s="298"/>
      <c r="R511" s="298"/>
      <c r="S511" s="297"/>
      <c r="T511" s="299"/>
      <c r="U511" s="235"/>
      <c r="V511" s="235"/>
      <c r="W511" s="300"/>
      <c r="X511" s="236"/>
      <c r="Y511" s="211"/>
      <c r="Z511" s="237"/>
      <c r="AA511" s="238"/>
      <c r="AB511" s="211"/>
      <c r="AC511" s="237"/>
      <c r="AD511" s="238"/>
      <c r="AE511" s="294">
        <v>51893</v>
      </c>
    </row>
    <row r="512" spans="1:31">
      <c r="A512" s="233"/>
      <c r="B512" s="301"/>
      <c r="C512" s="233"/>
      <c r="D512" s="233"/>
      <c r="E512" s="295"/>
      <c r="F512" s="241"/>
      <c r="G512" s="296"/>
      <c r="H512" s="240"/>
      <c r="I512" s="240"/>
      <c r="J512" s="261"/>
      <c r="K512" s="241"/>
      <c r="L512" s="234"/>
      <c r="M512" s="237"/>
      <c r="N512" s="240"/>
      <c r="O512" s="236"/>
      <c r="P512" s="297"/>
      <c r="Q512" s="298"/>
      <c r="R512" s="298"/>
      <c r="S512" s="297"/>
      <c r="T512" s="299"/>
      <c r="U512" s="235"/>
      <c r="V512" s="235"/>
      <c r="W512" s="300"/>
      <c r="X512" s="236"/>
      <c r="Y512" s="211"/>
      <c r="Z512" s="237"/>
      <c r="AA512" s="238"/>
      <c r="AB512" s="211"/>
      <c r="AC512" s="237"/>
      <c r="AD512" s="238"/>
      <c r="AE512" s="294">
        <v>51960</v>
      </c>
    </row>
    <row r="513" spans="1:31">
      <c r="A513" s="233"/>
      <c r="B513" s="301"/>
      <c r="C513" s="233"/>
      <c r="D513" s="233"/>
      <c r="E513" s="295"/>
      <c r="F513" s="241"/>
      <c r="G513" s="296"/>
      <c r="H513" s="240"/>
      <c r="I513" s="240"/>
      <c r="J513" s="261"/>
      <c r="K513" s="241"/>
      <c r="L513" s="234"/>
      <c r="M513" s="237"/>
      <c r="N513" s="240"/>
      <c r="O513" s="236"/>
      <c r="P513" s="297"/>
      <c r="Q513" s="298"/>
      <c r="R513" s="298"/>
      <c r="S513" s="297"/>
      <c r="T513" s="299"/>
      <c r="U513" s="235"/>
      <c r="V513" s="235"/>
      <c r="W513" s="300"/>
      <c r="X513" s="236"/>
      <c r="Y513" s="211"/>
      <c r="Z513" s="237"/>
      <c r="AA513" s="238"/>
      <c r="AB513" s="211"/>
      <c r="AC513" s="237"/>
      <c r="AD513" s="238"/>
      <c r="AE513" s="294">
        <v>51963</v>
      </c>
    </row>
    <row r="514" spans="1:31">
      <c r="A514" s="233"/>
      <c r="B514" s="301"/>
      <c r="C514" s="233"/>
      <c r="D514" s="233"/>
      <c r="E514" s="295"/>
      <c r="F514" s="241"/>
      <c r="G514" s="296"/>
      <c r="H514" s="240"/>
      <c r="I514" s="240"/>
      <c r="J514" s="261"/>
      <c r="K514" s="241"/>
      <c r="L514" s="234"/>
      <c r="M514" s="237"/>
      <c r="N514" s="240"/>
      <c r="O514" s="236"/>
      <c r="P514" s="297"/>
      <c r="Q514" s="298"/>
      <c r="R514" s="298"/>
      <c r="S514" s="297"/>
      <c r="T514" s="299"/>
      <c r="U514" s="235"/>
      <c r="V514" s="235"/>
      <c r="W514" s="300"/>
      <c r="X514" s="236"/>
      <c r="Y514" s="211"/>
      <c r="Z514" s="237"/>
      <c r="AA514" s="238"/>
      <c r="AB514" s="211"/>
      <c r="AC514" s="237"/>
      <c r="AD514" s="238"/>
      <c r="AE514" s="294">
        <v>51981</v>
      </c>
    </row>
    <row r="515" spans="1:31">
      <c r="A515" s="233"/>
      <c r="B515" s="301"/>
      <c r="C515" s="233"/>
      <c r="D515" s="233"/>
      <c r="E515" s="295"/>
      <c r="F515" s="241"/>
      <c r="G515" s="296"/>
      <c r="H515" s="240"/>
      <c r="I515" s="240"/>
      <c r="J515" s="261"/>
      <c r="K515" s="241"/>
      <c r="L515" s="234"/>
      <c r="M515" s="237"/>
      <c r="N515" s="240"/>
      <c r="O515" s="236"/>
      <c r="P515" s="297"/>
      <c r="Q515" s="298"/>
      <c r="R515" s="298"/>
      <c r="S515" s="297"/>
      <c r="T515" s="299"/>
      <c r="U515" s="235"/>
      <c r="V515" s="235"/>
      <c r="W515" s="300"/>
      <c r="X515" s="236"/>
      <c r="Y515" s="211"/>
      <c r="Z515" s="237"/>
      <c r="AA515" s="238"/>
      <c r="AB515" s="211"/>
      <c r="AC515" s="237"/>
      <c r="AD515" s="238"/>
      <c r="AE515" s="294">
        <v>52026</v>
      </c>
    </row>
    <row r="516" spans="1:31">
      <c r="A516" s="233"/>
      <c r="B516" s="301"/>
      <c r="C516" s="233"/>
      <c r="D516" s="233"/>
      <c r="E516" s="295"/>
      <c r="F516" s="241"/>
      <c r="G516" s="296"/>
      <c r="H516" s="240"/>
      <c r="I516" s="240"/>
      <c r="J516" s="261"/>
      <c r="K516" s="241"/>
      <c r="L516" s="234"/>
      <c r="M516" s="237"/>
      <c r="N516" s="240"/>
      <c r="O516" s="236"/>
      <c r="P516" s="297"/>
      <c r="Q516" s="298"/>
      <c r="R516" s="298"/>
      <c r="S516" s="297"/>
      <c r="T516" s="299"/>
      <c r="U516" s="235"/>
      <c r="V516" s="235"/>
      <c r="W516" s="300"/>
      <c r="X516" s="236"/>
      <c r="Y516" s="211"/>
      <c r="Z516" s="237"/>
      <c r="AA516" s="238"/>
      <c r="AB516" s="211"/>
      <c r="AC516" s="237"/>
      <c r="AD516" s="238"/>
      <c r="AE516" s="294">
        <v>52082</v>
      </c>
    </row>
    <row r="517" spans="1:31">
      <c r="A517" s="233"/>
      <c r="B517" s="301"/>
      <c r="C517" s="233"/>
      <c r="D517" s="233"/>
      <c r="E517" s="295"/>
      <c r="F517" s="241"/>
      <c r="G517" s="296"/>
      <c r="H517" s="240"/>
      <c r="I517" s="240"/>
      <c r="J517" s="261"/>
      <c r="K517" s="241"/>
      <c r="L517" s="234"/>
      <c r="M517" s="237"/>
      <c r="N517" s="240"/>
      <c r="O517" s="236"/>
      <c r="P517" s="297"/>
      <c r="Q517" s="298"/>
      <c r="R517" s="298"/>
      <c r="S517" s="297"/>
      <c r="T517" s="299"/>
      <c r="U517" s="235"/>
      <c r="V517" s="235"/>
      <c r="W517" s="300"/>
      <c r="X517" s="236"/>
      <c r="Y517" s="211"/>
      <c r="Z517" s="237"/>
      <c r="AA517" s="238"/>
      <c r="AB517" s="211"/>
      <c r="AC517" s="237"/>
      <c r="AD517" s="238"/>
      <c r="AE517" s="294">
        <v>52145</v>
      </c>
    </row>
    <row r="518" spans="1:31">
      <c r="AE518" s="310">
        <v>52225</v>
      </c>
    </row>
    <row r="519" spans="1:31">
      <c r="AE519" s="310">
        <v>52226</v>
      </c>
    </row>
    <row r="520" spans="1:31">
      <c r="AE520" s="310">
        <v>52232</v>
      </c>
    </row>
    <row r="521" spans="1:31">
      <c r="AE521" s="310">
        <v>52257</v>
      </c>
    </row>
    <row r="522" spans="1:31">
      <c r="AE522" s="310">
        <v>52317</v>
      </c>
    </row>
    <row r="523" spans="1:31">
      <c r="AE523" s="310">
        <v>52320</v>
      </c>
    </row>
    <row r="524" spans="1:31">
      <c r="AE524" s="310">
        <v>52390</v>
      </c>
    </row>
    <row r="525" spans="1:31">
      <c r="AE525" s="310">
        <v>52446</v>
      </c>
    </row>
    <row r="526" spans="1:31">
      <c r="AE526" s="310">
        <v>52509</v>
      </c>
    </row>
    <row r="527" spans="1:31">
      <c r="AE527" s="310">
        <v>52590</v>
      </c>
    </row>
    <row r="528" spans="1:31">
      <c r="AE528" s="310">
        <v>52593</v>
      </c>
    </row>
    <row r="529" spans="31:31">
      <c r="AE529" s="310">
        <v>52597</v>
      </c>
    </row>
    <row r="530" spans="31:31">
      <c r="AE530" s="310">
        <v>52622</v>
      </c>
    </row>
    <row r="531" spans="31:31">
      <c r="AE531" s="310">
        <v>52702</v>
      </c>
    </row>
    <row r="532" spans="31:31">
      <c r="AE532" s="310">
        <v>52705</v>
      </c>
    </row>
    <row r="533" spans="31:31">
      <c r="AE533" s="310">
        <v>52712</v>
      </c>
    </row>
    <row r="534" spans="31:31">
      <c r="AE534" s="310">
        <v>52761</v>
      </c>
    </row>
    <row r="535" spans="31:31">
      <c r="AE535" s="310">
        <v>52810</v>
      </c>
    </row>
    <row r="536" spans="31:31">
      <c r="AE536" s="310">
        <v>52873</v>
      </c>
    </row>
    <row r="537" spans="31:31">
      <c r="AE537" s="310">
        <v>52957</v>
      </c>
    </row>
    <row r="538" spans="31:31">
      <c r="AE538" s="310">
        <v>52958</v>
      </c>
    </row>
    <row r="539" spans="31:31">
      <c r="AE539" s="310">
        <v>52964</v>
      </c>
    </row>
    <row r="540" spans="31:31">
      <c r="AE540" s="310">
        <v>52988</v>
      </c>
    </row>
    <row r="541" spans="31:31">
      <c r="AE541" s="310">
        <v>53059</v>
      </c>
    </row>
    <row r="542" spans="31:31">
      <c r="AE542" s="310">
        <v>53062</v>
      </c>
    </row>
    <row r="543" spans="31:31">
      <c r="AE543" s="310">
        <v>53077</v>
      </c>
    </row>
    <row r="544" spans="31:31">
      <c r="AE544" s="310">
        <v>53125</v>
      </c>
    </row>
    <row r="545" spans="31:31">
      <c r="AE545" s="310">
        <v>53181</v>
      </c>
    </row>
    <row r="546" spans="31:31">
      <c r="AE546" s="310">
        <v>53237</v>
      </c>
    </row>
    <row r="547" spans="31:31">
      <c r="AE547" s="310">
        <v>53321</v>
      </c>
    </row>
    <row r="548" spans="31:31">
      <c r="AE548" s="310">
        <v>53322</v>
      </c>
    </row>
    <row r="549" spans="31:31">
      <c r="AE549" s="310">
        <v>53328</v>
      </c>
    </row>
    <row r="550" spans="31:31">
      <c r="AE550" s="310">
        <v>53353</v>
      </c>
    </row>
    <row r="551" spans="31:31">
      <c r="AE551" s="310">
        <v>53409</v>
      </c>
    </row>
    <row r="552" spans="31:31">
      <c r="AE552" s="310">
        <v>53412</v>
      </c>
    </row>
    <row r="553" spans="31:31">
      <c r="AE553" s="310">
        <v>53442</v>
      </c>
    </row>
    <row r="554" spans="31:31">
      <c r="AE554" s="310">
        <v>53489</v>
      </c>
    </row>
    <row r="555" spans="31:31">
      <c r="AE555" s="310">
        <v>53545</v>
      </c>
    </row>
    <row r="556" spans="31:31">
      <c r="AE556" s="310">
        <v>53601</v>
      </c>
    </row>
    <row r="557" spans="31:31">
      <c r="AE557" s="310">
        <v>53686</v>
      </c>
    </row>
    <row r="558" spans="31:31">
      <c r="AE558" s="310">
        <v>53687</v>
      </c>
    </row>
    <row r="559" spans="31:31">
      <c r="AE559" s="310">
        <v>53693</v>
      </c>
    </row>
    <row r="560" spans="31:31">
      <c r="AE560" s="310">
        <v>53720</v>
      </c>
    </row>
    <row r="561" spans="31:31">
      <c r="AE561" s="310">
        <v>53794</v>
      </c>
    </row>
    <row r="562" spans="31:31">
      <c r="AE562" s="310">
        <v>53797</v>
      </c>
    </row>
    <row r="563" spans="31:31">
      <c r="AE563" s="310">
        <v>53807</v>
      </c>
    </row>
    <row r="564" spans="31:31">
      <c r="AE564" s="310">
        <v>53853</v>
      </c>
    </row>
    <row r="565" spans="31:31">
      <c r="AE565" s="310">
        <v>53909</v>
      </c>
    </row>
    <row r="566" spans="31:31">
      <c r="AE566" s="310">
        <v>53972</v>
      </c>
    </row>
    <row r="567" spans="31:31">
      <c r="AE567" s="310">
        <v>54051</v>
      </c>
    </row>
    <row r="568" spans="31:31">
      <c r="AE568" s="310">
        <v>54052</v>
      </c>
    </row>
    <row r="569" spans="31:31">
      <c r="AE569" s="310">
        <v>54058</v>
      </c>
    </row>
    <row r="570" spans="31:31">
      <c r="AE570" s="310">
        <v>54084</v>
      </c>
    </row>
    <row r="571" spans="31:31">
      <c r="AE571" s="310">
        <v>54151</v>
      </c>
    </row>
    <row r="572" spans="31:31">
      <c r="AE572" s="310">
        <v>54154</v>
      </c>
    </row>
    <row r="573" spans="31:31">
      <c r="AE573" s="310">
        <v>54217</v>
      </c>
    </row>
    <row r="574" spans="31:31">
      <c r="AE574" s="310">
        <v>54273</v>
      </c>
    </row>
    <row r="575" spans="31:31">
      <c r="AE575" s="310">
        <v>54336</v>
      </c>
    </row>
    <row r="576" spans="31:31">
      <c r="AE576" s="310">
        <v>54417</v>
      </c>
    </row>
    <row r="577" spans="31:31">
      <c r="AE577" s="310">
        <v>54420</v>
      </c>
    </row>
    <row r="578" spans="31:31">
      <c r="AE578" s="310">
        <v>54424</v>
      </c>
    </row>
    <row r="579" spans="31:31">
      <c r="AE579" s="310">
        <v>54449</v>
      </c>
    </row>
    <row r="580" spans="31:31">
      <c r="AE580" s="310">
        <v>54529</v>
      </c>
    </row>
    <row r="581" spans="31:31">
      <c r="AE581" s="310">
        <v>54532</v>
      </c>
    </row>
    <row r="582" spans="31:31">
      <c r="AE582" s="310">
        <v>54588</v>
      </c>
    </row>
    <row r="583" spans="31:31">
      <c r="AE583" s="310">
        <v>54637</v>
      </c>
    </row>
    <row r="584" spans="31:31">
      <c r="AE584" s="310">
        <v>54700</v>
      </c>
    </row>
    <row r="585" spans="31:31">
      <c r="AE585" s="310">
        <v>54784</v>
      </c>
    </row>
    <row r="586" spans="31:31">
      <c r="AE586" s="310">
        <v>54785</v>
      </c>
    </row>
    <row r="587" spans="31:31">
      <c r="AE587" s="310">
        <v>54791</v>
      </c>
    </row>
    <row r="588" spans="31:31">
      <c r="AE588" s="310">
        <v>54814</v>
      </c>
    </row>
    <row r="589" spans="31:31">
      <c r="AE589" s="310">
        <v>54886</v>
      </c>
    </row>
    <row r="590" spans="31:31">
      <c r="AE590" s="310">
        <v>54889</v>
      </c>
    </row>
    <row r="591" spans="31:31">
      <c r="AE591" s="310">
        <v>54903</v>
      </c>
    </row>
    <row r="592" spans="31:31">
      <c r="AE592" s="310">
        <v>54952</v>
      </c>
    </row>
    <row r="593" spans="31:31">
      <c r="AE593" s="310">
        <v>55001</v>
      </c>
    </row>
    <row r="594" spans="31:31">
      <c r="AE594" s="310">
        <v>55064</v>
      </c>
    </row>
    <row r="595" spans="31:31">
      <c r="AE595" s="310">
        <v>55148</v>
      </c>
    </row>
    <row r="596" spans="31:31">
      <c r="AE596" s="310">
        <v>55149</v>
      </c>
    </row>
    <row r="597" spans="31:31">
      <c r="AE597" s="310">
        <v>55155</v>
      </c>
    </row>
    <row r="598" spans="31:31">
      <c r="AE598" s="310">
        <v>55179</v>
      </c>
    </row>
    <row r="599" spans="31:31">
      <c r="AE599" s="310">
        <v>55243</v>
      </c>
    </row>
    <row r="600" spans="31:31">
      <c r="AE600" s="310">
        <v>55246</v>
      </c>
    </row>
    <row r="601" spans="31:31">
      <c r="AE601" s="310">
        <v>55268</v>
      </c>
    </row>
    <row r="602" spans="31:31">
      <c r="AE602" s="310">
        <v>55316</v>
      </c>
    </row>
    <row r="603" spans="31:31">
      <c r="AE603" s="310">
        <v>55372</v>
      </c>
    </row>
    <row r="604" spans="31:31">
      <c r="AE604" s="310">
        <v>55428</v>
      </c>
    </row>
    <row r="605" spans="31:31">
      <c r="AE605" s="310">
        <v>55512</v>
      </c>
    </row>
    <row r="606" spans="31:31">
      <c r="AE606" s="310">
        <v>55513</v>
      </c>
    </row>
    <row r="607" spans="31:31">
      <c r="AE607" s="310">
        <v>55519</v>
      </c>
    </row>
    <row r="608" spans="31:31">
      <c r="AE608" s="310">
        <v>55544</v>
      </c>
    </row>
    <row r="609" spans="31:31">
      <c r="AE609" s="310">
        <v>55628</v>
      </c>
    </row>
    <row r="610" spans="31:31">
      <c r="AE610" s="310">
        <v>55631</v>
      </c>
    </row>
    <row r="611" spans="31:31">
      <c r="AE611" s="310">
        <v>55634</v>
      </c>
    </row>
    <row r="612" spans="31:31">
      <c r="AE612" s="310">
        <v>55680</v>
      </c>
    </row>
    <row r="613" spans="31:31">
      <c r="AE613" s="310">
        <v>55736</v>
      </c>
    </row>
    <row r="614" spans="31:31">
      <c r="AE614" s="310">
        <v>55799</v>
      </c>
    </row>
    <row r="615" spans="31:31">
      <c r="AE615" s="310">
        <v>55878</v>
      </c>
    </row>
    <row r="616" spans="31:31">
      <c r="AE616" s="310">
        <v>55879</v>
      </c>
    </row>
    <row r="617" spans="31:31">
      <c r="AE617" s="310">
        <v>55885</v>
      </c>
    </row>
    <row r="618" spans="31:31">
      <c r="AE618" s="310">
        <v>55911</v>
      </c>
    </row>
    <row r="619" spans="31:31">
      <c r="AE619" s="310">
        <v>55978</v>
      </c>
    </row>
    <row r="620" spans="31:31">
      <c r="AE620" s="310">
        <v>55981</v>
      </c>
    </row>
    <row r="621" spans="31:31">
      <c r="AE621" s="310">
        <v>55999</v>
      </c>
    </row>
    <row r="622" spans="31:31">
      <c r="AE622" s="310">
        <v>56044</v>
      </c>
    </row>
    <row r="623" spans="31:31">
      <c r="AE623" s="310">
        <v>56100</v>
      </c>
    </row>
    <row r="624" spans="31:31">
      <c r="AE624" s="310">
        <v>56163</v>
      </c>
    </row>
    <row r="625" spans="31:31">
      <c r="AE625" s="310">
        <v>56243</v>
      </c>
    </row>
    <row r="626" spans="31:31">
      <c r="AE626" s="310">
        <v>56244</v>
      </c>
    </row>
    <row r="627" spans="31:31">
      <c r="AE627" s="310">
        <v>56250</v>
      </c>
    </row>
    <row r="628" spans="31:31">
      <c r="AE628" s="310">
        <v>56275</v>
      </c>
    </row>
    <row r="629" spans="31:31">
      <c r="AE629" s="310">
        <v>56335</v>
      </c>
    </row>
    <row r="630" spans="31:31">
      <c r="AE630" s="310">
        <v>56338</v>
      </c>
    </row>
    <row r="631" spans="31:31">
      <c r="AE631" s="310">
        <v>56408</v>
      </c>
    </row>
    <row r="632" spans="31:31">
      <c r="AE632" s="310">
        <v>56464</v>
      </c>
    </row>
    <row r="633" spans="31:31">
      <c r="AE633" s="310">
        <v>56527</v>
      </c>
    </row>
    <row r="634" spans="31:31">
      <c r="AE634" s="310">
        <v>56608</v>
      </c>
    </row>
    <row r="635" spans="31:31">
      <c r="AE635" s="310">
        <v>56611</v>
      </c>
    </row>
    <row r="636" spans="31:31">
      <c r="AE636" s="310">
        <v>56615</v>
      </c>
    </row>
    <row r="637" spans="31:31">
      <c r="AE637" s="310">
        <v>56640</v>
      </c>
    </row>
    <row r="638" spans="31:31">
      <c r="AE638" s="310">
        <v>56720</v>
      </c>
    </row>
    <row r="639" spans="31:31">
      <c r="AE639" s="310">
        <v>56723</v>
      </c>
    </row>
    <row r="640" spans="31:31">
      <c r="AE640" s="310">
        <v>56779</v>
      </c>
    </row>
    <row r="641" spans="31:31">
      <c r="AE641" s="310">
        <v>56828</v>
      </c>
    </row>
    <row r="642" spans="31:31">
      <c r="AE642" s="310">
        <v>56891</v>
      </c>
    </row>
    <row r="643" spans="31:31">
      <c r="AE643" s="310">
        <v>56975</v>
      </c>
    </row>
    <row r="644" spans="31:31">
      <c r="AE644" s="310">
        <v>56976</v>
      </c>
    </row>
    <row r="645" spans="31:31">
      <c r="AE645" s="310">
        <v>56982</v>
      </c>
    </row>
    <row r="646" spans="31:31">
      <c r="AE646" s="310">
        <v>57005</v>
      </c>
    </row>
    <row r="647" spans="31:31">
      <c r="AE647" s="310">
        <v>57070</v>
      </c>
    </row>
    <row r="648" spans="31:31">
      <c r="AE648" s="310">
        <v>57073</v>
      </c>
    </row>
    <row r="649" spans="31:31">
      <c r="AE649" s="310">
        <v>57095</v>
      </c>
    </row>
    <row r="650" spans="31:31">
      <c r="AE650" s="310">
        <v>57143</v>
      </c>
    </row>
    <row r="651" spans="31:31">
      <c r="AE651" s="310">
        <v>57199</v>
      </c>
    </row>
    <row r="652" spans="31:31">
      <c r="AE652" s="310">
        <v>57255</v>
      </c>
    </row>
    <row r="653" spans="31:31">
      <c r="AE653" s="310">
        <v>57339</v>
      </c>
    </row>
    <row r="654" spans="31:31">
      <c r="AE654" s="310">
        <v>57340</v>
      </c>
    </row>
    <row r="655" spans="31:31">
      <c r="AE655" s="310">
        <v>57346</v>
      </c>
    </row>
    <row r="656" spans="31:31">
      <c r="AE656" s="310">
        <v>57371</v>
      </c>
    </row>
    <row r="657" spans="31:31">
      <c r="AE657" s="310">
        <v>57455</v>
      </c>
    </row>
    <row r="658" spans="31:31">
      <c r="AE658" s="310">
        <v>57458</v>
      </c>
    </row>
    <row r="659" spans="31:31">
      <c r="AE659" s="310">
        <v>57460</v>
      </c>
    </row>
    <row r="660" spans="31:31">
      <c r="AE660" s="310">
        <v>57507</v>
      </c>
    </row>
    <row r="661" spans="31:31">
      <c r="AE661" s="310">
        <v>57563</v>
      </c>
    </row>
    <row r="662" spans="31:31">
      <c r="AE662" s="310">
        <v>57619</v>
      </c>
    </row>
    <row r="663" spans="31:31">
      <c r="AE663" s="310">
        <v>57704</v>
      </c>
    </row>
    <row r="664" spans="31:31">
      <c r="AE664" s="310">
        <v>57705</v>
      </c>
    </row>
    <row r="665" spans="31:31">
      <c r="AE665" s="310">
        <v>57711</v>
      </c>
    </row>
    <row r="666" spans="31:31">
      <c r="AE666" s="310">
        <v>57738</v>
      </c>
    </row>
    <row r="667" spans="31:31">
      <c r="AE667" s="310">
        <v>57812</v>
      </c>
    </row>
    <row r="668" spans="31:31">
      <c r="AE668" s="310">
        <v>57815</v>
      </c>
    </row>
    <row r="669" spans="31:31">
      <c r="AE669" s="310">
        <v>57825</v>
      </c>
    </row>
    <row r="670" spans="31:31">
      <c r="AE670" s="310">
        <v>57871</v>
      </c>
    </row>
    <row r="671" spans="31:31">
      <c r="AE671" s="310">
        <v>57927</v>
      </c>
    </row>
    <row r="672" spans="31:31">
      <c r="AE672" s="310">
        <v>57990</v>
      </c>
    </row>
    <row r="673" spans="31:31">
      <c r="AE673" s="310">
        <v>58069</v>
      </c>
    </row>
    <row r="674" spans="31:31">
      <c r="AE674" s="310">
        <v>58070</v>
      </c>
    </row>
    <row r="675" spans="31:31">
      <c r="AE675" s="310">
        <v>58076</v>
      </c>
    </row>
    <row r="676" spans="31:31">
      <c r="AE676" s="310">
        <v>58102</v>
      </c>
    </row>
    <row r="677" spans="31:31">
      <c r="AE677" s="310">
        <v>58162</v>
      </c>
    </row>
    <row r="678" spans="31:31">
      <c r="AE678" s="310">
        <v>58165</v>
      </c>
    </row>
    <row r="679" spans="31:31">
      <c r="AE679" s="310">
        <v>58190</v>
      </c>
    </row>
    <row r="680" spans="31:31">
      <c r="AE680" s="310">
        <v>58235</v>
      </c>
    </row>
    <row r="681" spans="31:31">
      <c r="AE681" s="310">
        <v>58291</v>
      </c>
    </row>
    <row r="682" spans="31:31">
      <c r="AE682" s="310">
        <v>58354</v>
      </c>
    </row>
    <row r="683" spans="31:31">
      <c r="AE683" s="310">
        <v>58434</v>
      </c>
    </row>
    <row r="684" spans="31:31">
      <c r="AE684" s="310">
        <v>58435</v>
      </c>
    </row>
    <row r="685" spans="31:31">
      <c r="AE685" s="310">
        <v>58441</v>
      </c>
    </row>
    <row r="686" spans="31:31">
      <c r="AE686" s="310">
        <v>58466</v>
      </c>
    </row>
    <row r="687" spans="31:31">
      <c r="AE687" s="310">
        <v>58547</v>
      </c>
    </row>
    <row r="688" spans="31:31">
      <c r="AE688" s="310">
        <v>58550</v>
      </c>
    </row>
    <row r="689" spans="31:31">
      <c r="AE689" s="310">
        <v>58606</v>
      </c>
    </row>
    <row r="690" spans="31:31">
      <c r="AE690" s="310">
        <v>58655</v>
      </c>
    </row>
    <row r="691" spans="31:31">
      <c r="AE691" s="310">
        <v>58718</v>
      </c>
    </row>
    <row r="692" spans="31:31">
      <c r="AE692" s="310">
        <v>58802</v>
      </c>
    </row>
    <row r="693" spans="31:31">
      <c r="AE693" s="310">
        <v>58803</v>
      </c>
    </row>
    <row r="694" spans="31:31">
      <c r="AE694" s="310">
        <v>58809</v>
      </c>
    </row>
    <row r="695" spans="31:31">
      <c r="AE695" s="310">
        <v>58832</v>
      </c>
    </row>
    <row r="696" spans="31:31">
      <c r="AE696" s="310">
        <v>58904</v>
      </c>
    </row>
    <row r="697" spans="31:31">
      <c r="AE697" s="310">
        <v>58907</v>
      </c>
    </row>
    <row r="698" spans="31:31">
      <c r="AE698" s="310">
        <v>58921</v>
      </c>
    </row>
    <row r="699" spans="31:31">
      <c r="AE699" s="310">
        <v>58970</v>
      </c>
    </row>
    <row r="700" spans="31:31">
      <c r="AE700" s="310">
        <v>59019</v>
      </c>
    </row>
    <row r="701" spans="31:31">
      <c r="AE701" s="310">
        <v>59082</v>
      </c>
    </row>
    <row r="702" spans="31:31">
      <c r="AE702" s="310">
        <v>59166</v>
      </c>
    </row>
    <row r="703" spans="31:31">
      <c r="AE703" s="310">
        <v>59167</v>
      </c>
    </row>
    <row r="704" spans="31:31">
      <c r="AE704" s="310">
        <v>59173</v>
      </c>
    </row>
    <row r="705" spans="31:31">
      <c r="AE705" s="310">
        <v>59197</v>
      </c>
    </row>
    <row r="706" spans="31:31">
      <c r="AE706" s="310">
        <v>59254</v>
      </c>
    </row>
    <row r="707" spans="31:31">
      <c r="AE707" s="310">
        <v>59257</v>
      </c>
    </row>
    <row r="708" spans="31:31">
      <c r="AE708" s="310">
        <v>59286</v>
      </c>
    </row>
    <row r="709" spans="31:31">
      <c r="AE709" s="310">
        <v>59334</v>
      </c>
    </row>
    <row r="710" spans="31:31">
      <c r="AE710" s="310">
        <v>59390</v>
      </c>
    </row>
    <row r="711" spans="31:31">
      <c r="AE711" s="310">
        <v>59446</v>
      </c>
    </row>
    <row r="712" spans="31:31">
      <c r="AE712" s="310">
        <v>59530</v>
      </c>
    </row>
    <row r="713" spans="31:31">
      <c r="AE713" s="310">
        <v>59531</v>
      </c>
    </row>
    <row r="714" spans="31:31">
      <c r="AE714" s="310">
        <v>59537</v>
      </c>
    </row>
    <row r="715" spans="31:31">
      <c r="AE715" s="310">
        <v>59562</v>
      </c>
    </row>
    <row r="716" spans="31:31">
      <c r="AE716" s="310">
        <v>59639</v>
      </c>
    </row>
    <row r="717" spans="31:31">
      <c r="AE717" s="310">
        <v>59642</v>
      </c>
    </row>
    <row r="718" spans="31:31">
      <c r="AE718" s="310">
        <v>59651</v>
      </c>
    </row>
    <row r="719" spans="31:31">
      <c r="AE719" s="310">
        <v>59698</v>
      </c>
    </row>
    <row r="720" spans="31:31">
      <c r="AE720" s="310">
        <v>59754</v>
      </c>
    </row>
    <row r="721" spans="31:31">
      <c r="AE721" s="310">
        <v>59810</v>
      </c>
    </row>
    <row r="722" spans="31:31">
      <c r="AE722" s="310">
        <v>59895</v>
      </c>
    </row>
    <row r="723" spans="31:31">
      <c r="AE723" s="310">
        <v>59896</v>
      </c>
    </row>
    <row r="724" spans="31:31">
      <c r="AE724" s="310">
        <v>59902</v>
      </c>
    </row>
    <row r="725" spans="31:31">
      <c r="AE725" s="310">
        <v>59929</v>
      </c>
    </row>
    <row r="726" spans="31:31">
      <c r="AE726" s="310">
        <v>59996</v>
      </c>
    </row>
    <row r="727" spans="31:31">
      <c r="AE727" s="310">
        <v>59999</v>
      </c>
    </row>
    <row r="728" spans="31:31">
      <c r="AE728" s="310">
        <v>60017</v>
      </c>
    </row>
    <row r="729" spans="31:31">
      <c r="AE729" s="310">
        <v>60062</v>
      </c>
    </row>
    <row r="730" spans="31:31">
      <c r="AE730" s="310">
        <v>60118</v>
      </c>
    </row>
    <row r="731" spans="31:31">
      <c r="AE731" s="310">
        <v>60181</v>
      </c>
    </row>
    <row r="732" spans="31:31">
      <c r="AE732" s="310">
        <v>60261</v>
      </c>
    </row>
    <row r="733" spans="31:31">
      <c r="AE733" s="310">
        <v>60262</v>
      </c>
    </row>
    <row r="734" spans="31:31">
      <c r="AE734" s="310">
        <v>60268</v>
      </c>
    </row>
    <row r="735" spans="31:31">
      <c r="AE735" s="310">
        <v>60293</v>
      </c>
    </row>
    <row r="736" spans="31:31">
      <c r="AE736" s="310">
        <v>60353</v>
      </c>
    </row>
    <row r="737" spans="31:31">
      <c r="AE737" s="310">
        <v>60356</v>
      </c>
    </row>
    <row r="738" spans="31:31">
      <c r="AE738" s="310">
        <v>60426</v>
      </c>
    </row>
    <row r="739" spans="31:31">
      <c r="AE739" s="310">
        <v>60482</v>
      </c>
    </row>
    <row r="740" spans="31:31">
      <c r="AE740" s="310">
        <v>60545</v>
      </c>
    </row>
    <row r="741" spans="31:31">
      <c r="AE741" s="310">
        <v>60626</v>
      </c>
    </row>
    <row r="742" spans="31:31">
      <c r="AE742" s="310">
        <v>60629</v>
      </c>
    </row>
    <row r="743" spans="31:31">
      <c r="AE743" s="310">
        <v>60633</v>
      </c>
    </row>
    <row r="744" spans="31:31">
      <c r="AE744" s="310">
        <v>60658</v>
      </c>
    </row>
    <row r="745" spans="31:31">
      <c r="AE745" s="310">
        <v>60731</v>
      </c>
    </row>
    <row r="746" spans="31:31">
      <c r="AE746" s="310">
        <v>60734</v>
      </c>
    </row>
    <row r="747" spans="31:31">
      <c r="AE747" s="310">
        <v>60797</v>
      </c>
    </row>
    <row r="748" spans="31:31">
      <c r="AE748" s="310">
        <v>60846</v>
      </c>
    </row>
    <row r="749" spans="31:31">
      <c r="AE749" s="310">
        <v>60909</v>
      </c>
    </row>
    <row r="750" spans="31:31">
      <c r="AE750" s="310">
        <v>60993</v>
      </c>
    </row>
    <row r="751" spans="31:31">
      <c r="AE751" s="310">
        <v>60994</v>
      </c>
    </row>
    <row r="752" spans="31:31">
      <c r="AE752" s="310">
        <v>61000</v>
      </c>
    </row>
    <row r="753" spans="31:31">
      <c r="AE753" s="310">
        <v>61023</v>
      </c>
    </row>
    <row r="754" spans="31:31">
      <c r="AE754" s="310">
        <v>61088</v>
      </c>
    </row>
    <row r="755" spans="31:31">
      <c r="AE755" s="310">
        <v>61091</v>
      </c>
    </row>
    <row r="756" spans="31:31">
      <c r="AE756" s="310">
        <v>61112</v>
      </c>
    </row>
    <row r="757" spans="31:31">
      <c r="AE757" s="310">
        <v>61161</v>
      </c>
    </row>
    <row r="758" spans="31:31">
      <c r="AE758" s="310">
        <v>61210</v>
      </c>
    </row>
    <row r="759" spans="31:31">
      <c r="AE759" s="310">
        <v>61273</v>
      </c>
    </row>
    <row r="760" spans="31:31">
      <c r="AE760" s="310">
        <v>61357</v>
      </c>
    </row>
    <row r="761" spans="31:31">
      <c r="AE761" s="310">
        <v>61358</v>
      </c>
    </row>
    <row r="762" spans="31:31">
      <c r="AE762" s="310">
        <v>61364</v>
      </c>
    </row>
    <row r="763" spans="31:31">
      <c r="AE763" s="310">
        <v>61388</v>
      </c>
    </row>
    <row r="764" spans="31:31">
      <c r="AE764" s="310">
        <v>61473</v>
      </c>
    </row>
    <row r="765" spans="31:31">
      <c r="AE765" s="310">
        <v>61476</v>
      </c>
    </row>
    <row r="766" spans="31:31">
      <c r="AE766" s="310">
        <v>61478</v>
      </c>
    </row>
    <row r="767" spans="31:31">
      <c r="AE767" s="310">
        <v>61525</v>
      </c>
    </row>
    <row r="768" spans="31:31">
      <c r="AE768" s="310">
        <v>61581</v>
      </c>
    </row>
    <row r="769" spans="31:31">
      <c r="AE769" s="310">
        <v>61637</v>
      </c>
    </row>
    <row r="770" spans="31:31">
      <c r="AE770" s="310">
        <v>61722</v>
      </c>
    </row>
    <row r="771" spans="31:31">
      <c r="AE771" s="310">
        <v>61723</v>
      </c>
    </row>
    <row r="772" spans="31:31">
      <c r="AE772" s="310">
        <v>61729</v>
      </c>
    </row>
    <row r="773" spans="31:31">
      <c r="AE773" s="310">
        <v>61756</v>
      </c>
    </row>
    <row r="774" spans="31:31">
      <c r="AE774" s="310">
        <v>61830</v>
      </c>
    </row>
    <row r="775" spans="31:31">
      <c r="AE775" s="310">
        <v>61833</v>
      </c>
    </row>
    <row r="776" spans="31:31">
      <c r="AE776" s="310">
        <v>61843</v>
      </c>
    </row>
    <row r="777" spans="31:31">
      <c r="AE777" s="310">
        <v>61889</v>
      </c>
    </row>
    <row r="778" spans="31:31">
      <c r="AE778" s="310">
        <v>61945</v>
      </c>
    </row>
    <row r="779" spans="31:31">
      <c r="AE779" s="310">
        <v>62008</v>
      </c>
    </row>
    <row r="780" spans="31:31">
      <c r="AE780" s="310">
        <v>62087</v>
      </c>
    </row>
    <row r="781" spans="31:31">
      <c r="AE781" s="310">
        <v>62088</v>
      </c>
    </row>
    <row r="782" spans="31:31">
      <c r="AE782" s="310">
        <v>62094</v>
      </c>
    </row>
    <row r="783" spans="31:31">
      <c r="AE783" s="310">
        <v>62120</v>
      </c>
    </row>
    <row r="784" spans="31:31">
      <c r="AE784" s="310">
        <v>62180</v>
      </c>
    </row>
    <row r="785" spans="31:31">
      <c r="AE785" s="310">
        <v>62183</v>
      </c>
    </row>
    <row r="786" spans="31:31">
      <c r="AE786" s="310">
        <v>62208</v>
      </c>
    </row>
    <row r="787" spans="31:31">
      <c r="AE787" s="310">
        <v>62253</v>
      </c>
    </row>
    <row r="788" spans="31:31">
      <c r="AE788" s="310">
        <v>62309</v>
      </c>
    </row>
    <row r="789" spans="31:31">
      <c r="AE789" s="310">
        <v>62372</v>
      </c>
    </row>
    <row r="790" spans="31:31">
      <c r="AE790" s="310">
        <v>62452</v>
      </c>
    </row>
    <row r="791" spans="31:31">
      <c r="AE791" s="310">
        <v>62453</v>
      </c>
    </row>
    <row r="792" spans="31:31">
      <c r="AE792" s="310">
        <v>62459</v>
      </c>
    </row>
    <row r="793" spans="31:31">
      <c r="AE793" s="310">
        <v>62484</v>
      </c>
    </row>
    <row r="794" spans="31:31">
      <c r="AE794" s="310">
        <v>62565</v>
      </c>
    </row>
    <row r="795" spans="31:31">
      <c r="AE795" s="310">
        <v>62568</v>
      </c>
    </row>
    <row r="796" spans="31:31">
      <c r="AE796" s="310">
        <v>62617</v>
      </c>
    </row>
    <row r="797" spans="31:31">
      <c r="AE797" s="310">
        <v>62673</v>
      </c>
    </row>
    <row r="798" spans="31:31">
      <c r="AE798" s="310">
        <v>62736</v>
      </c>
    </row>
    <row r="799" spans="31:31">
      <c r="AE799" s="310">
        <v>62817</v>
      </c>
    </row>
    <row r="800" spans="31:31">
      <c r="AE800" s="310">
        <v>62820</v>
      </c>
    </row>
    <row r="801" spans="31:31">
      <c r="AE801" s="310">
        <v>62824</v>
      </c>
    </row>
    <row r="802" spans="31:31">
      <c r="AE802" s="310">
        <v>62849</v>
      </c>
    </row>
    <row r="803" spans="31:31">
      <c r="AE803" s="310">
        <v>62922</v>
      </c>
    </row>
    <row r="804" spans="31:31">
      <c r="AE804" s="310">
        <v>62925</v>
      </c>
    </row>
    <row r="805" spans="31:31">
      <c r="AE805" s="310">
        <v>62939</v>
      </c>
    </row>
    <row r="806" spans="31:31">
      <c r="AE806" s="310">
        <v>62988</v>
      </c>
    </row>
    <row r="807" spans="31:31">
      <c r="AE807" s="310">
        <v>63037</v>
      </c>
    </row>
    <row r="808" spans="31:31">
      <c r="AE808" s="310">
        <v>63100</v>
      </c>
    </row>
    <row r="809" spans="31:31">
      <c r="AE809" s="310">
        <v>63184</v>
      </c>
    </row>
    <row r="810" spans="31:31">
      <c r="AE810" s="310">
        <v>63185</v>
      </c>
    </row>
    <row r="811" spans="31:31">
      <c r="AE811" s="310">
        <v>63191</v>
      </c>
    </row>
    <row r="812" spans="31:31">
      <c r="AE812" s="310">
        <v>63215</v>
      </c>
    </row>
    <row r="813" spans="31:31">
      <c r="AE813" s="310">
        <v>63272</v>
      </c>
    </row>
    <row r="814" spans="31:31">
      <c r="AE814" s="310">
        <v>63275</v>
      </c>
    </row>
    <row r="815" spans="31:31">
      <c r="AE815" s="310">
        <v>63304</v>
      </c>
    </row>
    <row r="816" spans="31:31">
      <c r="AE816" s="310">
        <v>63352</v>
      </c>
    </row>
    <row r="817" spans="31:31">
      <c r="AE817" s="310">
        <v>63408</v>
      </c>
    </row>
    <row r="818" spans="31:31">
      <c r="AE818" s="310">
        <v>63464</v>
      </c>
    </row>
    <row r="819" spans="31:31">
      <c r="AE819" s="310">
        <v>63548</v>
      </c>
    </row>
    <row r="820" spans="31:31">
      <c r="AE820" s="310">
        <v>63549</v>
      </c>
    </row>
    <row r="821" spans="31:31">
      <c r="AE821" s="310">
        <v>63555</v>
      </c>
    </row>
    <row r="822" spans="31:31">
      <c r="AE822" s="310">
        <v>63580</v>
      </c>
    </row>
    <row r="823" spans="31:31">
      <c r="AE823" s="310">
        <v>63657</v>
      </c>
    </row>
    <row r="824" spans="31:31">
      <c r="AE824" s="310">
        <v>63660</v>
      </c>
    </row>
    <row r="825" spans="31:31">
      <c r="AE825" s="310">
        <v>63669</v>
      </c>
    </row>
    <row r="826" spans="31:31">
      <c r="AE826" s="310">
        <v>63716</v>
      </c>
    </row>
    <row r="827" spans="31:31">
      <c r="AE827" s="310">
        <v>63772</v>
      </c>
    </row>
    <row r="828" spans="31:31">
      <c r="AE828" s="310">
        <v>63828</v>
      </c>
    </row>
    <row r="829" spans="31:31">
      <c r="AE829" s="310">
        <v>63913</v>
      </c>
    </row>
    <row r="830" spans="31:31">
      <c r="AE830" s="310">
        <v>63914</v>
      </c>
    </row>
    <row r="831" spans="31:31">
      <c r="AE831" s="310">
        <v>63920</v>
      </c>
    </row>
    <row r="832" spans="31:31">
      <c r="AE832" s="310">
        <v>63947</v>
      </c>
    </row>
    <row r="833" spans="31:31">
      <c r="AE833" s="310">
        <v>64014</v>
      </c>
    </row>
    <row r="834" spans="31:31">
      <c r="AE834" s="310">
        <v>64017</v>
      </c>
    </row>
    <row r="835" spans="31:31">
      <c r="AE835" s="310">
        <v>64034</v>
      </c>
    </row>
    <row r="836" spans="31:31">
      <c r="AE836" s="310">
        <v>64080</v>
      </c>
    </row>
    <row r="837" spans="31:31">
      <c r="AE837" s="310">
        <v>64136</v>
      </c>
    </row>
    <row r="838" spans="31:31">
      <c r="AE838" s="310">
        <v>64199</v>
      </c>
    </row>
    <row r="839" spans="31:31">
      <c r="AE839" s="310">
        <v>64278</v>
      </c>
    </row>
    <row r="840" spans="31:31">
      <c r="AE840" s="310">
        <v>64279</v>
      </c>
    </row>
    <row r="841" spans="31:31">
      <c r="AE841" s="310">
        <v>64285</v>
      </c>
    </row>
    <row r="842" spans="31:31">
      <c r="AE842" s="310">
        <v>64311</v>
      </c>
    </row>
    <row r="843" spans="31:31">
      <c r="AE843" s="310">
        <v>64392</v>
      </c>
    </row>
    <row r="844" spans="31:31">
      <c r="AE844" s="310">
        <v>64395</v>
      </c>
    </row>
    <row r="845" spans="31:31">
      <c r="AE845" s="310">
        <v>64444</v>
      </c>
    </row>
    <row r="846" spans="31:31">
      <c r="AE846" s="310">
        <v>64500</v>
      </c>
    </row>
    <row r="847" spans="31:31">
      <c r="AE847" s="310">
        <v>64563</v>
      </c>
    </row>
    <row r="848" spans="31:31">
      <c r="AE848" s="310">
        <v>64644</v>
      </c>
    </row>
    <row r="849" spans="31:31">
      <c r="AE849" s="310">
        <v>64647</v>
      </c>
    </row>
    <row r="850" spans="31:31">
      <c r="AE850" s="310">
        <v>64651</v>
      </c>
    </row>
    <row r="851" spans="31:31">
      <c r="AE851" s="310">
        <v>64676</v>
      </c>
    </row>
    <row r="852" spans="31:31">
      <c r="AE852" s="310">
        <v>64749</v>
      </c>
    </row>
    <row r="853" spans="31:31">
      <c r="AE853" s="310">
        <v>64752</v>
      </c>
    </row>
    <row r="854" spans="31:31">
      <c r="AE854" s="310">
        <v>64815</v>
      </c>
    </row>
    <row r="855" spans="31:31">
      <c r="AE855" s="310">
        <v>64864</v>
      </c>
    </row>
    <row r="856" spans="31:31">
      <c r="AE856" s="310">
        <v>64927</v>
      </c>
    </row>
    <row r="857" spans="31:31">
      <c r="AE857" s="310">
        <v>65011</v>
      </c>
    </row>
    <row r="858" spans="31:31">
      <c r="AE858" s="310">
        <v>65012</v>
      </c>
    </row>
    <row r="859" spans="31:31">
      <c r="AE859" s="310">
        <v>65018</v>
      </c>
    </row>
    <row r="860" spans="31:31">
      <c r="AE860" s="310">
        <v>65041</v>
      </c>
    </row>
    <row r="861" spans="31:31">
      <c r="AE861" s="310">
        <v>65106</v>
      </c>
    </row>
    <row r="862" spans="31:31">
      <c r="AE862" s="310">
        <v>65109</v>
      </c>
    </row>
    <row r="863" spans="31:31">
      <c r="AE863" s="310">
        <v>65130</v>
      </c>
    </row>
    <row r="864" spans="31:31">
      <c r="AE864" s="310">
        <v>65179</v>
      </c>
    </row>
    <row r="865" spans="31:31">
      <c r="AE865" s="310">
        <v>65228</v>
      </c>
    </row>
    <row r="866" spans="31:31">
      <c r="AE866" s="310">
        <v>65291</v>
      </c>
    </row>
    <row r="867" spans="31:31">
      <c r="AE867" s="310">
        <v>65375</v>
      </c>
    </row>
    <row r="868" spans="31:31">
      <c r="AE868" s="310">
        <v>65376</v>
      </c>
    </row>
    <row r="869" spans="31:31">
      <c r="AE869" s="310">
        <v>65382</v>
      </c>
    </row>
    <row r="870" spans="31:31">
      <c r="AE870" s="310">
        <v>65406</v>
      </c>
    </row>
    <row r="871" spans="31:31">
      <c r="AE871" s="310">
        <v>65491</v>
      </c>
    </row>
    <row r="872" spans="31:31">
      <c r="AE872" s="310">
        <v>65494</v>
      </c>
    </row>
    <row r="873" spans="31:31">
      <c r="AE873" s="310">
        <v>65495</v>
      </c>
    </row>
    <row r="874" spans="31:31">
      <c r="AE874" s="310">
        <v>65543</v>
      </c>
    </row>
    <row r="875" spans="31:31">
      <c r="AE875" s="310">
        <v>65599</v>
      </c>
    </row>
    <row r="876" spans="31:31">
      <c r="AE876" s="310">
        <v>65655</v>
      </c>
    </row>
    <row r="877" spans="31:31">
      <c r="AE877" s="310">
        <v>65739</v>
      </c>
    </row>
    <row r="878" spans="31:31">
      <c r="AE878" s="310">
        <v>65740</v>
      </c>
    </row>
    <row r="879" spans="31:31">
      <c r="AE879" s="310">
        <v>65746</v>
      </c>
    </row>
    <row r="880" spans="31:31">
      <c r="AE880" s="310">
        <v>65771</v>
      </c>
    </row>
    <row r="881" spans="31:31">
      <c r="AE881" s="310">
        <v>65841</v>
      </c>
    </row>
    <row r="882" spans="31:31">
      <c r="AE882" s="310">
        <v>65844</v>
      </c>
    </row>
    <row r="883" spans="31:31">
      <c r="AE883" s="310">
        <v>65861</v>
      </c>
    </row>
    <row r="884" spans="31:31">
      <c r="AE884" s="310">
        <v>65907</v>
      </c>
    </row>
    <row r="885" spans="31:31">
      <c r="AE885" s="310">
        <v>65963</v>
      </c>
    </row>
    <row r="886" spans="31:31">
      <c r="AE886" s="310">
        <v>66026</v>
      </c>
    </row>
    <row r="887" spans="31:31">
      <c r="AE887" s="310">
        <v>66105</v>
      </c>
    </row>
    <row r="888" spans="31:31">
      <c r="AE888" s="310">
        <v>66106</v>
      </c>
    </row>
    <row r="889" spans="31:31">
      <c r="AE889" s="310">
        <v>66112</v>
      </c>
    </row>
    <row r="890" spans="31:31">
      <c r="AE890" s="310">
        <v>66138</v>
      </c>
    </row>
    <row r="891" spans="31:31">
      <c r="AE891" s="310">
        <v>66198</v>
      </c>
    </row>
    <row r="892" spans="31:31">
      <c r="AE892" s="310">
        <v>66201</v>
      </c>
    </row>
    <row r="893" spans="31:31">
      <c r="AE893" s="310">
        <v>66226</v>
      </c>
    </row>
    <row r="894" spans="31:31">
      <c r="AE894" s="310">
        <v>66271</v>
      </c>
    </row>
    <row r="895" spans="31:31">
      <c r="AE895" s="310">
        <v>66327</v>
      </c>
    </row>
    <row r="896" spans="31:31">
      <c r="AE896" s="310">
        <v>66390</v>
      </c>
    </row>
    <row r="897" spans="31:31">
      <c r="AE897" s="310">
        <v>66470</v>
      </c>
    </row>
    <row r="898" spans="31:31">
      <c r="AE898" s="310">
        <v>66471</v>
      </c>
    </row>
    <row r="899" spans="31:31">
      <c r="AE899" s="310">
        <v>66477</v>
      </c>
    </row>
    <row r="900" spans="31:31">
      <c r="AE900" s="310">
        <v>66502</v>
      </c>
    </row>
    <row r="901" spans="31:31">
      <c r="AE901" s="310">
        <v>66583</v>
      </c>
    </row>
    <row r="902" spans="31:31">
      <c r="AE902" s="310">
        <v>66586</v>
      </c>
    </row>
    <row r="903" spans="31:31">
      <c r="AE903" s="310">
        <v>66635</v>
      </c>
    </row>
    <row r="904" spans="31:31">
      <c r="AE904" s="310">
        <v>66691</v>
      </c>
    </row>
    <row r="905" spans="31:31">
      <c r="AE905" s="310">
        <v>66754</v>
      </c>
    </row>
    <row r="906" spans="31:31">
      <c r="AE906" s="310">
        <v>66835</v>
      </c>
    </row>
    <row r="907" spans="31:31">
      <c r="AE907" s="310">
        <v>66838</v>
      </c>
    </row>
    <row r="908" spans="31:31">
      <c r="AE908" s="310">
        <v>66842</v>
      </c>
    </row>
    <row r="909" spans="31:31">
      <c r="AE909" s="310">
        <v>66867</v>
      </c>
    </row>
    <row r="910" spans="31:31">
      <c r="AE910" s="310">
        <v>66933</v>
      </c>
    </row>
    <row r="911" spans="31:31">
      <c r="AE911" s="310">
        <v>66936</v>
      </c>
    </row>
    <row r="912" spans="31:31">
      <c r="AE912" s="310">
        <v>67006</v>
      </c>
    </row>
    <row r="913" spans="31:31">
      <c r="AE913" s="310">
        <v>67055</v>
      </c>
    </row>
    <row r="914" spans="31:31">
      <c r="AE914" s="310">
        <v>67118</v>
      </c>
    </row>
    <row r="915" spans="31:31">
      <c r="AE915" s="310">
        <v>67202</v>
      </c>
    </row>
    <row r="916" spans="31:31">
      <c r="AE916" s="310">
        <v>67203</v>
      </c>
    </row>
    <row r="917" spans="31:31">
      <c r="AE917" s="310">
        <v>67209</v>
      </c>
    </row>
    <row r="918" spans="31:31">
      <c r="AE918" s="310">
        <v>67232</v>
      </c>
    </row>
    <row r="919" spans="31:31">
      <c r="AE919" s="310">
        <v>67290</v>
      </c>
    </row>
    <row r="920" spans="31:31">
      <c r="AE920" s="310">
        <v>67293</v>
      </c>
    </row>
    <row r="921" spans="31:31">
      <c r="AE921" s="310">
        <v>67322</v>
      </c>
    </row>
    <row r="922" spans="31:31">
      <c r="AE922" s="310">
        <v>67370</v>
      </c>
    </row>
    <row r="923" spans="31:31">
      <c r="AE923" s="310">
        <v>67426</v>
      </c>
    </row>
    <row r="924" spans="31:31">
      <c r="AE924" s="310">
        <v>67482</v>
      </c>
    </row>
    <row r="925" spans="31:31">
      <c r="AE925" s="310">
        <v>67566</v>
      </c>
    </row>
    <row r="926" spans="31:31">
      <c r="AE926" s="310">
        <v>67567</v>
      </c>
    </row>
    <row r="927" spans="31:31">
      <c r="AE927" s="310">
        <v>67573</v>
      </c>
    </row>
    <row r="928" spans="31:31">
      <c r="AE928" s="310">
        <v>67598</v>
      </c>
    </row>
    <row r="929" spans="31:31">
      <c r="AE929" s="310">
        <v>67675</v>
      </c>
    </row>
    <row r="930" spans="31:31">
      <c r="AE930" s="310">
        <v>67678</v>
      </c>
    </row>
    <row r="931" spans="31:31">
      <c r="AE931" s="310">
        <v>67687</v>
      </c>
    </row>
    <row r="932" spans="31:31">
      <c r="AE932" s="310">
        <v>67734</v>
      </c>
    </row>
    <row r="933" spans="31:31">
      <c r="AE933" s="310">
        <v>67790</v>
      </c>
    </row>
    <row r="934" spans="31:31">
      <c r="AE934" s="310">
        <v>67846</v>
      </c>
    </row>
    <row r="935" spans="31:31">
      <c r="AE935" s="310">
        <v>67931</v>
      </c>
    </row>
    <row r="936" spans="31:31">
      <c r="AE936" s="310">
        <v>67932</v>
      </c>
    </row>
    <row r="937" spans="31:31">
      <c r="AE937" s="310">
        <v>67938</v>
      </c>
    </row>
    <row r="938" spans="31:31">
      <c r="AE938" s="310">
        <v>67965</v>
      </c>
    </row>
    <row r="939" spans="31:31">
      <c r="AE939" s="310">
        <v>68025</v>
      </c>
    </row>
    <row r="940" spans="31:31">
      <c r="AE940" s="310">
        <v>68028</v>
      </c>
    </row>
    <row r="941" spans="31:31">
      <c r="AE941" s="310">
        <v>68052</v>
      </c>
    </row>
    <row r="942" spans="31:31">
      <c r="AE942" s="310">
        <v>68098</v>
      </c>
    </row>
    <row r="943" spans="31:31">
      <c r="AE943" s="310">
        <v>68154</v>
      </c>
    </row>
    <row r="944" spans="31:31">
      <c r="AE944" s="310">
        <v>68217</v>
      </c>
    </row>
    <row r="945" spans="31:31">
      <c r="AE945" s="310">
        <v>68296</v>
      </c>
    </row>
    <row r="946" spans="31:31">
      <c r="AE946" s="310">
        <v>68297</v>
      </c>
    </row>
    <row r="947" spans="31:31">
      <c r="AE947" s="310">
        <v>68303</v>
      </c>
    </row>
    <row r="948" spans="31:31">
      <c r="AE948" s="310">
        <v>68329</v>
      </c>
    </row>
    <row r="949" spans="31:31">
      <c r="AE949" s="310">
        <v>68410</v>
      </c>
    </row>
    <row r="950" spans="31:31">
      <c r="AE950" s="310">
        <v>68413</v>
      </c>
    </row>
    <row r="951" spans="31:31">
      <c r="AE951" s="310">
        <v>68417</v>
      </c>
    </row>
    <row r="952" spans="31:31">
      <c r="AE952" s="310">
        <v>68462</v>
      </c>
    </row>
    <row r="953" spans="31:31">
      <c r="AE953" s="310">
        <v>68518</v>
      </c>
    </row>
    <row r="954" spans="31:31">
      <c r="AE954" s="310">
        <v>68581</v>
      </c>
    </row>
    <row r="955" spans="31:31">
      <c r="AE955" s="310">
        <v>68661</v>
      </c>
    </row>
    <row r="956" spans="31:31">
      <c r="AE956" s="310">
        <v>68662</v>
      </c>
    </row>
    <row r="957" spans="31:31">
      <c r="AE957" s="310">
        <v>68668</v>
      </c>
    </row>
    <row r="958" spans="31:31">
      <c r="AE958" s="310">
        <v>68693</v>
      </c>
    </row>
    <row r="959" spans="31:31">
      <c r="AE959" s="310">
        <v>68767</v>
      </c>
    </row>
    <row r="960" spans="31:31">
      <c r="AE960" s="310">
        <v>68770</v>
      </c>
    </row>
    <row r="961" spans="31:31">
      <c r="AE961" s="310">
        <v>68833</v>
      </c>
    </row>
    <row r="962" spans="31:31">
      <c r="AE962" s="310">
        <v>68882</v>
      </c>
    </row>
    <row r="963" spans="31:31">
      <c r="AE963" s="310">
        <v>68945</v>
      </c>
    </row>
    <row r="964" spans="31:31">
      <c r="AE964" s="310">
        <v>69029</v>
      </c>
    </row>
    <row r="965" spans="31:31">
      <c r="AE965" s="310">
        <v>69030</v>
      </c>
    </row>
    <row r="966" spans="31:31">
      <c r="AE966" s="310">
        <v>69036</v>
      </c>
    </row>
    <row r="967" spans="31:31">
      <c r="AE967" s="310">
        <v>69059</v>
      </c>
    </row>
    <row r="968" spans="31:31">
      <c r="AE968" s="310">
        <v>69124</v>
      </c>
    </row>
    <row r="969" spans="31:31">
      <c r="AE969" s="310">
        <v>69127</v>
      </c>
    </row>
    <row r="970" spans="31:31">
      <c r="AE970" s="310">
        <v>69148</v>
      </c>
    </row>
    <row r="971" spans="31:31">
      <c r="AE971" s="310">
        <v>69197</v>
      </c>
    </row>
    <row r="972" spans="31:31">
      <c r="AE972" s="310">
        <v>69246</v>
      </c>
    </row>
    <row r="973" spans="31:31">
      <c r="AE973" s="310">
        <v>69309</v>
      </c>
    </row>
    <row r="974" spans="31:31">
      <c r="AE974" s="310">
        <v>69393</v>
      </c>
    </row>
    <row r="975" spans="31:31">
      <c r="AE975" s="310">
        <v>69394</v>
      </c>
    </row>
    <row r="976" spans="31:31">
      <c r="AE976" s="310">
        <v>69400</v>
      </c>
    </row>
    <row r="977" spans="31:31">
      <c r="AE977" s="310">
        <v>69424</v>
      </c>
    </row>
    <row r="978" spans="31:31">
      <c r="AE978" s="310">
        <v>69502</v>
      </c>
    </row>
    <row r="979" spans="31:31">
      <c r="AE979" s="310">
        <v>69505</v>
      </c>
    </row>
    <row r="980" spans="31:31">
      <c r="AE980" s="310">
        <v>69513</v>
      </c>
    </row>
    <row r="981" spans="31:31">
      <c r="AE981" s="310">
        <v>69561</v>
      </c>
    </row>
    <row r="982" spans="31:31">
      <c r="AE982" s="310">
        <v>69617</v>
      </c>
    </row>
    <row r="983" spans="31:31">
      <c r="AE983" s="310">
        <v>69673</v>
      </c>
    </row>
    <row r="984" spans="31:31">
      <c r="AE984" s="310">
        <v>69757</v>
      </c>
    </row>
    <row r="985" spans="31:31">
      <c r="AE985" s="310">
        <v>69758</v>
      </c>
    </row>
    <row r="986" spans="31:31">
      <c r="AE986" s="310">
        <v>69764</v>
      </c>
    </row>
    <row r="987" spans="31:31">
      <c r="AE987" s="310">
        <v>69789</v>
      </c>
    </row>
    <row r="988" spans="31:31">
      <c r="AE988" s="310">
        <v>69859</v>
      </c>
    </row>
    <row r="989" spans="31:31">
      <c r="AE989" s="310">
        <v>69862</v>
      </c>
    </row>
    <row r="990" spans="31:31">
      <c r="AE990" s="310">
        <v>69878</v>
      </c>
    </row>
    <row r="991" spans="31:31">
      <c r="AE991" s="310">
        <v>69925</v>
      </c>
    </row>
    <row r="992" spans="31:31">
      <c r="AE992" s="310">
        <v>69981</v>
      </c>
    </row>
    <row r="993" spans="31:31">
      <c r="AE993" s="310">
        <v>70037</v>
      </c>
    </row>
    <row r="994" spans="31:31">
      <c r="AE994" s="310">
        <v>70122</v>
      </c>
    </row>
    <row r="995" spans="31:31">
      <c r="AE995" s="310">
        <v>70123</v>
      </c>
    </row>
    <row r="996" spans="31:31">
      <c r="AE996" s="310">
        <v>70129</v>
      </c>
    </row>
    <row r="997" spans="31:31">
      <c r="AE997" s="310">
        <v>70156</v>
      </c>
    </row>
    <row r="998" spans="31:31">
      <c r="AE998" s="310">
        <v>70216</v>
      </c>
    </row>
    <row r="999" spans="31:31">
      <c r="AE999" s="310">
        <v>70219</v>
      </c>
    </row>
    <row r="1000" spans="31:31">
      <c r="AE1000" s="310">
        <v>70244</v>
      </c>
    </row>
    <row r="1001" spans="31:31">
      <c r="AE1001" s="310">
        <v>70289</v>
      </c>
    </row>
    <row r="1002" spans="31:31">
      <c r="AE1002" s="310">
        <v>70345</v>
      </c>
    </row>
    <row r="1003" spans="31:31">
      <c r="AE1003" s="310">
        <v>70408</v>
      </c>
    </row>
    <row r="1004" spans="31:31">
      <c r="AE1004" s="310">
        <v>70488</v>
      </c>
    </row>
    <row r="1005" spans="31:31">
      <c r="AE1005" s="310">
        <v>70489</v>
      </c>
    </row>
    <row r="1006" spans="31:31">
      <c r="AE1006" s="310">
        <v>70495</v>
      </c>
    </row>
    <row r="1007" spans="31:31">
      <c r="AE1007" s="310">
        <v>70520</v>
      </c>
    </row>
    <row r="1008" spans="31:31">
      <c r="AE1008" s="310">
        <v>70594</v>
      </c>
    </row>
    <row r="1009" spans="31:31">
      <c r="AE1009" s="310">
        <v>70597</v>
      </c>
    </row>
    <row r="1010" spans="31:31">
      <c r="AE1010" s="310">
        <v>70653</v>
      </c>
    </row>
    <row r="1011" spans="31:31">
      <c r="AE1011" s="310">
        <v>70709</v>
      </c>
    </row>
    <row r="1012" spans="31:31">
      <c r="AE1012" s="310">
        <v>70772</v>
      </c>
    </row>
    <row r="1013" spans="31:31">
      <c r="AE1013" s="310">
        <v>70853</v>
      </c>
    </row>
    <row r="1014" spans="31:31">
      <c r="AE1014" s="310">
        <v>70856</v>
      </c>
    </row>
    <row r="1015" spans="31:31">
      <c r="AE1015" s="310">
        <v>70860</v>
      </c>
    </row>
    <row r="1016" spans="31:31">
      <c r="AE1016" s="310">
        <v>70885</v>
      </c>
    </row>
    <row r="1017" spans="31:31">
      <c r="AE1017" s="310">
        <v>70951</v>
      </c>
    </row>
    <row r="1018" spans="31:31">
      <c r="AE1018" s="310">
        <v>70954</v>
      </c>
    </row>
    <row r="1019" spans="31:31">
      <c r="AE1019" s="310">
        <v>71024</v>
      </c>
    </row>
    <row r="1020" spans="31:31">
      <c r="AE1020" s="310">
        <v>71073</v>
      </c>
    </row>
    <row r="1021" spans="31:31">
      <c r="AE1021" s="310">
        <v>71136</v>
      </c>
    </row>
    <row r="1022" spans="31:31">
      <c r="AE1022" s="310">
        <v>71220</v>
      </c>
    </row>
    <row r="1023" spans="31:31">
      <c r="AE1023" s="310">
        <v>71221</v>
      </c>
    </row>
    <row r="1024" spans="31:31">
      <c r="AE1024" s="310">
        <v>71227</v>
      </c>
    </row>
    <row r="1025" spans="31:31">
      <c r="AE1025" s="310">
        <v>71250</v>
      </c>
    </row>
    <row r="1026" spans="31:31">
      <c r="AE1026" s="310">
        <v>71336</v>
      </c>
    </row>
    <row r="1027" spans="31:31">
      <c r="AE1027" s="310">
        <v>71339</v>
      </c>
    </row>
    <row r="1028" spans="31:31">
      <c r="AE1028" s="310">
        <v>71388</v>
      </c>
    </row>
    <row r="1029" spans="31:31">
      <c r="AE1029" s="310">
        <v>71437</v>
      </c>
    </row>
    <row r="1030" spans="31:31">
      <c r="AE1030" s="310">
        <v>71500</v>
      </c>
    </row>
    <row r="1031" spans="31:31">
      <c r="AE1031" s="310">
        <v>71584</v>
      </c>
    </row>
    <row r="1032" spans="31:31">
      <c r="AE1032" s="310">
        <v>71585</v>
      </c>
    </row>
    <row r="1033" spans="31:31">
      <c r="AE1033" s="310">
        <v>71591</v>
      </c>
    </row>
    <row r="1034" spans="31:31">
      <c r="AE1034" s="310">
        <v>71615</v>
      </c>
    </row>
    <row r="1035" spans="31:31">
      <c r="AE1035" s="310">
        <v>71693</v>
      </c>
    </row>
    <row r="1036" spans="31:31">
      <c r="AE1036" s="310">
        <v>71696</v>
      </c>
    </row>
    <row r="1037" spans="31:31">
      <c r="AE1037" s="310">
        <v>71705</v>
      </c>
    </row>
    <row r="1038" spans="31:31">
      <c r="AE1038" s="310">
        <v>71752</v>
      </c>
    </row>
    <row r="1039" spans="31:31">
      <c r="AE1039" s="310">
        <v>71808</v>
      </c>
    </row>
    <row r="1040" spans="31:31">
      <c r="AE1040" s="310">
        <v>71864</v>
      </c>
    </row>
    <row r="1041" spans="31:31">
      <c r="AE1041" s="310">
        <v>71949</v>
      </c>
    </row>
    <row r="1042" spans="31:31">
      <c r="AE1042" s="310">
        <v>71950</v>
      </c>
    </row>
    <row r="1043" spans="31:31">
      <c r="AE1043" s="310">
        <v>71956</v>
      </c>
    </row>
    <row r="1044" spans="31:31">
      <c r="AE1044" s="310">
        <v>71983</v>
      </c>
    </row>
    <row r="1045" spans="31:31">
      <c r="AE1045" s="310">
        <v>72043</v>
      </c>
    </row>
    <row r="1046" spans="31:31">
      <c r="AE1046" s="310">
        <v>72046</v>
      </c>
    </row>
    <row r="1047" spans="31:31">
      <c r="AE1047" s="310">
        <v>72070</v>
      </c>
    </row>
    <row r="1048" spans="31:31">
      <c r="AE1048" s="310">
        <v>72116</v>
      </c>
    </row>
    <row r="1049" spans="31:31">
      <c r="AE1049" s="310">
        <v>72172</v>
      </c>
    </row>
    <row r="1050" spans="31:31">
      <c r="AE1050" s="310">
        <v>72235</v>
      </c>
    </row>
    <row r="1051" spans="31:31">
      <c r="AE1051" s="310">
        <v>72314</v>
      </c>
    </row>
    <row r="1052" spans="31:31">
      <c r="AE1052" s="310">
        <v>72315</v>
      </c>
    </row>
    <row r="1053" spans="31:31">
      <c r="AE1053" s="310">
        <v>72321</v>
      </c>
    </row>
    <row r="1054" spans="31:31">
      <c r="AE1054" s="310">
        <v>72347</v>
      </c>
    </row>
    <row r="1055" spans="31:31">
      <c r="AE1055" s="310">
        <v>72428</v>
      </c>
    </row>
    <row r="1056" spans="31:31">
      <c r="AE1056" s="310">
        <v>72431</v>
      </c>
    </row>
    <row r="1057" spans="31:31">
      <c r="AE1057" s="310">
        <v>72435</v>
      </c>
    </row>
    <row r="1058" spans="31:31">
      <c r="AE1058" s="310">
        <v>72480</v>
      </c>
    </row>
    <row r="1059" spans="31:31">
      <c r="AE1059" s="310">
        <v>72536</v>
      </c>
    </row>
    <row r="1060" spans="31:31">
      <c r="AE1060" s="310">
        <v>72599</v>
      </c>
    </row>
    <row r="1061" spans="31:31">
      <c r="AE1061" s="310">
        <v>72679</v>
      </c>
    </row>
    <row r="1062" spans="31:31">
      <c r="AE1062" s="310">
        <v>72680</v>
      </c>
    </row>
    <row r="1063" spans="31:31">
      <c r="AE1063" s="310">
        <v>72686</v>
      </c>
    </row>
    <row r="1064" spans="31:31">
      <c r="AE1064" s="310">
        <v>72711</v>
      </c>
    </row>
    <row r="1065" spans="31:31">
      <c r="AE1065" s="310">
        <v>72785</v>
      </c>
    </row>
    <row r="1066" spans="31:31">
      <c r="AE1066" s="310">
        <v>72788</v>
      </c>
    </row>
    <row r="1067" spans="31:31">
      <c r="AE1067" s="310">
        <v>72844</v>
      </c>
    </row>
    <row r="1068" spans="31:31">
      <c r="AE1068" s="310">
        <v>72900</v>
      </c>
    </row>
    <row r="1069" spans="31:31">
      <c r="AE1069" s="310">
        <v>72963</v>
      </c>
    </row>
    <row r="1070" spans="31:31">
      <c r="AE1070" s="310">
        <v>73044</v>
      </c>
    </row>
    <row r="1071" spans="31:31">
      <c r="AE1071" s="310">
        <v>73047</v>
      </c>
    </row>
  </sheetData>
  <mergeCells count="1">
    <mergeCell ref="Y9:Z9"/>
  </mergeCell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A789296-B562-4F3C-B0CA-4246E5064A52}">
          <x14:formula1>
            <xm:f>Utilities!$B$62:$B$63</xm:f>
          </x14:formula1>
          <xm:sqref>C4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DF352-C7B5-45E1-A15D-9DB02E830AE5}">
  <sheetPr codeName="Sheet17"/>
  <dimension ref="A1:AE1443"/>
  <sheetViews>
    <sheetView workbookViewId="0"/>
  </sheetViews>
  <sheetFormatPr defaultColWidth="9.140625" defaultRowHeight="12"/>
  <cols>
    <col min="1" max="1" width="11.42578125" bestFit="1" customWidth="1"/>
    <col min="2" max="2" width="12.5703125" bestFit="1" customWidth="1"/>
    <col min="3" max="3" width="18.140625" bestFit="1" customWidth="1"/>
    <col min="4" max="4" width="12.5703125" bestFit="1" customWidth="1"/>
    <col min="5" max="5" width="16.28515625" bestFit="1" customWidth="1"/>
    <col min="6" max="6" width="11.42578125" bestFit="1" customWidth="1"/>
    <col min="7" max="7" width="11.42578125" style="180" bestFit="1" customWidth="1"/>
    <col min="8" max="8" width="12.140625" bestFit="1" customWidth="1"/>
    <col min="9" max="10" width="12.5703125" bestFit="1" customWidth="1"/>
    <col min="11" max="11" width="12.28515625" bestFit="1" customWidth="1"/>
    <col min="12" max="12" width="18" bestFit="1" customWidth="1"/>
    <col min="13" max="13" width="14.28515625" bestFit="1" customWidth="1"/>
    <col min="14" max="14" width="11.5703125" style="308" bestFit="1" customWidth="1"/>
    <col min="15" max="15" width="5.7109375" customWidth="1"/>
    <col min="16" max="16" width="9.42578125" bestFit="1" customWidth="1"/>
    <col min="17" max="18" width="10.5703125" bestFit="1" customWidth="1"/>
    <col min="19" max="19" width="5" bestFit="1" customWidth="1"/>
    <col min="20" max="20" width="7.5703125" bestFit="1" customWidth="1"/>
    <col min="21" max="22" width="9.5703125" bestFit="1" customWidth="1"/>
    <col min="23" max="23" width="17.85546875" bestFit="1" customWidth="1"/>
    <col min="24" max="24" width="5.7109375" customWidth="1"/>
    <col min="25" max="25" width="11.5703125" bestFit="1" customWidth="1"/>
    <col min="26" max="26" width="8.5703125" bestFit="1" customWidth="1"/>
    <col min="27" max="27" width="5.7109375" customWidth="1"/>
    <col min="28" max="28" width="11.5703125" bestFit="1" customWidth="1"/>
    <col min="29" max="29" width="8.5703125" style="309" bestFit="1" customWidth="1"/>
    <col min="30" max="30" width="5.7109375" customWidth="1"/>
    <col min="31" max="31" width="9.85546875" style="310" bestFit="1" customWidth="1"/>
  </cols>
  <sheetData>
    <row r="1" spans="1:31">
      <c r="D1" s="233"/>
      <c r="G1" s="233"/>
      <c r="H1" s="233"/>
      <c r="I1" s="233"/>
      <c r="J1" s="233"/>
      <c r="K1" s="234"/>
      <c r="L1" s="234"/>
      <c r="M1" s="234"/>
      <c r="N1" s="234"/>
      <c r="O1" s="235"/>
      <c r="P1" s="236"/>
      <c r="Q1" s="236"/>
      <c r="R1" s="236"/>
      <c r="S1" s="236"/>
      <c r="T1" s="235"/>
      <c r="U1" s="235"/>
      <c r="V1" s="235"/>
      <c r="W1" s="235"/>
      <c r="X1" s="235"/>
      <c r="Y1" s="211"/>
      <c r="Z1" s="237"/>
      <c r="AA1" s="238"/>
      <c r="AB1" s="211"/>
      <c r="AC1" s="237"/>
      <c r="AD1" s="238"/>
      <c r="AE1" s="239"/>
    </row>
    <row r="2" spans="1:31">
      <c r="B2" s="202" t="s">
        <v>225</v>
      </c>
      <c r="C2" s="200" t="str">
        <f>QuoteGlobal</f>
        <v>FCB Spread</v>
      </c>
      <c r="D2" s="233"/>
      <c r="E2" s="233" t="s">
        <v>224</v>
      </c>
      <c r="F2" s="240">
        <f>SUM(_xlfn.ANCHORARRAY(N11))</f>
        <v>-24298.709770925343</v>
      </c>
      <c r="G2" s="233"/>
      <c r="H2" s="233"/>
      <c r="I2" s="233"/>
      <c r="J2" s="233"/>
      <c r="K2" s="234"/>
      <c r="L2" s="234"/>
      <c r="M2" s="234"/>
      <c r="N2" s="234"/>
      <c r="O2" s="235"/>
      <c r="P2" s="236"/>
      <c r="Q2" s="236"/>
      <c r="R2" s="236"/>
      <c r="S2" s="236"/>
      <c r="T2" s="235"/>
      <c r="U2" s="235"/>
      <c r="V2" s="235"/>
      <c r="W2" s="235"/>
      <c r="X2" s="235"/>
      <c r="Y2" s="211"/>
      <c r="Z2" s="237"/>
      <c r="AA2" s="238"/>
      <c r="AB2" s="211"/>
      <c r="AC2" s="237"/>
      <c r="AD2" s="238"/>
      <c r="AE2" s="239"/>
    </row>
    <row r="3" spans="1:31">
      <c r="B3" s="203" t="s">
        <v>198</v>
      </c>
      <c r="C3" s="204">
        <f>GlobalIndex</f>
        <v>13</v>
      </c>
      <c r="D3" s="233"/>
      <c r="E3" s="233" t="s">
        <v>230</v>
      </c>
      <c r="F3" s="233" t="b">
        <f>D7="Fixed"</f>
        <v>0</v>
      </c>
      <c r="G3" s="234"/>
      <c r="H3" s="233"/>
      <c r="I3" s="240"/>
      <c r="J3" s="240"/>
      <c r="K3" s="234"/>
      <c r="L3" s="234"/>
      <c r="M3" s="241"/>
      <c r="N3" s="234"/>
      <c r="O3" s="235"/>
      <c r="P3" s="236"/>
      <c r="Q3" s="236"/>
      <c r="R3" s="236"/>
      <c r="S3" s="236"/>
      <c r="T3" s="235"/>
      <c r="U3" s="235"/>
      <c r="V3" s="235"/>
      <c r="W3" s="235"/>
      <c r="X3" s="235"/>
      <c r="Y3" s="211"/>
      <c r="Z3" s="237"/>
      <c r="AA3" s="238"/>
      <c r="AB3" s="211"/>
      <c r="AC3" s="237"/>
      <c r="AD3" s="238"/>
      <c r="AE3" s="239"/>
    </row>
    <row r="4" spans="1:31">
      <c r="B4" s="203" t="s">
        <v>219</v>
      </c>
      <c r="C4" s="242" t="s">
        <v>231</v>
      </c>
      <c r="G4"/>
      <c r="N4" s="240"/>
      <c r="O4" s="235"/>
      <c r="R4" s="241"/>
      <c r="S4" s="243"/>
      <c r="T4" s="235"/>
      <c r="U4" s="235"/>
      <c r="V4" s="235"/>
      <c r="W4" s="235"/>
      <c r="X4" s="235"/>
      <c r="Y4" s="211"/>
      <c r="Z4" s="237"/>
      <c r="AA4" s="241"/>
      <c r="AB4" s="211"/>
      <c r="AC4" s="237"/>
      <c r="AD4" s="241"/>
      <c r="AE4" s="239"/>
    </row>
    <row r="5" spans="1:31">
      <c r="G5"/>
      <c r="N5" s="240"/>
      <c r="O5" s="235"/>
      <c r="R5" s="236"/>
      <c r="S5" s="236"/>
      <c r="T5" s="235"/>
      <c r="U5" s="235"/>
      <c r="V5" s="235"/>
      <c r="W5" s="235"/>
      <c r="X5" s="235"/>
      <c r="Y5" s="244"/>
      <c r="Z5" s="245"/>
      <c r="AA5" s="241"/>
      <c r="AB5" s="211"/>
      <c r="AC5" s="237"/>
      <c r="AD5" s="241"/>
      <c r="AE5" s="239"/>
    </row>
    <row r="6" spans="1:31">
      <c r="B6" s="205" t="s">
        <v>191</v>
      </c>
      <c r="C6" s="246" t="s">
        <v>192</v>
      </c>
      <c r="D6" s="247" t="s">
        <v>193</v>
      </c>
      <c r="E6" s="246" t="s">
        <v>197</v>
      </c>
      <c r="F6" s="247" t="s">
        <v>194</v>
      </c>
      <c r="G6" s="246" t="s">
        <v>195</v>
      </c>
      <c r="H6" s="247" t="s">
        <v>283</v>
      </c>
      <c r="I6" s="247" t="s">
        <v>199</v>
      </c>
      <c r="J6" s="248" t="s">
        <v>149</v>
      </c>
      <c r="K6" s="247" t="s">
        <v>200</v>
      </c>
      <c r="L6" s="205" t="s">
        <v>218</v>
      </c>
      <c r="M6" s="205" t="s">
        <v>294</v>
      </c>
      <c r="N6" s="240"/>
      <c r="O6" s="235"/>
      <c r="R6" s="236"/>
      <c r="S6" s="236"/>
      <c r="T6" s="235"/>
      <c r="U6" s="235"/>
      <c r="V6" s="235"/>
      <c r="W6" s="235"/>
      <c r="X6" s="235"/>
      <c r="Y6" s="244"/>
      <c r="Z6" s="245"/>
      <c r="AA6" s="241"/>
      <c r="AB6" s="211"/>
      <c r="AC6" s="237"/>
      <c r="AD6" s="241"/>
      <c r="AE6" s="239"/>
    </row>
    <row r="7" spans="1:31">
      <c r="B7" s="249" t="str">
        <f>_xlfn.XLOOKUP(Quote&amp;" - "&amp;LegNumber,QuoteDefinitions['[Quote'] - '[Leg Type'] Id],QuoteDefinitions[Discounting Index])</f>
        <v>SOFR</v>
      </c>
      <c r="C7" s="250" t="str">
        <f>_xlfn.XLOOKUP(Quote&amp;" - "&amp;LegNumber,QuoteDefinitions['[Quote'] - '[Leg Type'] Id],QuoteDefinitions[Exchange Notionals])</f>
        <v>Both</v>
      </c>
      <c r="D7" s="250" t="str">
        <f>_xlfn.XLOOKUP(Quote&amp;" - "&amp;LegNumber,QuoteDefinitions['[Quote'] - '[Leg Type'] Id],QuoteDefinitions[Leg Type])</f>
        <v>Float</v>
      </c>
      <c r="E7" s="251">
        <f>_xlfn.XLOOKUP(Quote&amp;" - "&amp;LegNumber,QuoteDefinitions['[Quote'] - '[Leg Type'] Id],QuoteDefinitions[Fixed Rate (%)])</f>
        <v>0</v>
      </c>
      <c r="F7" s="250">
        <f>_xlfn.XLOOKUP(Quote&amp;" - "&amp;LegNumber,QuoteDefinitions['[Quote'] - '[Leg Type'] Id],QuoteDefinitions[Start Date])</f>
        <v>45474</v>
      </c>
      <c r="G7" s="220">
        <f>_xlfn.XLOOKUP(Quote&amp;" - "&amp;LegNumber,QuoteDefinitions['[Quote'] - '[Leg Type'] Id],QuoteDefinitions[End Date])</f>
        <v>52779</v>
      </c>
      <c r="H7" s="252" t="str">
        <f>_xlfn.XLOOKUP(Quote&amp;" - "&amp;LegNumber,QuoteDefinitions['[Quote'] - '[Leg Type'] Id],QuoteDefinitions[Forward Index])</f>
        <v>SOFR</v>
      </c>
      <c r="I7" s="221">
        <f>_xlfn.XLOOKUP(Quote&amp;" - "&amp;LegNumber,QuoteDefinitions['[Quote'] - '[Leg Type'] Id],QuoteDefinitions[Spread (bps)])</f>
        <v>0</v>
      </c>
      <c r="J7" s="253">
        <f>_xlfn.XLOOKUP(Quote&amp;" - "&amp;LegNumber,QuoteDefinitions['[Quote'] - '[Leg Type'] Id],QuoteDefinitions[Day Count Index])</f>
        <v>2</v>
      </c>
      <c r="K7" s="254" t="str">
        <f>_xlfn.XLOOKUP(Quote&amp;" - "&amp;LegNumber,QuoteDefinitions['[Quote'] - '[Leg Type'] Id],QuoteDefinitions[Payment Freq.])</f>
        <v>Q</v>
      </c>
      <c r="L7" s="255">
        <f>_xlfn.XLOOKUP(Quote&amp;" - "&amp;LegNumber,QuoteDefinitions['[Quote'] - '[Leg Type'] Id],QuoteDefinitions[Coupon Payment Delay])</f>
        <v>2</v>
      </c>
      <c r="M7" s="256">
        <f>_xlfn.XLOOKUP(Quote&amp;" - "&amp;LegNumber,QuoteDefinitions['[Quote'] - '[Leg Type'] Id],QuoteDefinitions[Fixing Offset])</f>
        <v>0</v>
      </c>
      <c r="N7" s="240"/>
      <c r="O7" s="235"/>
      <c r="R7" s="236"/>
      <c r="S7" s="236"/>
      <c r="T7" s="235"/>
      <c r="U7" s="235"/>
      <c r="V7" s="235"/>
      <c r="W7" s="235"/>
      <c r="X7" s="235"/>
      <c r="Y7" s="244"/>
      <c r="Z7" s="245"/>
      <c r="AA7" s="241"/>
      <c r="AB7" s="211"/>
      <c r="AC7" s="237"/>
      <c r="AD7" s="241"/>
      <c r="AE7" s="239"/>
    </row>
    <row r="8" spans="1:31">
      <c r="C8" s="257"/>
      <c r="D8" s="211"/>
      <c r="E8" s="211"/>
      <c r="F8" s="258"/>
      <c r="G8" s="211"/>
      <c r="H8" s="212"/>
      <c r="I8" s="259"/>
      <c r="J8" s="218"/>
      <c r="K8" s="260"/>
      <c r="L8" s="216"/>
      <c r="M8" s="216"/>
      <c r="N8" s="240"/>
      <c r="O8" s="236"/>
      <c r="R8" s="261"/>
      <c r="S8" s="261"/>
      <c r="T8" s="261"/>
      <c r="U8" s="261"/>
      <c r="V8" s="261"/>
      <c r="W8" s="261"/>
      <c r="X8" s="236"/>
      <c r="Y8" s="262"/>
      <c r="Z8" s="237"/>
      <c r="AA8" s="241"/>
      <c r="AB8" s="211"/>
      <c r="AC8" s="237"/>
      <c r="AD8" s="241"/>
      <c r="AE8" s="239"/>
    </row>
    <row r="9" spans="1:31">
      <c r="A9" s="233"/>
      <c r="B9" s="233"/>
      <c r="C9" s="233"/>
      <c r="D9" s="233"/>
      <c r="E9" s="233"/>
      <c r="F9" s="233"/>
      <c r="G9" s="233"/>
      <c r="H9" s="233"/>
      <c r="I9" s="233"/>
      <c r="J9" s="233"/>
      <c r="K9" s="233"/>
      <c r="L9" s="233"/>
      <c r="M9" s="240"/>
      <c r="N9" s="233"/>
      <c r="O9" s="236"/>
      <c r="P9" s="263" t="s">
        <v>217</v>
      </c>
      <c r="Q9" s="264"/>
      <c r="R9" s="264"/>
      <c r="S9" s="265"/>
      <c r="T9" s="266"/>
      <c r="U9" s="267"/>
      <c r="V9" s="268"/>
      <c r="W9" s="269"/>
      <c r="X9" s="236"/>
      <c r="Y9" s="357" t="s">
        <v>245</v>
      </c>
      <c r="Z9" s="357"/>
      <c r="AA9" s="241"/>
      <c r="AB9" s="270" t="s">
        <v>246</v>
      </c>
      <c r="AC9" s="271"/>
      <c r="AD9" s="241"/>
      <c r="AE9" s="239"/>
    </row>
    <row r="10" spans="1:31">
      <c r="A10" s="272"/>
      <c r="B10" s="273" t="s">
        <v>216</v>
      </c>
      <c r="C10" s="273" t="s">
        <v>215</v>
      </c>
      <c r="D10" s="273" t="s">
        <v>214</v>
      </c>
      <c r="E10" s="273" t="s">
        <v>213</v>
      </c>
      <c r="F10" s="274" t="s">
        <v>212</v>
      </c>
      <c r="G10" s="275" t="s">
        <v>211</v>
      </c>
      <c r="H10" s="275" t="s">
        <v>210</v>
      </c>
      <c r="I10" s="275" t="s">
        <v>196</v>
      </c>
      <c r="J10" s="275" t="s">
        <v>209</v>
      </c>
      <c r="K10" s="276" t="s">
        <v>52</v>
      </c>
      <c r="L10" s="276" t="s">
        <v>208</v>
      </c>
      <c r="M10" s="274" t="s">
        <v>207</v>
      </c>
      <c r="N10" s="273" t="s">
        <v>223</v>
      </c>
      <c r="O10" s="277"/>
      <c r="P10" s="273" t="s">
        <v>206</v>
      </c>
      <c r="Q10" s="278" t="s">
        <v>205</v>
      </c>
      <c r="R10" s="273" t="s">
        <v>204</v>
      </c>
      <c r="S10" s="275" t="s">
        <v>203</v>
      </c>
      <c r="T10" s="279" t="s">
        <v>52</v>
      </c>
      <c r="U10" s="273" t="s">
        <v>47</v>
      </c>
      <c r="V10" s="273" t="s">
        <v>46</v>
      </c>
      <c r="W10" s="280" t="s">
        <v>202</v>
      </c>
      <c r="X10" s="277"/>
      <c r="Y10" s="270" t="s">
        <v>45</v>
      </c>
      <c r="Z10" s="271" t="s">
        <v>189</v>
      </c>
      <c r="AA10" s="216"/>
      <c r="AB10" s="270" t="s">
        <v>45</v>
      </c>
      <c r="AC10" s="271" t="s">
        <v>189</v>
      </c>
      <c r="AD10" s="216"/>
      <c r="AE10" s="281" t="s">
        <v>148</v>
      </c>
    </row>
    <row r="11" spans="1:31">
      <c r="A11" s="272"/>
      <c r="B11" s="282"/>
      <c r="C11" s="282"/>
      <c r="D11" s="283" cm="1">
        <f t="array" ref="D11:D92">_xlfn.VSTACK(_xlfn.CHOOSEROWS(_xlfn.ANCHORARRAY(B12),1),OffsetDateRangeByBusinessDays(_xlfn.ANCHORARRAY(C12),Payment_Offset,_xlfn.ANCHORARRAY(AE11)),MAX(_xlfn.ANCHORARRAY(C12)))</f>
        <v>45474</v>
      </c>
      <c r="E11" s="282"/>
      <c r="F11" s="282"/>
      <c r="G11" s="282"/>
      <c r="H11" s="259" cm="1">
        <f t="array" ref="H11:H92">_xlfn.VSTACK(0,_xlfn.ANCHORARRAY(G12)*Notional*_xlfn.ANCHORARRAY(F12),0)</f>
        <v>0</v>
      </c>
      <c r="I11" s="259" cm="1">
        <f t="array" ref="I11:I92">_xlfn.IFS(
ExchangeNotionals="End",_xlfn.ANCHORARRAY(D11)*0,
ExchangeNotionals="Start",(ROW(_xlfn.ANCHORARRAY(D11))=MIN(ROW(_xlfn.ANCHORARRAY(D11))))*Notional,
ExchangeNotionals="Neither",_xlfn.ANCHORARRAY(D11)*0,
ExchangeNotionals="Both",(ROW(_xlfn.ANCHORARRAY(D11))=MIN(ROW(_xlfn.ANCHORARRAY(D11))))*Notional
)*-1
+
_xlfn.IFS(
ExchangeNotionals="End",(ROW(_xlfn.ANCHORARRAY(D11))=MAX(ROW(_xlfn.ANCHORARRAY(D11))))*Notional,
ExchangeNotionals="Start",_xlfn.ANCHORARRAY(D11)*0,
ExchangeNotionals="Neither",_xlfn.ANCHORARRAY(D11)*0,
ExchangeNotionals="Both",(ROW(_xlfn.ANCHORARRAY(D11))=MAX(ROW(_xlfn.ANCHORARRAY(D11))))*Notional
)</f>
        <v>-100000000</v>
      </c>
      <c r="J11" s="284" cm="1">
        <f t="array" ref="J11:J92">_xlfn.ANCHORARRAY(H11)+_xlfn.ANCHORARRAY(I11)</f>
        <v>-100000000</v>
      </c>
      <c r="K11" s="216" cm="1">
        <f t="array" ref="K11:K92">YEARFRAC(CurveDate,_xlfn.CHOOSECOLS(_xlfn.ANCHORARRAY(D11),1),1)*SIGN(_xlfn.ANCHORARRAY(D11)-CurveDate)</f>
        <v>8.1967213114754103E-3</v>
      </c>
      <c r="L11" s="285" cm="1">
        <f t="array" ref="L11:L92">IFERROR(-LN(_xlfn.ANCHORARRAY(M11))/_xlfn.ANCHORARRAY(K11),0)</f>
        <v>5.0822745996382104E-2</v>
      </c>
      <c r="M11" s="286" cm="1">
        <f t="array" ref="M11:M92">Linterp(_xlfn.ANCHORARRAY(AB11),_xlfn.ANCHORARRAY(AC11),_xlfn.ANCHORARRAY(D11),-1,TRUE)</f>
        <v>0.9995835068721366</v>
      </c>
      <c r="N11" s="287" cm="1">
        <f t="array" ref="N11:N92">_xlfn.ANCHORARRAY(J11)*_xlfn.ANCHORARRAY(M11)</f>
        <v>-99958350.687213659</v>
      </c>
      <c r="O11" s="277"/>
      <c r="P11" s="288" cm="1">
        <f t="array" ref="P11:P90">IF(NOT(IsFixed),ROW(_xlfn.ANCHORARRAY(Q11))-ROW()+1)</f>
        <v>1</v>
      </c>
      <c r="Q11" s="289" cm="1">
        <f t="array" ref="Q11:Q90">IF(NOT(IsFixed),OffsetDateRangeByBusinessDays(_xlfn.ANCHORARRAY(B12),FixingOffset,_xlfn.ANCHORARRAY(AE11)))</f>
        <v>45474</v>
      </c>
      <c r="R11" s="289" cm="1">
        <f t="array" ref="R11:R90">IF(NOT(IsFixed),OffsetDateRangeByBusinessDays(_xlfn.ANCHORARRAY(C12),FixingOffset,_xlfn.ANCHORARRAY(AE11)))</f>
        <v>45566</v>
      </c>
      <c r="S11" s="288" cm="1">
        <f t="array" ref="S11:S90">IF(NOT(IsFixed),_xlfn.ANCHORARRAY(R11)-_xlfn.ANCHORARRAY(Q11))</f>
        <v>92</v>
      </c>
      <c r="T11" s="290" cm="1">
        <f t="array" ref="T11:T90">IF(NOT(IsFixed),YEARFRAC(_xlfn.CHOOSECOLS(_xlfn.ANCHORARRAY(Q11),1),_xlfn.CHOOSECOLS(_xlfn.ANCHORARRAY(R11),1),J7))</f>
        <v>0.25555555555555554</v>
      </c>
      <c r="U11" s="291" cm="1">
        <f t="array" ref="U11:U90">IF(NOT(IsFixed),Linterp(_xlfn.ANCHORARRAY(Y11),_xlfn.ANCHORARRAY(Z11),_xlfn.ANCHORARRAY(Q11),-1,TRUE))</f>
        <v>0.9995835068721366</v>
      </c>
      <c r="V11" s="291" cm="1">
        <f t="array" ref="V11:V90">IF(NOT(IsFixed),Linterp(_xlfn.ANCHORARRAY(Y11),_xlfn.ANCHORARRAY(Z11),_xlfn.ANCHORARRAY(R11),-1,TRUE))</f>
        <v>0.98697080247395352</v>
      </c>
      <c r="W11" s="292" cm="1">
        <f t="array" ref="W11:W90">IF(NOT(IsFixed),(_xlfn.ANCHORARRAY(U11)/_xlfn.ANCHORARRAY(V11)-1)/_xlfn.ANCHORARRAY(T11))</f>
        <v>5.0005593442917537E-2</v>
      </c>
      <c r="X11" s="277"/>
      <c r="Y11" s="293" cm="1">
        <f t="array" ref="Y11:Y45">IF(NOT(IsFixed),_xlfn.IFS(
FloatingIndex="BBSW_3M",_xlfn.ANCHORARRAY(Curves!B4),
FloatingIndex="AONIA",_xlfn.ANCHORARRAY(Curves!G4),
FloatingIndex="BBSW_1M",_xlfn.ANCHORARRAY(Curves!L4),
FloatingIndex="BBSW_6M",_xlfn.ANCHORARRAY(Curves!Q4),
FloatingIndex="SOFR",_xlfn.ANCHORARRAY(Curves!V4)))</f>
        <v>45471</v>
      </c>
      <c r="Z11" s="237" cm="1">
        <f t="array" ref="Z11:Z45">IF(NOT(IsFixed),_xlfn.IFS(
FloatingIndex="BBSW_3M",_xlfn.ANCHORARRAY(Curves!E4),
FloatingIndex="AONIA",_xlfn.ANCHORARRAY(Curves!J4),
FloatingIndex="BBSW_1M",_xlfn.ANCHORARRAY(Curves!O4),
FloatingIndex="BBSW_6M",_xlfn.ANCHORARRAY(Curves!T4),
FloatingIndex="SOFR",_xlfn.ANCHORARRAY(Curves!Y4)))</f>
        <v>1</v>
      </c>
      <c r="AA11" s="216"/>
      <c r="AB11" s="257" cm="1">
        <f t="array" ref="AB11:AB45">_xlfn.IFS(
DiscountingIndex="BBSW_3M",_xlfn.ANCHORARRAY(Curves!B4),
DiscountingIndex="AONIA",_xlfn.ANCHORARRAY(Curves!G4),
DiscountingIndex="BBSW_1M",_xlfn.ANCHORARRAY(Curves!L4),
DiscountingIndex="BBSW_6M",_xlfn.ANCHORARRAY(Curves!Q4),
DiscountingIndex="SOFR",_xlfn.ANCHORARRAY(Curves!V4),
DiscountingIndex="AUD_FCB_ADJ",_xlfn.ANCHORARRAY(Curves!AA4))</f>
        <v>45471</v>
      </c>
      <c r="AC11" s="286" cm="1">
        <f t="array" ref="AC11:AC45">_xlfn.IFS(
DiscountingIndex="BBSW_3M",_xlfn.ANCHORARRAY(Curves!E4),
DiscountingIndex="AONIA",_xlfn.ANCHORARRAY(Curves!J4),
DiscountingIndex="BBSW_1M",_xlfn.ANCHORARRAY(Curves!O4),
DiscountingIndex="BBSW_6M",_xlfn.ANCHORARRAY(Curves!T4),
DiscountingIndex="SOFR",_xlfn.ANCHORARRAY(Curves!Y4),
DiscountingIndex="AUD_FCB_ADJ",_xlfn.ANCHORARRAY(Curves!AD4))</f>
        <v>1</v>
      </c>
      <c r="AD11" s="216"/>
      <c r="AE11" s="294" cm="1">
        <f t="array" ref="AE11:AE1443">IF(DiscountingIndex="SOFR",Holidays_NY_Public, Holidays_NSWPublic)</f>
        <v>32874</v>
      </c>
    </row>
    <row r="12" spans="1:31">
      <c r="A12" s="272"/>
      <c r="B12" s="233" cm="1">
        <f t="array" ref="B12:B91">_xlfn._xlws.SORT(_xlfn.UNIQUE(StartDateSchedule(F7,G7,K7,_xlfn.ANCHORARRAY(AE11),RollConvention,RollUserSpecifiedDates,0,0,"")))</f>
        <v>45474</v>
      </c>
      <c r="C12" s="283" cm="1">
        <f t="array" ref="C12:C91">_xlfn.LET(
    _xlpm.RolledEndDate, IF(RollUserSpecifiedDates, RollDate(G7,_xlfn.ANCHORARRAY( AE11), RollConvention), G7),
    IF(COUNT(_xlfn.ANCHORARRAY(B12))=1, _xlpm.RolledEndDate, _xlfn.VSTACK(_xlfn.DROP(_xlfn.ANCHORARRAY(B12),1), _xlpm.RolledEndDate))
)</f>
        <v>45566</v>
      </c>
      <c r="D12" s="233">
        <v>45568</v>
      </c>
      <c r="E12" s="295" cm="1">
        <f t="array" ref="E12:E92">_xlfn.VSTACK(_xlfn.ANCHORARRAY(C12)-_xlfn.ANCHORARRAY(B12),"n/a")</f>
        <v>92</v>
      </c>
      <c r="F12" s="241" cm="1">
        <f t="array" ref="F12:F91">YEARFRAC(_xlfn.CHOOSECOLS(_xlfn.ANCHORARRAY(B12),1),_xlfn.CHOOSECOLS(_xlfn.ANCHORARRAY(C12),1),J7)</f>
        <v>0.25555555555555554</v>
      </c>
      <c r="G12" s="296" cm="1">
        <f t="array" ref="G12:G91">_xlfn.ANCHORARRAY(W11)+$E$7%+$I$7%%</f>
        <v>5.0005593442917537E-2</v>
      </c>
      <c r="H12" s="240">
        <v>1277920.7213190037</v>
      </c>
      <c r="I12" s="240">
        <v>0</v>
      </c>
      <c r="J12" s="261">
        <v>1277920.7213190037</v>
      </c>
      <c r="K12" s="241">
        <v>0.2650273224043716</v>
      </c>
      <c r="L12" s="234">
        <v>5.0519543341374325E-2</v>
      </c>
      <c r="M12" s="237">
        <v>0.98670017545319411</v>
      </c>
      <c r="N12" s="240">
        <v>1260924.5999407333</v>
      </c>
      <c r="O12" s="236"/>
      <c r="P12" s="297">
        <v>2</v>
      </c>
      <c r="Q12" s="298">
        <v>45566</v>
      </c>
      <c r="R12" s="298">
        <v>45659</v>
      </c>
      <c r="S12" s="297">
        <v>93</v>
      </c>
      <c r="T12" s="299">
        <v>0.25833333333333336</v>
      </c>
      <c r="U12" s="235">
        <v>0.98697080247395352</v>
      </c>
      <c r="V12" s="235">
        <v>0.97453984574598307</v>
      </c>
      <c r="W12" s="300">
        <v>4.9376977971111589E-2</v>
      </c>
      <c r="X12" s="236"/>
      <c r="Y12" s="262">
        <v>45474</v>
      </c>
      <c r="Z12" s="237">
        <v>0.9995835068721366</v>
      </c>
      <c r="AA12" s="241"/>
      <c r="AB12" s="262">
        <v>45474</v>
      </c>
      <c r="AC12" s="237">
        <v>0.9995835068721366</v>
      </c>
      <c r="AD12" s="241"/>
      <c r="AE12" s="294">
        <v>32888</v>
      </c>
    </row>
    <row r="13" spans="1:31">
      <c r="A13" s="272"/>
      <c r="B13" s="233">
        <v>45566</v>
      </c>
      <c r="C13" s="283">
        <v>45659</v>
      </c>
      <c r="D13" s="233">
        <v>45663</v>
      </c>
      <c r="E13" s="295">
        <v>93</v>
      </c>
      <c r="F13" s="241">
        <v>0.25833333333333336</v>
      </c>
      <c r="G13" s="296">
        <v>4.9376977971111589E-2</v>
      </c>
      <c r="H13" s="259">
        <v>1275571.930920383</v>
      </c>
      <c r="I13" s="259">
        <v>0</v>
      </c>
      <c r="J13" s="261">
        <v>1275571.930920383</v>
      </c>
      <c r="K13" s="241">
        <v>0.52602739726027392</v>
      </c>
      <c r="L13" s="234">
        <v>5.0055213835352379E-2</v>
      </c>
      <c r="M13" s="237">
        <v>0.97401320897740296</v>
      </c>
      <c r="N13" s="240">
        <v>1242423.9097172644</v>
      </c>
      <c r="O13" s="236"/>
      <c r="P13" s="297">
        <v>3</v>
      </c>
      <c r="Q13" s="298">
        <v>45659</v>
      </c>
      <c r="R13" s="298">
        <v>45748</v>
      </c>
      <c r="S13" s="297">
        <v>89</v>
      </c>
      <c r="T13" s="299">
        <v>0.24722222222222223</v>
      </c>
      <c r="U13" s="235">
        <v>0.97453984574598307</v>
      </c>
      <c r="V13" s="235">
        <v>0.96293377412912773</v>
      </c>
      <c r="W13" s="300">
        <v>4.8752997272467818E-2</v>
      </c>
      <c r="X13" s="236"/>
      <c r="Y13" s="262">
        <v>45475</v>
      </c>
      <c r="Z13" s="237">
        <v>0.99944475291504709</v>
      </c>
      <c r="AA13" s="241"/>
      <c r="AB13" s="262">
        <v>45475</v>
      </c>
      <c r="AC13" s="237">
        <v>0.99944475291504709</v>
      </c>
      <c r="AD13" s="241"/>
      <c r="AE13" s="294">
        <v>32916</v>
      </c>
    </row>
    <row r="14" spans="1:31">
      <c r="A14" s="272"/>
      <c r="B14" s="233">
        <v>45659</v>
      </c>
      <c r="C14" s="301">
        <v>45748</v>
      </c>
      <c r="D14" s="233">
        <v>45750</v>
      </c>
      <c r="E14" s="295">
        <v>89</v>
      </c>
      <c r="F14" s="241">
        <v>0.24722222222222223</v>
      </c>
      <c r="G14" s="296">
        <v>4.8752997272467818E-2</v>
      </c>
      <c r="H14" s="259">
        <v>1205282.4325693434</v>
      </c>
      <c r="I14" s="259">
        <v>0</v>
      </c>
      <c r="J14" s="261">
        <v>1205282.4325693434</v>
      </c>
      <c r="K14" s="241">
        <v>0.76438356164383559</v>
      </c>
      <c r="L14" s="234">
        <v>4.976328324731067E-2</v>
      </c>
      <c r="M14" s="237">
        <v>0.96267613160359411</v>
      </c>
      <c r="N14" s="240">
        <v>1160296.6296756251</v>
      </c>
      <c r="O14" s="236"/>
      <c r="P14" s="297">
        <v>4</v>
      </c>
      <c r="Q14" s="298">
        <v>45748</v>
      </c>
      <c r="R14" s="298">
        <v>45839</v>
      </c>
      <c r="S14" s="297">
        <v>91</v>
      </c>
      <c r="T14" s="299">
        <v>0.25277777777777777</v>
      </c>
      <c r="U14" s="235">
        <v>0.96293377412912773</v>
      </c>
      <c r="V14" s="235">
        <v>0.9513490281880167</v>
      </c>
      <c r="W14" s="300">
        <v>4.817344928593266E-2</v>
      </c>
      <c r="X14" s="236"/>
      <c r="Y14" s="262">
        <v>45483</v>
      </c>
      <c r="Z14" s="237">
        <v>0.99833549125809373</v>
      </c>
      <c r="AA14" s="241"/>
      <c r="AB14" s="262">
        <v>45483</v>
      </c>
      <c r="AC14" s="237">
        <v>0.99833549125809373</v>
      </c>
      <c r="AD14" s="241"/>
      <c r="AE14" s="294">
        <v>32923</v>
      </c>
    </row>
    <row r="15" spans="1:31">
      <c r="A15" s="233"/>
      <c r="B15" s="233">
        <v>45748</v>
      </c>
      <c r="C15" s="301">
        <v>45839</v>
      </c>
      <c r="D15" s="233">
        <v>45841</v>
      </c>
      <c r="E15" s="295">
        <v>91</v>
      </c>
      <c r="F15" s="241">
        <v>0.25277777777777777</v>
      </c>
      <c r="G15" s="296">
        <v>4.817344928593266E-2</v>
      </c>
      <c r="H15" s="259">
        <v>1217717.7458388533</v>
      </c>
      <c r="I15" s="259">
        <v>0</v>
      </c>
      <c r="J15" s="261">
        <v>1217717.7458388533</v>
      </c>
      <c r="K15" s="241">
        <v>1.0123119015047879</v>
      </c>
      <c r="L15" s="234">
        <v>4.9534863183810299E-2</v>
      </c>
      <c r="M15" s="237">
        <v>0.95109176156317365</v>
      </c>
      <c r="N15" s="240">
        <v>1158161.315976612</v>
      </c>
      <c r="O15" s="236"/>
      <c r="P15" s="297">
        <v>5</v>
      </c>
      <c r="Q15" s="298">
        <v>45839</v>
      </c>
      <c r="R15" s="298">
        <v>45931</v>
      </c>
      <c r="S15" s="297">
        <v>92</v>
      </c>
      <c r="T15" s="299">
        <v>0.25555555555555554</v>
      </c>
      <c r="U15" s="235">
        <v>0.9513490281880167</v>
      </c>
      <c r="V15" s="235">
        <v>0.93935149168418319</v>
      </c>
      <c r="W15" s="300">
        <v>4.9977971384652514E-2</v>
      </c>
      <c r="X15" s="236"/>
      <c r="Y15" s="211">
        <v>45490</v>
      </c>
      <c r="Z15" s="237">
        <v>0.99736690519588889</v>
      </c>
      <c r="AA15" s="238"/>
      <c r="AB15" s="262">
        <v>45490</v>
      </c>
      <c r="AC15" s="237">
        <v>0.99736690519588889</v>
      </c>
      <c r="AD15" s="238"/>
      <c r="AE15" s="294">
        <v>33021</v>
      </c>
    </row>
    <row r="16" spans="1:31">
      <c r="A16" s="233"/>
      <c r="B16" s="233">
        <v>45839</v>
      </c>
      <c r="C16" s="233">
        <v>45931</v>
      </c>
      <c r="D16" s="233">
        <v>45933</v>
      </c>
      <c r="E16" s="295">
        <v>92</v>
      </c>
      <c r="F16" s="241">
        <v>0.25555555555555554</v>
      </c>
      <c r="G16" s="296">
        <v>4.9977971384652514E-2</v>
      </c>
      <c r="H16" s="259">
        <v>1277214.8242744531</v>
      </c>
      <c r="I16" s="240">
        <v>0</v>
      </c>
      <c r="J16" s="261">
        <v>1277214.8242744531</v>
      </c>
      <c r="K16" s="241">
        <v>1.2640218878248974</v>
      </c>
      <c r="L16" s="234">
        <v>4.9715565007202867E-2</v>
      </c>
      <c r="M16" s="237">
        <v>0.93909224948650016</v>
      </c>
      <c r="N16" s="240">
        <v>1199422.5424054011</v>
      </c>
      <c r="O16" s="236"/>
      <c r="P16" s="297">
        <v>6</v>
      </c>
      <c r="Q16" s="298">
        <v>45931</v>
      </c>
      <c r="R16" s="298">
        <v>46024</v>
      </c>
      <c r="S16" s="297">
        <v>93</v>
      </c>
      <c r="T16" s="299">
        <v>0.25833333333333336</v>
      </c>
      <c r="U16" s="235">
        <v>0.93935149168418319</v>
      </c>
      <c r="V16" s="235">
        <v>0.92751974743864896</v>
      </c>
      <c r="W16" s="300">
        <v>4.9379326350486419E-2</v>
      </c>
      <c r="X16" s="236"/>
      <c r="Y16" s="211">
        <v>45497</v>
      </c>
      <c r="Z16" s="237">
        <v>0.99640019675828562</v>
      </c>
      <c r="AA16" s="238"/>
      <c r="AB16" s="262">
        <v>45497</v>
      </c>
      <c r="AC16" s="237">
        <v>0.99640019675828562</v>
      </c>
      <c r="AD16" s="238"/>
      <c r="AE16" s="294">
        <v>33058</v>
      </c>
    </row>
    <row r="17" spans="1:31">
      <c r="A17" s="233"/>
      <c r="B17" s="233">
        <v>45931</v>
      </c>
      <c r="C17" s="233">
        <v>46024</v>
      </c>
      <c r="D17" s="233">
        <v>46028</v>
      </c>
      <c r="E17" s="302">
        <v>93</v>
      </c>
      <c r="F17" s="241">
        <v>0.25833333333333336</v>
      </c>
      <c r="G17" s="296">
        <v>4.9379326350486419E-2</v>
      </c>
      <c r="H17" s="259">
        <v>1275632.597387566</v>
      </c>
      <c r="I17" s="240">
        <v>0</v>
      </c>
      <c r="J17" s="261">
        <v>1275632.597387566</v>
      </c>
      <c r="K17" s="241">
        <v>1.5246350364963503</v>
      </c>
      <c r="L17" s="234">
        <v>4.9707629739460552E-2</v>
      </c>
      <c r="M17" s="237">
        <v>0.92701457212284077</v>
      </c>
      <c r="N17" s="240">
        <v>1182530.0064531825</v>
      </c>
      <c r="O17" s="236"/>
      <c r="P17" s="297">
        <v>7</v>
      </c>
      <c r="Q17" s="298">
        <v>46024</v>
      </c>
      <c r="R17" s="298">
        <v>46113</v>
      </c>
      <c r="S17" s="297">
        <v>89</v>
      </c>
      <c r="T17" s="299">
        <v>0.24722222222222223</v>
      </c>
      <c r="U17" s="235">
        <v>0.92751974743864896</v>
      </c>
      <c r="V17" s="235">
        <v>0.91647408122143026</v>
      </c>
      <c r="W17" s="300">
        <v>4.8751077876701E-2</v>
      </c>
      <c r="X17" s="236"/>
      <c r="Y17" s="211">
        <v>45506</v>
      </c>
      <c r="Z17" s="245">
        <v>0.99516003609298009</v>
      </c>
      <c r="AA17" s="238"/>
      <c r="AB17" s="244">
        <v>45506</v>
      </c>
      <c r="AC17" s="245">
        <v>0.99516003609298009</v>
      </c>
      <c r="AD17" s="238"/>
      <c r="AE17" s="294">
        <v>33119</v>
      </c>
    </row>
    <row r="18" spans="1:31">
      <c r="A18" s="233"/>
      <c r="B18" s="233">
        <v>46024</v>
      </c>
      <c r="C18" s="233">
        <v>46113</v>
      </c>
      <c r="D18" s="233">
        <v>46115</v>
      </c>
      <c r="E18" s="295">
        <v>89</v>
      </c>
      <c r="F18" s="241">
        <v>0.24722222222222223</v>
      </c>
      <c r="G18" s="296">
        <v>4.8751077876701E-2</v>
      </c>
      <c r="H18" s="259">
        <v>1205234.9808406637</v>
      </c>
      <c r="I18" s="240">
        <v>0</v>
      </c>
      <c r="J18" s="261">
        <v>1205234.9808406637</v>
      </c>
      <c r="K18" s="241">
        <v>1.7627737226277373</v>
      </c>
      <c r="L18" s="234">
        <v>4.9632327565727413E-2</v>
      </c>
      <c r="M18" s="237">
        <v>0.91622751820885062</v>
      </c>
      <c r="N18" s="240">
        <v>1104269.4553541329</v>
      </c>
      <c r="O18" s="236"/>
      <c r="P18" s="297">
        <v>8</v>
      </c>
      <c r="Q18" s="298">
        <v>46113</v>
      </c>
      <c r="R18" s="298">
        <v>46204</v>
      </c>
      <c r="S18" s="297">
        <v>91</v>
      </c>
      <c r="T18" s="299">
        <v>0.25277777777777777</v>
      </c>
      <c r="U18" s="235">
        <v>0.91647408122143026</v>
      </c>
      <c r="V18" s="235">
        <v>0.90544827572988107</v>
      </c>
      <c r="W18" s="300">
        <v>4.817345434801177E-2</v>
      </c>
      <c r="X18" s="236"/>
      <c r="Y18" s="211">
        <v>45538</v>
      </c>
      <c r="Z18" s="245">
        <v>0.99077546757377655</v>
      </c>
      <c r="AA18" s="238"/>
      <c r="AB18" s="244">
        <v>45538</v>
      </c>
      <c r="AC18" s="245">
        <v>0.99077546757377655</v>
      </c>
      <c r="AD18" s="238"/>
      <c r="AE18" s="294">
        <v>33154</v>
      </c>
    </row>
    <row r="19" spans="1:31">
      <c r="A19" s="272"/>
      <c r="B19" s="272">
        <v>46113</v>
      </c>
      <c r="C19" s="272">
        <v>46204</v>
      </c>
      <c r="D19" s="272">
        <v>46209</v>
      </c>
      <c r="E19" s="303">
        <v>91</v>
      </c>
      <c r="F19" s="216">
        <v>0.25277777777777777</v>
      </c>
      <c r="G19" s="304">
        <v>4.817345434801177E-2</v>
      </c>
      <c r="H19" s="284">
        <v>1217717.8737969641</v>
      </c>
      <c r="I19" s="287">
        <v>0</v>
      </c>
      <c r="J19" s="284">
        <v>1217717.8737969641</v>
      </c>
      <c r="K19" s="216">
        <v>2.0200729927007299</v>
      </c>
      <c r="L19" s="285">
        <v>4.9498070863434662E-2</v>
      </c>
      <c r="M19" s="286">
        <v>0.9048467233033165</v>
      </c>
      <c r="N19" s="287">
        <v>1101848.0280130645</v>
      </c>
      <c r="O19" s="277"/>
      <c r="P19" s="288">
        <v>9</v>
      </c>
      <c r="Q19" s="289">
        <v>46204</v>
      </c>
      <c r="R19" s="289">
        <v>46296</v>
      </c>
      <c r="S19" s="288">
        <v>92</v>
      </c>
      <c r="T19" s="305">
        <v>0.25555555555555554</v>
      </c>
      <c r="U19" s="291">
        <v>0.90544827572988107</v>
      </c>
      <c r="V19" s="291">
        <v>0.89424343507295923</v>
      </c>
      <c r="W19" s="292">
        <v>4.9030305326136794E-2</v>
      </c>
      <c r="X19" s="277"/>
      <c r="Y19" s="211">
        <v>45567</v>
      </c>
      <c r="Z19" s="306">
        <v>0.98683519212676074</v>
      </c>
      <c r="AA19" s="238"/>
      <c r="AB19" s="293">
        <v>45567</v>
      </c>
      <c r="AC19" s="306">
        <v>0.98683519212676074</v>
      </c>
      <c r="AD19" s="238"/>
      <c r="AE19" s="294">
        <v>33189</v>
      </c>
    </row>
    <row r="20" spans="1:31">
      <c r="A20" s="272"/>
      <c r="B20" s="272">
        <v>46204</v>
      </c>
      <c r="C20" s="272">
        <v>46296</v>
      </c>
      <c r="D20" s="272">
        <v>46300</v>
      </c>
      <c r="E20" s="303">
        <v>92</v>
      </c>
      <c r="F20" s="216">
        <v>0.25555555555555554</v>
      </c>
      <c r="G20" s="304">
        <v>4.9030305326136794E-2</v>
      </c>
      <c r="H20" s="284">
        <v>1252996.6916679402</v>
      </c>
      <c r="I20" s="287">
        <v>0</v>
      </c>
      <c r="J20" s="284">
        <v>1252996.6916679402</v>
      </c>
      <c r="K20" s="216">
        <v>2.269160583941606</v>
      </c>
      <c r="L20" s="285">
        <v>4.9498179069515993E-2</v>
      </c>
      <c r="M20" s="286">
        <v>0.89375881961542958</v>
      </c>
      <c r="N20" s="287">
        <v>1119876.8441271766</v>
      </c>
      <c r="O20" s="277"/>
      <c r="P20" s="288">
        <v>10</v>
      </c>
      <c r="Q20" s="289">
        <v>46296</v>
      </c>
      <c r="R20" s="289">
        <v>46391</v>
      </c>
      <c r="S20" s="288">
        <v>95</v>
      </c>
      <c r="T20" s="305">
        <v>0.2638888888888889</v>
      </c>
      <c r="U20" s="291">
        <v>0.89424343507295923</v>
      </c>
      <c r="V20" s="291">
        <v>0.88280449020289575</v>
      </c>
      <c r="W20" s="292">
        <v>4.9102129680239977E-2</v>
      </c>
      <c r="X20" s="277"/>
      <c r="Y20" s="211">
        <v>45600</v>
      </c>
      <c r="Z20" s="306">
        <v>0.98238938170489265</v>
      </c>
      <c r="AA20" s="238"/>
      <c r="AB20" s="293">
        <v>45600</v>
      </c>
      <c r="AC20" s="306">
        <v>0.98238938170489265</v>
      </c>
      <c r="AD20" s="238"/>
      <c r="AE20" s="294">
        <v>33199</v>
      </c>
    </row>
    <row r="21" spans="1:31">
      <c r="A21" s="272"/>
      <c r="B21" s="272">
        <v>46296</v>
      </c>
      <c r="C21" s="272">
        <v>46391</v>
      </c>
      <c r="D21" s="272">
        <v>46393</v>
      </c>
      <c r="E21" s="303">
        <v>95</v>
      </c>
      <c r="F21" s="216">
        <v>0.2638888888888889</v>
      </c>
      <c r="G21" s="304">
        <v>4.9102129680239977E-2</v>
      </c>
      <c r="H21" s="287">
        <v>1295750.644339666</v>
      </c>
      <c r="I21" s="287">
        <v>0</v>
      </c>
      <c r="J21" s="284">
        <v>1295750.644339666</v>
      </c>
      <c r="K21" s="216">
        <v>2.5242984257357972</v>
      </c>
      <c r="L21" s="285">
        <v>4.9488029787647526E-2</v>
      </c>
      <c r="M21" s="286">
        <v>0.88256524959857563</v>
      </c>
      <c r="N21" s="287">
        <v>1143584.4908391526</v>
      </c>
      <c r="O21" s="277"/>
      <c r="P21" s="288">
        <v>11</v>
      </c>
      <c r="Q21" s="289">
        <v>46391</v>
      </c>
      <c r="R21" s="289">
        <v>46478</v>
      </c>
      <c r="S21" s="288">
        <v>87</v>
      </c>
      <c r="T21" s="305">
        <v>0.24166666666666667</v>
      </c>
      <c r="U21" s="291">
        <v>0.88280449020289575</v>
      </c>
      <c r="V21" s="291">
        <v>0.87245723112153084</v>
      </c>
      <c r="W21" s="292">
        <v>4.9075465188790739E-2</v>
      </c>
      <c r="X21" s="277"/>
      <c r="Y21" s="211">
        <v>45628</v>
      </c>
      <c r="Z21" s="306">
        <v>0.97864847286663115</v>
      </c>
      <c r="AA21" s="238"/>
      <c r="AB21" s="293">
        <v>45628</v>
      </c>
      <c r="AC21" s="306">
        <v>0.97864847286663115</v>
      </c>
      <c r="AD21" s="238"/>
      <c r="AE21" s="294">
        <v>33232</v>
      </c>
    </row>
    <row r="22" spans="1:31">
      <c r="A22" s="272"/>
      <c r="B22" s="272">
        <v>46391</v>
      </c>
      <c r="C22" s="272">
        <v>46478</v>
      </c>
      <c r="D22" s="272">
        <v>46482</v>
      </c>
      <c r="E22" s="303">
        <v>87</v>
      </c>
      <c r="F22" s="216">
        <v>0.24166666666666667</v>
      </c>
      <c r="G22" s="304">
        <v>4.9075465188790739E-2</v>
      </c>
      <c r="H22" s="287">
        <v>1185990.4087291094</v>
      </c>
      <c r="I22" s="287">
        <v>0</v>
      </c>
      <c r="J22" s="284">
        <v>1185990.4087291094</v>
      </c>
      <c r="K22" s="216">
        <v>2.7679671457905544</v>
      </c>
      <c r="L22" s="285">
        <v>4.9488925427738743E-2</v>
      </c>
      <c r="M22" s="286">
        <v>0.8719844222155303</v>
      </c>
      <c r="N22" s="287">
        <v>1034165.1613088131</v>
      </c>
      <c r="O22" s="277"/>
      <c r="P22" s="288">
        <v>12</v>
      </c>
      <c r="Q22" s="289">
        <v>46478</v>
      </c>
      <c r="R22" s="289">
        <v>46569</v>
      </c>
      <c r="S22" s="288">
        <v>91</v>
      </c>
      <c r="T22" s="305">
        <v>0.25277777777777777</v>
      </c>
      <c r="U22" s="291">
        <v>0.87245723112153084</v>
      </c>
      <c r="V22" s="291">
        <v>0.86176398401918097</v>
      </c>
      <c r="W22" s="292">
        <v>4.9088795023016545E-2</v>
      </c>
      <c r="X22" s="277"/>
      <c r="Y22" s="211">
        <v>45659</v>
      </c>
      <c r="Z22" s="306">
        <v>0.97453984574598307</v>
      </c>
      <c r="AA22" s="238"/>
      <c r="AB22" s="293">
        <v>45659</v>
      </c>
      <c r="AC22" s="306">
        <v>0.97453984574598307</v>
      </c>
      <c r="AD22" s="238"/>
      <c r="AE22" s="294">
        <v>33239</v>
      </c>
    </row>
    <row r="23" spans="1:31">
      <c r="A23" s="233"/>
      <c r="B23" s="233">
        <v>46478</v>
      </c>
      <c r="C23" s="233">
        <v>46569</v>
      </c>
      <c r="D23" s="233">
        <v>46574</v>
      </c>
      <c r="E23" s="295">
        <v>91</v>
      </c>
      <c r="F23" s="241">
        <v>0.25277777777777777</v>
      </c>
      <c r="G23" s="296">
        <v>4.9088795023016545E-2</v>
      </c>
      <c r="H23" s="240">
        <v>1240855.6519706959</v>
      </c>
      <c r="I23" s="240">
        <v>0</v>
      </c>
      <c r="J23" s="261">
        <v>1240855.6519706959</v>
      </c>
      <c r="K23" s="241">
        <v>3.0198494182067077</v>
      </c>
      <c r="L23" s="234">
        <v>4.9489699331139045E-2</v>
      </c>
      <c r="M23" s="237">
        <v>0.86118025614806348</v>
      </c>
      <c r="N23" s="240">
        <v>1068600.3882068961</v>
      </c>
      <c r="O23" s="236"/>
      <c r="P23" s="297">
        <v>13</v>
      </c>
      <c r="Q23" s="298">
        <v>46569</v>
      </c>
      <c r="R23" s="298">
        <v>46661</v>
      </c>
      <c r="S23" s="297">
        <v>92</v>
      </c>
      <c r="T23" s="299">
        <v>0.25555555555555554</v>
      </c>
      <c r="U23" s="235">
        <v>0.86176398401918097</v>
      </c>
      <c r="V23" s="235">
        <v>0.85108911765817974</v>
      </c>
      <c r="W23" s="300">
        <v>4.9079720711455242E-2</v>
      </c>
      <c r="X23" s="236"/>
      <c r="Y23" s="211">
        <v>45691</v>
      </c>
      <c r="Z23" s="245">
        <v>0.97033471156800688</v>
      </c>
      <c r="AA23" s="238"/>
      <c r="AB23" s="244">
        <v>45691</v>
      </c>
      <c r="AC23" s="245">
        <v>0.97033471156800688</v>
      </c>
      <c r="AD23" s="238"/>
      <c r="AE23" s="294">
        <v>33259</v>
      </c>
    </row>
    <row r="24" spans="1:31">
      <c r="A24" s="233"/>
      <c r="B24" s="233">
        <v>46569</v>
      </c>
      <c r="C24" s="233">
        <v>46661</v>
      </c>
      <c r="D24" s="233">
        <v>46665</v>
      </c>
      <c r="E24" s="295">
        <v>92</v>
      </c>
      <c r="F24" s="241">
        <v>0.25555555555555554</v>
      </c>
      <c r="G24" s="296">
        <v>4.9079720711455242E-2</v>
      </c>
      <c r="H24" s="240">
        <v>1254259.5292927451</v>
      </c>
      <c r="I24" s="240">
        <v>0</v>
      </c>
      <c r="J24" s="261">
        <v>1254259.5292927451</v>
      </c>
      <c r="K24" s="241">
        <v>3.268993839835729</v>
      </c>
      <c r="L24" s="234">
        <v>4.9489344993799075E-2</v>
      </c>
      <c r="M24" s="237">
        <v>0.85062801262491505</v>
      </c>
      <c r="N24" s="240">
        <v>1066908.2907181492</v>
      </c>
      <c r="O24" s="236"/>
      <c r="P24" s="297">
        <v>14</v>
      </c>
      <c r="Q24" s="298">
        <v>46661</v>
      </c>
      <c r="R24" s="298">
        <v>46755</v>
      </c>
      <c r="S24" s="297">
        <v>94</v>
      </c>
      <c r="T24" s="299">
        <v>0.26111111111111113</v>
      </c>
      <c r="U24" s="235">
        <v>0.85108911765817974</v>
      </c>
      <c r="V24" s="235">
        <v>0.84031893942611424</v>
      </c>
      <c r="W24" s="300">
        <v>4.9085518802774175E-2</v>
      </c>
      <c r="X24" s="236"/>
      <c r="Y24" s="211">
        <v>45719</v>
      </c>
      <c r="Z24" s="245">
        <v>0.96668487654330193</v>
      </c>
      <c r="AA24" s="238"/>
      <c r="AB24" s="244">
        <v>45719</v>
      </c>
      <c r="AC24" s="245">
        <v>0.96668487654330193</v>
      </c>
      <c r="AD24" s="238"/>
      <c r="AE24" s="294">
        <v>33281</v>
      </c>
    </row>
    <row r="25" spans="1:31">
      <c r="A25" s="233"/>
      <c r="B25" s="233">
        <v>46661</v>
      </c>
      <c r="C25" s="233">
        <v>46755</v>
      </c>
      <c r="D25" s="233">
        <v>46757</v>
      </c>
      <c r="E25" s="295">
        <v>94</v>
      </c>
      <c r="F25" s="241">
        <v>0.26111111111111113</v>
      </c>
      <c r="G25" s="296">
        <v>4.9085518802774175E-2</v>
      </c>
      <c r="H25" s="240">
        <v>1281677.4354057703</v>
      </c>
      <c r="I25" s="240">
        <v>0</v>
      </c>
      <c r="J25" s="261">
        <v>1281677.4354057703</v>
      </c>
      <c r="K25" s="241">
        <v>3.5194307608100712</v>
      </c>
      <c r="L25" s="234">
        <v>4.9509351319680192E-2</v>
      </c>
      <c r="M25" s="237">
        <v>0.84009127361502944</v>
      </c>
      <c r="N25" s="240">
        <v>1076726.0290736782</v>
      </c>
      <c r="O25" s="236"/>
      <c r="P25" s="297">
        <v>15</v>
      </c>
      <c r="Q25" s="298">
        <v>46755</v>
      </c>
      <c r="R25" s="298">
        <v>46846</v>
      </c>
      <c r="S25" s="297">
        <v>91</v>
      </c>
      <c r="T25" s="299">
        <v>0.25277777777777777</v>
      </c>
      <c r="U25" s="235">
        <v>0.84031893942611424</v>
      </c>
      <c r="V25" s="235">
        <v>0.83002234472997327</v>
      </c>
      <c r="W25" s="300">
        <v>4.9075523658046044E-2</v>
      </c>
      <c r="X25" s="236"/>
      <c r="Y25" s="211">
        <v>45749</v>
      </c>
      <c r="Z25" s="237">
        <v>0.96280468570890276</v>
      </c>
      <c r="AA25" s="238"/>
      <c r="AB25" s="211">
        <v>45749</v>
      </c>
      <c r="AC25" s="237">
        <v>0.96280468570890276</v>
      </c>
      <c r="AD25" s="238"/>
      <c r="AE25" s="294">
        <v>33287</v>
      </c>
    </row>
    <row r="26" spans="1:31">
      <c r="A26" s="233"/>
      <c r="B26" s="233">
        <v>46755</v>
      </c>
      <c r="C26" s="233">
        <v>46846</v>
      </c>
      <c r="D26" s="233">
        <v>46848</v>
      </c>
      <c r="E26" s="295">
        <v>91</v>
      </c>
      <c r="F26" s="241">
        <v>0.25277777777777777</v>
      </c>
      <c r="G26" s="296">
        <v>4.9075523658046044E-2</v>
      </c>
      <c r="H26" s="240">
        <v>1240520.1813561637</v>
      </c>
      <c r="I26" s="240">
        <v>0</v>
      </c>
      <c r="J26" s="261">
        <v>1240520.1813561637</v>
      </c>
      <c r="K26" s="241">
        <v>3.7684729064039413</v>
      </c>
      <c r="L26" s="234">
        <v>4.9509078715126699E-2</v>
      </c>
      <c r="M26" s="237">
        <v>0.82979746855324388</v>
      </c>
      <c r="N26" s="240">
        <v>1029380.5061785557</v>
      </c>
      <c r="O26" s="236"/>
      <c r="P26" s="297">
        <v>16</v>
      </c>
      <c r="Q26" s="298">
        <v>46846</v>
      </c>
      <c r="R26" s="298">
        <v>46937</v>
      </c>
      <c r="S26" s="297">
        <v>91</v>
      </c>
      <c r="T26" s="299">
        <v>0.25277777777777777</v>
      </c>
      <c r="U26" s="235">
        <v>0.83002234472997327</v>
      </c>
      <c r="V26" s="235">
        <v>0.81985191625163656</v>
      </c>
      <c r="W26" s="300">
        <v>4.9075523658046044E-2</v>
      </c>
      <c r="X26" s="236"/>
      <c r="Y26" s="211">
        <v>45779</v>
      </c>
      <c r="Z26" s="237">
        <v>0.95895551985452288</v>
      </c>
      <c r="AA26" s="238"/>
      <c r="AB26" s="211">
        <v>45779</v>
      </c>
      <c r="AC26" s="237">
        <v>0.95895551985452288</v>
      </c>
      <c r="AD26" s="238"/>
      <c r="AE26" s="294">
        <v>33385</v>
      </c>
    </row>
    <row r="27" spans="1:31">
      <c r="A27" s="233"/>
      <c r="B27" s="233">
        <v>46846</v>
      </c>
      <c r="C27" s="233">
        <v>46937</v>
      </c>
      <c r="D27" s="233">
        <v>46940</v>
      </c>
      <c r="E27" s="295">
        <v>91</v>
      </c>
      <c r="F27" s="241">
        <v>0.25277777777777777</v>
      </c>
      <c r="G27" s="296">
        <v>4.9075523658046044E-2</v>
      </c>
      <c r="H27" s="240">
        <v>1240520.1813561637</v>
      </c>
      <c r="I27" s="240">
        <v>0</v>
      </c>
      <c r="J27" s="261">
        <v>1240520.1813561637</v>
      </c>
      <c r="K27" s="241">
        <v>4.0202517788724688</v>
      </c>
      <c r="L27" s="234">
        <v>4.9508837447688019E-2</v>
      </c>
      <c r="M27" s="237">
        <v>0.81951875773318938</v>
      </c>
      <c r="N27" s="240">
        <v>1016629.5579679541</v>
      </c>
      <c r="O27" s="236"/>
      <c r="P27" s="297">
        <v>17</v>
      </c>
      <c r="Q27" s="298">
        <v>46937</v>
      </c>
      <c r="R27" s="298">
        <v>47028</v>
      </c>
      <c r="S27" s="297">
        <v>91</v>
      </c>
      <c r="T27" s="299">
        <v>0.25277777777777777</v>
      </c>
      <c r="U27" s="235">
        <v>0.81985191625163656</v>
      </c>
      <c r="V27" s="235">
        <v>0.80980675492910281</v>
      </c>
      <c r="W27" s="300">
        <v>4.9072324348511387E-2</v>
      </c>
      <c r="X27" s="236"/>
      <c r="Y27" s="211">
        <v>45810</v>
      </c>
      <c r="Z27" s="237">
        <v>0.95501024830634895</v>
      </c>
      <c r="AA27" s="238"/>
      <c r="AB27" s="211">
        <v>45810</v>
      </c>
      <c r="AC27" s="237">
        <v>0.95501024830634895</v>
      </c>
      <c r="AD27" s="238"/>
      <c r="AE27" s="294">
        <v>33423</v>
      </c>
    </row>
    <row r="28" spans="1:31">
      <c r="A28" s="233"/>
      <c r="B28" s="233">
        <v>46937</v>
      </c>
      <c r="C28" s="233">
        <v>47028</v>
      </c>
      <c r="D28" s="233">
        <v>47030</v>
      </c>
      <c r="E28" s="295">
        <v>91</v>
      </c>
      <c r="F28" s="241">
        <v>0.25277777777777777</v>
      </c>
      <c r="G28" s="296">
        <v>4.9072324348511387E-2</v>
      </c>
      <c r="H28" s="240">
        <v>1240439.3099207045</v>
      </c>
      <c r="I28" s="240">
        <v>0</v>
      </c>
      <c r="J28" s="261">
        <v>1240439.3099207045</v>
      </c>
      <c r="K28" s="241">
        <v>4.2665571975916805</v>
      </c>
      <c r="L28" s="234">
        <v>4.9508437498900437E-2</v>
      </c>
      <c r="M28" s="237">
        <v>0.80958737041662421</v>
      </c>
      <c r="N28" s="240">
        <v>1004243.9990801151</v>
      </c>
      <c r="O28" s="236"/>
      <c r="P28" s="297">
        <v>18</v>
      </c>
      <c r="Q28" s="298">
        <v>47028</v>
      </c>
      <c r="R28" s="298">
        <v>47120</v>
      </c>
      <c r="S28" s="297">
        <v>92</v>
      </c>
      <c r="T28" s="299">
        <v>0.25555555555555554</v>
      </c>
      <c r="U28" s="235">
        <v>0.80980675492910281</v>
      </c>
      <c r="V28" s="235">
        <v>0.79977633721410579</v>
      </c>
      <c r="W28" s="300">
        <v>4.907554624661796E-2</v>
      </c>
      <c r="X28" s="236"/>
      <c r="Y28" s="211">
        <v>45840</v>
      </c>
      <c r="Z28" s="237">
        <v>0.95122302987288032</v>
      </c>
      <c r="AA28" s="238"/>
      <c r="AB28" s="211">
        <v>45840</v>
      </c>
      <c r="AC28" s="237">
        <v>0.95122302987288032</v>
      </c>
      <c r="AD28" s="238"/>
      <c r="AE28" s="294">
        <v>33483</v>
      </c>
    </row>
    <row r="29" spans="1:31">
      <c r="A29" s="233"/>
      <c r="B29" s="233">
        <v>47028</v>
      </c>
      <c r="C29" s="233">
        <v>47120</v>
      </c>
      <c r="D29" s="233">
        <v>47122</v>
      </c>
      <c r="E29" s="295">
        <v>92</v>
      </c>
      <c r="F29" s="241">
        <v>0.25555555555555554</v>
      </c>
      <c r="G29" s="296">
        <v>4.907554624661796E-2</v>
      </c>
      <c r="H29" s="240">
        <v>1254152.8485246811</v>
      </c>
      <c r="I29" s="240">
        <v>0</v>
      </c>
      <c r="J29" s="261">
        <v>1254152.8485246811</v>
      </c>
      <c r="K29" s="241">
        <v>4.5191605839416065</v>
      </c>
      <c r="L29" s="234">
        <v>4.9499041059230642E-2</v>
      </c>
      <c r="M29" s="237">
        <v>0.79955967003917339</v>
      </c>
      <c r="N29" s="240">
        <v>1002770.0377450833</v>
      </c>
      <c r="O29" s="236"/>
      <c r="P29" s="297">
        <v>19</v>
      </c>
      <c r="Q29" s="298">
        <v>47120</v>
      </c>
      <c r="R29" s="298">
        <v>47210</v>
      </c>
      <c r="S29" s="297">
        <v>90</v>
      </c>
      <c r="T29" s="299">
        <v>0.25</v>
      </c>
      <c r="U29" s="235">
        <v>0.79977633721410579</v>
      </c>
      <c r="V29" s="235">
        <v>0.79008419960706999</v>
      </c>
      <c r="W29" s="300">
        <v>4.9068884616884745E-2</v>
      </c>
      <c r="X29" s="236"/>
      <c r="Y29" s="211">
        <v>45936</v>
      </c>
      <c r="Z29" s="237">
        <v>0.93870352033190674</v>
      </c>
      <c r="AA29" s="238"/>
      <c r="AB29" s="211">
        <v>45936</v>
      </c>
      <c r="AC29" s="237">
        <v>0.93870352033190674</v>
      </c>
      <c r="AD29" s="238"/>
      <c r="AE29" s="294">
        <v>33525</v>
      </c>
    </row>
    <row r="30" spans="1:31">
      <c r="A30" s="233"/>
      <c r="B30" s="233">
        <v>47120</v>
      </c>
      <c r="C30" s="233">
        <v>47210</v>
      </c>
      <c r="D30" s="233">
        <v>47212</v>
      </c>
      <c r="E30" s="295">
        <v>90</v>
      </c>
      <c r="F30" s="241">
        <v>0.25</v>
      </c>
      <c r="G30" s="296">
        <v>4.9068884616884745E-2</v>
      </c>
      <c r="H30" s="240">
        <v>1226722.1154221187</v>
      </c>
      <c r="I30" s="240">
        <v>0</v>
      </c>
      <c r="J30" s="261">
        <v>1226722.1154221187</v>
      </c>
      <c r="K30" s="241">
        <v>4.76551094890511</v>
      </c>
      <c r="L30" s="234">
        <v>4.9498722458177054E-2</v>
      </c>
      <c r="M30" s="237">
        <v>0.78987015812631822</v>
      </c>
      <c r="N30" s="240">
        <v>968951.19128552044</v>
      </c>
      <c r="O30" s="236"/>
      <c r="P30" s="297">
        <v>20</v>
      </c>
      <c r="Q30" s="298">
        <v>47210</v>
      </c>
      <c r="R30" s="298">
        <v>47301</v>
      </c>
      <c r="S30" s="297">
        <v>91</v>
      </c>
      <c r="T30" s="299">
        <v>0.25277777777777777</v>
      </c>
      <c r="U30" s="235">
        <v>0.79008419960706999</v>
      </c>
      <c r="V30" s="235">
        <v>0.78040378578762448</v>
      </c>
      <c r="W30" s="300">
        <v>4.9072215281184793E-2</v>
      </c>
      <c r="X30" s="236"/>
      <c r="Y30" s="211">
        <v>46028</v>
      </c>
      <c r="Z30" s="237">
        <v>0.92701457212284077</v>
      </c>
      <c r="AA30" s="238"/>
      <c r="AB30" s="211">
        <v>46028</v>
      </c>
      <c r="AC30" s="237">
        <v>0.92701457212284077</v>
      </c>
      <c r="AD30" s="238"/>
      <c r="AE30" s="294">
        <v>33553</v>
      </c>
    </row>
    <row r="31" spans="1:31">
      <c r="A31" s="233"/>
      <c r="B31" s="233">
        <v>47210</v>
      </c>
      <c r="C31" s="233">
        <v>47301</v>
      </c>
      <c r="D31" s="233">
        <v>47304</v>
      </c>
      <c r="E31" s="295">
        <v>91</v>
      </c>
      <c r="F31" s="241">
        <v>0.25277777777777777</v>
      </c>
      <c r="G31" s="296">
        <v>4.9072215281184793E-2</v>
      </c>
      <c r="H31" s="240">
        <v>1240436.5529410599</v>
      </c>
      <c r="I31" s="240">
        <v>0</v>
      </c>
      <c r="J31" s="261">
        <v>1240436.5529410599</v>
      </c>
      <c r="K31" s="241">
        <v>5.0173357664233578</v>
      </c>
      <c r="L31" s="234">
        <v>4.9498429114228311E-2</v>
      </c>
      <c r="M31" s="237">
        <v>0.78008667882289917</v>
      </c>
      <c r="N31" s="240">
        <v>967648.03087431681</v>
      </c>
      <c r="O31" s="236"/>
      <c r="P31" s="297">
        <v>21</v>
      </c>
      <c r="Q31" s="298">
        <v>47301</v>
      </c>
      <c r="R31" s="298">
        <v>47392</v>
      </c>
      <c r="S31" s="297">
        <v>91</v>
      </c>
      <c r="T31" s="299">
        <v>0.25277777777777777</v>
      </c>
      <c r="U31" s="235">
        <v>0.78040378578762448</v>
      </c>
      <c r="V31" s="235">
        <v>0.77084130531049477</v>
      </c>
      <c r="W31" s="300">
        <v>4.9075721339425886E-2</v>
      </c>
      <c r="X31" s="236"/>
      <c r="Y31" s="211">
        <v>46118</v>
      </c>
      <c r="Z31" s="237">
        <v>0.91585779806050571</v>
      </c>
      <c r="AA31" s="238"/>
      <c r="AB31" s="211">
        <v>46118</v>
      </c>
      <c r="AC31" s="237">
        <v>0.91585779806050571</v>
      </c>
      <c r="AD31" s="238"/>
      <c r="AE31" s="294">
        <v>33570</v>
      </c>
    </row>
    <row r="32" spans="1:31">
      <c r="A32" s="233"/>
      <c r="B32" s="233">
        <v>47301</v>
      </c>
      <c r="C32" s="233">
        <v>47392</v>
      </c>
      <c r="D32" s="233">
        <v>47394</v>
      </c>
      <c r="E32" s="295">
        <v>91</v>
      </c>
      <c r="F32" s="241">
        <v>0.25277777777777777</v>
      </c>
      <c r="G32" s="296">
        <v>4.9075721339425886E-2</v>
      </c>
      <c r="H32" s="240">
        <v>1240525.1783021542</v>
      </c>
      <c r="I32" s="240">
        <v>0</v>
      </c>
      <c r="J32" s="261">
        <v>1240525.1783021542</v>
      </c>
      <c r="K32" s="241">
        <v>5.2636861313868613</v>
      </c>
      <c r="L32" s="234">
        <v>4.9498339394954891E-2</v>
      </c>
      <c r="M32" s="307">
        <v>0.77063246158465371</v>
      </c>
      <c r="N32" s="240">
        <v>955988.97181273054</v>
      </c>
      <c r="O32" s="236"/>
      <c r="P32" s="297">
        <v>22</v>
      </c>
      <c r="Q32" s="298">
        <v>47392</v>
      </c>
      <c r="R32" s="298">
        <v>47485</v>
      </c>
      <c r="S32" s="297">
        <v>93</v>
      </c>
      <c r="T32" s="299">
        <v>0.25833333333333336</v>
      </c>
      <c r="U32" s="235">
        <v>0.77084130531049477</v>
      </c>
      <c r="V32" s="235">
        <v>0.76118968884194937</v>
      </c>
      <c r="W32" s="300">
        <v>4.9082504078730584E-2</v>
      </c>
      <c r="X32" s="236"/>
      <c r="Y32" s="211">
        <v>46210</v>
      </c>
      <c r="Z32" s="237">
        <v>0.9047264607848895</v>
      </c>
      <c r="AA32" s="238"/>
      <c r="AB32" s="211">
        <v>46210</v>
      </c>
      <c r="AC32" s="237">
        <v>0.9047264607848895</v>
      </c>
      <c r="AD32" s="238"/>
      <c r="AE32" s="294">
        <v>33597</v>
      </c>
    </row>
    <row r="33" spans="1:31">
      <c r="A33" s="233"/>
      <c r="B33" s="301">
        <v>47392</v>
      </c>
      <c r="C33" s="233">
        <v>47485</v>
      </c>
      <c r="D33" s="233">
        <v>47487</v>
      </c>
      <c r="E33" s="295">
        <v>93</v>
      </c>
      <c r="F33" s="241">
        <v>0.25833333333333336</v>
      </c>
      <c r="G33" s="296">
        <v>4.9082504078730584E-2</v>
      </c>
      <c r="H33" s="240">
        <v>1267964.6887005402</v>
      </c>
      <c r="I33" s="240">
        <v>0</v>
      </c>
      <c r="J33" s="261">
        <v>1267964.6887005402</v>
      </c>
      <c r="K33" s="241">
        <v>5.5189675400860381</v>
      </c>
      <c r="L33" s="234">
        <v>4.9491803294740518E-2</v>
      </c>
      <c r="M33" s="237">
        <v>0.7609834600246892</v>
      </c>
      <c r="N33" s="240">
        <v>964900.15599646501</v>
      </c>
      <c r="O33" s="236"/>
      <c r="P33" s="297">
        <v>23</v>
      </c>
      <c r="Q33" s="298">
        <v>47485</v>
      </c>
      <c r="R33" s="298">
        <v>47574</v>
      </c>
      <c r="S33" s="297">
        <v>89</v>
      </c>
      <c r="T33" s="299">
        <v>0.24722222222222223</v>
      </c>
      <c r="U33" s="235">
        <v>0.76118968884194937</v>
      </c>
      <c r="V33" s="235">
        <v>0.75206637804827292</v>
      </c>
      <c r="W33" s="300">
        <v>4.9069178854452909E-2</v>
      </c>
      <c r="X33" s="236"/>
      <c r="Y33" s="211">
        <v>46575</v>
      </c>
      <c r="Z33" s="237">
        <v>0.86106355802996026</v>
      </c>
      <c r="AA33" s="238"/>
      <c r="AB33" s="211">
        <v>46575</v>
      </c>
      <c r="AC33" s="237">
        <v>0.86106355802996026</v>
      </c>
      <c r="AD33" s="238"/>
      <c r="AE33" s="294">
        <v>33604</v>
      </c>
    </row>
    <row r="34" spans="1:31">
      <c r="A34" s="233"/>
      <c r="B34" s="233">
        <v>47485</v>
      </c>
      <c r="C34" s="233">
        <v>47574</v>
      </c>
      <c r="D34" s="233">
        <v>47576</v>
      </c>
      <c r="E34" s="295">
        <v>89</v>
      </c>
      <c r="F34" s="241">
        <v>0.24722222222222223</v>
      </c>
      <c r="G34" s="296">
        <v>4.9069178854452909E-2</v>
      </c>
      <c r="H34" s="240">
        <v>1213099.1439017525</v>
      </c>
      <c r="I34" s="240">
        <v>0</v>
      </c>
      <c r="J34" s="261">
        <v>1213099.1439017525</v>
      </c>
      <c r="K34" s="241">
        <v>5.7626124364489639</v>
      </c>
      <c r="L34" s="234">
        <v>4.9491729610306012E-2</v>
      </c>
      <c r="M34" s="237">
        <v>0.75186262100594869</v>
      </c>
      <c r="N34" s="240">
        <v>912083.90187404421</v>
      </c>
      <c r="O34" s="236"/>
      <c r="P34" s="297">
        <v>24</v>
      </c>
      <c r="Q34" s="298">
        <v>47574</v>
      </c>
      <c r="R34" s="298">
        <v>47665</v>
      </c>
      <c r="S34" s="297">
        <v>91</v>
      </c>
      <c r="T34" s="299">
        <v>0.25277777777777777</v>
      </c>
      <c r="U34" s="235">
        <v>0.75206637804827292</v>
      </c>
      <c r="V34" s="235">
        <v>0.74285110066333704</v>
      </c>
      <c r="W34" s="300">
        <v>4.9075840864192234E-2</v>
      </c>
      <c r="X34" s="236"/>
      <c r="Y34" s="211">
        <v>46940</v>
      </c>
      <c r="Z34" s="237">
        <v>0.81951875773318938</v>
      </c>
      <c r="AA34" s="238"/>
      <c r="AB34" s="211">
        <v>46940</v>
      </c>
      <c r="AC34" s="237">
        <v>0.81951875773318938</v>
      </c>
      <c r="AD34" s="238"/>
      <c r="AE34" s="294">
        <v>33623</v>
      </c>
    </row>
    <row r="35" spans="1:31">
      <c r="A35" s="233"/>
      <c r="B35" s="233">
        <v>47574</v>
      </c>
      <c r="C35" s="233">
        <v>47665</v>
      </c>
      <c r="D35" s="233">
        <v>47667</v>
      </c>
      <c r="E35" s="295">
        <v>91</v>
      </c>
      <c r="F35" s="241">
        <v>0.25277777777777777</v>
      </c>
      <c r="G35" s="296">
        <v>4.9075840864192234E-2</v>
      </c>
      <c r="H35" s="240">
        <v>1240528.1996226371</v>
      </c>
      <c r="I35" s="240">
        <v>0</v>
      </c>
      <c r="J35" s="261">
        <v>1240528.1996226371</v>
      </c>
      <c r="K35" s="241">
        <v>6.0117324990222922</v>
      </c>
      <c r="L35" s="234">
        <v>4.9491660445473033E-2</v>
      </c>
      <c r="M35" s="237">
        <v>0.74264984031242054</v>
      </c>
      <c r="N35" s="240">
        <v>921278.06935280596</v>
      </c>
      <c r="O35" s="236"/>
      <c r="P35" s="297">
        <v>25</v>
      </c>
      <c r="Q35" s="298">
        <v>47665</v>
      </c>
      <c r="R35" s="298">
        <v>47757</v>
      </c>
      <c r="S35" s="297">
        <v>92</v>
      </c>
      <c r="T35" s="299">
        <v>0.25555555555555554</v>
      </c>
      <c r="U35" s="235">
        <v>0.74285110066333704</v>
      </c>
      <c r="V35" s="235">
        <v>0.73364934208490973</v>
      </c>
      <c r="W35" s="300">
        <v>4.907914357494101E-2</v>
      </c>
      <c r="X35" s="236"/>
      <c r="Y35" s="211">
        <v>47304</v>
      </c>
      <c r="Z35" s="237">
        <v>0.78008667882289917</v>
      </c>
      <c r="AA35" s="238"/>
      <c r="AB35" s="211">
        <v>47304</v>
      </c>
      <c r="AC35" s="237">
        <v>0.78008667882289917</v>
      </c>
      <c r="AD35" s="238"/>
      <c r="AE35" s="294">
        <v>33646</v>
      </c>
    </row>
    <row r="36" spans="1:31">
      <c r="A36" s="233"/>
      <c r="B36" s="301">
        <v>47665</v>
      </c>
      <c r="C36" s="233">
        <v>47757</v>
      </c>
      <c r="D36" s="233">
        <v>47759</v>
      </c>
      <c r="E36" s="295">
        <v>92</v>
      </c>
      <c r="F36" s="241">
        <v>0.25555555555555554</v>
      </c>
      <c r="G36" s="296">
        <v>4.907914357494101E-2</v>
      </c>
      <c r="H36" s="240">
        <v>1254244.7802484923</v>
      </c>
      <c r="I36" s="240">
        <v>0</v>
      </c>
      <c r="J36" s="261">
        <v>1254244.7802484923</v>
      </c>
      <c r="K36" s="241">
        <v>6.2635901447008218</v>
      </c>
      <c r="L36" s="234">
        <v>4.949159492872026E-2</v>
      </c>
      <c r="M36" s="237">
        <v>0.73345057488369525</v>
      </c>
      <c r="N36" s="240">
        <v>919926.55511813064</v>
      </c>
      <c r="O36" s="236"/>
      <c r="P36" s="297">
        <v>26</v>
      </c>
      <c r="Q36" s="298">
        <v>47757</v>
      </c>
      <c r="R36" s="298">
        <v>47850</v>
      </c>
      <c r="S36" s="297">
        <v>93</v>
      </c>
      <c r="T36" s="299">
        <v>0.25833333333333336</v>
      </c>
      <c r="U36" s="235">
        <v>0.73364934208490973</v>
      </c>
      <c r="V36" s="235">
        <v>0.72446340752018334</v>
      </c>
      <c r="W36" s="300">
        <v>4.908247402212048E-2</v>
      </c>
      <c r="X36" s="236"/>
      <c r="Y36" s="211">
        <v>47669</v>
      </c>
      <c r="Z36" s="237">
        <v>0.74244863448889031</v>
      </c>
      <c r="AA36" s="238"/>
      <c r="AB36" s="211">
        <v>47669</v>
      </c>
      <c r="AC36" s="237">
        <v>0.74244863448889031</v>
      </c>
      <c r="AD36" s="238"/>
      <c r="AE36" s="294">
        <v>33651</v>
      </c>
    </row>
    <row r="37" spans="1:31">
      <c r="A37" s="233"/>
      <c r="B37" s="233">
        <v>47757</v>
      </c>
      <c r="C37" s="233">
        <v>47850</v>
      </c>
      <c r="D37" s="233">
        <v>47854</v>
      </c>
      <c r="E37" s="295">
        <v>93</v>
      </c>
      <c r="F37" s="241">
        <v>0.25833333333333336</v>
      </c>
      <c r="G37" s="296">
        <v>4.908247402212048E-2</v>
      </c>
      <c r="H37" s="240">
        <v>1267963.9122381124</v>
      </c>
      <c r="I37" s="240">
        <v>0</v>
      </c>
      <c r="J37" s="261">
        <v>1267963.9122381124</v>
      </c>
      <c r="K37" s="241">
        <v>6.5242984257357977</v>
      </c>
      <c r="L37" s="234">
        <v>4.9486693730387957E-2</v>
      </c>
      <c r="M37" s="237">
        <v>0.72407090377547678</v>
      </c>
      <c r="N37" s="240">
        <v>918095.77588893939</v>
      </c>
      <c r="O37" s="236"/>
      <c r="P37" s="297">
        <v>27</v>
      </c>
      <c r="Q37" s="298">
        <v>47850</v>
      </c>
      <c r="R37" s="298">
        <v>47939</v>
      </c>
      <c r="S37" s="297">
        <v>89</v>
      </c>
      <c r="T37" s="299">
        <v>0.24722222222222223</v>
      </c>
      <c r="U37" s="235">
        <v>0.72446340752018334</v>
      </c>
      <c r="V37" s="235">
        <v>0.7157802882866009</v>
      </c>
      <c r="W37" s="300">
        <v>4.9069148814126724E-2</v>
      </c>
      <c r="X37" s="236"/>
      <c r="Y37" s="211">
        <v>48036</v>
      </c>
      <c r="Z37" s="237">
        <v>0.70643514621235382</v>
      </c>
      <c r="AA37" s="238"/>
      <c r="AB37" s="211">
        <v>48036</v>
      </c>
      <c r="AC37" s="237">
        <v>0.70643514621235382</v>
      </c>
      <c r="AD37" s="238"/>
      <c r="AE37" s="294">
        <v>33749</v>
      </c>
    </row>
    <row r="38" spans="1:31">
      <c r="A38" s="233"/>
      <c r="B38" s="301">
        <v>47850</v>
      </c>
      <c r="C38" s="233">
        <v>47939</v>
      </c>
      <c r="D38" s="233">
        <v>47941</v>
      </c>
      <c r="E38" s="295">
        <v>89</v>
      </c>
      <c r="F38" s="241">
        <v>0.24722222222222223</v>
      </c>
      <c r="G38" s="296">
        <v>4.9069148814126724E-2</v>
      </c>
      <c r="H38" s="240">
        <v>1213098.401238133</v>
      </c>
      <c r="I38" s="240">
        <v>0</v>
      </c>
      <c r="J38" s="261">
        <v>1213098.401238133</v>
      </c>
      <c r="K38" s="241">
        <v>6.7624914442162902</v>
      </c>
      <c r="L38" s="234">
        <v>4.9486640826150091E-2</v>
      </c>
      <c r="M38" s="237">
        <v>0.71558636233802309</v>
      </c>
      <c r="N38" s="240">
        <v>868076.67210006714</v>
      </c>
      <c r="O38" s="236"/>
      <c r="P38" s="297">
        <v>28</v>
      </c>
      <c r="Q38" s="298">
        <v>47939</v>
      </c>
      <c r="R38" s="298">
        <v>48030</v>
      </c>
      <c r="S38" s="297">
        <v>91</v>
      </c>
      <c r="T38" s="299">
        <v>0.25277777777777777</v>
      </c>
      <c r="U38" s="235">
        <v>0.7157802882866009</v>
      </c>
      <c r="V38" s="235">
        <v>0.70700963970219621</v>
      </c>
      <c r="W38" s="300">
        <v>4.9075810815725658E-2</v>
      </c>
      <c r="X38" s="236"/>
      <c r="Y38" s="211">
        <v>48402</v>
      </c>
      <c r="Z38" s="237">
        <v>0.67226186696606194</v>
      </c>
      <c r="AA38" s="238"/>
      <c r="AB38" s="211">
        <v>48402</v>
      </c>
      <c r="AC38" s="237">
        <v>0.67226186696606194</v>
      </c>
      <c r="AD38" s="238"/>
      <c r="AE38" s="294">
        <v>33788</v>
      </c>
    </row>
    <row r="39" spans="1:31">
      <c r="A39" s="233"/>
      <c r="B39" s="301">
        <v>47939</v>
      </c>
      <c r="C39" s="233">
        <v>48030</v>
      </c>
      <c r="D39" s="233">
        <v>48032</v>
      </c>
      <c r="E39" s="295">
        <v>91</v>
      </c>
      <c r="F39" s="241">
        <v>0.25277777777777777</v>
      </c>
      <c r="G39" s="296">
        <v>4.9075810815725658E-2</v>
      </c>
      <c r="H39" s="240">
        <v>1240527.4400641765</v>
      </c>
      <c r="I39" s="240">
        <v>0</v>
      </c>
      <c r="J39" s="261">
        <v>1240527.4400641765</v>
      </c>
      <c r="K39" s="241">
        <v>7.0116358658453111</v>
      </c>
      <c r="L39" s="234">
        <v>4.9486589335655189E-2</v>
      </c>
      <c r="M39" s="237">
        <v>0.70681808998047779</v>
      </c>
      <c r="N39" s="240">
        <v>876827.23575453286</v>
      </c>
      <c r="O39" s="236"/>
      <c r="P39" s="297">
        <v>29</v>
      </c>
      <c r="Q39" s="298">
        <v>48030</v>
      </c>
      <c r="R39" s="298">
        <v>48122</v>
      </c>
      <c r="S39" s="297">
        <v>92</v>
      </c>
      <c r="T39" s="299">
        <v>0.25555555555555554</v>
      </c>
      <c r="U39" s="235">
        <v>0.70700963970219621</v>
      </c>
      <c r="V39" s="235">
        <v>0.69825240209290496</v>
      </c>
      <c r="W39" s="300">
        <v>4.9076023815896E-2</v>
      </c>
      <c r="X39" s="236"/>
      <c r="Y39" s="211">
        <v>48767</v>
      </c>
      <c r="Z39" s="237">
        <v>0.63981747839832903</v>
      </c>
      <c r="AA39" s="238"/>
      <c r="AB39" s="211">
        <v>48767</v>
      </c>
      <c r="AC39" s="237">
        <v>0.63981747839832903</v>
      </c>
      <c r="AD39" s="238"/>
      <c r="AE39" s="294">
        <v>33854</v>
      </c>
    </row>
    <row r="40" spans="1:31">
      <c r="A40" s="233"/>
      <c r="B40" s="301">
        <v>48030</v>
      </c>
      <c r="C40" s="233">
        <v>48122</v>
      </c>
      <c r="D40" s="233">
        <v>48124</v>
      </c>
      <c r="E40" s="295">
        <v>92</v>
      </c>
      <c r="F40" s="241">
        <v>0.25555555555555554</v>
      </c>
      <c r="G40" s="296">
        <v>4.9076023815896E-2</v>
      </c>
      <c r="H40" s="240">
        <v>1254165.0530728977</v>
      </c>
      <c r="I40" s="240">
        <v>0</v>
      </c>
      <c r="J40" s="261">
        <v>1254165.0530728977</v>
      </c>
      <c r="K40" s="241">
        <v>7.2635181382614649</v>
      </c>
      <c r="L40" s="234">
        <v>4.948642999128372E-2</v>
      </c>
      <c r="M40" s="237">
        <v>0.69806323774187662</v>
      </c>
      <c r="N40" s="240">
        <v>875486.5176107795</v>
      </c>
      <c r="O40" s="236"/>
      <c r="P40" s="297">
        <v>30</v>
      </c>
      <c r="Q40" s="298">
        <v>48122</v>
      </c>
      <c r="R40" s="298">
        <v>48215</v>
      </c>
      <c r="S40" s="297">
        <v>93</v>
      </c>
      <c r="T40" s="299">
        <v>0.25833333333333336</v>
      </c>
      <c r="U40" s="235">
        <v>0.69825240209290496</v>
      </c>
      <c r="V40" s="235">
        <v>0.68951025518970954</v>
      </c>
      <c r="W40" s="300">
        <v>4.9079137551362312E-2</v>
      </c>
      <c r="X40" s="236"/>
      <c r="Y40" s="211">
        <v>49131</v>
      </c>
      <c r="Z40" s="237">
        <v>0.60903638232070445</v>
      </c>
      <c r="AA40" s="238"/>
      <c r="AB40" s="211">
        <v>49131</v>
      </c>
      <c r="AC40" s="237">
        <v>0.60903638232070445</v>
      </c>
      <c r="AD40" s="238"/>
      <c r="AE40" s="294">
        <v>33889</v>
      </c>
    </row>
    <row r="41" spans="1:31">
      <c r="A41" s="233"/>
      <c r="B41" s="301">
        <v>48122</v>
      </c>
      <c r="C41" s="233">
        <v>48215</v>
      </c>
      <c r="D41" s="233">
        <v>48219</v>
      </c>
      <c r="E41" s="295">
        <v>93</v>
      </c>
      <c r="F41" s="241">
        <v>0.25833333333333336</v>
      </c>
      <c r="G41" s="296">
        <v>4.9079137551362312E-2</v>
      </c>
      <c r="H41" s="240">
        <v>1267877.7200768597</v>
      </c>
      <c r="I41" s="240">
        <v>0</v>
      </c>
      <c r="J41" s="261">
        <v>1267877.7200768597</v>
      </c>
      <c r="K41" s="241">
        <v>7.5218978102189782</v>
      </c>
      <c r="L41" s="234">
        <v>4.9497562125722407E-2</v>
      </c>
      <c r="M41" s="237">
        <v>0.68913671378265717</v>
      </c>
      <c r="N41" s="240">
        <v>873741.08549201477</v>
      </c>
      <c r="O41" s="236"/>
      <c r="P41" s="297">
        <v>31</v>
      </c>
      <c r="Q41" s="298">
        <v>48215</v>
      </c>
      <c r="R41" s="298">
        <v>48305</v>
      </c>
      <c r="S41" s="297">
        <v>90</v>
      </c>
      <c r="T41" s="299">
        <v>0.25</v>
      </c>
      <c r="U41" s="235">
        <v>0.68951025518970954</v>
      </c>
      <c r="V41" s="235">
        <v>0.68115433999727037</v>
      </c>
      <c r="W41" s="300">
        <v>4.9069144549370058E-2</v>
      </c>
      <c r="X41" s="236"/>
      <c r="Y41" s="211">
        <v>49863</v>
      </c>
      <c r="Z41" s="237">
        <v>0.55153881886162337</v>
      </c>
      <c r="AA41" s="238"/>
      <c r="AB41" s="211">
        <v>49863</v>
      </c>
      <c r="AC41" s="237">
        <v>0.55153881886162337</v>
      </c>
      <c r="AD41" s="238"/>
      <c r="AE41" s="294">
        <v>33919</v>
      </c>
    </row>
    <row r="42" spans="1:31">
      <c r="A42" s="233"/>
      <c r="B42" s="301">
        <v>48215</v>
      </c>
      <c r="C42" s="233">
        <v>48305</v>
      </c>
      <c r="D42" s="233">
        <v>48309</v>
      </c>
      <c r="E42" s="295">
        <v>90</v>
      </c>
      <c r="F42" s="241">
        <v>0.25</v>
      </c>
      <c r="G42" s="296">
        <v>4.9069144549370058E-2</v>
      </c>
      <c r="H42" s="240">
        <v>1226728.6137342514</v>
      </c>
      <c r="I42" s="240">
        <v>0</v>
      </c>
      <c r="J42" s="261">
        <v>1226728.6137342514</v>
      </c>
      <c r="K42" s="241">
        <v>7.7682481751824826</v>
      </c>
      <c r="L42" s="234">
        <v>4.9497421841148873E-2</v>
      </c>
      <c r="M42" s="237">
        <v>0.68078532539789738</v>
      </c>
      <c r="N42" s="240">
        <v>835138.83847598382</v>
      </c>
      <c r="O42" s="236"/>
      <c r="P42" s="297">
        <v>32</v>
      </c>
      <c r="Q42" s="298">
        <v>48305</v>
      </c>
      <c r="R42" s="298">
        <v>48396</v>
      </c>
      <c r="S42" s="297">
        <v>91</v>
      </c>
      <c r="T42" s="299">
        <v>0.25277777777777777</v>
      </c>
      <c r="U42" s="235">
        <v>0.68115433999727037</v>
      </c>
      <c r="V42" s="235">
        <v>0.67280853281198527</v>
      </c>
      <c r="W42" s="300">
        <v>4.9072475248885784E-2</v>
      </c>
      <c r="X42" s="236"/>
      <c r="Y42" s="211">
        <v>50958</v>
      </c>
      <c r="Z42" s="237">
        <v>0.47548750902008757</v>
      </c>
      <c r="AA42" s="238"/>
      <c r="AB42" s="211">
        <v>50958</v>
      </c>
      <c r="AC42" s="237">
        <v>0.47548750902008757</v>
      </c>
      <c r="AD42" s="238"/>
      <c r="AE42" s="294">
        <v>33934</v>
      </c>
    </row>
    <row r="43" spans="1:31">
      <c r="A43" s="233"/>
      <c r="B43" s="301">
        <v>48305</v>
      </c>
      <c r="C43" s="233">
        <v>48396</v>
      </c>
      <c r="D43" s="233">
        <v>48401</v>
      </c>
      <c r="E43" s="295">
        <v>91</v>
      </c>
      <c r="F43" s="241">
        <v>0.25277777777777777</v>
      </c>
      <c r="G43" s="296">
        <v>4.9072475248885784E-2</v>
      </c>
      <c r="H43" s="240">
        <v>1240443.1243468351</v>
      </c>
      <c r="I43" s="240">
        <v>0</v>
      </c>
      <c r="J43" s="261">
        <v>1240443.1243468351</v>
      </c>
      <c r="K43" s="241">
        <v>8.0200729927007295</v>
      </c>
      <c r="L43" s="234">
        <v>4.9497287346705415E-2</v>
      </c>
      <c r="M43" s="237">
        <v>0.67235294708526772</v>
      </c>
      <c r="N43" s="240">
        <v>834015.59034625173</v>
      </c>
      <c r="O43" s="236"/>
      <c r="P43" s="297">
        <v>33</v>
      </c>
      <c r="Q43" s="298">
        <v>48396</v>
      </c>
      <c r="R43" s="298">
        <v>48488</v>
      </c>
      <c r="S43" s="297">
        <v>92</v>
      </c>
      <c r="T43" s="299">
        <v>0.25555555555555554</v>
      </c>
      <c r="U43" s="235">
        <v>0.67280853281198527</v>
      </c>
      <c r="V43" s="235">
        <v>0.66447229217131476</v>
      </c>
      <c r="W43" s="300">
        <v>4.9091696458246001E-2</v>
      </c>
      <c r="X43" s="236"/>
      <c r="Y43" s="211">
        <v>52785</v>
      </c>
      <c r="Z43" s="237">
        <v>0.37122940471454935</v>
      </c>
      <c r="AA43" s="238"/>
      <c r="AB43" s="211">
        <v>52785</v>
      </c>
      <c r="AC43" s="237">
        <v>0.37122940471454935</v>
      </c>
      <c r="AD43" s="238"/>
      <c r="AE43" s="294">
        <v>33963</v>
      </c>
    </row>
    <row r="44" spans="1:31">
      <c r="A44" s="233"/>
      <c r="B44" s="301">
        <v>48396</v>
      </c>
      <c r="C44" s="233">
        <v>48488</v>
      </c>
      <c r="D44" s="233">
        <v>48492</v>
      </c>
      <c r="E44" s="295">
        <v>92</v>
      </c>
      <c r="F44" s="241">
        <v>0.25555555555555554</v>
      </c>
      <c r="G44" s="296">
        <v>4.9091696458246001E-2</v>
      </c>
      <c r="H44" s="240">
        <v>1254565.5761551755</v>
      </c>
      <c r="I44" s="240">
        <v>0</v>
      </c>
      <c r="J44" s="261">
        <v>1254565.5761551755</v>
      </c>
      <c r="K44" s="241">
        <v>8.2691605839416056</v>
      </c>
      <c r="L44" s="234">
        <v>4.9497669928558558E-2</v>
      </c>
      <c r="M44" s="237">
        <v>0.664112191171771</v>
      </c>
      <c r="N44" s="240">
        <v>833172.29374908889</v>
      </c>
      <c r="O44" s="236"/>
      <c r="P44" s="297">
        <v>34</v>
      </c>
      <c r="Q44" s="298">
        <v>48488</v>
      </c>
      <c r="R44" s="298">
        <v>48582</v>
      </c>
      <c r="S44" s="297">
        <v>94</v>
      </c>
      <c r="T44" s="299">
        <v>0.26111111111111113</v>
      </c>
      <c r="U44" s="235">
        <v>0.66447229217131476</v>
      </c>
      <c r="V44" s="235">
        <v>0.65606131202029994</v>
      </c>
      <c r="W44" s="300">
        <v>4.9099472591892394E-2</v>
      </c>
      <c r="X44" s="236"/>
      <c r="Y44" s="211">
        <v>54611</v>
      </c>
      <c r="Z44" s="237">
        <v>0.28987791878948599</v>
      </c>
      <c r="AA44" s="238"/>
      <c r="AB44" s="211">
        <v>54611</v>
      </c>
      <c r="AC44" s="237">
        <v>0.28987791878948599</v>
      </c>
      <c r="AD44" s="238"/>
      <c r="AE44" s="294">
        <v>33970</v>
      </c>
    </row>
    <row r="45" spans="1:31">
      <c r="A45" s="233"/>
      <c r="B45" s="301">
        <v>48488</v>
      </c>
      <c r="C45" s="233">
        <v>48582</v>
      </c>
      <c r="D45" s="233">
        <v>48584</v>
      </c>
      <c r="E45" s="295">
        <v>94</v>
      </c>
      <c r="F45" s="241">
        <v>0.26111111111111113</v>
      </c>
      <c r="G45" s="296">
        <v>4.9099472591892394E-2</v>
      </c>
      <c r="H45" s="240">
        <v>1282041.7843438571</v>
      </c>
      <c r="I45" s="240">
        <v>0</v>
      </c>
      <c r="J45" s="261">
        <v>1282041.7843438571</v>
      </c>
      <c r="K45" s="241">
        <v>8.5217629345743227</v>
      </c>
      <c r="L45" s="234">
        <v>4.9493523265607124E-2</v>
      </c>
      <c r="M45" s="237">
        <v>0.65588351653243004</v>
      </c>
      <c r="N45" s="240">
        <v>840870.07385696028</v>
      </c>
      <c r="O45" s="236"/>
      <c r="P45" s="297">
        <v>35</v>
      </c>
      <c r="Q45" s="298">
        <v>48582</v>
      </c>
      <c r="R45" s="298">
        <v>48670</v>
      </c>
      <c r="S45" s="297">
        <v>88</v>
      </c>
      <c r="T45" s="299">
        <v>0.24444444444444444</v>
      </c>
      <c r="U45" s="235">
        <v>0.65606131202029994</v>
      </c>
      <c r="V45" s="235">
        <v>0.64828371954895925</v>
      </c>
      <c r="W45" s="300">
        <v>4.9079473673240892E-2</v>
      </c>
      <c r="X45" s="236"/>
      <c r="Y45" s="211">
        <v>56437</v>
      </c>
      <c r="Z45" s="237">
        <v>0.22634758376156944</v>
      </c>
      <c r="AA45" s="238"/>
      <c r="AB45" s="211">
        <v>56437</v>
      </c>
      <c r="AC45" s="237">
        <v>0.22634758376156944</v>
      </c>
      <c r="AD45" s="238"/>
      <c r="AE45" s="294">
        <v>33987</v>
      </c>
    </row>
    <row r="46" spans="1:31">
      <c r="A46" s="233"/>
      <c r="B46" s="301">
        <v>48582</v>
      </c>
      <c r="C46" s="233">
        <v>48670</v>
      </c>
      <c r="D46" s="233">
        <v>48674</v>
      </c>
      <c r="E46" s="295">
        <v>88</v>
      </c>
      <c r="F46" s="241">
        <v>0.24444444444444444</v>
      </c>
      <c r="G46" s="296">
        <v>4.9079473673240892E-2</v>
      </c>
      <c r="H46" s="240">
        <v>1199720.4675681107</v>
      </c>
      <c r="I46" s="240">
        <v>0</v>
      </c>
      <c r="J46" s="261">
        <v>1199720.4675681107</v>
      </c>
      <c r="K46" s="241">
        <v>8.768135778811935</v>
      </c>
      <c r="L46" s="234">
        <v>4.9493864237907699E-2</v>
      </c>
      <c r="M46" s="237">
        <v>0.6479323917085843</v>
      </c>
      <c r="N46" s="240">
        <v>777337.75193314697</v>
      </c>
      <c r="O46" s="236"/>
      <c r="P46" s="297">
        <v>36</v>
      </c>
      <c r="Q46" s="298">
        <v>48670</v>
      </c>
      <c r="R46" s="298">
        <v>48761</v>
      </c>
      <c r="S46" s="297">
        <v>91</v>
      </c>
      <c r="T46" s="299">
        <v>0.25277777777777777</v>
      </c>
      <c r="U46" s="235">
        <v>0.64828371954895925</v>
      </c>
      <c r="V46" s="235">
        <v>0.64033794048137183</v>
      </c>
      <c r="W46" s="300">
        <v>4.9089471776042906E-2</v>
      </c>
      <c r="X46" s="236"/>
      <c r="Y46" s="211"/>
      <c r="Z46" s="237"/>
      <c r="AA46" s="238"/>
      <c r="AB46" s="211"/>
      <c r="AC46" s="237"/>
      <c r="AD46" s="238"/>
      <c r="AE46" s="294">
        <v>34012</v>
      </c>
    </row>
    <row r="47" spans="1:31">
      <c r="A47" s="233"/>
      <c r="B47" s="301">
        <v>48670</v>
      </c>
      <c r="C47" s="233">
        <v>48761</v>
      </c>
      <c r="D47" s="233">
        <v>48766</v>
      </c>
      <c r="E47" s="295">
        <v>91</v>
      </c>
      <c r="F47" s="241">
        <v>0.25277777777777777</v>
      </c>
      <c r="G47" s="296">
        <v>4.9089471776042906E-2</v>
      </c>
      <c r="H47" s="240">
        <v>1240872.7587833067</v>
      </c>
      <c r="I47" s="240">
        <v>0</v>
      </c>
      <c r="J47" s="261">
        <v>1240872.7587833067</v>
      </c>
      <c r="K47" s="241">
        <v>9.0199835751437174</v>
      </c>
      <c r="L47" s="234">
        <v>4.9494193535169539E-2</v>
      </c>
      <c r="M47" s="237">
        <v>0.63990419269261267</v>
      </c>
      <c r="N47" s="240">
        <v>794039.68094348698</v>
      </c>
      <c r="O47" s="236"/>
      <c r="P47" s="297">
        <v>37</v>
      </c>
      <c r="Q47" s="298">
        <v>48761</v>
      </c>
      <c r="R47" s="298">
        <v>48855</v>
      </c>
      <c r="S47" s="297">
        <v>94</v>
      </c>
      <c r="T47" s="299">
        <v>0.26111111111111113</v>
      </c>
      <c r="U47" s="235">
        <v>0.64033794048137183</v>
      </c>
      <c r="V47" s="235">
        <v>0.63223620751847875</v>
      </c>
      <c r="W47" s="300">
        <v>4.9076457668714935E-2</v>
      </c>
      <c r="X47" s="236"/>
      <c r="Y47" s="211"/>
      <c r="Z47" s="237"/>
      <c r="AA47" s="238"/>
      <c r="AB47" s="211"/>
      <c r="AC47" s="237"/>
      <c r="AD47" s="238"/>
      <c r="AE47" s="294">
        <v>34015</v>
      </c>
    </row>
    <row r="48" spans="1:31">
      <c r="A48" s="233"/>
      <c r="B48" s="301">
        <v>48761</v>
      </c>
      <c r="C48" s="233">
        <v>48855</v>
      </c>
      <c r="D48" s="233">
        <v>48857</v>
      </c>
      <c r="E48" s="295">
        <v>94</v>
      </c>
      <c r="F48" s="241">
        <v>0.26111111111111113</v>
      </c>
      <c r="G48" s="296">
        <v>4.9076457668714935E-2</v>
      </c>
      <c r="H48" s="240">
        <v>1281440.8391275567</v>
      </c>
      <c r="I48" s="240">
        <v>0</v>
      </c>
      <c r="J48" s="261">
        <v>1281440.8391275567</v>
      </c>
      <c r="K48" s="241">
        <v>9.2690938954284139</v>
      </c>
      <c r="L48" s="234">
        <v>4.9493846973551255E-2</v>
      </c>
      <c r="M48" s="237">
        <v>0.63206495397220996</v>
      </c>
      <c r="N48" s="240">
        <v>809953.84500126925</v>
      </c>
      <c r="O48" s="236"/>
      <c r="P48" s="297">
        <v>38</v>
      </c>
      <c r="Q48" s="298">
        <v>48855</v>
      </c>
      <c r="R48" s="298">
        <v>48947</v>
      </c>
      <c r="S48" s="297">
        <v>92</v>
      </c>
      <c r="T48" s="299">
        <v>0.25555555555555554</v>
      </c>
      <c r="U48" s="235">
        <v>0.63223620751847875</v>
      </c>
      <c r="V48" s="235">
        <v>0.62440636514023562</v>
      </c>
      <c r="W48" s="300">
        <v>4.90682276230699E-2</v>
      </c>
      <c r="X48" s="236"/>
      <c r="Y48" s="211"/>
      <c r="Z48" s="237"/>
      <c r="AA48" s="238"/>
      <c r="AB48" s="211"/>
      <c r="AC48" s="237"/>
      <c r="AD48" s="259"/>
      <c r="AE48" s="294">
        <v>34120</v>
      </c>
    </row>
    <row r="49" spans="1:31">
      <c r="A49" s="233"/>
      <c r="B49" s="301">
        <v>48855</v>
      </c>
      <c r="C49" s="233">
        <v>48947</v>
      </c>
      <c r="D49" s="233">
        <v>48949</v>
      </c>
      <c r="E49" s="295">
        <v>92</v>
      </c>
      <c r="F49" s="241">
        <v>0.25555555555555554</v>
      </c>
      <c r="G49" s="296">
        <v>4.90682276230699E-2</v>
      </c>
      <c r="H49" s="240">
        <v>1253965.8170340084</v>
      </c>
      <c r="I49" s="240">
        <v>0</v>
      </c>
      <c r="J49" s="261">
        <v>1253965.8170340084</v>
      </c>
      <c r="K49" s="241">
        <v>9.5216525634644107</v>
      </c>
      <c r="L49" s="234">
        <v>4.9489812771234626E-2</v>
      </c>
      <c r="M49" s="237">
        <v>0.62423723245996288</v>
      </c>
      <c r="N49" s="240">
        <v>782772.15122470562</v>
      </c>
      <c r="O49" s="236"/>
      <c r="P49" s="297">
        <v>39</v>
      </c>
      <c r="Q49" s="298">
        <v>48947</v>
      </c>
      <c r="R49" s="298">
        <v>49037</v>
      </c>
      <c r="S49" s="297">
        <v>90</v>
      </c>
      <c r="T49" s="299">
        <v>0.25</v>
      </c>
      <c r="U49" s="235">
        <v>0.62440636514023562</v>
      </c>
      <c r="V49" s="235">
        <v>0.61684057370594747</v>
      </c>
      <c r="W49" s="300">
        <v>4.906156797587613E-2</v>
      </c>
      <c r="X49" s="236"/>
      <c r="Y49" s="211"/>
      <c r="Z49" s="237"/>
      <c r="AA49" s="238"/>
      <c r="AB49" s="211"/>
      <c r="AC49" s="237"/>
      <c r="AD49" s="238"/>
      <c r="AE49" s="294">
        <v>34155</v>
      </c>
    </row>
    <row r="50" spans="1:31">
      <c r="A50" s="233"/>
      <c r="B50" s="301">
        <v>48947</v>
      </c>
      <c r="C50" s="233">
        <v>49037</v>
      </c>
      <c r="D50" s="233">
        <v>49039</v>
      </c>
      <c r="E50" s="295">
        <v>90</v>
      </c>
      <c r="F50" s="241">
        <v>0.25</v>
      </c>
      <c r="G50" s="296">
        <v>4.906156797587613E-2</v>
      </c>
      <c r="H50" s="240">
        <v>1226539.1993969032</v>
      </c>
      <c r="I50" s="240">
        <v>0</v>
      </c>
      <c r="J50" s="261">
        <v>1226539.1993969032</v>
      </c>
      <c r="K50" s="241">
        <v>9.7680438028870089</v>
      </c>
      <c r="L50" s="234">
        <v>4.9489497992843016E-2</v>
      </c>
      <c r="M50" s="237">
        <v>0.61667349036830654</v>
      </c>
      <c r="N50" s="240">
        <v>756374.20916563657</v>
      </c>
      <c r="O50" s="236"/>
      <c r="P50" s="297">
        <v>40</v>
      </c>
      <c r="Q50" s="298">
        <v>49037</v>
      </c>
      <c r="R50" s="298">
        <v>49128</v>
      </c>
      <c r="S50" s="297">
        <v>91</v>
      </c>
      <c r="T50" s="299">
        <v>0.25277777777777777</v>
      </c>
      <c r="U50" s="235">
        <v>0.61684057370594747</v>
      </c>
      <c r="V50" s="235">
        <v>0.60928392026150735</v>
      </c>
      <c r="W50" s="300">
        <v>4.9064897648972962E-2</v>
      </c>
      <c r="X50" s="236"/>
      <c r="Y50" s="211"/>
      <c r="Z50" s="237"/>
      <c r="AA50" s="238"/>
      <c r="AB50" s="211"/>
      <c r="AC50" s="237"/>
      <c r="AD50" s="238"/>
      <c r="AE50" s="294">
        <v>34218</v>
      </c>
    </row>
    <row r="51" spans="1:31">
      <c r="A51" s="233"/>
      <c r="B51" s="301">
        <v>49037</v>
      </c>
      <c r="C51" s="233">
        <v>49128</v>
      </c>
      <c r="D51" s="233">
        <v>49131</v>
      </c>
      <c r="E51" s="295">
        <v>91</v>
      </c>
      <c r="F51" s="241">
        <v>0.25277777777777777</v>
      </c>
      <c r="G51" s="296">
        <v>4.9064897648972962E-2</v>
      </c>
      <c r="H51" s="240">
        <v>1240251.5794601499</v>
      </c>
      <c r="I51" s="240">
        <v>0</v>
      </c>
      <c r="J51" s="261">
        <v>1240251.5794601499</v>
      </c>
      <c r="K51" s="241">
        <v>10.019910403185666</v>
      </c>
      <c r="L51" s="234">
        <v>4.9489192220133128E-2</v>
      </c>
      <c r="M51" s="237">
        <v>0.60903638232070445</v>
      </c>
      <c r="N51" s="240">
        <v>755358.33512194944</v>
      </c>
      <c r="O51" s="236"/>
      <c r="P51" s="297">
        <v>41</v>
      </c>
      <c r="Q51" s="298">
        <v>49128</v>
      </c>
      <c r="R51" s="298">
        <v>49219</v>
      </c>
      <c r="S51" s="297">
        <v>91</v>
      </c>
      <c r="T51" s="299">
        <v>0.25277777777777777</v>
      </c>
      <c r="U51" s="235">
        <v>0.60928392026150735</v>
      </c>
      <c r="V51" s="235">
        <v>0.60181882054936398</v>
      </c>
      <c r="W51" s="300">
        <v>4.907168335236204E-2</v>
      </c>
      <c r="X51" s="236"/>
      <c r="Y51" s="211"/>
      <c r="Z51" s="237"/>
      <c r="AA51" s="238"/>
      <c r="AB51" s="211"/>
      <c r="AC51" s="237"/>
      <c r="AD51" s="238"/>
      <c r="AE51" s="294">
        <v>34253</v>
      </c>
    </row>
    <row r="52" spans="1:31">
      <c r="A52" s="233"/>
      <c r="B52" s="301">
        <v>49128</v>
      </c>
      <c r="C52" s="233">
        <v>49219</v>
      </c>
      <c r="D52" s="233">
        <v>49221</v>
      </c>
      <c r="E52" s="295">
        <v>91</v>
      </c>
      <c r="F52" s="241">
        <v>0.25277777777777777</v>
      </c>
      <c r="G52" s="296">
        <v>4.907168335236204E-2</v>
      </c>
      <c r="H52" s="240">
        <v>1240423.1069624848</v>
      </c>
      <c r="I52" s="240">
        <v>0</v>
      </c>
      <c r="J52" s="261">
        <v>1240423.1069624848</v>
      </c>
      <c r="K52" s="241">
        <v>10.266301642608264</v>
      </c>
      <c r="L52" s="234">
        <v>4.9489076394161322E-2</v>
      </c>
      <c r="M52" s="237">
        <v>0.60165578298015054</v>
      </c>
      <c r="N52" s="240">
        <v>746307.73564618477</v>
      </c>
      <c r="O52" s="236"/>
      <c r="P52" s="297">
        <v>42</v>
      </c>
      <c r="Q52" s="298">
        <v>49219</v>
      </c>
      <c r="R52" s="298">
        <v>49311</v>
      </c>
      <c r="S52" s="297">
        <v>92</v>
      </c>
      <c r="T52" s="299">
        <v>0.25555555555555554</v>
      </c>
      <c r="U52" s="235">
        <v>0.60181882054936398</v>
      </c>
      <c r="V52" s="235">
        <v>0.59436462533504719</v>
      </c>
      <c r="W52" s="300">
        <v>4.9075245608069119E-2</v>
      </c>
      <c r="X52" s="236"/>
      <c r="Y52" s="211"/>
      <c r="Z52" s="237"/>
      <c r="AA52" s="238"/>
      <c r="AB52" s="211"/>
      <c r="AC52" s="237"/>
      <c r="AD52" s="238"/>
      <c r="AE52" s="294">
        <v>34284</v>
      </c>
    </row>
    <row r="53" spans="1:31">
      <c r="A53" s="233"/>
      <c r="B53" s="301">
        <v>49219</v>
      </c>
      <c r="C53" s="233">
        <v>49311</v>
      </c>
      <c r="D53" s="233">
        <v>49313</v>
      </c>
      <c r="E53" s="295">
        <v>92</v>
      </c>
      <c r="F53" s="241">
        <v>0.25555555555555554</v>
      </c>
      <c r="G53" s="296">
        <v>4.9075245608069119E-2</v>
      </c>
      <c r="H53" s="240">
        <v>1254145.1655395441</v>
      </c>
      <c r="I53" s="240">
        <v>0</v>
      </c>
      <c r="J53" s="261">
        <v>1254145.1655395441</v>
      </c>
      <c r="K53" s="241">
        <v>10.518822724161533</v>
      </c>
      <c r="L53" s="234">
        <v>4.9485884399210846E-2</v>
      </c>
      <c r="M53" s="237">
        <v>0.59420360716739895</v>
      </c>
      <c r="N53" s="240">
        <v>745217.58127515181</v>
      </c>
      <c r="O53" s="236"/>
      <c r="P53" s="297">
        <v>43</v>
      </c>
      <c r="Q53" s="298">
        <v>49311</v>
      </c>
      <c r="R53" s="298">
        <v>49401</v>
      </c>
      <c r="S53" s="297">
        <v>90</v>
      </c>
      <c r="T53" s="299">
        <v>0.25</v>
      </c>
      <c r="U53" s="235">
        <v>0.59436462533504719</v>
      </c>
      <c r="V53" s="235">
        <v>0.58716182548739138</v>
      </c>
      <c r="W53" s="300">
        <v>4.9068584059781983E-2</v>
      </c>
      <c r="X53" s="236"/>
      <c r="Y53" s="211"/>
      <c r="Z53" s="237"/>
      <c r="AA53" s="238"/>
      <c r="AB53" s="211"/>
      <c r="AC53" s="237"/>
      <c r="AD53" s="238"/>
      <c r="AE53" s="294">
        <v>34298</v>
      </c>
    </row>
    <row r="54" spans="1:31">
      <c r="A54" s="233"/>
      <c r="B54" s="301">
        <v>49311</v>
      </c>
      <c r="C54" s="233">
        <v>49401</v>
      </c>
      <c r="D54" s="233">
        <v>49403</v>
      </c>
      <c r="E54" s="295">
        <v>90</v>
      </c>
      <c r="F54" s="241">
        <v>0.25</v>
      </c>
      <c r="G54" s="296">
        <v>4.9068584059781983E-2</v>
      </c>
      <c r="H54" s="240">
        <v>1226714.6014945495</v>
      </c>
      <c r="I54" s="240">
        <v>0</v>
      </c>
      <c r="J54" s="261">
        <v>1226714.6014945495</v>
      </c>
      <c r="K54" s="241">
        <v>10.765229295003422</v>
      </c>
      <c r="L54" s="234">
        <v>4.9485779173852475E-2</v>
      </c>
      <c r="M54" s="237">
        <v>0.58700275861627726</v>
      </c>
      <c r="N54" s="240">
        <v>720084.85511216777</v>
      </c>
      <c r="O54" s="236"/>
      <c r="P54" s="297">
        <v>44</v>
      </c>
      <c r="Q54" s="298">
        <v>49401</v>
      </c>
      <c r="R54" s="298">
        <v>49492</v>
      </c>
      <c r="S54" s="297">
        <v>91</v>
      </c>
      <c r="T54" s="299">
        <v>0.25277777777777777</v>
      </c>
      <c r="U54" s="235">
        <v>0.58716182548739138</v>
      </c>
      <c r="V54" s="235">
        <v>0.57996773774170718</v>
      </c>
      <c r="W54" s="300">
        <v>4.9071914683362992E-2</v>
      </c>
      <c r="X54" s="236"/>
      <c r="Y54" s="211"/>
      <c r="Z54" s="237"/>
      <c r="AA54" s="238"/>
      <c r="AB54" s="211"/>
      <c r="AC54" s="237"/>
      <c r="AD54" s="238"/>
      <c r="AE54" s="294">
        <v>34327</v>
      </c>
    </row>
    <row r="55" spans="1:31">
      <c r="A55" s="233"/>
      <c r="B55" s="301">
        <v>49401</v>
      </c>
      <c r="C55" s="233">
        <v>49492</v>
      </c>
      <c r="D55" s="233">
        <v>49495</v>
      </c>
      <c r="E55" s="295">
        <v>91</v>
      </c>
      <c r="F55" s="241">
        <v>0.25277777777777777</v>
      </c>
      <c r="G55" s="296">
        <v>4.9071914683362992E-2</v>
      </c>
      <c r="H55" s="240">
        <v>1240428.9544961201</v>
      </c>
      <c r="I55" s="240">
        <v>0</v>
      </c>
      <c r="J55" s="261">
        <v>1240428.9544961201</v>
      </c>
      <c r="K55" s="241">
        <v>11.017111567419576</v>
      </c>
      <c r="L55" s="234">
        <v>4.9485676475111394E-2</v>
      </c>
      <c r="M55" s="237">
        <v>0.57973207680198313</v>
      </c>
      <c r="N55" s="240">
        <v>719116.45391534839</v>
      </c>
      <c r="O55" s="236"/>
      <c r="P55" s="297">
        <v>45</v>
      </c>
      <c r="Q55" s="298">
        <v>49492</v>
      </c>
      <c r="R55" s="298">
        <v>49583</v>
      </c>
      <c r="S55" s="297">
        <v>91</v>
      </c>
      <c r="T55" s="299">
        <v>0.25277777777777777</v>
      </c>
      <c r="U55" s="235">
        <v>0.57996773774170718</v>
      </c>
      <c r="V55" s="235">
        <v>0.57286179417748384</v>
      </c>
      <c r="W55" s="300">
        <v>4.9071914683362111E-2</v>
      </c>
      <c r="X55" s="236"/>
      <c r="Y55" s="211"/>
      <c r="Z55" s="237"/>
      <c r="AA55" s="238"/>
      <c r="AB55" s="211"/>
      <c r="AC55" s="237"/>
      <c r="AD55" s="238"/>
      <c r="AE55" s="294">
        <v>34334</v>
      </c>
    </row>
    <row r="56" spans="1:31">
      <c r="A56" s="233"/>
      <c r="B56" s="301">
        <v>49492</v>
      </c>
      <c r="C56" s="233">
        <v>49583</v>
      </c>
      <c r="D56" s="233">
        <v>49585</v>
      </c>
      <c r="E56" s="295">
        <v>91</v>
      </c>
      <c r="F56" s="241">
        <v>0.25277777777777777</v>
      </c>
      <c r="G56" s="296">
        <v>4.9071914683362111E-2</v>
      </c>
      <c r="H56" s="240">
        <v>1240428.9544960978</v>
      </c>
      <c r="I56" s="240">
        <v>0</v>
      </c>
      <c r="J56" s="261">
        <v>1240428.9544960978</v>
      </c>
      <c r="K56" s="241">
        <v>11.263518138261464</v>
      </c>
      <c r="L56" s="234">
        <v>4.9485580453492488E-2</v>
      </c>
      <c r="M56" s="237">
        <v>0.57270660130011153</v>
      </c>
      <c r="N56" s="240">
        <v>710401.85068371089</v>
      </c>
      <c r="O56" s="236"/>
      <c r="P56" s="297">
        <v>46</v>
      </c>
      <c r="Q56" s="298">
        <v>49583</v>
      </c>
      <c r="R56" s="298">
        <v>49676</v>
      </c>
      <c r="S56" s="297">
        <v>93</v>
      </c>
      <c r="T56" s="299">
        <v>0.25833333333333336</v>
      </c>
      <c r="U56" s="235">
        <v>0.57286179417748384</v>
      </c>
      <c r="V56" s="235">
        <v>0.5656896234186467</v>
      </c>
      <c r="W56" s="300">
        <v>4.9078576833934552E-2</v>
      </c>
      <c r="X56" s="236"/>
      <c r="Y56" s="211"/>
      <c r="Z56" s="237"/>
      <c r="AA56" s="238"/>
      <c r="AB56" s="211"/>
      <c r="AC56" s="237"/>
      <c r="AD56" s="238"/>
      <c r="AE56" s="294">
        <v>34351</v>
      </c>
    </row>
    <row r="57" spans="1:31">
      <c r="A57" s="233"/>
      <c r="B57" s="301">
        <v>49583</v>
      </c>
      <c r="C57" s="233">
        <v>49676</v>
      </c>
      <c r="D57" s="233">
        <v>49678</v>
      </c>
      <c r="E57" s="295">
        <v>93</v>
      </c>
      <c r="F57" s="241">
        <v>0.25833333333333336</v>
      </c>
      <c r="G57" s="296">
        <v>4.9078576833934552E-2</v>
      </c>
      <c r="H57" s="240">
        <v>1267863.2348766427</v>
      </c>
      <c r="I57" s="240">
        <v>0</v>
      </c>
      <c r="J57" s="261">
        <v>1267863.2348766427</v>
      </c>
      <c r="K57" s="241">
        <v>11.516319225100021</v>
      </c>
      <c r="L57" s="234">
        <v>4.9493301924654585E-2</v>
      </c>
      <c r="M57" s="237">
        <v>0.5655363735401413</v>
      </c>
      <c r="N57" s="240">
        <v>717022.7759970089</v>
      </c>
      <c r="O57" s="236"/>
      <c r="P57" s="297">
        <v>47</v>
      </c>
      <c r="Q57" s="298">
        <v>49676</v>
      </c>
      <c r="R57" s="298">
        <v>49766</v>
      </c>
      <c r="S57" s="297">
        <v>90</v>
      </c>
      <c r="T57" s="299">
        <v>0.25</v>
      </c>
      <c r="U57" s="235">
        <v>0.5656896234186467</v>
      </c>
      <c r="V57" s="235">
        <v>0.55883432120229515</v>
      </c>
      <c r="W57" s="300">
        <v>4.9068584059781983E-2</v>
      </c>
      <c r="X57" s="236"/>
      <c r="Y57" s="211"/>
      <c r="Z57" s="237"/>
      <c r="AA57" s="238"/>
      <c r="AB57" s="211"/>
      <c r="AC57" s="237"/>
      <c r="AD57" s="238"/>
      <c r="AE57" s="294">
        <v>34376</v>
      </c>
    </row>
    <row r="58" spans="1:31">
      <c r="A58" s="233"/>
      <c r="B58" s="301">
        <v>49676</v>
      </c>
      <c r="C58" s="233">
        <v>49766</v>
      </c>
      <c r="D58" s="233">
        <v>49768</v>
      </c>
      <c r="E58" s="295">
        <v>90</v>
      </c>
      <c r="F58" s="241">
        <v>0.25</v>
      </c>
      <c r="G58" s="296">
        <v>4.9068584059781983E-2</v>
      </c>
      <c r="H58" s="240">
        <v>1226714.6014945495</v>
      </c>
      <c r="I58" s="240">
        <v>0</v>
      </c>
      <c r="J58" s="261">
        <v>1226714.6014945495</v>
      </c>
      <c r="K58" s="241">
        <v>11.762686881448726</v>
      </c>
      <c r="L58" s="234">
        <v>4.9493213977456027E-2</v>
      </c>
      <c r="M58" s="237">
        <v>0.55868292848041468</v>
      </c>
      <c r="N58" s="240">
        <v>685344.5059726598</v>
      </c>
      <c r="O58" s="236"/>
      <c r="P58" s="297">
        <v>48</v>
      </c>
      <c r="Q58" s="298">
        <v>49766</v>
      </c>
      <c r="R58" s="298">
        <v>49857</v>
      </c>
      <c r="S58" s="297">
        <v>91</v>
      </c>
      <c r="T58" s="299">
        <v>0.25277777777777777</v>
      </c>
      <c r="U58" s="235">
        <v>0.55883432120229515</v>
      </c>
      <c r="V58" s="235">
        <v>0.55198731077430629</v>
      </c>
      <c r="W58" s="300">
        <v>4.9071914683362111E-2</v>
      </c>
      <c r="X58" s="236"/>
      <c r="Y58" s="211"/>
      <c r="Z58" s="237"/>
      <c r="AA58" s="238"/>
      <c r="AB58" s="211"/>
      <c r="AC58" s="237"/>
      <c r="AD58" s="238"/>
      <c r="AE58" s="294">
        <v>34386</v>
      </c>
    </row>
    <row r="59" spans="1:31">
      <c r="A59" s="233"/>
      <c r="B59" s="301">
        <v>49766</v>
      </c>
      <c r="C59" s="233">
        <v>49857</v>
      </c>
      <c r="D59" s="233">
        <v>49859</v>
      </c>
      <c r="E59" s="295">
        <v>91</v>
      </c>
      <c r="F59" s="241">
        <v>0.25277777777777777</v>
      </c>
      <c r="G59" s="296">
        <v>4.9071914683362111E-2</v>
      </c>
      <c r="H59" s="240">
        <v>1240428.9544960978</v>
      </c>
      <c r="I59" s="240">
        <v>0</v>
      </c>
      <c r="J59" s="261">
        <v>1240428.9544960978</v>
      </c>
      <c r="K59" s="241">
        <v>12.011791956201305</v>
      </c>
      <c r="L59" s="234">
        <v>4.9493128721096111E-2</v>
      </c>
      <c r="M59" s="237">
        <v>0.55183777296273839</v>
      </c>
      <c r="N59" s="240">
        <v>684515.55176762457</v>
      </c>
      <c r="O59" s="236"/>
      <c r="P59" s="297">
        <v>49</v>
      </c>
      <c r="Q59" s="298">
        <v>49857</v>
      </c>
      <c r="R59" s="298">
        <v>49949</v>
      </c>
      <c r="S59" s="297">
        <v>92</v>
      </c>
      <c r="T59" s="299">
        <v>0.25555555555555554</v>
      </c>
      <c r="U59" s="235">
        <v>0.55198731077430629</v>
      </c>
      <c r="V59" s="235">
        <v>0.54514907740367602</v>
      </c>
      <c r="W59" s="300">
        <v>4.9084380040060792E-2</v>
      </c>
      <c r="X59" s="236"/>
      <c r="Y59" s="211"/>
      <c r="Z59" s="237"/>
      <c r="AA59" s="238"/>
      <c r="AB59" s="211"/>
      <c r="AC59" s="237"/>
      <c r="AD59" s="238"/>
      <c r="AE59" s="294">
        <v>34484</v>
      </c>
    </row>
    <row r="60" spans="1:31">
      <c r="A60" s="233"/>
      <c r="B60" s="301">
        <v>49857</v>
      </c>
      <c r="C60" s="233">
        <v>49949</v>
      </c>
      <c r="D60" s="233">
        <v>49951</v>
      </c>
      <c r="E60" s="295">
        <v>92</v>
      </c>
      <c r="F60" s="241">
        <v>0.25555555555555554</v>
      </c>
      <c r="G60" s="296">
        <v>4.9084380040060792E-2</v>
      </c>
      <c r="H60" s="240">
        <v>1254378.6010237758</v>
      </c>
      <c r="I60" s="240">
        <v>0</v>
      </c>
      <c r="J60" s="261">
        <v>1254378.6010237758</v>
      </c>
      <c r="K60" s="241">
        <v>12.26363444935776</v>
      </c>
      <c r="L60" s="234">
        <v>4.9493238410383798E-2</v>
      </c>
      <c r="M60" s="237">
        <v>0.54500136290447743</v>
      </c>
      <c r="N60" s="240">
        <v>683638.04715616954</v>
      </c>
      <c r="O60" s="236"/>
      <c r="P60" s="297">
        <v>50</v>
      </c>
      <c r="Q60" s="298">
        <v>49949</v>
      </c>
      <c r="R60" s="298">
        <v>50042</v>
      </c>
      <c r="S60" s="297">
        <v>93</v>
      </c>
      <c r="T60" s="299">
        <v>0.25833333333333336</v>
      </c>
      <c r="U60" s="235">
        <v>0.54514907740367602</v>
      </c>
      <c r="V60" s="235">
        <v>0.53832252492080779</v>
      </c>
      <c r="W60" s="300">
        <v>4.9088349876683819E-2</v>
      </c>
      <c r="X60" s="236"/>
      <c r="Y60" s="211"/>
      <c r="Z60" s="237"/>
      <c r="AA60" s="238"/>
      <c r="AB60" s="211"/>
      <c r="AC60" s="237"/>
      <c r="AD60" s="238"/>
      <c r="AE60" s="294">
        <v>34519</v>
      </c>
    </row>
    <row r="61" spans="1:31">
      <c r="A61" s="233"/>
      <c r="B61" s="301">
        <v>49949</v>
      </c>
      <c r="C61" s="233">
        <v>50042</v>
      </c>
      <c r="D61" s="233">
        <v>50046</v>
      </c>
      <c r="E61" s="295">
        <v>93</v>
      </c>
      <c r="F61" s="241">
        <v>0.25833333333333336</v>
      </c>
      <c r="G61" s="296">
        <v>4.9088349876683819E-2</v>
      </c>
      <c r="H61" s="240">
        <v>1268115.7051476655</v>
      </c>
      <c r="I61" s="240">
        <v>0</v>
      </c>
      <c r="J61" s="261">
        <v>1268115.7051476655</v>
      </c>
      <c r="K61" s="241">
        <v>12.524442706296442</v>
      </c>
      <c r="L61" s="234">
        <v>4.9490378217330135E-2</v>
      </c>
      <c r="M61" s="237">
        <v>0.53803083491416126</v>
      </c>
      <c r="N61" s="240">
        <v>682285.35160835879</v>
      </c>
      <c r="O61" s="236"/>
      <c r="P61" s="297">
        <v>51</v>
      </c>
      <c r="Q61" s="298">
        <v>50042</v>
      </c>
      <c r="R61" s="298">
        <v>50131</v>
      </c>
      <c r="S61" s="297">
        <v>89</v>
      </c>
      <c r="T61" s="299">
        <v>0.24722222222222223</v>
      </c>
      <c r="U61" s="235">
        <v>0.53832252492080779</v>
      </c>
      <c r="V61" s="235">
        <v>0.5318696504964826</v>
      </c>
      <c r="W61" s="300">
        <v>4.9075021485048866E-2</v>
      </c>
      <c r="X61" s="236"/>
      <c r="Y61" s="211"/>
      <c r="Z61" s="237"/>
      <c r="AA61" s="238"/>
      <c r="AB61" s="211"/>
      <c r="AC61" s="237"/>
      <c r="AD61" s="238"/>
      <c r="AE61" s="294">
        <v>34582</v>
      </c>
    </row>
    <row r="62" spans="1:31">
      <c r="A62" s="233"/>
      <c r="B62" s="301">
        <v>50042</v>
      </c>
      <c r="C62" s="233">
        <v>50131</v>
      </c>
      <c r="D62" s="233">
        <v>50133</v>
      </c>
      <c r="E62" s="295">
        <v>89</v>
      </c>
      <c r="F62" s="241">
        <v>0.24722222222222223</v>
      </c>
      <c r="G62" s="296">
        <v>4.9075021485048866E-2</v>
      </c>
      <c r="H62" s="240">
        <v>1213243.5867137082</v>
      </c>
      <c r="I62" s="240">
        <v>0</v>
      </c>
      <c r="J62" s="261">
        <v>1213243.5867137082</v>
      </c>
      <c r="K62" s="241">
        <v>12.762612436448963</v>
      </c>
      <c r="L62" s="234">
        <v>4.9490481596019535E-2</v>
      </c>
      <c r="M62" s="237">
        <v>0.53172553421284852</v>
      </c>
      <c r="N62" s="240">
        <v>645112.59427565895</v>
      </c>
      <c r="O62" s="236"/>
      <c r="P62" s="297">
        <v>52</v>
      </c>
      <c r="Q62" s="298">
        <v>50131</v>
      </c>
      <c r="R62" s="298">
        <v>50222</v>
      </c>
      <c r="S62" s="297">
        <v>91</v>
      </c>
      <c r="T62" s="299">
        <v>0.25277777777777777</v>
      </c>
      <c r="U62" s="235">
        <v>0.5318696504964826</v>
      </c>
      <c r="V62" s="235">
        <v>0.52535173794454726</v>
      </c>
      <c r="W62" s="300">
        <v>4.9081685078252613E-2</v>
      </c>
      <c r="X62" s="236"/>
      <c r="Y62" s="211"/>
      <c r="Z62" s="237"/>
      <c r="AA62" s="238"/>
      <c r="AB62" s="211"/>
      <c r="AC62" s="237"/>
      <c r="AD62" s="238"/>
      <c r="AE62" s="294">
        <v>34617</v>
      </c>
    </row>
    <row r="63" spans="1:31">
      <c r="A63" s="233"/>
      <c r="B63" s="301">
        <v>50131</v>
      </c>
      <c r="C63" s="233">
        <v>50222</v>
      </c>
      <c r="D63" s="233">
        <v>50227</v>
      </c>
      <c r="E63" s="295">
        <v>91</v>
      </c>
      <c r="F63" s="241">
        <v>0.25277777777777777</v>
      </c>
      <c r="G63" s="296">
        <v>4.9081685078252613E-2</v>
      </c>
      <c r="H63" s="240">
        <v>1240675.9283669409</v>
      </c>
      <c r="I63" s="240">
        <v>0</v>
      </c>
      <c r="J63" s="261">
        <v>1240675.9283669409</v>
      </c>
      <c r="K63" s="241">
        <v>13.019945248337896</v>
      </c>
      <c r="L63" s="234">
        <v>4.9490589041678926E-2</v>
      </c>
      <c r="M63" s="237">
        <v>0.52499593481466655</v>
      </c>
      <c r="N63" s="240">
        <v>651349.81881505647</v>
      </c>
      <c r="O63" s="236"/>
      <c r="P63" s="297">
        <v>53</v>
      </c>
      <c r="Q63" s="298">
        <v>50222</v>
      </c>
      <c r="R63" s="298">
        <v>50314</v>
      </c>
      <c r="S63" s="297">
        <v>92</v>
      </c>
      <c r="T63" s="299">
        <v>0.25555555555555554</v>
      </c>
      <c r="U63" s="235">
        <v>0.52535173794454726</v>
      </c>
      <c r="V63" s="235">
        <v>0.51884339295059034</v>
      </c>
      <c r="W63" s="300">
        <v>4.9085017326798951E-2</v>
      </c>
      <c r="X63" s="236"/>
      <c r="Y63" s="211"/>
      <c r="Z63" s="237"/>
      <c r="AA63" s="238"/>
      <c r="AB63" s="211"/>
      <c r="AC63" s="237"/>
      <c r="AD63" s="238"/>
      <c r="AE63" s="294">
        <v>34649</v>
      </c>
    </row>
    <row r="64" spans="1:31">
      <c r="A64" s="233"/>
      <c r="B64" s="301">
        <v>50222</v>
      </c>
      <c r="C64" s="233">
        <v>50314</v>
      </c>
      <c r="D64" s="233">
        <v>50318</v>
      </c>
      <c r="E64" s="295">
        <v>92</v>
      </c>
      <c r="F64" s="241">
        <v>0.25555555555555554</v>
      </c>
      <c r="G64" s="296">
        <v>4.9085017326798951E-2</v>
      </c>
      <c r="H64" s="240">
        <v>1254394.8872404175</v>
      </c>
      <c r="I64" s="240">
        <v>0</v>
      </c>
      <c r="J64" s="261">
        <v>1254394.8872404175</v>
      </c>
      <c r="K64" s="241">
        <v>13.269065310911225</v>
      </c>
      <c r="L64" s="234">
        <v>4.949068908812447E-2</v>
      </c>
      <c r="M64" s="237">
        <v>0.51856225770966657</v>
      </c>
      <c r="N64" s="240">
        <v>650481.84478685353</v>
      </c>
      <c r="O64" s="236"/>
      <c r="P64" s="297">
        <v>54</v>
      </c>
      <c r="Q64" s="298">
        <v>50314</v>
      </c>
      <c r="R64" s="298">
        <v>50409</v>
      </c>
      <c r="S64" s="297">
        <v>95</v>
      </c>
      <c r="T64" s="299">
        <v>0.2638888888888889</v>
      </c>
      <c r="U64" s="235">
        <v>0.51884339295059034</v>
      </c>
      <c r="V64" s="235">
        <v>0.51220742350295678</v>
      </c>
      <c r="W64" s="300">
        <v>4.9095015880587047E-2</v>
      </c>
      <c r="X64" s="236"/>
      <c r="Y64" s="211"/>
      <c r="Z64" s="237"/>
      <c r="AA64" s="238"/>
      <c r="AB64" s="211"/>
      <c r="AC64" s="237"/>
      <c r="AD64" s="238"/>
      <c r="AE64" s="294">
        <v>34662</v>
      </c>
    </row>
    <row r="65" spans="1:31">
      <c r="A65" s="233"/>
      <c r="B65" s="301">
        <v>50314</v>
      </c>
      <c r="C65" s="233">
        <v>50409</v>
      </c>
      <c r="D65" s="233">
        <v>50411</v>
      </c>
      <c r="E65" s="295">
        <v>95</v>
      </c>
      <c r="F65" s="241">
        <v>0.2638888888888889</v>
      </c>
      <c r="G65" s="296">
        <v>4.9095015880587047E-2</v>
      </c>
      <c r="H65" s="240">
        <v>1295562.9190710471</v>
      </c>
      <c r="I65" s="240">
        <v>0</v>
      </c>
      <c r="J65" s="261">
        <v>1295562.9190710471</v>
      </c>
      <c r="K65" s="241">
        <v>13.524365760175215</v>
      </c>
      <c r="L65" s="234">
        <v>4.9488206855661646E-2</v>
      </c>
      <c r="M65" s="237">
        <v>0.51206863492899679</v>
      </c>
      <c r="N65" s="240">
        <v>663417.13543333742</v>
      </c>
      <c r="O65" s="236"/>
      <c r="P65" s="297">
        <v>55</v>
      </c>
      <c r="Q65" s="298">
        <v>50409</v>
      </c>
      <c r="R65" s="298">
        <v>50496</v>
      </c>
      <c r="S65" s="297">
        <v>87</v>
      </c>
      <c r="T65" s="299">
        <v>0.24166666666666667</v>
      </c>
      <c r="U65" s="235">
        <v>0.51220742350295678</v>
      </c>
      <c r="V65" s="235">
        <v>0.5062047529921746</v>
      </c>
      <c r="W65" s="300">
        <v>4.9068359096825769E-2</v>
      </c>
      <c r="X65" s="236"/>
      <c r="Y65" s="211"/>
      <c r="Z65" s="237"/>
      <c r="AA65" s="238"/>
      <c r="AB65" s="211"/>
      <c r="AC65" s="237"/>
      <c r="AD65" s="238"/>
      <c r="AE65" s="294">
        <v>34694</v>
      </c>
    </row>
    <row r="66" spans="1:31">
      <c r="A66" s="233"/>
      <c r="B66" s="301">
        <v>50409</v>
      </c>
      <c r="C66" s="233">
        <v>50496</v>
      </c>
      <c r="D66" s="233">
        <v>50500</v>
      </c>
      <c r="E66" s="295">
        <v>87</v>
      </c>
      <c r="F66" s="241">
        <v>0.24166666666666667</v>
      </c>
      <c r="G66" s="296">
        <v>4.9068359096825769E-2</v>
      </c>
      <c r="H66" s="240">
        <v>1185818.6781732894</v>
      </c>
      <c r="I66" s="240">
        <v>0</v>
      </c>
      <c r="J66" s="261">
        <v>1185818.6781732894</v>
      </c>
      <c r="K66" s="241">
        <v>13.76802336192736</v>
      </c>
      <c r="L66" s="234">
        <v>4.9488297644803773E-2</v>
      </c>
      <c r="M66" s="237">
        <v>0.50593046599705671</v>
      </c>
      <c r="N66" s="240">
        <v>599941.79643622611</v>
      </c>
      <c r="O66" s="236"/>
      <c r="P66" s="297">
        <v>56</v>
      </c>
      <c r="Q66" s="298">
        <v>50496</v>
      </c>
      <c r="R66" s="298">
        <v>50587</v>
      </c>
      <c r="S66" s="297">
        <v>91</v>
      </c>
      <c r="T66" s="299">
        <v>0.25277777777777777</v>
      </c>
      <c r="U66" s="235">
        <v>0.5062047529921746</v>
      </c>
      <c r="V66" s="235">
        <v>0.50000135652031885</v>
      </c>
      <c r="W66" s="300">
        <v>4.9081685078252613E-2</v>
      </c>
      <c r="X66" s="236"/>
      <c r="Y66" s="211"/>
      <c r="Z66" s="237"/>
      <c r="AA66" s="238"/>
      <c r="AB66" s="211"/>
      <c r="AC66" s="237"/>
      <c r="AD66" s="238"/>
      <c r="AE66" s="294">
        <v>34701</v>
      </c>
    </row>
    <row r="67" spans="1:31">
      <c r="A67" s="233"/>
      <c r="B67" s="301">
        <v>50496</v>
      </c>
      <c r="C67" s="233">
        <v>50587</v>
      </c>
      <c r="D67" s="233">
        <v>50592</v>
      </c>
      <c r="E67" s="295">
        <v>91</v>
      </c>
      <c r="F67" s="241">
        <v>0.25277777777777777</v>
      </c>
      <c r="G67" s="296">
        <v>4.9081685078252613E-2</v>
      </c>
      <c r="H67" s="240">
        <v>1240675.9283669409</v>
      </c>
      <c r="I67" s="240">
        <v>0</v>
      </c>
      <c r="J67" s="261">
        <v>1240675.9283669409</v>
      </c>
      <c r="K67" s="241">
        <v>14.019894141266654</v>
      </c>
      <c r="L67" s="234">
        <v>4.9488388177177239E-2</v>
      </c>
      <c r="M67" s="237">
        <v>0.49966272235439674</v>
      </c>
      <c r="N67" s="240">
        <v>619919.5119273942</v>
      </c>
      <c r="O67" s="236"/>
      <c r="P67" s="297">
        <v>57</v>
      </c>
      <c r="Q67" s="298">
        <v>50587</v>
      </c>
      <c r="R67" s="298">
        <v>50679</v>
      </c>
      <c r="S67" s="297">
        <v>92</v>
      </c>
      <c r="T67" s="299">
        <v>0.25555555555555554</v>
      </c>
      <c r="U67" s="235">
        <v>0.50000135652031885</v>
      </c>
      <c r="V67" s="235">
        <v>0.4938070659324304</v>
      </c>
      <c r="W67" s="300">
        <v>4.9085017326799825E-2</v>
      </c>
      <c r="X67" s="236"/>
      <c r="Y67" s="211"/>
      <c r="Z67" s="237"/>
      <c r="AA67" s="238"/>
      <c r="AB67" s="211"/>
      <c r="AC67" s="237"/>
      <c r="AD67" s="238"/>
      <c r="AE67" s="294">
        <v>34715</v>
      </c>
    </row>
    <row r="68" spans="1:31">
      <c r="A68" s="233"/>
      <c r="B68" s="301">
        <v>50587</v>
      </c>
      <c r="C68" s="233">
        <v>50679</v>
      </c>
      <c r="D68" s="233">
        <v>50683</v>
      </c>
      <c r="E68" s="295">
        <v>92</v>
      </c>
      <c r="F68" s="241">
        <v>0.25555555555555554</v>
      </c>
      <c r="G68" s="296">
        <v>4.9085017326799825E-2</v>
      </c>
      <c r="H68" s="240">
        <v>1254394.8872404399</v>
      </c>
      <c r="I68" s="240">
        <v>0</v>
      </c>
      <c r="J68" s="261">
        <v>1254394.8872404399</v>
      </c>
      <c r="K68" s="241">
        <v>14.269027194743567</v>
      </c>
      <c r="L68" s="234">
        <v>4.9488474581346656E-2</v>
      </c>
      <c r="M68" s="237">
        <v>0.49353949662281416</v>
      </c>
      <c r="N68" s="240">
        <v>619093.42121487844</v>
      </c>
      <c r="O68" s="236"/>
      <c r="P68" s="297">
        <v>58</v>
      </c>
      <c r="Q68" s="298">
        <v>50679</v>
      </c>
      <c r="R68" s="298">
        <v>50773</v>
      </c>
      <c r="S68" s="297">
        <v>94</v>
      </c>
      <c r="T68" s="299">
        <v>0.26111111111111113</v>
      </c>
      <c r="U68" s="235">
        <v>0.4938070659324304</v>
      </c>
      <c r="V68" s="235">
        <v>0.48755736844773784</v>
      </c>
      <c r="W68" s="300">
        <v>4.9091682727935099E-2</v>
      </c>
      <c r="X68" s="236"/>
      <c r="Y68" s="211"/>
      <c r="Z68" s="237"/>
      <c r="AA68" s="238"/>
      <c r="AB68" s="211"/>
      <c r="AC68" s="237"/>
      <c r="AD68" s="238"/>
      <c r="AE68" s="294">
        <v>34743</v>
      </c>
    </row>
    <row r="69" spans="1:31">
      <c r="A69" s="233"/>
      <c r="B69" s="301">
        <v>50679</v>
      </c>
      <c r="C69" s="233">
        <v>50773</v>
      </c>
      <c r="D69" s="233">
        <v>50775</v>
      </c>
      <c r="E69" s="295">
        <v>94</v>
      </c>
      <c r="F69" s="241">
        <v>0.26111111111111113</v>
      </c>
      <c r="G69" s="296">
        <v>4.9091682727935099E-2</v>
      </c>
      <c r="H69" s="240">
        <v>1281838.3823405276</v>
      </c>
      <c r="I69" s="240">
        <v>0</v>
      </c>
      <c r="J69" s="261">
        <v>1281838.3823405276</v>
      </c>
      <c r="K69" s="241">
        <v>14.521560574948666</v>
      </c>
      <c r="L69" s="234">
        <v>4.9486300819319172E-2</v>
      </c>
      <c r="M69" s="237">
        <v>0.48742525909362527</v>
      </c>
      <c r="N69" s="240">
        <v>624800.40562848514</v>
      </c>
      <c r="O69" s="236"/>
      <c r="P69" s="297">
        <v>59</v>
      </c>
      <c r="Q69" s="298">
        <v>50773</v>
      </c>
      <c r="R69" s="298">
        <v>50861</v>
      </c>
      <c r="S69" s="297">
        <v>88</v>
      </c>
      <c r="T69" s="299">
        <v>0.24444444444444444</v>
      </c>
      <c r="U69" s="235">
        <v>0.48755736844773784</v>
      </c>
      <c r="V69" s="235">
        <v>0.48177829231781488</v>
      </c>
      <c r="W69" s="300">
        <v>4.9071690140330873E-2</v>
      </c>
      <c r="X69" s="236"/>
      <c r="Y69" s="211"/>
      <c r="Z69" s="237"/>
      <c r="AA69" s="238"/>
      <c r="AB69" s="211"/>
      <c r="AC69" s="237"/>
      <c r="AD69" s="238"/>
      <c r="AE69" s="294">
        <v>34750</v>
      </c>
    </row>
    <row r="70" spans="1:31">
      <c r="A70" s="233"/>
      <c r="B70" s="301">
        <v>50773</v>
      </c>
      <c r="C70" s="233">
        <v>50861</v>
      </c>
      <c r="D70" s="233">
        <v>50865</v>
      </c>
      <c r="E70" s="295">
        <v>88</v>
      </c>
      <c r="F70" s="241">
        <v>0.24444444444444444</v>
      </c>
      <c r="G70" s="296">
        <v>4.9071690140330873E-2</v>
      </c>
      <c r="H70" s="240">
        <v>1199530.2034303104</v>
      </c>
      <c r="I70" s="240">
        <v>0</v>
      </c>
      <c r="J70" s="261">
        <v>1199530.2034303104</v>
      </c>
      <c r="K70" s="241">
        <v>14.767967145790555</v>
      </c>
      <c r="L70" s="234">
        <v>4.9486380538114175E-2</v>
      </c>
      <c r="M70" s="237">
        <v>0.48151724079798669</v>
      </c>
      <c r="N70" s="240">
        <v>577594.4738096107</v>
      </c>
      <c r="O70" s="236"/>
      <c r="P70" s="297">
        <v>60</v>
      </c>
      <c r="Q70" s="298">
        <v>50861</v>
      </c>
      <c r="R70" s="298">
        <v>50952</v>
      </c>
      <c r="S70" s="297">
        <v>91</v>
      </c>
      <c r="T70" s="299">
        <v>0.25277777777777777</v>
      </c>
      <c r="U70" s="235">
        <v>0.48177829231781488</v>
      </c>
      <c r="V70" s="235">
        <v>0.47587423523199135</v>
      </c>
      <c r="W70" s="300">
        <v>4.9081685078251738E-2</v>
      </c>
      <c r="X70" s="236"/>
      <c r="Y70" s="211"/>
      <c r="Z70" s="237"/>
      <c r="AA70" s="238"/>
      <c r="AB70" s="211"/>
      <c r="AC70" s="237"/>
      <c r="AD70" s="238"/>
      <c r="AE70" s="294">
        <v>34848</v>
      </c>
    </row>
    <row r="71" spans="1:31">
      <c r="A71" s="233"/>
      <c r="B71" s="301">
        <v>50861</v>
      </c>
      <c r="C71" s="233">
        <v>50952</v>
      </c>
      <c r="D71" s="233">
        <v>50957</v>
      </c>
      <c r="E71" s="295">
        <v>91</v>
      </c>
      <c r="F71" s="241">
        <v>0.25277777777777777</v>
      </c>
      <c r="G71" s="296">
        <v>4.9081685078251738E-2</v>
      </c>
      <c r="H71" s="240">
        <v>1240675.9283669188</v>
      </c>
      <c r="I71" s="240">
        <v>0</v>
      </c>
      <c r="J71" s="261">
        <v>1240675.9283669188</v>
      </c>
      <c r="K71" s="241">
        <v>15.019849418206707</v>
      </c>
      <c r="L71" s="234">
        <v>4.9486459324967515E-2</v>
      </c>
      <c r="M71" s="237">
        <v>0.47555194155692398</v>
      </c>
      <c r="N71" s="240">
        <v>590005.84657782735</v>
      </c>
      <c r="O71" s="236"/>
      <c r="P71" s="297">
        <v>61</v>
      </c>
      <c r="Q71" s="298">
        <v>50952</v>
      </c>
      <c r="R71" s="298">
        <v>51046</v>
      </c>
      <c r="S71" s="297">
        <v>94</v>
      </c>
      <c r="T71" s="299">
        <v>0.26111111111111113</v>
      </c>
      <c r="U71" s="235">
        <v>0.47587423523199135</v>
      </c>
      <c r="V71" s="235">
        <v>0.4698523270930553</v>
      </c>
      <c r="W71" s="300">
        <v>4.9084841311228762E-2</v>
      </c>
      <c r="X71" s="236"/>
      <c r="Y71" s="211"/>
      <c r="Z71" s="237"/>
      <c r="AA71" s="238"/>
      <c r="AB71" s="211"/>
      <c r="AC71" s="237"/>
      <c r="AD71" s="238"/>
      <c r="AE71" s="294">
        <v>34884</v>
      </c>
    </row>
    <row r="72" spans="1:31">
      <c r="A72" s="233"/>
      <c r="B72" s="301">
        <v>50952</v>
      </c>
      <c r="C72" s="233">
        <v>51046</v>
      </c>
      <c r="D72" s="233">
        <v>51048</v>
      </c>
      <c r="E72" s="295">
        <v>94</v>
      </c>
      <c r="F72" s="241">
        <v>0.26111111111111113</v>
      </c>
      <c r="G72" s="296">
        <v>4.9084841311228762E-2</v>
      </c>
      <c r="H72" s="240">
        <v>1281659.7453487511</v>
      </c>
      <c r="I72" s="240">
        <v>0</v>
      </c>
      <c r="J72" s="261">
        <v>1281659.7453487511</v>
      </c>
      <c r="K72" s="241">
        <v>15.268993839835728</v>
      </c>
      <c r="L72" s="234">
        <v>4.9486416560280862E-2</v>
      </c>
      <c r="M72" s="237">
        <v>0.46972503395551846</v>
      </c>
      <c r="N72" s="240">
        <v>602027.66740336327</v>
      </c>
      <c r="O72" s="236"/>
      <c r="P72" s="297">
        <v>62</v>
      </c>
      <c r="Q72" s="298">
        <v>51046</v>
      </c>
      <c r="R72" s="298">
        <v>51138</v>
      </c>
      <c r="S72" s="297">
        <v>92</v>
      </c>
      <c r="T72" s="299">
        <v>0.25555555555555554</v>
      </c>
      <c r="U72" s="235">
        <v>0.4698523270930553</v>
      </c>
      <c r="V72" s="235">
        <v>0.46403239483456482</v>
      </c>
      <c r="W72" s="300">
        <v>4.907771143030943E-2</v>
      </c>
      <c r="X72" s="236"/>
      <c r="Y72" s="211"/>
      <c r="Z72" s="237"/>
      <c r="AA72" s="238"/>
      <c r="AB72" s="211"/>
      <c r="AC72" s="237"/>
      <c r="AD72" s="238"/>
      <c r="AE72" s="294">
        <v>34946</v>
      </c>
    </row>
    <row r="73" spans="1:31">
      <c r="A73" s="233"/>
      <c r="B73" s="301">
        <v>51046</v>
      </c>
      <c r="C73" s="233">
        <v>51138</v>
      </c>
      <c r="D73" s="233">
        <v>51140</v>
      </c>
      <c r="E73" s="295">
        <v>92</v>
      </c>
      <c r="F73" s="241">
        <v>0.25555555555555554</v>
      </c>
      <c r="G73" s="296">
        <v>4.907771143030943E-2</v>
      </c>
      <c r="H73" s="240">
        <v>1254208.1809967966</v>
      </c>
      <c r="I73" s="240">
        <v>0</v>
      </c>
      <c r="J73" s="261">
        <v>1254208.1809967966</v>
      </c>
      <c r="K73" s="241">
        <v>15.519001610305958</v>
      </c>
      <c r="L73" s="234">
        <v>4.9492350752816897E-2</v>
      </c>
      <c r="M73" s="237">
        <v>0.46390667844230454</v>
      </c>
      <c r="N73" s="240">
        <v>581835.55132138857</v>
      </c>
      <c r="O73" s="236"/>
      <c r="P73" s="297">
        <v>63</v>
      </c>
      <c r="Q73" s="298">
        <v>51138</v>
      </c>
      <c r="R73" s="298">
        <v>51228</v>
      </c>
      <c r="S73" s="297">
        <v>90</v>
      </c>
      <c r="T73" s="299">
        <v>0.25</v>
      </c>
      <c r="U73" s="235">
        <v>0.46403239483456482</v>
      </c>
      <c r="V73" s="235">
        <v>0.45840874530926567</v>
      </c>
      <c r="W73" s="300">
        <v>4.9071049213995188E-2</v>
      </c>
      <c r="X73" s="236"/>
      <c r="Y73" s="211"/>
      <c r="Z73" s="237"/>
      <c r="AA73" s="238"/>
      <c r="AB73" s="211"/>
      <c r="AC73" s="237"/>
      <c r="AD73" s="238"/>
      <c r="AE73" s="294">
        <v>34981</v>
      </c>
    </row>
    <row r="74" spans="1:31">
      <c r="A74" s="233"/>
      <c r="B74" s="301">
        <v>51138</v>
      </c>
      <c r="C74" s="233">
        <v>51228</v>
      </c>
      <c r="D74" s="233">
        <v>51230</v>
      </c>
      <c r="E74" s="295">
        <v>90</v>
      </c>
      <c r="F74" s="241">
        <v>0.25</v>
      </c>
      <c r="G74" s="296">
        <v>4.9071049213995188E-2</v>
      </c>
      <c r="H74" s="240">
        <v>1226776.2303498797</v>
      </c>
      <c r="I74" s="240">
        <v>0</v>
      </c>
      <c r="J74" s="261">
        <v>1226776.2303498797</v>
      </c>
      <c r="K74" s="241">
        <v>15.765378421900161</v>
      </c>
      <c r="L74" s="234">
        <v>4.9492309875135213E-2</v>
      </c>
      <c r="M74" s="237">
        <v>0.45828455248505268</v>
      </c>
      <c r="N74" s="240">
        <v>562212.59572519455</v>
      </c>
      <c r="O74" s="236"/>
      <c r="P74" s="297">
        <v>64</v>
      </c>
      <c r="Q74" s="298">
        <v>51228</v>
      </c>
      <c r="R74" s="298">
        <v>51319</v>
      </c>
      <c r="S74" s="297">
        <v>91</v>
      </c>
      <c r="T74" s="299">
        <v>0.25277777777777777</v>
      </c>
      <c r="U74" s="235">
        <v>0.45840874530926567</v>
      </c>
      <c r="V74" s="235">
        <v>0.45279190127300828</v>
      </c>
      <c r="W74" s="300">
        <v>4.907438017156604E-2</v>
      </c>
      <c r="X74" s="236"/>
      <c r="Y74" s="211"/>
      <c r="Z74" s="237"/>
      <c r="AA74" s="238"/>
      <c r="AB74" s="211"/>
      <c r="AC74" s="237"/>
      <c r="AD74" s="238"/>
      <c r="AE74" s="294">
        <v>35013</v>
      </c>
    </row>
    <row r="75" spans="1:31">
      <c r="A75" s="233"/>
      <c r="B75" s="301">
        <v>51228</v>
      </c>
      <c r="C75" s="233">
        <v>51319</v>
      </c>
      <c r="D75" s="233">
        <v>51322</v>
      </c>
      <c r="E75" s="295">
        <v>91</v>
      </c>
      <c r="F75" s="241">
        <v>0.25277777777777777</v>
      </c>
      <c r="G75" s="296">
        <v>4.907438017156604E-2</v>
      </c>
      <c r="H75" s="240">
        <v>1240491.2765590304</v>
      </c>
      <c r="I75" s="240">
        <v>0</v>
      </c>
      <c r="J75" s="261">
        <v>1240491.2765590304</v>
      </c>
      <c r="K75" s="241">
        <v>16.017230273752013</v>
      </c>
      <c r="L75" s="234">
        <v>4.9492269388849638E-2</v>
      </c>
      <c r="M75" s="237">
        <v>0.45260790708653487</v>
      </c>
      <c r="N75" s="240">
        <v>561456.16044248664</v>
      </c>
      <c r="O75" s="236"/>
      <c r="P75" s="297">
        <v>65</v>
      </c>
      <c r="Q75" s="298">
        <v>51319</v>
      </c>
      <c r="R75" s="298">
        <v>51410</v>
      </c>
      <c r="S75" s="297">
        <v>91</v>
      </c>
      <c r="T75" s="299">
        <v>0.25277777777777777</v>
      </c>
      <c r="U75" s="235">
        <v>0.45279190127300828</v>
      </c>
      <c r="V75" s="235">
        <v>0.44724387995719517</v>
      </c>
      <c r="W75" s="300">
        <v>4.907438017156604E-2</v>
      </c>
      <c r="X75" s="236"/>
      <c r="Y75" s="211"/>
      <c r="Z75" s="237"/>
      <c r="AA75" s="238"/>
      <c r="AB75" s="211"/>
      <c r="AC75" s="237"/>
      <c r="AD75" s="238"/>
      <c r="AE75" s="294">
        <v>35026</v>
      </c>
    </row>
    <row r="76" spans="1:31">
      <c r="A76" s="233"/>
      <c r="B76" s="301">
        <v>51319</v>
      </c>
      <c r="C76" s="233">
        <v>51410</v>
      </c>
      <c r="D76" s="233">
        <v>51412</v>
      </c>
      <c r="E76" s="295">
        <v>91</v>
      </c>
      <c r="F76" s="241">
        <v>0.25277777777777777</v>
      </c>
      <c r="G76" s="296">
        <v>4.907438017156604E-2</v>
      </c>
      <c r="H76" s="240">
        <v>1240491.2765590304</v>
      </c>
      <c r="I76" s="240">
        <v>0</v>
      </c>
      <c r="J76" s="261">
        <v>1240491.2765590304</v>
      </c>
      <c r="K76" s="241">
        <v>16.263607085346216</v>
      </c>
      <c r="L76" s="234">
        <v>4.9492230996018162E-2</v>
      </c>
      <c r="M76" s="237">
        <v>0.44712271193600833</v>
      </c>
      <c r="N76" s="240">
        <v>554651.82370803459</v>
      </c>
      <c r="O76" s="236"/>
      <c r="P76" s="297">
        <v>66</v>
      </c>
      <c r="Q76" s="298">
        <v>51410</v>
      </c>
      <c r="R76" s="298">
        <v>51503</v>
      </c>
      <c r="S76" s="297">
        <v>93</v>
      </c>
      <c r="T76" s="299">
        <v>0.25833333333333336</v>
      </c>
      <c r="U76" s="235">
        <v>0.44724387995719517</v>
      </c>
      <c r="V76" s="235">
        <v>0.44164415472323376</v>
      </c>
      <c r="W76" s="300">
        <v>4.9081042990257152E-2</v>
      </c>
      <c r="X76" s="236"/>
      <c r="Y76" s="211"/>
      <c r="Z76" s="237"/>
      <c r="AA76" s="238"/>
      <c r="AB76" s="211"/>
      <c r="AC76" s="237"/>
      <c r="AD76" s="238"/>
      <c r="AE76" s="294">
        <v>35058</v>
      </c>
    </row>
    <row r="77" spans="1:31">
      <c r="A77" s="233"/>
      <c r="B77" s="301">
        <v>51410</v>
      </c>
      <c r="C77" s="233">
        <v>51503</v>
      </c>
      <c r="D77" s="233">
        <v>51505</v>
      </c>
      <c r="E77" s="295">
        <v>93</v>
      </c>
      <c r="F77" s="241">
        <v>0.25833333333333336</v>
      </c>
      <c r="G77" s="296">
        <v>4.9081042990257152E-2</v>
      </c>
      <c r="H77" s="240">
        <v>1267926.9439149767</v>
      </c>
      <c r="I77" s="240">
        <v>0</v>
      </c>
      <c r="J77" s="261">
        <v>1267926.9439149767</v>
      </c>
      <c r="K77" s="241">
        <v>16.51893536121673</v>
      </c>
      <c r="L77" s="234">
        <v>4.9489978705163092E-2</v>
      </c>
      <c r="M77" s="237">
        <v>0.44152450378848718</v>
      </c>
      <c r="N77" s="240">
        <v>559820.81475211307</v>
      </c>
      <c r="O77" s="236"/>
      <c r="P77" s="297">
        <v>67</v>
      </c>
      <c r="Q77" s="298">
        <v>51503</v>
      </c>
      <c r="R77" s="298">
        <v>51592</v>
      </c>
      <c r="S77" s="297">
        <v>89</v>
      </c>
      <c r="T77" s="299">
        <v>0.24722222222222223</v>
      </c>
      <c r="U77" s="235">
        <v>0.44164415472323376</v>
      </c>
      <c r="V77" s="235">
        <v>0.43635094270336755</v>
      </c>
      <c r="W77" s="300">
        <v>4.9067718557565448E-2</v>
      </c>
      <c r="X77" s="236"/>
      <c r="Y77" s="211"/>
      <c r="Z77" s="237"/>
      <c r="AA77" s="238"/>
      <c r="AB77" s="211"/>
      <c r="AC77" s="237"/>
      <c r="AD77" s="238"/>
      <c r="AE77" s="294">
        <v>35065</v>
      </c>
    </row>
    <row r="78" spans="1:31">
      <c r="A78" s="233"/>
      <c r="B78" s="301">
        <v>51503</v>
      </c>
      <c r="C78" s="233">
        <v>51592</v>
      </c>
      <c r="D78" s="233">
        <v>51594</v>
      </c>
      <c r="E78" s="295">
        <v>89</v>
      </c>
      <c r="F78" s="241">
        <v>0.24722222222222223</v>
      </c>
      <c r="G78" s="296">
        <v>4.9067718557565448E-2</v>
      </c>
      <c r="H78" s="240">
        <v>1213063.0421175903</v>
      </c>
      <c r="I78" s="240">
        <v>0</v>
      </c>
      <c r="J78" s="261">
        <v>1213063.0421175903</v>
      </c>
      <c r="K78" s="241">
        <v>16.762585551330798</v>
      </c>
      <c r="L78" s="234">
        <v>4.9489942986244817E-2</v>
      </c>
      <c r="M78" s="237">
        <v>0.43623272581401523</v>
      </c>
      <c r="N78" s="240">
        <v>529177.79744719795</v>
      </c>
      <c r="O78" s="236"/>
      <c r="P78" s="297">
        <v>68</v>
      </c>
      <c r="Q78" s="298">
        <v>51592</v>
      </c>
      <c r="R78" s="298">
        <v>51683</v>
      </c>
      <c r="S78" s="297">
        <v>91</v>
      </c>
      <c r="T78" s="299">
        <v>0.25277777777777777</v>
      </c>
      <c r="U78" s="235">
        <v>0.43635094270336755</v>
      </c>
      <c r="V78" s="235">
        <v>0.43100437107855</v>
      </c>
      <c r="W78" s="300">
        <v>4.907438017156604E-2</v>
      </c>
      <c r="X78" s="236"/>
      <c r="Y78" s="211"/>
      <c r="Z78" s="237"/>
      <c r="AA78" s="238"/>
      <c r="AB78" s="211"/>
      <c r="AC78" s="237"/>
      <c r="AD78" s="238"/>
      <c r="AE78" s="294">
        <v>35079</v>
      </c>
    </row>
    <row r="79" spans="1:31">
      <c r="A79" s="233"/>
      <c r="B79" s="301">
        <v>51592</v>
      </c>
      <c r="C79" s="233">
        <v>51683</v>
      </c>
      <c r="D79" s="233">
        <v>51685</v>
      </c>
      <c r="E79" s="295">
        <v>91</v>
      </c>
      <c r="F79" s="241">
        <v>0.25277777777777777</v>
      </c>
      <c r="G79" s="296">
        <v>4.907438017156604E-2</v>
      </c>
      <c r="H79" s="240">
        <v>1240491.2765590304</v>
      </c>
      <c r="I79" s="240">
        <v>0</v>
      </c>
      <c r="J79" s="261">
        <v>1240491.2765590304</v>
      </c>
      <c r="K79" s="241">
        <v>17.01171102661597</v>
      </c>
      <c r="L79" s="234">
        <v>4.9489907522569605E-2</v>
      </c>
      <c r="M79" s="237">
        <v>0.43088760269086085</v>
      </c>
      <c r="N79" s="240">
        <v>534512.31231544632</v>
      </c>
      <c r="O79" s="236"/>
      <c r="P79" s="297">
        <v>69</v>
      </c>
      <c r="Q79" s="298">
        <v>51683</v>
      </c>
      <c r="R79" s="298">
        <v>51775</v>
      </c>
      <c r="S79" s="297">
        <v>92</v>
      </c>
      <c r="T79" s="299">
        <v>0.25555555555555554</v>
      </c>
      <c r="U79" s="235">
        <v>0.43100437107855</v>
      </c>
      <c r="V79" s="235">
        <v>0.42566563782525346</v>
      </c>
      <c r="W79" s="300">
        <v>4.907771143030943E-2</v>
      </c>
      <c r="X79" s="236"/>
      <c r="Y79" s="211"/>
      <c r="Z79" s="237"/>
      <c r="AA79" s="238"/>
      <c r="AB79" s="211"/>
      <c r="AC79" s="237"/>
      <c r="AD79" s="238"/>
      <c r="AE79" s="294">
        <v>35107</v>
      </c>
    </row>
    <row r="80" spans="1:31">
      <c r="A80" s="233"/>
      <c r="B80" s="301">
        <v>51683</v>
      </c>
      <c r="C80" s="233">
        <v>51775</v>
      </c>
      <c r="D80" s="233">
        <v>51777</v>
      </c>
      <c r="E80" s="295">
        <v>92</v>
      </c>
      <c r="F80" s="241">
        <v>0.25555555555555554</v>
      </c>
      <c r="G80" s="296">
        <v>4.907771143030943E-2</v>
      </c>
      <c r="H80" s="240">
        <v>1254208.1809967966</v>
      </c>
      <c r="I80" s="240">
        <v>0</v>
      </c>
      <c r="J80" s="261">
        <v>1254208.1809967966</v>
      </c>
      <c r="K80" s="241">
        <v>17.263574144486693</v>
      </c>
      <c r="L80" s="234">
        <v>4.9489872709648275E-2</v>
      </c>
      <c r="M80" s="237">
        <v>0.42555031581564323</v>
      </c>
      <c r="N80" s="240">
        <v>533728.68752175022</v>
      </c>
      <c r="O80" s="236"/>
      <c r="P80" s="297">
        <v>70</v>
      </c>
      <c r="Q80" s="298">
        <v>51775</v>
      </c>
      <c r="R80" s="298">
        <v>51868</v>
      </c>
      <c r="S80" s="297">
        <v>93</v>
      </c>
      <c r="T80" s="299">
        <v>0.25833333333333336</v>
      </c>
      <c r="U80" s="235">
        <v>0.42566563782525346</v>
      </c>
      <c r="V80" s="235">
        <v>0.42033608336921824</v>
      </c>
      <c r="W80" s="300">
        <v>4.9081042990257152E-2</v>
      </c>
      <c r="X80" s="236"/>
      <c r="Y80" s="211"/>
      <c r="Z80" s="237"/>
      <c r="AA80" s="238"/>
      <c r="AB80" s="211"/>
      <c r="AC80" s="237"/>
      <c r="AD80" s="238"/>
      <c r="AE80" s="294">
        <v>35114</v>
      </c>
    </row>
    <row r="81" spans="1:31">
      <c r="A81" s="233"/>
      <c r="B81" s="301">
        <v>51775</v>
      </c>
      <c r="C81" s="233">
        <v>51868</v>
      </c>
      <c r="D81" s="233">
        <v>51872</v>
      </c>
      <c r="E81" s="295">
        <v>93</v>
      </c>
      <c r="F81" s="241">
        <v>0.25833333333333336</v>
      </c>
      <c r="G81" s="296">
        <v>4.9081042990257152E-2</v>
      </c>
      <c r="H81" s="240">
        <v>1267926.9439149767</v>
      </c>
      <c r="I81" s="240">
        <v>0</v>
      </c>
      <c r="J81" s="261">
        <v>1267926.9439149767</v>
      </c>
      <c r="K81" s="241">
        <v>17.524351585014411</v>
      </c>
      <c r="L81" s="234">
        <v>4.9487857029736508E-2</v>
      </c>
      <c r="M81" s="237">
        <v>0.42010835798472762</v>
      </c>
      <c r="N81" s="240">
        <v>532666.70645271463</v>
      </c>
      <c r="O81" s="236"/>
      <c r="P81" s="297">
        <v>71</v>
      </c>
      <c r="Q81" s="298">
        <v>51868</v>
      </c>
      <c r="R81" s="298">
        <v>51957</v>
      </c>
      <c r="S81" s="297">
        <v>89</v>
      </c>
      <c r="T81" s="299">
        <v>0.24722222222222223</v>
      </c>
      <c r="U81" s="235">
        <v>0.42033608336921824</v>
      </c>
      <c r="V81" s="235">
        <v>0.41529825373855611</v>
      </c>
      <c r="W81" s="300">
        <v>4.9067718557565448E-2</v>
      </c>
      <c r="X81" s="236"/>
      <c r="Y81" s="211"/>
      <c r="Z81" s="237"/>
      <c r="AA81" s="238"/>
      <c r="AB81" s="211"/>
      <c r="AC81" s="237"/>
      <c r="AD81" s="238"/>
      <c r="AE81" s="294">
        <v>35212</v>
      </c>
    </row>
    <row r="82" spans="1:31">
      <c r="A82" s="233"/>
      <c r="B82" s="301">
        <v>51868</v>
      </c>
      <c r="C82" s="233">
        <v>51957</v>
      </c>
      <c r="D82" s="233">
        <v>51959</v>
      </c>
      <c r="E82" s="295">
        <v>89</v>
      </c>
      <c r="F82" s="241">
        <v>0.24722222222222223</v>
      </c>
      <c r="G82" s="296">
        <v>4.9067718557565448E-2</v>
      </c>
      <c r="H82" s="240">
        <v>1213063.0421175903</v>
      </c>
      <c r="I82" s="240">
        <v>0</v>
      </c>
      <c r="J82" s="261">
        <v>1213063.0421175903</v>
      </c>
      <c r="K82" s="241">
        <v>17.762536023054757</v>
      </c>
      <c r="L82" s="234">
        <v>4.9487825968334218E-2</v>
      </c>
      <c r="M82" s="237">
        <v>0.41518574047708301</v>
      </c>
      <c r="N82" s="240">
        <v>503646.47738697467</v>
      </c>
      <c r="O82" s="236"/>
      <c r="P82" s="297">
        <v>72</v>
      </c>
      <c r="Q82" s="298">
        <v>51957</v>
      </c>
      <c r="R82" s="298">
        <v>52048</v>
      </c>
      <c r="S82" s="297">
        <v>91</v>
      </c>
      <c r="T82" s="299">
        <v>0.25277777777777777</v>
      </c>
      <c r="U82" s="235">
        <v>0.41529825373855611</v>
      </c>
      <c r="V82" s="235">
        <v>0.41020963895175533</v>
      </c>
      <c r="W82" s="300">
        <v>4.907438017156604E-2</v>
      </c>
      <c r="X82" s="236"/>
      <c r="Y82" s="211"/>
      <c r="Z82" s="237"/>
      <c r="AA82" s="238"/>
      <c r="AB82" s="211"/>
      <c r="AC82" s="237"/>
      <c r="AD82" s="238"/>
      <c r="AE82" s="294">
        <v>35250</v>
      </c>
    </row>
    <row r="83" spans="1:31">
      <c r="A83" s="233"/>
      <c r="B83" s="301">
        <v>51957</v>
      </c>
      <c r="C83" s="233">
        <v>52048</v>
      </c>
      <c r="D83" s="233">
        <v>52050</v>
      </c>
      <c r="E83" s="295">
        <v>91</v>
      </c>
      <c r="F83" s="241">
        <v>0.25277777777777777</v>
      </c>
      <c r="G83" s="296">
        <v>4.907438017156604E-2</v>
      </c>
      <c r="H83" s="240">
        <v>1240491.2765590304</v>
      </c>
      <c r="I83" s="240">
        <v>0</v>
      </c>
      <c r="J83" s="261">
        <v>1240491.2765590304</v>
      </c>
      <c r="K83" s="241">
        <v>18.011671469740634</v>
      </c>
      <c r="L83" s="234">
        <v>4.9487794357850702E-2</v>
      </c>
      <c r="M83" s="237">
        <v>0.41009850430586969</v>
      </c>
      <c r="N83" s="240">
        <v>508723.61712133733</v>
      </c>
      <c r="O83" s="236"/>
      <c r="P83" s="297">
        <v>73</v>
      </c>
      <c r="Q83" s="298">
        <v>52048</v>
      </c>
      <c r="R83" s="298">
        <v>52140</v>
      </c>
      <c r="S83" s="297">
        <v>92</v>
      </c>
      <c r="T83" s="299">
        <v>0.25555555555555554</v>
      </c>
      <c r="U83" s="235">
        <v>0.41020963895175533</v>
      </c>
      <c r="V83" s="235">
        <v>0.40512848435739651</v>
      </c>
      <c r="W83" s="300">
        <v>4.907771143030943E-2</v>
      </c>
      <c r="X83" s="236"/>
      <c r="Y83" s="211"/>
      <c r="Z83" s="237"/>
      <c r="AA83" s="238"/>
      <c r="AB83" s="211"/>
      <c r="AC83" s="237"/>
      <c r="AD83" s="238"/>
      <c r="AE83" s="294">
        <v>35310</v>
      </c>
    </row>
    <row r="84" spans="1:31">
      <c r="A84" s="233"/>
      <c r="B84" s="301">
        <v>52048</v>
      </c>
      <c r="C84" s="233">
        <v>52140</v>
      </c>
      <c r="D84" s="233">
        <v>52142</v>
      </c>
      <c r="E84" s="295">
        <v>92</v>
      </c>
      <c r="F84" s="241">
        <v>0.25555555555555554</v>
      </c>
      <c r="G84" s="296">
        <v>4.907771143030943E-2</v>
      </c>
      <c r="H84" s="240">
        <v>1254208.1809967966</v>
      </c>
      <c r="I84" s="240">
        <v>0</v>
      </c>
      <c r="J84" s="261">
        <v>1254208.1809967966</v>
      </c>
      <c r="K84" s="241">
        <v>18.263544668587897</v>
      </c>
      <c r="L84" s="234">
        <v>4.9487763276672411E-2</v>
      </c>
      <c r="M84" s="237">
        <v>0.40501872630597113</v>
      </c>
      <c r="N84" s="240">
        <v>507977.79998985148</v>
      </c>
      <c r="O84" s="236"/>
      <c r="P84" s="297">
        <v>74</v>
      </c>
      <c r="Q84" s="298">
        <v>52140</v>
      </c>
      <c r="R84" s="298">
        <v>52233</v>
      </c>
      <c r="S84" s="297">
        <v>93</v>
      </c>
      <c r="T84" s="299">
        <v>0.25833333333333336</v>
      </c>
      <c r="U84" s="235">
        <v>0.40512848435739651</v>
      </c>
      <c r="V84" s="235">
        <v>0.40005606570949959</v>
      </c>
      <c r="W84" s="300">
        <v>4.9081042990257152E-2</v>
      </c>
      <c r="X84" s="236"/>
      <c r="Y84" s="211"/>
      <c r="Z84" s="237"/>
      <c r="AA84" s="238"/>
      <c r="AB84" s="211"/>
      <c r="AC84" s="237"/>
      <c r="AD84" s="238"/>
      <c r="AE84" s="294">
        <v>35352</v>
      </c>
    </row>
    <row r="85" spans="1:31">
      <c r="A85" s="233"/>
      <c r="B85" s="301">
        <v>52140</v>
      </c>
      <c r="C85" s="233">
        <v>52233</v>
      </c>
      <c r="D85" s="233">
        <v>52237</v>
      </c>
      <c r="E85" s="295">
        <v>93</v>
      </c>
      <c r="F85" s="241">
        <v>0.25833333333333336</v>
      </c>
      <c r="G85" s="296">
        <v>4.9081042990257152E-2</v>
      </c>
      <c r="H85" s="240">
        <v>1267926.9439149767</v>
      </c>
      <c r="I85" s="240">
        <v>0</v>
      </c>
      <c r="J85" s="261">
        <v>1267926.9439149767</v>
      </c>
      <c r="K85" s="241">
        <v>18.524298425735797</v>
      </c>
      <c r="L85" s="234">
        <v>4.948594936973473E-2</v>
      </c>
      <c r="M85" s="237">
        <v>0.39983932742557388</v>
      </c>
      <c r="N85" s="240">
        <v>506967.05647972762</v>
      </c>
      <c r="O85" s="236"/>
      <c r="P85" s="297">
        <v>75</v>
      </c>
      <c r="Q85" s="298">
        <v>52233</v>
      </c>
      <c r="R85" s="298">
        <v>52322</v>
      </c>
      <c r="S85" s="297">
        <v>89</v>
      </c>
      <c r="T85" s="299">
        <v>0.24722222222222223</v>
      </c>
      <c r="U85" s="235">
        <v>0.40005606570949959</v>
      </c>
      <c r="V85" s="235">
        <v>0.39526129699584833</v>
      </c>
      <c r="W85" s="300">
        <v>4.9067718557565448E-2</v>
      </c>
      <c r="X85" s="236"/>
      <c r="Y85" s="211"/>
      <c r="Z85" s="237"/>
      <c r="AA85" s="238"/>
      <c r="AB85" s="211"/>
      <c r="AC85" s="237"/>
      <c r="AD85" s="238"/>
      <c r="AE85" s="294">
        <v>35380</v>
      </c>
    </row>
    <row r="86" spans="1:31">
      <c r="A86" s="233"/>
      <c r="B86" s="301">
        <v>52233</v>
      </c>
      <c r="C86" s="233">
        <v>52322</v>
      </c>
      <c r="D86" s="233">
        <v>52324</v>
      </c>
      <c r="E86" s="295">
        <v>89</v>
      </c>
      <c r="F86" s="241">
        <v>0.24722222222222223</v>
      </c>
      <c r="G86" s="296">
        <v>4.9067718557565448E-2</v>
      </c>
      <c r="H86" s="240">
        <v>1213063.0421175903</v>
      </c>
      <c r="I86" s="240">
        <v>0</v>
      </c>
      <c r="J86" s="261">
        <v>1213063.0421175903</v>
      </c>
      <c r="K86" s="241">
        <v>18.762491444216291</v>
      </c>
      <c r="L86" s="234">
        <v>4.948592155010427E-2</v>
      </c>
      <c r="M86" s="237">
        <v>0.39515421217847013</v>
      </c>
      <c r="N86" s="240">
        <v>479346.97073079471</v>
      </c>
      <c r="O86" s="236"/>
      <c r="P86" s="297">
        <v>76</v>
      </c>
      <c r="Q86" s="298">
        <v>52322</v>
      </c>
      <c r="R86" s="298">
        <v>52413</v>
      </c>
      <c r="S86" s="297">
        <v>91</v>
      </c>
      <c r="T86" s="299">
        <v>0.25277777777777777</v>
      </c>
      <c r="U86" s="235">
        <v>0.39526129699584833</v>
      </c>
      <c r="V86" s="235">
        <v>0.39041819336505545</v>
      </c>
      <c r="W86" s="300">
        <v>4.907438017156604E-2</v>
      </c>
      <c r="X86" s="236"/>
      <c r="Y86" s="211"/>
      <c r="Z86" s="237"/>
      <c r="AA86" s="238"/>
      <c r="AB86" s="211"/>
      <c r="AC86" s="237"/>
      <c r="AD86" s="238"/>
      <c r="AE86" s="294">
        <v>35397</v>
      </c>
    </row>
    <row r="87" spans="1:31">
      <c r="A87" s="233"/>
      <c r="B87" s="301">
        <v>52322</v>
      </c>
      <c r="C87" s="233">
        <v>52413</v>
      </c>
      <c r="D87" s="233">
        <v>52418</v>
      </c>
      <c r="E87" s="295">
        <v>91</v>
      </c>
      <c r="F87" s="241">
        <v>0.25277777777777777</v>
      </c>
      <c r="G87" s="296">
        <v>4.907438017156604E-2</v>
      </c>
      <c r="H87" s="240">
        <v>1240491.2765590304</v>
      </c>
      <c r="I87" s="240">
        <v>0</v>
      </c>
      <c r="J87" s="261">
        <v>1240491.2765590304</v>
      </c>
      <c r="K87" s="241">
        <v>19.019849418206707</v>
      </c>
      <c r="L87" s="234">
        <v>4.9485892275256051E-2</v>
      </c>
      <c r="M87" s="237">
        <v>0.390153815302683</v>
      </c>
      <c r="N87" s="240">
        <v>483982.40439920139</v>
      </c>
      <c r="O87" s="236"/>
      <c r="P87" s="297">
        <v>77</v>
      </c>
      <c r="Q87" s="298">
        <v>52413</v>
      </c>
      <c r="R87" s="298">
        <v>52505</v>
      </c>
      <c r="S87" s="297">
        <v>92</v>
      </c>
      <c r="T87" s="299">
        <v>0.25555555555555554</v>
      </c>
      <c r="U87" s="235">
        <v>0.39041819336505545</v>
      </c>
      <c r="V87" s="235">
        <v>0.38558218999368798</v>
      </c>
      <c r="W87" s="300">
        <v>4.907771143030943E-2</v>
      </c>
      <c r="X87" s="236"/>
      <c r="Y87" s="211"/>
      <c r="Z87" s="237"/>
      <c r="AA87" s="238"/>
      <c r="AB87" s="211"/>
      <c r="AC87" s="237"/>
      <c r="AD87" s="238"/>
      <c r="AE87" s="294">
        <v>35424</v>
      </c>
    </row>
    <row r="88" spans="1:31">
      <c r="A88" s="233"/>
      <c r="B88" s="301">
        <v>52413</v>
      </c>
      <c r="C88" s="233">
        <v>52505</v>
      </c>
      <c r="D88" s="233">
        <v>52509</v>
      </c>
      <c r="E88" s="295">
        <v>92</v>
      </c>
      <c r="F88" s="241">
        <v>0.25555555555555554</v>
      </c>
      <c r="G88" s="296">
        <v>4.907771143030943E-2</v>
      </c>
      <c r="H88" s="240">
        <v>1254208.1809967966</v>
      </c>
      <c r="I88" s="240">
        <v>0</v>
      </c>
      <c r="J88" s="261">
        <v>1254208.1809967966</v>
      </c>
      <c r="K88" s="241">
        <v>19.26899383983573</v>
      </c>
      <c r="L88" s="234">
        <v>4.9485864679667535E-2</v>
      </c>
      <c r="M88" s="237">
        <v>0.38537329321812397</v>
      </c>
      <c r="N88" s="240">
        <v>483338.33709184837</v>
      </c>
      <c r="O88" s="236"/>
      <c r="P88" s="297">
        <v>78</v>
      </c>
      <c r="Q88" s="298">
        <v>52505</v>
      </c>
      <c r="R88" s="298">
        <v>52600</v>
      </c>
      <c r="S88" s="297">
        <v>95</v>
      </c>
      <c r="T88" s="299">
        <v>0.2638888888888889</v>
      </c>
      <c r="U88" s="235">
        <v>0.38558218999368798</v>
      </c>
      <c r="V88" s="235">
        <v>0.3806513464710462</v>
      </c>
      <c r="W88" s="300">
        <v>4.9087707013883611E-2</v>
      </c>
      <c r="X88" s="236"/>
      <c r="Y88" s="211"/>
      <c r="Z88" s="237"/>
      <c r="AA88" s="238"/>
      <c r="AB88" s="211"/>
      <c r="AC88" s="237"/>
      <c r="AD88" s="238"/>
      <c r="AE88" s="294">
        <v>35431</v>
      </c>
    </row>
    <row r="89" spans="1:31">
      <c r="A89" s="233"/>
      <c r="B89" s="301">
        <v>52505</v>
      </c>
      <c r="C89" s="233">
        <v>52600</v>
      </c>
      <c r="D89" s="233">
        <v>52602</v>
      </c>
      <c r="E89" s="295">
        <v>95</v>
      </c>
      <c r="F89" s="241">
        <v>0.2638888888888889</v>
      </c>
      <c r="G89" s="296">
        <v>4.9087707013883611E-2</v>
      </c>
      <c r="H89" s="240">
        <v>1295370.0461997064</v>
      </c>
      <c r="I89" s="240">
        <v>0</v>
      </c>
      <c r="J89" s="261">
        <v>1295370.0461997064</v>
      </c>
      <c r="K89" s="241">
        <v>19.521705123191239</v>
      </c>
      <c r="L89" s="234">
        <v>4.9490675949502849E-2</v>
      </c>
      <c r="M89" s="237">
        <v>0.38054821980463227</v>
      </c>
      <c r="N89" s="240">
        <v>492950.76506954251</v>
      </c>
      <c r="O89" s="236"/>
      <c r="P89" s="297">
        <v>79</v>
      </c>
      <c r="Q89" s="298">
        <v>52600</v>
      </c>
      <c r="R89" s="298">
        <v>52688</v>
      </c>
      <c r="S89" s="297">
        <v>88</v>
      </c>
      <c r="T89" s="299">
        <v>0.24444444444444444</v>
      </c>
      <c r="U89" s="235">
        <v>0.3806513464710462</v>
      </c>
      <c r="V89" s="235">
        <v>0.37614010369927547</v>
      </c>
      <c r="W89" s="300">
        <v>4.9064388202247601E-2</v>
      </c>
      <c r="X89" s="236"/>
      <c r="Y89" s="211"/>
      <c r="Z89" s="237"/>
      <c r="AA89" s="238"/>
      <c r="AB89" s="211"/>
      <c r="AC89" s="237"/>
      <c r="AD89" s="238"/>
      <c r="AE89" s="294">
        <v>35450</v>
      </c>
    </row>
    <row r="90" spans="1:31">
      <c r="A90" s="233"/>
      <c r="B90" s="301">
        <v>52600</v>
      </c>
      <c r="C90" s="233">
        <v>52688</v>
      </c>
      <c r="D90" s="233">
        <v>52692</v>
      </c>
      <c r="E90" s="295">
        <v>88</v>
      </c>
      <c r="F90" s="241">
        <v>0.24444444444444444</v>
      </c>
      <c r="G90" s="296">
        <v>4.9064388202247601E-2</v>
      </c>
      <c r="H90" s="240">
        <v>1199351.711610497</v>
      </c>
      <c r="I90" s="240">
        <v>0</v>
      </c>
      <c r="J90" s="261">
        <v>1199351.711610497</v>
      </c>
      <c r="K90" s="241">
        <v>19.768087602659367</v>
      </c>
      <c r="L90" s="234">
        <v>4.9490650032664452E-2</v>
      </c>
      <c r="M90" s="237">
        <v>0.37593632236066027</v>
      </c>
      <c r="N90" s="240">
        <v>450879.87167981343</v>
      </c>
      <c r="O90" s="236"/>
      <c r="P90" s="297">
        <v>80</v>
      </c>
      <c r="Q90" s="298">
        <v>52688</v>
      </c>
      <c r="R90" s="298">
        <v>52779</v>
      </c>
      <c r="S90" s="297">
        <v>91</v>
      </c>
      <c r="T90" s="299">
        <v>0.25277777777777777</v>
      </c>
      <c r="U90" s="235">
        <v>0.37614010369927547</v>
      </c>
      <c r="V90" s="235">
        <v>0.37153129045153699</v>
      </c>
      <c r="W90" s="300">
        <v>4.907438017156604E-2</v>
      </c>
      <c r="X90" s="236"/>
      <c r="Y90" s="211"/>
      <c r="Z90" s="237"/>
      <c r="AA90" s="238"/>
      <c r="AB90" s="211"/>
      <c r="AC90" s="237"/>
      <c r="AD90" s="238"/>
      <c r="AE90" s="294">
        <v>35473</v>
      </c>
    </row>
    <row r="91" spans="1:31">
      <c r="A91" s="233"/>
      <c r="B91" s="301">
        <v>52688</v>
      </c>
      <c r="C91" s="233">
        <v>52779</v>
      </c>
      <c r="D91" s="233">
        <v>52784</v>
      </c>
      <c r="E91" s="295">
        <v>91</v>
      </c>
      <c r="F91" s="241">
        <v>0.25277777777777777</v>
      </c>
      <c r="G91" s="296">
        <v>4.907438017156604E-2</v>
      </c>
      <c r="H91" s="240">
        <v>1240491.2765590304</v>
      </c>
      <c r="I91" s="240">
        <v>0</v>
      </c>
      <c r="J91" s="261">
        <v>1240491.2765590304</v>
      </c>
      <c r="K91" s="241">
        <v>20.019945248337898</v>
      </c>
      <c r="L91" s="234">
        <v>4.9490624199226785E-2</v>
      </c>
      <c r="M91" s="237">
        <v>0.37127970196424415</v>
      </c>
      <c r="N91" s="240">
        <v>460569.23145008157</v>
      </c>
      <c r="O91" s="236"/>
      <c r="P91" s="297"/>
      <c r="Q91" s="298"/>
      <c r="R91" s="298"/>
      <c r="S91" s="297"/>
      <c r="T91" s="299"/>
      <c r="U91" s="235"/>
      <c r="V91" s="235"/>
      <c r="W91" s="300"/>
      <c r="X91" s="236"/>
      <c r="Y91" s="211"/>
      <c r="Z91" s="237"/>
      <c r="AA91" s="238"/>
      <c r="AB91" s="211"/>
      <c r="AC91" s="237"/>
      <c r="AD91" s="238"/>
      <c r="AE91" s="294">
        <v>35478</v>
      </c>
    </row>
    <row r="92" spans="1:31">
      <c r="A92" s="233"/>
      <c r="B92" s="301"/>
      <c r="C92" s="233"/>
      <c r="D92" s="233">
        <v>52779</v>
      </c>
      <c r="E92" s="295" t="str">
        <v>n/a</v>
      </c>
      <c r="F92" s="241"/>
      <c r="G92" s="296"/>
      <c r="H92" s="240">
        <v>0</v>
      </c>
      <c r="I92" s="240">
        <v>100000000</v>
      </c>
      <c r="J92" s="261">
        <v>100000000</v>
      </c>
      <c r="K92" s="241">
        <v>20.006257332811888</v>
      </c>
      <c r="L92" s="234">
        <v>4.9490625586503786E-2</v>
      </c>
      <c r="M92" s="237">
        <v>0.37153129045153699</v>
      </c>
      <c r="N92" s="240">
        <v>37153129.0451537</v>
      </c>
      <c r="O92" s="236"/>
      <c r="P92" s="297"/>
      <c r="Q92" s="298"/>
      <c r="R92" s="298"/>
      <c r="S92" s="297"/>
      <c r="T92" s="299"/>
      <c r="U92" s="235"/>
      <c r="V92" s="235"/>
      <c r="W92" s="300"/>
      <c r="X92" s="236"/>
      <c r="Y92" s="211"/>
      <c r="Z92" s="237"/>
      <c r="AA92" s="238"/>
      <c r="AB92" s="211"/>
      <c r="AC92" s="237"/>
      <c r="AD92" s="238"/>
      <c r="AE92" s="294">
        <v>35576</v>
      </c>
    </row>
    <row r="93" spans="1:31">
      <c r="A93" s="233"/>
      <c r="B93" s="301"/>
      <c r="C93" s="233"/>
      <c r="D93" s="233"/>
      <c r="E93" s="295"/>
      <c r="F93" s="241"/>
      <c r="G93" s="296"/>
      <c r="H93" s="240"/>
      <c r="I93" s="240"/>
      <c r="J93" s="261"/>
      <c r="K93" s="241"/>
      <c r="L93" s="234"/>
      <c r="M93" s="237"/>
      <c r="N93" s="240"/>
      <c r="O93" s="236"/>
      <c r="P93" s="297"/>
      <c r="Q93" s="298"/>
      <c r="R93" s="298"/>
      <c r="S93" s="297"/>
      <c r="T93" s="299"/>
      <c r="U93" s="235"/>
      <c r="V93" s="235"/>
      <c r="W93" s="300"/>
      <c r="X93" s="236"/>
      <c r="Y93" s="211"/>
      <c r="Z93" s="237"/>
      <c r="AA93" s="238"/>
      <c r="AB93" s="211"/>
      <c r="AC93" s="237"/>
      <c r="AD93" s="238"/>
      <c r="AE93" s="294">
        <v>35615</v>
      </c>
    </row>
    <row r="94" spans="1:31">
      <c r="A94" s="233"/>
      <c r="B94" s="301"/>
      <c r="C94" s="233"/>
      <c r="D94" s="233"/>
      <c r="E94" s="295"/>
      <c r="F94" s="241"/>
      <c r="G94" s="296"/>
      <c r="H94" s="240"/>
      <c r="I94" s="240"/>
      <c r="J94" s="261"/>
      <c r="K94" s="241"/>
      <c r="L94" s="234"/>
      <c r="M94" s="237"/>
      <c r="N94" s="240"/>
      <c r="O94" s="236"/>
      <c r="P94" s="297"/>
      <c r="Q94" s="298"/>
      <c r="R94" s="298"/>
      <c r="S94" s="297"/>
      <c r="T94" s="299"/>
      <c r="U94" s="235"/>
      <c r="V94" s="235"/>
      <c r="W94" s="300"/>
      <c r="X94" s="236"/>
      <c r="Y94" s="211"/>
      <c r="Z94" s="237"/>
      <c r="AA94" s="238"/>
      <c r="AB94" s="211"/>
      <c r="AC94" s="237"/>
      <c r="AD94" s="238"/>
      <c r="AE94" s="294">
        <v>35674</v>
      </c>
    </row>
    <row r="95" spans="1:31">
      <c r="A95" s="233"/>
      <c r="B95" s="301"/>
      <c r="C95" s="233"/>
      <c r="D95" s="233"/>
      <c r="E95" s="295"/>
      <c r="F95" s="241"/>
      <c r="G95" s="296"/>
      <c r="H95" s="240"/>
      <c r="I95" s="240"/>
      <c r="J95" s="261"/>
      <c r="K95" s="241"/>
      <c r="L95" s="234"/>
      <c r="M95" s="237"/>
      <c r="N95" s="240"/>
      <c r="O95" s="236"/>
      <c r="P95" s="297"/>
      <c r="Q95" s="298"/>
      <c r="R95" s="298"/>
      <c r="S95" s="297"/>
      <c r="T95" s="299"/>
      <c r="U95" s="235"/>
      <c r="V95" s="235"/>
      <c r="W95" s="300"/>
      <c r="X95" s="236"/>
      <c r="Y95" s="211"/>
      <c r="Z95" s="237"/>
      <c r="AA95" s="238"/>
      <c r="AB95" s="211"/>
      <c r="AC95" s="237"/>
      <c r="AD95" s="238"/>
      <c r="AE95" s="294">
        <v>35716</v>
      </c>
    </row>
    <row r="96" spans="1:31">
      <c r="A96" s="233"/>
      <c r="B96" s="301"/>
      <c r="C96" s="233"/>
      <c r="D96" s="233"/>
      <c r="E96" s="295"/>
      <c r="F96" s="241"/>
      <c r="G96" s="296"/>
      <c r="H96" s="240"/>
      <c r="I96" s="240"/>
      <c r="J96" s="261"/>
      <c r="K96" s="241"/>
      <c r="L96" s="234"/>
      <c r="M96" s="237"/>
      <c r="N96" s="240"/>
      <c r="O96" s="236"/>
      <c r="P96" s="297"/>
      <c r="Q96" s="298"/>
      <c r="R96" s="298"/>
      <c r="S96" s="297"/>
      <c r="T96" s="299"/>
      <c r="U96" s="235"/>
      <c r="V96" s="235"/>
      <c r="W96" s="300"/>
      <c r="X96" s="236"/>
      <c r="Y96" s="211"/>
      <c r="Z96" s="237"/>
      <c r="AA96" s="238"/>
      <c r="AB96" s="211"/>
      <c r="AC96" s="237"/>
      <c r="AD96" s="238"/>
      <c r="AE96" s="294">
        <v>35745</v>
      </c>
    </row>
    <row r="97" spans="1:31">
      <c r="A97" s="233"/>
      <c r="B97" s="301"/>
      <c r="C97" s="233"/>
      <c r="D97" s="233"/>
      <c r="E97" s="295"/>
      <c r="F97" s="241"/>
      <c r="G97" s="296"/>
      <c r="H97" s="240"/>
      <c r="I97" s="240"/>
      <c r="J97" s="261"/>
      <c r="K97" s="241"/>
      <c r="L97" s="234"/>
      <c r="M97" s="237"/>
      <c r="N97" s="240"/>
      <c r="O97" s="236"/>
      <c r="P97" s="297"/>
      <c r="Q97" s="298"/>
      <c r="R97" s="298"/>
      <c r="S97" s="297"/>
      <c r="T97" s="299"/>
      <c r="U97" s="235"/>
      <c r="V97" s="235"/>
      <c r="W97" s="300"/>
      <c r="X97" s="236"/>
      <c r="Y97" s="211"/>
      <c r="Z97" s="237"/>
      <c r="AA97" s="238"/>
      <c r="AB97" s="211"/>
      <c r="AC97" s="237"/>
      <c r="AD97" s="238"/>
      <c r="AE97" s="294">
        <v>35761</v>
      </c>
    </row>
    <row r="98" spans="1:31">
      <c r="A98" s="233"/>
      <c r="B98" s="301"/>
      <c r="C98" s="233"/>
      <c r="D98" s="233"/>
      <c r="E98" s="295"/>
      <c r="F98" s="241"/>
      <c r="G98" s="296"/>
      <c r="H98" s="240"/>
      <c r="I98" s="240"/>
      <c r="J98" s="261"/>
      <c r="K98" s="241"/>
      <c r="L98" s="234"/>
      <c r="M98" s="237"/>
      <c r="N98" s="240"/>
      <c r="O98" s="236"/>
      <c r="P98" s="297"/>
      <c r="Q98" s="298"/>
      <c r="R98" s="298"/>
      <c r="S98" s="297"/>
      <c r="T98" s="299"/>
      <c r="U98" s="235"/>
      <c r="V98" s="235"/>
      <c r="W98" s="300"/>
      <c r="X98" s="236"/>
      <c r="Y98" s="211"/>
      <c r="Z98" s="237"/>
      <c r="AA98" s="238"/>
      <c r="AB98" s="211"/>
      <c r="AC98" s="237"/>
      <c r="AD98" s="238"/>
      <c r="AE98" s="294">
        <v>35789</v>
      </c>
    </row>
    <row r="99" spans="1:31">
      <c r="A99" s="233"/>
      <c r="B99" s="301"/>
      <c r="C99" s="233"/>
      <c r="D99" s="233"/>
      <c r="E99" s="295"/>
      <c r="F99" s="241"/>
      <c r="G99" s="296"/>
      <c r="H99" s="240"/>
      <c r="I99" s="240"/>
      <c r="J99" s="261"/>
      <c r="K99" s="241"/>
      <c r="L99" s="234"/>
      <c r="M99" s="237"/>
      <c r="N99" s="240"/>
      <c r="O99" s="236"/>
      <c r="P99" s="297"/>
      <c r="Q99" s="298"/>
      <c r="R99" s="298"/>
      <c r="S99" s="297"/>
      <c r="T99" s="299"/>
      <c r="U99" s="235"/>
      <c r="V99" s="235"/>
      <c r="W99" s="300"/>
      <c r="X99" s="236"/>
      <c r="Y99" s="211"/>
      <c r="Z99" s="237"/>
      <c r="AA99" s="238"/>
      <c r="AB99" s="211"/>
      <c r="AC99" s="237"/>
      <c r="AD99" s="238"/>
      <c r="AE99" s="294">
        <v>35796</v>
      </c>
    </row>
    <row r="100" spans="1:31">
      <c r="A100" s="233"/>
      <c r="B100" s="301"/>
      <c r="C100" s="233"/>
      <c r="D100" s="233"/>
      <c r="E100" s="295"/>
      <c r="F100" s="241"/>
      <c r="G100" s="296"/>
      <c r="H100" s="240"/>
      <c r="I100" s="240"/>
      <c r="J100" s="261"/>
      <c r="K100" s="241"/>
      <c r="L100" s="234"/>
      <c r="M100" s="237"/>
      <c r="N100" s="240"/>
      <c r="O100" s="236"/>
      <c r="P100" s="297"/>
      <c r="Q100" s="298"/>
      <c r="R100" s="298"/>
      <c r="S100" s="297"/>
      <c r="T100" s="299"/>
      <c r="U100" s="235"/>
      <c r="V100" s="235"/>
      <c r="W100" s="300"/>
      <c r="X100" s="236"/>
      <c r="Y100" s="211"/>
      <c r="Z100" s="237"/>
      <c r="AA100" s="238"/>
      <c r="AB100" s="211"/>
      <c r="AC100" s="237"/>
      <c r="AD100" s="238"/>
      <c r="AE100" s="294">
        <v>35814</v>
      </c>
    </row>
    <row r="101" spans="1:31">
      <c r="A101" s="233"/>
      <c r="B101" s="301"/>
      <c r="C101" s="233"/>
      <c r="D101" s="233"/>
      <c r="E101" s="295"/>
      <c r="F101" s="241"/>
      <c r="G101" s="296"/>
      <c r="H101" s="240"/>
      <c r="I101" s="240"/>
      <c r="J101" s="261"/>
      <c r="K101" s="241"/>
      <c r="L101" s="234"/>
      <c r="M101" s="237"/>
      <c r="N101" s="240"/>
      <c r="O101" s="236"/>
      <c r="P101" s="297"/>
      <c r="Q101" s="298"/>
      <c r="R101" s="298"/>
      <c r="S101" s="297"/>
      <c r="T101" s="299"/>
      <c r="U101" s="235"/>
      <c r="V101" s="235"/>
      <c r="W101" s="300"/>
      <c r="X101" s="236"/>
      <c r="Y101" s="211"/>
      <c r="Z101" s="237"/>
      <c r="AA101" s="238"/>
      <c r="AB101" s="211"/>
      <c r="AC101" s="237"/>
      <c r="AD101" s="238"/>
      <c r="AE101" s="294">
        <v>35838</v>
      </c>
    </row>
    <row r="102" spans="1:31">
      <c r="A102" s="233"/>
      <c r="B102" s="301"/>
      <c r="C102" s="233"/>
      <c r="D102" s="233"/>
      <c r="E102" s="295"/>
      <c r="F102" s="241"/>
      <c r="G102" s="296"/>
      <c r="H102" s="240"/>
      <c r="I102" s="240"/>
      <c r="J102" s="261"/>
      <c r="K102" s="241"/>
      <c r="L102" s="234"/>
      <c r="M102" s="237"/>
      <c r="N102" s="240"/>
      <c r="O102" s="236"/>
      <c r="P102" s="297"/>
      <c r="Q102" s="298"/>
      <c r="R102" s="298"/>
      <c r="S102" s="297"/>
      <c r="T102" s="299"/>
      <c r="U102" s="235"/>
      <c r="V102" s="235"/>
      <c r="W102" s="300"/>
      <c r="X102" s="236"/>
      <c r="Y102" s="211"/>
      <c r="Z102" s="237"/>
      <c r="AA102" s="238"/>
      <c r="AB102" s="211"/>
      <c r="AC102" s="237"/>
      <c r="AD102" s="238"/>
      <c r="AE102" s="294">
        <v>35842</v>
      </c>
    </row>
    <row r="103" spans="1:31">
      <c r="A103" s="233"/>
      <c r="B103" s="301"/>
      <c r="C103" s="233"/>
      <c r="D103" s="233"/>
      <c r="E103" s="295"/>
      <c r="F103" s="241"/>
      <c r="G103" s="296"/>
      <c r="H103" s="240"/>
      <c r="I103" s="240"/>
      <c r="J103" s="261"/>
      <c r="K103" s="241"/>
      <c r="L103" s="234"/>
      <c r="M103" s="237"/>
      <c r="N103" s="240"/>
      <c r="O103" s="236"/>
      <c r="P103" s="297"/>
      <c r="Q103" s="298"/>
      <c r="R103" s="298"/>
      <c r="S103" s="297"/>
      <c r="T103" s="299"/>
      <c r="U103" s="235"/>
      <c r="V103" s="235"/>
      <c r="W103" s="300"/>
      <c r="X103" s="236"/>
      <c r="Y103" s="211"/>
      <c r="Z103" s="237"/>
      <c r="AA103" s="238"/>
      <c r="AB103" s="211"/>
      <c r="AC103" s="237"/>
      <c r="AD103" s="238"/>
      <c r="AE103" s="294">
        <v>35940</v>
      </c>
    </row>
    <row r="104" spans="1:31">
      <c r="A104" s="233"/>
      <c r="B104" s="301"/>
      <c r="C104" s="233"/>
      <c r="D104" s="233"/>
      <c r="E104" s="295"/>
      <c r="F104" s="241"/>
      <c r="G104" s="296"/>
      <c r="H104" s="240"/>
      <c r="I104" s="240"/>
      <c r="J104" s="261"/>
      <c r="K104" s="241"/>
      <c r="L104" s="234"/>
      <c r="M104" s="237"/>
      <c r="N104" s="240"/>
      <c r="O104" s="236"/>
      <c r="P104" s="297"/>
      <c r="Q104" s="298"/>
      <c r="R104" s="298"/>
      <c r="S104" s="297"/>
      <c r="T104" s="299"/>
      <c r="U104" s="235"/>
      <c r="V104" s="235"/>
      <c r="W104" s="300"/>
      <c r="X104" s="236"/>
      <c r="Y104" s="211"/>
      <c r="Z104" s="237"/>
      <c r="AA104" s="238"/>
      <c r="AB104" s="211"/>
      <c r="AC104" s="237"/>
      <c r="AD104" s="238"/>
      <c r="AE104" s="294">
        <v>35979</v>
      </c>
    </row>
    <row r="105" spans="1:31">
      <c r="A105" s="233"/>
      <c r="B105" s="301"/>
      <c r="C105" s="233"/>
      <c r="D105" s="233"/>
      <c r="E105" s="295"/>
      <c r="F105" s="241"/>
      <c r="G105" s="296"/>
      <c r="H105" s="240"/>
      <c r="I105" s="240"/>
      <c r="J105" s="261"/>
      <c r="K105" s="241"/>
      <c r="L105" s="234"/>
      <c r="M105" s="237"/>
      <c r="N105" s="240"/>
      <c r="O105" s="236"/>
      <c r="P105" s="297"/>
      <c r="Q105" s="298"/>
      <c r="R105" s="298"/>
      <c r="S105" s="297"/>
      <c r="T105" s="299"/>
      <c r="U105" s="235"/>
      <c r="V105" s="235"/>
      <c r="W105" s="300"/>
      <c r="X105" s="236"/>
      <c r="Y105" s="211"/>
      <c r="Z105" s="237"/>
      <c r="AA105" s="238"/>
      <c r="AB105" s="211"/>
      <c r="AC105" s="237"/>
      <c r="AD105" s="238"/>
      <c r="AE105" s="294">
        <v>36045</v>
      </c>
    </row>
    <row r="106" spans="1:31">
      <c r="A106" s="233"/>
      <c r="B106" s="301"/>
      <c r="C106" s="233"/>
      <c r="D106" s="233"/>
      <c r="E106" s="295"/>
      <c r="F106" s="241"/>
      <c r="G106" s="296"/>
      <c r="H106" s="240"/>
      <c r="I106" s="240"/>
      <c r="J106" s="261"/>
      <c r="K106" s="241"/>
      <c r="L106" s="234"/>
      <c r="M106" s="237"/>
      <c r="N106" s="240"/>
      <c r="O106" s="236"/>
      <c r="P106" s="297"/>
      <c r="Q106" s="298"/>
      <c r="R106" s="298"/>
      <c r="S106" s="297"/>
      <c r="T106" s="299"/>
      <c r="U106" s="235"/>
      <c r="V106" s="235"/>
      <c r="W106" s="300"/>
      <c r="X106" s="236"/>
      <c r="Y106" s="211"/>
      <c r="Z106" s="237"/>
      <c r="AA106" s="238"/>
      <c r="AB106" s="211"/>
      <c r="AC106" s="237"/>
      <c r="AD106" s="238"/>
      <c r="AE106" s="294">
        <v>36080</v>
      </c>
    </row>
    <row r="107" spans="1:31">
      <c r="A107" s="233"/>
      <c r="B107" s="301"/>
      <c r="C107" s="233"/>
      <c r="D107" s="233"/>
      <c r="E107" s="295"/>
      <c r="F107" s="241"/>
      <c r="G107" s="296"/>
      <c r="H107" s="240"/>
      <c r="I107" s="240"/>
      <c r="J107" s="261"/>
      <c r="K107" s="241"/>
      <c r="L107" s="234"/>
      <c r="M107" s="237"/>
      <c r="N107" s="240"/>
      <c r="O107" s="236"/>
      <c r="P107" s="297"/>
      <c r="Q107" s="298"/>
      <c r="R107" s="298"/>
      <c r="S107" s="297"/>
      <c r="T107" s="299"/>
      <c r="U107" s="235"/>
      <c r="V107" s="235"/>
      <c r="W107" s="300"/>
      <c r="X107" s="236"/>
      <c r="Y107" s="211"/>
      <c r="Z107" s="237"/>
      <c r="AA107" s="238"/>
      <c r="AB107" s="211"/>
      <c r="AC107" s="237"/>
      <c r="AD107" s="238"/>
      <c r="AE107" s="294">
        <v>36110</v>
      </c>
    </row>
    <row r="108" spans="1:31">
      <c r="A108" s="233"/>
      <c r="B108" s="301"/>
      <c r="C108" s="233"/>
      <c r="D108" s="233"/>
      <c r="E108" s="295"/>
      <c r="F108" s="241"/>
      <c r="G108" s="296"/>
      <c r="H108" s="240"/>
      <c r="I108" s="240"/>
      <c r="J108" s="261"/>
      <c r="K108" s="241"/>
      <c r="L108" s="234"/>
      <c r="M108" s="237"/>
      <c r="N108" s="240"/>
      <c r="O108" s="236"/>
      <c r="P108" s="297"/>
      <c r="Q108" s="298"/>
      <c r="R108" s="298"/>
      <c r="S108" s="297"/>
      <c r="T108" s="299"/>
      <c r="U108" s="235"/>
      <c r="V108" s="235"/>
      <c r="W108" s="300"/>
      <c r="X108" s="236"/>
      <c r="Y108" s="211"/>
      <c r="Z108" s="237"/>
      <c r="AA108" s="238"/>
      <c r="AB108" s="211"/>
      <c r="AC108" s="237"/>
      <c r="AD108" s="238"/>
      <c r="AE108" s="294">
        <v>36125</v>
      </c>
    </row>
    <row r="109" spans="1:31">
      <c r="A109" s="233"/>
      <c r="B109" s="301"/>
      <c r="C109" s="233"/>
      <c r="D109" s="233"/>
      <c r="E109" s="295"/>
      <c r="F109" s="241"/>
      <c r="G109" s="296"/>
      <c r="H109" s="240"/>
      <c r="I109" s="240"/>
      <c r="J109" s="261"/>
      <c r="K109" s="241"/>
      <c r="L109" s="234"/>
      <c r="M109" s="237"/>
      <c r="N109" s="240"/>
      <c r="O109" s="236"/>
      <c r="P109" s="297"/>
      <c r="Q109" s="298"/>
      <c r="R109" s="298"/>
      <c r="S109" s="297"/>
      <c r="T109" s="299"/>
      <c r="U109" s="235"/>
      <c r="V109" s="235"/>
      <c r="W109" s="300"/>
      <c r="X109" s="236"/>
      <c r="Y109" s="211"/>
      <c r="Z109" s="237"/>
      <c r="AA109" s="238"/>
      <c r="AB109" s="211"/>
      <c r="AC109" s="237"/>
      <c r="AD109" s="238"/>
      <c r="AE109" s="294">
        <v>36154</v>
      </c>
    </row>
    <row r="110" spans="1:31">
      <c r="A110" s="233"/>
      <c r="B110" s="301"/>
      <c r="C110" s="233"/>
      <c r="D110" s="233"/>
      <c r="E110" s="295"/>
      <c r="F110" s="241"/>
      <c r="G110" s="296"/>
      <c r="H110" s="240"/>
      <c r="I110" s="240"/>
      <c r="J110" s="261"/>
      <c r="K110" s="241"/>
      <c r="L110" s="234"/>
      <c r="M110" s="237"/>
      <c r="N110" s="240"/>
      <c r="O110" s="236"/>
      <c r="P110" s="297"/>
      <c r="Q110" s="298"/>
      <c r="R110" s="298"/>
      <c r="S110" s="297"/>
      <c r="T110" s="299"/>
      <c r="U110" s="235"/>
      <c r="V110" s="235"/>
      <c r="W110" s="300"/>
      <c r="X110" s="236"/>
      <c r="Y110" s="211"/>
      <c r="Z110" s="237"/>
      <c r="AA110" s="238"/>
      <c r="AB110" s="211"/>
      <c r="AC110" s="237"/>
      <c r="AD110" s="238"/>
      <c r="AE110" s="294">
        <v>36161</v>
      </c>
    </row>
    <row r="111" spans="1:31">
      <c r="A111" s="233"/>
      <c r="B111" s="301"/>
      <c r="C111" s="233"/>
      <c r="D111" s="233"/>
      <c r="E111" s="295"/>
      <c r="F111" s="241"/>
      <c r="G111" s="296"/>
      <c r="H111" s="240"/>
      <c r="I111" s="240"/>
      <c r="J111" s="261"/>
      <c r="K111" s="241"/>
      <c r="L111" s="234"/>
      <c r="M111" s="237"/>
      <c r="N111" s="240"/>
      <c r="O111" s="236"/>
      <c r="P111" s="297"/>
      <c r="Q111" s="298"/>
      <c r="R111" s="298"/>
      <c r="S111" s="297"/>
      <c r="T111" s="299"/>
      <c r="U111" s="235"/>
      <c r="V111" s="235"/>
      <c r="W111" s="300"/>
      <c r="X111" s="236"/>
      <c r="Y111" s="211"/>
      <c r="Z111" s="237"/>
      <c r="AA111" s="238"/>
      <c r="AB111" s="211"/>
      <c r="AC111" s="237"/>
      <c r="AD111" s="238"/>
      <c r="AE111" s="294">
        <v>36178</v>
      </c>
    </row>
    <row r="112" spans="1:31">
      <c r="A112" s="233"/>
      <c r="B112" s="301"/>
      <c r="C112" s="233"/>
      <c r="D112" s="233"/>
      <c r="E112" s="295"/>
      <c r="F112" s="241"/>
      <c r="G112" s="296"/>
      <c r="H112" s="240"/>
      <c r="I112" s="240"/>
      <c r="J112" s="261"/>
      <c r="K112" s="241"/>
      <c r="L112" s="234"/>
      <c r="M112" s="237"/>
      <c r="N112" s="240"/>
      <c r="O112" s="236"/>
      <c r="P112" s="297"/>
      <c r="Q112" s="298"/>
      <c r="R112" s="298"/>
      <c r="S112" s="297"/>
      <c r="T112" s="299"/>
      <c r="U112" s="235"/>
      <c r="V112" s="235"/>
      <c r="W112" s="300"/>
      <c r="X112" s="236"/>
      <c r="Y112" s="211"/>
      <c r="Z112" s="237"/>
      <c r="AA112" s="238"/>
      <c r="AB112" s="211"/>
      <c r="AC112" s="237"/>
      <c r="AD112" s="238"/>
      <c r="AE112" s="294">
        <v>36203</v>
      </c>
    </row>
    <row r="113" spans="1:31">
      <c r="A113" s="233"/>
      <c r="B113" s="301"/>
      <c r="C113" s="233"/>
      <c r="D113" s="233"/>
      <c r="E113" s="295"/>
      <c r="F113" s="241"/>
      <c r="G113" s="296"/>
      <c r="H113" s="240"/>
      <c r="I113" s="240"/>
      <c r="J113" s="261"/>
      <c r="K113" s="241"/>
      <c r="L113" s="234"/>
      <c r="M113" s="237"/>
      <c r="N113" s="240"/>
      <c r="O113" s="236"/>
      <c r="P113" s="297"/>
      <c r="Q113" s="298"/>
      <c r="R113" s="298"/>
      <c r="S113" s="297"/>
      <c r="T113" s="299"/>
      <c r="U113" s="235"/>
      <c r="V113" s="235"/>
      <c r="W113" s="300"/>
      <c r="X113" s="236"/>
      <c r="Y113" s="211"/>
      <c r="Z113" s="237"/>
      <c r="AA113" s="238"/>
      <c r="AB113" s="211"/>
      <c r="AC113" s="237"/>
      <c r="AD113" s="238"/>
      <c r="AE113" s="294">
        <v>36206</v>
      </c>
    </row>
    <row r="114" spans="1:31">
      <c r="A114" s="233"/>
      <c r="B114" s="301"/>
      <c r="C114" s="233"/>
      <c r="D114" s="233"/>
      <c r="E114" s="295"/>
      <c r="F114" s="241"/>
      <c r="G114" s="296"/>
      <c r="H114" s="240"/>
      <c r="I114" s="240"/>
      <c r="J114" s="261"/>
      <c r="K114" s="241"/>
      <c r="L114" s="234"/>
      <c r="M114" s="237"/>
      <c r="N114" s="240"/>
      <c r="O114" s="236"/>
      <c r="P114" s="297"/>
      <c r="Q114" s="298"/>
      <c r="R114" s="298"/>
      <c r="S114" s="297"/>
      <c r="T114" s="299"/>
      <c r="U114" s="235"/>
      <c r="V114" s="235"/>
      <c r="W114" s="300"/>
      <c r="X114" s="236"/>
      <c r="Y114" s="211"/>
      <c r="Z114" s="237"/>
      <c r="AA114" s="238"/>
      <c r="AB114" s="211"/>
      <c r="AC114" s="237"/>
      <c r="AD114" s="238"/>
      <c r="AE114" s="294">
        <v>36311</v>
      </c>
    </row>
    <row r="115" spans="1:31">
      <c r="A115" s="233"/>
      <c r="B115" s="301"/>
      <c r="C115" s="233"/>
      <c r="D115" s="233"/>
      <c r="E115" s="295"/>
      <c r="F115" s="241"/>
      <c r="G115" s="296"/>
      <c r="H115" s="240"/>
      <c r="I115" s="240"/>
      <c r="J115" s="261"/>
      <c r="K115" s="241"/>
      <c r="L115" s="234"/>
      <c r="M115" s="237"/>
      <c r="N115" s="240"/>
      <c r="O115" s="236"/>
      <c r="P115" s="297"/>
      <c r="Q115" s="298"/>
      <c r="R115" s="298"/>
      <c r="S115" s="297"/>
      <c r="T115" s="299"/>
      <c r="U115" s="235"/>
      <c r="V115" s="235"/>
      <c r="W115" s="300"/>
      <c r="X115" s="236"/>
      <c r="Y115" s="211"/>
      <c r="Z115" s="237"/>
      <c r="AA115" s="238"/>
      <c r="AB115" s="211"/>
      <c r="AC115" s="237"/>
      <c r="AD115" s="238"/>
      <c r="AE115" s="294">
        <v>36346</v>
      </c>
    </row>
    <row r="116" spans="1:31">
      <c r="A116" s="233"/>
      <c r="B116" s="301"/>
      <c r="C116" s="233"/>
      <c r="D116" s="233"/>
      <c r="E116" s="295"/>
      <c r="F116" s="241"/>
      <c r="G116" s="296"/>
      <c r="H116" s="240"/>
      <c r="I116" s="240"/>
      <c r="J116" s="261"/>
      <c r="K116" s="241"/>
      <c r="L116" s="234"/>
      <c r="M116" s="237"/>
      <c r="N116" s="240"/>
      <c r="O116" s="236"/>
      <c r="P116" s="297"/>
      <c r="Q116" s="298"/>
      <c r="R116" s="298"/>
      <c r="S116" s="297"/>
      <c r="T116" s="299"/>
      <c r="U116" s="235"/>
      <c r="V116" s="235"/>
      <c r="W116" s="300"/>
      <c r="X116" s="236"/>
      <c r="Y116" s="211"/>
      <c r="Z116" s="237"/>
      <c r="AA116" s="238"/>
      <c r="AB116" s="211"/>
      <c r="AC116" s="237"/>
      <c r="AD116" s="238"/>
      <c r="AE116" s="294">
        <v>36409</v>
      </c>
    </row>
    <row r="117" spans="1:31">
      <c r="A117" s="233"/>
      <c r="B117" s="301"/>
      <c r="C117" s="233"/>
      <c r="D117" s="233"/>
      <c r="E117" s="295"/>
      <c r="F117" s="241"/>
      <c r="G117" s="296"/>
      <c r="H117" s="240"/>
      <c r="I117" s="240"/>
      <c r="J117" s="261"/>
      <c r="K117" s="241"/>
      <c r="L117" s="234"/>
      <c r="M117" s="237"/>
      <c r="N117" s="240"/>
      <c r="O117" s="236"/>
      <c r="P117" s="297"/>
      <c r="Q117" s="298"/>
      <c r="R117" s="298"/>
      <c r="S117" s="297"/>
      <c r="T117" s="299"/>
      <c r="U117" s="235"/>
      <c r="V117" s="235"/>
      <c r="W117" s="300"/>
      <c r="X117" s="236"/>
      <c r="Y117" s="211"/>
      <c r="Z117" s="237"/>
      <c r="AA117" s="238"/>
      <c r="AB117" s="211"/>
      <c r="AC117" s="237"/>
      <c r="AD117" s="238"/>
      <c r="AE117" s="294">
        <v>36444</v>
      </c>
    </row>
    <row r="118" spans="1:31">
      <c r="A118" s="233"/>
      <c r="B118" s="301"/>
      <c r="C118" s="233"/>
      <c r="D118" s="233"/>
      <c r="E118" s="295"/>
      <c r="F118" s="241"/>
      <c r="G118" s="296"/>
      <c r="H118" s="240"/>
      <c r="I118" s="240"/>
      <c r="J118" s="261"/>
      <c r="K118" s="241"/>
      <c r="L118" s="234"/>
      <c r="M118" s="237"/>
      <c r="N118" s="240"/>
      <c r="O118" s="236"/>
      <c r="P118" s="297"/>
      <c r="Q118" s="298"/>
      <c r="R118" s="298"/>
      <c r="S118" s="297"/>
      <c r="T118" s="299"/>
      <c r="U118" s="235"/>
      <c r="V118" s="235"/>
      <c r="W118" s="300"/>
      <c r="X118" s="236"/>
      <c r="Y118" s="211"/>
      <c r="Z118" s="237"/>
      <c r="AA118" s="238"/>
      <c r="AB118" s="211"/>
      <c r="AC118" s="237"/>
      <c r="AD118" s="238"/>
      <c r="AE118" s="294">
        <v>36475</v>
      </c>
    </row>
    <row r="119" spans="1:31">
      <c r="A119" s="233"/>
      <c r="B119" s="301"/>
      <c r="C119" s="233"/>
      <c r="D119" s="233"/>
      <c r="E119" s="295"/>
      <c r="F119" s="241"/>
      <c r="G119" s="296"/>
      <c r="H119" s="240"/>
      <c r="I119" s="240"/>
      <c r="J119" s="261"/>
      <c r="K119" s="241"/>
      <c r="L119" s="234"/>
      <c r="M119" s="237"/>
      <c r="N119" s="240"/>
      <c r="O119" s="236"/>
      <c r="P119" s="297"/>
      <c r="Q119" s="298"/>
      <c r="R119" s="298"/>
      <c r="S119" s="297"/>
      <c r="T119" s="299"/>
      <c r="U119" s="235"/>
      <c r="V119" s="235"/>
      <c r="W119" s="300"/>
      <c r="X119" s="236"/>
      <c r="Y119" s="211"/>
      <c r="Z119" s="237"/>
      <c r="AA119" s="238"/>
      <c r="AB119" s="211"/>
      <c r="AC119" s="237"/>
      <c r="AD119" s="238"/>
      <c r="AE119" s="294">
        <v>36489</v>
      </c>
    </row>
    <row r="120" spans="1:31">
      <c r="A120" s="233"/>
      <c r="B120" s="301"/>
      <c r="C120" s="233"/>
      <c r="D120" s="233"/>
      <c r="E120" s="295"/>
      <c r="F120" s="241"/>
      <c r="G120" s="296"/>
      <c r="H120" s="240"/>
      <c r="I120" s="240"/>
      <c r="J120" s="261"/>
      <c r="K120" s="241"/>
      <c r="L120" s="234"/>
      <c r="M120" s="237"/>
      <c r="N120" s="240"/>
      <c r="O120" s="236"/>
      <c r="P120" s="297"/>
      <c r="Q120" s="298"/>
      <c r="R120" s="298"/>
      <c r="S120" s="297"/>
      <c r="T120" s="299"/>
      <c r="U120" s="235"/>
      <c r="V120" s="235"/>
      <c r="W120" s="300"/>
      <c r="X120" s="236"/>
      <c r="Y120" s="211"/>
      <c r="Z120" s="237"/>
      <c r="AA120" s="238"/>
      <c r="AB120" s="211"/>
      <c r="AC120" s="237"/>
      <c r="AD120" s="238"/>
      <c r="AE120" s="294">
        <v>36518</v>
      </c>
    </row>
    <row r="121" spans="1:31">
      <c r="A121" s="233"/>
      <c r="B121" s="301"/>
      <c r="C121" s="233"/>
      <c r="D121" s="233"/>
      <c r="E121" s="295"/>
      <c r="F121" s="241"/>
      <c r="G121" s="296"/>
      <c r="H121" s="240"/>
      <c r="I121" s="240"/>
      <c r="J121" s="261"/>
      <c r="K121" s="241"/>
      <c r="L121" s="234"/>
      <c r="M121" s="237"/>
      <c r="N121" s="240"/>
      <c r="O121" s="236"/>
      <c r="P121" s="297"/>
      <c r="Q121" s="298"/>
      <c r="R121" s="298"/>
      <c r="S121" s="297"/>
      <c r="T121" s="299"/>
      <c r="U121" s="235"/>
      <c r="V121" s="235"/>
      <c r="W121" s="300"/>
      <c r="X121" s="236"/>
      <c r="Y121" s="211"/>
      <c r="Z121" s="237"/>
      <c r="AA121" s="238"/>
      <c r="AB121" s="211"/>
      <c r="AC121" s="237"/>
      <c r="AD121" s="238"/>
      <c r="AE121" s="294">
        <v>36525</v>
      </c>
    </row>
    <row r="122" spans="1:31">
      <c r="A122" s="233"/>
      <c r="B122" s="301"/>
      <c r="C122" s="233"/>
      <c r="D122" s="233"/>
      <c r="E122" s="295"/>
      <c r="F122" s="241"/>
      <c r="G122" s="296"/>
      <c r="H122" s="240"/>
      <c r="I122" s="240"/>
      <c r="J122" s="261"/>
      <c r="K122" s="241"/>
      <c r="L122" s="234"/>
      <c r="M122" s="237"/>
      <c r="N122" s="240"/>
      <c r="O122" s="236"/>
      <c r="P122" s="297"/>
      <c r="Q122" s="298"/>
      <c r="R122" s="298"/>
      <c r="S122" s="297"/>
      <c r="T122" s="299"/>
      <c r="U122" s="235"/>
      <c r="V122" s="235"/>
      <c r="W122" s="300"/>
      <c r="X122" s="236"/>
      <c r="Y122" s="211"/>
      <c r="Z122" s="237"/>
      <c r="AA122" s="238"/>
      <c r="AB122" s="211"/>
      <c r="AC122" s="237"/>
      <c r="AD122" s="238"/>
      <c r="AE122" s="294">
        <v>36542</v>
      </c>
    </row>
    <row r="123" spans="1:31">
      <c r="A123" s="233"/>
      <c r="B123" s="301"/>
      <c r="C123" s="233"/>
      <c r="D123" s="233"/>
      <c r="E123" s="295"/>
      <c r="F123" s="241"/>
      <c r="G123" s="296"/>
      <c r="H123" s="240"/>
      <c r="I123" s="240"/>
      <c r="J123" s="261"/>
      <c r="K123" s="241"/>
      <c r="L123" s="234"/>
      <c r="M123" s="237"/>
      <c r="N123" s="240"/>
      <c r="O123" s="236"/>
      <c r="P123" s="297"/>
      <c r="Q123" s="298"/>
      <c r="R123" s="298"/>
      <c r="S123" s="297"/>
      <c r="T123" s="299"/>
      <c r="U123" s="235"/>
      <c r="V123" s="235"/>
      <c r="W123" s="300"/>
      <c r="X123" s="236"/>
      <c r="Y123" s="211"/>
      <c r="Z123" s="237"/>
      <c r="AA123" s="238"/>
      <c r="AB123" s="211"/>
      <c r="AC123" s="237"/>
      <c r="AD123" s="238"/>
      <c r="AE123" s="294">
        <v>36567</v>
      </c>
    </row>
    <row r="124" spans="1:31">
      <c r="A124" s="233"/>
      <c r="B124" s="301"/>
      <c r="C124" s="233"/>
      <c r="D124" s="233"/>
      <c r="E124" s="295"/>
      <c r="F124" s="241"/>
      <c r="G124" s="296"/>
      <c r="H124" s="240"/>
      <c r="I124" s="240"/>
      <c r="J124" s="261"/>
      <c r="K124" s="241"/>
      <c r="L124" s="234"/>
      <c r="M124" s="237"/>
      <c r="N124" s="240"/>
      <c r="O124" s="236"/>
      <c r="P124" s="297"/>
      <c r="Q124" s="298"/>
      <c r="R124" s="298"/>
      <c r="S124" s="297"/>
      <c r="T124" s="299"/>
      <c r="U124" s="235"/>
      <c r="V124" s="235"/>
      <c r="W124" s="300"/>
      <c r="X124" s="236"/>
      <c r="Y124" s="211"/>
      <c r="Z124" s="237"/>
      <c r="AA124" s="238"/>
      <c r="AB124" s="211"/>
      <c r="AC124" s="237"/>
      <c r="AD124" s="238"/>
      <c r="AE124" s="294">
        <v>36577</v>
      </c>
    </row>
    <row r="125" spans="1:31">
      <c r="A125" s="233"/>
      <c r="B125" s="301"/>
      <c r="C125" s="233"/>
      <c r="D125" s="233"/>
      <c r="E125" s="295"/>
      <c r="F125" s="241"/>
      <c r="G125" s="296"/>
      <c r="H125" s="240"/>
      <c r="I125" s="240"/>
      <c r="J125" s="261"/>
      <c r="K125" s="241"/>
      <c r="L125" s="234"/>
      <c r="M125" s="237"/>
      <c r="N125" s="240"/>
      <c r="O125" s="236"/>
      <c r="P125" s="297"/>
      <c r="Q125" s="298"/>
      <c r="R125" s="298"/>
      <c r="S125" s="297"/>
      <c r="T125" s="299"/>
      <c r="U125" s="235"/>
      <c r="V125" s="235"/>
      <c r="W125" s="300"/>
      <c r="X125" s="236"/>
      <c r="Y125" s="211"/>
      <c r="Z125" s="237"/>
      <c r="AA125" s="238"/>
      <c r="AB125" s="211"/>
      <c r="AC125" s="237"/>
      <c r="AD125" s="238"/>
      <c r="AE125" s="294">
        <v>36675</v>
      </c>
    </row>
    <row r="126" spans="1:31">
      <c r="A126" s="233"/>
      <c r="B126" s="301"/>
      <c r="C126" s="233"/>
      <c r="D126" s="233"/>
      <c r="E126" s="295"/>
      <c r="F126" s="241"/>
      <c r="G126" s="296"/>
      <c r="H126" s="240"/>
      <c r="I126" s="240"/>
      <c r="J126" s="261"/>
      <c r="K126" s="241"/>
      <c r="L126" s="234"/>
      <c r="M126" s="237"/>
      <c r="N126" s="240"/>
      <c r="O126" s="236"/>
      <c r="P126" s="297"/>
      <c r="Q126" s="298"/>
      <c r="R126" s="298"/>
      <c r="S126" s="297"/>
      <c r="T126" s="299"/>
      <c r="U126" s="235"/>
      <c r="V126" s="235"/>
      <c r="W126" s="300"/>
      <c r="X126" s="236"/>
      <c r="Y126" s="211"/>
      <c r="Z126" s="237"/>
      <c r="AA126" s="238"/>
      <c r="AB126" s="211"/>
      <c r="AC126" s="237"/>
      <c r="AD126" s="238"/>
      <c r="AE126" s="294">
        <v>36711</v>
      </c>
    </row>
    <row r="127" spans="1:31">
      <c r="A127" s="233"/>
      <c r="B127" s="301"/>
      <c r="C127" s="233"/>
      <c r="D127" s="233"/>
      <c r="E127" s="295"/>
      <c r="F127" s="241"/>
      <c r="G127" s="296"/>
      <c r="H127" s="240"/>
      <c r="I127" s="240"/>
      <c r="J127" s="261"/>
      <c r="K127" s="241"/>
      <c r="L127" s="234"/>
      <c r="M127" s="237"/>
      <c r="N127" s="240"/>
      <c r="O127" s="236"/>
      <c r="P127" s="297"/>
      <c r="Q127" s="298"/>
      <c r="R127" s="298"/>
      <c r="S127" s="297"/>
      <c r="T127" s="299"/>
      <c r="U127" s="235"/>
      <c r="V127" s="235"/>
      <c r="W127" s="300"/>
      <c r="X127" s="236"/>
      <c r="Y127" s="211"/>
      <c r="Z127" s="237"/>
      <c r="AA127" s="238"/>
      <c r="AB127" s="211"/>
      <c r="AC127" s="237"/>
      <c r="AD127" s="238"/>
      <c r="AE127" s="294">
        <v>36773</v>
      </c>
    </row>
    <row r="128" spans="1:31">
      <c r="A128" s="233"/>
      <c r="B128" s="301"/>
      <c r="C128" s="233"/>
      <c r="D128" s="233"/>
      <c r="E128" s="295"/>
      <c r="F128" s="241"/>
      <c r="G128" s="296"/>
      <c r="H128" s="240"/>
      <c r="I128" s="240"/>
      <c r="J128" s="261"/>
      <c r="K128" s="241"/>
      <c r="L128" s="234"/>
      <c r="M128" s="237"/>
      <c r="N128" s="240"/>
      <c r="O128" s="236"/>
      <c r="P128" s="297"/>
      <c r="Q128" s="298"/>
      <c r="R128" s="298"/>
      <c r="S128" s="297"/>
      <c r="T128" s="299"/>
      <c r="U128" s="235"/>
      <c r="V128" s="235"/>
      <c r="W128" s="300"/>
      <c r="X128" s="236"/>
      <c r="Y128" s="211"/>
      <c r="Z128" s="237"/>
      <c r="AA128" s="238"/>
      <c r="AB128" s="211"/>
      <c r="AC128" s="237"/>
      <c r="AD128" s="238"/>
      <c r="AE128" s="294">
        <v>36808</v>
      </c>
    </row>
    <row r="129" spans="1:31">
      <c r="A129" s="233"/>
      <c r="B129" s="301"/>
      <c r="C129" s="233"/>
      <c r="D129" s="233"/>
      <c r="E129" s="295"/>
      <c r="F129" s="241"/>
      <c r="G129" s="296"/>
      <c r="H129" s="240"/>
      <c r="I129" s="240"/>
      <c r="J129" s="261"/>
      <c r="K129" s="241"/>
      <c r="L129" s="234"/>
      <c r="M129" s="237"/>
      <c r="N129" s="240"/>
      <c r="O129" s="236"/>
      <c r="P129" s="297"/>
      <c r="Q129" s="298"/>
      <c r="R129" s="298"/>
      <c r="S129" s="297"/>
      <c r="T129" s="299"/>
      <c r="U129" s="235"/>
      <c r="V129" s="235"/>
      <c r="W129" s="300"/>
      <c r="X129" s="236"/>
      <c r="Y129" s="211"/>
      <c r="Z129" s="237"/>
      <c r="AA129" s="238"/>
      <c r="AB129" s="211"/>
      <c r="AC129" s="237"/>
      <c r="AD129" s="238"/>
      <c r="AE129" s="294">
        <v>36840</v>
      </c>
    </row>
    <row r="130" spans="1:31">
      <c r="A130" s="233"/>
      <c r="B130" s="301"/>
      <c r="C130" s="233"/>
      <c r="D130" s="233"/>
      <c r="E130" s="295"/>
      <c r="F130" s="241"/>
      <c r="G130" s="296"/>
      <c r="H130" s="240"/>
      <c r="I130" s="240"/>
      <c r="J130" s="261"/>
      <c r="K130" s="241"/>
      <c r="L130" s="234"/>
      <c r="M130" s="237"/>
      <c r="N130" s="240"/>
      <c r="O130" s="236"/>
      <c r="P130" s="297"/>
      <c r="Q130" s="298"/>
      <c r="R130" s="298"/>
      <c r="S130" s="297"/>
      <c r="T130" s="299"/>
      <c r="U130" s="235"/>
      <c r="V130" s="235"/>
      <c r="W130" s="300"/>
      <c r="X130" s="236"/>
      <c r="Y130" s="211"/>
      <c r="Z130" s="237"/>
      <c r="AA130" s="238"/>
      <c r="AB130" s="211"/>
      <c r="AC130" s="237"/>
      <c r="AD130" s="238"/>
      <c r="AE130" s="294">
        <v>36853</v>
      </c>
    </row>
    <row r="131" spans="1:31">
      <c r="A131" s="233"/>
      <c r="B131" s="301"/>
      <c r="C131" s="233"/>
      <c r="D131" s="233"/>
      <c r="E131" s="295"/>
      <c r="F131" s="241"/>
      <c r="G131" s="296"/>
      <c r="H131" s="240"/>
      <c r="I131" s="240"/>
      <c r="J131" s="261"/>
      <c r="K131" s="241"/>
      <c r="L131" s="234"/>
      <c r="M131" s="237"/>
      <c r="N131" s="240"/>
      <c r="O131" s="236"/>
      <c r="P131" s="297"/>
      <c r="Q131" s="298"/>
      <c r="R131" s="298"/>
      <c r="S131" s="297"/>
      <c r="T131" s="299"/>
      <c r="U131" s="235"/>
      <c r="V131" s="235"/>
      <c r="W131" s="300"/>
      <c r="X131" s="236"/>
      <c r="Y131" s="211"/>
      <c r="Z131" s="237"/>
      <c r="AA131" s="238"/>
      <c r="AB131" s="211"/>
      <c r="AC131" s="237"/>
      <c r="AD131" s="238"/>
      <c r="AE131" s="294">
        <v>36885</v>
      </c>
    </row>
    <row r="132" spans="1:31">
      <c r="A132" s="233"/>
      <c r="B132" s="301"/>
      <c r="C132" s="233"/>
      <c r="D132" s="233"/>
      <c r="E132" s="295"/>
      <c r="F132" s="241"/>
      <c r="G132" s="296"/>
      <c r="H132" s="240"/>
      <c r="I132" s="240"/>
      <c r="J132" s="261"/>
      <c r="K132" s="241"/>
      <c r="L132" s="234"/>
      <c r="M132" s="237"/>
      <c r="N132" s="240"/>
      <c r="O132" s="236"/>
      <c r="P132" s="297"/>
      <c r="Q132" s="298"/>
      <c r="R132" s="298"/>
      <c r="S132" s="297"/>
      <c r="T132" s="299"/>
      <c r="U132" s="235"/>
      <c r="V132" s="235"/>
      <c r="W132" s="300"/>
      <c r="X132" s="236"/>
      <c r="Y132" s="211"/>
      <c r="Z132" s="237"/>
      <c r="AA132" s="238"/>
      <c r="AB132" s="211"/>
      <c r="AC132" s="237"/>
      <c r="AD132" s="238"/>
      <c r="AE132" s="294">
        <v>36892</v>
      </c>
    </row>
    <row r="133" spans="1:31">
      <c r="A133" s="233"/>
      <c r="B133" s="301"/>
      <c r="C133" s="233"/>
      <c r="D133" s="233"/>
      <c r="E133" s="295"/>
      <c r="F133" s="241"/>
      <c r="G133" s="296"/>
      <c r="H133" s="240"/>
      <c r="I133" s="240"/>
      <c r="J133" s="261"/>
      <c r="K133" s="241"/>
      <c r="L133" s="234"/>
      <c r="M133" s="237"/>
      <c r="N133" s="240"/>
      <c r="O133" s="236"/>
      <c r="P133" s="297"/>
      <c r="Q133" s="298"/>
      <c r="R133" s="298"/>
      <c r="S133" s="297"/>
      <c r="T133" s="299"/>
      <c r="U133" s="235"/>
      <c r="V133" s="235"/>
      <c r="W133" s="300"/>
      <c r="X133" s="236"/>
      <c r="Y133" s="211"/>
      <c r="Z133" s="237"/>
      <c r="AA133" s="238"/>
      <c r="AB133" s="211"/>
      <c r="AC133" s="237"/>
      <c r="AD133" s="238"/>
      <c r="AE133" s="294">
        <v>36906</v>
      </c>
    </row>
    <row r="134" spans="1:31">
      <c r="A134" s="233"/>
      <c r="B134" s="301"/>
      <c r="C134" s="233"/>
      <c r="D134" s="233"/>
      <c r="E134" s="295"/>
      <c r="F134" s="241"/>
      <c r="G134" s="296"/>
      <c r="H134" s="240"/>
      <c r="I134" s="240"/>
      <c r="J134" s="261"/>
      <c r="K134" s="241"/>
      <c r="L134" s="234"/>
      <c r="M134" s="237"/>
      <c r="N134" s="240"/>
      <c r="O134" s="236"/>
      <c r="P134" s="297"/>
      <c r="Q134" s="298"/>
      <c r="R134" s="298"/>
      <c r="S134" s="297"/>
      <c r="T134" s="299"/>
      <c r="U134" s="235"/>
      <c r="V134" s="235"/>
      <c r="W134" s="300"/>
      <c r="X134" s="236"/>
      <c r="Y134" s="211"/>
      <c r="Z134" s="237"/>
      <c r="AA134" s="238"/>
      <c r="AB134" s="211"/>
      <c r="AC134" s="237"/>
      <c r="AD134" s="238"/>
      <c r="AE134" s="294">
        <v>36934</v>
      </c>
    </row>
    <row r="135" spans="1:31">
      <c r="A135" s="233"/>
      <c r="B135" s="301"/>
      <c r="C135" s="233"/>
      <c r="D135" s="233"/>
      <c r="E135" s="295"/>
      <c r="F135" s="241"/>
      <c r="G135" s="296"/>
      <c r="H135" s="240"/>
      <c r="I135" s="240"/>
      <c r="J135" s="261"/>
      <c r="K135" s="241"/>
      <c r="L135" s="234"/>
      <c r="M135" s="237"/>
      <c r="N135" s="240"/>
      <c r="O135" s="236"/>
      <c r="P135" s="297"/>
      <c r="Q135" s="298"/>
      <c r="R135" s="298"/>
      <c r="S135" s="297"/>
      <c r="T135" s="299"/>
      <c r="U135" s="235"/>
      <c r="V135" s="235"/>
      <c r="W135" s="300"/>
      <c r="X135" s="236"/>
      <c r="Y135" s="211"/>
      <c r="Z135" s="237"/>
      <c r="AA135" s="238"/>
      <c r="AB135" s="211"/>
      <c r="AC135" s="237"/>
      <c r="AD135" s="238"/>
      <c r="AE135" s="294">
        <v>36941</v>
      </c>
    </row>
    <row r="136" spans="1:31">
      <c r="A136" s="233"/>
      <c r="B136" s="301"/>
      <c r="C136" s="233"/>
      <c r="D136" s="233"/>
      <c r="E136" s="295"/>
      <c r="F136" s="241"/>
      <c r="G136" s="296"/>
      <c r="H136" s="240"/>
      <c r="I136" s="240"/>
      <c r="J136" s="261"/>
      <c r="K136" s="241"/>
      <c r="L136" s="234"/>
      <c r="M136" s="237"/>
      <c r="N136" s="240"/>
      <c r="O136" s="236"/>
      <c r="P136" s="297"/>
      <c r="Q136" s="298"/>
      <c r="R136" s="298"/>
      <c r="S136" s="297"/>
      <c r="T136" s="299"/>
      <c r="U136" s="235"/>
      <c r="V136" s="235"/>
      <c r="W136" s="300"/>
      <c r="X136" s="236"/>
      <c r="Y136" s="211"/>
      <c r="Z136" s="237"/>
      <c r="AA136" s="238"/>
      <c r="AB136" s="211"/>
      <c r="AC136" s="237"/>
      <c r="AD136" s="238"/>
      <c r="AE136" s="294">
        <v>37039</v>
      </c>
    </row>
    <row r="137" spans="1:31">
      <c r="A137" s="233"/>
      <c r="B137" s="301"/>
      <c r="C137" s="233"/>
      <c r="D137" s="233"/>
      <c r="E137" s="295"/>
      <c r="F137" s="241"/>
      <c r="G137" s="296"/>
      <c r="H137" s="240"/>
      <c r="I137" s="240"/>
      <c r="J137" s="261"/>
      <c r="K137" s="241"/>
      <c r="L137" s="234"/>
      <c r="M137" s="237"/>
      <c r="N137" s="240"/>
      <c r="O137" s="236"/>
      <c r="P137" s="297"/>
      <c r="Q137" s="298"/>
      <c r="R137" s="298"/>
      <c r="S137" s="297"/>
      <c r="T137" s="299"/>
      <c r="U137" s="235"/>
      <c r="V137" s="235"/>
      <c r="W137" s="300"/>
      <c r="X137" s="236"/>
      <c r="Y137" s="211"/>
      <c r="Z137" s="237"/>
      <c r="AA137" s="238"/>
      <c r="AB137" s="211"/>
      <c r="AC137" s="237"/>
      <c r="AD137" s="238"/>
      <c r="AE137" s="294">
        <v>37076</v>
      </c>
    </row>
    <row r="138" spans="1:31">
      <c r="A138" s="233"/>
      <c r="B138" s="301"/>
      <c r="C138" s="233"/>
      <c r="D138" s="233"/>
      <c r="E138" s="295"/>
      <c r="F138" s="241"/>
      <c r="G138" s="296"/>
      <c r="H138" s="240"/>
      <c r="I138" s="240"/>
      <c r="J138" s="261"/>
      <c r="K138" s="241"/>
      <c r="L138" s="234"/>
      <c r="M138" s="237"/>
      <c r="N138" s="240"/>
      <c r="O138" s="236"/>
      <c r="P138" s="297"/>
      <c r="Q138" s="298"/>
      <c r="R138" s="298"/>
      <c r="S138" s="297"/>
      <c r="T138" s="299"/>
      <c r="U138" s="235"/>
      <c r="V138" s="235"/>
      <c r="W138" s="300"/>
      <c r="X138" s="236"/>
      <c r="Y138" s="211"/>
      <c r="Z138" s="237"/>
      <c r="AA138" s="238"/>
      <c r="AB138" s="211"/>
      <c r="AC138" s="237"/>
      <c r="AD138" s="238"/>
      <c r="AE138" s="294">
        <v>37137</v>
      </c>
    </row>
    <row r="139" spans="1:31">
      <c r="A139" s="233"/>
      <c r="B139" s="301"/>
      <c r="C139" s="233"/>
      <c r="D139" s="233"/>
      <c r="E139" s="295"/>
      <c r="F139" s="241"/>
      <c r="G139" s="296"/>
      <c r="H139" s="240"/>
      <c r="I139" s="240"/>
      <c r="J139" s="261"/>
      <c r="K139" s="241"/>
      <c r="L139" s="234"/>
      <c r="M139" s="237"/>
      <c r="N139" s="240"/>
      <c r="O139" s="236"/>
      <c r="P139" s="297"/>
      <c r="Q139" s="298"/>
      <c r="R139" s="298"/>
      <c r="S139" s="297"/>
      <c r="T139" s="299"/>
      <c r="U139" s="235"/>
      <c r="V139" s="235"/>
      <c r="W139" s="300"/>
      <c r="X139" s="236"/>
      <c r="Y139" s="211"/>
      <c r="Z139" s="237"/>
      <c r="AA139" s="238"/>
      <c r="AB139" s="211"/>
      <c r="AC139" s="237"/>
      <c r="AD139" s="238"/>
      <c r="AE139" s="294">
        <v>37172</v>
      </c>
    </row>
    <row r="140" spans="1:31">
      <c r="A140" s="233"/>
      <c r="B140" s="301"/>
      <c r="C140" s="233"/>
      <c r="D140" s="233"/>
      <c r="E140" s="295"/>
      <c r="F140" s="241"/>
      <c r="G140" s="296"/>
      <c r="H140" s="240"/>
      <c r="I140" s="240"/>
      <c r="J140" s="261"/>
      <c r="K140" s="241"/>
      <c r="L140" s="234"/>
      <c r="M140" s="237"/>
      <c r="N140" s="240"/>
      <c r="O140" s="236"/>
      <c r="P140" s="297"/>
      <c r="Q140" s="298"/>
      <c r="R140" s="298"/>
      <c r="S140" s="297"/>
      <c r="T140" s="299"/>
      <c r="U140" s="235"/>
      <c r="V140" s="235"/>
      <c r="W140" s="300"/>
      <c r="X140" s="236"/>
      <c r="Y140" s="211"/>
      <c r="Z140" s="237"/>
      <c r="AA140" s="238"/>
      <c r="AB140" s="211"/>
      <c r="AC140" s="237"/>
      <c r="AD140" s="238"/>
      <c r="AE140" s="294">
        <v>37207</v>
      </c>
    </row>
    <row r="141" spans="1:31">
      <c r="A141" s="233"/>
      <c r="B141" s="301"/>
      <c r="C141" s="233"/>
      <c r="D141" s="233"/>
      <c r="E141" s="295"/>
      <c r="F141" s="241"/>
      <c r="G141" s="296"/>
      <c r="H141" s="240"/>
      <c r="I141" s="240"/>
      <c r="J141" s="261"/>
      <c r="K141" s="241"/>
      <c r="L141" s="234"/>
      <c r="M141" s="237"/>
      <c r="N141" s="240"/>
      <c r="O141" s="236"/>
      <c r="P141" s="297"/>
      <c r="Q141" s="298"/>
      <c r="R141" s="298"/>
      <c r="S141" s="297"/>
      <c r="T141" s="299"/>
      <c r="U141" s="235"/>
      <c r="V141" s="235"/>
      <c r="W141" s="300"/>
      <c r="X141" s="236"/>
      <c r="Y141" s="211"/>
      <c r="Z141" s="237"/>
      <c r="AA141" s="238"/>
      <c r="AB141" s="211"/>
      <c r="AC141" s="237"/>
      <c r="AD141" s="238"/>
      <c r="AE141" s="294">
        <v>37217</v>
      </c>
    </row>
    <row r="142" spans="1:31">
      <c r="A142" s="233"/>
      <c r="B142" s="301"/>
      <c r="C142" s="233"/>
      <c r="D142" s="233"/>
      <c r="E142" s="295"/>
      <c r="F142" s="241"/>
      <c r="G142" s="296"/>
      <c r="H142" s="240"/>
      <c r="I142" s="240"/>
      <c r="J142" s="261"/>
      <c r="K142" s="241"/>
      <c r="L142" s="234"/>
      <c r="M142" s="237"/>
      <c r="N142" s="240"/>
      <c r="O142" s="236"/>
      <c r="P142" s="297"/>
      <c r="Q142" s="298"/>
      <c r="R142" s="298"/>
      <c r="S142" s="297"/>
      <c r="T142" s="299"/>
      <c r="U142" s="235"/>
      <c r="V142" s="235"/>
      <c r="W142" s="300"/>
      <c r="X142" s="236"/>
      <c r="Y142" s="211"/>
      <c r="Z142" s="237"/>
      <c r="AA142" s="238"/>
      <c r="AB142" s="211"/>
      <c r="AC142" s="237"/>
      <c r="AD142" s="238"/>
      <c r="AE142" s="294">
        <v>37250</v>
      </c>
    </row>
    <row r="143" spans="1:31">
      <c r="A143" s="233"/>
      <c r="B143" s="301"/>
      <c r="C143" s="233"/>
      <c r="D143" s="233"/>
      <c r="E143" s="295"/>
      <c r="F143" s="241"/>
      <c r="G143" s="296"/>
      <c r="H143" s="240"/>
      <c r="I143" s="240"/>
      <c r="J143" s="261"/>
      <c r="K143" s="241"/>
      <c r="L143" s="234"/>
      <c r="M143" s="237"/>
      <c r="N143" s="240"/>
      <c r="O143" s="236"/>
      <c r="P143" s="297"/>
      <c r="Q143" s="298"/>
      <c r="R143" s="298"/>
      <c r="S143" s="297"/>
      <c r="T143" s="299"/>
      <c r="U143" s="235"/>
      <c r="V143" s="235"/>
      <c r="W143" s="300"/>
      <c r="X143" s="236"/>
      <c r="Y143" s="211"/>
      <c r="Z143" s="237"/>
      <c r="AA143" s="238"/>
      <c r="AB143" s="211"/>
      <c r="AC143" s="237"/>
      <c r="AD143" s="238"/>
      <c r="AE143" s="294">
        <v>37257</v>
      </c>
    </row>
    <row r="144" spans="1:31">
      <c r="A144" s="233"/>
      <c r="B144" s="301"/>
      <c r="C144" s="233"/>
      <c r="D144" s="233"/>
      <c r="E144" s="295"/>
      <c r="F144" s="241"/>
      <c r="G144" s="296"/>
      <c r="H144" s="240"/>
      <c r="I144" s="240"/>
      <c r="J144" s="261"/>
      <c r="K144" s="241"/>
      <c r="L144" s="234"/>
      <c r="M144" s="237"/>
      <c r="N144" s="240"/>
      <c r="O144" s="236"/>
      <c r="P144" s="297"/>
      <c r="Q144" s="298"/>
      <c r="R144" s="298"/>
      <c r="S144" s="297"/>
      <c r="T144" s="299"/>
      <c r="U144" s="235"/>
      <c r="V144" s="235"/>
      <c r="W144" s="300"/>
      <c r="X144" s="236"/>
      <c r="Y144" s="211"/>
      <c r="Z144" s="237"/>
      <c r="AA144" s="238"/>
      <c r="AB144" s="211"/>
      <c r="AC144" s="237"/>
      <c r="AD144" s="238"/>
      <c r="AE144" s="294">
        <v>37277</v>
      </c>
    </row>
    <row r="145" spans="1:31">
      <c r="A145" s="233"/>
      <c r="B145" s="301"/>
      <c r="C145" s="233"/>
      <c r="D145" s="233"/>
      <c r="E145" s="295"/>
      <c r="F145" s="241"/>
      <c r="G145" s="296"/>
      <c r="H145" s="240"/>
      <c r="I145" s="240"/>
      <c r="J145" s="261"/>
      <c r="K145" s="241"/>
      <c r="L145" s="234"/>
      <c r="M145" s="237"/>
      <c r="N145" s="240"/>
      <c r="O145" s="236"/>
      <c r="P145" s="297"/>
      <c r="Q145" s="298"/>
      <c r="R145" s="298"/>
      <c r="S145" s="297"/>
      <c r="T145" s="299"/>
      <c r="U145" s="235"/>
      <c r="V145" s="235"/>
      <c r="W145" s="300"/>
      <c r="X145" s="236"/>
      <c r="Y145" s="211"/>
      <c r="Z145" s="237"/>
      <c r="AA145" s="238"/>
      <c r="AB145" s="211"/>
      <c r="AC145" s="237"/>
      <c r="AD145" s="238"/>
      <c r="AE145" s="294">
        <v>37299</v>
      </c>
    </row>
    <row r="146" spans="1:31">
      <c r="A146" s="233"/>
      <c r="B146" s="301"/>
      <c r="C146" s="233"/>
      <c r="D146" s="233"/>
      <c r="E146" s="295"/>
      <c r="F146" s="241"/>
      <c r="G146" s="296"/>
      <c r="H146" s="240"/>
      <c r="I146" s="240"/>
      <c r="J146" s="261"/>
      <c r="K146" s="241"/>
      <c r="L146" s="234"/>
      <c r="M146" s="237"/>
      <c r="N146" s="240"/>
      <c r="O146" s="236"/>
      <c r="P146" s="297"/>
      <c r="Q146" s="298"/>
      <c r="R146" s="298"/>
      <c r="S146" s="297"/>
      <c r="T146" s="299"/>
      <c r="U146" s="235"/>
      <c r="V146" s="235"/>
      <c r="W146" s="300"/>
      <c r="X146" s="236"/>
      <c r="Y146" s="211"/>
      <c r="Z146" s="237"/>
      <c r="AA146" s="238"/>
      <c r="AB146" s="211"/>
      <c r="AC146" s="237"/>
      <c r="AD146" s="238"/>
      <c r="AE146" s="294">
        <v>37305</v>
      </c>
    </row>
    <row r="147" spans="1:31">
      <c r="A147" s="233"/>
      <c r="B147" s="301"/>
      <c r="C147" s="233"/>
      <c r="D147" s="233"/>
      <c r="E147" s="295"/>
      <c r="F147" s="241"/>
      <c r="G147" s="296"/>
      <c r="H147" s="240"/>
      <c r="I147" s="240"/>
      <c r="J147" s="261"/>
      <c r="K147" s="241"/>
      <c r="L147" s="234"/>
      <c r="M147" s="237"/>
      <c r="N147" s="240"/>
      <c r="O147" s="236"/>
      <c r="P147" s="297"/>
      <c r="Q147" s="298"/>
      <c r="R147" s="298"/>
      <c r="S147" s="297"/>
      <c r="T147" s="299"/>
      <c r="U147" s="235"/>
      <c r="V147" s="235"/>
      <c r="W147" s="300"/>
      <c r="X147" s="236"/>
      <c r="Y147" s="211"/>
      <c r="Z147" s="237"/>
      <c r="AA147" s="238"/>
      <c r="AB147" s="211"/>
      <c r="AC147" s="237"/>
      <c r="AD147" s="238"/>
      <c r="AE147" s="294">
        <v>37403</v>
      </c>
    </row>
    <row r="148" spans="1:31">
      <c r="A148" s="233"/>
      <c r="B148" s="301"/>
      <c r="C148" s="233"/>
      <c r="D148" s="233"/>
      <c r="E148" s="295"/>
      <c r="F148" s="241"/>
      <c r="G148" s="296"/>
      <c r="H148" s="240"/>
      <c r="I148" s="240"/>
      <c r="J148" s="261"/>
      <c r="K148" s="241"/>
      <c r="L148" s="234"/>
      <c r="M148" s="237"/>
      <c r="N148" s="240"/>
      <c r="O148" s="236"/>
      <c r="P148" s="297"/>
      <c r="Q148" s="298"/>
      <c r="R148" s="298"/>
      <c r="S148" s="297"/>
      <c r="T148" s="299"/>
      <c r="U148" s="235"/>
      <c r="V148" s="235"/>
      <c r="W148" s="300"/>
      <c r="X148" s="236"/>
      <c r="Y148" s="211"/>
      <c r="Z148" s="237"/>
      <c r="AA148" s="238"/>
      <c r="AB148" s="211"/>
      <c r="AC148" s="237"/>
      <c r="AD148" s="238"/>
      <c r="AE148" s="294">
        <v>37441</v>
      </c>
    </row>
    <row r="149" spans="1:31">
      <c r="A149" s="233"/>
      <c r="B149" s="301"/>
      <c r="C149" s="233"/>
      <c r="D149" s="233"/>
      <c r="E149" s="295"/>
      <c r="F149" s="241"/>
      <c r="G149" s="296"/>
      <c r="H149" s="240"/>
      <c r="I149" s="240"/>
      <c r="J149" s="261"/>
      <c r="K149" s="241"/>
      <c r="L149" s="234"/>
      <c r="M149" s="237"/>
      <c r="N149" s="240"/>
      <c r="O149" s="236"/>
      <c r="P149" s="297"/>
      <c r="Q149" s="298"/>
      <c r="R149" s="298"/>
      <c r="S149" s="297"/>
      <c r="T149" s="299"/>
      <c r="U149" s="235"/>
      <c r="V149" s="235"/>
      <c r="W149" s="300"/>
      <c r="X149" s="236"/>
      <c r="Y149" s="211"/>
      <c r="Z149" s="237"/>
      <c r="AA149" s="238"/>
      <c r="AB149" s="211"/>
      <c r="AC149" s="237"/>
      <c r="AD149" s="238"/>
      <c r="AE149" s="294">
        <v>37501</v>
      </c>
    </row>
    <row r="150" spans="1:31">
      <c r="A150" s="233"/>
      <c r="B150" s="301"/>
      <c r="C150" s="233"/>
      <c r="D150" s="233"/>
      <c r="E150" s="295"/>
      <c r="F150" s="241"/>
      <c r="G150" s="296"/>
      <c r="H150" s="240"/>
      <c r="I150" s="240"/>
      <c r="J150" s="261"/>
      <c r="K150" s="241"/>
      <c r="L150" s="234"/>
      <c r="M150" s="237"/>
      <c r="N150" s="240"/>
      <c r="O150" s="236"/>
      <c r="P150" s="297"/>
      <c r="Q150" s="298"/>
      <c r="R150" s="298"/>
      <c r="S150" s="297"/>
      <c r="T150" s="299"/>
      <c r="U150" s="235"/>
      <c r="V150" s="235"/>
      <c r="W150" s="300"/>
      <c r="X150" s="236"/>
      <c r="Y150" s="211"/>
      <c r="Z150" s="237"/>
      <c r="AA150" s="238"/>
      <c r="AB150" s="211"/>
      <c r="AC150" s="237"/>
      <c r="AD150" s="238"/>
      <c r="AE150" s="294">
        <v>37543</v>
      </c>
    </row>
    <row r="151" spans="1:31">
      <c r="A151" s="233"/>
      <c r="B151" s="301"/>
      <c r="C151" s="233"/>
      <c r="D151" s="233"/>
      <c r="E151" s="295"/>
      <c r="F151" s="241"/>
      <c r="G151" s="296"/>
      <c r="H151" s="240"/>
      <c r="I151" s="240"/>
      <c r="J151" s="261"/>
      <c r="K151" s="241"/>
      <c r="L151" s="234"/>
      <c r="M151" s="237"/>
      <c r="N151" s="240"/>
      <c r="O151" s="236"/>
      <c r="P151" s="297"/>
      <c r="Q151" s="298"/>
      <c r="R151" s="298"/>
      <c r="S151" s="297"/>
      <c r="T151" s="299"/>
      <c r="U151" s="235"/>
      <c r="V151" s="235"/>
      <c r="W151" s="300"/>
      <c r="X151" s="236"/>
      <c r="Y151" s="211"/>
      <c r="Z151" s="237"/>
      <c r="AA151" s="238"/>
      <c r="AB151" s="211"/>
      <c r="AC151" s="237"/>
      <c r="AD151" s="238"/>
      <c r="AE151" s="294">
        <v>37571</v>
      </c>
    </row>
    <row r="152" spans="1:31">
      <c r="A152" s="233"/>
      <c r="B152" s="301"/>
      <c r="C152" s="233"/>
      <c r="D152" s="233"/>
      <c r="E152" s="295"/>
      <c r="F152" s="241"/>
      <c r="G152" s="296"/>
      <c r="H152" s="240"/>
      <c r="I152" s="240"/>
      <c r="J152" s="261"/>
      <c r="K152" s="241"/>
      <c r="L152" s="234"/>
      <c r="M152" s="237"/>
      <c r="N152" s="240"/>
      <c r="O152" s="236"/>
      <c r="P152" s="297"/>
      <c r="Q152" s="298"/>
      <c r="R152" s="298"/>
      <c r="S152" s="297"/>
      <c r="T152" s="299"/>
      <c r="U152" s="235"/>
      <c r="V152" s="235"/>
      <c r="W152" s="300"/>
      <c r="X152" s="236"/>
      <c r="Y152" s="211"/>
      <c r="Z152" s="237"/>
      <c r="AA152" s="238"/>
      <c r="AB152" s="211"/>
      <c r="AC152" s="237"/>
      <c r="AD152" s="238"/>
      <c r="AE152" s="294">
        <v>37588</v>
      </c>
    </row>
    <row r="153" spans="1:31">
      <c r="A153" s="233"/>
      <c r="B153" s="301"/>
      <c r="C153" s="233"/>
      <c r="D153" s="233"/>
      <c r="E153" s="295"/>
      <c r="F153" s="241"/>
      <c r="G153" s="296"/>
      <c r="H153" s="240"/>
      <c r="I153" s="240"/>
      <c r="J153" s="261"/>
      <c r="K153" s="241"/>
      <c r="L153" s="234"/>
      <c r="M153" s="237"/>
      <c r="N153" s="240"/>
      <c r="O153" s="236"/>
      <c r="P153" s="297"/>
      <c r="Q153" s="298"/>
      <c r="R153" s="298"/>
      <c r="S153" s="297"/>
      <c r="T153" s="299"/>
      <c r="U153" s="235"/>
      <c r="V153" s="235"/>
      <c r="W153" s="300"/>
      <c r="X153" s="236"/>
      <c r="Y153" s="211"/>
      <c r="Z153" s="237"/>
      <c r="AA153" s="238"/>
      <c r="AB153" s="211"/>
      <c r="AC153" s="237"/>
      <c r="AD153" s="238"/>
      <c r="AE153" s="294">
        <v>37615</v>
      </c>
    </row>
    <row r="154" spans="1:31">
      <c r="A154" s="233"/>
      <c r="B154" s="301"/>
      <c r="C154" s="233"/>
      <c r="D154" s="233"/>
      <c r="E154" s="295"/>
      <c r="F154" s="241"/>
      <c r="G154" s="296"/>
      <c r="H154" s="240"/>
      <c r="I154" s="240"/>
      <c r="J154" s="261"/>
      <c r="K154" s="241"/>
      <c r="L154" s="234"/>
      <c r="M154" s="237"/>
      <c r="N154" s="240"/>
      <c r="O154" s="236"/>
      <c r="P154" s="297"/>
      <c r="Q154" s="298"/>
      <c r="R154" s="298"/>
      <c r="S154" s="297"/>
      <c r="T154" s="299"/>
      <c r="U154" s="235"/>
      <c r="V154" s="235"/>
      <c r="W154" s="300"/>
      <c r="X154" s="236"/>
      <c r="Y154" s="211"/>
      <c r="Z154" s="237"/>
      <c r="AA154" s="238"/>
      <c r="AB154" s="211"/>
      <c r="AC154" s="237"/>
      <c r="AD154" s="238"/>
      <c r="AE154" s="294">
        <v>37622</v>
      </c>
    </row>
    <row r="155" spans="1:31">
      <c r="A155" s="233"/>
      <c r="B155" s="301"/>
      <c r="C155" s="233"/>
      <c r="D155" s="233"/>
      <c r="E155" s="295"/>
      <c r="F155" s="241"/>
      <c r="G155" s="296"/>
      <c r="H155" s="240"/>
      <c r="I155" s="240"/>
      <c r="J155" s="261"/>
      <c r="K155" s="241"/>
      <c r="L155" s="234"/>
      <c r="M155" s="237"/>
      <c r="N155" s="240"/>
      <c r="O155" s="236"/>
      <c r="P155" s="297"/>
      <c r="Q155" s="298"/>
      <c r="R155" s="298"/>
      <c r="S155" s="297"/>
      <c r="T155" s="299"/>
      <c r="U155" s="235"/>
      <c r="V155" s="235"/>
      <c r="W155" s="300"/>
      <c r="X155" s="236"/>
      <c r="Y155" s="211"/>
      <c r="Z155" s="237"/>
      <c r="AA155" s="238"/>
      <c r="AB155" s="211"/>
      <c r="AC155" s="237"/>
      <c r="AD155" s="238"/>
      <c r="AE155" s="294">
        <v>37641</v>
      </c>
    </row>
    <row r="156" spans="1:31">
      <c r="A156" s="233"/>
      <c r="B156" s="301"/>
      <c r="C156" s="233"/>
      <c r="D156" s="233"/>
      <c r="E156" s="295"/>
      <c r="F156" s="241"/>
      <c r="G156" s="296"/>
      <c r="H156" s="240"/>
      <c r="I156" s="240"/>
      <c r="J156" s="261"/>
      <c r="K156" s="241"/>
      <c r="L156" s="234"/>
      <c r="M156" s="237"/>
      <c r="N156" s="240"/>
      <c r="O156" s="236"/>
      <c r="P156" s="297"/>
      <c r="Q156" s="298"/>
      <c r="R156" s="298"/>
      <c r="S156" s="297"/>
      <c r="T156" s="299"/>
      <c r="U156" s="235"/>
      <c r="V156" s="235"/>
      <c r="W156" s="300"/>
      <c r="X156" s="236"/>
      <c r="Y156" s="211"/>
      <c r="Z156" s="237"/>
      <c r="AA156" s="238"/>
      <c r="AB156" s="211"/>
      <c r="AC156" s="237"/>
      <c r="AD156" s="238"/>
      <c r="AE156" s="294">
        <v>37664</v>
      </c>
    </row>
    <row r="157" spans="1:31">
      <c r="A157" s="233"/>
      <c r="B157" s="301"/>
      <c r="C157" s="233"/>
      <c r="D157" s="233"/>
      <c r="E157" s="295"/>
      <c r="F157" s="241"/>
      <c r="G157" s="296"/>
      <c r="H157" s="240"/>
      <c r="I157" s="240"/>
      <c r="J157" s="261"/>
      <c r="K157" s="241"/>
      <c r="L157" s="234"/>
      <c r="M157" s="237"/>
      <c r="N157" s="240"/>
      <c r="O157" s="236"/>
      <c r="P157" s="297"/>
      <c r="Q157" s="298"/>
      <c r="R157" s="298"/>
      <c r="S157" s="297"/>
      <c r="T157" s="299"/>
      <c r="U157" s="235"/>
      <c r="V157" s="235"/>
      <c r="W157" s="300"/>
      <c r="X157" s="236"/>
      <c r="Y157" s="211"/>
      <c r="Z157" s="237"/>
      <c r="AA157" s="238"/>
      <c r="AB157" s="211"/>
      <c r="AC157" s="237"/>
      <c r="AD157" s="238"/>
      <c r="AE157" s="294">
        <v>37669</v>
      </c>
    </row>
    <row r="158" spans="1:31">
      <c r="A158" s="233"/>
      <c r="B158" s="301"/>
      <c r="C158" s="233"/>
      <c r="D158" s="233"/>
      <c r="E158" s="295"/>
      <c r="F158" s="241"/>
      <c r="G158" s="296"/>
      <c r="H158" s="240"/>
      <c r="I158" s="240"/>
      <c r="J158" s="261"/>
      <c r="K158" s="241"/>
      <c r="L158" s="234"/>
      <c r="M158" s="237"/>
      <c r="N158" s="240"/>
      <c r="O158" s="236"/>
      <c r="P158" s="297"/>
      <c r="Q158" s="298"/>
      <c r="R158" s="298"/>
      <c r="S158" s="297"/>
      <c r="T158" s="299"/>
      <c r="U158" s="235"/>
      <c r="V158" s="235"/>
      <c r="W158" s="300"/>
      <c r="X158" s="236"/>
      <c r="Y158" s="211"/>
      <c r="Z158" s="237"/>
      <c r="AA158" s="238"/>
      <c r="AB158" s="211"/>
      <c r="AC158" s="237"/>
      <c r="AD158" s="238"/>
      <c r="AE158" s="294">
        <v>37767</v>
      </c>
    </row>
    <row r="159" spans="1:31">
      <c r="A159" s="233"/>
      <c r="B159" s="301"/>
      <c r="C159" s="233"/>
      <c r="D159" s="233"/>
      <c r="E159" s="295"/>
      <c r="F159" s="241"/>
      <c r="G159" s="296"/>
      <c r="H159" s="240"/>
      <c r="I159" s="240"/>
      <c r="J159" s="261"/>
      <c r="K159" s="241"/>
      <c r="L159" s="234"/>
      <c r="M159" s="237"/>
      <c r="N159" s="240"/>
      <c r="O159" s="236"/>
      <c r="P159" s="297"/>
      <c r="Q159" s="298"/>
      <c r="R159" s="298"/>
      <c r="S159" s="297"/>
      <c r="T159" s="299"/>
      <c r="U159" s="235"/>
      <c r="V159" s="235"/>
      <c r="W159" s="300"/>
      <c r="X159" s="236"/>
      <c r="Y159" s="211"/>
      <c r="Z159" s="237"/>
      <c r="AA159" s="238"/>
      <c r="AB159" s="211"/>
      <c r="AC159" s="237"/>
      <c r="AD159" s="238"/>
      <c r="AE159" s="294">
        <v>37806</v>
      </c>
    </row>
    <row r="160" spans="1:31">
      <c r="A160" s="233"/>
      <c r="B160" s="301"/>
      <c r="C160" s="233"/>
      <c r="D160" s="233"/>
      <c r="E160" s="295"/>
      <c r="F160" s="241"/>
      <c r="G160" s="296"/>
      <c r="H160" s="240"/>
      <c r="I160" s="240"/>
      <c r="J160" s="261"/>
      <c r="K160" s="241"/>
      <c r="L160" s="234"/>
      <c r="M160" s="237"/>
      <c r="N160" s="240"/>
      <c r="O160" s="236"/>
      <c r="P160" s="297"/>
      <c r="Q160" s="298"/>
      <c r="R160" s="298"/>
      <c r="S160" s="297"/>
      <c r="T160" s="299"/>
      <c r="U160" s="235"/>
      <c r="V160" s="235"/>
      <c r="W160" s="300"/>
      <c r="X160" s="236"/>
      <c r="Y160" s="211"/>
      <c r="Z160" s="237"/>
      <c r="AA160" s="238"/>
      <c r="AB160" s="211"/>
      <c r="AC160" s="237"/>
      <c r="AD160" s="238"/>
      <c r="AE160" s="294">
        <v>37865</v>
      </c>
    </row>
    <row r="161" spans="1:31">
      <c r="A161" s="233"/>
      <c r="B161" s="301"/>
      <c r="C161" s="233"/>
      <c r="D161" s="233"/>
      <c r="E161" s="295"/>
      <c r="F161" s="241"/>
      <c r="G161" s="296"/>
      <c r="H161" s="240"/>
      <c r="I161" s="240"/>
      <c r="J161" s="261"/>
      <c r="K161" s="241"/>
      <c r="L161" s="234"/>
      <c r="M161" s="237"/>
      <c r="N161" s="240"/>
      <c r="O161" s="236"/>
      <c r="P161" s="297"/>
      <c r="Q161" s="298"/>
      <c r="R161" s="298"/>
      <c r="S161" s="297"/>
      <c r="T161" s="299"/>
      <c r="U161" s="235"/>
      <c r="V161" s="235"/>
      <c r="W161" s="300"/>
      <c r="X161" s="236"/>
      <c r="Y161" s="211"/>
      <c r="Z161" s="237"/>
      <c r="AA161" s="238"/>
      <c r="AB161" s="211"/>
      <c r="AC161" s="237"/>
      <c r="AD161" s="238"/>
      <c r="AE161" s="294">
        <v>37907</v>
      </c>
    </row>
    <row r="162" spans="1:31">
      <c r="A162" s="233"/>
      <c r="B162" s="301"/>
      <c r="C162" s="233"/>
      <c r="D162" s="233"/>
      <c r="E162" s="295"/>
      <c r="F162" s="241"/>
      <c r="G162" s="296"/>
      <c r="H162" s="240"/>
      <c r="I162" s="240"/>
      <c r="J162" s="261"/>
      <c r="K162" s="241"/>
      <c r="L162" s="234"/>
      <c r="M162" s="237"/>
      <c r="N162" s="240"/>
      <c r="O162" s="236"/>
      <c r="P162" s="297"/>
      <c r="Q162" s="298"/>
      <c r="R162" s="298"/>
      <c r="S162" s="297"/>
      <c r="T162" s="299"/>
      <c r="U162" s="235"/>
      <c r="V162" s="235"/>
      <c r="W162" s="300"/>
      <c r="X162" s="236"/>
      <c r="Y162" s="211"/>
      <c r="Z162" s="237"/>
      <c r="AA162" s="238"/>
      <c r="AB162" s="211"/>
      <c r="AC162" s="237"/>
      <c r="AD162" s="238"/>
      <c r="AE162" s="294">
        <v>37936</v>
      </c>
    </row>
    <row r="163" spans="1:31">
      <c r="A163" s="233"/>
      <c r="B163" s="301"/>
      <c r="C163" s="233"/>
      <c r="D163" s="233"/>
      <c r="E163" s="295"/>
      <c r="F163" s="241"/>
      <c r="G163" s="296"/>
      <c r="H163" s="240"/>
      <c r="I163" s="240"/>
      <c r="J163" s="261"/>
      <c r="K163" s="241"/>
      <c r="L163" s="234"/>
      <c r="M163" s="237"/>
      <c r="N163" s="240"/>
      <c r="O163" s="236"/>
      <c r="P163" s="297"/>
      <c r="Q163" s="298"/>
      <c r="R163" s="298"/>
      <c r="S163" s="297"/>
      <c r="T163" s="299"/>
      <c r="U163" s="235"/>
      <c r="V163" s="235"/>
      <c r="W163" s="300"/>
      <c r="X163" s="236"/>
      <c r="Y163" s="211"/>
      <c r="Z163" s="237"/>
      <c r="AA163" s="238"/>
      <c r="AB163" s="211"/>
      <c r="AC163" s="237"/>
      <c r="AD163" s="238"/>
      <c r="AE163" s="294">
        <v>37952</v>
      </c>
    </row>
    <row r="164" spans="1:31">
      <c r="A164" s="233"/>
      <c r="B164" s="301"/>
      <c r="C164" s="233"/>
      <c r="D164" s="233"/>
      <c r="E164" s="295"/>
      <c r="F164" s="241"/>
      <c r="G164" s="296"/>
      <c r="H164" s="240"/>
      <c r="I164" s="240"/>
      <c r="J164" s="261"/>
      <c r="K164" s="241"/>
      <c r="L164" s="234"/>
      <c r="M164" s="237"/>
      <c r="N164" s="240"/>
      <c r="O164" s="236"/>
      <c r="P164" s="297"/>
      <c r="Q164" s="298"/>
      <c r="R164" s="298"/>
      <c r="S164" s="297"/>
      <c r="T164" s="299"/>
      <c r="U164" s="235"/>
      <c r="V164" s="235"/>
      <c r="W164" s="300"/>
      <c r="X164" s="236"/>
      <c r="Y164" s="211"/>
      <c r="Z164" s="237"/>
      <c r="AA164" s="238"/>
      <c r="AB164" s="211"/>
      <c r="AC164" s="237"/>
      <c r="AD164" s="238"/>
      <c r="AE164" s="294">
        <v>37980</v>
      </c>
    </row>
    <row r="165" spans="1:31">
      <c r="A165" s="233"/>
      <c r="B165" s="301"/>
      <c r="C165" s="233"/>
      <c r="D165" s="233"/>
      <c r="E165" s="295"/>
      <c r="F165" s="241"/>
      <c r="G165" s="296"/>
      <c r="H165" s="240"/>
      <c r="I165" s="240"/>
      <c r="J165" s="261"/>
      <c r="K165" s="241"/>
      <c r="L165" s="234"/>
      <c r="M165" s="237"/>
      <c r="N165" s="240"/>
      <c r="O165" s="236"/>
      <c r="P165" s="297"/>
      <c r="Q165" s="298"/>
      <c r="R165" s="298"/>
      <c r="S165" s="297"/>
      <c r="T165" s="299"/>
      <c r="U165" s="235"/>
      <c r="V165" s="235"/>
      <c r="W165" s="300"/>
      <c r="X165" s="236"/>
      <c r="Y165" s="211"/>
      <c r="Z165" s="237"/>
      <c r="AA165" s="238"/>
      <c r="AB165" s="211"/>
      <c r="AC165" s="237"/>
      <c r="AD165" s="238"/>
      <c r="AE165" s="294">
        <v>37987</v>
      </c>
    </row>
    <row r="166" spans="1:31">
      <c r="A166" s="233"/>
      <c r="B166" s="301"/>
      <c r="C166" s="233"/>
      <c r="D166" s="233"/>
      <c r="E166" s="295"/>
      <c r="F166" s="241"/>
      <c r="G166" s="296"/>
      <c r="H166" s="240"/>
      <c r="I166" s="240"/>
      <c r="J166" s="261"/>
      <c r="K166" s="241"/>
      <c r="L166" s="234"/>
      <c r="M166" s="237"/>
      <c r="N166" s="240"/>
      <c r="O166" s="236"/>
      <c r="P166" s="297"/>
      <c r="Q166" s="298"/>
      <c r="R166" s="298"/>
      <c r="S166" s="297"/>
      <c r="T166" s="299"/>
      <c r="U166" s="235"/>
      <c r="V166" s="235"/>
      <c r="W166" s="300"/>
      <c r="X166" s="236"/>
      <c r="Y166" s="211"/>
      <c r="Z166" s="237"/>
      <c r="AA166" s="238"/>
      <c r="AB166" s="211"/>
      <c r="AC166" s="237"/>
      <c r="AD166" s="238"/>
      <c r="AE166" s="294">
        <v>38005</v>
      </c>
    </row>
    <row r="167" spans="1:31">
      <c r="A167" s="233"/>
      <c r="B167" s="301"/>
      <c r="C167" s="233"/>
      <c r="D167" s="233"/>
      <c r="E167" s="295"/>
      <c r="F167" s="241"/>
      <c r="G167" s="296"/>
      <c r="H167" s="240"/>
      <c r="I167" s="240"/>
      <c r="J167" s="261"/>
      <c r="K167" s="241"/>
      <c r="L167" s="234"/>
      <c r="M167" s="237"/>
      <c r="N167" s="240"/>
      <c r="O167" s="236"/>
      <c r="P167" s="297"/>
      <c r="Q167" s="298"/>
      <c r="R167" s="298"/>
      <c r="S167" s="297"/>
      <c r="T167" s="299"/>
      <c r="U167" s="235"/>
      <c r="V167" s="235"/>
      <c r="W167" s="300"/>
      <c r="X167" s="236"/>
      <c r="Y167" s="211"/>
      <c r="Z167" s="237"/>
      <c r="AA167" s="238"/>
      <c r="AB167" s="211"/>
      <c r="AC167" s="237"/>
      <c r="AD167" s="238"/>
      <c r="AE167" s="294">
        <v>38029</v>
      </c>
    </row>
    <row r="168" spans="1:31">
      <c r="A168" s="233"/>
      <c r="B168" s="301"/>
      <c r="C168" s="233"/>
      <c r="D168" s="233"/>
      <c r="E168" s="295"/>
      <c r="F168" s="241"/>
      <c r="G168" s="296"/>
      <c r="H168" s="240"/>
      <c r="I168" s="240"/>
      <c r="J168" s="261"/>
      <c r="K168" s="241"/>
      <c r="L168" s="234"/>
      <c r="M168" s="237"/>
      <c r="N168" s="240"/>
      <c r="O168" s="236"/>
      <c r="P168" s="297"/>
      <c r="Q168" s="298"/>
      <c r="R168" s="298"/>
      <c r="S168" s="297"/>
      <c r="T168" s="299"/>
      <c r="U168" s="235"/>
      <c r="V168" s="235"/>
      <c r="W168" s="300"/>
      <c r="X168" s="236"/>
      <c r="Y168" s="211"/>
      <c r="Z168" s="237"/>
      <c r="AA168" s="238"/>
      <c r="AB168" s="211"/>
      <c r="AC168" s="237"/>
      <c r="AD168" s="238"/>
      <c r="AE168" s="294">
        <v>38033</v>
      </c>
    </row>
    <row r="169" spans="1:31">
      <c r="A169" s="233"/>
      <c r="B169" s="301"/>
      <c r="C169" s="233"/>
      <c r="D169" s="233"/>
      <c r="E169" s="295"/>
      <c r="F169" s="241"/>
      <c r="G169" s="296"/>
      <c r="H169" s="240"/>
      <c r="I169" s="240"/>
      <c r="J169" s="261"/>
      <c r="K169" s="241"/>
      <c r="L169" s="234"/>
      <c r="M169" s="237"/>
      <c r="N169" s="240"/>
      <c r="O169" s="236"/>
      <c r="P169" s="297"/>
      <c r="Q169" s="298"/>
      <c r="R169" s="298"/>
      <c r="S169" s="297"/>
      <c r="T169" s="299"/>
      <c r="U169" s="235"/>
      <c r="V169" s="235"/>
      <c r="W169" s="300"/>
      <c r="X169" s="236"/>
      <c r="Y169" s="211"/>
      <c r="Z169" s="237"/>
      <c r="AA169" s="238"/>
      <c r="AB169" s="211"/>
      <c r="AC169" s="237"/>
      <c r="AD169" s="238"/>
      <c r="AE169" s="294">
        <v>38138</v>
      </c>
    </row>
    <row r="170" spans="1:31">
      <c r="A170" s="233"/>
      <c r="B170" s="301"/>
      <c r="C170" s="233"/>
      <c r="D170" s="233"/>
      <c r="E170" s="295"/>
      <c r="F170" s="241"/>
      <c r="G170" s="296"/>
      <c r="H170" s="240"/>
      <c r="I170" s="240"/>
      <c r="J170" s="261"/>
      <c r="K170" s="241"/>
      <c r="L170" s="234"/>
      <c r="M170" s="237"/>
      <c r="N170" s="240"/>
      <c r="O170" s="236"/>
      <c r="P170" s="297"/>
      <c r="Q170" s="298"/>
      <c r="R170" s="298"/>
      <c r="S170" s="297"/>
      <c r="T170" s="299"/>
      <c r="U170" s="235"/>
      <c r="V170" s="235"/>
      <c r="W170" s="300"/>
      <c r="X170" s="236"/>
      <c r="Y170" s="211"/>
      <c r="Z170" s="237"/>
      <c r="AA170" s="238"/>
      <c r="AB170" s="211"/>
      <c r="AC170" s="237"/>
      <c r="AD170" s="238"/>
      <c r="AE170" s="294">
        <v>38173</v>
      </c>
    </row>
    <row r="171" spans="1:31">
      <c r="A171" s="233"/>
      <c r="B171" s="301"/>
      <c r="C171" s="233"/>
      <c r="D171" s="233"/>
      <c r="E171" s="295"/>
      <c r="F171" s="241"/>
      <c r="G171" s="296"/>
      <c r="H171" s="240"/>
      <c r="I171" s="240"/>
      <c r="J171" s="261"/>
      <c r="K171" s="241"/>
      <c r="L171" s="234"/>
      <c r="M171" s="237"/>
      <c r="N171" s="240"/>
      <c r="O171" s="236"/>
      <c r="P171" s="297"/>
      <c r="Q171" s="298"/>
      <c r="R171" s="298"/>
      <c r="S171" s="297"/>
      <c r="T171" s="299"/>
      <c r="U171" s="235"/>
      <c r="V171" s="235"/>
      <c r="W171" s="300"/>
      <c r="X171" s="236"/>
      <c r="Y171" s="211"/>
      <c r="Z171" s="237"/>
      <c r="AA171" s="238"/>
      <c r="AB171" s="211"/>
      <c r="AC171" s="237"/>
      <c r="AD171" s="238"/>
      <c r="AE171" s="294">
        <v>38236</v>
      </c>
    </row>
    <row r="172" spans="1:31">
      <c r="A172" s="233"/>
      <c r="B172" s="301"/>
      <c r="C172" s="233"/>
      <c r="D172" s="233"/>
      <c r="E172" s="295"/>
      <c r="F172" s="241"/>
      <c r="G172" s="296"/>
      <c r="H172" s="240"/>
      <c r="I172" s="240"/>
      <c r="J172" s="261"/>
      <c r="K172" s="241"/>
      <c r="L172" s="234"/>
      <c r="M172" s="237"/>
      <c r="N172" s="240"/>
      <c r="O172" s="236"/>
      <c r="P172" s="297"/>
      <c r="Q172" s="298"/>
      <c r="R172" s="298"/>
      <c r="S172" s="297"/>
      <c r="T172" s="299"/>
      <c r="U172" s="235"/>
      <c r="V172" s="235"/>
      <c r="W172" s="300"/>
      <c r="X172" s="236"/>
      <c r="Y172" s="211"/>
      <c r="Z172" s="237"/>
      <c r="AA172" s="238"/>
      <c r="AB172" s="211"/>
      <c r="AC172" s="237"/>
      <c r="AD172" s="238"/>
      <c r="AE172" s="294">
        <v>38271</v>
      </c>
    </row>
    <row r="173" spans="1:31">
      <c r="A173" s="233"/>
      <c r="B173" s="301"/>
      <c r="C173" s="233"/>
      <c r="D173" s="233"/>
      <c r="E173" s="295"/>
      <c r="F173" s="241"/>
      <c r="G173" s="296"/>
      <c r="H173" s="240"/>
      <c r="I173" s="240"/>
      <c r="J173" s="261"/>
      <c r="K173" s="241"/>
      <c r="L173" s="234"/>
      <c r="M173" s="237"/>
      <c r="N173" s="240"/>
      <c r="O173" s="236"/>
      <c r="P173" s="297"/>
      <c r="Q173" s="298"/>
      <c r="R173" s="298"/>
      <c r="S173" s="297"/>
      <c r="T173" s="299"/>
      <c r="U173" s="235"/>
      <c r="V173" s="235"/>
      <c r="W173" s="300"/>
      <c r="X173" s="236"/>
      <c r="Y173" s="211"/>
      <c r="Z173" s="237"/>
      <c r="AA173" s="238"/>
      <c r="AB173" s="211"/>
      <c r="AC173" s="237"/>
      <c r="AD173" s="238"/>
      <c r="AE173" s="294">
        <v>38302</v>
      </c>
    </row>
    <row r="174" spans="1:31">
      <c r="A174" s="233"/>
      <c r="B174" s="301"/>
      <c r="C174" s="233"/>
      <c r="D174" s="233"/>
      <c r="E174" s="295"/>
      <c r="F174" s="241"/>
      <c r="G174" s="296"/>
      <c r="H174" s="240"/>
      <c r="I174" s="240"/>
      <c r="J174" s="261"/>
      <c r="K174" s="241"/>
      <c r="L174" s="234"/>
      <c r="M174" s="237"/>
      <c r="N174" s="240"/>
      <c r="O174" s="236"/>
      <c r="P174" s="297"/>
      <c r="Q174" s="298"/>
      <c r="R174" s="298"/>
      <c r="S174" s="297"/>
      <c r="T174" s="299"/>
      <c r="U174" s="235"/>
      <c r="V174" s="235"/>
      <c r="W174" s="300"/>
      <c r="X174" s="236"/>
      <c r="Y174" s="211"/>
      <c r="Z174" s="237"/>
      <c r="AA174" s="238"/>
      <c r="AB174" s="211"/>
      <c r="AC174" s="237"/>
      <c r="AD174" s="238"/>
      <c r="AE174" s="294">
        <v>38316</v>
      </c>
    </row>
    <row r="175" spans="1:31">
      <c r="A175" s="233"/>
      <c r="B175" s="301"/>
      <c r="C175" s="233"/>
      <c r="D175" s="233"/>
      <c r="E175" s="295"/>
      <c r="F175" s="241"/>
      <c r="G175" s="296"/>
      <c r="H175" s="240"/>
      <c r="I175" s="240"/>
      <c r="J175" s="261"/>
      <c r="K175" s="241"/>
      <c r="L175" s="234"/>
      <c r="M175" s="237"/>
      <c r="N175" s="240"/>
      <c r="O175" s="236"/>
      <c r="P175" s="297"/>
      <c r="Q175" s="298"/>
      <c r="R175" s="298"/>
      <c r="S175" s="297"/>
      <c r="T175" s="299"/>
      <c r="U175" s="235"/>
      <c r="V175" s="235"/>
      <c r="W175" s="300"/>
      <c r="X175" s="236"/>
      <c r="Y175" s="211"/>
      <c r="Z175" s="237"/>
      <c r="AA175" s="238"/>
      <c r="AB175" s="211"/>
      <c r="AC175" s="237"/>
      <c r="AD175" s="238"/>
      <c r="AE175" s="294">
        <v>38345</v>
      </c>
    </row>
    <row r="176" spans="1:31">
      <c r="A176" s="233"/>
      <c r="B176" s="301"/>
      <c r="C176" s="233"/>
      <c r="D176" s="233"/>
      <c r="E176" s="295"/>
      <c r="F176" s="241"/>
      <c r="G176" s="296"/>
      <c r="H176" s="240"/>
      <c r="I176" s="240"/>
      <c r="J176" s="261"/>
      <c r="K176" s="241"/>
      <c r="L176" s="234"/>
      <c r="M176" s="237"/>
      <c r="N176" s="240"/>
      <c r="O176" s="236"/>
      <c r="P176" s="297"/>
      <c r="Q176" s="298"/>
      <c r="R176" s="298"/>
      <c r="S176" s="297"/>
      <c r="T176" s="299"/>
      <c r="U176" s="235"/>
      <c r="V176" s="235"/>
      <c r="W176" s="300"/>
      <c r="X176" s="236"/>
      <c r="Y176" s="211"/>
      <c r="Z176" s="237"/>
      <c r="AA176" s="238"/>
      <c r="AB176" s="211"/>
      <c r="AC176" s="237"/>
      <c r="AD176" s="238"/>
      <c r="AE176" s="294">
        <v>38352</v>
      </c>
    </row>
    <row r="177" spans="1:31">
      <c r="A177" s="233"/>
      <c r="B177" s="301"/>
      <c r="C177" s="233"/>
      <c r="D177" s="233"/>
      <c r="E177" s="295"/>
      <c r="F177" s="241"/>
      <c r="G177" s="296"/>
      <c r="H177" s="240"/>
      <c r="I177" s="240"/>
      <c r="J177" s="261"/>
      <c r="K177" s="241"/>
      <c r="L177" s="234"/>
      <c r="M177" s="237"/>
      <c r="N177" s="240"/>
      <c r="O177" s="236"/>
      <c r="P177" s="297"/>
      <c r="Q177" s="298"/>
      <c r="R177" s="298"/>
      <c r="S177" s="297"/>
      <c r="T177" s="299"/>
      <c r="U177" s="235"/>
      <c r="V177" s="235"/>
      <c r="W177" s="300"/>
      <c r="X177" s="236"/>
      <c r="Y177" s="211"/>
      <c r="Z177" s="237"/>
      <c r="AA177" s="238"/>
      <c r="AB177" s="211"/>
      <c r="AC177" s="237"/>
      <c r="AD177" s="238"/>
      <c r="AE177" s="294">
        <v>38369</v>
      </c>
    </row>
    <row r="178" spans="1:31">
      <c r="A178" s="233"/>
      <c r="B178" s="301"/>
      <c r="C178" s="233"/>
      <c r="D178" s="233"/>
      <c r="E178" s="295"/>
      <c r="F178" s="241"/>
      <c r="G178" s="296"/>
      <c r="H178" s="240"/>
      <c r="I178" s="240"/>
      <c r="J178" s="261"/>
      <c r="K178" s="241"/>
      <c r="L178" s="234"/>
      <c r="M178" s="237"/>
      <c r="N178" s="240"/>
      <c r="O178" s="236"/>
      <c r="P178" s="297"/>
      <c r="Q178" s="298"/>
      <c r="R178" s="298"/>
      <c r="S178" s="297"/>
      <c r="T178" s="299"/>
      <c r="U178" s="235"/>
      <c r="V178" s="235"/>
      <c r="W178" s="300"/>
      <c r="X178" s="236"/>
      <c r="Y178" s="211"/>
      <c r="Z178" s="237"/>
      <c r="AA178" s="238"/>
      <c r="AB178" s="211"/>
      <c r="AC178" s="237"/>
      <c r="AD178" s="238"/>
      <c r="AE178" s="294">
        <v>38394</v>
      </c>
    </row>
    <row r="179" spans="1:31">
      <c r="A179" s="233"/>
      <c r="B179" s="301"/>
      <c r="C179" s="233"/>
      <c r="D179" s="233"/>
      <c r="E179" s="295"/>
      <c r="F179" s="241"/>
      <c r="G179" s="296"/>
      <c r="H179" s="240"/>
      <c r="I179" s="240"/>
      <c r="J179" s="261"/>
      <c r="K179" s="241"/>
      <c r="L179" s="234"/>
      <c r="M179" s="237"/>
      <c r="N179" s="240"/>
      <c r="O179" s="236"/>
      <c r="P179" s="297"/>
      <c r="Q179" s="298"/>
      <c r="R179" s="298"/>
      <c r="S179" s="297"/>
      <c r="T179" s="299"/>
      <c r="U179" s="235"/>
      <c r="V179" s="235"/>
      <c r="W179" s="300"/>
      <c r="X179" s="236"/>
      <c r="Y179" s="211"/>
      <c r="Z179" s="237"/>
      <c r="AA179" s="238"/>
      <c r="AB179" s="211"/>
      <c r="AC179" s="237"/>
      <c r="AD179" s="238"/>
      <c r="AE179" s="294">
        <v>38398</v>
      </c>
    </row>
    <row r="180" spans="1:31">
      <c r="A180" s="233"/>
      <c r="B180" s="301"/>
      <c r="C180" s="233"/>
      <c r="D180" s="233"/>
      <c r="E180" s="295"/>
      <c r="F180" s="241"/>
      <c r="G180" s="296"/>
      <c r="H180" s="240"/>
      <c r="I180" s="240"/>
      <c r="J180" s="261"/>
      <c r="K180" s="241"/>
      <c r="L180" s="234"/>
      <c r="M180" s="237"/>
      <c r="N180" s="240"/>
      <c r="O180" s="236"/>
      <c r="P180" s="297"/>
      <c r="Q180" s="298"/>
      <c r="R180" s="298"/>
      <c r="S180" s="297"/>
      <c r="T180" s="299"/>
      <c r="U180" s="235"/>
      <c r="V180" s="235"/>
      <c r="W180" s="300"/>
      <c r="X180" s="236"/>
      <c r="Y180" s="211"/>
      <c r="Z180" s="237"/>
      <c r="AA180" s="238"/>
      <c r="AB180" s="211"/>
      <c r="AC180" s="237"/>
      <c r="AD180" s="238"/>
      <c r="AE180" s="294">
        <v>38404</v>
      </c>
    </row>
    <row r="181" spans="1:31">
      <c r="A181" s="233"/>
      <c r="B181" s="301"/>
      <c r="C181" s="233"/>
      <c r="D181" s="233"/>
      <c r="E181" s="295"/>
      <c r="F181" s="241"/>
      <c r="G181" s="296"/>
      <c r="H181" s="240"/>
      <c r="I181" s="240"/>
      <c r="J181" s="261"/>
      <c r="K181" s="241"/>
      <c r="L181" s="234"/>
      <c r="M181" s="237"/>
      <c r="N181" s="240"/>
      <c r="O181" s="236"/>
      <c r="P181" s="297"/>
      <c r="Q181" s="298"/>
      <c r="R181" s="298"/>
      <c r="S181" s="297"/>
      <c r="T181" s="299"/>
      <c r="U181" s="235"/>
      <c r="V181" s="235"/>
      <c r="W181" s="300"/>
      <c r="X181" s="236"/>
      <c r="Y181" s="211"/>
      <c r="Z181" s="237"/>
      <c r="AA181" s="238"/>
      <c r="AB181" s="211"/>
      <c r="AC181" s="237"/>
      <c r="AD181" s="238"/>
      <c r="AE181" s="294">
        <v>38502</v>
      </c>
    </row>
    <row r="182" spans="1:31">
      <c r="A182" s="233"/>
      <c r="B182" s="301"/>
      <c r="C182" s="233"/>
      <c r="D182" s="233"/>
      <c r="E182" s="295"/>
      <c r="F182" s="241"/>
      <c r="G182" s="296"/>
      <c r="H182" s="240"/>
      <c r="I182" s="240"/>
      <c r="J182" s="261"/>
      <c r="K182" s="241"/>
      <c r="L182" s="234"/>
      <c r="M182" s="237"/>
      <c r="N182" s="240"/>
      <c r="O182" s="236"/>
      <c r="P182" s="297"/>
      <c r="Q182" s="298"/>
      <c r="R182" s="298"/>
      <c r="S182" s="297"/>
      <c r="T182" s="299"/>
      <c r="U182" s="235"/>
      <c r="V182" s="235"/>
      <c r="W182" s="300"/>
      <c r="X182" s="236"/>
      <c r="Y182" s="211"/>
      <c r="Z182" s="237"/>
      <c r="AA182" s="238"/>
      <c r="AB182" s="211"/>
      <c r="AC182" s="237"/>
      <c r="AD182" s="238"/>
      <c r="AE182" s="294">
        <v>38537</v>
      </c>
    </row>
    <row r="183" spans="1:31">
      <c r="A183" s="233"/>
      <c r="B183" s="301"/>
      <c r="C183" s="233"/>
      <c r="D183" s="233"/>
      <c r="E183" s="295"/>
      <c r="F183" s="241"/>
      <c r="G183" s="296"/>
      <c r="H183" s="240"/>
      <c r="I183" s="240"/>
      <c r="J183" s="261"/>
      <c r="K183" s="241"/>
      <c r="L183" s="234"/>
      <c r="M183" s="237"/>
      <c r="N183" s="240"/>
      <c r="O183" s="236"/>
      <c r="P183" s="297"/>
      <c r="Q183" s="298"/>
      <c r="R183" s="298"/>
      <c r="S183" s="297"/>
      <c r="T183" s="299"/>
      <c r="U183" s="235"/>
      <c r="V183" s="235"/>
      <c r="W183" s="300"/>
      <c r="X183" s="236"/>
      <c r="Y183" s="211"/>
      <c r="Z183" s="237"/>
      <c r="AA183" s="238"/>
      <c r="AB183" s="211"/>
      <c r="AC183" s="237"/>
      <c r="AD183" s="238"/>
      <c r="AE183" s="294">
        <v>38600</v>
      </c>
    </row>
    <row r="184" spans="1:31">
      <c r="A184" s="233"/>
      <c r="B184" s="301"/>
      <c r="C184" s="233"/>
      <c r="D184" s="233"/>
      <c r="E184" s="295"/>
      <c r="F184" s="241"/>
      <c r="G184" s="296"/>
      <c r="H184" s="240"/>
      <c r="I184" s="240"/>
      <c r="J184" s="261"/>
      <c r="K184" s="241"/>
      <c r="L184" s="234"/>
      <c r="M184" s="237"/>
      <c r="N184" s="240"/>
      <c r="O184" s="236"/>
      <c r="P184" s="297"/>
      <c r="Q184" s="298"/>
      <c r="R184" s="298"/>
      <c r="S184" s="297"/>
      <c r="T184" s="299"/>
      <c r="U184" s="235"/>
      <c r="V184" s="235"/>
      <c r="W184" s="300"/>
      <c r="X184" s="236"/>
      <c r="Y184" s="211"/>
      <c r="Z184" s="237"/>
      <c r="AA184" s="238"/>
      <c r="AB184" s="211"/>
      <c r="AC184" s="237"/>
      <c r="AD184" s="238"/>
      <c r="AE184" s="294">
        <v>38635</v>
      </c>
    </row>
    <row r="185" spans="1:31">
      <c r="A185" s="233"/>
      <c r="B185" s="301"/>
      <c r="C185" s="233"/>
      <c r="D185" s="233"/>
      <c r="E185" s="295"/>
      <c r="F185" s="241"/>
      <c r="G185" s="296"/>
      <c r="H185" s="240"/>
      <c r="I185" s="240"/>
      <c r="J185" s="261"/>
      <c r="K185" s="241"/>
      <c r="L185" s="234"/>
      <c r="M185" s="237"/>
      <c r="N185" s="240"/>
      <c r="O185" s="236"/>
      <c r="P185" s="297"/>
      <c r="Q185" s="298"/>
      <c r="R185" s="298"/>
      <c r="S185" s="297"/>
      <c r="T185" s="299"/>
      <c r="U185" s="235"/>
      <c r="V185" s="235"/>
      <c r="W185" s="300"/>
      <c r="X185" s="236"/>
      <c r="Y185" s="211"/>
      <c r="Z185" s="237"/>
      <c r="AA185" s="238"/>
      <c r="AB185" s="211"/>
      <c r="AC185" s="237"/>
      <c r="AD185" s="238"/>
      <c r="AE185" s="294">
        <v>38667</v>
      </c>
    </row>
    <row r="186" spans="1:31">
      <c r="A186" s="233"/>
      <c r="B186" s="301"/>
      <c r="C186" s="233"/>
      <c r="D186" s="233"/>
      <c r="E186" s="295"/>
      <c r="F186" s="241"/>
      <c r="G186" s="296"/>
      <c r="H186" s="240"/>
      <c r="I186" s="240"/>
      <c r="J186" s="261"/>
      <c r="K186" s="241"/>
      <c r="L186" s="234"/>
      <c r="M186" s="237"/>
      <c r="N186" s="240"/>
      <c r="O186" s="236"/>
      <c r="P186" s="297"/>
      <c r="Q186" s="298"/>
      <c r="R186" s="298"/>
      <c r="S186" s="297"/>
      <c r="T186" s="299"/>
      <c r="U186" s="235"/>
      <c r="V186" s="235"/>
      <c r="W186" s="300"/>
      <c r="X186" s="236"/>
      <c r="Y186" s="211"/>
      <c r="Z186" s="237"/>
      <c r="AA186" s="238"/>
      <c r="AB186" s="211"/>
      <c r="AC186" s="237"/>
      <c r="AD186" s="238"/>
      <c r="AE186" s="294">
        <v>38680</v>
      </c>
    </row>
    <row r="187" spans="1:31">
      <c r="A187" s="233"/>
      <c r="B187" s="301"/>
      <c r="C187" s="233"/>
      <c r="D187" s="233"/>
      <c r="E187" s="295"/>
      <c r="F187" s="241"/>
      <c r="G187" s="296"/>
      <c r="H187" s="240"/>
      <c r="I187" s="240"/>
      <c r="J187" s="261"/>
      <c r="K187" s="241"/>
      <c r="L187" s="234"/>
      <c r="M187" s="237"/>
      <c r="N187" s="240"/>
      <c r="O187" s="236"/>
      <c r="P187" s="297"/>
      <c r="Q187" s="298"/>
      <c r="R187" s="298"/>
      <c r="S187" s="297"/>
      <c r="T187" s="299"/>
      <c r="U187" s="235"/>
      <c r="V187" s="235"/>
      <c r="W187" s="300"/>
      <c r="X187" s="236"/>
      <c r="Y187" s="211"/>
      <c r="Z187" s="237"/>
      <c r="AA187" s="238"/>
      <c r="AB187" s="211"/>
      <c r="AC187" s="237"/>
      <c r="AD187" s="238"/>
      <c r="AE187" s="294">
        <v>38712</v>
      </c>
    </row>
    <row r="188" spans="1:31">
      <c r="A188" s="233"/>
      <c r="B188" s="301"/>
      <c r="C188" s="233"/>
      <c r="D188" s="233"/>
      <c r="E188" s="295"/>
      <c r="F188" s="241"/>
      <c r="G188" s="296"/>
      <c r="H188" s="240"/>
      <c r="I188" s="240"/>
      <c r="J188" s="261"/>
      <c r="K188" s="241"/>
      <c r="L188" s="234"/>
      <c r="M188" s="237"/>
      <c r="N188" s="240"/>
      <c r="O188" s="236"/>
      <c r="P188" s="297"/>
      <c r="Q188" s="298"/>
      <c r="R188" s="298"/>
      <c r="S188" s="297"/>
      <c r="T188" s="299"/>
      <c r="U188" s="235"/>
      <c r="V188" s="235"/>
      <c r="W188" s="300"/>
      <c r="X188" s="236"/>
      <c r="Y188" s="211"/>
      <c r="Z188" s="237"/>
      <c r="AA188" s="238"/>
      <c r="AB188" s="211"/>
      <c r="AC188" s="237"/>
      <c r="AD188" s="238"/>
      <c r="AE188" s="294">
        <v>38719</v>
      </c>
    </row>
    <row r="189" spans="1:31">
      <c r="A189" s="233"/>
      <c r="B189" s="301"/>
      <c r="C189" s="233"/>
      <c r="D189" s="233"/>
      <c r="E189" s="295"/>
      <c r="F189" s="241"/>
      <c r="G189" s="296"/>
      <c r="H189" s="240"/>
      <c r="I189" s="240"/>
      <c r="J189" s="261"/>
      <c r="K189" s="241"/>
      <c r="L189" s="234"/>
      <c r="M189" s="237"/>
      <c r="N189" s="240"/>
      <c r="O189" s="236"/>
      <c r="P189" s="297"/>
      <c r="Q189" s="298"/>
      <c r="R189" s="298"/>
      <c r="S189" s="297"/>
      <c r="T189" s="299"/>
      <c r="U189" s="235"/>
      <c r="V189" s="235"/>
      <c r="W189" s="300"/>
      <c r="X189" s="236"/>
      <c r="Y189" s="211"/>
      <c r="Z189" s="237"/>
      <c r="AA189" s="238"/>
      <c r="AB189" s="211"/>
      <c r="AC189" s="237"/>
      <c r="AD189" s="238"/>
      <c r="AE189" s="294">
        <v>38733</v>
      </c>
    </row>
    <row r="190" spans="1:31">
      <c r="A190" s="233"/>
      <c r="B190" s="301"/>
      <c r="C190" s="233"/>
      <c r="D190" s="233"/>
      <c r="E190" s="295"/>
      <c r="F190" s="241"/>
      <c r="G190" s="296"/>
      <c r="H190" s="240"/>
      <c r="I190" s="240"/>
      <c r="J190" s="261"/>
      <c r="K190" s="241"/>
      <c r="L190" s="234"/>
      <c r="M190" s="237"/>
      <c r="N190" s="240"/>
      <c r="O190" s="236"/>
      <c r="P190" s="297"/>
      <c r="Q190" s="298"/>
      <c r="R190" s="298"/>
      <c r="S190" s="297"/>
      <c r="T190" s="299"/>
      <c r="U190" s="235"/>
      <c r="V190" s="235"/>
      <c r="W190" s="300"/>
      <c r="X190" s="236"/>
      <c r="Y190" s="211"/>
      <c r="Z190" s="237"/>
      <c r="AA190" s="238"/>
      <c r="AB190" s="211"/>
      <c r="AC190" s="237"/>
      <c r="AD190" s="238"/>
      <c r="AE190" s="294">
        <v>38761</v>
      </c>
    </row>
    <row r="191" spans="1:31">
      <c r="A191" s="233"/>
      <c r="B191" s="301"/>
      <c r="C191" s="233"/>
      <c r="D191" s="233"/>
      <c r="E191" s="295"/>
      <c r="F191" s="241"/>
      <c r="G191" s="296"/>
      <c r="H191" s="240"/>
      <c r="I191" s="240"/>
      <c r="J191" s="261"/>
      <c r="K191" s="241"/>
      <c r="L191" s="234"/>
      <c r="M191" s="237"/>
      <c r="N191" s="240"/>
      <c r="O191" s="236"/>
      <c r="P191" s="297"/>
      <c r="Q191" s="298"/>
      <c r="R191" s="298"/>
      <c r="S191" s="297"/>
      <c r="T191" s="299"/>
      <c r="U191" s="235"/>
      <c r="V191" s="235"/>
      <c r="W191" s="300"/>
      <c r="X191" s="236"/>
      <c r="Y191" s="211"/>
      <c r="Z191" s="237"/>
      <c r="AA191" s="238"/>
      <c r="AB191" s="211"/>
      <c r="AC191" s="237"/>
      <c r="AD191" s="238"/>
      <c r="AE191" s="294">
        <v>38763</v>
      </c>
    </row>
    <row r="192" spans="1:31">
      <c r="A192" s="233"/>
      <c r="B192" s="301"/>
      <c r="C192" s="233"/>
      <c r="D192" s="233"/>
      <c r="E192" s="295"/>
      <c r="F192" s="241"/>
      <c r="G192" s="296"/>
      <c r="H192" s="240"/>
      <c r="I192" s="240"/>
      <c r="J192" s="261"/>
      <c r="K192" s="241"/>
      <c r="L192" s="234"/>
      <c r="M192" s="237"/>
      <c r="N192" s="240"/>
      <c r="O192" s="236"/>
      <c r="P192" s="297"/>
      <c r="Q192" s="298"/>
      <c r="R192" s="298"/>
      <c r="S192" s="297"/>
      <c r="T192" s="299"/>
      <c r="U192" s="235"/>
      <c r="V192" s="235"/>
      <c r="W192" s="300"/>
      <c r="X192" s="236"/>
      <c r="Y192" s="211"/>
      <c r="Z192" s="237"/>
      <c r="AA192" s="238"/>
      <c r="AB192" s="211"/>
      <c r="AC192" s="237"/>
      <c r="AD192" s="238"/>
      <c r="AE192" s="294">
        <v>38768</v>
      </c>
    </row>
    <row r="193" spans="1:31">
      <c r="A193" s="233"/>
      <c r="B193" s="301"/>
      <c r="C193" s="233"/>
      <c r="D193" s="233"/>
      <c r="E193" s="295"/>
      <c r="F193" s="241"/>
      <c r="G193" s="296"/>
      <c r="H193" s="240"/>
      <c r="I193" s="240"/>
      <c r="J193" s="261"/>
      <c r="K193" s="241"/>
      <c r="L193" s="234"/>
      <c r="M193" s="237"/>
      <c r="N193" s="240"/>
      <c r="O193" s="236"/>
      <c r="P193" s="297"/>
      <c r="Q193" s="298"/>
      <c r="R193" s="298"/>
      <c r="S193" s="297"/>
      <c r="T193" s="299"/>
      <c r="U193" s="235"/>
      <c r="V193" s="235"/>
      <c r="W193" s="300"/>
      <c r="X193" s="236"/>
      <c r="Y193" s="211"/>
      <c r="Z193" s="237"/>
      <c r="AA193" s="238"/>
      <c r="AB193" s="211"/>
      <c r="AC193" s="237"/>
      <c r="AD193" s="238"/>
      <c r="AE193" s="294">
        <v>38866</v>
      </c>
    </row>
    <row r="194" spans="1:31">
      <c r="A194" s="233"/>
      <c r="B194" s="301"/>
      <c r="C194" s="233"/>
      <c r="D194" s="233"/>
      <c r="E194" s="295"/>
      <c r="F194" s="241"/>
      <c r="G194" s="296"/>
      <c r="H194" s="240"/>
      <c r="I194" s="240"/>
      <c r="J194" s="261"/>
      <c r="K194" s="241"/>
      <c r="L194" s="234"/>
      <c r="M194" s="237"/>
      <c r="N194" s="240"/>
      <c r="O194" s="236"/>
      <c r="P194" s="297"/>
      <c r="Q194" s="298"/>
      <c r="R194" s="298"/>
      <c r="S194" s="297"/>
      <c r="T194" s="299"/>
      <c r="U194" s="235"/>
      <c r="V194" s="235"/>
      <c r="W194" s="300"/>
      <c r="X194" s="236"/>
      <c r="Y194" s="211"/>
      <c r="Z194" s="237"/>
      <c r="AA194" s="238"/>
      <c r="AB194" s="211"/>
      <c r="AC194" s="237"/>
      <c r="AD194" s="238"/>
      <c r="AE194" s="294">
        <v>38902</v>
      </c>
    </row>
    <row r="195" spans="1:31">
      <c r="A195" s="233"/>
      <c r="B195" s="301"/>
      <c r="C195" s="233"/>
      <c r="D195" s="233"/>
      <c r="E195" s="295"/>
      <c r="F195" s="241"/>
      <c r="G195" s="296"/>
      <c r="H195" s="240"/>
      <c r="I195" s="240"/>
      <c r="J195" s="261"/>
      <c r="K195" s="241"/>
      <c r="L195" s="234"/>
      <c r="M195" s="237"/>
      <c r="N195" s="240"/>
      <c r="O195" s="236"/>
      <c r="P195" s="297"/>
      <c r="Q195" s="298"/>
      <c r="R195" s="298"/>
      <c r="S195" s="297"/>
      <c r="T195" s="299"/>
      <c r="U195" s="235"/>
      <c r="V195" s="235"/>
      <c r="W195" s="300"/>
      <c r="X195" s="236"/>
      <c r="Y195" s="211"/>
      <c r="Z195" s="237"/>
      <c r="AA195" s="238"/>
      <c r="AB195" s="211"/>
      <c r="AC195" s="237"/>
      <c r="AD195" s="238"/>
      <c r="AE195" s="294">
        <v>38964</v>
      </c>
    </row>
    <row r="196" spans="1:31">
      <c r="A196" s="233"/>
      <c r="B196" s="301"/>
      <c r="C196" s="233"/>
      <c r="D196" s="233"/>
      <c r="E196" s="295"/>
      <c r="F196" s="241"/>
      <c r="G196" s="296"/>
      <c r="H196" s="240"/>
      <c r="I196" s="240"/>
      <c r="J196" s="261"/>
      <c r="K196" s="241"/>
      <c r="L196" s="234"/>
      <c r="M196" s="237"/>
      <c r="N196" s="240"/>
      <c r="O196" s="236"/>
      <c r="P196" s="297"/>
      <c r="Q196" s="298"/>
      <c r="R196" s="298"/>
      <c r="S196" s="297"/>
      <c r="T196" s="299"/>
      <c r="U196" s="235"/>
      <c r="V196" s="235"/>
      <c r="W196" s="300"/>
      <c r="X196" s="236"/>
      <c r="Y196" s="211"/>
      <c r="Z196" s="237"/>
      <c r="AA196" s="238"/>
      <c r="AB196" s="211"/>
      <c r="AC196" s="237"/>
      <c r="AD196" s="238"/>
      <c r="AE196" s="294">
        <v>38999</v>
      </c>
    </row>
    <row r="197" spans="1:31">
      <c r="A197" s="233"/>
      <c r="B197" s="301"/>
      <c r="C197" s="233"/>
      <c r="D197" s="233"/>
      <c r="E197" s="295"/>
      <c r="F197" s="241"/>
      <c r="G197" s="296"/>
      <c r="H197" s="240"/>
      <c r="I197" s="240"/>
      <c r="J197" s="261"/>
      <c r="K197" s="241"/>
      <c r="L197" s="234"/>
      <c r="M197" s="237"/>
      <c r="N197" s="240"/>
      <c r="O197" s="236"/>
      <c r="P197" s="297"/>
      <c r="Q197" s="298"/>
      <c r="R197" s="298"/>
      <c r="S197" s="297"/>
      <c r="T197" s="299"/>
      <c r="U197" s="235"/>
      <c r="V197" s="235"/>
      <c r="W197" s="300"/>
      <c r="X197" s="236"/>
      <c r="Y197" s="211"/>
      <c r="Z197" s="237"/>
      <c r="AA197" s="238"/>
      <c r="AB197" s="211"/>
      <c r="AC197" s="237"/>
      <c r="AD197" s="238"/>
      <c r="AE197" s="294">
        <v>39031</v>
      </c>
    </row>
    <row r="198" spans="1:31">
      <c r="A198" s="233"/>
      <c r="B198" s="301"/>
      <c r="C198" s="233"/>
      <c r="D198" s="233"/>
      <c r="E198" s="295"/>
      <c r="F198" s="241"/>
      <c r="G198" s="296"/>
      <c r="H198" s="240"/>
      <c r="I198" s="240"/>
      <c r="J198" s="261"/>
      <c r="K198" s="241"/>
      <c r="L198" s="234"/>
      <c r="M198" s="237"/>
      <c r="N198" s="240"/>
      <c r="O198" s="236"/>
      <c r="P198" s="297"/>
      <c r="Q198" s="298"/>
      <c r="R198" s="298"/>
      <c r="S198" s="297"/>
      <c r="T198" s="299"/>
      <c r="U198" s="235"/>
      <c r="V198" s="235"/>
      <c r="W198" s="300"/>
      <c r="X198" s="236"/>
      <c r="Y198" s="211"/>
      <c r="Z198" s="237"/>
      <c r="AA198" s="238"/>
      <c r="AB198" s="211"/>
      <c r="AC198" s="237"/>
      <c r="AD198" s="238"/>
      <c r="AE198" s="294">
        <v>39044</v>
      </c>
    </row>
    <row r="199" spans="1:31">
      <c r="A199" s="233"/>
      <c r="B199" s="301"/>
      <c r="C199" s="233"/>
      <c r="D199" s="233"/>
      <c r="E199" s="295"/>
      <c r="F199" s="241"/>
      <c r="G199" s="296"/>
      <c r="H199" s="240"/>
      <c r="I199" s="240"/>
      <c r="J199" s="261"/>
      <c r="K199" s="241"/>
      <c r="L199" s="234"/>
      <c r="M199" s="237"/>
      <c r="N199" s="240"/>
      <c r="O199" s="236"/>
      <c r="P199" s="297"/>
      <c r="Q199" s="298"/>
      <c r="R199" s="298"/>
      <c r="S199" s="297"/>
      <c r="T199" s="299"/>
      <c r="U199" s="235"/>
      <c r="V199" s="235"/>
      <c r="W199" s="300"/>
      <c r="X199" s="236"/>
      <c r="Y199" s="211"/>
      <c r="Z199" s="237"/>
      <c r="AA199" s="238"/>
      <c r="AB199" s="211"/>
      <c r="AC199" s="237"/>
      <c r="AD199" s="238"/>
      <c r="AE199" s="294">
        <v>39076</v>
      </c>
    </row>
    <row r="200" spans="1:31">
      <c r="A200" s="233"/>
      <c r="B200" s="301"/>
      <c r="C200" s="233"/>
      <c r="D200" s="233"/>
      <c r="E200" s="295"/>
      <c r="F200" s="241"/>
      <c r="G200" s="296"/>
      <c r="H200" s="240"/>
      <c r="I200" s="240"/>
      <c r="J200" s="261"/>
      <c r="K200" s="241"/>
      <c r="L200" s="234"/>
      <c r="M200" s="237"/>
      <c r="N200" s="240"/>
      <c r="O200" s="236"/>
      <c r="P200" s="297"/>
      <c r="Q200" s="298"/>
      <c r="R200" s="298"/>
      <c r="S200" s="297"/>
      <c r="T200" s="299"/>
      <c r="U200" s="235"/>
      <c r="V200" s="235"/>
      <c r="W200" s="300"/>
      <c r="X200" s="236"/>
      <c r="Y200" s="211"/>
      <c r="Z200" s="237"/>
      <c r="AA200" s="238"/>
      <c r="AB200" s="211"/>
      <c r="AC200" s="237"/>
      <c r="AD200" s="238"/>
      <c r="AE200" s="294">
        <v>39083</v>
      </c>
    </row>
    <row r="201" spans="1:31">
      <c r="A201" s="233"/>
      <c r="B201" s="301"/>
      <c r="C201" s="233"/>
      <c r="D201" s="233"/>
      <c r="E201" s="295"/>
      <c r="F201" s="241"/>
      <c r="G201" s="296"/>
      <c r="H201" s="240"/>
      <c r="I201" s="240"/>
      <c r="J201" s="261"/>
      <c r="K201" s="241"/>
      <c r="L201" s="234"/>
      <c r="M201" s="237"/>
      <c r="N201" s="240"/>
      <c r="O201" s="236"/>
      <c r="P201" s="297"/>
      <c r="Q201" s="298"/>
      <c r="R201" s="298"/>
      <c r="S201" s="297"/>
      <c r="T201" s="299"/>
      <c r="U201" s="235"/>
      <c r="V201" s="235"/>
      <c r="W201" s="300"/>
      <c r="X201" s="236"/>
      <c r="Y201" s="211"/>
      <c r="Z201" s="237"/>
      <c r="AA201" s="238"/>
      <c r="AB201" s="211"/>
      <c r="AC201" s="237"/>
      <c r="AD201" s="238"/>
      <c r="AE201" s="294">
        <v>39097</v>
      </c>
    </row>
    <row r="202" spans="1:31">
      <c r="A202" s="233"/>
      <c r="B202" s="301"/>
      <c r="C202" s="233"/>
      <c r="D202" s="233"/>
      <c r="E202" s="295"/>
      <c r="F202" s="241"/>
      <c r="G202" s="296"/>
      <c r="H202" s="240"/>
      <c r="I202" s="240"/>
      <c r="J202" s="261"/>
      <c r="K202" s="241"/>
      <c r="L202" s="234"/>
      <c r="M202" s="237"/>
      <c r="N202" s="240"/>
      <c r="O202" s="236"/>
      <c r="P202" s="297"/>
      <c r="Q202" s="298"/>
      <c r="R202" s="298"/>
      <c r="S202" s="297"/>
      <c r="T202" s="299"/>
      <c r="U202" s="235"/>
      <c r="V202" s="235"/>
      <c r="W202" s="300"/>
      <c r="X202" s="236"/>
      <c r="Y202" s="211"/>
      <c r="Z202" s="237"/>
      <c r="AA202" s="238"/>
      <c r="AB202" s="211"/>
      <c r="AC202" s="237"/>
      <c r="AD202" s="238"/>
      <c r="AE202" s="294">
        <v>39125</v>
      </c>
    </row>
    <row r="203" spans="1:31">
      <c r="A203" s="233"/>
      <c r="B203" s="301"/>
      <c r="C203" s="233"/>
      <c r="D203" s="233"/>
      <c r="E203" s="295"/>
      <c r="F203" s="241"/>
      <c r="G203" s="296"/>
      <c r="H203" s="240"/>
      <c r="I203" s="240"/>
      <c r="J203" s="261"/>
      <c r="K203" s="241"/>
      <c r="L203" s="234"/>
      <c r="M203" s="237"/>
      <c r="N203" s="240"/>
      <c r="O203" s="236"/>
      <c r="P203" s="297"/>
      <c r="Q203" s="298"/>
      <c r="R203" s="298"/>
      <c r="S203" s="297"/>
      <c r="T203" s="299"/>
      <c r="U203" s="235"/>
      <c r="V203" s="235"/>
      <c r="W203" s="300"/>
      <c r="X203" s="236"/>
      <c r="Y203" s="211"/>
      <c r="Z203" s="237"/>
      <c r="AA203" s="238"/>
      <c r="AB203" s="211"/>
      <c r="AC203" s="237"/>
      <c r="AD203" s="238"/>
      <c r="AE203" s="294">
        <v>39128</v>
      </c>
    </row>
    <row r="204" spans="1:31">
      <c r="A204" s="233"/>
      <c r="B204" s="301"/>
      <c r="C204" s="233"/>
      <c r="D204" s="233"/>
      <c r="E204" s="295"/>
      <c r="F204" s="241"/>
      <c r="G204" s="296"/>
      <c r="H204" s="240"/>
      <c r="I204" s="240"/>
      <c r="J204" s="261"/>
      <c r="K204" s="241"/>
      <c r="L204" s="234"/>
      <c r="M204" s="237"/>
      <c r="N204" s="240"/>
      <c r="O204" s="236"/>
      <c r="P204" s="297"/>
      <c r="Q204" s="298"/>
      <c r="R204" s="298"/>
      <c r="S204" s="297"/>
      <c r="T204" s="299"/>
      <c r="U204" s="235"/>
      <c r="V204" s="235"/>
      <c r="W204" s="300"/>
      <c r="X204" s="236"/>
      <c r="Y204" s="211"/>
      <c r="Z204" s="237"/>
      <c r="AA204" s="238"/>
      <c r="AB204" s="211"/>
      <c r="AC204" s="237"/>
      <c r="AD204" s="238"/>
      <c r="AE204" s="294">
        <v>39132</v>
      </c>
    </row>
    <row r="205" spans="1:31">
      <c r="A205" s="233"/>
      <c r="B205" s="301"/>
      <c r="C205" s="233"/>
      <c r="D205" s="233"/>
      <c r="E205" s="295"/>
      <c r="F205" s="241"/>
      <c r="G205" s="296"/>
      <c r="H205" s="240"/>
      <c r="I205" s="240"/>
      <c r="J205" s="261"/>
      <c r="K205" s="241"/>
      <c r="L205" s="234"/>
      <c r="M205" s="237"/>
      <c r="N205" s="240"/>
      <c r="O205" s="236"/>
      <c r="P205" s="297"/>
      <c r="Q205" s="298"/>
      <c r="R205" s="298"/>
      <c r="S205" s="297"/>
      <c r="T205" s="299"/>
      <c r="U205" s="235"/>
      <c r="V205" s="235"/>
      <c r="W205" s="300"/>
      <c r="X205" s="236"/>
      <c r="Y205" s="211"/>
      <c r="Z205" s="237"/>
      <c r="AA205" s="238"/>
      <c r="AB205" s="211"/>
      <c r="AC205" s="237"/>
      <c r="AD205" s="238"/>
      <c r="AE205" s="294">
        <v>39230</v>
      </c>
    </row>
    <row r="206" spans="1:31">
      <c r="A206" s="233"/>
      <c r="B206" s="301"/>
      <c r="C206" s="233"/>
      <c r="D206" s="233"/>
      <c r="E206" s="295"/>
      <c r="F206" s="241"/>
      <c r="G206" s="296"/>
      <c r="H206" s="240"/>
      <c r="I206" s="240"/>
      <c r="J206" s="261"/>
      <c r="K206" s="241"/>
      <c r="L206" s="234"/>
      <c r="M206" s="237"/>
      <c r="N206" s="240"/>
      <c r="O206" s="236"/>
      <c r="P206" s="297"/>
      <c r="Q206" s="298"/>
      <c r="R206" s="298"/>
      <c r="S206" s="297"/>
      <c r="T206" s="299"/>
      <c r="U206" s="235"/>
      <c r="V206" s="235"/>
      <c r="W206" s="300"/>
      <c r="X206" s="236"/>
      <c r="Y206" s="211"/>
      <c r="Z206" s="237"/>
      <c r="AA206" s="238"/>
      <c r="AB206" s="211"/>
      <c r="AC206" s="237"/>
      <c r="AD206" s="238"/>
      <c r="AE206" s="294">
        <v>39267</v>
      </c>
    </row>
    <row r="207" spans="1:31">
      <c r="A207" s="233"/>
      <c r="B207" s="301"/>
      <c r="C207" s="233"/>
      <c r="D207" s="233"/>
      <c r="E207" s="295"/>
      <c r="F207" s="241"/>
      <c r="G207" s="296"/>
      <c r="H207" s="240"/>
      <c r="I207" s="240"/>
      <c r="J207" s="261"/>
      <c r="K207" s="241"/>
      <c r="L207" s="234"/>
      <c r="M207" s="237"/>
      <c r="N207" s="240"/>
      <c r="O207" s="236"/>
      <c r="P207" s="297"/>
      <c r="Q207" s="298"/>
      <c r="R207" s="298"/>
      <c r="S207" s="297"/>
      <c r="T207" s="299"/>
      <c r="U207" s="235"/>
      <c r="V207" s="235"/>
      <c r="W207" s="300"/>
      <c r="X207" s="236"/>
      <c r="Y207" s="211"/>
      <c r="Z207" s="237"/>
      <c r="AA207" s="238"/>
      <c r="AB207" s="211"/>
      <c r="AC207" s="237"/>
      <c r="AD207" s="238"/>
      <c r="AE207" s="294">
        <v>39328</v>
      </c>
    </row>
    <row r="208" spans="1:31">
      <c r="A208" s="233"/>
      <c r="B208" s="301"/>
      <c r="C208" s="233"/>
      <c r="D208" s="233"/>
      <c r="E208" s="295"/>
      <c r="F208" s="241"/>
      <c r="G208" s="296"/>
      <c r="H208" s="240"/>
      <c r="I208" s="240"/>
      <c r="J208" s="261"/>
      <c r="K208" s="241"/>
      <c r="L208" s="234"/>
      <c r="M208" s="237"/>
      <c r="N208" s="240"/>
      <c r="O208" s="236"/>
      <c r="P208" s="297"/>
      <c r="Q208" s="298"/>
      <c r="R208" s="298"/>
      <c r="S208" s="297"/>
      <c r="T208" s="299"/>
      <c r="U208" s="235"/>
      <c r="V208" s="235"/>
      <c r="W208" s="300"/>
      <c r="X208" s="236"/>
      <c r="Y208" s="211"/>
      <c r="Z208" s="237"/>
      <c r="AA208" s="238"/>
      <c r="AB208" s="211"/>
      <c r="AC208" s="237"/>
      <c r="AD208" s="238"/>
      <c r="AE208" s="294">
        <v>39363</v>
      </c>
    </row>
    <row r="209" spans="1:31">
      <c r="A209" s="233"/>
      <c r="B209" s="301"/>
      <c r="C209" s="233"/>
      <c r="D209" s="233"/>
      <c r="E209" s="295"/>
      <c r="F209" s="241"/>
      <c r="G209" s="296"/>
      <c r="H209" s="240"/>
      <c r="I209" s="240"/>
      <c r="J209" s="261"/>
      <c r="K209" s="241"/>
      <c r="L209" s="234"/>
      <c r="M209" s="237"/>
      <c r="N209" s="240"/>
      <c r="O209" s="236"/>
      <c r="P209" s="297"/>
      <c r="Q209" s="298"/>
      <c r="R209" s="298"/>
      <c r="S209" s="297"/>
      <c r="T209" s="299"/>
      <c r="U209" s="235"/>
      <c r="V209" s="235"/>
      <c r="W209" s="300"/>
      <c r="X209" s="236"/>
      <c r="Y209" s="211"/>
      <c r="Z209" s="237"/>
      <c r="AA209" s="238"/>
      <c r="AB209" s="211"/>
      <c r="AC209" s="237"/>
      <c r="AD209" s="238"/>
      <c r="AE209" s="294">
        <v>39398</v>
      </c>
    </row>
    <row r="210" spans="1:31">
      <c r="A210" s="233"/>
      <c r="B210" s="301"/>
      <c r="C210" s="233"/>
      <c r="D210" s="233"/>
      <c r="E210" s="295"/>
      <c r="F210" s="241"/>
      <c r="G210" s="296"/>
      <c r="H210" s="240"/>
      <c r="I210" s="240"/>
      <c r="J210" s="261"/>
      <c r="K210" s="241"/>
      <c r="L210" s="234"/>
      <c r="M210" s="237"/>
      <c r="N210" s="240"/>
      <c r="O210" s="236"/>
      <c r="P210" s="297"/>
      <c r="Q210" s="298"/>
      <c r="R210" s="298"/>
      <c r="S210" s="297"/>
      <c r="T210" s="299"/>
      <c r="U210" s="235"/>
      <c r="V210" s="235"/>
      <c r="W210" s="300"/>
      <c r="X210" s="236"/>
      <c r="Y210" s="211"/>
      <c r="Z210" s="237"/>
      <c r="AA210" s="238"/>
      <c r="AB210" s="211"/>
      <c r="AC210" s="237"/>
      <c r="AD210" s="238"/>
      <c r="AE210" s="294">
        <v>39408</v>
      </c>
    </row>
    <row r="211" spans="1:31">
      <c r="A211" s="233"/>
      <c r="B211" s="301"/>
      <c r="C211" s="233"/>
      <c r="D211" s="233"/>
      <c r="E211" s="295"/>
      <c r="F211" s="241"/>
      <c r="G211" s="296"/>
      <c r="H211" s="240"/>
      <c r="I211" s="240"/>
      <c r="J211" s="261"/>
      <c r="K211" s="241"/>
      <c r="L211" s="234"/>
      <c r="M211" s="237"/>
      <c r="N211" s="240"/>
      <c r="O211" s="236"/>
      <c r="P211" s="297"/>
      <c r="Q211" s="298"/>
      <c r="R211" s="298"/>
      <c r="S211" s="297"/>
      <c r="T211" s="299"/>
      <c r="U211" s="235"/>
      <c r="V211" s="235"/>
      <c r="W211" s="300"/>
      <c r="X211" s="236"/>
      <c r="Y211" s="211"/>
      <c r="Z211" s="237"/>
      <c r="AA211" s="238"/>
      <c r="AB211" s="211"/>
      <c r="AC211" s="237"/>
      <c r="AD211" s="238"/>
      <c r="AE211" s="294">
        <v>39441</v>
      </c>
    </row>
    <row r="212" spans="1:31">
      <c r="A212" s="233"/>
      <c r="B212" s="301"/>
      <c r="C212" s="233"/>
      <c r="D212" s="233"/>
      <c r="E212" s="295"/>
      <c r="F212" s="241"/>
      <c r="G212" s="296"/>
      <c r="H212" s="240"/>
      <c r="I212" s="240"/>
      <c r="J212" s="261"/>
      <c r="K212" s="241"/>
      <c r="L212" s="234"/>
      <c r="M212" s="237"/>
      <c r="N212" s="240"/>
      <c r="O212" s="236"/>
      <c r="P212" s="297"/>
      <c r="Q212" s="298"/>
      <c r="R212" s="298"/>
      <c r="S212" s="297"/>
      <c r="T212" s="299"/>
      <c r="U212" s="235"/>
      <c r="V212" s="235"/>
      <c r="W212" s="300"/>
      <c r="X212" s="236"/>
      <c r="Y212" s="211"/>
      <c r="Z212" s="237"/>
      <c r="AA212" s="238"/>
      <c r="AB212" s="211"/>
      <c r="AC212" s="237"/>
      <c r="AD212" s="238"/>
      <c r="AE212" s="294">
        <v>39448</v>
      </c>
    </row>
    <row r="213" spans="1:31">
      <c r="A213" s="233"/>
      <c r="B213" s="301"/>
      <c r="C213" s="233"/>
      <c r="D213" s="233"/>
      <c r="E213" s="295"/>
      <c r="F213" s="241"/>
      <c r="G213" s="296"/>
      <c r="H213" s="240"/>
      <c r="I213" s="240"/>
      <c r="J213" s="261"/>
      <c r="K213" s="241"/>
      <c r="L213" s="234"/>
      <c r="M213" s="237"/>
      <c r="N213" s="240"/>
      <c r="O213" s="236"/>
      <c r="P213" s="297"/>
      <c r="Q213" s="298"/>
      <c r="R213" s="298"/>
      <c r="S213" s="297"/>
      <c r="T213" s="299"/>
      <c r="U213" s="235"/>
      <c r="V213" s="235"/>
      <c r="W213" s="300"/>
      <c r="X213" s="236"/>
      <c r="Y213" s="211"/>
      <c r="Z213" s="237"/>
      <c r="AA213" s="238"/>
      <c r="AB213" s="211"/>
      <c r="AC213" s="237"/>
      <c r="AD213" s="238"/>
      <c r="AE213" s="294">
        <v>39468</v>
      </c>
    </row>
    <row r="214" spans="1:31">
      <c r="A214" s="233"/>
      <c r="B214" s="301"/>
      <c r="C214" s="233"/>
      <c r="D214" s="233"/>
      <c r="E214" s="295"/>
      <c r="F214" s="241"/>
      <c r="G214" s="296"/>
      <c r="H214" s="240"/>
      <c r="I214" s="240"/>
      <c r="J214" s="261"/>
      <c r="K214" s="241"/>
      <c r="L214" s="234"/>
      <c r="M214" s="237"/>
      <c r="N214" s="240"/>
      <c r="O214" s="236"/>
      <c r="P214" s="297"/>
      <c r="Q214" s="298"/>
      <c r="R214" s="298"/>
      <c r="S214" s="297"/>
      <c r="T214" s="299"/>
      <c r="U214" s="235"/>
      <c r="V214" s="235"/>
      <c r="W214" s="300"/>
      <c r="X214" s="236"/>
      <c r="Y214" s="211"/>
      <c r="Z214" s="237"/>
      <c r="AA214" s="238"/>
      <c r="AB214" s="211"/>
      <c r="AC214" s="237"/>
      <c r="AD214" s="238"/>
      <c r="AE214" s="294">
        <v>39490</v>
      </c>
    </row>
    <row r="215" spans="1:31">
      <c r="A215" s="233"/>
      <c r="B215" s="301"/>
      <c r="C215" s="233"/>
      <c r="D215" s="233"/>
      <c r="E215" s="295"/>
      <c r="F215" s="241"/>
      <c r="G215" s="296"/>
      <c r="H215" s="240"/>
      <c r="I215" s="240"/>
      <c r="J215" s="261"/>
      <c r="K215" s="241"/>
      <c r="L215" s="234"/>
      <c r="M215" s="237"/>
      <c r="N215" s="240"/>
      <c r="O215" s="236"/>
      <c r="P215" s="297"/>
      <c r="Q215" s="298"/>
      <c r="R215" s="298"/>
      <c r="S215" s="297"/>
      <c r="T215" s="299"/>
      <c r="U215" s="235"/>
      <c r="V215" s="235"/>
      <c r="W215" s="300"/>
      <c r="X215" s="236"/>
      <c r="Y215" s="211"/>
      <c r="Z215" s="237"/>
      <c r="AA215" s="238"/>
      <c r="AB215" s="211"/>
      <c r="AC215" s="237"/>
      <c r="AD215" s="238"/>
      <c r="AE215" s="294">
        <v>39493</v>
      </c>
    </row>
    <row r="216" spans="1:31">
      <c r="A216" s="233"/>
      <c r="B216" s="301"/>
      <c r="C216" s="233"/>
      <c r="D216" s="233"/>
      <c r="E216" s="295"/>
      <c r="F216" s="241"/>
      <c r="G216" s="296"/>
      <c r="H216" s="240"/>
      <c r="I216" s="240"/>
      <c r="J216" s="261"/>
      <c r="K216" s="241"/>
      <c r="L216" s="234"/>
      <c r="M216" s="237"/>
      <c r="N216" s="240"/>
      <c r="O216" s="236"/>
      <c r="P216" s="297"/>
      <c r="Q216" s="298"/>
      <c r="R216" s="298"/>
      <c r="S216" s="297"/>
      <c r="T216" s="299"/>
      <c r="U216" s="235"/>
      <c r="V216" s="235"/>
      <c r="W216" s="300"/>
      <c r="X216" s="236"/>
      <c r="Y216" s="211"/>
      <c r="Z216" s="237"/>
      <c r="AA216" s="238"/>
      <c r="AB216" s="211"/>
      <c r="AC216" s="237"/>
      <c r="AD216" s="238"/>
      <c r="AE216" s="294">
        <v>39496</v>
      </c>
    </row>
    <row r="217" spans="1:31">
      <c r="A217" s="233"/>
      <c r="B217" s="301"/>
      <c r="C217" s="233"/>
      <c r="D217" s="233"/>
      <c r="E217" s="295"/>
      <c r="F217" s="241"/>
      <c r="G217" s="296"/>
      <c r="H217" s="240"/>
      <c r="I217" s="240"/>
      <c r="J217" s="261"/>
      <c r="K217" s="241"/>
      <c r="L217" s="234"/>
      <c r="M217" s="237"/>
      <c r="N217" s="240"/>
      <c r="O217" s="236"/>
      <c r="P217" s="297"/>
      <c r="Q217" s="298"/>
      <c r="R217" s="298"/>
      <c r="S217" s="297"/>
      <c r="T217" s="299"/>
      <c r="U217" s="235"/>
      <c r="V217" s="235"/>
      <c r="W217" s="300"/>
      <c r="X217" s="236"/>
      <c r="Y217" s="211"/>
      <c r="Z217" s="237"/>
      <c r="AA217" s="238"/>
      <c r="AB217" s="211"/>
      <c r="AC217" s="237"/>
      <c r="AD217" s="238"/>
      <c r="AE217" s="294">
        <v>39594</v>
      </c>
    </row>
    <row r="218" spans="1:31">
      <c r="A218" s="233"/>
      <c r="B218" s="301"/>
      <c r="C218" s="233"/>
      <c r="D218" s="233"/>
      <c r="E218" s="295"/>
      <c r="F218" s="241"/>
      <c r="G218" s="296"/>
      <c r="H218" s="240"/>
      <c r="I218" s="240"/>
      <c r="J218" s="261"/>
      <c r="K218" s="241"/>
      <c r="L218" s="234"/>
      <c r="M218" s="237"/>
      <c r="N218" s="240"/>
      <c r="O218" s="236"/>
      <c r="P218" s="297"/>
      <c r="Q218" s="298"/>
      <c r="R218" s="298"/>
      <c r="S218" s="297"/>
      <c r="T218" s="299"/>
      <c r="U218" s="235"/>
      <c r="V218" s="235"/>
      <c r="W218" s="300"/>
      <c r="X218" s="236"/>
      <c r="Y218" s="211"/>
      <c r="Z218" s="237"/>
      <c r="AA218" s="238"/>
      <c r="AB218" s="211"/>
      <c r="AC218" s="237"/>
      <c r="AD218" s="238"/>
      <c r="AE218" s="294">
        <v>39633</v>
      </c>
    </row>
    <row r="219" spans="1:31">
      <c r="A219" s="233"/>
      <c r="B219" s="301"/>
      <c r="C219" s="233"/>
      <c r="D219" s="233"/>
      <c r="E219" s="295"/>
      <c r="F219" s="241"/>
      <c r="G219" s="296"/>
      <c r="H219" s="240"/>
      <c r="I219" s="240"/>
      <c r="J219" s="261"/>
      <c r="K219" s="241"/>
      <c r="L219" s="234"/>
      <c r="M219" s="237"/>
      <c r="N219" s="240"/>
      <c r="O219" s="236"/>
      <c r="P219" s="297"/>
      <c r="Q219" s="298"/>
      <c r="R219" s="298"/>
      <c r="S219" s="297"/>
      <c r="T219" s="299"/>
      <c r="U219" s="235"/>
      <c r="V219" s="235"/>
      <c r="W219" s="300"/>
      <c r="X219" s="236"/>
      <c r="Y219" s="211"/>
      <c r="Z219" s="237"/>
      <c r="AA219" s="238"/>
      <c r="AB219" s="211"/>
      <c r="AC219" s="237"/>
      <c r="AD219" s="238"/>
      <c r="AE219" s="294">
        <v>39692</v>
      </c>
    </row>
    <row r="220" spans="1:31">
      <c r="A220" s="233"/>
      <c r="B220" s="301"/>
      <c r="C220" s="233"/>
      <c r="D220" s="233"/>
      <c r="E220" s="295"/>
      <c r="F220" s="241"/>
      <c r="G220" s="296"/>
      <c r="H220" s="240"/>
      <c r="I220" s="240"/>
      <c r="J220" s="261"/>
      <c r="K220" s="241"/>
      <c r="L220" s="234"/>
      <c r="M220" s="237"/>
      <c r="N220" s="240"/>
      <c r="O220" s="236"/>
      <c r="P220" s="297"/>
      <c r="Q220" s="298"/>
      <c r="R220" s="298"/>
      <c r="S220" s="297"/>
      <c r="T220" s="299"/>
      <c r="U220" s="235"/>
      <c r="V220" s="235"/>
      <c r="W220" s="300"/>
      <c r="X220" s="236"/>
      <c r="Y220" s="211"/>
      <c r="Z220" s="237"/>
      <c r="AA220" s="238"/>
      <c r="AB220" s="211"/>
      <c r="AC220" s="237"/>
      <c r="AD220" s="238"/>
      <c r="AE220" s="294">
        <v>39734</v>
      </c>
    </row>
    <row r="221" spans="1:31">
      <c r="A221" s="233"/>
      <c r="B221" s="301"/>
      <c r="C221" s="233"/>
      <c r="D221" s="233"/>
      <c r="E221" s="295"/>
      <c r="F221" s="241"/>
      <c r="G221" s="296"/>
      <c r="H221" s="240"/>
      <c r="I221" s="240"/>
      <c r="J221" s="261"/>
      <c r="K221" s="241"/>
      <c r="L221" s="234"/>
      <c r="M221" s="237"/>
      <c r="N221" s="240"/>
      <c r="O221" s="236"/>
      <c r="P221" s="297"/>
      <c r="Q221" s="298"/>
      <c r="R221" s="298"/>
      <c r="S221" s="297"/>
      <c r="T221" s="299"/>
      <c r="U221" s="235"/>
      <c r="V221" s="235"/>
      <c r="W221" s="300"/>
      <c r="X221" s="236"/>
      <c r="Y221" s="211"/>
      <c r="Z221" s="237"/>
      <c r="AA221" s="238"/>
      <c r="AB221" s="211"/>
      <c r="AC221" s="237"/>
      <c r="AD221" s="238"/>
      <c r="AE221" s="294">
        <v>39756</v>
      </c>
    </row>
    <row r="222" spans="1:31">
      <c r="A222" s="233"/>
      <c r="B222" s="301"/>
      <c r="C222" s="233"/>
      <c r="D222" s="233"/>
      <c r="E222" s="295"/>
      <c r="F222" s="241"/>
      <c r="G222" s="296"/>
      <c r="H222" s="240"/>
      <c r="I222" s="240"/>
      <c r="J222" s="261"/>
      <c r="K222" s="241"/>
      <c r="L222" s="234"/>
      <c r="M222" s="237"/>
      <c r="N222" s="240"/>
      <c r="O222" s="236"/>
      <c r="P222" s="297"/>
      <c r="Q222" s="298"/>
      <c r="R222" s="298"/>
      <c r="S222" s="297"/>
      <c r="T222" s="299"/>
      <c r="U222" s="235"/>
      <c r="V222" s="235"/>
      <c r="W222" s="300"/>
      <c r="X222" s="236"/>
      <c r="Y222" s="211"/>
      <c r="Z222" s="237"/>
      <c r="AA222" s="238"/>
      <c r="AB222" s="211"/>
      <c r="AC222" s="237"/>
      <c r="AD222" s="238"/>
      <c r="AE222" s="294">
        <v>39763</v>
      </c>
    </row>
    <row r="223" spans="1:31">
      <c r="A223" s="233"/>
      <c r="B223" s="301"/>
      <c r="C223" s="233"/>
      <c r="D223" s="233"/>
      <c r="E223" s="295"/>
      <c r="F223" s="241"/>
      <c r="G223" s="296"/>
      <c r="H223" s="240"/>
      <c r="I223" s="240"/>
      <c r="J223" s="261"/>
      <c r="K223" s="241"/>
      <c r="L223" s="234"/>
      <c r="M223" s="237"/>
      <c r="N223" s="240"/>
      <c r="O223" s="236"/>
      <c r="P223" s="297"/>
      <c r="Q223" s="298"/>
      <c r="R223" s="298"/>
      <c r="S223" s="297"/>
      <c r="T223" s="299"/>
      <c r="U223" s="235"/>
      <c r="V223" s="235"/>
      <c r="W223" s="300"/>
      <c r="X223" s="236"/>
      <c r="Y223" s="211"/>
      <c r="Z223" s="237"/>
      <c r="AA223" s="238"/>
      <c r="AB223" s="211"/>
      <c r="AC223" s="237"/>
      <c r="AD223" s="238"/>
      <c r="AE223" s="294">
        <v>39779</v>
      </c>
    </row>
    <row r="224" spans="1:31">
      <c r="A224" s="233"/>
      <c r="B224" s="301"/>
      <c r="C224" s="233"/>
      <c r="D224" s="233"/>
      <c r="E224" s="295"/>
      <c r="F224" s="241"/>
      <c r="G224" s="296"/>
      <c r="H224" s="240"/>
      <c r="I224" s="240"/>
      <c r="J224" s="261"/>
      <c r="K224" s="241"/>
      <c r="L224" s="234"/>
      <c r="M224" s="237"/>
      <c r="N224" s="240"/>
      <c r="O224" s="236"/>
      <c r="P224" s="297"/>
      <c r="Q224" s="298"/>
      <c r="R224" s="298"/>
      <c r="S224" s="297"/>
      <c r="T224" s="299"/>
      <c r="U224" s="235"/>
      <c r="V224" s="235"/>
      <c r="W224" s="300"/>
      <c r="X224" s="236"/>
      <c r="Y224" s="211"/>
      <c r="Z224" s="237"/>
      <c r="AA224" s="238"/>
      <c r="AB224" s="211"/>
      <c r="AC224" s="237"/>
      <c r="AD224" s="238"/>
      <c r="AE224" s="294">
        <v>39807</v>
      </c>
    </row>
    <row r="225" spans="1:31">
      <c r="A225" s="233"/>
      <c r="B225" s="301"/>
      <c r="C225" s="233"/>
      <c r="D225" s="233"/>
      <c r="E225" s="295"/>
      <c r="F225" s="241"/>
      <c r="G225" s="296"/>
      <c r="H225" s="240"/>
      <c r="I225" s="240"/>
      <c r="J225" s="261"/>
      <c r="K225" s="241"/>
      <c r="L225" s="234"/>
      <c r="M225" s="237"/>
      <c r="N225" s="240"/>
      <c r="O225" s="236"/>
      <c r="P225" s="297"/>
      <c r="Q225" s="298"/>
      <c r="R225" s="298"/>
      <c r="S225" s="297"/>
      <c r="T225" s="299"/>
      <c r="U225" s="235"/>
      <c r="V225" s="235"/>
      <c r="W225" s="300"/>
      <c r="X225" s="236"/>
      <c r="Y225" s="211"/>
      <c r="Z225" s="237"/>
      <c r="AA225" s="238"/>
      <c r="AB225" s="211"/>
      <c r="AC225" s="237"/>
      <c r="AD225" s="238"/>
      <c r="AE225" s="294">
        <v>39814</v>
      </c>
    </row>
    <row r="226" spans="1:31">
      <c r="A226" s="233"/>
      <c r="B226" s="301"/>
      <c r="C226" s="233"/>
      <c r="D226" s="233"/>
      <c r="E226" s="295"/>
      <c r="F226" s="241"/>
      <c r="G226" s="296"/>
      <c r="H226" s="240"/>
      <c r="I226" s="240"/>
      <c r="J226" s="261"/>
      <c r="K226" s="241"/>
      <c r="L226" s="234"/>
      <c r="M226" s="237"/>
      <c r="N226" s="240"/>
      <c r="O226" s="236"/>
      <c r="P226" s="297"/>
      <c r="Q226" s="298"/>
      <c r="R226" s="298"/>
      <c r="S226" s="297"/>
      <c r="T226" s="299"/>
      <c r="U226" s="235"/>
      <c r="V226" s="235"/>
      <c r="W226" s="300"/>
      <c r="X226" s="236"/>
      <c r="Y226" s="211"/>
      <c r="Z226" s="237"/>
      <c r="AA226" s="238"/>
      <c r="AB226" s="211"/>
      <c r="AC226" s="237"/>
      <c r="AD226" s="238"/>
      <c r="AE226" s="294">
        <v>39832</v>
      </c>
    </row>
    <row r="227" spans="1:31">
      <c r="A227" s="233"/>
      <c r="B227" s="301"/>
      <c r="C227" s="233"/>
      <c r="D227" s="233"/>
      <c r="E227" s="295"/>
      <c r="F227" s="241"/>
      <c r="G227" s="296"/>
      <c r="H227" s="240"/>
      <c r="I227" s="240"/>
      <c r="J227" s="261"/>
      <c r="K227" s="241"/>
      <c r="L227" s="234"/>
      <c r="M227" s="237"/>
      <c r="N227" s="240"/>
      <c r="O227" s="236"/>
      <c r="P227" s="297"/>
      <c r="Q227" s="298"/>
      <c r="R227" s="298"/>
      <c r="S227" s="297"/>
      <c r="T227" s="299"/>
      <c r="U227" s="235"/>
      <c r="V227" s="235"/>
      <c r="W227" s="300"/>
      <c r="X227" s="236"/>
      <c r="Y227" s="211"/>
      <c r="Z227" s="237"/>
      <c r="AA227" s="238"/>
      <c r="AB227" s="211"/>
      <c r="AC227" s="237"/>
      <c r="AD227" s="238"/>
      <c r="AE227" s="294">
        <v>39856</v>
      </c>
    </row>
    <row r="228" spans="1:31">
      <c r="A228" s="233"/>
      <c r="B228" s="301"/>
      <c r="C228" s="233"/>
      <c r="D228" s="233"/>
      <c r="E228" s="295"/>
      <c r="F228" s="241"/>
      <c r="G228" s="296"/>
      <c r="H228" s="240"/>
      <c r="I228" s="240"/>
      <c r="J228" s="261"/>
      <c r="K228" s="241"/>
      <c r="L228" s="234"/>
      <c r="M228" s="237"/>
      <c r="N228" s="240"/>
      <c r="O228" s="236"/>
      <c r="P228" s="297"/>
      <c r="Q228" s="298"/>
      <c r="R228" s="298"/>
      <c r="S228" s="297"/>
      <c r="T228" s="299"/>
      <c r="U228" s="235"/>
      <c r="V228" s="235"/>
      <c r="W228" s="300"/>
      <c r="X228" s="236"/>
      <c r="Y228" s="211"/>
      <c r="Z228" s="237"/>
      <c r="AA228" s="238"/>
      <c r="AB228" s="211"/>
      <c r="AC228" s="237"/>
      <c r="AD228" s="238"/>
      <c r="AE228" s="294">
        <v>39860</v>
      </c>
    </row>
    <row r="229" spans="1:31">
      <c r="A229" s="233"/>
      <c r="B229" s="301"/>
      <c r="C229" s="233"/>
      <c r="D229" s="233"/>
      <c r="E229" s="295"/>
      <c r="F229" s="241"/>
      <c r="G229" s="296"/>
      <c r="H229" s="240"/>
      <c r="I229" s="240"/>
      <c r="J229" s="261"/>
      <c r="K229" s="241"/>
      <c r="L229" s="234"/>
      <c r="M229" s="237"/>
      <c r="N229" s="240"/>
      <c r="O229" s="236"/>
      <c r="P229" s="297"/>
      <c r="Q229" s="298"/>
      <c r="R229" s="298"/>
      <c r="S229" s="297"/>
      <c r="T229" s="299"/>
      <c r="U229" s="235"/>
      <c r="V229" s="235"/>
      <c r="W229" s="300"/>
      <c r="X229" s="236"/>
      <c r="Y229" s="211"/>
      <c r="Z229" s="237"/>
      <c r="AA229" s="238"/>
      <c r="AB229" s="211"/>
      <c r="AC229" s="237"/>
      <c r="AD229" s="238"/>
      <c r="AE229" s="294">
        <v>39958</v>
      </c>
    </row>
    <row r="230" spans="1:31">
      <c r="A230" s="233"/>
      <c r="B230" s="301"/>
      <c r="C230" s="233"/>
      <c r="D230" s="233"/>
      <c r="E230" s="295"/>
      <c r="F230" s="241"/>
      <c r="G230" s="296"/>
      <c r="H230" s="240"/>
      <c r="I230" s="240"/>
      <c r="J230" s="261"/>
      <c r="K230" s="241"/>
      <c r="L230" s="234"/>
      <c r="M230" s="237"/>
      <c r="N230" s="240"/>
      <c r="O230" s="236"/>
      <c r="P230" s="297"/>
      <c r="Q230" s="298"/>
      <c r="R230" s="298"/>
      <c r="S230" s="297"/>
      <c r="T230" s="299"/>
      <c r="U230" s="235"/>
      <c r="V230" s="235"/>
      <c r="W230" s="300"/>
      <c r="X230" s="236"/>
      <c r="Y230" s="211"/>
      <c r="Z230" s="237"/>
      <c r="AA230" s="238"/>
      <c r="AB230" s="211"/>
      <c r="AC230" s="237"/>
      <c r="AD230" s="238"/>
      <c r="AE230" s="294">
        <v>39997</v>
      </c>
    </row>
    <row r="231" spans="1:31">
      <c r="A231" s="233"/>
      <c r="B231" s="301"/>
      <c r="C231" s="233"/>
      <c r="D231" s="233"/>
      <c r="E231" s="295"/>
      <c r="F231" s="241"/>
      <c r="G231" s="296"/>
      <c r="H231" s="240"/>
      <c r="I231" s="240"/>
      <c r="J231" s="261"/>
      <c r="K231" s="241"/>
      <c r="L231" s="234"/>
      <c r="M231" s="237"/>
      <c r="N231" s="240"/>
      <c r="O231" s="236"/>
      <c r="P231" s="297"/>
      <c r="Q231" s="298"/>
      <c r="R231" s="298"/>
      <c r="S231" s="297"/>
      <c r="T231" s="299"/>
      <c r="U231" s="235"/>
      <c r="V231" s="235"/>
      <c r="W231" s="300"/>
      <c r="X231" s="236"/>
      <c r="Y231" s="211"/>
      <c r="Z231" s="237"/>
      <c r="AA231" s="238"/>
      <c r="AB231" s="211"/>
      <c r="AC231" s="237"/>
      <c r="AD231" s="238"/>
      <c r="AE231" s="294">
        <v>40063</v>
      </c>
    </row>
    <row r="232" spans="1:31">
      <c r="A232" s="233"/>
      <c r="B232" s="301"/>
      <c r="C232" s="233"/>
      <c r="D232" s="233"/>
      <c r="E232" s="295"/>
      <c r="F232" s="241"/>
      <c r="G232" s="296"/>
      <c r="H232" s="240"/>
      <c r="I232" s="240"/>
      <c r="J232" s="261"/>
      <c r="K232" s="241"/>
      <c r="L232" s="234"/>
      <c r="M232" s="237"/>
      <c r="N232" s="240"/>
      <c r="O232" s="236"/>
      <c r="P232" s="297"/>
      <c r="Q232" s="298"/>
      <c r="R232" s="298"/>
      <c r="S232" s="297"/>
      <c r="T232" s="299"/>
      <c r="U232" s="235"/>
      <c r="V232" s="235"/>
      <c r="W232" s="300"/>
      <c r="X232" s="236"/>
      <c r="Y232" s="211"/>
      <c r="Z232" s="237"/>
      <c r="AA232" s="238"/>
      <c r="AB232" s="211"/>
      <c r="AC232" s="237"/>
      <c r="AD232" s="238"/>
      <c r="AE232" s="294">
        <v>40098</v>
      </c>
    </row>
    <row r="233" spans="1:31">
      <c r="A233" s="233"/>
      <c r="B233" s="301"/>
      <c r="C233" s="233"/>
      <c r="D233" s="233"/>
      <c r="E233" s="295"/>
      <c r="F233" s="241"/>
      <c r="G233" s="296"/>
      <c r="H233" s="240"/>
      <c r="I233" s="240"/>
      <c r="J233" s="261"/>
      <c r="K233" s="241"/>
      <c r="L233" s="234"/>
      <c r="M233" s="237"/>
      <c r="N233" s="240"/>
      <c r="O233" s="236"/>
      <c r="P233" s="297"/>
      <c r="Q233" s="298"/>
      <c r="R233" s="298"/>
      <c r="S233" s="297"/>
      <c r="T233" s="299"/>
      <c r="U233" s="235"/>
      <c r="V233" s="235"/>
      <c r="W233" s="300"/>
      <c r="X233" s="236"/>
      <c r="Y233" s="211"/>
      <c r="Z233" s="237"/>
      <c r="AA233" s="238"/>
      <c r="AB233" s="211"/>
      <c r="AC233" s="237"/>
      <c r="AD233" s="238"/>
      <c r="AE233" s="294">
        <v>40128</v>
      </c>
    </row>
    <row r="234" spans="1:31">
      <c r="A234" s="233"/>
      <c r="B234" s="301"/>
      <c r="C234" s="233"/>
      <c r="D234" s="233"/>
      <c r="E234" s="295"/>
      <c r="F234" s="241"/>
      <c r="G234" s="296"/>
      <c r="H234" s="240"/>
      <c r="I234" s="240"/>
      <c r="J234" s="261"/>
      <c r="K234" s="241"/>
      <c r="L234" s="234"/>
      <c r="M234" s="237"/>
      <c r="N234" s="240"/>
      <c r="O234" s="236"/>
      <c r="P234" s="297"/>
      <c r="Q234" s="298"/>
      <c r="R234" s="298"/>
      <c r="S234" s="297"/>
      <c r="T234" s="299"/>
      <c r="U234" s="235"/>
      <c r="V234" s="235"/>
      <c r="W234" s="300"/>
      <c r="X234" s="236"/>
      <c r="Y234" s="211"/>
      <c r="Z234" s="237"/>
      <c r="AA234" s="238"/>
      <c r="AB234" s="211"/>
      <c r="AC234" s="237"/>
      <c r="AD234" s="238"/>
      <c r="AE234" s="294">
        <v>40143</v>
      </c>
    </row>
    <row r="235" spans="1:31">
      <c r="A235" s="233"/>
      <c r="B235" s="301"/>
      <c r="C235" s="233"/>
      <c r="D235" s="233"/>
      <c r="E235" s="295"/>
      <c r="F235" s="241"/>
      <c r="G235" s="296"/>
      <c r="H235" s="240"/>
      <c r="I235" s="240"/>
      <c r="J235" s="261"/>
      <c r="K235" s="241"/>
      <c r="L235" s="234"/>
      <c r="M235" s="237"/>
      <c r="N235" s="240"/>
      <c r="O235" s="236"/>
      <c r="P235" s="297"/>
      <c r="Q235" s="298"/>
      <c r="R235" s="298"/>
      <c r="S235" s="297"/>
      <c r="T235" s="299"/>
      <c r="U235" s="235"/>
      <c r="V235" s="235"/>
      <c r="W235" s="300"/>
      <c r="X235" s="236"/>
      <c r="Y235" s="211"/>
      <c r="Z235" s="237"/>
      <c r="AA235" s="238"/>
      <c r="AB235" s="211"/>
      <c r="AC235" s="237"/>
      <c r="AD235" s="238"/>
      <c r="AE235" s="294">
        <v>40172</v>
      </c>
    </row>
    <row r="236" spans="1:31">
      <c r="A236" s="233"/>
      <c r="B236" s="301"/>
      <c r="C236" s="233"/>
      <c r="D236" s="233"/>
      <c r="E236" s="295"/>
      <c r="F236" s="241"/>
      <c r="G236" s="296"/>
      <c r="H236" s="240"/>
      <c r="I236" s="240"/>
      <c r="J236" s="261"/>
      <c r="K236" s="241"/>
      <c r="L236" s="234"/>
      <c r="M236" s="237"/>
      <c r="N236" s="240"/>
      <c r="O236" s="236"/>
      <c r="P236" s="297"/>
      <c r="Q236" s="298"/>
      <c r="R236" s="298"/>
      <c r="S236" s="297"/>
      <c r="T236" s="299"/>
      <c r="U236" s="235"/>
      <c r="V236" s="235"/>
      <c r="W236" s="300"/>
      <c r="X236" s="236"/>
      <c r="Y236" s="211"/>
      <c r="Z236" s="237"/>
      <c r="AA236" s="238"/>
      <c r="AB236" s="211"/>
      <c r="AC236" s="237"/>
      <c r="AD236" s="238"/>
      <c r="AE236" s="294">
        <v>40179</v>
      </c>
    </row>
    <row r="237" spans="1:31">
      <c r="A237" s="233"/>
      <c r="B237" s="301"/>
      <c r="C237" s="233"/>
      <c r="D237" s="233"/>
      <c r="E237" s="295"/>
      <c r="F237" s="241"/>
      <c r="G237" s="296"/>
      <c r="H237" s="240"/>
      <c r="I237" s="240"/>
      <c r="J237" s="261"/>
      <c r="K237" s="241"/>
      <c r="L237" s="234"/>
      <c r="M237" s="237"/>
      <c r="N237" s="240"/>
      <c r="O237" s="236"/>
      <c r="P237" s="297"/>
      <c r="Q237" s="298"/>
      <c r="R237" s="298"/>
      <c r="S237" s="297"/>
      <c r="T237" s="299"/>
      <c r="U237" s="235"/>
      <c r="V237" s="235"/>
      <c r="W237" s="300"/>
      <c r="X237" s="236"/>
      <c r="Y237" s="211"/>
      <c r="Z237" s="237"/>
      <c r="AA237" s="238"/>
      <c r="AB237" s="211"/>
      <c r="AC237" s="237"/>
      <c r="AD237" s="238"/>
      <c r="AE237" s="294">
        <v>40196</v>
      </c>
    </row>
    <row r="238" spans="1:31">
      <c r="A238" s="233"/>
      <c r="B238" s="301"/>
      <c r="C238" s="233"/>
      <c r="D238" s="233"/>
      <c r="E238" s="295"/>
      <c r="F238" s="241"/>
      <c r="G238" s="296"/>
      <c r="H238" s="240"/>
      <c r="I238" s="240"/>
      <c r="J238" s="261"/>
      <c r="K238" s="241"/>
      <c r="L238" s="234"/>
      <c r="M238" s="237"/>
      <c r="N238" s="240"/>
      <c r="O238" s="236"/>
      <c r="P238" s="297"/>
      <c r="Q238" s="298"/>
      <c r="R238" s="298"/>
      <c r="S238" s="297"/>
      <c r="T238" s="299"/>
      <c r="U238" s="235"/>
      <c r="V238" s="235"/>
      <c r="W238" s="300"/>
      <c r="X238" s="236"/>
      <c r="Y238" s="211"/>
      <c r="Z238" s="237"/>
      <c r="AA238" s="238"/>
      <c r="AB238" s="211"/>
      <c r="AC238" s="237"/>
      <c r="AD238" s="238"/>
      <c r="AE238" s="294">
        <v>40221</v>
      </c>
    </row>
    <row r="239" spans="1:31">
      <c r="A239" s="233"/>
      <c r="B239" s="301"/>
      <c r="C239" s="233"/>
      <c r="D239" s="233"/>
      <c r="E239" s="295"/>
      <c r="F239" s="241"/>
      <c r="G239" s="296"/>
      <c r="H239" s="240"/>
      <c r="I239" s="240"/>
      <c r="J239" s="261"/>
      <c r="K239" s="241"/>
      <c r="L239" s="234"/>
      <c r="M239" s="237"/>
      <c r="N239" s="240"/>
      <c r="O239" s="236"/>
      <c r="P239" s="297"/>
      <c r="Q239" s="298"/>
      <c r="R239" s="298"/>
      <c r="S239" s="297"/>
      <c r="T239" s="299"/>
      <c r="U239" s="235"/>
      <c r="V239" s="235"/>
      <c r="W239" s="300"/>
      <c r="X239" s="236"/>
      <c r="Y239" s="211"/>
      <c r="Z239" s="237"/>
      <c r="AA239" s="238"/>
      <c r="AB239" s="211"/>
      <c r="AC239" s="237"/>
      <c r="AD239" s="238"/>
      <c r="AE239" s="294">
        <v>40224</v>
      </c>
    </row>
    <row r="240" spans="1:31">
      <c r="A240" s="233"/>
      <c r="B240" s="301"/>
      <c r="C240" s="233"/>
      <c r="D240" s="233"/>
      <c r="E240" s="295"/>
      <c r="F240" s="241"/>
      <c r="G240" s="296"/>
      <c r="H240" s="240"/>
      <c r="I240" s="240"/>
      <c r="J240" s="261"/>
      <c r="K240" s="241"/>
      <c r="L240" s="234"/>
      <c r="M240" s="237"/>
      <c r="N240" s="240"/>
      <c r="O240" s="236"/>
      <c r="P240" s="297"/>
      <c r="Q240" s="298"/>
      <c r="R240" s="298"/>
      <c r="S240" s="297"/>
      <c r="T240" s="299"/>
      <c r="U240" s="235"/>
      <c r="V240" s="235"/>
      <c r="W240" s="300"/>
      <c r="X240" s="236"/>
      <c r="Y240" s="211"/>
      <c r="Z240" s="237"/>
      <c r="AA240" s="238"/>
      <c r="AB240" s="211"/>
      <c r="AC240" s="237"/>
      <c r="AD240" s="238"/>
      <c r="AE240" s="294">
        <v>40329</v>
      </c>
    </row>
    <row r="241" spans="1:31">
      <c r="A241" s="233"/>
      <c r="B241" s="301"/>
      <c r="C241" s="233"/>
      <c r="D241" s="233"/>
      <c r="E241" s="295"/>
      <c r="F241" s="241"/>
      <c r="G241" s="296"/>
      <c r="H241" s="240"/>
      <c r="I241" s="240"/>
      <c r="J241" s="261"/>
      <c r="K241" s="241"/>
      <c r="L241" s="234"/>
      <c r="M241" s="237"/>
      <c r="N241" s="240"/>
      <c r="O241" s="236"/>
      <c r="P241" s="297"/>
      <c r="Q241" s="298"/>
      <c r="R241" s="298"/>
      <c r="S241" s="297"/>
      <c r="T241" s="299"/>
      <c r="U241" s="235"/>
      <c r="V241" s="235"/>
      <c r="W241" s="300"/>
      <c r="X241" s="236"/>
      <c r="Y241" s="211"/>
      <c r="Z241" s="237"/>
      <c r="AA241" s="238"/>
      <c r="AB241" s="211"/>
      <c r="AC241" s="237"/>
      <c r="AD241" s="238"/>
      <c r="AE241" s="294">
        <v>40364</v>
      </c>
    </row>
    <row r="242" spans="1:31">
      <c r="A242" s="233"/>
      <c r="B242" s="301"/>
      <c r="C242" s="233"/>
      <c r="D242" s="233"/>
      <c r="E242" s="295"/>
      <c r="F242" s="241"/>
      <c r="G242" s="296"/>
      <c r="H242" s="240"/>
      <c r="I242" s="240"/>
      <c r="J242" s="261"/>
      <c r="K242" s="241"/>
      <c r="L242" s="234"/>
      <c r="M242" s="237"/>
      <c r="N242" s="240"/>
      <c r="O242" s="236"/>
      <c r="P242" s="297"/>
      <c r="Q242" s="298"/>
      <c r="R242" s="298"/>
      <c r="S242" s="297"/>
      <c r="T242" s="299"/>
      <c r="U242" s="235"/>
      <c r="V242" s="235"/>
      <c r="W242" s="300"/>
      <c r="X242" s="236"/>
      <c r="Y242" s="211"/>
      <c r="Z242" s="237"/>
      <c r="AA242" s="238"/>
      <c r="AB242" s="211"/>
      <c r="AC242" s="237"/>
      <c r="AD242" s="238"/>
      <c r="AE242" s="294">
        <v>40427</v>
      </c>
    </row>
    <row r="243" spans="1:31">
      <c r="A243" s="233"/>
      <c r="B243" s="301"/>
      <c r="C243" s="233"/>
      <c r="D243" s="233"/>
      <c r="E243" s="295"/>
      <c r="F243" s="241"/>
      <c r="G243" s="296"/>
      <c r="H243" s="240"/>
      <c r="I243" s="240"/>
      <c r="J243" s="261"/>
      <c r="K243" s="241"/>
      <c r="L243" s="234"/>
      <c r="M243" s="237"/>
      <c r="N243" s="240"/>
      <c r="O243" s="236"/>
      <c r="P243" s="297"/>
      <c r="Q243" s="298"/>
      <c r="R243" s="298"/>
      <c r="S243" s="297"/>
      <c r="T243" s="299"/>
      <c r="U243" s="235"/>
      <c r="V243" s="235"/>
      <c r="W243" s="300"/>
      <c r="X243" s="236"/>
      <c r="Y243" s="211"/>
      <c r="Z243" s="237"/>
      <c r="AA243" s="238"/>
      <c r="AB243" s="211"/>
      <c r="AC243" s="237"/>
      <c r="AD243" s="238"/>
      <c r="AE243" s="294">
        <v>40462</v>
      </c>
    </row>
    <row r="244" spans="1:31">
      <c r="A244" s="233"/>
      <c r="B244" s="301"/>
      <c r="C244" s="233"/>
      <c r="D244" s="233"/>
      <c r="E244" s="295"/>
      <c r="F244" s="241"/>
      <c r="G244" s="296"/>
      <c r="H244" s="240"/>
      <c r="I244" s="240"/>
      <c r="J244" s="261"/>
      <c r="K244" s="241"/>
      <c r="L244" s="234"/>
      <c r="M244" s="237"/>
      <c r="N244" s="240"/>
      <c r="O244" s="236"/>
      <c r="P244" s="297"/>
      <c r="Q244" s="298"/>
      <c r="R244" s="298"/>
      <c r="S244" s="297"/>
      <c r="T244" s="299"/>
      <c r="U244" s="235"/>
      <c r="V244" s="235"/>
      <c r="W244" s="300"/>
      <c r="X244" s="236"/>
      <c r="Y244" s="211"/>
      <c r="Z244" s="237"/>
      <c r="AA244" s="238"/>
      <c r="AB244" s="211"/>
      <c r="AC244" s="237"/>
      <c r="AD244" s="238"/>
      <c r="AE244" s="294">
        <v>40484</v>
      </c>
    </row>
    <row r="245" spans="1:31">
      <c r="A245" s="233"/>
      <c r="B245" s="301"/>
      <c r="C245" s="233"/>
      <c r="D245" s="233"/>
      <c r="E245" s="295"/>
      <c r="F245" s="241"/>
      <c r="G245" s="296"/>
      <c r="H245" s="240"/>
      <c r="I245" s="240"/>
      <c r="J245" s="261"/>
      <c r="K245" s="241"/>
      <c r="L245" s="234"/>
      <c r="M245" s="237"/>
      <c r="N245" s="240"/>
      <c r="O245" s="236"/>
      <c r="P245" s="297"/>
      <c r="Q245" s="298"/>
      <c r="R245" s="298"/>
      <c r="S245" s="297"/>
      <c r="T245" s="299"/>
      <c r="U245" s="235"/>
      <c r="V245" s="235"/>
      <c r="W245" s="300"/>
      <c r="X245" s="236"/>
      <c r="Y245" s="211"/>
      <c r="Z245" s="237"/>
      <c r="AA245" s="238"/>
      <c r="AB245" s="211"/>
      <c r="AC245" s="237"/>
      <c r="AD245" s="238"/>
      <c r="AE245" s="294">
        <v>40493</v>
      </c>
    </row>
    <row r="246" spans="1:31">
      <c r="A246" s="233"/>
      <c r="B246" s="301"/>
      <c r="C246" s="233"/>
      <c r="D246" s="233"/>
      <c r="E246" s="295"/>
      <c r="F246" s="241"/>
      <c r="G246" s="296"/>
      <c r="H246" s="240"/>
      <c r="I246" s="240"/>
      <c r="J246" s="261"/>
      <c r="K246" s="241"/>
      <c r="L246" s="234"/>
      <c r="M246" s="237"/>
      <c r="N246" s="240"/>
      <c r="O246" s="236"/>
      <c r="P246" s="297"/>
      <c r="Q246" s="298"/>
      <c r="R246" s="298"/>
      <c r="S246" s="297"/>
      <c r="T246" s="299"/>
      <c r="U246" s="235"/>
      <c r="V246" s="235"/>
      <c r="W246" s="300"/>
      <c r="X246" s="236"/>
      <c r="Y246" s="211"/>
      <c r="Z246" s="237"/>
      <c r="AA246" s="238"/>
      <c r="AB246" s="211"/>
      <c r="AC246" s="237"/>
      <c r="AD246" s="238"/>
      <c r="AE246" s="294">
        <v>40507</v>
      </c>
    </row>
    <row r="247" spans="1:31">
      <c r="A247" s="233"/>
      <c r="B247" s="301"/>
      <c r="C247" s="233"/>
      <c r="D247" s="233"/>
      <c r="E247" s="295"/>
      <c r="F247" s="241"/>
      <c r="G247" s="296"/>
      <c r="H247" s="240"/>
      <c r="I247" s="240"/>
      <c r="J247" s="261"/>
      <c r="K247" s="241"/>
      <c r="L247" s="234"/>
      <c r="M247" s="237"/>
      <c r="N247" s="240"/>
      <c r="O247" s="236"/>
      <c r="P247" s="297"/>
      <c r="Q247" s="298"/>
      <c r="R247" s="298"/>
      <c r="S247" s="297"/>
      <c r="T247" s="299"/>
      <c r="U247" s="235"/>
      <c r="V247" s="235"/>
      <c r="W247" s="300"/>
      <c r="X247" s="236"/>
      <c r="Y247" s="211"/>
      <c r="Z247" s="237"/>
      <c r="AA247" s="238"/>
      <c r="AB247" s="211"/>
      <c r="AC247" s="237"/>
      <c r="AD247" s="238"/>
      <c r="AE247" s="294">
        <v>40536</v>
      </c>
    </row>
    <row r="248" spans="1:31">
      <c r="A248" s="233"/>
      <c r="B248" s="301"/>
      <c r="C248" s="233"/>
      <c r="D248" s="233"/>
      <c r="E248" s="295"/>
      <c r="F248" s="241"/>
      <c r="G248" s="296"/>
      <c r="H248" s="240"/>
      <c r="I248" s="240"/>
      <c r="J248" s="261"/>
      <c r="K248" s="241"/>
      <c r="L248" s="234"/>
      <c r="M248" s="237"/>
      <c r="N248" s="240"/>
      <c r="O248" s="236"/>
      <c r="P248" s="297"/>
      <c r="Q248" s="298"/>
      <c r="R248" s="298"/>
      <c r="S248" s="297"/>
      <c r="T248" s="299"/>
      <c r="U248" s="235"/>
      <c r="V248" s="235"/>
      <c r="W248" s="300"/>
      <c r="X248" s="236"/>
      <c r="Y248" s="211"/>
      <c r="Z248" s="237"/>
      <c r="AA248" s="238"/>
      <c r="AB248" s="211"/>
      <c r="AC248" s="237"/>
      <c r="AD248" s="238"/>
      <c r="AE248" s="294">
        <v>40543</v>
      </c>
    </row>
    <row r="249" spans="1:31">
      <c r="A249" s="233"/>
      <c r="B249" s="301"/>
      <c r="C249" s="233"/>
      <c r="D249" s="233"/>
      <c r="E249" s="295"/>
      <c r="F249" s="241"/>
      <c r="G249" s="296"/>
      <c r="H249" s="240"/>
      <c r="I249" s="240"/>
      <c r="J249" s="261"/>
      <c r="K249" s="241"/>
      <c r="L249" s="234"/>
      <c r="M249" s="237"/>
      <c r="N249" s="240"/>
      <c r="O249" s="236"/>
      <c r="P249" s="297"/>
      <c r="Q249" s="298"/>
      <c r="R249" s="298"/>
      <c r="S249" s="297"/>
      <c r="T249" s="299"/>
      <c r="U249" s="235"/>
      <c r="V249" s="235"/>
      <c r="W249" s="300"/>
      <c r="X249" s="236"/>
      <c r="Y249" s="211"/>
      <c r="Z249" s="237"/>
      <c r="AA249" s="238"/>
      <c r="AB249" s="211"/>
      <c r="AC249" s="237"/>
      <c r="AD249" s="238"/>
      <c r="AE249" s="294">
        <v>40560</v>
      </c>
    </row>
    <row r="250" spans="1:31">
      <c r="A250" s="233"/>
      <c r="B250" s="301"/>
      <c r="C250" s="233"/>
      <c r="D250" s="233"/>
      <c r="E250" s="295"/>
      <c r="F250" s="241"/>
      <c r="G250" s="296"/>
      <c r="H250" s="240"/>
      <c r="I250" s="240"/>
      <c r="J250" s="261"/>
      <c r="K250" s="241"/>
      <c r="L250" s="234"/>
      <c r="M250" s="237"/>
      <c r="N250" s="240"/>
      <c r="O250" s="236"/>
      <c r="P250" s="297"/>
      <c r="Q250" s="298"/>
      <c r="R250" s="298"/>
      <c r="S250" s="297"/>
      <c r="T250" s="299"/>
      <c r="U250" s="235"/>
      <c r="V250" s="235"/>
      <c r="W250" s="300"/>
      <c r="X250" s="236"/>
      <c r="Y250" s="211"/>
      <c r="Z250" s="237"/>
      <c r="AA250" s="238"/>
      <c r="AB250" s="211"/>
      <c r="AC250" s="237"/>
      <c r="AD250" s="238"/>
      <c r="AE250" s="294">
        <v>40585</v>
      </c>
    </row>
    <row r="251" spans="1:31">
      <c r="A251" s="233"/>
      <c r="B251" s="301"/>
      <c r="C251" s="233"/>
      <c r="D251" s="233"/>
      <c r="E251" s="295"/>
      <c r="F251" s="241"/>
      <c r="G251" s="296"/>
      <c r="H251" s="240"/>
      <c r="I251" s="240"/>
      <c r="J251" s="261"/>
      <c r="K251" s="241"/>
      <c r="L251" s="234"/>
      <c r="M251" s="237"/>
      <c r="N251" s="240"/>
      <c r="O251" s="236"/>
      <c r="P251" s="297"/>
      <c r="Q251" s="298"/>
      <c r="R251" s="298"/>
      <c r="S251" s="297"/>
      <c r="T251" s="299"/>
      <c r="U251" s="235"/>
      <c r="V251" s="235"/>
      <c r="W251" s="300"/>
      <c r="X251" s="236"/>
      <c r="Y251" s="211"/>
      <c r="Z251" s="237"/>
      <c r="AA251" s="238"/>
      <c r="AB251" s="211"/>
      <c r="AC251" s="237"/>
      <c r="AD251" s="238"/>
      <c r="AE251" s="294">
        <v>40589</v>
      </c>
    </row>
    <row r="252" spans="1:31">
      <c r="A252" s="233"/>
      <c r="B252" s="301"/>
      <c r="C252" s="233"/>
      <c r="D252" s="233"/>
      <c r="E252" s="295"/>
      <c r="F252" s="241"/>
      <c r="G252" s="296"/>
      <c r="H252" s="240"/>
      <c r="I252" s="240"/>
      <c r="J252" s="261"/>
      <c r="K252" s="241"/>
      <c r="L252" s="234"/>
      <c r="M252" s="237"/>
      <c r="N252" s="240"/>
      <c r="O252" s="236"/>
      <c r="P252" s="297"/>
      <c r="Q252" s="298"/>
      <c r="R252" s="298"/>
      <c r="S252" s="297"/>
      <c r="T252" s="299"/>
      <c r="U252" s="235"/>
      <c r="V252" s="235"/>
      <c r="W252" s="300"/>
      <c r="X252" s="236"/>
      <c r="Y252" s="211"/>
      <c r="Z252" s="237"/>
      <c r="AA252" s="238"/>
      <c r="AB252" s="211"/>
      <c r="AC252" s="237"/>
      <c r="AD252" s="238"/>
      <c r="AE252" s="294">
        <v>40595</v>
      </c>
    </row>
    <row r="253" spans="1:31">
      <c r="A253" s="233"/>
      <c r="B253" s="301"/>
      <c r="C253" s="233"/>
      <c r="D253" s="233"/>
      <c r="E253" s="295"/>
      <c r="F253" s="241"/>
      <c r="G253" s="296"/>
      <c r="H253" s="240"/>
      <c r="I253" s="240"/>
      <c r="J253" s="261"/>
      <c r="K253" s="241"/>
      <c r="L253" s="234"/>
      <c r="M253" s="237"/>
      <c r="N253" s="240"/>
      <c r="O253" s="236"/>
      <c r="P253" s="297"/>
      <c r="Q253" s="298"/>
      <c r="R253" s="298"/>
      <c r="S253" s="297"/>
      <c r="T253" s="299"/>
      <c r="U253" s="235"/>
      <c r="V253" s="235"/>
      <c r="W253" s="300"/>
      <c r="X253" s="236"/>
      <c r="Y253" s="211"/>
      <c r="Z253" s="237"/>
      <c r="AA253" s="238"/>
      <c r="AB253" s="211"/>
      <c r="AC253" s="237"/>
      <c r="AD253" s="238"/>
      <c r="AE253" s="294">
        <v>40693</v>
      </c>
    </row>
    <row r="254" spans="1:31">
      <c r="A254" s="233"/>
      <c r="B254" s="301"/>
      <c r="C254" s="233"/>
      <c r="D254" s="233"/>
      <c r="E254" s="295"/>
      <c r="F254" s="241"/>
      <c r="G254" s="296"/>
      <c r="H254" s="240"/>
      <c r="I254" s="240"/>
      <c r="J254" s="261"/>
      <c r="K254" s="241"/>
      <c r="L254" s="234"/>
      <c r="M254" s="237"/>
      <c r="N254" s="240"/>
      <c r="O254" s="236"/>
      <c r="P254" s="297"/>
      <c r="Q254" s="298"/>
      <c r="R254" s="298"/>
      <c r="S254" s="297"/>
      <c r="T254" s="299"/>
      <c r="U254" s="235"/>
      <c r="V254" s="235"/>
      <c r="W254" s="300"/>
      <c r="X254" s="236"/>
      <c r="Y254" s="211"/>
      <c r="Z254" s="237"/>
      <c r="AA254" s="238"/>
      <c r="AB254" s="211"/>
      <c r="AC254" s="237"/>
      <c r="AD254" s="238"/>
      <c r="AE254" s="294">
        <v>40728</v>
      </c>
    </row>
    <row r="255" spans="1:31">
      <c r="A255" s="233"/>
      <c r="B255" s="301"/>
      <c r="C255" s="233"/>
      <c r="D255" s="233"/>
      <c r="E255" s="295"/>
      <c r="F255" s="241"/>
      <c r="G255" s="296"/>
      <c r="H255" s="240"/>
      <c r="I255" s="240"/>
      <c r="J255" s="261"/>
      <c r="K255" s="241"/>
      <c r="L255" s="234"/>
      <c r="M255" s="237"/>
      <c r="N255" s="240"/>
      <c r="O255" s="236"/>
      <c r="P255" s="297"/>
      <c r="Q255" s="298"/>
      <c r="R255" s="298"/>
      <c r="S255" s="297"/>
      <c r="T255" s="299"/>
      <c r="U255" s="235"/>
      <c r="V255" s="235"/>
      <c r="W255" s="300"/>
      <c r="X255" s="236"/>
      <c r="Y255" s="211"/>
      <c r="Z255" s="237"/>
      <c r="AA255" s="238"/>
      <c r="AB255" s="211"/>
      <c r="AC255" s="237"/>
      <c r="AD255" s="238"/>
      <c r="AE255" s="294">
        <v>40791</v>
      </c>
    </row>
    <row r="256" spans="1:31">
      <c r="A256" s="233"/>
      <c r="B256" s="301"/>
      <c r="C256" s="233"/>
      <c r="D256" s="233"/>
      <c r="E256" s="295"/>
      <c r="F256" s="241"/>
      <c r="G256" s="296"/>
      <c r="H256" s="240"/>
      <c r="I256" s="240"/>
      <c r="J256" s="261"/>
      <c r="K256" s="241"/>
      <c r="L256" s="234"/>
      <c r="M256" s="237"/>
      <c r="N256" s="240"/>
      <c r="O256" s="236"/>
      <c r="P256" s="297"/>
      <c r="Q256" s="298"/>
      <c r="R256" s="298"/>
      <c r="S256" s="297"/>
      <c r="T256" s="299"/>
      <c r="U256" s="235"/>
      <c r="V256" s="235"/>
      <c r="W256" s="300"/>
      <c r="X256" s="236"/>
      <c r="Y256" s="211"/>
      <c r="Z256" s="237"/>
      <c r="AA256" s="238"/>
      <c r="AB256" s="211"/>
      <c r="AC256" s="237"/>
      <c r="AD256" s="238"/>
      <c r="AE256" s="294">
        <v>40826</v>
      </c>
    </row>
    <row r="257" spans="1:31">
      <c r="A257" s="233"/>
      <c r="B257" s="301"/>
      <c r="C257" s="233"/>
      <c r="D257" s="233"/>
      <c r="E257" s="295"/>
      <c r="F257" s="241"/>
      <c r="G257" s="296"/>
      <c r="H257" s="240"/>
      <c r="I257" s="240"/>
      <c r="J257" s="261"/>
      <c r="K257" s="241"/>
      <c r="L257" s="234"/>
      <c r="M257" s="237"/>
      <c r="N257" s="240"/>
      <c r="O257" s="236"/>
      <c r="P257" s="297"/>
      <c r="Q257" s="298"/>
      <c r="R257" s="298"/>
      <c r="S257" s="297"/>
      <c r="T257" s="299"/>
      <c r="U257" s="235"/>
      <c r="V257" s="235"/>
      <c r="W257" s="300"/>
      <c r="X257" s="236"/>
      <c r="Y257" s="211"/>
      <c r="Z257" s="237"/>
      <c r="AA257" s="238"/>
      <c r="AB257" s="211"/>
      <c r="AC257" s="237"/>
      <c r="AD257" s="238"/>
      <c r="AE257" s="294">
        <v>40858</v>
      </c>
    </row>
    <row r="258" spans="1:31">
      <c r="A258" s="233"/>
      <c r="B258" s="301"/>
      <c r="C258" s="233"/>
      <c r="D258" s="233"/>
      <c r="E258" s="295"/>
      <c r="F258" s="241"/>
      <c r="G258" s="296"/>
      <c r="H258" s="240"/>
      <c r="I258" s="240"/>
      <c r="J258" s="261"/>
      <c r="K258" s="241"/>
      <c r="L258" s="234"/>
      <c r="M258" s="237"/>
      <c r="N258" s="240"/>
      <c r="O258" s="236"/>
      <c r="P258" s="297"/>
      <c r="Q258" s="298"/>
      <c r="R258" s="298"/>
      <c r="S258" s="297"/>
      <c r="T258" s="299"/>
      <c r="U258" s="235"/>
      <c r="V258" s="235"/>
      <c r="W258" s="300"/>
      <c r="X258" s="236"/>
      <c r="Y258" s="211"/>
      <c r="Z258" s="237"/>
      <c r="AA258" s="238"/>
      <c r="AB258" s="211"/>
      <c r="AC258" s="237"/>
      <c r="AD258" s="238"/>
      <c r="AE258" s="294">
        <v>40871</v>
      </c>
    </row>
    <row r="259" spans="1:31">
      <c r="A259" s="233"/>
      <c r="B259" s="301"/>
      <c r="C259" s="233"/>
      <c r="D259" s="233"/>
      <c r="E259" s="295"/>
      <c r="F259" s="241"/>
      <c r="G259" s="296"/>
      <c r="H259" s="240"/>
      <c r="I259" s="240"/>
      <c r="J259" s="261"/>
      <c r="K259" s="241"/>
      <c r="L259" s="234"/>
      <c r="M259" s="237"/>
      <c r="N259" s="240"/>
      <c r="O259" s="236"/>
      <c r="P259" s="297"/>
      <c r="Q259" s="298"/>
      <c r="R259" s="298"/>
      <c r="S259" s="297"/>
      <c r="T259" s="299"/>
      <c r="U259" s="235"/>
      <c r="V259" s="235"/>
      <c r="W259" s="300"/>
      <c r="X259" s="236"/>
      <c r="Y259" s="211"/>
      <c r="Z259" s="237"/>
      <c r="AA259" s="238"/>
      <c r="AB259" s="211"/>
      <c r="AC259" s="237"/>
      <c r="AD259" s="238"/>
      <c r="AE259" s="294">
        <v>40903</v>
      </c>
    </row>
    <row r="260" spans="1:31">
      <c r="A260" s="233"/>
      <c r="B260" s="301"/>
      <c r="C260" s="233"/>
      <c r="D260" s="233"/>
      <c r="E260" s="295"/>
      <c r="F260" s="241"/>
      <c r="G260" s="296"/>
      <c r="H260" s="240"/>
      <c r="I260" s="240"/>
      <c r="J260" s="261"/>
      <c r="K260" s="241"/>
      <c r="L260" s="234"/>
      <c r="M260" s="237"/>
      <c r="N260" s="240"/>
      <c r="O260" s="236"/>
      <c r="P260" s="297"/>
      <c r="Q260" s="298"/>
      <c r="R260" s="298"/>
      <c r="S260" s="297"/>
      <c r="T260" s="299"/>
      <c r="U260" s="235"/>
      <c r="V260" s="235"/>
      <c r="W260" s="300"/>
      <c r="X260" s="236"/>
      <c r="Y260" s="211"/>
      <c r="Z260" s="237"/>
      <c r="AA260" s="238"/>
      <c r="AB260" s="211"/>
      <c r="AC260" s="237"/>
      <c r="AD260" s="238"/>
      <c r="AE260" s="294">
        <v>40910</v>
      </c>
    </row>
    <row r="261" spans="1:31">
      <c r="A261" s="233"/>
      <c r="B261" s="301"/>
      <c r="C261" s="233"/>
      <c r="D261" s="233"/>
      <c r="E261" s="295"/>
      <c r="F261" s="241"/>
      <c r="G261" s="296"/>
      <c r="H261" s="240"/>
      <c r="I261" s="240"/>
      <c r="J261" s="261"/>
      <c r="K261" s="241"/>
      <c r="L261" s="234"/>
      <c r="M261" s="237"/>
      <c r="N261" s="240"/>
      <c r="O261" s="236"/>
      <c r="P261" s="297"/>
      <c r="Q261" s="298"/>
      <c r="R261" s="298"/>
      <c r="S261" s="297"/>
      <c r="T261" s="299"/>
      <c r="U261" s="235"/>
      <c r="V261" s="235"/>
      <c r="W261" s="300"/>
      <c r="X261" s="236"/>
      <c r="Y261" s="211"/>
      <c r="Z261" s="237"/>
      <c r="AA261" s="238"/>
      <c r="AB261" s="211"/>
      <c r="AC261" s="237"/>
      <c r="AD261" s="238"/>
      <c r="AE261" s="294">
        <v>40924</v>
      </c>
    </row>
    <row r="262" spans="1:31">
      <c r="A262" s="233"/>
      <c r="B262" s="301"/>
      <c r="C262" s="233"/>
      <c r="D262" s="233"/>
      <c r="E262" s="295"/>
      <c r="F262" s="241"/>
      <c r="G262" s="296"/>
      <c r="H262" s="240"/>
      <c r="I262" s="240"/>
      <c r="J262" s="261"/>
      <c r="K262" s="241"/>
      <c r="L262" s="234"/>
      <c r="M262" s="237"/>
      <c r="N262" s="240"/>
      <c r="O262" s="236"/>
      <c r="P262" s="297"/>
      <c r="Q262" s="298"/>
      <c r="R262" s="298"/>
      <c r="S262" s="297"/>
      <c r="T262" s="299"/>
      <c r="U262" s="235"/>
      <c r="V262" s="235"/>
      <c r="W262" s="300"/>
      <c r="X262" s="236"/>
      <c r="Y262" s="211"/>
      <c r="Z262" s="237"/>
      <c r="AA262" s="238"/>
      <c r="AB262" s="211"/>
      <c r="AC262" s="237"/>
      <c r="AD262" s="238"/>
      <c r="AE262" s="294">
        <v>40952</v>
      </c>
    </row>
    <row r="263" spans="1:31">
      <c r="A263" s="233"/>
      <c r="B263" s="301"/>
      <c r="C263" s="233"/>
      <c r="D263" s="233"/>
      <c r="E263" s="295"/>
      <c r="F263" s="241"/>
      <c r="G263" s="296"/>
      <c r="H263" s="240"/>
      <c r="I263" s="240"/>
      <c r="J263" s="261"/>
      <c r="K263" s="241"/>
      <c r="L263" s="234"/>
      <c r="M263" s="237"/>
      <c r="N263" s="240"/>
      <c r="O263" s="236"/>
      <c r="P263" s="297"/>
      <c r="Q263" s="298"/>
      <c r="R263" s="298"/>
      <c r="S263" s="297"/>
      <c r="T263" s="299"/>
      <c r="U263" s="235"/>
      <c r="V263" s="235"/>
      <c r="W263" s="300"/>
      <c r="X263" s="236"/>
      <c r="Y263" s="211"/>
      <c r="Z263" s="237"/>
      <c r="AA263" s="238"/>
      <c r="AB263" s="211"/>
      <c r="AC263" s="237"/>
      <c r="AD263" s="238"/>
      <c r="AE263" s="294">
        <v>40954</v>
      </c>
    </row>
    <row r="264" spans="1:31">
      <c r="A264" s="233"/>
      <c r="B264" s="301"/>
      <c r="C264" s="233"/>
      <c r="D264" s="233"/>
      <c r="E264" s="295"/>
      <c r="F264" s="241"/>
      <c r="G264" s="296"/>
      <c r="H264" s="240"/>
      <c r="I264" s="240"/>
      <c r="J264" s="261"/>
      <c r="K264" s="241"/>
      <c r="L264" s="234"/>
      <c r="M264" s="237"/>
      <c r="N264" s="240"/>
      <c r="O264" s="236"/>
      <c r="P264" s="297"/>
      <c r="Q264" s="298"/>
      <c r="R264" s="298"/>
      <c r="S264" s="297"/>
      <c r="T264" s="299"/>
      <c r="U264" s="235"/>
      <c r="V264" s="235"/>
      <c r="W264" s="300"/>
      <c r="X264" s="236"/>
      <c r="Y264" s="211"/>
      <c r="Z264" s="237"/>
      <c r="AA264" s="238"/>
      <c r="AB264" s="211"/>
      <c r="AC264" s="237"/>
      <c r="AD264" s="238"/>
      <c r="AE264" s="294">
        <v>40959</v>
      </c>
    </row>
    <row r="265" spans="1:31">
      <c r="A265" s="233"/>
      <c r="B265" s="301"/>
      <c r="C265" s="233"/>
      <c r="D265" s="233"/>
      <c r="E265" s="295"/>
      <c r="F265" s="241"/>
      <c r="G265" s="296"/>
      <c r="H265" s="240"/>
      <c r="I265" s="240"/>
      <c r="J265" s="261"/>
      <c r="K265" s="241"/>
      <c r="L265" s="234"/>
      <c r="M265" s="237"/>
      <c r="N265" s="240"/>
      <c r="O265" s="236"/>
      <c r="P265" s="297"/>
      <c r="Q265" s="298"/>
      <c r="R265" s="298"/>
      <c r="S265" s="297"/>
      <c r="T265" s="299"/>
      <c r="U265" s="235"/>
      <c r="V265" s="235"/>
      <c r="W265" s="300"/>
      <c r="X265" s="236"/>
      <c r="Y265" s="211"/>
      <c r="Z265" s="237"/>
      <c r="AA265" s="238"/>
      <c r="AB265" s="211"/>
      <c r="AC265" s="237"/>
      <c r="AD265" s="238"/>
      <c r="AE265" s="294">
        <v>41057</v>
      </c>
    </row>
    <row r="266" spans="1:31">
      <c r="A266" s="233"/>
      <c r="B266" s="301"/>
      <c r="C266" s="233"/>
      <c r="D266" s="233"/>
      <c r="E266" s="295"/>
      <c r="F266" s="241"/>
      <c r="G266" s="296"/>
      <c r="H266" s="240"/>
      <c r="I266" s="240"/>
      <c r="J266" s="261"/>
      <c r="K266" s="241"/>
      <c r="L266" s="234"/>
      <c r="M266" s="237"/>
      <c r="N266" s="240"/>
      <c r="O266" s="236"/>
      <c r="P266" s="297"/>
      <c r="Q266" s="298"/>
      <c r="R266" s="298"/>
      <c r="S266" s="297"/>
      <c r="T266" s="299"/>
      <c r="U266" s="235"/>
      <c r="V266" s="235"/>
      <c r="W266" s="300"/>
      <c r="X266" s="236"/>
      <c r="Y266" s="211"/>
      <c r="Z266" s="237"/>
      <c r="AA266" s="238"/>
      <c r="AB266" s="211"/>
      <c r="AC266" s="237"/>
      <c r="AD266" s="238"/>
      <c r="AE266" s="294">
        <v>41094</v>
      </c>
    </row>
    <row r="267" spans="1:31">
      <c r="A267" s="233"/>
      <c r="B267" s="301"/>
      <c r="C267" s="233"/>
      <c r="D267" s="233"/>
      <c r="E267" s="295"/>
      <c r="F267" s="241"/>
      <c r="G267" s="296"/>
      <c r="H267" s="240"/>
      <c r="I267" s="240"/>
      <c r="J267" s="261"/>
      <c r="K267" s="241"/>
      <c r="L267" s="234"/>
      <c r="M267" s="237"/>
      <c r="N267" s="240"/>
      <c r="O267" s="236"/>
      <c r="P267" s="297"/>
      <c r="Q267" s="298"/>
      <c r="R267" s="298"/>
      <c r="S267" s="297"/>
      <c r="T267" s="299"/>
      <c r="U267" s="235"/>
      <c r="V267" s="235"/>
      <c r="W267" s="300"/>
      <c r="X267" s="236"/>
      <c r="Y267" s="211"/>
      <c r="Z267" s="237"/>
      <c r="AA267" s="238"/>
      <c r="AB267" s="211"/>
      <c r="AC267" s="237"/>
      <c r="AD267" s="238"/>
      <c r="AE267" s="294">
        <v>41155</v>
      </c>
    </row>
    <row r="268" spans="1:31">
      <c r="A268" s="233"/>
      <c r="B268" s="301"/>
      <c r="C268" s="233"/>
      <c r="D268" s="233"/>
      <c r="E268" s="295"/>
      <c r="F268" s="241"/>
      <c r="G268" s="296"/>
      <c r="H268" s="240"/>
      <c r="I268" s="240"/>
      <c r="J268" s="261"/>
      <c r="K268" s="241"/>
      <c r="L268" s="234"/>
      <c r="M268" s="237"/>
      <c r="N268" s="240"/>
      <c r="O268" s="236"/>
      <c r="P268" s="297"/>
      <c r="Q268" s="298"/>
      <c r="R268" s="298"/>
      <c r="S268" s="297"/>
      <c r="T268" s="299"/>
      <c r="U268" s="235"/>
      <c r="V268" s="235"/>
      <c r="W268" s="300"/>
      <c r="X268" s="236"/>
      <c r="Y268" s="211"/>
      <c r="Z268" s="237"/>
      <c r="AA268" s="238"/>
      <c r="AB268" s="211"/>
      <c r="AC268" s="237"/>
      <c r="AD268" s="238"/>
      <c r="AE268" s="294">
        <v>41190</v>
      </c>
    </row>
    <row r="269" spans="1:31">
      <c r="A269" s="233"/>
      <c r="B269" s="301"/>
      <c r="C269" s="233"/>
      <c r="D269" s="233"/>
      <c r="E269" s="295"/>
      <c r="F269" s="241"/>
      <c r="G269" s="296"/>
      <c r="H269" s="240"/>
      <c r="I269" s="240"/>
      <c r="J269" s="261"/>
      <c r="K269" s="241"/>
      <c r="L269" s="234"/>
      <c r="M269" s="237"/>
      <c r="N269" s="240"/>
      <c r="O269" s="236"/>
      <c r="P269" s="297"/>
      <c r="Q269" s="298"/>
      <c r="R269" s="298"/>
      <c r="S269" s="297"/>
      <c r="T269" s="299"/>
      <c r="U269" s="235"/>
      <c r="V269" s="235"/>
      <c r="W269" s="300"/>
      <c r="X269" s="236"/>
      <c r="Y269" s="211"/>
      <c r="Z269" s="237"/>
      <c r="AA269" s="238"/>
      <c r="AB269" s="211"/>
      <c r="AC269" s="237"/>
      <c r="AD269" s="238"/>
      <c r="AE269" s="294">
        <v>41219</v>
      </c>
    </row>
    <row r="270" spans="1:31">
      <c r="A270" s="233"/>
      <c r="B270" s="301"/>
      <c r="C270" s="233"/>
      <c r="D270" s="233"/>
      <c r="E270" s="295"/>
      <c r="F270" s="241"/>
      <c r="G270" s="296"/>
      <c r="H270" s="240"/>
      <c r="I270" s="240"/>
      <c r="J270" s="261"/>
      <c r="K270" s="241"/>
      <c r="L270" s="234"/>
      <c r="M270" s="237"/>
      <c r="N270" s="240"/>
      <c r="O270" s="236"/>
      <c r="P270" s="297"/>
      <c r="Q270" s="298"/>
      <c r="R270" s="298"/>
      <c r="S270" s="297"/>
      <c r="T270" s="299"/>
      <c r="U270" s="235"/>
      <c r="V270" s="235"/>
      <c r="W270" s="300"/>
      <c r="X270" s="236"/>
      <c r="Y270" s="211"/>
      <c r="Z270" s="237"/>
      <c r="AA270" s="238"/>
      <c r="AB270" s="211"/>
      <c r="AC270" s="237"/>
      <c r="AD270" s="238"/>
      <c r="AE270" s="294">
        <v>41225</v>
      </c>
    </row>
    <row r="271" spans="1:31">
      <c r="A271" s="233"/>
      <c r="B271" s="301"/>
      <c r="C271" s="233"/>
      <c r="D271" s="233"/>
      <c r="E271" s="295"/>
      <c r="F271" s="241"/>
      <c r="G271" s="296"/>
      <c r="H271" s="240"/>
      <c r="I271" s="240"/>
      <c r="J271" s="261"/>
      <c r="K271" s="241"/>
      <c r="L271" s="234"/>
      <c r="M271" s="237"/>
      <c r="N271" s="240"/>
      <c r="O271" s="236"/>
      <c r="P271" s="297"/>
      <c r="Q271" s="298"/>
      <c r="R271" s="298"/>
      <c r="S271" s="297"/>
      <c r="T271" s="299"/>
      <c r="U271" s="235"/>
      <c r="V271" s="235"/>
      <c r="W271" s="300"/>
      <c r="X271" s="236"/>
      <c r="Y271" s="211"/>
      <c r="Z271" s="237"/>
      <c r="AA271" s="238"/>
      <c r="AB271" s="211"/>
      <c r="AC271" s="237"/>
      <c r="AD271" s="238"/>
      <c r="AE271" s="294">
        <v>41235</v>
      </c>
    </row>
    <row r="272" spans="1:31">
      <c r="A272" s="233"/>
      <c r="B272" s="301"/>
      <c r="C272" s="233"/>
      <c r="D272" s="233"/>
      <c r="E272" s="295"/>
      <c r="F272" s="241"/>
      <c r="G272" s="296"/>
      <c r="H272" s="240"/>
      <c r="I272" s="240"/>
      <c r="J272" s="261"/>
      <c r="K272" s="241"/>
      <c r="L272" s="234"/>
      <c r="M272" s="237"/>
      <c r="N272" s="240"/>
      <c r="O272" s="236"/>
      <c r="P272" s="297"/>
      <c r="Q272" s="298"/>
      <c r="R272" s="298"/>
      <c r="S272" s="297"/>
      <c r="T272" s="299"/>
      <c r="U272" s="235"/>
      <c r="V272" s="235"/>
      <c r="W272" s="300"/>
      <c r="X272" s="236"/>
      <c r="Y272" s="211"/>
      <c r="Z272" s="237"/>
      <c r="AA272" s="238"/>
      <c r="AB272" s="211"/>
      <c r="AC272" s="237"/>
      <c r="AD272" s="238"/>
      <c r="AE272" s="294">
        <v>41268</v>
      </c>
    </row>
    <row r="273" spans="1:31">
      <c r="A273" s="233"/>
      <c r="B273" s="301"/>
      <c r="C273" s="233"/>
      <c r="D273" s="233"/>
      <c r="E273" s="295"/>
      <c r="F273" s="241"/>
      <c r="G273" s="296"/>
      <c r="H273" s="240"/>
      <c r="I273" s="240"/>
      <c r="J273" s="261"/>
      <c r="K273" s="241"/>
      <c r="L273" s="234"/>
      <c r="M273" s="237"/>
      <c r="N273" s="240"/>
      <c r="O273" s="236"/>
      <c r="P273" s="297"/>
      <c r="Q273" s="298"/>
      <c r="R273" s="298"/>
      <c r="S273" s="297"/>
      <c r="T273" s="299"/>
      <c r="U273" s="235"/>
      <c r="V273" s="235"/>
      <c r="W273" s="300"/>
      <c r="X273" s="236"/>
      <c r="Y273" s="211"/>
      <c r="Z273" s="237"/>
      <c r="AA273" s="238"/>
      <c r="AB273" s="211"/>
      <c r="AC273" s="237"/>
      <c r="AD273" s="238"/>
      <c r="AE273" s="294">
        <v>41275</v>
      </c>
    </row>
    <row r="274" spans="1:31">
      <c r="A274" s="233"/>
      <c r="B274" s="301"/>
      <c r="C274" s="233"/>
      <c r="D274" s="233"/>
      <c r="E274" s="295"/>
      <c r="F274" s="241"/>
      <c r="G274" s="296"/>
      <c r="H274" s="240"/>
      <c r="I274" s="240"/>
      <c r="J274" s="261"/>
      <c r="K274" s="241"/>
      <c r="L274" s="234"/>
      <c r="M274" s="237"/>
      <c r="N274" s="240"/>
      <c r="O274" s="236"/>
      <c r="P274" s="297"/>
      <c r="Q274" s="298"/>
      <c r="R274" s="298"/>
      <c r="S274" s="297"/>
      <c r="T274" s="299"/>
      <c r="U274" s="235"/>
      <c r="V274" s="235"/>
      <c r="W274" s="300"/>
      <c r="X274" s="236"/>
      <c r="Y274" s="211"/>
      <c r="Z274" s="237"/>
      <c r="AA274" s="238"/>
      <c r="AB274" s="211"/>
      <c r="AC274" s="237"/>
      <c r="AD274" s="238"/>
      <c r="AE274" s="294">
        <v>41295</v>
      </c>
    </row>
    <row r="275" spans="1:31">
      <c r="A275" s="233"/>
      <c r="B275" s="301"/>
      <c r="C275" s="233"/>
      <c r="D275" s="233"/>
      <c r="E275" s="295"/>
      <c r="F275" s="241"/>
      <c r="G275" s="296"/>
      <c r="H275" s="240"/>
      <c r="I275" s="240"/>
      <c r="J275" s="261"/>
      <c r="K275" s="241"/>
      <c r="L275" s="234"/>
      <c r="M275" s="237"/>
      <c r="N275" s="240"/>
      <c r="O275" s="236"/>
      <c r="P275" s="297"/>
      <c r="Q275" s="298"/>
      <c r="R275" s="298"/>
      <c r="S275" s="297"/>
      <c r="T275" s="299"/>
      <c r="U275" s="235"/>
      <c r="V275" s="235"/>
      <c r="W275" s="300"/>
      <c r="X275" s="236"/>
      <c r="Y275" s="211"/>
      <c r="Z275" s="237"/>
      <c r="AA275" s="238"/>
      <c r="AB275" s="211"/>
      <c r="AC275" s="237"/>
      <c r="AD275" s="238"/>
      <c r="AE275" s="294">
        <v>41317</v>
      </c>
    </row>
    <row r="276" spans="1:31">
      <c r="A276" s="233"/>
      <c r="B276" s="301"/>
      <c r="C276" s="233"/>
      <c r="D276" s="233"/>
      <c r="E276" s="295"/>
      <c r="F276" s="241"/>
      <c r="G276" s="296"/>
      <c r="H276" s="240"/>
      <c r="I276" s="240"/>
      <c r="J276" s="261"/>
      <c r="K276" s="241"/>
      <c r="L276" s="234"/>
      <c r="M276" s="237"/>
      <c r="N276" s="240"/>
      <c r="O276" s="236"/>
      <c r="P276" s="297"/>
      <c r="Q276" s="298"/>
      <c r="R276" s="298"/>
      <c r="S276" s="297"/>
      <c r="T276" s="299"/>
      <c r="U276" s="235"/>
      <c r="V276" s="235"/>
      <c r="W276" s="300"/>
      <c r="X276" s="236"/>
      <c r="Y276" s="211"/>
      <c r="Z276" s="237"/>
      <c r="AA276" s="238"/>
      <c r="AB276" s="211"/>
      <c r="AC276" s="237"/>
      <c r="AD276" s="238"/>
      <c r="AE276" s="294">
        <v>41320</v>
      </c>
    </row>
    <row r="277" spans="1:31">
      <c r="A277" s="233"/>
      <c r="B277" s="301"/>
      <c r="C277" s="233"/>
      <c r="D277" s="233"/>
      <c r="E277" s="295"/>
      <c r="F277" s="241"/>
      <c r="G277" s="296"/>
      <c r="H277" s="240"/>
      <c r="I277" s="240"/>
      <c r="J277" s="261"/>
      <c r="K277" s="241"/>
      <c r="L277" s="234"/>
      <c r="M277" s="237"/>
      <c r="N277" s="240"/>
      <c r="O277" s="236"/>
      <c r="P277" s="297"/>
      <c r="Q277" s="298"/>
      <c r="R277" s="298"/>
      <c r="S277" s="297"/>
      <c r="T277" s="299"/>
      <c r="U277" s="235"/>
      <c r="V277" s="235"/>
      <c r="W277" s="300"/>
      <c r="X277" s="236"/>
      <c r="Y277" s="211"/>
      <c r="Z277" s="237"/>
      <c r="AA277" s="238"/>
      <c r="AB277" s="211"/>
      <c r="AC277" s="237"/>
      <c r="AD277" s="238"/>
      <c r="AE277" s="294">
        <v>41323</v>
      </c>
    </row>
    <row r="278" spans="1:31">
      <c r="A278" s="233"/>
      <c r="B278" s="301"/>
      <c r="C278" s="233"/>
      <c r="D278" s="233"/>
      <c r="E278" s="295"/>
      <c r="F278" s="241"/>
      <c r="G278" s="296"/>
      <c r="H278" s="240"/>
      <c r="I278" s="240"/>
      <c r="J278" s="261"/>
      <c r="K278" s="241"/>
      <c r="L278" s="234"/>
      <c r="M278" s="237"/>
      <c r="N278" s="240"/>
      <c r="O278" s="236"/>
      <c r="P278" s="297"/>
      <c r="Q278" s="298"/>
      <c r="R278" s="298"/>
      <c r="S278" s="297"/>
      <c r="T278" s="299"/>
      <c r="U278" s="235"/>
      <c r="V278" s="235"/>
      <c r="W278" s="300"/>
      <c r="X278" s="236"/>
      <c r="Y278" s="211"/>
      <c r="Z278" s="237"/>
      <c r="AA278" s="238"/>
      <c r="AB278" s="211"/>
      <c r="AC278" s="237"/>
      <c r="AD278" s="238"/>
      <c r="AE278" s="294">
        <v>41421</v>
      </c>
    </row>
    <row r="279" spans="1:31">
      <c r="A279" s="233"/>
      <c r="B279" s="301"/>
      <c r="C279" s="233"/>
      <c r="D279" s="233"/>
      <c r="E279" s="295"/>
      <c r="F279" s="241"/>
      <c r="G279" s="296"/>
      <c r="H279" s="240"/>
      <c r="I279" s="240"/>
      <c r="J279" s="261"/>
      <c r="K279" s="241"/>
      <c r="L279" s="234"/>
      <c r="M279" s="237"/>
      <c r="N279" s="240"/>
      <c r="O279" s="236"/>
      <c r="P279" s="297"/>
      <c r="Q279" s="298"/>
      <c r="R279" s="298"/>
      <c r="S279" s="297"/>
      <c r="T279" s="299"/>
      <c r="U279" s="235"/>
      <c r="V279" s="235"/>
      <c r="W279" s="300"/>
      <c r="X279" s="236"/>
      <c r="Y279" s="211"/>
      <c r="Z279" s="237"/>
      <c r="AA279" s="238"/>
      <c r="AB279" s="211"/>
      <c r="AC279" s="237"/>
      <c r="AD279" s="238"/>
      <c r="AE279" s="294">
        <v>41459</v>
      </c>
    </row>
    <row r="280" spans="1:31">
      <c r="A280" s="233"/>
      <c r="B280" s="301"/>
      <c r="C280" s="233"/>
      <c r="D280" s="233"/>
      <c r="E280" s="295"/>
      <c r="F280" s="241"/>
      <c r="G280" s="296"/>
      <c r="H280" s="240"/>
      <c r="I280" s="240"/>
      <c r="J280" s="261"/>
      <c r="K280" s="241"/>
      <c r="L280" s="234"/>
      <c r="M280" s="237"/>
      <c r="N280" s="240"/>
      <c r="O280" s="236"/>
      <c r="P280" s="297"/>
      <c r="Q280" s="298"/>
      <c r="R280" s="298"/>
      <c r="S280" s="297"/>
      <c r="T280" s="299"/>
      <c r="U280" s="235"/>
      <c r="V280" s="235"/>
      <c r="W280" s="300"/>
      <c r="X280" s="236"/>
      <c r="Y280" s="211"/>
      <c r="Z280" s="237"/>
      <c r="AA280" s="238"/>
      <c r="AB280" s="211"/>
      <c r="AC280" s="237"/>
      <c r="AD280" s="238"/>
      <c r="AE280" s="294">
        <v>41519</v>
      </c>
    </row>
    <row r="281" spans="1:31">
      <c r="A281" s="233"/>
      <c r="B281" s="301"/>
      <c r="C281" s="233"/>
      <c r="D281" s="233"/>
      <c r="E281" s="295"/>
      <c r="F281" s="241"/>
      <c r="G281" s="296"/>
      <c r="H281" s="240"/>
      <c r="I281" s="240"/>
      <c r="J281" s="261"/>
      <c r="K281" s="241"/>
      <c r="L281" s="234"/>
      <c r="M281" s="237"/>
      <c r="N281" s="240"/>
      <c r="O281" s="236"/>
      <c r="P281" s="297"/>
      <c r="Q281" s="298"/>
      <c r="R281" s="298"/>
      <c r="S281" s="297"/>
      <c r="T281" s="299"/>
      <c r="U281" s="235"/>
      <c r="V281" s="235"/>
      <c r="W281" s="300"/>
      <c r="X281" s="236"/>
      <c r="Y281" s="211"/>
      <c r="Z281" s="237"/>
      <c r="AA281" s="238"/>
      <c r="AB281" s="211"/>
      <c r="AC281" s="237"/>
      <c r="AD281" s="238"/>
      <c r="AE281" s="294">
        <v>41561</v>
      </c>
    </row>
    <row r="282" spans="1:31">
      <c r="A282" s="233"/>
      <c r="B282" s="301"/>
      <c r="C282" s="233"/>
      <c r="D282" s="233"/>
      <c r="E282" s="295"/>
      <c r="F282" s="241"/>
      <c r="G282" s="296"/>
      <c r="H282" s="240"/>
      <c r="I282" s="240"/>
      <c r="J282" s="261"/>
      <c r="K282" s="241"/>
      <c r="L282" s="234"/>
      <c r="M282" s="237"/>
      <c r="N282" s="240"/>
      <c r="O282" s="236"/>
      <c r="P282" s="297"/>
      <c r="Q282" s="298"/>
      <c r="R282" s="298"/>
      <c r="S282" s="297"/>
      <c r="T282" s="299"/>
      <c r="U282" s="235"/>
      <c r="V282" s="235"/>
      <c r="W282" s="300"/>
      <c r="X282" s="236"/>
      <c r="Y282" s="211"/>
      <c r="Z282" s="237"/>
      <c r="AA282" s="238"/>
      <c r="AB282" s="211"/>
      <c r="AC282" s="237"/>
      <c r="AD282" s="238"/>
      <c r="AE282" s="294">
        <v>41589</v>
      </c>
    </row>
    <row r="283" spans="1:31">
      <c r="A283" s="233"/>
      <c r="B283" s="301"/>
      <c r="C283" s="233"/>
      <c r="D283" s="233"/>
      <c r="E283" s="295"/>
      <c r="F283" s="241"/>
      <c r="G283" s="296"/>
      <c r="H283" s="240"/>
      <c r="I283" s="240"/>
      <c r="J283" s="261"/>
      <c r="K283" s="241"/>
      <c r="L283" s="234"/>
      <c r="M283" s="237"/>
      <c r="N283" s="240"/>
      <c r="O283" s="236"/>
      <c r="P283" s="297"/>
      <c r="Q283" s="298"/>
      <c r="R283" s="298"/>
      <c r="S283" s="297"/>
      <c r="T283" s="299"/>
      <c r="U283" s="235"/>
      <c r="V283" s="235"/>
      <c r="W283" s="300"/>
      <c r="X283" s="236"/>
      <c r="Y283" s="211"/>
      <c r="Z283" s="237"/>
      <c r="AA283" s="238"/>
      <c r="AB283" s="211"/>
      <c r="AC283" s="237"/>
      <c r="AD283" s="238"/>
      <c r="AE283" s="294">
        <v>41606</v>
      </c>
    </row>
    <row r="284" spans="1:31">
      <c r="A284" s="233"/>
      <c r="B284" s="301"/>
      <c r="C284" s="233"/>
      <c r="D284" s="233"/>
      <c r="E284" s="295"/>
      <c r="F284" s="241"/>
      <c r="G284" s="296"/>
      <c r="H284" s="240"/>
      <c r="I284" s="240"/>
      <c r="J284" s="261"/>
      <c r="K284" s="241"/>
      <c r="L284" s="234"/>
      <c r="M284" s="237"/>
      <c r="N284" s="240"/>
      <c r="O284" s="236"/>
      <c r="P284" s="297"/>
      <c r="Q284" s="298"/>
      <c r="R284" s="298"/>
      <c r="S284" s="297"/>
      <c r="T284" s="299"/>
      <c r="U284" s="235"/>
      <c r="V284" s="235"/>
      <c r="W284" s="300"/>
      <c r="X284" s="236"/>
      <c r="Y284" s="211"/>
      <c r="Z284" s="237"/>
      <c r="AA284" s="238"/>
      <c r="AB284" s="211"/>
      <c r="AC284" s="237"/>
      <c r="AD284" s="238"/>
      <c r="AE284" s="294">
        <v>41633</v>
      </c>
    </row>
    <row r="285" spans="1:31">
      <c r="A285" s="233"/>
      <c r="B285" s="301"/>
      <c r="C285" s="233"/>
      <c r="D285" s="233"/>
      <c r="E285" s="295"/>
      <c r="F285" s="241"/>
      <c r="G285" s="296"/>
      <c r="H285" s="240"/>
      <c r="I285" s="240"/>
      <c r="J285" s="261"/>
      <c r="K285" s="241"/>
      <c r="L285" s="234"/>
      <c r="M285" s="237"/>
      <c r="N285" s="240"/>
      <c r="O285" s="236"/>
      <c r="P285" s="297"/>
      <c r="Q285" s="298"/>
      <c r="R285" s="298"/>
      <c r="S285" s="297"/>
      <c r="T285" s="299"/>
      <c r="U285" s="235"/>
      <c r="V285" s="235"/>
      <c r="W285" s="300"/>
      <c r="X285" s="236"/>
      <c r="Y285" s="211"/>
      <c r="Z285" s="237"/>
      <c r="AA285" s="238"/>
      <c r="AB285" s="211"/>
      <c r="AC285" s="237"/>
      <c r="AD285" s="238"/>
      <c r="AE285" s="294">
        <v>41640</v>
      </c>
    </row>
    <row r="286" spans="1:31">
      <c r="A286" s="233"/>
      <c r="B286" s="301"/>
      <c r="C286" s="233"/>
      <c r="D286" s="233"/>
      <c r="E286" s="295"/>
      <c r="F286" s="241"/>
      <c r="G286" s="296"/>
      <c r="H286" s="240"/>
      <c r="I286" s="240"/>
      <c r="J286" s="261"/>
      <c r="K286" s="241"/>
      <c r="L286" s="234"/>
      <c r="M286" s="237"/>
      <c r="N286" s="240"/>
      <c r="O286" s="236"/>
      <c r="P286" s="297"/>
      <c r="Q286" s="298"/>
      <c r="R286" s="298"/>
      <c r="S286" s="297"/>
      <c r="T286" s="299"/>
      <c r="U286" s="235"/>
      <c r="V286" s="235"/>
      <c r="W286" s="300"/>
      <c r="X286" s="236"/>
      <c r="Y286" s="211"/>
      <c r="Z286" s="237"/>
      <c r="AA286" s="238"/>
      <c r="AB286" s="211"/>
      <c r="AC286" s="237"/>
      <c r="AD286" s="238"/>
      <c r="AE286" s="294">
        <v>41659</v>
      </c>
    </row>
    <row r="287" spans="1:31">
      <c r="A287" s="233"/>
      <c r="B287" s="301"/>
      <c r="C287" s="233"/>
      <c r="D287" s="233"/>
      <c r="E287" s="295"/>
      <c r="F287" s="241"/>
      <c r="G287" s="296"/>
      <c r="H287" s="240"/>
      <c r="I287" s="240"/>
      <c r="J287" s="261"/>
      <c r="K287" s="241"/>
      <c r="L287" s="234"/>
      <c r="M287" s="237"/>
      <c r="N287" s="240"/>
      <c r="O287" s="236"/>
      <c r="P287" s="297"/>
      <c r="Q287" s="298"/>
      <c r="R287" s="298"/>
      <c r="S287" s="297"/>
      <c r="T287" s="299"/>
      <c r="U287" s="235"/>
      <c r="V287" s="235"/>
      <c r="W287" s="300"/>
      <c r="X287" s="236"/>
      <c r="Y287" s="211"/>
      <c r="Z287" s="237"/>
      <c r="AA287" s="238"/>
      <c r="AB287" s="211"/>
      <c r="AC287" s="237"/>
      <c r="AD287" s="238"/>
      <c r="AE287" s="294">
        <v>41682</v>
      </c>
    </row>
    <row r="288" spans="1:31">
      <c r="A288" s="233"/>
      <c r="B288" s="301"/>
      <c r="C288" s="233"/>
      <c r="D288" s="233"/>
      <c r="E288" s="295"/>
      <c r="F288" s="241"/>
      <c r="G288" s="296"/>
      <c r="H288" s="240"/>
      <c r="I288" s="240"/>
      <c r="J288" s="261"/>
      <c r="K288" s="241"/>
      <c r="L288" s="234"/>
      <c r="M288" s="237"/>
      <c r="N288" s="240"/>
      <c r="O288" s="236"/>
      <c r="P288" s="297"/>
      <c r="Q288" s="298"/>
      <c r="R288" s="298"/>
      <c r="S288" s="297"/>
      <c r="T288" s="299"/>
      <c r="U288" s="235"/>
      <c r="V288" s="235"/>
      <c r="W288" s="300"/>
      <c r="X288" s="236"/>
      <c r="Y288" s="211"/>
      <c r="Z288" s="237"/>
      <c r="AA288" s="238"/>
      <c r="AB288" s="211"/>
      <c r="AC288" s="237"/>
      <c r="AD288" s="238"/>
      <c r="AE288" s="294">
        <v>41687</v>
      </c>
    </row>
    <row r="289" spans="1:31">
      <c r="A289" s="233"/>
      <c r="B289" s="301"/>
      <c r="C289" s="233"/>
      <c r="D289" s="233"/>
      <c r="E289" s="295"/>
      <c r="F289" s="241"/>
      <c r="G289" s="296"/>
      <c r="H289" s="240"/>
      <c r="I289" s="240"/>
      <c r="J289" s="261"/>
      <c r="K289" s="241"/>
      <c r="L289" s="234"/>
      <c r="M289" s="237"/>
      <c r="N289" s="240"/>
      <c r="O289" s="236"/>
      <c r="P289" s="297"/>
      <c r="Q289" s="298"/>
      <c r="R289" s="298"/>
      <c r="S289" s="297"/>
      <c r="T289" s="299"/>
      <c r="U289" s="235"/>
      <c r="V289" s="235"/>
      <c r="W289" s="300"/>
      <c r="X289" s="236"/>
      <c r="Y289" s="211"/>
      <c r="Z289" s="237"/>
      <c r="AA289" s="238"/>
      <c r="AB289" s="211"/>
      <c r="AC289" s="237"/>
      <c r="AD289" s="238"/>
      <c r="AE289" s="294">
        <v>41785</v>
      </c>
    </row>
    <row r="290" spans="1:31">
      <c r="A290" s="233"/>
      <c r="B290" s="301"/>
      <c r="C290" s="233"/>
      <c r="D290" s="233"/>
      <c r="E290" s="295"/>
      <c r="F290" s="241"/>
      <c r="G290" s="296"/>
      <c r="H290" s="240"/>
      <c r="I290" s="240"/>
      <c r="J290" s="261"/>
      <c r="K290" s="241"/>
      <c r="L290" s="234"/>
      <c r="M290" s="237"/>
      <c r="N290" s="240"/>
      <c r="O290" s="236"/>
      <c r="P290" s="297"/>
      <c r="Q290" s="298"/>
      <c r="R290" s="298"/>
      <c r="S290" s="297"/>
      <c r="T290" s="299"/>
      <c r="U290" s="235"/>
      <c r="V290" s="235"/>
      <c r="W290" s="300"/>
      <c r="X290" s="236"/>
      <c r="Y290" s="211"/>
      <c r="Z290" s="237"/>
      <c r="AA290" s="238"/>
      <c r="AB290" s="211"/>
      <c r="AC290" s="237"/>
      <c r="AD290" s="238"/>
      <c r="AE290" s="294">
        <v>41824</v>
      </c>
    </row>
    <row r="291" spans="1:31">
      <c r="A291" s="233"/>
      <c r="B291" s="301"/>
      <c r="C291" s="233"/>
      <c r="D291" s="233"/>
      <c r="E291" s="295"/>
      <c r="F291" s="241"/>
      <c r="G291" s="296"/>
      <c r="H291" s="240"/>
      <c r="I291" s="240"/>
      <c r="J291" s="261"/>
      <c r="K291" s="241"/>
      <c r="L291" s="234"/>
      <c r="M291" s="237"/>
      <c r="N291" s="240"/>
      <c r="O291" s="236"/>
      <c r="P291" s="297"/>
      <c r="Q291" s="298"/>
      <c r="R291" s="298"/>
      <c r="S291" s="297"/>
      <c r="T291" s="299"/>
      <c r="U291" s="235"/>
      <c r="V291" s="235"/>
      <c r="W291" s="300"/>
      <c r="X291" s="236"/>
      <c r="Y291" s="211"/>
      <c r="Z291" s="237"/>
      <c r="AA291" s="238"/>
      <c r="AB291" s="211"/>
      <c r="AC291" s="237"/>
      <c r="AD291" s="238"/>
      <c r="AE291" s="294">
        <v>41883</v>
      </c>
    </row>
    <row r="292" spans="1:31">
      <c r="A292" s="233"/>
      <c r="B292" s="301"/>
      <c r="C292" s="233"/>
      <c r="D292" s="233"/>
      <c r="E292" s="295"/>
      <c r="F292" s="241"/>
      <c r="G292" s="296"/>
      <c r="H292" s="240"/>
      <c r="I292" s="240"/>
      <c r="J292" s="261"/>
      <c r="K292" s="241"/>
      <c r="L292" s="234"/>
      <c r="M292" s="237"/>
      <c r="N292" s="240"/>
      <c r="O292" s="236"/>
      <c r="P292" s="297"/>
      <c r="Q292" s="298"/>
      <c r="R292" s="298"/>
      <c r="S292" s="297"/>
      <c r="T292" s="299"/>
      <c r="U292" s="235"/>
      <c r="V292" s="235"/>
      <c r="W292" s="300"/>
      <c r="X292" s="236"/>
      <c r="Y292" s="211"/>
      <c r="Z292" s="237"/>
      <c r="AA292" s="238"/>
      <c r="AB292" s="211"/>
      <c r="AC292" s="237"/>
      <c r="AD292" s="238"/>
      <c r="AE292" s="294">
        <v>41925</v>
      </c>
    </row>
    <row r="293" spans="1:31">
      <c r="A293" s="233"/>
      <c r="B293" s="301"/>
      <c r="C293" s="233"/>
      <c r="D293" s="233"/>
      <c r="E293" s="295"/>
      <c r="F293" s="241"/>
      <c r="G293" s="296"/>
      <c r="H293" s="240"/>
      <c r="I293" s="240"/>
      <c r="J293" s="261"/>
      <c r="K293" s="241"/>
      <c r="L293" s="234"/>
      <c r="M293" s="237"/>
      <c r="N293" s="240"/>
      <c r="O293" s="236"/>
      <c r="P293" s="297"/>
      <c r="Q293" s="298"/>
      <c r="R293" s="298"/>
      <c r="S293" s="297"/>
      <c r="T293" s="299"/>
      <c r="U293" s="235"/>
      <c r="V293" s="235"/>
      <c r="W293" s="300"/>
      <c r="X293" s="236"/>
      <c r="Y293" s="211"/>
      <c r="Z293" s="237"/>
      <c r="AA293" s="238"/>
      <c r="AB293" s="211"/>
      <c r="AC293" s="237"/>
      <c r="AD293" s="238"/>
      <c r="AE293" s="294">
        <v>41947</v>
      </c>
    </row>
    <row r="294" spans="1:31">
      <c r="A294" s="233"/>
      <c r="B294" s="301"/>
      <c r="C294" s="233"/>
      <c r="D294" s="233"/>
      <c r="E294" s="295"/>
      <c r="F294" s="241"/>
      <c r="G294" s="296"/>
      <c r="H294" s="240"/>
      <c r="I294" s="240"/>
      <c r="J294" s="261"/>
      <c r="K294" s="241"/>
      <c r="L294" s="234"/>
      <c r="M294" s="237"/>
      <c r="N294" s="240"/>
      <c r="O294" s="236"/>
      <c r="P294" s="297"/>
      <c r="Q294" s="298"/>
      <c r="R294" s="298"/>
      <c r="S294" s="297"/>
      <c r="T294" s="299"/>
      <c r="U294" s="235"/>
      <c r="V294" s="235"/>
      <c r="W294" s="300"/>
      <c r="X294" s="236"/>
      <c r="Y294" s="211"/>
      <c r="Z294" s="237"/>
      <c r="AA294" s="238"/>
      <c r="AB294" s="211"/>
      <c r="AC294" s="237"/>
      <c r="AD294" s="238"/>
      <c r="AE294" s="294">
        <v>41954</v>
      </c>
    </row>
    <row r="295" spans="1:31">
      <c r="A295" s="233"/>
      <c r="B295" s="301"/>
      <c r="C295" s="233"/>
      <c r="D295" s="233"/>
      <c r="E295" s="295"/>
      <c r="F295" s="241"/>
      <c r="G295" s="296"/>
      <c r="H295" s="240"/>
      <c r="I295" s="240"/>
      <c r="J295" s="261"/>
      <c r="K295" s="241"/>
      <c r="L295" s="234"/>
      <c r="M295" s="237"/>
      <c r="N295" s="240"/>
      <c r="O295" s="236"/>
      <c r="P295" s="297"/>
      <c r="Q295" s="298"/>
      <c r="R295" s="298"/>
      <c r="S295" s="297"/>
      <c r="T295" s="299"/>
      <c r="U295" s="235"/>
      <c r="V295" s="235"/>
      <c r="W295" s="300"/>
      <c r="X295" s="236"/>
      <c r="Y295" s="211"/>
      <c r="Z295" s="237"/>
      <c r="AA295" s="238"/>
      <c r="AB295" s="211"/>
      <c r="AC295" s="237"/>
      <c r="AD295" s="238"/>
      <c r="AE295" s="294">
        <v>41970</v>
      </c>
    </row>
    <row r="296" spans="1:31">
      <c r="A296" s="233"/>
      <c r="B296" s="301"/>
      <c r="C296" s="233"/>
      <c r="D296" s="233"/>
      <c r="E296" s="295"/>
      <c r="F296" s="241"/>
      <c r="G296" s="296"/>
      <c r="H296" s="240"/>
      <c r="I296" s="240"/>
      <c r="J296" s="261"/>
      <c r="K296" s="241"/>
      <c r="L296" s="234"/>
      <c r="M296" s="237"/>
      <c r="N296" s="240"/>
      <c r="O296" s="236"/>
      <c r="P296" s="297"/>
      <c r="Q296" s="298"/>
      <c r="R296" s="298"/>
      <c r="S296" s="297"/>
      <c r="T296" s="299"/>
      <c r="U296" s="235"/>
      <c r="V296" s="235"/>
      <c r="W296" s="300"/>
      <c r="X296" s="236"/>
      <c r="Y296" s="211"/>
      <c r="Z296" s="237"/>
      <c r="AA296" s="238"/>
      <c r="AB296" s="211"/>
      <c r="AC296" s="237"/>
      <c r="AD296" s="238"/>
      <c r="AE296" s="294">
        <v>41998</v>
      </c>
    </row>
    <row r="297" spans="1:31">
      <c r="A297" s="233"/>
      <c r="B297" s="301"/>
      <c r="C297" s="233"/>
      <c r="D297" s="233"/>
      <c r="E297" s="295"/>
      <c r="F297" s="241"/>
      <c r="G297" s="296"/>
      <c r="H297" s="240"/>
      <c r="I297" s="240"/>
      <c r="J297" s="261"/>
      <c r="K297" s="241"/>
      <c r="L297" s="234"/>
      <c r="M297" s="237"/>
      <c r="N297" s="240"/>
      <c r="O297" s="236"/>
      <c r="P297" s="297"/>
      <c r="Q297" s="298"/>
      <c r="R297" s="298"/>
      <c r="S297" s="297"/>
      <c r="T297" s="299"/>
      <c r="U297" s="235"/>
      <c r="V297" s="235"/>
      <c r="W297" s="300"/>
      <c r="X297" s="236"/>
      <c r="Y297" s="211"/>
      <c r="Z297" s="237"/>
      <c r="AA297" s="238"/>
      <c r="AB297" s="211"/>
      <c r="AC297" s="237"/>
      <c r="AD297" s="238"/>
      <c r="AE297" s="294">
        <v>42005</v>
      </c>
    </row>
    <row r="298" spans="1:31">
      <c r="A298" s="233"/>
      <c r="B298" s="301"/>
      <c r="C298" s="233"/>
      <c r="D298" s="233"/>
      <c r="E298" s="295"/>
      <c r="F298" s="241"/>
      <c r="G298" s="296"/>
      <c r="H298" s="240"/>
      <c r="I298" s="240"/>
      <c r="J298" s="261"/>
      <c r="K298" s="241"/>
      <c r="L298" s="234"/>
      <c r="M298" s="237"/>
      <c r="N298" s="240"/>
      <c r="O298" s="236"/>
      <c r="P298" s="297"/>
      <c r="Q298" s="298"/>
      <c r="R298" s="298"/>
      <c r="S298" s="297"/>
      <c r="T298" s="299"/>
      <c r="U298" s="235"/>
      <c r="V298" s="235"/>
      <c r="W298" s="300"/>
      <c r="X298" s="236"/>
      <c r="Y298" s="211"/>
      <c r="Z298" s="237"/>
      <c r="AA298" s="238"/>
      <c r="AB298" s="211"/>
      <c r="AC298" s="237"/>
      <c r="AD298" s="238"/>
      <c r="AE298" s="294">
        <v>42023</v>
      </c>
    </row>
    <row r="299" spans="1:31">
      <c r="A299" s="233"/>
      <c r="B299" s="301"/>
      <c r="C299" s="233"/>
      <c r="D299" s="233"/>
      <c r="E299" s="295"/>
      <c r="F299" s="241"/>
      <c r="G299" s="296"/>
      <c r="H299" s="240"/>
      <c r="I299" s="240"/>
      <c r="J299" s="261"/>
      <c r="K299" s="241"/>
      <c r="L299" s="234"/>
      <c r="M299" s="237"/>
      <c r="N299" s="240"/>
      <c r="O299" s="236"/>
      <c r="P299" s="297"/>
      <c r="Q299" s="298"/>
      <c r="R299" s="298"/>
      <c r="S299" s="297"/>
      <c r="T299" s="299"/>
      <c r="U299" s="235"/>
      <c r="V299" s="235"/>
      <c r="W299" s="300"/>
      <c r="X299" s="236"/>
      <c r="Y299" s="211"/>
      <c r="Z299" s="237"/>
      <c r="AA299" s="238"/>
      <c r="AB299" s="211"/>
      <c r="AC299" s="237"/>
      <c r="AD299" s="238"/>
      <c r="AE299" s="294">
        <v>42047</v>
      </c>
    </row>
    <row r="300" spans="1:31">
      <c r="A300" s="233"/>
      <c r="B300" s="301"/>
      <c r="C300" s="233"/>
      <c r="D300" s="233"/>
      <c r="E300" s="295"/>
      <c r="F300" s="241"/>
      <c r="G300" s="296"/>
      <c r="H300" s="240"/>
      <c r="I300" s="240"/>
      <c r="J300" s="261"/>
      <c r="K300" s="241"/>
      <c r="L300" s="234"/>
      <c r="M300" s="237"/>
      <c r="N300" s="240"/>
      <c r="O300" s="236"/>
      <c r="P300" s="297"/>
      <c r="Q300" s="298"/>
      <c r="R300" s="298"/>
      <c r="S300" s="297"/>
      <c r="T300" s="299"/>
      <c r="U300" s="235"/>
      <c r="V300" s="235"/>
      <c r="W300" s="300"/>
      <c r="X300" s="236"/>
      <c r="Y300" s="211"/>
      <c r="Z300" s="237"/>
      <c r="AA300" s="238"/>
      <c r="AB300" s="211"/>
      <c r="AC300" s="237"/>
      <c r="AD300" s="238"/>
      <c r="AE300" s="294">
        <v>42051</v>
      </c>
    </row>
    <row r="301" spans="1:31">
      <c r="A301" s="233"/>
      <c r="B301" s="301"/>
      <c r="C301" s="233"/>
      <c r="D301" s="233"/>
      <c r="E301" s="295"/>
      <c r="F301" s="241"/>
      <c r="G301" s="296"/>
      <c r="H301" s="240"/>
      <c r="I301" s="240"/>
      <c r="J301" s="261"/>
      <c r="K301" s="241"/>
      <c r="L301" s="234"/>
      <c r="M301" s="237"/>
      <c r="N301" s="240"/>
      <c r="O301" s="236"/>
      <c r="P301" s="297"/>
      <c r="Q301" s="298"/>
      <c r="R301" s="298"/>
      <c r="S301" s="297"/>
      <c r="T301" s="299"/>
      <c r="U301" s="235"/>
      <c r="V301" s="235"/>
      <c r="W301" s="300"/>
      <c r="X301" s="236"/>
      <c r="Y301" s="211"/>
      <c r="Z301" s="237"/>
      <c r="AA301" s="238"/>
      <c r="AB301" s="211"/>
      <c r="AC301" s="237"/>
      <c r="AD301" s="238"/>
      <c r="AE301" s="294">
        <v>42149</v>
      </c>
    </row>
    <row r="302" spans="1:31">
      <c r="A302" s="233"/>
      <c r="B302" s="301"/>
      <c r="C302" s="233"/>
      <c r="D302" s="233"/>
      <c r="E302" s="295"/>
      <c r="F302" s="241"/>
      <c r="G302" s="296"/>
      <c r="H302" s="240"/>
      <c r="I302" s="240"/>
      <c r="J302" s="261"/>
      <c r="K302" s="241"/>
      <c r="L302" s="234"/>
      <c r="M302" s="237"/>
      <c r="N302" s="240"/>
      <c r="O302" s="236"/>
      <c r="P302" s="297"/>
      <c r="Q302" s="298"/>
      <c r="R302" s="298"/>
      <c r="S302" s="297"/>
      <c r="T302" s="299"/>
      <c r="U302" s="235"/>
      <c r="V302" s="235"/>
      <c r="W302" s="300"/>
      <c r="X302" s="236"/>
      <c r="Y302" s="211"/>
      <c r="Z302" s="237"/>
      <c r="AA302" s="238"/>
      <c r="AB302" s="211"/>
      <c r="AC302" s="237"/>
      <c r="AD302" s="238"/>
      <c r="AE302" s="294">
        <v>42188</v>
      </c>
    </row>
    <row r="303" spans="1:31">
      <c r="A303" s="233"/>
      <c r="B303" s="301"/>
      <c r="C303" s="233"/>
      <c r="D303" s="233"/>
      <c r="E303" s="295"/>
      <c r="F303" s="241"/>
      <c r="G303" s="296"/>
      <c r="H303" s="240"/>
      <c r="I303" s="240"/>
      <c r="J303" s="261"/>
      <c r="K303" s="241"/>
      <c r="L303" s="234"/>
      <c r="M303" s="237"/>
      <c r="N303" s="240"/>
      <c r="O303" s="236"/>
      <c r="P303" s="297"/>
      <c r="Q303" s="298"/>
      <c r="R303" s="298"/>
      <c r="S303" s="297"/>
      <c r="T303" s="299"/>
      <c r="U303" s="235"/>
      <c r="V303" s="235"/>
      <c r="W303" s="300"/>
      <c r="X303" s="236"/>
      <c r="Y303" s="211"/>
      <c r="Z303" s="237"/>
      <c r="AA303" s="238"/>
      <c r="AB303" s="211"/>
      <c r="AC303" s="237"/>
      <c r="AD303" s="238"/>
      <c r="AE303" s="294">
        <v>42254</v>
      </c>
    </row>
    <row r="304" spans="1:31">
      <c r="A304" s="233"/>
      <c r="B304" s="301"/>
      <c r="C304" s="233"/>
      <c r="D304" s="233"/>
      <c r="E304" s="295"/>
      <c r="F304" s="241"/>
      <c r="G304" s="296"/>
      <c r="H304" s="240"/>
      <c r="I304" s="240"/>
      <c r="J304" s="261"/>
      <c r="K304" s="241"/>
      <c r="L304" s="234"/>
      <c r="M304" s="237"/>
      <c r="N304" s="240"/>
      <c r="O304" s="236"/>
      <c r="P304" s="297"/>
      <c r="Q304" s="298"/>
      <c r="R304" s="298"/>
      <c r="S304" s="297"/>
      <c r="T304" s="299"/>
      <c r="U304" s="235"/>
      <c r="V304" s="235"/>
      <c r="W304" s="300"/>
      <c r="X304" s="236"/>
      <c r="Y304" s="211"/>
      <c r="Z304" s="237"/>
      <c r="AA304" s="238"/>
      <c r="AB304" s="211"/>
      <c r="AC304" s="237"/>
      <c r="AD304" s="238"/>
      <c r="AE304" s="294">
        <v>42289</v>
      </c>
    </row>
    <row r="305" spans="1:31">
      <c r="A305" s="233"/>
      <c r="B305" s="301"/>
      <c r="C305" s="233"/>
      <c r="D305" s="233"/>
      <c r="E305" s="295"/>
      <c r="F305" s="241"/>
      <c r="G305" s="296"/>
      <c r="H305" s="240"/>
      <c r="I305" s="240"/>
      <c r="J305" s="261"/>
      <c r="K305" s="241"/>
      <c r="L305" s="234"/>
      <c r="M305" s="237"/>
      <c r="N305" s="240"/>
      <c r="O305" s="236"/>
      <c r="P305" s="297"/>
      <c r="Q305" s="298"/>
      <c r="R305" s="298"/>
      <c r="S305" s="297"/>
      <c r="T305" s="299"/>
      <c r="U305" s="235"/>
      <c r="V305" s="235"/>
      <c r="W305" s="300"/>
      <c r="X305" s="236"/>
      <c r="Y305" s="211"/>
      <c r="Z305" s="237"/>
      <c r="AA305" s="238"/>
      <c r="AB305" s="211"/>
      <c r="AC305" s="237"/>
      <c r="AD305" s="238"/>
      <c r="AE305" s="294">
        <v>42311</v>
      </c>
    </row>
    <row r="306" spans="1:31">
      <c r="A306" s="233"/>
      <c r="B306" s="301"/>
      <c r="C306" s="233"/>
      <c r="D306" s="233"/>
      <c r="E306" s="295"/>
      <c r="F306" s="241"/>
      <c r="G306" s="296"/>
      <c r="H306" s="240"/>
      <c r="I306" s="240"/>
      <c r="J306" s="261"/>
      <c r="K306" s="241"/>
      <c r="L306" s="234"/>
      <c r="M306" s="237"/>
      <c r="N306" s="240"/>
      <c r="O306" s="236"/>
      <c r="P306" s="297"/>
      <c r="Q306" s="298"/>
      <c r="R306" s="298"/>
      <c r="S306" s="297"/>
      <c r="T306" s="299"/>
      <c r="U306" s="235"/>
      <c r="V306" s="235"/>
      <c r="W306" s="300"/>
      <c r="X306" s="236"/>
      <c r="Y306" s="211"/>
      <c r="Z306" s="237"/>
      <c r="AA306" s="238"/>
      <c r="AB306" s="211"/>
      <c r="AC306" s="237"/>
      <c r="AD306" s="238"/>
      <c r="AE306" s="294">
        <v>42319</v>
      </c>
    </row>
    <row r="307" spans="1:31">
      <c r="A307" s="233"/>
      <c r="B307" s="301"/>
      <c r="C307" s="233"/>
      <c r="D307" s="233"/>
      <c r="E307" s="295"/>
      <c r="F307" s="241"/>
      <c r="G307" s="296"/>
      <c r="H307" s="240"/>
      <c r="I307" s="240"/>
      <c r="J307" s="261"/>
      <c r="K307" s="241"/>
      <c r="L307" s="234"/>
      <c r="M307" s="237"/>
      <c r="N307" s="240"/>
      <c r="O307" s="236"/>
      <c r="P307" s="297"/>
      <c r="Q307" s="298"/>
      <c r="R307" s="298"/>
      <c r="S307" s="297"/>
      <c r="T307" s="299"/>
      <c r="U307" s="235"/>
      <c r="V307" s="235"/>
      <c r="W307" s="300"/>
      <c r="X307" s="236"/>
      <c r="Y307" s="211"/>
      <c r="Z307" s="237"/>
      <c r="AA307" s="238"/>
      <c r="AB307" s="211"/>
      <c r="AC307" s="237"/>
      <c r="AD307" s="238"/>
      <c r="AE307" s="294">
        <v>42334</v>
      </c>
    </row>
    <row r="308" spans="1:31">
      <c r="A308" s="233"/>
      <c r="B308" s="301"/>
      <c r="C308" s="233"/>
      <c r="D308" s="233"/>
      <c r="E308" s="295"/>
      <c r="F308" s="241"/>
      <c r="G308" s="296"/>
      <c r="H308" s="240"/>
      <c r="I308" s="240"/>
      <c r="J308" s="261"/>
      <c r="K308" s="241"/>
      <c r="L308" s="234"/>
      <c r="M308" s="237"/>
      <c r="N308" s="240"/>
      <c r="O308" s="236"/>
      <c r="P308" s="297"/>
      <c r="Q308" s="298"/>
      <c r="R308" s="298"/>
      <c r="S308" s="297"/>
      <c r="T308" s="299"/>
      <c r="U308" s="235"/>
      <c r="V308" s="235"/>
      <c r="W308" s="300"/>
      <c r="X308" s="236"/>
      <c r="Y308" s="211"/>
      <c r="Z308" s="237"/>
      <c r="AA308" s="238"/>
      <c r="AB308" s="211"/>
      <c r="AC308" s="237"/>
      <c r="AD308" s="238"/>
      <c r="AE308" s="294">
        <v>42363</v>
      </c>
    </row>
    <row r="309" spans="1:31">
      <c r="A309" s="233"/>
      <c r="B309" s="301"/>
      <c r="C309" s="233"/>
      <c r="D309" s="233"/>
      <c r="E309" s="295"/>
      <c r="F309" s="241"/>
      <c r="G309" s="296"/>
      <c r="H309" s="240"/>
      <c r="I309" s="240"/>
      <c r="J309" s="261"/>
      <c r="K309" s="241"/>
      <c r="L309" s="234"/>
      <c r="M309" s="237"/>
      <c r="N309" s="240"/>
      <c r="O309" s="236"/>
      <c r="P309" s="297"/>
      <c r="Q309" s="298"/>
      <c r="R309" s="298"/>
      <c r="S309" s="297"/>
      <c r="T309" s="299"/>
      <c r="U309" s="235"/>
      <c r="V309" s="235"/>
      <c r="W309" s="300"/>
      <c r="X309" s="236"/>
      <c r="Y309" s="211"/>
      <c r="Z309" s="237"/>
      <c r="AA309" s="238"/>
      <c r="AB309" s="211"/>
      <c r="AC309" s="237"/>
      <c r="AD309" s="238"/>
      <c r="AE309" s="294">
        <v>42370</v>
      </c>
    </row>
    <row r="310" spans="1:31">
      <c r="A310" s="233"/>
      <c r="B310" s="301"/>
      <c r="C310" s="233"/>
      <c r="D310" s="233"/>
      <c r="E310" s="295"/>
      <c r="F310" s="241"/>
      <c r="G310" s="296"/>
      <c r="H310" s="240"/>
      <c r="I310" s="240"/>
      <c r="J310" s="261"/>
      <c r="K310" s="241"/>
      <c r="L310" s="234"/>
      <c r="M310" s="237"/>
      <c r="N310" s="240"/>
      <c r="O310" s="236"/>
      <c r="P310" s="297"/>
      <c r="Q310" s="298"/>
      <c r="R310" s="298"/>
      <c r="S310" s="297"/>
      <c r="T310" s="299"/>
      <c r="U310" s="235"/>
      <c r="V310" s="235"/>
      <c r="W310" s="300"/>
      <c r="X310" s="236"/>
      <c r="Y310" s="211"/>
      <c r="Z310" s="237"/>
      <c r="AA310" s="238"/>
      <c r="AB310" s="211"/>
      <c r="AC310" s="237"/>
      <c r="AD310" s="238"/>
      <c r="AE310" s="294">
        <v>42387</v>
      </c>
    </row>
    <row r="311" spans="1:31">
      <c r="A311" s="233"/>
      <c r="B311" s="301"/>
      <c r="C311" s="233"/>
      <c r="D311" s="233"/>
      <c r="E311" s="295"/>
      <c r="F311" s="241"/>
      <c r="G311" s="296"/>
      <c r="H311" s="240"/>
      <c r="I311" s="240"/>
      <c r="J311" s="261"/>
      <c r="K311" s="241"/>
      <c r="L311" s="234"/>
      <c r="M311" s="237"/>
      <c r="N311" s="240"/>
      <c r="O311" s="236"/>
      <c r="P311" s="297"/>
      <c r="Q311" s="298"/>
      <c r="R311" s="298"/>
      <c r="S311" s="297"/>
      <c r="T311" s="299"/>
      <c r="U311" s="235"/>
      <c r="V311" s="235"/>
      <c r="W311" s="300"/>
      <c r="X311" s="236"/>
      <c r="Y311" s="211"/>
      <c r="Z311" s="237"/>
      <c r="AA311" s="238"/>
      <c r="AB311" s="211"/>
      <c r="AC311" s="237"/>
      <c r="AD311" s="238"/>
      <c r="AE311" s="294">
        <v>42412</v>
      </c>
    </row>
    <row r="312" spans="1:31">
      <c r="A312" s="233"/>
      <c r="B312" s="301"/>
      <c r="C312" s="233"/>
      <c r="D312" s="233"/>
      <c r="E312" s="295"/>
      <c r="F312" s="241"/>
      <c r="G312" s="296"/>
      <c r="H312" s="240"/>
      <c r="I312" s="240"/>
      <c r="J312" s="261"/>
      <c r="K312" s="241"/>
      <c r="L312" s="234"/>
      <c r="M312" s="237"/>
      <c r="N312" s="240"/>
      <c r="O312" s="236"/>
      <c r="P312" s="297"/>
      <c r="Q312" s="298"/>
      <c r="R312" s="298"/>
      <c r="S312" s="297"/>
      <c r="T312" s="299"/>
      <c r="U312" s="235"/>
      <c r="V312" s="235"/>
      <c r="W312" s="300"/>
      <c r="X312" s="236"/>
      <c r="Y312" s="211"/>
      <c r="Z312" s="237"/>
      <c r="AA312" s="238"/>
      <c r="AB312" s="211"/>
      <c r="AC312" s="237"/>
      <c r="AD312" s="238"/>
      <c r="AE312" s="294">
        <v>42415</v>
      </c>
    </row>
    <row r="313" spans="1:31">
      <c r="A313" s="233"/>
      <c r="B313" s="301"/>
      <c r="C313" s="233"/>
      <c r="D313" s="233"/>
      <c r="E313" s="295"/>
      <c r="F313" s="241"/>
      <c r="G313" s="296"/>
      <c r="H313" s="240"/>
      <c r="I313" s="240"/>
      <c r="J313" s="261"/>
      <c r="K313" s="241"/>
      <c r="L313" s="234"/>
      <c r="M313" s="237"/>
      <c r="N313" s="240"/>
      <c r="O313" s="236"/>
      <c r="P313" s="297"/>
      <c r="Q313" s="298"/>
      <c r="R313" s="298"/>
      <c r="S313" s="297"/>
      <c r="T313" s="299"/>
      <c r="U313" s="235"/>
      <c r="V313" s="235"/>
      <c r="W313" s="300"/>
      <c r="X313" s="236"/>
      <c r="Y313" s="211"/>
      <c r="Z313" s="237"/>
      <c r="AA313" s="238"/>
      <c r="AB313" s="211"/>
      <c r="AC313" s="237"/>
      <c r="AD313" s="238"/>
      <c r="AE313" s="294">
        <v>42520</v>
      </c>
    </row>
    <row r="314" spans="1:31">
      <c r="A314" s="233"/>
      <c r="B314" s="301"/>
      <c r="C314" s="233"/>
      <c r="D314" s="233"/>
      <c r="E314" s="295"/>
      <c r="F314" s="241"/>
      <c r="G314" s="296"/>
      <c r="H314" s="240"/>
      <c r="I314" s="240"/>
      <c r="J314" s="261"/>
      <c r="K314" s="241"/>
      <c r="L314" s="234"/>
      <c r="M314" s="237"/>
      <c r="N314" s="240"/>
      <c r="O314" s="236"/>
      <c r="P314" s="297"/>
      <c r="Q314" s="298"/>
      <c r="R314" s="298"/>
      <c r="S314" s="297"/>
      <c r="T314" s="299"/>
      <c r="U314" s="235"/>
      <c r="V314" s="235"/>
      <c r="W314" s="300"/>
      <c r="X314" s="236"/>
      <c r="Y314" s="211"/>
      <c r="Z314" s="237"/>
      <c r="AA314" s="238"/>
      <c r="AB314" s="211"/>
      <c r="AC314" s="237"/>
      <c r="AD314" s="238"/>
      <c r="AE314" s="294">
        <v>42555</v>
      </c>
    </row>
    <row r="315" spans="1:31">
      <c r="A315" s="233"/>
      <c r="B315" s="301"/>
      <c r="C315" s="233"/>
      <c r="D315" s="233"/>
      <c r="E315" s="295"/>
      <c r="F315" s="241"/>
      <c r="G315" s="296"/>
      <c r="H315" s="240"/>
      <c r="I315" s="240"/>
      <c r="J315" s="261"/>
      <c r="K315" s="241"/>
      <c r="L315" s="234"/>
      <c r="M315" s="237"/>
      <c r="N315" s="240"/>
      <c r="O315" s="236"/>
      <c r="P315" s="297"/>
      <c r="Q315" s="298"/>
      <c r="R315" s="298"/>
      <c r="S315" s="297"/>
      <c r="T315" s="299"/>
      <c r="U315" s="235"/>
      <c r="V315" s="235"/>
      <c r="W315" s="300"/>
      <c r="X315" s="236"/>
      <c r="Y315" s="211"/>
      <c r="Z315" s="237"/>
      <c r="AA315" s="238"/>
      <c r="AB315" s="211"/>
      <c r="AC315" s="237"/>
      <c r="AD315" s="238"/>
      <c r="AE315" s="294">
        <v>42618</v>
      </c>
    </row>
    <row r="316" spans="1:31">
      <c r="A316" s="233"/>
      <c r="B316" s="301"/>
      <c r="C316" s="233"/>
      <c r="D316" s="233"/>
      <c r="E316" s="295"/>
      <c r="F316" s="241"/>
      <c r="G316" s="296"/>
      <c r="H316" s="240"/>
      <c r="I316" s="240"/>
      <c r="J316" s="261"/>
      <c r="K316" s="241"/>
      <c r="L316" s="234"/>
      <c r="M316" s="237"/>
      <c r="N316" s="240"/>
      <c r="O316" s="236"/>
      <c r="P316" s="297"/>
      <c r="Q316" s="298"/>
      <c r="R316" s="298"/>
      <c r="S316" s="297"/>
      <c r="T316" s="299"/>
      <c r="U316" s="235"/>
      <c r="V316" s="235"/>
      <c r="W316" s="300"/>
      <c r="X316" s="236"/>
      <c r="Y316" s="211"/>
      <c r="Z316" s="237"/>
      <c r="AA316" s="238"/>
      <c r="AB316" s="211"/>
      <c r="AC316" s="237"/>
      <c r="AD316" s="238"/>
      <c r="AE316" s="294">
        <v>42653</v>
      </c>
    </row>
    <row r="317" spans="1:31">
      <c r="A317" s="233"/>
      <c r="B317" s="301"/>
      <c r="C317" s="233"/>
      <c r="D317" s="233"/>
      <c r="E317" s="295"/>
      <c r="F317" s="241"/>
      <c r="G317" s="296"/>
      <c r="H317" s="240"/>
      <c r="I317" s="240"/>
      <c r="J317" s="261"/>
      <c r="K317" s="241"/>
      <c r="L317" s="234"/>
      <c r="M317" s="237"/>
      <c r="N317" s="240"/>
      <c r="O317" s="236"/>
      <c r="P317" s="297"/>
      <c r="Q317" s="298"/>
      <c r="R317" s="298"/>
      <c r="S317" s="297"/>
      <c r="T317" s="299"/>
      <c r="U317" s="235"/>
      <c r="V317" s="235"/>
      <c r="W317" s="300"/>
      <c r="X317" s="236"/>
      <c r="Y317" s="211"/>
      <c r="Z317" s="237"/>
      <c r="AA317" s="238"/>
      <c r="AB317" s="211"/>
      <c r="AC317" s="237"/>
      <c r="AD317" s="238"/>
      <c r="AE317" s="294">
        <v>42682</v>
      </c>
    </row>
    <row r="318" spans="1:31">
      <c r="A318" s="233"/>
      <c r="B318" s="301"/>
      <c r="C318" s="233"/>
      <c r="D318" s="233"/>
      <c r="E318" s="295"/>
      <c r="F318" s="241"/>
      <c r="G318" s="296"/>
      <c r="H318" s="240"/>
      <c r="I318" s="240"/>
      <c r="J318" s="261"/>
      <c r="K318" s="241"/>
      <c r="L318" s="234"/>
      <c r="M318" s="237"/>
      <c r="N318" s="240"/>
      <c r="O318" s="236"/>
      <c r="P318" s="297"/>
      <c r="Q318" s="298"/>
      <c r="R318" s="298"/>
      <c r="S318" s="297"/>
      <c r="T318" s="299"/>
      <c r="U318" s="235"/>
      <c r="V318" s="235"/>
      <c r="W318" s="300"/>
      <c r="X318" s="236"/>
      <c r="Y318" s="211"/>
      <c r="Z318" s="237"/>
      <c r="AA318" s="238"/>
      <c r="AB318" s="211"/>
      <c r="AC318" s="237"/>
      <c r="AD318" s="238"/>
      <c r="AE318" s="294">
        <v>42685</v>
      </c>
    </row>
    <row r="319" spans="1:31">
      <c r="A319" s="233"/>
      <c r="B319" s="301"/>
      <c r="C319" s="233"/>
      <c r="D319" s="233"/>
      <c r="E319" s="295"/>
      <c r="F319" s="241"/>
      <c r="G319" s="296"/>
      <c r="H319" s="240"/>
      <c r="I319" s="240"/>
      <c r="J319" s="261"/>
      <c r="K319" s="241"/>
      <c r="L319" s="234"/>
      <c r="M319" s="237"/>
      <c r="N319" s="240"/>
      <c r="O319" s="236"/>
      <c r="P319" s="297"/>
      <c r="Q319" s="298"/>
      <c r="R319" s="298"/>
      <c r="S319" s="297"/>
      <c r="T319" s="299"/>
      <c r="U319" s="235"/>
      <c r="V319" s="235"/>
      <c r="W319" s="300"/>
      <c r="X319" s="236"/>
      <c r="Y319" s="211"/>
      <c r="Z319" s="237"/>
      <c r="AA319" s="238"/>
      <c r="AB319" s="211"/>
      <c r="AC319" s="237"/>
      <c r="AD319" s="238"/>
      <c r="AE319" s="294">
        <v>42698</v>
      </c>
    </row>
    <row r="320" spans="1:31">
      <c r="A320" s="233"/>
      <c r="B320" s="301"/>
      <c r="C320" s="233"/>
      <c r="D320" s="233"/>
      <c r="E320" s="295"/>
      <c r="F320" s="241"/>
      <c r="G320" s="296"/>
      <c r="H320" s="240"/>
      <c r="I320" s="240"/>
      <c r="J320" s="261"/>
      <c r="K320" s="241"/>
      <c r="L320" s="234"/>
      <c r="M320" s="237"/>
      <c r="N320" s="240"/>
      <c r="O320" s="236"/>
      <c r="P320" s="297"/>
      <c r="Q320" s="298"/>
      <c r="R320" s="298"/>
      <c r="S320" s="297"/>
      <c r="T320" s="299"/>
      <c r="U320" s="235"/>
      <c r="V320" s="235"/>
      <c r="W320" s="300"/>
      <c r="X320" s="236"/>
      <c r="Y320" s="211"/>
      <c r="Z320" s="237"/>
      <c r="AA320" s="238"/>
      <c r="AB320" s="211"/>
      <c r="AC320" s="237"/>
      <c r="AD320" s="238"/>
      <c r="AE320" s="294">
        <v>42730</v>
      </c>
    </row>
    <row r="321" spans="1:31">
      <c r="A321" s="233"/>
      <c r="B321" s="301"/>
      <c r="C321" s="233"/>
      <c r="D321" s="233"/>
      <c r="E321" s="295"/>
      <c r="F321" s="241"/>
      <c r="G321" s="296"/>
      <c r="H321" s="240"/>
      <c r="I321" s="240"/>
      <c r="J321" s="261"/>
      <c r="K321" s="241"/>
      <c r="L321" s="234"/>
      <c r="M321" s="237"/>
      <c r="N321" s="240"/>
      <c r="O321" s="236"/>
      <c r="P321" s="297"/>
      <c r="Q321" s="298"/>
      <c r="R321" s="298"/>
      <c r="S321" s="297"/>
      <c r="T321" s="299"/>
      <c r="U321" s="235"/>
      <c r="V321" s="235"/>
      <c r="W321" s="300"/>
      <c r="X321" s="236"/>
      <c r="Y321" s="211"/>
      <c r="Z321" s="237"/>
      <c r="AA321" s="238"/>
      <c r="AB321" s="211"/>
      <c r="AC321" s="237"/>
      <c r="AD321" s="238"/>
      <c r="AE321" s="294">
        <v>42737</v>
      </c>
    </row>
    <row r="322" spans="1:31">
      <c r="A322" s="233"/>
      <c r="B322" s="301"/>
      <c r="C322" s="233"/>
      <c r="D322" s="233"/>
      <c r="E322" s="295"/>
      <c r="F322" s="241"/>
      <c r="G322" s="296"/>
      <c r="H322" s="240"/>
      <c r="I322" s="240"/>
      <c r="J322" s="261"/>
      <c r="K322" s="241"/>
      <c r="L322" s="234"/>
      <c r="M322" s="237"/>
      <c r="N322" s="240"/>
      <c r="O322" s="236"/>
      <c r="P322" s="297"/>
      <c r="Q322" s="298"/>
      <c r="R322" s="298"/>
      <c r="S322" s="297"/>
      <c r="T322" s="299"/>
      <c r="U322" s="235"/>
      <c r="V322" s="235"/>
      <c r="W322" s="300"/>
      <c r="X322" s="236"/>
      <c r="Y322" s="211"/>
      <c r="Z322" s="237"/>
      <c r="AA322" s="238"/>
      <c r="AB322" s="211"/>
      <c r="AC322" s="237"/>
      <c r="AD322" s="238"/>
      <c r="AE322" s="294">
        <v>42751</v>
      </c>
    </row>
    <row r="323" spans="1:31">
      <c r="A323" s="233"/>
      <c r="B323" s="301"/>
      <c r="C323" s="233"/>
      <c r="D323" s="233"/>
      <c r="E323" s="295"/>
      <c r="F323" s="241"/>
      <c r="G323" s="296"/>
      <c r="H323" s="240"/>
      <c r="I323" s="240"/>
      <c r="J323" s="261"/>
      <c r="K323" s="241"/>
      <c r="L323" s="234"/>
      <c r="M323" s="237"/>
      <c r="N323" s="240"/>
      <c r="O323" s="236"/>
      <c r="P323" s="297"/>
      <c r="Q323" s="298"/>
      <c r="R323" s="298"/>
      <c r="S323" s="297"/>
      <c r="T323" s="299"/>
      <c r="U323" s="235"/>
      <c r="V323" s="235"/>
      <c r="W323" s="300"/>
      <c r="X323" s="236"/>
      <c r="Y323" s="211"/>
      <c r="Z323" s="237"/>
      <c r="AA323" s="238"/>
      <c r="AB323" s="211"/>
      <c r="AC323" s="237"/>
      <c r="AD323" s="238"/>
      <c r="AE323" s="294">
        <v>42779</v>
      </c>
    </row>
    <row r="324" spans="1:31">
      <c r="A324" s="233"/>
      <c r="B324" s="301"/>
      <c r="C324" s="233"/>
      <c r="D324" s="233"/>
      <c r="E324" s="295"/>
      <c r="F324" s="241"/>
      <c r="G324" s="296"/>
      <c r="H324" s="240"/>
      <c r="I324" s="240"/>
      <c r="J324" s="261"/>
      <c r="K324" s="241"/>
      <c r="L324" s="234"/>
      <c r="M324" s="237"/>
      <c r="N324" s="240"/>
      <c r="O324" s="236"/>
      <c r="P324" s="297"/>
      <c r="Q324" s="298"/>
      <c r="R324" s="298"/>
      <c r="S324" s="297"/>
      <c r="T324" s="299"/>
      <c r="U324" s="235"/>
      <c r="V324" s="235"/>
      <c r="W324" s="300"/>
      <c r="X324" s="236"/>
      <c r="Y324" s="211"/>
      <c r="Z324" s="237"/>
      <c r="AA324" s="238"/>
      <c r="AB324" s="211"/>
      <c r="AC324" s="237"/>
      <c r="AD324" s="238"/>
      <c r="AE324" s="294">
        <v>42781</v>
      </c>
    </row>
    <row r="325" spans="1:31">
      <c r="A325" s="233"/>
      <c r="B325" s="301"/>
      <c r="C325" s="233"/>
      <c r="D325" s="233"/>
      <c r="E325" s="295"/>
      <c r="F325" s="241"/>
      <c r="G325" s="296"/>
      <c r="H325" s="240"/>
      <c r="I325" s="240"/>
      <c r="J325" s="261"/>
      <c r="K325" s="241"/>
      <c r="L325" s="234"/>
      <c r="M325" s="237"/>
      <c r="N325" s="240"/>
      <c r="O325" s="236"/>
      <c r="P325" s="297"/>
      <c r="Q325" s="298"/>
      <c r="R325" s="298"/>
      <c r="S325" s="297"/>
      <c r="T325" s="299"/>
      <c r="U325" s="235"/>
      <c r="V325" s="235"/>
      <c r="W325" s="300"/>
      <c r="X325" s="236"/>
      <c r="Y325" s="211"/>
      <c r="Z325" s="237"/>
      <c r="AA325" s="238"/>
      <c r="AB325" s="211"/>
      <c r="AC325" s="237"/>
      <c r="AD325" s="238"/>
      <c r="AE325" s="294">
        <v>42786</v>
      </c>
    </row>
    <row r="326" spans="1:31">
      <c r="A326" s="233"/>
      <c r="B326" s="301"/>
      <c r="C326" s="233"/>
      <c r="D326" s="233"/>
      <c r="E326" s="295"/>
      <c r="F326" s="241"/>
      <c r="G326" s="296"/>
      <c r="H326" s="240"/>
      <c r="I326" s="240"/>
      <c r="J326" s="261"/>
      <c r="K326" s="241"/>
      <c r="L326" s="234"/>
      <c r="M326" s="237"/>
      <c r="N326" s="240"/>
      <c r="O326" s="236"/>
      <c r="P326" s="297"/>
      <c r="Q326" s="298"/>
      <c r="R326" s="298"/>
      <c r="S326" s="297"/>
      <c r="T326" s="299"/>
      <c r="U326" s="235"/>
      <c r="V326" s="235"/>
      <c r="W326" s="300"/>
      <c r="X326" s="236"/>
      <c r="Y326" s="211"/>
      <c r="Z326" s="237"/>
      <c r="AA326" s="238"/>
      <c r="AB326" s="211"/>
      <c r="AC326" s="237"/>
      <c r="AD326" s="238"/>
      <c r="AE326" s="294">
        <v>42884</v>
      </c>
    </row>
    <row r="327" spans="1:31">
      <c r="A327" s="233"/>
      <c r="B327" s="301"/>
      <c r="C327" s="233"/>
      <c r="D327" s="233"/>
      <c r="E327" s="295"/>
      <c r="F327" s="241"/>
      <c r="G327" s="296"/>
      <c r="H327" s="240"/>
      <c r="I327" s="240"/>
      <c r="J327" s="261"/>
      <c r="K327" s="241"/>
      <c r="L327" s="234"/>
      <c r="M327" s="237"/>
      <c r="N327" s="240"/>
      <c r="O327" s="236"/>
      <c r="P327" s="297"/>
      <c r="Q327" s="298"/>
      <c r="R327" s="298"/>
      <c r="S327" s="297"/>
      <c r="T327" s="299"/>
      <c r="U327" s="235"/>
      <c r="V327" s="235"/>
      <c r="W327" s="300"/>
      <c r="X327" s="236"/>
      <c r="Y327" s="211"/>
      <c r="Z327" s="237"/>
      <c r="AA327" s="238"/>
      <c r="AB327" s="211"/>
      <c r="AC327" s="237"/>
      <c r="AD327" s="238"/>
      <c r="AE327" s="294">
        <v>42920</v>
      </c>
    </row>
    <row r="328" spans="1:31">
      <c r="A328" s="233"/>
      <c r="B328" s="301"/>
      <c r="C328" s="233"/>
      <c r="D328" s="233"/>
      <c r="E328" s="295"/>
      <c r="F328" s="241"/>
      <c r="G328" s="296"/>
      <c r="H328" s="240"/>
      <c r="I328" s="240"/>
      <c r="J328" s="261"/>
      <c r="K328" s="241"/>
      <c r="L328" s="234"/>
      <c r="M328" s="237"/>
      <c r="N328" s="240"/>
      <c r="O328" s="236"/>
      <c r="P328" s="297"/>
      <c r="Q328" s="298"/>
      <c r="R328" s="298"/>
      <c r="S328" s="297"/>
      <c r="T328" s="299"/>
      <c r="U328" s="235"/>
      <c r="V328" s="235"/>
      <c r="W328" s="300"/>
      <c r="X328" s="236"/>
      <c r="Y328" s="211"/>
      <c r="Z328" s="237"/>
      <c r="AA328" s="238"/>
      <c r="AB328" s="211"/>
      <c r="AC328" s="237"/>
      <c r="AD328" s="238"/>
      <c r="AE328" s="294">
        <v>42982</v>
      </c>
    </row>
    <row r="329" spans="1:31">
      <c r="A329" s="233"/>
      <c r="B329" s="301"/>
      <c r="C329" s="233"/>
      <c r="D329" s="233"/>
      <c r="E329" s="295"/>
      <c r="F329" s="241"/>
      <c r="G329" s="296"/>
      <c r="H329" s="240"/>
      <c r="I329" s="240"/>
      <c r="J329" s="261"/>
      <c r="K329" s="241"/>
      <c r="L329" s="234"/>
      <c r="M329" s="237"/>
      <c r="N329" s="240"/>
      <c r="O329" s="236"/>
      <c r="P329" s="297"/>
      <c r="Q329" s="298"/>
      <c r="R329" s="298"/>
      <c r="S329" s="297"/>
      <c r="T329" s="299"/>
      <c r="U329" s="235"/>
      <c r="V329" s="235"/>
      <c r="W329" s="300"/>
      <c r="X329" s="236"/>
      <c r="Y329" s="211"/>
      <c r="Z329" s="237"/>
      <c r="AA329" s="238"/>
      <c r="AB329" s="211"/>
      <c r="AC329" s="237"/>
      <c r="AD329" s="238"/>
      <c r="AE329" s="294">
        <v>43017</v>
      </c>
    </row>
    <row r="330" spans="1:31">
      <c r="A330" s="233"/>
      <c r="B330" s="301"/>
      <c r="C330" s="233"/>
      <c r="D330" s="233"/>
      <c r="E330" s="295"/>
      <c r="F330" s="241"/>
      <c r="G330" s="296"/>
      <c r="H330" s="240"/>
      <c r="I330" s="240"/>
      <c r="J330" s="261"/>
      <c r="K330" s="241"/>
      <c r="L330" s="234"/>
      <c r="M330" s="237"/>
      <c r="N330" s="240"/>
      <c r="O330" s="236"/>
      <c r="P330" s="297"/>
      <c r="Q330" s="298"/>
      <c r="R330" s="298"/>
      <c r="S330" s="297"/>
      <c r="T330" s="299"/>
      <c r="U330" s="235"/>
      <c r="V330" s="235"/>
      <c r="W330" s="300"/>
      <c r="X330" s="236"/>
      <c r="Y330" s="211"/>
      <c r="Z330" s="237"/>
      <c r="AA330" s="238"/>
      <c r="AB330" s="211"/>
      <c r="AC330" s="237"/>
      <c r="AD330" s="238"/>
      <c r="AE330" s="294">
        <v>43046</v>
      </c>
    </row>
    <row r="331" spans="1:31">
      <c r="A331" s="233"/>
      <c r="B331" s="301"/>
      <c r="C331" s="233"/>
      <c r="D331" s="233"/>
      <c r="E331" s="295"/>
      <c r="F331" s="241"/>
      <c r="G331" s="296"/>
      <c r="H331" s="240"/>
      <c r="I331" s="240"/>
      <c r="J331" s="261"/>
      <c r="K331" s="241"/>
      <c r="L331" s="234"/>
      <c r="M331" s="237"/>
      <c r="N331" s="240"/>
      <c r="O331" s="236"/>
      <c r="P331" s="297"/>
      <c r="Q331" s="298"/>
      <c r="R331" s="298"/>
      <c r="S331" s="297"/>
      <c r="T331" s="299"/>
      <c r="U331" s="235"/>
      <c r="V331" s="235"/>
      <c r="W331" s="300"/>
      <c r="X331" s="236"/>
      <c r="Y331" s="211"/>
      <c r="Z331" s="237"/>
      <c r="AA331" s="238"/>
      <c r="AB331" s="211"/>
      <c r="AC331" s="237"/>
      <c r="AD331" s="238"/>
      <c r="AE331" s="294">
        <v>43049</v>
      </c>
    </row>
    <row r="332" spans="1:31">
      <c r="A332" s="233"/>
      <c r="B332" s="301"/>
      <c r="C332" s="233"/>
      <c r="D332" s="233"/>
      <c r="E332" s="295"/>
      <c r="F332" s="241"/>
      <c r="G332" s="296"/>
      <c r="H332" s="240"/>
      <c r="I332" s="240"/>
      <c r="J332" s="261"/>
      <c r="K332" s="241"/>
      <c r="L332" s="234"/>
      <c r="M332" s="237"/>
      <c r="N332" s="240"/>
      <c r="O332" s="236"/>
      <c r="P332" s="297"/>
      <c r="Q332" s="298"/>
      <c r="R332" s="298"/>
      <c r="S332" s="297"/>
      <c r="T332" s="299"/>
      <c r="U332" s="235"/>
      <c r="V332" s="235"/>
      <c r="W332" s="300"/>
      <c r="X332" s="236"/>
      <c r="Y332" s="211"/>
      <c r="Z332" s="237"/>
      <c r="AA332" s="238"/>
      <c r="AB332" s="211"/>
      <c r="AC332" s="237"/>
      <c r="AD332" s="238"/>
      <c r="AE332" s="294">
        <v>43062</v>
      </c>
    </row>
    <row r="333" spans="1:31">
      <c r="A333" s="233"/>
      <c r="B333" s="301"/>
      <c r="C333" s="233"/>
      <c r="D333" s="233"/>
      <c r="E333" s="295"/>
      <c r="F333" s="241"/>
      <c r="G333" s="296"/>
      <c r="H333" s="240"/>
      <c r="I333" s="240"/>
      <c r="J333" s="261"/>
      <c r="K333" s="241"/>
      <c r="L333" s="234"/>
      <c r="M333" s="237"/>
      <c r="N333" s="240"/>
      <c r="O333" s="236"/>
      <c r="P333" s="297"/>
      <c r="Q333" s="298"/>
      <c r="R333" s="298"/>
      <c r="S333" s="297"/>
      <c r="T333" s="299"/>
      <c r="U333" s="235"/>
      <c r="V333" s="235"/>
      <c r="W333" s="300"/>
      <c r="X333" s="236"/>
      <c r="Y333" s="211"/>
      <c r="Z333" s="237"/>
      <c r="AA333" s="238"/>
      <c r="AB333" s="211"/>
      <c r="AC333" s="237"/>
      <c r="AD333" s="238"/>
      <c r="AE333" s="294">
        <v>43094</v>
      </c>
    </row>
    <row r="334" spans="1:31">
      <c r="A334" s="233"/>
      <c r="B334" s="301"/>
      <c r="C334" s="233"/>
      <c r="D334" s="233"/>
      <c r="E334" s="295"/>
      <c r="F334" s="241"/>
      <c r="G334" s="296"/>
      <c r="H334" s="240"/>
      <c r="I334" s="240"/>
      <c r="J334" s="261"/>
      <c r="K334" s="241"/>
      <c r="L334" s="234"/>
      <c r="M334" s="237"/>
      <c r="N334" s="240"/>
      <c r="O334" s="236"/>
      <c r="P334" s="297"/>
      <c r="Q334" s="298"/>
      <c r="R334" s="298"/>
      <c r="S334" s="297"/>
      <c r="T334" s="299"/>
      <c r="U334" s="235"/>
      <c r="V334" s="235"/>
      <c r="W334" s="300"/>
      <c r="X334" s="236"/>
      <c r="Y334" s="211"/>
      <c r="Z334" s="237"/>
      <c r="AA334" s="238"/>
      <c r="AB334" s="211"/>
      <c r="AC334" s="237"/>
      <c r="AD334" s="238"/>
      <c r="AE334" s="294">
        <v>43101</v>
      </c>
    </row>
    <row r="335" spans="1:31">
      <c r="A335" s="233"/>
      <c r="B335" s="301"/>
      <c r="C335" s="233"/>
      <c r="D335" s="233"/>
      <c r="E335" s="295"/>
      <c r="F335" s="241"/>
      <c r="G335" s="296"/>
      <c r="H335" s="240"/>
      <c r="I335" s="240"/>
      <c r="J335" s="261"/>
      <c r="K335" s="241"/>
      <c r="L335" s="234"/>
      <c r="M335" s="237"/>
      <c r="N335" s="240"/>
      <c r="O335" s="236"/>
      <c r="P335" s="297"/>
      <c r="Q335" s="298"/>
      <c r="R335" s="298"/>
      <c r="S335" s="297"/>
      <c r="T335" s="299"/>
      <c r="U335" s="235"/>
      <c r="V335" s="235"/>
      <c r="W335" s="300"/>
      <c r="X335" s="236"/>
      <c r="Y335" s="211"/>
      <c r="Z335" s="237"/>
      <c r="AA335" s="238"/>
      <c r="AB335" s="211"/>
      <c r="AC335" s="237"/>
      <c r="AD335" s="238"/>
      <c r="AE335" s="294">
        <v>43115</v>
      </c>
    </row>
    <row r="336" spans="1:31">
      <c r="A336" s="233"/>
      <c r="B336" s="301"/>
      <c r="C336" s="233"/>
      <c r="D336" s="233"/>
      <c r="E336" s="295"/>
      <c r="F336" s="241"/>
      <c r="G336" s="296"/>
      <c r="H336" s="240"/>
      <c r="I336" s="240"/>
      <c r="J336" s="261"/>
      <c r="K336" s="241"/>
      <c r="L336" s="234"/>
      <c r="M336" s="237"/>
      <c r="N336" s="240"/>
      <c r="O336" s="236"/>
      <c r="P336" s="297"/>
      <c r="Q336" s="298"/>
      <c r="R336" s="298"/>
      <c r="S336" s="297"/>
      <c r="T336" s="299"/>
      <c r="U336" s="235"/>
      <c r="V336" s="235"/>
      <c r="W336" s="300"/>
      <c r="X336" s="236"/>
      <c r="Y336" s="211"/>
      <c r="Z336" s="237"/>
      <c r="AA336" s="238"/>
      <c r="AB336" s="211"/>
      <c r="AC336" s="237"/>
      <c r="AD336" s="238"/>
      <c r="AE336" s="294">
        <v>43143</v>
      </c>
    </row>
    <row r="337" spans="1:31">
      <c r="A337" s="233"/>
      <c r="B337" s="301"/>
      <c r="C337" s="233"/>
      <c r="D337" s="233"/>
      <c r="E337" s="295"/>
      <c r="F337" s="241"/>
      <c r="G337" s="296"/>
      <c r="H337" s="240"/>
      <c r="I337" s="240"/>
      <c r="J337" s="261"/>
      <c r="K337" s="241"/>
      <c r="L337" s="234"/>
      <c r="M337" s="237"/>
      <c r="N337" s="240"/>
      <c r="O337" s="236"/>
      <c r="P337" s="297"/>
      <c r="Q337" s="298"/>
      <c r="R337" s="298"/>
      <c r="S337" s="297"/>
      <c r="T337" s="299"/>
      <c r="U337" s="235"/>
      <c r="V337" s="235"/>
      <c r="W337" s="300"/>
      <c r="X337" s="236"/>
      <c r="Y337" s="211"/>
      <c r="Z337" s="237"/>
      <c r="AA337" s="238"/>
      <c r="AB337" s="211"/>
      <c r="AC337" s="237"/>
      <c r="AD337" s="238"/>
      <c r="AE337" s="294">
        <v>43146</v>
      </c>
    </row>
    <row r="338" spans="1:31">
      <c r="A338" s="233"/>
      <c r="B338" s="301"/>
      <c r="C338" s="233"/>
      <c r="D338" s="233"/>
      <c r="E338" s="295"/>
      <c r="F338" s="241"/>
      <c r="G338" s="296"/>
      <c r="H338" s="240"/>
      <c r="I338" s="240"/>
      <c r="J338" s="261"/>
      <c r="K338" s="241"/>
      <c r="L338" s="234"/>
      <c r="M338" s="237"/>
      <c r="N338" s="240"/>
      <c r="O338" s="236"/>
      <c r="P338" s="297"/>
      <c r="Q338" s="298"/>
      <c r="R338" s="298"/>
      <c r="S338" s="297"/>
      <c r="T338" s="299"/>
      <c r="U338" s="235"/>
      <c r="V338" s="235"/>
      <c r="W338" s="300"/>
      <c r="X338" s="236"/>
      <c r="Y338" s="211"/>
      <c r="Z338" s="237"/>
      <c r="AA338" s="238"/>
      <c r="AB338" s="211"/>
      <c r="AC338" s="237"/>
      <c r="AD338" s="238"/>
      <c r="AE338" s="294">
        <v>43150</v>
      </c>
    </row>
    <row r="339" spans="1:31">
      <c r="A339" s="233"/>
      <c r="B339" s="301"/>
      <c r="C339" s="233"/>
      <c r="D339" s="233"/>
      <c r="E339" s="295"/>
      <c r="F339" s="241"/>
      <c r="G339" s="296"/>
      <c r="H339" s="240"/>
      <c r="I339" s="240"/>
      <c r="J339" s="261"/>
      <c r="K339" s="241"/>
      <c r="L339" s="234"/>
      <c r="M339" s="237"/>
      <c r="N339" s="240"/>
      <c r="O339" s="236"/>
      <c r="P339" s="297"/>
      <c r="Q339" s="298"/>
      <c r="R339" s="298"/>
      <c r="S339" s="297"/>
      <c r="T339" s="299"/>
      <c r="U339" s="235"/>
      <c r="V339" s="235"/>
      <c r="W339" s="300"/>
      <c r="X339" s="236"/>
      <c r="Y339" s="211"/>
      <c r="Z339" s="237"/>
      <c r="AA339" s="238"/>
      <c r="AB339" s="211"/>
      <c r="AC339" s="237"/>
      <c r="AD339" s="238"/>
      <c r="AE339" s="294">
        <v>43248</v>
      </c>
    </row>
    <row r="340" spans="1:31">
      <c r="A340" s="233"/>
      <c r="B340" s="301"/>
      <c r="C340" s="233"/>
      <c r="D340" s="233"/>
      <c r="E340" s="295"/>
      <c r="F340" s="241"/>
      <c r="G340" s="296"/>
      <c r="H340" s="240"/>
      <c r="I340" s="240"/>
      <c r="J340" s="261"/>
      <c r="K340" s="241"/>
      <c r="L340" s="234"/>
      <c r="M340" s="237"/>
      <c r="N340" s="240"/>
      <c r="O340" s="236"/>
      <c r="P340" s="297"/>
      <c r="Q340" s="298"/>
      <c r="R340" s="298"/>
      <c r="S340" s="297"/>
      <c r="T340" s="299"/>
      <c r="U340" s="235"/>
      <c r="V340" s="235"/>
      <c r="W340" s="300"/>
      <c r="X340" s="236"/>
      <c r="Y340" s="211"/>
      <c r="Z340" s="237"/>
      <c r="AA340" s="238"/>
      <c r="AB340" s="211"/>
      <c r="AC340" s="237"/>
      <c r="AD340" s="238"/>
      <c r="AE340" s="294">
        <v>43285</v>
      </c>
    </row>
    <row r="341" spans="1:31">
      <c r="A341" s="233"/>
      <c r="B341" s="301"/>
      <c r="C341" s="233"/>
      <c r="D341" s="233"/>
      <c r="E341" s="295"/>
      <c r="F341" s="241"/>
      <c r="G341" s="296"/>
      <c r="H341" s="240"/>
      <c r="I341" s="240"/>
      <c r="J341" s="261"/>
      <c r="K341" s="241"/>
      <c r="L341" s="234"/>
      <c r="M341" s="237"/>
      <c r="N341" s="240"/>
      <c r="O341" s="236"/>
      <c r="P341" s="297"/>
      <c r="Q341" s="298"/>
      <c r="R341" s="298"/>
      <c r="S341" s="297"/>
      <c r="T341" s="299"/>
      <c r="U341" s="235"/>
      <c r="V341" s="235"/>
      <c r="W341" s="300"/>
      <c r="X341" s="236"/>
      <c r="Y341" s="211"/>
      <c r="Z341" s="237"/>
      <c r="AA341" s="238"/>
      <c r="AB341" s="211"/>
      <c r="AC341" s="237"/>
      <c r="AD341" s="238"/>
      <c r="AE341" s="294">
        <v>43346</v>
      </c>
    </row>
    <row r="342" spans="1:31">
      <c r="A342" s="233"/>
      <c r="B342" s="301"/>
      <c r="C342" s="233"/>
      <c r="D342" s="233"/>
      <c r="E342" s="295"/>
      <c r="F342" s="241"/>
      <c r="G342" s="296"/>
      <c r="H342" s="240"/>
      <c r="I342" s="240"/>
      <c r="J342" s="261"/>
      <c r="K342" s="241"/>
      <c r="L342" s="234"/>
      <c r="M342" s="237"/>
      <c r="N342" s="240"/>
      <c r="O342" s="236"/>
      <c r="P342" s="297"/>
      <c r="Q342" s="298"/>
      <c r="R342" s="298"/>
      <c r="S342" s="297"/>
      <c r="T342" s="299"/>
      <c r="U342" s="235"/>
      <c r="V342" s="235"/>
      <c r="W342" s="300"/>
      <c r="X342" s="236"/>
      <c r="Y342" s="211"/>
      <c r="Z342" s="237"/>
      <c r="AA342" s="238"/>
      <c r="AB342" s="211"/>
      <c r="AC342" s="237"/>
      <c r="AD342" s="238"/>
      <c r="AE342" s="294">
        <v>43381</v>
      </c>
    </row>
    <row r="343" spans="1:31">
      <c r="A343" s="233"/>
      <c r="B343" s="301"/>
      <c r="C343" s="233"/>
      <c r="D343" s="233"/>
      <c r="E343" s="295"/>
      <c r="F343" s="241"/>
      <c r="G343" s="296"/>
      <c r="H343" s="240"/>
      <c r="I343" s="240"/>
      <c r="J343" s="261"/>
      <c r="K343" s="241"/>
      <c r="L343" s="234"/>
      <c r="M343" s="237"/>
      <c r="N343" s="240"/>
      <c r="O343" s="236"/>
      <c r="P343" s="297"/>
      <c r="Q343" s="298"/>
      <c r="R343" s="298"/>
      <c r="S343" s="297"/>
      <c r="T343" s="299"/>
      <c r="U343" s="235"/>
      <c r="V343" s="235"/>
      <c r="W343" s="300"/>
      <c r="X343" s="236"/>
      <c r="Y343" s="211"/>
      <c r="Z343" s="237"/>
      <c r="AA343" s="238"/>
      <c r="AB343" s="211"/>
      <c r="AC343" s="237"/>
      <c r="AD343" s="238"/>
      <c r="AE343" s="294">
        <v>43410</v>
      </c>
    </row>
    <row r="344" spans="1:31">
      <c r="A344" s="233"/>
      <c r="B344" s="301"/>
      <c r="C344" s="233"/>
      <c r="D344" s="233"/>
      <c r="E344" s="295"/>
      <c r="F344" s="241"/>
      <c r="G344" s="296"/>
      <c r="H344" s="240"/>
      <c r="I344" s="240"/>
      <c r="J344" s="261"/>
      <c r="K344" s="241"/>
      <c r="L344" s="234"/>
      <c r="M344" s="237"/>
      <c r="N344" s="240"/>
      <c r="O344" s="236"/>
      <c r="P344" s="297"/>
      <c r="Q344" s="298"/>
      <c r="R344" s="298"/>
      <c r="S344" s="297"/>
      <c r="T344" s="299"/>
      <c r="U344" s="235"/>
      <c r="V344" s="235"/>
      <c r="W344" s="300"/>
      <c r="X344" s="236"/>
      <c r="Y344" s="211"/>
      <c r="Z344" s="237"/>
      <c r="AA344" s="238"/>
      <c r="AB344" s="211"/>
      <c r="AC344" s="237"/>
      <c r="AD344" s="238"/>
      <c r="AE344" s="294">
        <v>43416</v>
      </c>
    </row>
    <row r="345" spans="1:31">
      <c r="A345" s="233"/>
      <c r="B345" s="301"/>
      <c r="C345" s="233"/>
      <c r="D345" s="233"/>
      <c r="E345" s="295"/>
      <c r="F345" s="241"/>
      <c r="G345" s="296"/>
      <c r="H345" s="240"/>
      <c r="I345" s="240"/>
      <c r="J345" s="261"/>
      <c r="K345" s="241"/>
      <c r="L345" s="234"/>
      <c r="M345" s="237"/>
      <c r="N345" s="240"/>
      <c r="O345" s="236"/>
      <c r="P345" s="297"/>
      <c r="Q345" s="298"/>
      <c r="R345" s="298"/>
      <c r="S345" s="297"/>
      <c r="T345" s="299"/>
      <c r="U345" s="235"/>
      <c r="V345" s="235"/>
      <c r="W345" s="300"/>
      <c r="X345" s="236"/>
      <c r="Y345" s="211"/>
      <c r="Z345" s="237"/>
      <c r="AA345" s="238"/>
      <c r="AB345" s="211"/>
      <c r="AC345" s="237"/>
      <c r="AD345" s="238"/>
      <c r="AE345" s="294">
        <v>43426</v>
      </c>
    </row>
    <row r="346" spans="1:31">
      <c r="A346" s="233"/>
      <c r="B346" s="301"/>
      <c r="C346" s="233"/>
      <c r="D346" s="233"/>
      <c r="E346" s="295"/>
      <c r="F346" s="241"/>
      <c r="G346" s="296"/>
      <c r="H346" s="240"/>
      <c r="I346" s="240"/>
      <c r="J346" s="261"/>
      <c r="K346" s="241"/>
      <c r="L346" s="234"/>
      <c r="M346" s="237"/>
      <c r="N346" s="240"/>
      <c r="O346" s="236"/>
      <c r="P346" s="297"/>
      <c r="Q346" s="298"/>
      <c r="R346" s="298"/>
      <c r="S346" s="297"/>
      <c r="T346" s="299"/>
      <c r="U346" s="235"/>
      <c r="V346" s="235"/>
      <c r="W346" s="300"/>
      <c r="X346" s="236"/>
      <c r="Y346" s="211"/>
      <c r="Z346" s="237"/>
      <c r="AA346" s="238"/>
      <c r="AB346" s="211"/>
      <c r="AC346" s="237"/>
      <c r="AD346" s="238"/>
      <c r="AE346" s="294">
        <v>43459</v>
      </c>
    </row>
    <row r="347" spans="1:31">
      <c r="A347" s="233"/>
      <c r="B347" s="301"/>
      <c r="C347" s="233"/>
      <c r="D347" s="233"/>
      <c r="E347" s="295"/>
      <c r="F347" s="241"/>
      <c r="G347" s="296"/>
      <c r="H347" s="240"/>
      <c r="I347" s="240"/>
      <c r="J347" s="261"/>
      <c r="K347" s="241"/>
      <c r="L347" s="234"/>
      <c r="M347" s="237"/>
      <c r="N347" s="240"/>
      <c r="O347" s="236"/>
      <c r="P347" s="297"/>
      <c r="Q347" s="298"/>
      <c r="R347" s="298"/>
      <c r="S347" s="297"/>
      <c r="T347" s="299"/>
      <c r="U347" s="235"/>
      <c r="V347" s="235"/>
      <c r="W347" s="300"/>
      <c r="X347" s="236"/>
      <c r="Y347" s="211"/>
      <c r="Z347" s="237"/>
      <c r="AA347" s="238"/>
      <c r="AB347" s="211"/>
      <c r="AC347" s="237"/>
      <c r="AD347" s="238"/>
      <c r="AE347" s="294">
        <v>43466</v>
      </c>
    </row>
    <row r="348" spans="1:31">
      <c r="A348" s="233"/>
      <c r="B348" s="301"/>
      <c r="C348" s="233"/>
      <c r="D348" s="233"/>
      <c r="E348" s="295"/>
      <c r="F348" s="241"/>
      <c r="G348" s="296"/>
      <c r="H348" s="240"/>
      <c r="I348" s="240"/>
      <c r="J348" s="261"/>
      <c r="K348" s="241"/>
      <c r="L348" s="234"/>
      <c r="M348" s="237"/>
      <c r="N348" s="240"/>
      <c r="O348" s="236"/>
      <c r="P348" s="297"/>
      <c r="Q348" s="298"/>
      <c r="R348" s="298"/>
      <c r="S348" s="297"/>
      <c r="T348" s="299"/>
      <c r="U348" s="235"/>
      <c r="V348" s="235"/>
      <c r="W348" s="300"/>
      <c r="X348" s="236"/>
      <c r="Y348" s="211"/>
      <c r="Z348" s="237"/>
      <c r="AA348" s="238"/>
      <c r="AB348" s="211"/>
      <c r="AC348" s="237"/>
      <c r="AD348" s="238"/>
      <c r="AE348" s="294">
        <v>43486</v>
      </c>
    </row>
    <row r="349" spans="1:31">
      <c r="A349" s="233"/>
      <c r="B349" s="301"/>
      <c r="C349" s="233"/>
      <c r="D349" s="233"/>
      <c r="E349" s="295"/>
      <c r="F349" s="241"/>
      <c r="G349" s="296"/>
      <c r="H349" s="240"/>
      <c r="I349" s="240"/>
      <c r="J349" s="261"/>
      <c r="K349" s="241"/>
      <c r="L349" s="234"/>
      <c r="M349" s="237"/>
      <c r="N349" s="240"/>
      <c r="O349" s="236"/>
      <c r="P349" s="297"/>
      <c r="Q349" s="298"/>
      <c r="R349" s="298"/>
      <c r="S349" s="297"/>
      <c r="T349" s="299"/>
      <c r="U349" s="235"/>
      <c r="V349" s="235"/>
      <c r="W349" s="300"/>
      <c r="X349" s="236"/>
      <c r="Y349" s="211"/>
      <c r="Z349" s="237"/>
      <c r="AA349" s="238"/>
      <c r="AB349" s="211"/>
      <c r="AC349" s="237"/>
      <c r="AD349" s="238"/>
      <c r="AE349" s="294">
        <v>43508</v>
      </c>
    </row>
    <row r="350" spans="1:31">
      <c r="A350" s="233"/>
      <c r="B350" s="301"/>
      <c r="C350" s="233"/>
      <c r="D350" s="233"/>
      <c r="E350" s="295"/>
      <c r="F350" s="241"/>
      <c r="G350" s="296"/>
      <c r="H350" s="240"/>
      <c r="I350" s="240"/>
      <c r="J350" s="261"/>
      <c r="K350" s="241"/>
      <c r="L350" s="234"/>
      <c r="M350" s="237"/>
      <c r="N350" s="240"/>
      <c r="O350" s="236"/>
      <c r="P350" s="297"/>
      <c r="Q350" s="298"/>
      <c r="R350" s="298"/>
      <c r="S350" s="297"/>
      <c r="T350" s="299"/>
      <c r="U350" s="235"/>
      <c r="V350" s="235"/>
      <c r="W350" s="300"/>
      <c r="X350" s="236"/>
      <c r="Y350" s="211"/>
      <c r="Z350" s="237"/>
      <c r="AA350" s="238"/>
      <c r="AB350" s="211"/>
      <c r="AC350" s="237"/>
      <c r="AD350" s="238"/>
      <c r="AE350" s="294">
        <v>43511</v>
      </c>
    </row>
    <row r="351" spans="1:31">
      <c r="A351" s="233"/>
      <c r="B351" s="301"/>
      <c r="C351" s="233"/>
      <c r="D351" s="233"/>
      <c r="E351" s="295"/>
      <c r="F351" s="241"/>
      <c r="G351" s="296"/>
      <c r="H351" s="240"/>
      <c r="I351" s="240"/>
      <c r="J351" s="261"/>
      <c r="K351" s="241"/>
      <c r="L351" s="234"/>
      <c r="M351" s="237"/>
      <c r="N351" s="240"/>
      <c r="O351" s="236"/>
      <c r="P351" s="297"/>
      <c r="Q351" s="298"/>
      <c r="R351" s="298"/>
      <c r="S351" s="297"/>
      <c r="T351" s="299"/>
      <c r="U351" s="235"/>
      <c r="V351" s="235"/>
      <c r="W351" s="300"/>
      <c r="X351" s="236"/>
      <c r="Y351" s="211"/>
      <c r="Z351" s="237"/>
      <c r="AA351" s="238"/>
      <c r="AB351" s="211"/>
      <c r="AC351" s="237"/>
      <c r="AD351" s="238"/>
      <c r="AE351" s="294">
        <v>43514</v>
      </c>
    </row>
    <row r="352" spans="1:31">
      <c r="A352" s="233"/>
      <c r="B352" s="301"/>
      <c r="C352" s="233"/>
      <c r="D352" s="233"/>
      <c r="E352" s="295"/>
      <c r="F352" s="241"/>
      <c r="G352" s="296"/>
      <c r="H352" s="240"/>
      <c r="I352" s="240"/>
      <c r="J352" s="261"/>
      <c r="K352" s="241"/>
      <c r="L352" s="234"/>
      <c r="M352" s="237"/>
      <c r="N352" s="240"/>
      <c r="O352" s="236"/>
      <c r="P352" s="297"/>
      <c r="Q352" s="298"/>
      <c r="R352" s="298"/>
      <c r="S352" s="297"/>
      <c r="T352" s="299"/>
      <c r="U352" s="235"/>
      <c r="V352" s="235"/>
      <c r="W352" s="300"/>
      <c r="X352" s="236"/>
      <c r="Y352" s="211"/>
      <c r="Z352" s="237"/>
      <c r="AA352" s="238"/>
      <c r="AB352" s="211"/>
      <c r="AC352" s="237"/>
      <c r="AD352" s="238"/>
      <c r="AE352" s="294">
        <v>43612</v>
      </c>
    </row>
    <row r="353" spans="1:31">
      <c r="A353" s="233"/>
      <c r="B353" s="301"/>
      <c r="C353" s="233"/>
      <c r="D353" s="233"/>
      <c r="E353" s="295"/>
      <c r="F353" s="241"/>
      <c r="G353" s="296"/>
      <c r="H353" s="240"/>
      <c r="I353" s="240"/>
      <c r="J353" s="261"/>
      <c r="K353" s="241"/>
      <c r="L353" s="234"/>
      <c r="M353" s="237"/>
      <c r="N353" s="240"/>
      <c r="O353" s="236"/>
      <c r="P353" s="297"/>
      <c r="Q353" s="298"/>
      <c r="R353" s="298"/>
      <c r="S353" s="297"/>
      <c r="T353" s="299"/>
      <c r="U353" s="235"/>
      <c r="V353" s="235"/>
      <c r="W353" s="300"/>
      <c r="X353" s="236"/>
      <c r="Y353" s="211"/>
      <c r="Z353" s="237"/>
      <c r="AA353" s="238"/>
      <c r="AB353" s="211"/>
      <c r="AC353" s="237"/>
      <c r="AD353" s="238"/>
      <c r="AE353" s="294">
        <v>43650</v>
      </c>
    </row>
    <row r="354" spans="1:31">
      <c r="A354" s="233"/>
      <c r="B354" s="301"/>
      <c r="C354" s="233"/>
      <c r="D354" s="233"/>
      <c r="E354" s="295"/>
      <c r="F354" s="241"/>
      <c r="G354" s="296"/>
      <c r="H354" s="240"/>
      <c r="I354" s="240"/>
      <c r="J354" s="261"/>
      <c r="K354" s="241"/>
      <c r="L354" s="234"/>
      <c r="M354" s="237"/>
      <c r="N354" s="240"/>
      <c r="O354" s="236"/>
      <c r="P354" s="297"/>
      <c r="Q354" s="298"/>
      <c r="R354" s="298"/>
      <c r="S354" s="297"/>
      <c r="T354" s="299"/>
      <c r="U354" s="235"/>
      <c r="V354" s="235"/>
      <c r="W354" s="300"/>
      <c r="X354" s="236"/>
      <c r="Y354" s="211"/>
      <c r="Z354" s="237"/>
      <c r="AA354" s="238"/>
      <c r="AB354" s="211"/>
      <c r="AC354" s="237"/>
      <c r="AD354" s="238"/>
      <c r="AE354" s="294">
        <v>43710</v>
      </c>
    </row>
    <row r="355" spans="1:31">
      <c r="A355" s="233"/>
      <c r="B355" s="301"/>
      <c r="C355" s="233"/>
      <c r="D355" s="233"/>
      <c r="E355" s="295"/>
      <c r="F355" s="241"/>
      <c r="G355" s="296"/>
      <c r="H355" s="240"/>
      <c r="I355" s="240"/>
      <c r="J355" s="261"/>
      <c r="K355" s="241"/>
      <c r="L355" s="234"/>
      <c r="M355" s="237"/>
      <c r="N355" s="240"/>
      <c r="O355" s="236"/>
      <c r="P355" s="297"/>
      <c r="Q355" s="298"/>
      <c r="R355" s="298"/>
      <c r="S355" s="297"/>
      <c r="T355" s="299"/>
      <c r="U355" s="235"/>
      <c r="V355" s="235"/>
      <c r="W355" s="300"/>
      <c r="X355" s="236"/>
      <c r="Y355" s="211"/>
      <c r="Z355" s="237"/>
      <c r="AA355" s="238"/>
      <c r="AB355" s="211"/>
      <c r="AC355" s="237"/>
      <c r="AD355" s="238"/>
      <c r="AE355" s="294">
        <v>43752</v>
      </c>
    </row>
    <row r="356" spans="1:31">
      <c r="A356" s="233"/>
      <c r="B356" s="301"/>
      <c r="C356" s="233"/>
      <c r="D356" s="233"/>
      <c r="E356" s="295"/>
      <c r="F356" s="241"/>
      <c r="G356" s="296"/>
      <c r="H356" s="240"/>
      <c r="I356" s="240"/>
      <c r="J356" s="261"/>
      <c r="K356" s="241"/>
      <c r="L356" s="234"/>
      <c r="M356" s="237"/>
      <c r="N356" s="240"/>
      <c r="O356" s="236"/>
      <c r="P356" s="297"/>
      <c r="Q356" s="298"/>
      <c r="R356" s="298"/>
      <c r="S356" s="297"/>
      <c r="T356" s="299"/>
      <c r="U356" s="235"/>
      <c r="V356" s="235"/>
      <c r="W356" s="300"/>
      <c r="X356" s="236"/>
      <c r="Y356" s="211"/>
      <c r="Z356" s="237"/>
      <c r="AA356" s="238"/>
      <c r="AB356" s="211"/>
      <c r="AC356" s="237"/>
      <c r="AD356" s="238"/>
      <c r="AE356" s="294">
        <v>43774</v>
      </c>
    </row>
    <row r="357" spans="1:31">
      <c r="A357" s="233"/>
      <c r="B357" s="301"/>
      <c r="C357" s="233"/>
      <c r="D357" s="233"/>
      <c r="E357" s="295"/>
      <c r="F357" s="241"/>
      <c r="G357" s="296"/>
      <c r="H357" s="240"/>
      <c r="I357" s="240"/>
      <c r="J357" s="261"/>
      <c r="K357" s="241"/>
      <c r="L357" s="234"/>
      <c r="M357" s="237"/>
      <c r="N357" s="240"/>
      <c r="O357" s="236"/>
      <c r="P357" s="297"/>
      <c r="Q357" s="298"/>
      <c r="R357" s="298"/>
      <c r="S357" s="297"/>
      <c r="T357" s="299"/>
      <c r="U357" s="235"/>
      <c r="V357" s="235"/>
      <c r="W357" s="300"/>
      <c r="X357" s="236"/>
      <c r="Y357" s="211"/>
      <c r="Z357" s="237"/>
      <c r="AA357" s="238"/>
      <c r="AB357" s="211"/>
      <c r="AC357" s="237"/>
      <c r="AD357" s="238"/>
      <c r="AE357" s="294">
        <v>43780</v>
      </c>
    </row>
    <row r="358" spans="1:31">
      <c r="A358" s="233"/>
      <c r="B358" s="301"/>
      <c r="C358" s="233"/>
      <c r="D358" s="233"/>
      <c r="E358" s="295"/>
      <c r="F358" s="241"/>
      <c r="G358" s="296"/>
      <c r="H358" s="240"/>
      <c r="I358" s="240"/>
      <c r="J358" s="261"/>
      <c r="K358" s="241"/>
      <c r="L358" s="234"/>
      <c r="M358" s="237"/>
      <c r="N358" s="240"/>
      <c r="O358" s="236"/>
      <c r="P358" s="297"/>
      <c r="Q358" s="298"/>
      <c r="R358" s="298"/>
      <c r="S358" s="297"/>
      <c r="T358" s="299"/>
      <c r="U358" s="235"/>
      <c r="V358" s="235"/>
      <c r="W358" s="300"/>
      <c r="X358" s="236"/>
      <c r="Y358" s="211"/>
      <c r="Z358" s="237"/>
      <c r="AA358" s="238"/>
      <c r="AB358" s="211"/>
      <c r="AC358" s="237"/>
      <c r="AD358" s="238"/>
      <c r="AE358" s="294">
        <v>43797</v>
      </c>
    </row>
    <row r="359" spans="1:31">
      <c r="A359" s="233"/>
      <c r="B359" s="301"/>
      <c r="C359" s="233"/>
      <c r="D359" s="233"/>
      <c r="E359" s="295"/>
      <c r="F359" s="241"/>
      <c r="G359" s="296"/>
      <c r="H359" s="240"/>
      <c r="I359" s="240"/>
      <c r="J359" s="261"/>
      <c r="K359" s="241"/>
      <c r="L359" s="234"/>
      <c r="M359" s="237"/>
      <c r="N359" s="240"/>
      <c r="O359" s="236"/>
      <c r="P359" s="297"/>
      <c r="Q359" s="298"/>
      <c r="R359" s="298"/>
      <c r="S359" s="297"/>
      <c r="T359" s="299"/>
      <c r="U359" s="235"/>
      <c r="V359" s="235"/>
      <c r="W359" s="300"/>
      <c r="X359" s="236"/>
      <c r="Y359" s="211"/>
      <c r="Z359" s="237"/>
      <c r="AA359" s="238"/>
      <c r="AB359" s="211"/>
      <c r="AC359" s="237"/>
      <c r="AD359" s="238"/>
      <c r="AE359" s="294">
        <v>43824</v>
      </c>
    </row>
    <row r="360" spans="1:31">
      <c r="A360" s="233"/>
      <c r="B360" s="301"/>
      <c r="C360" s="233"/>
      <c r="D360" s="233"/>
      <c r="E360" s="295"/>
      <c r="F360" s="241"/>
      <c r="G360" s="296"/>
      <c r="H360" s="240"/>
      <c r="I360" s="240"/>
      <c r="J360" s="261"/>
      <c r="K360" s="241"/>
      <c r="L360" s="234"/>
      <c r="M360" s="237"/>
      <c r="N360" s="240"/>
      <c r="O360" s="236"/>
      <c r="P360" s="297"/>
      <c r="Q360" s="298"/>
      <c r="R360" s="298"/>
      <c r="S360" s="297"/>
      <c r="T360" s="299"/>
      <c r="U360" s="235"/>
      <c r="V360" s="235"/>
      <c r="W360" s="300"/>
      <c r="X360" s="236"/>
      <c r="Y360" s="211"/>
      <c r="Z360" s="237"/>
      <c r="AA360" s="238"/>
      <c r="AB360" s="211"/>
      <c r="AC360" s="237"/>
      <c r="AD360" s="238"/>
      <c r="AE360" s="294">
        <v>43831</v>
      </c>
    </row>
    <row r="361" spans="1:31">
      <c r="A361" s="233"/>
      <c r="B361" s="301"/>
      <c r="C361" s="233"/>
      <c r="D361" s="233"/>
      <c r="E361" s="295"/>
      <c r="F361" s="241"/>
      <c r="G361" s="296"/>
      <c r="H361" s="240"/>
      <c r="I361" s="240"/>
      <c r="J361" s="261"/>
      <c r="K361" s="241"/>
      <c r="L361" s="234"/>
      <c r="M361" s="237"/>
      <c r="N361" s="240"/>
      <c r="O361" s="236"/>
      <c r="P361" s="297"/>
      <c r="Q361" s="298"/>
      <c r="R361" s="298"/>
      <c r="S361" s="297"/>
      <c r="T361" s="299"/>
      <c r="U361" s="235"/>
      <c r="V361" s="235"/>
      <c r="W361" s="300"/>
      <c r="X361" s="236"/>
      <c r="Y361" s="211"/>
      <c r="Z361" s="237"/>
      <c r="AA361" s="238"/>
      <c r="AB361" s="211"/>
      <c r="AC361" s="237"/>
      <c r="AD361" s="238"/>
      <c r="AE361" s="294">
        <v>43850</v>
      </c>
    </row>
    <row r="362" spans="1:31">
      <c r="A362" s="233"/>
      <c r="B362" s="301"/>
      <c r="C362" s="233"/>
      <c r="D362" s="233"/>
      <c r="E362" s="295"/>
      <c r="F362" s="241"/>
      <c r="G362" s="296"/>
      <c r="H362" s="240"/>
      <c r="I362" s="240"/>
      <c r="J362" s="261"/>
      <c r="K362" s="241"/>
      <c r="L362" s="234"/>
      <c r="M362" s="237"/>
      <c r="N362" s="240"/>
      <c r="O362" s="236"/>
      <c r="P362" s="297"/>
      <c r="Q362" s="298"/>
      <c r="R362" s="298"/>
      <c r="S362" s="297"/>
      <c r="T362" s="299"/>
      <c r="U362" s="235"/>
      <c r="V362" s="235"/>
      <c r="W362" s="300"/>
      <c r="X362" s="236"/>
      <c r="Y362" s="211"/>
      <c r="Z362" s="237"/>
      <c r="AA362" s="238"/>
      <c r="AB362" s="211"/>
      <c r="AC362" s="237"/>
      <c r="AD362" s="238"/>
      <c r="AE362" s="294">
        <v>43873</v>
      </c>
    </row>
    <row r="363" spans="1:31">
      <c r="A363" s="233"/>
      <c r="B363" s="301"/>
      <c r="C363" s="233"/>
      <c r="D363" s="233"/>
      <c r="E363" s="295"/>
      <c r="F363" s="241"/>
      <c r="G363" s="296"/>
      <c r="H363" s="240"/>
      <c r="I363" s="240"/>
      <c r="J363" s="261"/>
      <c r="K363" s="241"/>
      <c r="L363" s="234"/>
      <c r="M363" s="237"/>
      <c r="N363" s="240"/>
      <c r="O363" s="236"/>
      <c r="P363" s="297"/>
      <c r="Q363" s="298"/>
      <c r="R363" s="298"/>
      <c r="S363" s="297"/>
      <c r="T363" s="299"/>
      <c r="U363" s="235"/>
      <c r="V363" s="235"/>
      <c r="W363" s="300"/>
      <c r="X363" s="236"/>
      <c r="Y363" s="211"/>
      <c r="Z363" s="237"/>
      <c r="AA363" s="238"/>
      <c r="AB363" s="211"/>
      <c r="AC363" s="237"/>
      <c r="AD363" s="238"/>
      <c r="AE363" s="294">
        <v>43878</v>
      </c>
    </row>
    <row r="364" spans="1:31">
      <c r="A364" s="233"/>
      <c r="B364" s="301"/>
      <c r="C364" s="233"/>
      <c r="D364" s="233"/>
      <c r="E364" s="295"/>
      <c r="F364" s="241"/>
      <c r="G364" s="296"/>
      <c r="H364" s="240"/>
      <c r="I364" s="240"/>
      <c r="J364" s="261"/>
      <c r="K364" s="241"/>
      <c r="L364" s="234"/>
      <c r="M364" s="237"/>
      <c r="N364" s="240"/>
      <c r="O364" s="236"/>
      <c r="P364" s="297"/>
      <c r="Q364" s="298"/>
      <c r="R364" s="298"/>
      <c r="S364" s="297"/>
      <c r="T364" s="299"/>
      <c r="U364" s="235"/>
      <c r="V364" s="235"/>
      <c r="W364" s="300"/>
      <c r="X364" s="236"/>
      <c r="Y364" s="211"/>
      <c r="Z364" s="237"/>
      <c r="AA364" s="238"/>
      <c r="AB364" s="211"/>
      <c r="AC364" s="237"/>
      <c r="AD364" s="238"/>
      <c r="AE364" s="294">
        <v>43976</v>
      </c>
    </row>
    <row r="365" spans="1:31">
      <c r="A365" s="233"/>
      <c r="B365" s="301"/>
      <c r="C365" s="233"/>
      <c r="D365" s="233"/>
      <c r="E365" s="295"/>
      <c r="F365" s="241"/>
      <c r="G365" s="296"/>
      <c r="H365" s="240"/>
      <c r="I365" s="240"/>
      <c r="J365" s="261"/>
      <c r="K365" s="241"/>
      <c r="L365" s="234"/>
      <c r="M365" s="237"/>
      <c r="N365" s="240"/>
      <c r="O365" s="236"/>
      <c r="P365" s="297"/>
      <c r="Q365" s="298"/>
      <c r="R365" s="298"/>
      <c r="S365" s="297"/>
      <c r="T365" s="299"/>
      <c r="U365" s="235"/>
      <c r="V365" s="235"/>
      <c r="W365" s="300"/>
      <c r="X365" s="236"/>
      <c r="Y365" s="211"/>
      <c r="Z365" s="237"/>
      <c r="AA365" s="238"/>
      <c r="AB365" s="211"/>
      <c r="AC365" s="237"/>
      <c r="AD365" s="238"/>
      <c r="AE365" s="294">
        <v>44015</v>
      </c>
    </row>
    <row r="366" spans="1:31">
      <c r="A366" s="233"/>
      <c r="B366" s="301"/>
      <c r="C366" s="233"/>
      <c r="D366" s="233"/>
      <c r="E366" s="295"/>
      <c r="F366" s="241"/>
      <c r="G366" s="296"/>
      <c r="H366" s="240"/>
      <c r="I366" s="240"/>
      <c r="J366" s="261"/>
      <c r="K366" s="241"/>
      <c r="L366" s="234"/>
      <c r="M366" s="237"/>
      <c r="N366" s="240"/>
      <c r="O366" s="236"/>
      <c r="P366" s="297"/>
      <c r="Q366" s="298"/>
      <c r="R366" s="298"/>
      <c r="S366" s="297"/>
      <c r="T366" s="299"/>
      <c r="U366" s="235"/>
      <c r="V366" s="235"/>
      <c r="W366" s="300"/>
      <c r="X366" s="236"/>
      <c r="Y366" s="211"/>
      <c r="Z366" s="237"/>
      <c r="AA366" s="238"/>
      <c r="AB366" s="211"/>
      <c r="AC366" s="237"/>
      <c r="AD366" s="238"/>
      <c r="AE366" s="294">
        <v>44081</v>
      </c>
    </row>
    <row r="367" spans="1:31">
      <c r="A367" s="233"/>
      <c r="B367" s="301"/>
      <c r="C367" s="233"/>
      <c r="D367" s="233"/>
      <c r="E367" s="295"/>
      <c r="F367" s="241"/>
      <c r="G367" s="296"/>
      <c r="H367" s="240"/>
      <c r="I367" s="240"/>
      <c r="J367" s="261"/>
      <c r="K367" s="241"/>
      <c r="L367" s="234"/>
      <c r="M367" s="237"/>
      <c r="N367" s="240"/>
      <c r="O367" s="236"/>
      <c r="P367" s="297"/>
      <c r="Q367" s="298"/>
      <c r="R367" s="298"/>
      <c r="S367" s="297"/>
      <c r="T367" s="299"/>
      <c r="U367" s="235"/>
      <c r="V367" s="235"/>
      <c r="W367" s="300"/>
      <c r="X367" s="236"/>
      <c r="Y367" s="211"/>
      <c r="Z367" s="237"/>
      <c r="AA367" s="238"/>
      <c r="AB367" s="211"/>
      <c r="AC367" s="237"/>
      <c r="AD367" s="238"/>
      <c r="AE367" s="294">
        <v>44116</v>
      </c>
    </row>
    <row r="368" spans="1:31">
      <c r="A368" s="233"/>
      <c r="B368" s="301"/>
      <c r="C368" s="233"/>
      <c r="D368" s="233"/>
      <c r="E368" s="295"/>
      <c r="F368" s="241"/>
      <c r="G368" s="296"/>
      <c r="H368" s="240"/>
      <c r="I368" s="240"/>
      <c r="J368" s="261"/>
      <c r="K368" s="241"/>
      <c r="L368" s="234"/>
      <c r="M368" s="237"/>
      <c r="N368" s="240"/>
      <c r="O368" s="236"/>
      <c r="P368" s="297"/>
      <c r="Q368" s="298"/>
      <c r="R368" s="298"/>
      <c r="S368" s="297"/>
      <c r="T368" s="299"/>
      <c r="U368" s="235"/>
      <c r="V368" s="235"/>
      <c r="W368" s="300"/>
      <c r="X368" s="236"/>
      <c r="Y368" s="211"/>
      <c r="Z368" s="237"/>
      <c r="AA368" s="238"/>
      <c r="AB368" s="211"/>
      <c r="AC368" s="237"/>
      <c r="AD368" s="238"/>
      <c r="AE368" s="294">
        <v>44138</v>
      </c>
    </row>
    <row r="369" spans="1:31">
      <c r="A369" s="233"/>
      <c r="B369" s="301"/>
      <c r="C369" s="233"/>
      <c r="D369" s="233"/>
      <c r="E369" s="295"/>
      <c r="F369" s="241"/>
      <c r="G369" s="296"/>
      <c r="H369" s="240"/>
      <c r="I369" s="240"/>
      <c r="J369" s="261"/>
      <c r="K369" s="241"/>
      <c r="L369" s="234"/>
      <c r="M369" s="237"/>
      <c r="N369" s="240"/>
      <c r="O369" s="236"/>
      <c r="P369" s="297"/>
      <c r="Q369" s="298"/>
      <c r="R369" s="298"/>
      <c r="S369" s="297"/>
      <c r="T369" s="299"/>
      <c r="U369" s="235"/>
      <c r="V369" s="235"/>
      <c r="W369" s="300"/>
      <c r="X369" s="236"/>
      <c r="Y369" s="211"/>
      <c r="Z369" s="237"/>
      <c r="AA369" s="238"/>
      <c r="AB369" s="211"/>
      <c r="AC369" s="237"/>
      <c r="AD369" s="238"/>
      <c r="AE369" s="294">
        <v>44146</v>
      </c>
    </row>
    <row r="370" spans="1:31">
      <c r="A370" s="233"/>
      <c r="B370" s="301"/>
      <c r="C370" s="233"/>
      <c r="D370" s="233"/>
      <c r="E370" s="295"/>
      <c r="F370" s="241"/>
      <c r="G370" s="296"/>
      <c r="H370" s="240"/>
      <c r="I370" s="240"/>
      <c r="J370" s="261"/>
      <c r="K370" s="241"/>
      <c r="L370" s="234"/>
      <c r="M370" s="237"/>
      <c r="N370" s="240"/>
      <c r="O370" s="236"/>
      <c r="P370" s="297"/>
      <c r="Q370" s="298"/>
      <c r="R370" s="298"/>
      <c r="S370" s="297"/>
      <c r="T370" s="299"/>
      <c r="U370" s="235"/>
      <c r="V370" s="235"/>
      <c r="W370" s="300"/>
      <c r="X370" s="236"/>
      <c r="Y370" s="211"/>
      <c r="Z370" s="237"/>
      <c r="AA370" s="238"/>
      <c r="AB370" s="211"/>
      <c r="AC370" s="237"/>
      <c r="AD370" s="238"/>
      <c r="AE370" s="294">
        <v>44161</v>
      </c>
    </row>
    <row r="371" spans="1:31">
      <c r="A371" s="233"/>
      <c r="B371" s="301"/>
      <c r="C371" s="233"/>
      <c r="D371" s="233"/>
      <c r="E371" s="295"/>
      <c r="F371" s="241"/>
      <c r="G371" s="296"/>
      <c r="H371" s="240"/>
      <c r="I371" s="240"/>
      <c r="J371" s="261"/>
      <c r="K371" s="241"/>
      <c r="L371" s="234"/>
      <c r="M371" s="237"/>
      <c r="N371" s="240"/>
      <c r="O371" s="236"/>
      <c r="P371" s="297"/>
      <c r="Q371" s="298"/>
      <c r="R371" s="298"/>
      <c r="S371" s="297"/>
      <c r="T371" s="299"/>
      <c r="U371" s="235"/>
      <c r="V371" s="235"/>
      <c r="W371" s="300"/>
      <c r="X371" s="236"/>
      <c r="Y371" s="211"/>
      <c r="Z371" s="237"/>
      <c r="AA371" s="238"/>
      <c r="AB371" s="211"/>
      <c r="AC371" s="237"/>
      <c r="AD371" s="238"/>
      <c r="AE371" s="294">
        <v>44190</v>
      </c>
    </row>
    <row r="372" spans="1:31">
      <c r="A372" s="233"/>
      <c r="B372" s="301"/>
      <c r="C372" s="233"/>
      <c r="D372" s="233"/>
      <c r="E372" s="295"/>
      <c r="F372" s="241"/>
      <c r="G372" s="296"/>
      <c r="H372" s="240"/>
      <c r="I372" s="240"/>
      <c r="J372" s="261"/>
      <c r="K372" s="241"/>
      <c r="L372" s="234"/>
      <c r="M372" s="237"/>
      <c r="N372" s="240"/>
      <c r="O372" s="236"/>
      <c r="P372" s="297"/>
      <c r="Q372" s="298"/>
      <c r="R372" s="298"/>
      <c r="S372" s="297"/>
      <c r="T372" s="299"/>
      <c r="U372" s="235"/>
      <c r="V372" s="235"/>
      <c r="W372" s="300"/>
      <c r="X372" s="236"/>
      <c r="Y372" s="211"/>
      <c r="Z372" s="237"/>
      <c r="AA372" s="238"/>
      <c r="AB372" s="211"/>
      <c r="AC372" s="237"/>
      <c r="AD372" s="238"/>
      <c r="AE372" s="294">
        <v>44197</v>
      </c>
    </row>
    <row r="373" spans="1:31">
      <c r="A373" s="233"/>
      <c r="B373" s="301"/>
      <c r="C373" s="233"/>
      <c r="D373" s="233"/>
      <c r="E373" s="295"/>
      <c r="F373" s="241"/>
      <c r="G373" s="296"/>
      <c r="H373" s="240"/>
      <c r="I373" s="240"/>
      <c r="J373" s="261"/>
      <c r="K373" s="241"/>
      <c r="L373" s="234"/>
      <c r="M373" s="237"/>
      <c r="N373" s="240"/>
      <c r="O373" s="236"/>
      <c r="P373" s="297"/>
      <c r="Q373" s="298"/>
      <c r="R373" s="298"/>
      <c r="S373" s="297"/>
      <c r="T373" s="299"/>
      <c r="U373" s="235"/>
      <c r="V373" s="235"/>
      <c r="W373" s="300"/>
      <c r="X373" s="236"/>
      <c r="Y373" s="211"/>
      <c r="Z373" s="237"/>
      <c r="AA373" s="238"/>
      <c r="AB373" s="211"/>
      <c r="AC373" s="237"/>
      <c r="AD373" s="238"/>
      <c r="AE373" s="294">
        <v>44214</v>
      </c>
    </row>
    <row r="374" spans="1:31">
      <c r="A374" s="233"/>
      <c r="B374" s="301"/>
      <c r="C374" s="233"/>
      <c r="D374" s="233"/>
      <c r="E374" s="295"/>
      <c r="F374" s="241"/>
      <c r="G374" s="296"/>
      <c r="H374" s="240"/>
      <c r="I374" s="240"/>
      <c r="J374" s="261"/>
      <c r="K374" s="241"/>
      <c r="L374" s="234"/>
      <c r="M374" s="237"/>
      <c r="N374" s="240"/>
      <c r="O374" s="236"/>
      <c r="P374" s="297"/>
      <c r="Q374" s="298"/>
      <c r="R374" s="298"/>
      <c r="S374" s="297"/>
      <c r="T374" s="299"/>
      <c r="U374" s="235"/>
      <c r="V374" s="235"/>
      <c r="W374" s="300"/>
      <c r="X374" s="236"/>
      <c r="Y374" s="211"/>
      <c r="Z374" s="237"/>
      <c r="AA374" s="238"/>
      <c r="AB374" s="211"/>
      <c r="AC374" s="237"/>
      <c r="AD374" s="238"/>
      <c r="AE374" s="294">
        <v>44239</v>
      </c>
    </row>
    <row r="375" spans="1:31">
      <c r="A375" s="233"/>
      <c r="B375" s="301"/>
      <c r="C375" s="233"/>
      <c r="D375" s="233"/>
      <c r="E375" s="295"/>
      <c r="F375" s="241"/>
      <c r="G375" s="296"/>
      <c r="H375" s="240"/>
      <c r="I375" s="240"/>
      <c r="J375" s="261"/>
      <c r="K375" s="241"/>
      <c r="L375" s="234"/>
      <c r="M375" s="237"/>
      <c r="N375" s="240"/>
      <c r="O375" s="236"/>
      <c r="P375" s="297"/>
      <c r="Q375" s="298"/>
      <c r="R375" s="298"/>
      <c r="S375" s="297"/>
      <c r="T375" s="299"/>
      <c r="U375" s="235"/>
      <c r="V375" s="235"/>
      <c r="W375" s="300"/>
      <c r="X375" s="236"/>
      <c r="Y375" s="211"/>
      <c r="Z375" s="237"/>
      <c r="AA375" s="238"/>
      <c r="AB375" s="211"/>
      <c r="AC375" s="237"/>
      <c r="AD375" s="238"/>
      <c r="AE375" s="294">
        <v>44242</v>
      </c>
    </row>
    <row r="376" spans="1:31">
      <c r="A376" s="233"/>
      <c r="B376" s="301"/>
      <c r="C376" s="233"/>
      <c r="D376" s="233"/>
      <c r="E376" s="295"/>
      <c r="F376" s="241"/>
      <c r="G376" s="296"/>
      <c r="H376" s="240"/>
      <c r="I376" s="240"/>
      <c r="J376" s="261"/>
      <c r="K376" s="241"/>
      <c r="L376" s="234"/>
      <c r="M376" s="237"/>
      <c r="N376" s="240"/>
      <c r="O376" s="236"/>
      <c r="P376" s="297"/>
      <c r="Q376" s="298"/>
      <c r="R376" s="298"/>
      <c r="S376" s="297"/>
      <c r="T376" s="299"/>
      <c r="U376" s="235"/>
      <c r="V376" s="235"/>
      <c r="W376" s="300"/>
      <c r="X376" s="236"/>
      <c r="Y376" s="211"/>
      <c r="Z376" s="237"/>
      <c r="AA376" s="238"/>
      <c r="AB376" s="211"/>
      <c r="AC376" s="237"/>
      <c r="AD376" s="238"/>
      <c r="AE376" s="294">
        <v>44347</v>
      </c>
    </row>
    <row r="377" spans="1:31">
      <c r="A377" s="233"/>
      <c r="B377" s="301"/>
      <c r="C377" s="233"/>
      <c r="D377" s="233"/>
      <c r="E377" s="295"/>
      <c r="F377" s="241"/>
      <c r="G377" s="296"/>
      <c r="H377" s="240"/>
      <c r="I377" s="240"/>
      <c r="J377" s="261"/>
      <c r="K377" s="241"/>
      <c r="L377" s="234"/>
      <c r="M377" s="237"/>
      <c r="N377" s="240"/>
      <c r="O377" s="236"/>
      <c r="P377" s="297"/>
      <c r="Q377" s="298"/>
      <c r="R377" s="298"/>
      <c r="S377" s="297"/>
      <c r="T377" s="299"/>
      <c r="U377" s="235"/>
      <c r="V377" s="235"/>
      <c r="W377" s="300"/>
      <c r="X377" s="236"/>
      <c r="Y377" s="211"/>
      <c r="Z377" s="237"/>
      <c r="AA377" s="238"/>
      <c r="AB377" s="211"/>
      <c r="AC377" s="237"/>
      <c r="AD377" s="238"/>
      <c r="AE377" s="294">
        <v>44365</v>
      </c>
    </row>
    <row r="378" spans="1:31">
      <c r="A378" s="233"/>
      <c r="B378" s="301"/>
      <c r="C378" s="233"/>
      <c r="D378" s="233"/>
      <c r="E378" s="295"/>
      <c r="F378" s="241"/>
      <c r="G378" s="296"/>
      <c r="H378" s="240"/>
      <c r="I378" s="240"/>
      <c r="J378" s="261"/>
      <c r="K378" s="241"/>
      <c r="L378" s="234"/>
      <c r="M378" s="237"/>
      <c r="N378" s="240"/>
      <c r="O378" s="236"/>
      <c r="P378" s="297"/>
      <c r="Q378" s="298"/>
      <c r="R378" s="298"/>
      <c r="S378" s="297"/>
      <c r="T378" s="299"/>
      <c r="U378" s="235"/>
      <c r="V378" s="235"/>
      <c r="W378" s="300"/>
      <c r="X378" s="236"/>
      <c r="Y378" s="211"/>
      <c r="Z378" s="237"/>
      <c r="AA378" s="238"/>
      <c r="AB378" s="211"/>
      <c r="AC378" s="237"/>
      <c r="AD378" s="238"/>
      <c r="AE378" s="294">
        <v>44382</v>
      </c>
    </row>
    <row r="379" spans="1:31">
      <c r="A379" s="233"/>
      <c r="B379" s="301"/>
      <c r="C379" s="233"/>
      <c r="D379" s="233"/>
      <c r="E379" s="295"/>
      <c r="F379" s="241"/>
      <c r="G379" s="296"/>
      <c r="H379" s="240"/>
      <c r="I379" s="240"/>
      <c r="J379" s="261"/>
      <c r="K379" s="241"/>
      <c r="L379" s="234"/>
      <c r="M379" s="237"/>
      <c r="N379" s="240"/>
      <c r="O379" s="236"/>
      <c r="P379" s="297"/>
      <c r="Q379" s="298"/>
      <c r="R379" s="298"/>
      <c r="S379" s="297"/>
      <c r="T379" s="299"/>
      <c r="U379" s="235"/>
      <c r="V379" s="235"/>
      <c r="W379" s="300"/>
      <c r="X379" s="236"/>
      <c r="Y379" s="211"/>
      <c r="Z379" s="237"/>
      <c r="AA379" s="238"/>
      <c r="AB379" s="211"/>
      <c r="AC379" s="237"/>
      <c r="AD379" s="238"/>
      <c r="AE379" s="294">
        <v>44445</v>
      </c>
    </row>
    <row r="380" spans="1:31">
      <c r="A380" s="233"/>
      <c r="B380" s="301"/>
      <c r="C380" s="233"/>
      <c r="D380" s="233"/>
      <c r="E380" s="295"/>
      <c r="F380" s="241"/>
      <c r="G380" s="296"/>
      <c r="H380" s="240"/>
      <c r="I380" s="240"/>
      <c r="J380" s="261"/>
      <c r="K380" s="241"/>
      <c r="L380" s="234"/>
      <c r="M380" s="237"/>
      <c r="N380" s="240"/>
      <c r="O380" s="236"/>
      <c r="P380" s="297"/>
      <c r="Q380" s="298"/>
      <c r="R380" s="298"/>
      <c r="S380" s="297"/>
      <c r="T380" s="299"/>
      <c r="U380" s="235"/>
      <c r="V380" s="235"/>
      <c r="W380" s="300"/>
      <c r="X380" s="236"/>
      <c r="Y380" s="211"/>
      <c r="Z380" s="237"/>
      <c r="AA380" s="238"/>
      <c r="AB380" s="211"/>
      <c r="AC380" s="237"/>
      <c r="AD380" s="238"/>
      <c r="AE380" s="294">
        <v>44480</v>
      </c>
    </row>
    <row r="381" spans="1:31">
      <c r="A381" s="233"/>
      <c r="B381" s="301"/>
      <c r="C381" s="233"/>
      <c r="D381" s="233"/>
      <c r="E381" s="295"/>
      <c r="F381" s="241"/>
      <c r="G381" s="296"/>
      <c r="H381" s="240"/>
      <c r="I381" s="240"/>
      <c r="J381" s="261"/>
      <c r="K381" s="241"/>
      <c r="L381" s="234"/>
      <c r="M381" s="237"/>
      <c r="N381" s="240"/>
      <c r="O381" s="236"/>
      <c r="P381" s="297"/>
      <c r="Q381" s="298"/>
      <c r="R381" s="298"/>
      <c r="S381" s="297"/>
      <c r="T381" s="299"/>
      <c r="U381" s="235"/>
      <c r="V381" s="235"/>
      <c r="W381" s="300"/>
      <c r="X381" s="236"/>
      <c r="Y381" s="211"/>
      <c r="Z381" s="237"/>
      <c r="AA381" s="238"/>
      <c r="AB381" s="211"/>
      <c r="AC381" s="237"/>
      <c r="AD381" s="238"/>
      <c r="AE381" s="294">
        <v>44502</v>
      </c>
    </row>
    <row r="382" spans="1:31">
      <c r="A382" s="233"/>
      <c r="B382" s="301"/>
      <c r="C382" s="233"/>
      <c r="D382" s="233"/>
      <c r="E382" s="295"/>
      <c r="F382" s="241"/>
      <c r="G382" s="296"/>
      <c r="H382" s="240"/>
      <c r="I382" s="240"/>
      <c r="J382" s="261"/>
      <c r="K382" s="241"/>
      <c r="L382" s="234"/>
      <c r="M382" s="237"/>
      <c r="N382" s="240"/>
      <c r="O382" s="236"/>
      <c r="P382" s="297"/>
      <c r="Q382" s="298"/>
      <c r="R382" s="298"/>
      <c r="S382" s="297"/>
      <c r="T382" s="299"/>
      <c r="U382" s="235"/>
      <c r="V382" s="235"/>
      <c r="W382" s="300"/>
      <c r="X382" s="236"/>
      <c r="Y382" s="211"/>
      <c r="Z382" s="237"/>
      <c r="AA382" s="238"/>
      <c r="AB382" s="211"/>
      <c r="AC382" s="237"/>
      <c r="AD382" s="238"/>
      <c r="AE382" s="294">
        <v>44511</v>
      </c>
    </row>
    <row r="383" spans="1:31">
      <c r="A383" s="233"/>
      <c r="B383" s="301"/>
      <c r="C383" s="233"/>
      <c r="D383" s="233"/>
      <c r="E383" s="295"/>
      <c r="F383" s="241"/>
      <c r="G383" s="296"/>
      <c r="H383" s="240"/>
      <c r="I383" s="240"/>
      <c r="J383" s="261"/>
      <c r="K383" s="241"/>
      <c r="L383" s="234"/>
      <c r="M383" s="237"/>
      <c r="N383" s="240"/>
      <c r="O383" s="236"/>
      <c r="P383" s="297"/>
      <c r="Q383" s="298"/>
      <c r="R383" s="298"/>
      <c r="S383" s="297"/>
      <c r="T383" s="299"/>
      <c r="U383" s="235"/>
      <c r="V383" s="235"/>
      <c r="W383" s="300"/>
      <c r="X383" s="236"/>
      <c r="Y383" s="211"/>
      <c r="Z383" s="237"/>
      <c r="AA383" s="238"/>
      <c r="AB383" s="211"/>
      <c r="AC383" s="237"/>
      <c r="AD383" s="238"/>
      <c r="AE383" s="294">
        <v>44525</v>
      </c>
    </row>
    <row r="384" spans="1:31">
      <c r="A384" s="233"/>
      <c r="B384" s="301"/>
      <c r="C384" s="233"/>
      <c r="D384" s="233"/>
      <c r="E384" s="295"/>
      <c r="F384" s="241"/>
      <c r="G384" s="296"/>
      <c r="H384" s="240"/>
      <c r="I384" s="240"/>
      <c r="J384" s="261"/>
      <c r="K384" s="241"/>
      <c r="L384" s="234"/>
      <c r="M384" s="237"/>
      <c r="N384" s="240"/>
      <c r="O384" s="236"/>
      <c r="P384" s="297"/>
      <c r="Q384" s="298"/>
      <c r="R384" s="298"/>
      <c r="S384" s="297"/>
      <c r="T384" s="299"/>
      <c r="U384" s="235"/>
      <c r="V384" s="235"/>
      <c r="W384" s="300"/>
      <c r="X384" s="236"/>
      <c r="Y384" s="211"/>
      <c r="Z384" s="237"/>
      <c r="AA384" s="238"/>
      <c r="AB384" s="211"/>
      <c r="AC384" s="237"/>
      <c r="AD384" s="238"/>
      <c r="AE384" s="294">
        <v>44554</v>
      </c>
    </row>
    <row r="385" spans="1:31">
      <c r="A385" s="233"/>
      <c r="B385" s="301"/>
      <c r="C385" s="233"/>
      <c r="D385" s="233"/>
      <c r="E385" s="295"/>
      <c r="F385" s="241"/>
      <c r="G385" s="296"/>
      <c r="H385" s="240"/>
      <c r="I385" s="240"/>
      <c r="J385" s="261"/>
      <c r="K385" s="241"/>
      <c r="L385" s="234"/>
      <c r="M385" s="237"/>
      <c r="N385" s="240"/>
      <c r="O385" s="236"/>
      <c r="P385" s="297"/>
      <c r="Q385" s="298"/>
      <c r="R385" s="298"/>
      <c r="S385" s="297"/>
      <c r="T385" s="299"/>
      <c r="U385" s="235"/>
      <c r="V385" s="235"/>
      <c r="W385" s="300"/>
      <c r="X385" s="236"/>
      <c r="Y385" s="211"/>
      <c r="Z385" s="237"/>
      <c r="AA385" s="238"/>
      <c r="AB385" s="211"/>
      <c r="AC385" s="237"/>
      <c r="AD385" s="238"/>
      <c r="AE385" s="294">
        <v>44561</v>
      </c>
    </row>
    <row r="386" spans="1:31">
      <c r="A386" s="233"/>
      <c r="B386" s="301"/>
      <c r="C386" s="233"/>
      <c r="D386" s="233"/>
      <c r="E386" s="295"/>
      <c r="F386" s="241"/>
      <c r="G386" s="296"/>
      <c r="H386" s="240"/>
      <c r="I386" s="240"/>
      <c r="J386" s="261"/>
      <c r="K386" s="241"/>
      <c r="L386" s="234"/>
      <c r="M386" s="237"/>
      <c r="N386" s="240"/>
      <c r="O386" s="236"/>
      <c r="P386" s="297"/>
      <c r="Q386" s="298"/>
      <c r="R386" s="298"/>
      <c r="S386" s="297"/>
      <c r="T386" s="299"/>
      <c r="U386" s="235"/>
      <c r="V386" s="235"/>
      <c r="W386" s="300"/>
      <c r="X386" s="236"/>
      <c r="Y386" s="211"/>
      <c r="Z386" s="237"/>
      <c r="AA386" s="238"/>
      <c r="AB386" s="211"/>
      <c r="AC386" s="237"/>
      <c r="AD386" s="238"/>
      <c r="AE386" s="294">
        <v>44578</v>
      </c>
    </row>
    <row r="387" spans="1:31">
      <c r="A387" s="233"/>
      <c r="B387" s="301"/>
      <c r="C387" s="233"/>
      <c r="D387" s="233"/>
      <c r="E387" s="295"/>
      <c r="F387" s="241"/>
      <c r="G387" s="296"/>
      <c r="H387" s="240"/>
      <c r="I387" s="240"/>
      <c r="J387" s="261"/>
      <c r="K387" s="241"/>
      <c r="L387" s="234"/>
      <c r="M387" s="237"/>
      <c r="N387" s="240"/>
      <c r="O387" s="236"/>
      <c r="P387" s="297"/>
      <c r="Q387" s="298"/>
      <c r="R387" s="298"/>
      <c r="S387" s="297"/>
      <c r="T387" s="299"/>
      <c r="U387" s="235"/>
      <c r="V387" s="235"/>
      <c r="W387" s="300"/>
      <c r="X387" s="236"/>
      <c r="Y387" s="211"/>
      <c r="Z387" s="237"/>
      <c r="AA387" s="238"/>
      <c r="AB387" s="211"/>
      <c r="AC387" s="237"/>
      <c r="AD387" s="238"/>
      <c r="AE387" s="294">
        <v>44603</v>
      </c>
    </row>
    <row r="388" spans="1:31">
      <c r="A388" s="233"/>
      <c r="B388" s="301"/>
      <c r="C388" s="233"/>
      <c r="D388" s="233"/>
      <c r="E388" s="295"/>
      <c r="F388" s="241"/>
      <c r="G388" s="296"/>
      <c r="H388" s="240"/>
      <c r="I388" s="240"/>
      <c r="J388" s="261"/>
      <c r="K388" s="241"/>
      <c r="L388" s="234"/>
      <c r="M388" s="237"/>
      <c r="N388" s="240"/>
      <c r="O388" s="236"/>
      <c r="P388" s="297"/>
      <c r="Q388" s="298"/>
      <c r="R388" s="298"/>
      <c r="S388" s="297"/>
      <c r="T388" s="299"/>
      <c r="U388" s="235"/>
      <c r="V388" s="235"/>
      <c r="W388" s="300"/>
      <c r="X388" s="236"/>
      <c r="Y388" s="211"/>
      <c r="Z388" s="237"/>
      <c r="AA388" s="238"/>
      <c r="AB388" s="211"/>
      <c r="AC388" s="237"/>
      <c r="AD388" s="238"/>
      <c r="AE388" s="294">
        <v>44607</v>
      </c>
    </row>
    <row r="389" spans="1:31">
      <c r="A389" s="233"/>
      <c r="B389" s="301"/>
      <c r="C389" s="233"/>
      <c r="D389" s="233"/>
      <c r="E389" s="295"/>
      <c r="F389" s="241"/>
      <c r="G389" s="296"/>
      <c r="H389" s="240"/>
      <c r="I389" s="240"/>
      <c r="J389" s="261"/>
      <c r="K389" s="241"/>
      <c r="L389" s="234"/>
      <c r="M389" s="237"/>
      <c r="N389" s="240"/>
      <c r="O389" s="236"/>
      <c r="P389" s="297"/>
      <c r="Q389" s="298"/>
      <c r="R389" s="298"/>
      <c r="S389" s="297"/>
      <c r="T389" s="299"/>
      <c r="U389" s="235"/>
      <c r="V389" s="235"/>
      <c r="W389" s="300"/>
      <c r="X389" s="236"/>
      <c r="Y389" s="211"/>
      <c r="Z389" s="237"/>
      <c r="AA389" s="238"/>
      <c r="AB389" s="211"/>
      <c r="AC389" s="237"/>
      <c r="AD389" s="238"/>
      <c r="AE389" s="294">
        <v>44613</v>
      </c>
    </row>
    <row r="390" spans="1:31">
      <c r="A390" s="233"/>
      <c r="B390" s="301"/>
      <c r="C390" s="233"/>
      <c r="D390" s="233"/>
      <c r="E390" s="295"/>
      <c r="F390" s="241"/>
      <c r="G390" s="296"/>
      <c r="H390" s="240"/>
      <c r="I390" s="240"/>
      <c r="J390" s="261"/>
      <c r="K390" s="241"/>
      <c r="L390" s="234"/>
      <c r="M390" s="237"/>
      <c r="N390" s="240"/>
      <c r="O390" s="236"/>
      <c r="P390" s="297"/>
      <c r="Q390" s="298"/>
      <c r="R390" s="298"/>
      <c r="S390" s="297"/>
      <c r="T390" s="299"/>
      <c r="U390" s="235"/>
      <c r="V390" s="235"/>
      <c r="W390" s="300"/>
      <c r="X390" s="236"/>
      <c r="Y390" s="211"/>
      <c r="Z390" s="237"/>
      <c r="AA390" s="238"/>
      <c r="AB390" s="211"/>
      <c r="AC390" s="237"/>
      <c r="AD390" s="238"/>
      <c r="AE390" s="294">
        <v>44711</v>
      </c>
    </row>
    <row r="391" spans="1:31">
      <c r="A391" s="233"/>
      <c r="B391" s="301"/>
      <c r="C391" s="233"/>
      <c r="D391" s="233"/>
      <c r="E391" s="295"/>
      <c r="F391" s="241"/>
      <c r="G391" s="296"/>
      <c r="H391" s="240"/>
      <c r="I391" s="240"/>
      <c r="J391" s="261"/>
      <c r="K391" s="241"/>
      <c r="L391" s="234"/>
      <c r="M391" s="237"/>
      <c r="N391" s="240"/>
      <c r="O391" s="236"/>
      <c r="P391" s="297"/>
      <c r="Q391" s="298"/>
      <c r="R391" s="298"/>
      <c r="S391" s="297"/>
      <c r="T391" s="299"/>
      <c r="U391" s="235"/>
      <c r="V391" s="235"/>
      <c r="W391" s="300"/>
      <c r="X391" s="236"/>
      <c r="Y391" s="211"/>
      <c r="Z391" s="237"/>
      <c r="AA391" s="238"/>
      <c r="AB391" s="211"/>
      <c r="AC391" s="237"/>
      <c r="AD391" s="238"/>
      <c r="AE391" s="294">
        <v>44732</v>
      </c>
    </row>
    <row r="392" spans="1:31">
      <c r="A392" s="233"/>
      <c r="B392" s="301"/>
      <c r="C392" s="233"/>
      <c r="D392" s="233"/>
      <c r="E392" s="295"/>
      <c r="F392" s="241"/>
      <c r="G392" s="296"/>
      <c r="H392" s="240"/>
      <c r="I392" s="240"/>
      <c r="J392" s="261"/>
      <c r="K392" s="241"/>
      <c r="L392" s="234"/>
      <c r="M392" s="237"/>
      <c r="N392" s="240"/>
      <c r="O392" s="236"/>
      <c r="P392" s="297"/>
      <c r="Q392" s="298"/>
      <c r="R392" s="298"/>
      <c r="S392" s="297"/>
      <c r="T392" s="299"/>
      <c r="U392" s="235"/>
      <c r="V392" s="235"/>
      <c r="W392" s="300"/>
      <c r="X392" s="236"/>
      <c r="Y392" s="211"/>
      <c r="Z392" s="237"/>
      <c r="AA392" s="238"/>
      <c r="AB392" s="211"/>
      <c r="AC392" s="237"/>
      <c r="AD392" s="238"/>
      <c r="AE392" s="294">
        <v>44746</v>
      </c>
    </row>
    <row r="393" spans="1:31">
      <c r="A393" s="233"/>
      <c r="B393" s="301"/>
      <c r="C393" s="233"/>
      <c r="D393" s="233"/>
      <c r="E393" s="295"/>
      <c r="F393" s="241"/>
      <c r="G393" s="296"/>
      <c r="H393" s="240"/>
      <c r="I393" s="240"/>
      <c r="J393" s="261"/>
      <c r="K393" s="241"/>
      <c r="L393" s="234"/>
      <c r="M393" s="237"/>
      <c r="N393" s="240"/>
      <c r="O393" s="236"/>
      <c r="P393" s="297"/>
      <c r="Q393" s="298"/>
      <c r="R393" s="298"/>
      <c r="S393" s="297"/>
      <c r="T393" s="299"/>
      <c r="U393" s="235"/>
      <c r="V393" s="235"/>
      <c r="W393" s="300"/>
      <c r="X393" s="236"/>
      <c r="Y393" s="211"/>
      <c r="Z393" s="237"/>
      <c r="AA393" s="238"/>
      <c r="AB393" s="211"/>
      <c r="AC393" s="237"/>
      <c r="AD393" s="238"/>
      <c r="AE393" s="294">
        <v>44809</v>
      </c>
    </row>
    <row r="394" spans="1:31">
      <c r="A394" s="233"/>
      <c r="B394" s="301"/>
      <c r="C394" s="233"/>
      <c r="D394" s="233"/>
      <c r="E394" s="295"/>
      <c r="F394" s="241"/>
      <c r="G394" s="296"/>
      <c r="H394" s="240"/>
      <c r="I394" s="240"/>
      <c r="J394" s="261"/>
      <c r="K394" s="241"/>
      <c r="L394" s="234"/>
      <c r="M394" s="237"/>
      <c r="N394" s="240"/>
      <c r="O394" s="236"/>
      <c r="P394" s="297"/>
      <c r="Q394" s="298"/>
      <c r="R394" s="298"/>
      <c r="S394" s="297"/>
      <c r="T394" s="299"/>
      <c r="U394" s="235"/>
      <c r="V394" s="235"/>
      <c r="W394" s="300"/>
      <c r="X394" s="236"/>
      <c r="Y394" s="211"/>
      <c r="Z394" s="237"/>
      <c r="AA394" s="238"/>
      <c r="AB394" s="211"/>
      <c r="AC394" s="237"/>
      <c r="AD394" s="238"/>
      <c r="AE394" s="294">
        <v>44844</v>
      </c>
    </row>
    <row r="395" spans="1:31">
      <c r="A395" s="233"/>
      <c r="B395" s="301"/>
      <c r="C395" s="233"/>
      <c r="D395" s="233"/>
      <c r="E395" s="295"/>
      <c r="F395" s="241"/>
      <c r="G395" s="296"/>
      <c r="H395" s="240"/>
      <c r="I395" s="240"/>
      <c r="J395" s="261"/>
      <c r="K395" s="241"/>
      <c r="L395" s="234"/>
      <c r="M395" s="237"/>
      <c r="N395" s="240"/>
      <c r="O395" s="236"/>
      <c r="P395" s="297"/>
      <c r="Q395" s="298"/>
      <c r="R395" s="298"/>
      <c r="S395" s="297"/>
      <c r="T395" s="299"/>
      <c r="U395" s="235"/>
      <c r="V395" s="235"/>
      <c r="W395" s="300"/>
      <c r="X395" s="236"/>
      <c r="Y395" s="211"/>
      <c r="Z395" s="237"/>
      <c r="AA395" s="238"/>
      <c r="AB395" s="211"/>
      <c r="AC395" s="237"/>
      <c r="AD395" s="238"/>
      <c r="AE395" s="294">
        <v>44873</v>
      </c>
    </row>
    <row r="396" spans="1:31">
      <c r="A396" s="233"/>
      <c r="B396" s="301"/>
      <c r="C396" s="233"/>
      <c r="D396" s="233"/>
      <c r="E396" s="295"/>
      <c r="F396" s="241"/>
      <c r="G396" s="296"/>
      <c r="H396" s="240"/>
      <c r="I396" s="240"/>
      <c r="J396" s="261"/>
      <c r="K396" s="241"/>
      <c r="L396" s="234"/>
      <c r="M396" s="237"/>
      <c r="N396" s="240"/>
      <c r="O396" s="236"/>
      <c r="P396" s="297"/>
      <c r="Q396" s="298"/>
      <c r="R396" s="298"/>
      <c r="S396" s="297"/>
      <c r="T396" s="299"/>
      <c r="U396" s="235"/>
      <c r="V396" s="235"/>
      <c r="W396" s="300"/>
      <c r="X396" s="236"/>
      <c r="Y396" s="211"/>
      <c r="Z396" s="237"/>
      <c r="AA396" s="238"/>
      <c r="AB396" s="211"/>
      <c r="AC396" s="237"/>
      <c r="AD396" s="238"/>
      <c r="AE396" s="294">
        <v>44876</v>
      </c>
    </row>
    <row r="397" spans="1:31">
      <c r="A397" s="233"/>
      <c r="B397" s="301"/>
      <c r="C397" s="233"/>
      <c r="D397" s="233"/>
      <c r="E397" s="295"/>
      <c r="F397" s="241"/>
      <c r="G397" s="296"/>
      <c r="H397" s="240"/>
      <c r="I397" s="240"/>
      <c r="J397" s="261"/>
      <c r="K397" s="241"/>
      <c r="L397" s="234"/>
      <c r="M397" s="237"/>
      <c r="N397" s="240"/>
      <c r="O397" s="236"/>
      <c r="P397" s="297"/>
      <c r="Q397" s="298"/>
      <c r="R397" s="298"/>
      <c r="S397" s="297"/>
      <c r="T397" s="299"/>
      <c r="U397" s="235"/>
      <c r="V397" s="235"/>
      <c r="W397" s="300"/>
      <c r="X397" s="236"/>
      <c r="Y397" s="211"/>
      <c r="Z397" s="237"/>
      <c r="AA397" s="238"/>
      <c r="AB397" s="211"/>
      <c r="AC397" s="237"/>
      <c r="AD397" s="238"/>
      <c r="AE397" s="294">
        <v>44889</v>
      </c>
    </row>
    <row r="398" spans="1:31">
      <c r="A398" s="233"/>
      <c r="B398" s="301"/>
      <c r="C398" s="233"/>
      <c r="D398" s="233"/>
      <c r="E398" s="295"/>
      <c r="F398" s="241"/>
      <c r="G398" s="296"/>
      <c r="H398" s="240"/>
      <c r="I398" s="240"/>
      <c r="J398" s="261"/>
      <c r="K398" s="241"/>
      <c r="L398" s="234"/>
      <c r="M398" s="237"/>
      <c r="N398" s="240"/>
      <c r="O398" s="236"/>
      <c r="P398" s="297"/>
      <c r="Q398" s="298"/>
      <c r="R398" s="298"/>
      <c r="S398" s="297"/>
      <c r="T398" s="299"/>
      <c r="U398" s="235"/>
      <c r="V398" s="235"/>
      <c r="W398" s="300"/>
      <c r="X398" s="236"/>
      <c r="Y398" s="211"/>
      <c r="Z398" s="237"/>
      <c r="AA398" s="238"/>
      <c r="AB398" s="211"/>
      <c r="AC398" s="237"/>
      <c r="AD398" s="238"/>
      <c r="AE398" s="294">
        <v>44921</v>
      </c>
    </row>
    <row r="399" spans="1:31">
      <c r="A399" s="233"/>
      <c r="B399" s="301"/>
      <c r="C399" s="233"/>
      <c r="D399" s="233"/>
      <c r="E399" s="295"/>
      <c r="F399" s="241"/>
      <c r="G399" s="296"/>
      <c r="H399" s="240"/>
      <c r="I399" s="240"/>
      <c r="J399" s="261"/>
      <c r="K399" s="241"/>
      <c r="L399" s="234"/>
      <c r="M399" s="237"/>
      <c r="N399" s="240"/>
      <c r="O399" s="236"/>
      <c r="P399" s="297"/>
      <c r="Q399" s="298"/>
      <c r="R399" s="298"/>
      <c r="S399" s="297"/>
      <c r="T399" s="299"/>
      <c r="U399" s="235"/>
      <c r="V399" s="235"/>
      <c r="W399" s="300"/>
      <c r="X399" s="236"/>
      <c r="Y399" s="211"/>
      <c r="Z399" s="237"/>
      <c r="AA399" s="238"/>
      <c r="AB399" s="211"/>
      <c r="AC399" s="237"/>
      <c r="AD399" s="238"/>
      <c r="AE399" s="294">
        <v>44928</v>
      </c>
    </row>
    <row r="400" spans="1:31">
      <c r="A400" s="233"/>
      <c r="B400" s="301"/>
      <c r="C400" s="233"/>
      <c r="D400" s="233"/>
      <c r="E400" s="295"/>
      <c r="F400" s="241"/>
      <c r="G400" s="296"/>
      <c r="H400" s="240"/>
      <c r="I400" s="240"/>
      <c r="J400" s="261"/>
      <c r="K400" s="241"/>
      <c r="L400" s="234"/>
      <c r="M400" s="237"/>
      <c r="N400" s="240"/>
      <c r="O400" s="236"/>
      <c r="P400" s="297"/>
      <c r="Q400" s="298"/>
      <c r="R400" s="298"/>
      <c r="S400" s="297"/>
      <c r="T400" s="299"/>
      <c r="U400" s="235"/>
      <c r="V400" s="235"/>
      <c r="W400" s="300"/>
      <c r="X400" s="236"/>
      <c r="Y400" s="211"/>
      <c r="Z400" s="237"/>
      <c r="AA400" s="238"/>
      <c r="AB400" s="211"/>
      <c r="AC400" s="237"/>
      <c r="AD400" s="238"/>
      <c r="AE400" s="294">
        <v>44942</v>
      </c>
    </row>
    <row r="401" spans="1:31">
      <c r="A401" s="233"/>
      <c r="B401" s="301"/>
      <c r="C401" s="233"/>
      <c r="D401" s="233"/>
      <c r="E401" s="295"/>
      <c r="F401" s="241"/>
      <c r="G401" s="296"/>
      <c r="H401" s="240"/>
      <c r="I401" s="240"/>
      <c r="J401" s="261"/>
      <c r="K401" s="241"/>
      <c r="L401" s="234"/>
      <c r="M401" s="237"/>
      <c r="N401" s="240"/>
      <c r="O401" s="236"/>
      <c r="P401" s="297"/>
      <c r="Q401" s="298"/>
      <c r="R401" s="298"/>
      <c r="S401" s="297"/>
      <c r="T401" s="299"/>
      <c r="U401" s="235"/>
      <c r="V401" s="235"/>
      <c r="W401" s="300"/>
      <c r="X401" s="236"/>
      <c r="Y401" s="211"/>
      <c r="Z401" s="237"/>
      <c r="AA401" s="238"/>
      <c r="AB401" s="211"/>
      <c r="AC401" s="237"/>
      <c r="AD401" s="238"/>
      <c r="AE401" s="294">
        <v>44970</v>
      </c>
    </row>
    <row r="402" spans="1:31">
      <c r="A402" s="233"/>
      <c r="B402" s="301"/>
      <c r="C402" s="233"/>
      <c r="D402" s="233"/>
      <c r="E402" s="295"/>
      <c r="F402" s="241"/>
      <c r="G402" s="296"/>
      <c r="H402" s="240"/>
      <c r="I402" s="240"/>
      <c r="J402" s="261"/>
      <c r="K402" s="241"/>
      <c r="L402" s="234"/>
      <c r="M402" s="237"/>
      <c r="N402" s="240"/>
      <c r="O402" s="236"/>
      <c r="P402" s="297"/>
      <c r="Q402" s="298"/>
      <c r="R402" s="298"/>
      <c r="S402" s="297"/>
      <c r="T402" s="299"/>
      <c r="U402" s="235"/>
      <c r="V402" s="235"/>
      <c r="W402" s="300"/>
      <c r="X402" s="236"/>
      <c r="Y402" s="211"/>
      <c r="Z402" s="237"/>
      <c r="AA402" s="238"/>
      <c r="AB402" s="211"/>
      <c r="AC402" s="237"/>
      <c r="AD402" s="238"/>
      <c r="AE402" s="294">
        <v>44972</v>
      </c>
    </row>
    <row r="403" spans="1:31">
      <c r="A403" s="233"/>
      <c r="B403" s="301"/>
      <c r="C403" s="233"/>
      <c r="D403" s="233"/>
      <c r="E403" s="295"/>
      <c r="F403" s="241"/>
      <c r="G403" s="296"/>
      <c r="H403" s="240"/>
      <c r="I403" s="240"/>
      <c r="J403" s="261"/>
      <c r="K403" s="241"/>
      <c r="L403" s="234"/>
      <c r="M403" s="237"/>
      <c r="N403" s="240"/>
      <c r="O403" s="236"/>
      <c r="P403" s="297"/>
      <c r="Q403" s="298"/>
      <c r="R403" s="298"/>
      <c r="S403" s="297"/>
      <c r="T403" s="299"/>
      <c r="U403" s="235"/>
      <c r="V403" s="235"/>
      <c r="W403" s="300"/>
      <c r="X403" s="236"/>
      <c r="Y403" s="211"/>
      <c r="Z403" s="237"/>
      <c r="AA403" s="238"/>
      <c r="AB403" s="211"/>
      <c r="AC403" s="237"/>
      <c r="AD403" s="238"/>
      <c r="AE403" s="294">
        <v>44977</v>
      </c>
    </row>
    <row r="404" spans="1:31">
      <c r="A404" s="233"/>
      <c r="B404" s="301"/>
      <c r="C404" s="233"/>
      <c r="D404" s="233"/>
      <c r="E404" s="295"/>
      <c r="F404" s="241"/>
      <c r="G404" s="296"/>
      <c r="H404" s="240"/>
      <c r="I404" s="240"/>
      <c r="J404" s="261"/>
      <c r="K404" s="241"/>
      <c r="L404" s="234"/>
      <c r="M404" s="237"/>
      <c r="N404" s="240"/>
      <c r="O404" s="236"/>
      <c r="P404" s="297"/>
      <c r="Q404" s="298"/>
      <c r="R404" s="298"/>
      <c r="S404" s="297"/>
      <c r="T404" s="299"/>
      <c r="U404" s="235"/>
      <c r="V404" s="235"/>
      <c r="W404" s="300"/>
      <c r="X404" s="236"/>
      <c r="Y404" s="211"/>
      <c r="Z404" s="237"/>
      <c r="AA404" s="238"/>
      <c r="AB404" s="211"/>
      <c r="AC404" s="237"/>
      <c r="AD404" s="238"/>
      <c r="AE404" s="294">
        <v>45075</v>
      </c>
    </row>
    <row r="405" spans="1:31">
      <c r="A405" s="233"/>
      <c r="B405" s="301"/>
      <c r="C405" s="233"/>
      <c r="D405" s="233"/>
      <c r="E405" s="295"/>
      <c r="F405" s="241"/>
      <c r="G405" s="296"/>
      <c r="H405" s="240"/>
      <c r="I405" s="240"/>
      <c r="J405" s="261"/>
      <c r="K405" s="241"/>
      <c r="L405" s="234"/>
      <c r="M405" s="237"/>
      <c r="N405" s="240"/>
      <c r="O405" s="236"/>
      <c r="P405" s="297"/>
      <c r="Q405" s="298"/>
      <c r="R405" s="298"/>
      <c r="S405" s="297"/>
      <c r="T405" s="299"/>
      <c r="U405" s="235"/>
      <c r="V405" s="235"/>
      <c r="W405" s="300"/>
      <c r="X405" s="236"/>
      <c r="Y405" s="211"/>
      <c r="Z405" s="237"/>
      <c r="AA405" s="238"/>
      <c r="AB405" s="211"/>
      <c r="AC405" s="237"/>
      <c r="AD405" s="238"/>
      <c r="AE405" s="294">
        <v>45096</v>
      </c>
    </row>
    <row r="406" spans="1:31">
      <c r="A406" s="233"/>
      <c r="B406" s="301"/>
      <c r="C406" s="233"/>
      <c r="D406" s="233"/>
      <c r="E406" s="295"/>
      <c r="F406" s="241"/>
      <c r="G406" s="296"/>
      <c r="H406" s="240"/>
      <c r="I406" s="240"/>
      <c r="J406" s="261"/>
      <c r="K406" s="241"/>
      <c r="L406" s="234"/>
      <c r="M406" s="237"/>
      <c r="N406" s="240"/>
      <c r="O406" s="236"/>
      <c r="P406" s="297"/>
      <c r="Q406" s="298"/>
      <c r="R406" s="298"/>
      <c r="S406" s="297"/>
      <c r="T406" s="299"/>
      <c r="U406" s="235"/>
      <c r="V406" s="235"/>
      <c r="W406" s="300"/>
      <c r="X406" s="236"/>
      <c r="Y406" s="211"/>
      <c r="Z406" s="237"/>
      <c r="AA406" s="238"/>
      <c r="AB406" s="211"/>
      <c r="AC406" s="237"/>
      <c r="AD406" s="238"/>
      <c r="AE406" s="294">
        <v>45111</v>
      </c>
    </row>
    <row r="407" spans="1:31">
      <c r="A407" s="233"/>
      <c r="B407" s="301"/>
      <c r="C407" s="233"/>
      <c r="D407" s="233"/>
      <c r="E407" s="295"/>
      <c r="F407" s="241"/>
      <c r="G407" s="296"/>
      <c r="H407" s="240"/>
      <c r="I407" s="240"/>
      <c r="J407" s="261"/>
      <c r="K407" s="241"/>
      <c r="L407" s="234"/>
      <c r="M407" s="237"/>
      <c r="N407" s="240"/>
      <c r="O407" s="236"/>
      <c r="P407" s="297"/>
      <c r="Q407" s="298"/>
      <c r="R407" s="298"/>
      <c r="S407" s="297"/>
      <c r="T407" s="299"/>
      <c r="U407" s="235"/>
      <c r="V407" s="235"/>
      <c r="W407" s="300"/>
      <c r="X407" s="236"/>
      <c r="Y407" s="211"/>
      <c r="Z407" s="237"/>
      <c r="AA407" s="238"/>
      <c r="AB407" s="211"/>
      <c r="AC407" s="237"/>
      <c r="AD407" s="238"/>
      <c r="AE407" s="294">
        <v>45173</v>
      </c>
    </row>
    <row r="408" spans="1:31">
      <c r="A408" s="233"/>
      <c r="B408" s="301"/>
      <c r="C408" s="233"/>
      <c r="D408" s="233"/>
      <c r="E408" s="295"/>
      <c r="F408" s="241"/>
      <c r="G408" s="296"/>
      <c r="H408" s="240"/>
      <c r="I408" s="240"/>
      <c r="J408" s="261"/>
      <c r="K408" s="241"/>
      <c r="L408" s="234"/>
      <c r="M408" s="237"/>
      <c r="N408" s="240"/>
      <c r="O408" s="236"/>
      <c r="P408" s="297"/>
      <c r="Q408" s="298"/>
      <c r="R408" s="298"/>
      <c r="S408" s="297"/>
      <c r="T408" s="299"/>
      <c r="U408" s="235"/>
      <c r="V408" s="235"/>
      <c r="W408" s="300"/>
      <c r="X408" s="236"/>
      <c r="Y408" s="211"/>
      <c r="Z408" s="237"/>
      <c r="AA408" s="238"/>
      <c r="AB408" s="211"/>
      <c r="AC408" s="237"/>
      <c r="AD408" s="238"/>
      <c r="AE408" s="294">
        <v>45208</v>
      </c>
    </row>
    <row r="409" spans="1:31">
      <c r="A409" s="233"/>
      <c r="B409" s="301"/>
      <c r="C409" s="233"/>
      <c r="D409" s="233"/>
      <c r="E409" s="295"/>
      <c r="F409" s="241"/>
      <c r="G409" s="296"/>
      <c r="H409" s="240"/>
      <c r="I409" s="240"/>
      <c r="J409" s="261"/>
      <c r="K409" s="241"/>
      <c r="L409" s="234"/>
      <c r="M409" s="237"/>
      <c r="N409" s="240"/>
      <c r="O409" s="236"/>
      <c r="P409" s="297"/>
      <c r="Q409" s="298"/>
      <c r="R409" s="298"/>
      <c r="S409" s="297"/>
      <c r="T409" s="299"/>
      <c r="U409" s="235"/>
      <c r="V409" s="235"/>
      <c r="W409" s="300"/>
      <c r="X409" s="236"/>
      <c r="Y409" s="211"/>
      <c r="Z409" s="237"/>
      <c r="AA409" s="238"/>
      <c r="AB409" s="211"/>
      <c r="AC409" s="237"/>
      <c r="AD409" s="238"/>
      <c r="AE409" s="294">
        <v>45237</v>
      </c>
    </row>
    <row r="410" spans="1:31">
      <c r="A410" s="233"/>
      <c r="B410" s="301"/>
      <c r="C410" s="233"/>
      <c r="D410" s="233"/>
      <c r="E410" s="295"/>
      <c r="F410" s="241"/>
      <c r="G410" s="296"/>
      <c r="H410" s="240"/>
      <c r="I410" s="240"/>
      <c r="J410" s="261"/>
      <c r="K410" s="241"/>
      <c r="L410" s="234"/>
      <c r="M410" s="237"/>
      <c r="N410" s="240"/>
      <c r="O410" s="236"/>
      <c r="P410" s="297"/>
      <c r="Q410" s="298"/>
      <c r="R410" s="298"/>
      <c r="S410" s="297"/>
      <c r="T410" s="299"/>
      <c r="U410" s="235"/>
      <c r="V410" s="235"/>
      <c r="W410" s="300"/>
      <c r="X410" s="236"/>
      <c r="Y410" s="211"/>
      <c r="Z410" s="237"/>
      <c r="AA410" s="238"/>
      <c r="AB410" s="211"/>
      <c r="AC410" s="237"/>
      <c r="AD410" s="238"/>
      <c r="AE410" s="294">
        <v>45240</v>
      </c>
    </row>
    <row r="411" spans="1:31">
      <c r="A411" s="233"/>
      <c r="B411" s="301"/>
      <c r="C411" s="233"/>
      <c r="D411" s="233"/>
      <c r="E411" s="295"/>
      <c r="F411" s="241"/>
      <c r="G411" s="296"/>
      <c r="H411" s="240"/>
      <c r="I411" s="240"/>
      <c r="J411" s="261"/>
      <c r="K411" s="241"/>
      <c r="L411" s="234"/>
      <c r="M411" s="237"/>
      <c r="N411" s="240"/>
      <c r="O411" s="236"/>
      <c r="P411" s="297"/>
      <c r="Q411" s="298"/>
      <c r="R411" s="298"/>
      <c r="S411" s="297"/>
      <c r="T411" s="299"/>
      <c r="U411" s="235"/>
      <c r="V411" s="235"/>
      <c r="W411" s="300"/>
      <c r="X411" s="236"/>
      <c r="Y411" s="211"/>
      <c r="Z411" s="237"/>
      <c r="AA411" s="238"/>
      <c r="AB411" s="211"/>
      <c r="AC411" s="237"/>
      <c r="AD411" s="238"/>
      <c r="AE411" s="294">
        <v>45253</v>
      </c>
    </row>
    <row r="412" spans="1:31">
      <c r="A412" s="233"/>
      <c r="B412" s="301"/>
      <c r="C412" s="233"/>
      <c r="D412" s="233"/>
      <c r="E412" s="295"/>
      <c r="F412" s="241"/>
      <c r="G412" s="296"/>
      <c r="H412" s="240"/>
      <c r="I412" s="240"/>
      <c r="J412" s="261"/>
      <c r="K412" s="241"/>
      <c r="L412" s="234"/>
      <c r="M412" s="237"/>
      <c r="N412" s="240"/>
      <c r="O412" s="236"/>
      <c r="P412" s="297"/>
      <c r="Q412" s="298"/>
      <c r="R412" s="298"/>
      <c r="S412" s="297"/>
      <c r="T412" s="299"/>
      <c r="U412" s="235"/>
      <c r="V412" s="235"/>
      <c r="W412" s="300"/>
      <c r="X412" s="236"/>
      <c r="Y412" s="211"/>
      <c r="Z412" s="237"/>
      <c r="AA412" s="238"/>
      <c r="AB412" s="211"/>
      <c r="AC412" s="237"/>
      <c r="AD412" s="238"/>
      <c r="AE412" s="294">
        <v>45285</v>
      </c>
    </row>
    <row r="413" spans="1:31">
      <c r="A413" s="233"/>
      <c r="B413" s="301"/>
      <c r="C413" s="233"/>
      <c r="D413" s="233"/>
      <c r="E413" s="295"/>
      <c r="F413" s="241"/>
      <c r="G413" s="296"/>
      <c r="H413" s="240"/>
      <c r="I413" s="240"/>
      <c r="J413" s="261"/>
      <c r="K413" s="241"/>
      <c r="L413" s="234"/>
      <c r="M413" s="237"/>
      <c r="N413" s="240"/>
      <c r="O413" s="236"/>
      <c r="P413" s="297"/>
      <c r="Q413" s="298"/>
      <c r="R413" s="298"/>
      <c r="S413" s="297"/>
      <c r="T413" s="299"/>
      <c r="U413" s="235"/>
      <c r="V413" s="235"/>
      <c r="W413" s="300"/>
      <c r="X413" s="236"/>
      <c r="Y413" s="211"/>
      <c r="Z413" s="237"/>
      <c r="AA413" s="238"/>
      <c r="AB413" s="211"/>
      <c r="AC413" s="237"/>
      <c r="AD413" s="238"/>
      <c r="AE413" s="294">
        <v>45292</v>
      </c>
    </row>
    <row r="414" spans="1:31">
      <c r="A414" s="233"/>
      <c r="B414" s="301"/>
      <c r="C414" s="233"/>
      <c r="D414" s="233"/>
      <c r="E414" s="295"/>
      <c r="F414" s="241"/>
      <c r="G414" s="296"/>
      <c r="H414" s="240"/>
      <c r="I414" s="240"/>
      <c r="J414" s="261"/>
      <c r="K414" s="241"/>
      <c r="L414" s="234"/>
      <c r="M414" s="237"/>
      <c r="N414" s="240"/>
      <c r="O414" s="236"/>
      <c r="P414" s="297"/>
      <c r="Q414" s="298"/>
      <c r="R414" s="298"/>
      <c r="S414" s="297"/>
      <c r="T414" s="299"/>
      <c r="U414" s="235"/>
      <c r="V414" s="235"/>
      <c r="W414" s="300"/>
      <c r="X414" s="236"/>
      <c r="Y414" s="211"/>
      <c r="Z414" s="237"/>
      <c r="AA414" s="238"/>
      <c r="AB414" s="211"/>
      <c r="AC414" s="237"/>
      <c r="AD414" s="238"/>
      <c r="AE414" s="294">
        <v>45306</v>
      </c>
    </row>
    <row r="415" spans="1:31">
      <c r="A415" s="233"/>
      <c r="B415" s="301"/>
      <c r="C415" s="233"/>
      <c r="D415" s="233"/>
      <c r="E415" s="295"/>
      <c r="F415" s="241"/>
      <c r="G415" s="296"/>
      <c r="H415" s="240"/>
      <c r="I415" s="240"/>
      <c r="J415" s="261"/>
      <c r="K415" s="241"/>
      <c r="L415" s="234"/>
      <c r="M415" s="237"/>
      <c r="N415" s="240"/>
      <c r="O415" s="236"/>
      <c r="P415" s="297"/>
      <c r="Q415" s="298"/>
      <c r="R415" s="298"/>
      <c r="S415" s="297"/>
      <c r="T415" s="299"/>
      <c r="U415" s="235"/>
      <c r="V415" s="235"/>
      <c r="W415" s="300"/>
      <c r="X415" s="236"/>
      <c r="Y415" s="211"/>
      <c r="Z415" s="237"/>
      <c r="AA415" s="238"/>
      <c r="AB415" s="211"/>
      <c r="AC415" s="237"/>
      <c r="AD415" s="238"/>
      <c r="AE415" s="294">
        <v>45334</v>
      </c>
    </row>
    <row r="416" spans="1:31">
      <c r="A416" s="233"/>
      <c r="B416" s="301"/>
      <c r="C416" s="233"/>
      <c r="D416" s="233"/>
      <c r="E416" s="295"/>
      <c r="F416" s="241"/>
      <c r="G416" s="296"/>
      <c r="H416" s="240"/>
      <c r="I416" s="240"/>
      <c r="J416" s="261"/>
      <c r="K416" s="241"/>
      <c r="L416" s="234"/>
      <c r="M416" s="237"/>
      <c r="N416" s="240"/>
      <c r="O416" s="236"/>
      <c r="P416" s="297"/>
      <c r="Q416" s="298"/>
      <c r="R416" s="298"/>
      <c r="S416" s="297"/>
      <c r="T416" s="299"/>
      <c r="U416" s="235"/>
      <c r="V416" s="235"/>
      <c r="W416" s="300"/>
      <c r="X416" s="236"/>
      <c r="Y416" s="211"/>
      <c r="Z416" s="237"/>
      <c r="AA416" s="238"/>
      <c r="AB416" s="211"/>
      <c r="AC416" s="237"/>
      <c r="AD416" s="238"/>
      <c r="AE416" s="294">
        <v>45337</v>
      </c>
    </row>
    <row r="417" spans="1:31">
      <c r="A417" s="233"/>
      <c r="B417" s="301"/>
      <c r="C417" s="233"/>
      <c r="D417" s="233"/>
      <c r="E417" s="295"/>
      <c r="F417" s="241"/>
      <c r="G417" s="296"/>
      <c r="H417" s="240"/>
      <c r="I417" s="240"/>
      <c r="J417" s="261"/>
      <c r="K417" s="241"/>
      <c r="L417" s="234"/>
      <c r="M417" s="237"/>
      <c r="N417" s="240"/>
      <c r="O417" s="236"/>
      <c r="P417" s="297"/>
      <c r="Q417" s="298"/>
      <c r="R417" s="298"/>
      <c r="S417" s="297"/>
      <c r="T417" s="299"/>
      <c r="U417" s="235"/>
      <c r="V417" s="235"/>
      <c r="W417" s="300"/>
      <c r="X417" s="236"/>
      <c r="Y417" s="211"/>
      <c r="Z417" s="237"/>
      <c r="AA417" s="238"/>
      <c r="AB417" s="211"/>
      <c r="AC417" s="237"/>
      <c r="AD417" s="238"/>
      <c r="AE417" s="294">
        <v>45341</v>
      </c>
    </row>
    <row r="418" spans="1:31">
      <c r="A418" s="233"/>
      <c r="B418" s="301"/>
      <c r="C418" s="233"/>
      <c r="D418" s="233"/>
      <c r="E418" s="295"/>
      <c r="F418" s="241"/>
      <c r="G418" s="296"/>
      <c r="H418" s="240"/>
      <c r="I418" s="240"/>
      <c r="J418" s="261"/>
      <c r="K418" s="241"/>
      <c r="L418" s="234"/>
      <c r="M418" s="237"/>
      <c r="N418" s="240"/>
      <c r="O418" s="236"/>
      <c r="P418" s="297"/>
      <c r="Q418" s="298"/>
      <c r="R418" s="298"/>
      <c r="S418" s="297"/>
      <c r="T418" s="299"/>
      <c r="U418" s="235"/>
      <c r="V418" s="235"/>
      <c r="W418" s="300"/>
      <c r="X418" s="236"/>
      <c r="Y418" s="211"/>
      <c r="Z418" s="237"/>
      <c r="AA418" s="238"/>
      <c r="AB418" s="211"/>
      <c r="AC418" s="237"/>
      <c r="AD418" s="238"/>
      <c r="AE418" s="294">
        <v>45439</v>
      </c>
    </row>
    <row r="419" spans="1:31">
      <c r="A419" s="233"/>
      <c r="B419" s="301"/>
      <c r="C419" s="233"/>
      <c r="D419" s="233"/>
      <c r="E419" s="295"/>
      <c r="F419" s="241"/>
      <c r="G419" s="296"/>
      <c r="H419" s="240"/>
      <c r="I419" s="240"/>
      <c r="J419" s="261"/>
      <c r="K419" s="241"/>
      <c r="L419" s="234"/>
      <c r="M419" s="237"/>
      <c r="N419" s="240"/>
      <c r="O419" s="236"/>
      <c r="P419" s="297"/>
      <c r="Q419" s="298"/>
      <c r="R419" s="298"/>
      <c r="S419" s="297"/>
      <c r="T419" s="299"/>
      <c r="U419" s="235"/>
      <c r="V419" s="235"/>
      <c r="W419" s="300"/>
      <c r="X419" s="236"/>
      <c r="Y419" s="211"/>
      <c r="Z419" s="237"/>
      <c r="AA419" s="238"/>
      <c r="AB419" s="211"/>
      <c r="AC419" s="237"/>
      <c r="AD419" s="238"/>
      <c r="AE419" s="294">
        <v>45462</v>
      </c>
    </row>
    <row r="420" spans="1:31">
      <c r="A420" s="233"/>
      <c r="B420" s="301"/>
      <c r="C420" s="233"/>
      <c r="D420" s="233"/>
      <c r="E420" s="295"/>
      <c r="F420" s="241"/>
      <c r="G420" s="296"/>
      <c r="H420" s="240"/>
      <c r="I420" s="240"/>
      <c r="J420" s="261"/>
      <c r="K420" s="241"/>
      <c r="L420" s="234"/>
      <c r="M420" s="237"/>
      <c r="N420" s="240"/>
      <c r="O420" s="236"/>
      <c r="P420" s="297"/>
      <c r="Q420" s="298"/>
      <c r="R420" s="298"/>
      <c r="S420" s="297"/>
      <c r="T420" s="299"/>
      <c r="U420" s="235"/>
      <c r="V420" s="235"/>
      <c r="W420" s="300"/>
      <c r="X420" s="236"/>
      <c r="Y420" s="211"/>
      <c r="Z420" s="237"/>
      <c r="AA420" s="238"/>
      <c r="AB420" s="211"/>
      <c r="AC420" s="237"/>
      <c r="AD420" s="238"/>
      <c r="AE420" s="294">
        <v>45477</v>
      </c>
    </row>
    <row r="421" spans="1:31">
      <c r="A421" s="233"/>
      <c r="B421" s="301"/>
      <c r="C421" s="233"/>
      <c r="D421" s="233"/>
      <c r="E421" s="295"/>
      <c r="F421" s="241"/>
      <c r="G421" s="296"/>
      <c r="H421" s="240"/>
      <c r="I421" s="240"/>
      <c r="J421" s="261"/>
      <c r="K421" s="241"/>
      <c r="L421" s="234"/>
      <c r="M421" s="237"/>
      <c r="N421" s="240"/>
      <c r="O421" s="236"/>
      <c r="P421" s="297"/>
      <c r="Q421" s="298"/>
      <c r="R421" s="298"/>
      <c r="S421" s="297"/>
      <c r="T421" s="299"/>
      <c r="U421" s="235"/>
      <c r="V421" s="235"/>
      <c r="W421" s="300"/>
      <c r="X421" s="236"/>
      <c r="Y421" s="211"/>
      <c r="Z421" s="237"/>
      <c r="AA421" s="238"/>
      <c r="AB421" s="211"/>
      <c r="AC421" s="237"/>
      <c r="AD421" s="238"/>
      <c r="AE421" s="294">
        <v>45537</v>
      </c>
    </row>
    <row r="422" spans="1:31">
      <c r="A422" s="233"/>
      <c r="B422" s="301"/>
      <c r="C422" s="233"/>
      <c r="D422" s="233"/>
      <c r="E422" s="295"/>
      <c r="F422" s="241"/>
      <c r="G422" s="296"/>
      <c r="H422" s="240"/>
      <c r="I422" s="240"/>
      <c r="J422" s="261"/>
      <c r="K422" s="241"/>
      <c r="L422" s="234"/>
      <c r="M422" s="237"/>
      <c r="N422" s="240"/>
      <c r="O422" s="236"/>
      <c r="P422" s="297"/>
      <c r="Q422" s="298"/>
      <c r="R422" s="298"/>
      <c r="S422" s="297"/>
      <c r="T422" s="299"/>
      <c r="U422" s="235"/>
      <c r="V422" s="235"/>
      <c r="W422" s="300"/>
      <c r="X422" s="236"/>
      <c r="Y422" s="211"/>
      <c r="Z422" s="237"/>
      <c r="AA422" s="238"/>
      <c r="AB422" s="211"/>
      <c r="AC422" s="237"/>
      <c r="AD422" s="238"/>
      <c r="AE422" s="294">
        <v>45579</v>
      </c>
    </row>
    <row r="423" spans="1:31">
      <c r="A423" s="233"/>
      <c r="B423" s="301"/>
      <c r="C423" s="233"/>
      <c r="D423" s="233"/>
      <c r="E423" s="295"/>
      <c r="F423" s="241"/>
      <c r="G423" s="296"/>
      <c r="H423" s="240"/>
      <c r="I423" s="240"/>
      <c r="J423" s="261"/>
      <c r="K423" s="241"/>
      <c r="L423" s="234"/>
      <c r="M423" s="237"/>
      <c r="N423" s="240"/>
      <c r="O423" s="236"/>
      <c r="P423" s="297"/>
      <c r="Q423" s="298"/>
      <c r="R423" s="298"/>
      <c r="S423" s="297"/>
      <c r="T423" s="299"/>
      <c r="U423" s="235"/>
      <c r="V423" s="235"/>
      <c r="W423" s="300"/>
      <c r="X423" s="236"/>
      <c r="Y423" s="211"/>
      <c r="Z423" s="237"/>
      <c r="AA423" s="238"/>
      <c r="AB423" s="211"/>
      <c r="AC423" s="237"/>
      <c r="AD423" s="238"/>
      <c r="AE423" s="294">
        <v>45601</v>
      </c>
    </row>
    <row r="424" spans="1:31">
      <c r="A424" s="233"/>
      <c r="B424" s="301"/>
      <c r="C424" s="233"/>
      <c r="D424" s="233"/>
      <c r="E424" s="295"/>
      <c r="F424" s="241"/>
      <c r="G424" s="296"/>
      <c r="H424" s="240"/>
      <c r="I424" s="240"/>
      <c r="J424" s="261"/>
      <c r="K424" s="241"/>
      <c r="L424" s="234"/>
      <c r="M424" s="237"/>
      <c r="N424" s="240"/>
      <c r="O424" s="236"/>
      <c r="P424" s="297"/>
      <c r="Q424" s="298"/>
      <c r="R424" s="298"/>
      <c r="S424" s="297"/>
      <c r="T424" s="299"/>
      <c r="U424" s="235"/>
      <c r="V424" s="235"/>
      <c r="W424" s="300"/>
      <c r="X424" s="236"/>
      <c r="Y424" s="211"/>
      <c r="Z424" s="237"/>
      <c r="AA424" s="238"/>
      <c r="AB424" s="211"/>
      <c r="AC424" s="237"/>
      <c r="AD424" s="238"/>
      <c r="AE424" s="294">
        <v>45607</v>
      </c>
    </row>
    <row r="425" spans="1:31">
      <c r="A425" s="233"/>
      <c r="B425" s="301"/>
      <c r="C425" s="233"/>
      <c r="D425" s="233"/>
      <c r="E425" s="295"/>
      <c r="F425" s="241"/>
      <c r="G425" s="296"/>
      <c r="H425" s="240"/>
      <c r="I425" s="240"/>
      <c r="J425" s="261"/>
      <c r="K425" s="241"/>
      <c r="L425" s="234"/>
      <c r="M425" s="237"/>
      <c r="N425" s="240"/>
      <c r="O425" s="236"/>
      <c r="P425" s="297"/>
      <c r="Q425" s="298"/>
      <c r="R425" s="298"/>
      <c r="S425" s="297"/>
      <c r="T425" s="299"/>
      <c r="U425" s="235"/>
      <c r="V425" s="235"/>
      <c r="W425" s="300"/>
      <c r="X425" s="236"/>
      <c r="Y425" s="211"/>
      <c r="Z425" s="237"/>
      <c r="AA425" s="238"/>
      <c r="AB425" s="211"/>
      <c r="AC425" s="237"/>
      <c r="AD425" s="238"/>
      <c r="AE425" s="294">
        <v>45624</v>
      </c>
    </row>
    <row r="426" spans="1:31">
      <c r="A426" s="233"/>
      <c r="B426" s="301"/>
      <c r="C426" s="233"/>
      <c r="D426" s="233"/>
      <c r="E426" s="295"/>
      <c r="F426" s="241"/>
      <c r="G426" s="296"/>
      <c r="H426" s="240"/>
      <c r="I426" s="240"/>
      <c r="J426" s="261"/>
      <c r="K426" s="241"/>
      <c r="L426" s="234"/>
      <c r="M426" s="237"/>
      <c r="N426" s="240"/>
      <c r="O426" s="236"/>
      <c r="P426" s="297"/>
      <c r="Q426" s="298"/>
      <c r="R426" s="298"/>
      <c r="S426" s="297"/>
      <c r="T426" s="299"/>
      <c r="U426" s="235"/>
      <c r="V426" s="235"/>
      <c r="W426" s="300"/>
      <c r="X426" s="236"/>
      <c r="Y426" s="211"/>
      <c r="Z426" s="237"/>
      <c r="AA426" s="238"/>
      <c r="AB426" s="211"/>
      <c r="AC426" s="237"/>
      <c r="AD426" s="238"/>
      <c r="AE426" s="294">
        <v>45651</v>
      </c>
    </row>
    <row r="427" spans="1:31">
      <c r="A427" s="233"/>
      <c r="B427" s="301"/>
      <c r="C427" s="233"/>
      <c r="D427" s="233"/>
      <c r="E427" s="295"/>
      <c r="F427" s="241"/>
      <c r="G427" s="296"/>
      <c r="H427" s="240"/>
      <c r="I427" s="240"/>
      <c r="J427" s="261"/>
      <c r="K427" s="241"/>
      <c r="L427" s="234"/>
      <c r="M427" s="237"/>
      <c r="N427" s="240"/>
      <c r="O427" s="236"/>
      <c r="P427" s="297"/>
      <c r="Q427" s="298"/>
      <c r="R427" s="298"/>
      <c r="S427" s="297"/>
      <c r="T427" s="299"/>
      <c r="U427" s="235"/>
      <c r="V427" s="235"/>
      <c r="W427" s="300"/>
      <c r="X427" s="236"/>
      <c r="Y427" s="211"/>
      <c r="Z427" s="237"/>
      <c r="AA427" s="238"/>
      <c r="AB427" s="211"/>
      <c r="AC427" s="237"/>
      <c r="AD427" s="238"/>
      <c r="AE427" s="294">
        <v>45658</v>
      </c>
    </row>
    <row r="428" spans="1:31">
      <c r="A428" s="233"/>
      <c r="B428" s="301"/>
      <c r="C428" s="233"/>
      <c r="D428" s="233"/>
      <c r="E428" s="295"/>
      <c r="F428" s="241"/>
      <c r="G428" s="296"/>
      <c r="H428" s="240"/>
      <c r="I428" s="240"/>
      <c r="J428" s="261"/>
      <c r="K428" s="241"/>
      <c r="L428" s="234"/>
      <c r="M428" s="237"/>
      <c r="N428" s="240"/>
      <c r="O428" s="236"/>
      <c r="P428" s="297"/>
      <c r="Q428" s="298"/>
      <c r="R428" s="298"/>
      <c r="S428" s="297"/>
      <c r="T428" s="299"/>
      <c r="U428" s="235"/>
      <c r="V428" s="235"/>
      <c r="W428" s="300"/>
      <c r="X428" s="236"/>
      <c r="Y428" s="211"/>
      <c r="Z428" s="237"/>
      <c r="AA428" s="238"/>
      <c r="AB428" s="211"/>
      <c r="AC428" s="237"/>
      <c r="AD428" s="238"/>
      <c r="AE428" s="294">
        <v>45677</v>
      </c>
    </row>
    <row r="429" spans="1:31">
      <c r="A429" s="233"/>
      <c r="B429" s="301"/>
      <c r="C429" s="233"/>
      <c r="D429" s="233"/>
      <c r="E429" s="295"/>
      <c r="F429" s="241"/>
      <c r="G429" s="296"/>
      <c r="H429" s="240"/>
      <c r="I429" s="240"/>
      <c r="J429" s="261"/>
      <c r="K429" s="241"/>
      <c r="L429" s="234"/>
      <c r="M429" s="237"/>
      <c r="N429" s="240"/>
      <c r="O429" s="236"/>
      <c r="P429" s="297"/>
      <c r="Q429" s="298"/>
      <c r="R429" s="298"/>
      <c r="S429" s="297"/>
      <c r="T429" s="299"/>
      <c r="U429" s="235"/>
      <c r="V429" s="235"/>
      <c r="W429" s="300"/>
      <c r="X429" s="236"/>
      <c r="Y429" s="211"/>
      <c r="Z429" s="237"/>
      <c r="AA429" s="238"/>
      <c r="AB429" s="211"/>
      <c r="AC429" s="237"/>
      <c r="AD429" s="238"/>
      <c r="AE429" s="294">
        <v>45700</v>
      </c>
    </row>
    <row r="430" spans="1:31">
      <c r="A430" s="233"/>
      <c r="B430" s="301"/>
      <c r="C430" s="233"/>
      <c r="D430" s="233"/>
      <c r="E430" s="295"/>
      <c r="F430" s="241"/>
      <c r="G430" s="296"/>
      <c r="H430" s="240"/>
      <c r="I430" s="240"/>
      <c r="J430" s="261"/>
      <c r="K430" s="241"/>
      <c r="L430" s="234"/>
      <c r="M430" s="237"/>
      <c r="N430" s="240"/>
      <c r="O430" s="236"/>
      <c r="P430" s="297"/>
      <c r="Q430" s="298"/>
      <c r="R430" s="298"/>
      <c r="S430" s="297"/>
      <c r="T430" s="299"/>
      <c r="U430" s="235"/>
      <c r="V430" s="235"/>
      <c r="W430" s="300"/>
      <c r="X430" s="236"/>
      <c r="Y430" s="211"/>
      <c r="Z430" s="237"/>
      <c r="AA430" s="238"/>
      <c r="AB430" s="211"/>
      <c r="AC430" s="237"/>
      <c r="AD430" s="238"/>
      <c r="AE430" s="294">
        <v>45705</v>
      </c>
    </row>
    <row r="431" spans="1:31">
      <c r="A431" s="233"/>
      <c r="B431" s="301"/>
      <c r="C431" s="233"/>
      <c r="D431" s="233"/>
      <c r="E431" s="295"/>
      <c r="F431" s="241"/>
      <c r="G431" s="296"/>
      <c r="H431" s="240"/>
      <c r="I431" s="240"/>
      <c r="J431" s="261"/>
      <c r="K431" s="241"/>
      <c r="L431" s="234"/>
      <c r="M431" s="237"/>
      <c r="N431" s="240"/>
      <c r="O431" s="236"/>
      <c r="P431" s="297"/>
      <c r="Q431" s="298"/>
      <c r="R431" s="298"/>
      <c r="S431" s="297"/>
      <c r="T431" s="299"/>
      <c r="U431" s="235"/>
      <c r="V431" s="235"/>
      <c r="W431" s="300"/>
      <c r="X431" s="236"/>
      <c r="Y431" s="211"/>
      <c r="Z431" s="237"/>
      <c r="AA431" s="238"/>
      <c r="AB431" s="211"/>
      <c r="AC431" s="237"/>
      <c r="AD431" s="238"/>
      <c r="AE431" s="294">
        <v>45803</v>
      </c>
    </row>
    <row r="432" spans="1:31">
      <c r="A432" s="233"/>
      <c r="B432" s="301"/>
      <c r="C432" s="233"/>
      <c r="D432" s="233"/>
      <c r="E432" s="295"/>
      <c r="F432" s="241"/>
      <c r="G432" s="296"/>
      <c r="H432" s="240"/>
      <c r="I432" s="240"/>
      <c r="J432" s="261"/>
      <c r="K432" s="241"/>
      <c r="L432" s="234"/>
      <c r="M432" s="237"/>
      <c r="N432" s="240"/>
      <c r="O432" s="236"/>
      <c r="P432" s="297"/>
      <c r="Q432" s="298"/>
      <c r="R432" s="298"/>
      <c r="S432" s="297"/>
      <c r="T432" s="299"/>
      <c r="U432" s="235"/>
      <c r="V432" s="235"/>
      <c r="W432" s="300"/>
      <c r="X432" s="236"/>
      <c r="Y432" s="211"/>
      <c r="Z432" s="237"/>
      <c r="AA432" s="238"/>
      <c r="AB432" s="211"/>
      <c r="AC432" s="237"/>
      <c r="AD432" s="238"/>
      <c r="AE432" s="294">
        <v>45827</v>
      </c>
    </row>
    <row r="433" spans="1:31">
      <c r="A433" s="233"/>
      <c r="B433" s="301"/>
      <c r="C433" s="233"/>
      <c r="D433" s="233"/>
      <c r="E433" s="295"/>
      <c r="F433" s="241"/>
      <c r="G433" s="296"/>
      <c r="H433" s="240"/>
      <c r="I433" s="240"/>
      <c r="J433" s="261"/>
      <c r="K433" s="241"/>
      <c r="L433" s="234"/>
      <c r="M433" s="237"/>
      <c r="N433" s="240"/>
      <c r="O433" s="236"/>
      <c r="P433" s="297"/>
      <c r="Q433" s="298"/>
      <c r="R433" s="298"/>
      <c r="S433" s="297"/>
      <c r="T433" s="299"/>
      <c r="U433" s="235"/>
      <c r="V433" s="235"/>
      <c r="W433" s="300"/>
      <c r="X433" s="236"/>
      <c r="Y433" s="211"/>
      <c r="Z433" s="237"/>
      <c r="AA433" s="238"/>
      <c r="AB433" s="211"/>
      <c r="AC433" s="237"/>
      <c r="AD433" s="238"/>
      <c r="AE433" s="294">
        <v>45842</v>
      </c>
    </row>
    <row r="434" spans="1:31">
      <c r="A434" s="233"/>
      <c r="B434" s="301"/>
      <c r="C434" s="233"/>
      <c r="D434" s="233"/>
      <c r="E434" s="295"/>
      <c r="F434" s="241"/>
      <c r="G434" s="296"/>
      <c r="H434" s="240"/>
      <c r="I434" s="240"/>
      <c r="J434" s="261"/>
      <c r="K434" s="241"/>
      <c r="L434" s="234"/>
      <c r="M434" s="237"/>
      <c r="N434" s="240"/>
      <c r="O434" s="236"/>
      <c r="P434" s="297"/>
      <c r="Q434" s="298"/>
      <c r="R434" s="298"/>
      <c r="S434" s="297"/>
      <c r="T434" s="299"/>
      <c r="U434" s="235"/>
      <c r="V434" s="235"/>
      <c r="W434" s="300"/>
      <c r="X434" s="236"/>
      <c r="Y434" s="211"/>
      <c r="Z434" s="237"/>
      <c r="AA434" s="238"/>
      <c r="AB434" s="211"/>
      <c r="AC434" s="237"/>
      <c r="AD434" s="238"/>
      <c r="AE434" s="294">
        <v>45901</v>
      </c>
    </row>
    <row r="435" spans="1:31">
      <c r="A435" s="233"/>
      <c r="B435" s="301"/>
      <c r="C435" s="233"/>
      <c r="D435" s="233"/>
      <c r="E435" s="295"/>
      <c r="F435" s="241"/>
      <c r="G435" s="296"/>
      <c r="H435" s="240"/>
      <c r="I435" s="240"/>
      <c r="J435" s="261"/>
      <c r="K435" s="241"/>
      <c r="L435" s="234"/>
      <c r="M435" s="237"/>
      <c r="N435" s="240"/>
      <c r="O435" s="236"/>
      <c r="P435" s="297"/>
      <c r="Q435" s="298"/>
      <c r="R435" s="298"/>
      <c r="S435" s="297"/>
      <c r="T435" s="299"/>
      <c r="U435" s="235"/>
      <c r="V435" s="235"/>
      <c r="W435" s="300"/>
      <c r="X435" s="236"/>
      <c r="Y435" s="211"/>
      <c r="Z435" s="237"/>
      <c r="AA435" s="238"/>
      <c r="AB435" s="211"/>
      <c r="AC435" s="237"/>
      <c r="AD435" s="238"/>
      <c r="AE435" s="294">
        <v>45943</v>
      </c>
    </row>
    <row r="436" spans="1:31">
      <c r="A436" s="233"/>
      <c r="B436" s="301"/>
      <c r="C436" s="233"/>
      <c r="D436" s="233"/>
      <c r="E436" s="295"/>
      <c r="F436" s="241"/>
      <c r="G436" s="296"/>
      <c r="H436" s="240"/>
      <c r="I436" s="240"/>
      <c r="J436" s="261"/>
      <c r="K436" s="241"/>
      <c r="L436" s="234"/>
      <c r="M436" s="237"/>
      <c r="N436" s="240"/>
      <c r="O436" s="236"/>
      <c r="P436" s="297"/>
      <c r="Q436" s="298"/>
      <c r="R436" s="298"/>
      <c r="S436" s="297"/>
      <c r="T436" s="299"/>
      <c r="U436" s="235"/>
      <c r="V436" s="235"/>
      <c r="W436" s="300"/>
      <c r="X436" s="236"/>
      <c r="Y436" s="211"/>
      <c r="Z436" s="237"/>
      <c r="AA436" s="238"/>
      <c r="AB436" s="211"/>
      <c r="AC436" s="237"/>
      <c r="AD436" s="238"/>
      <c r="AE436" s="294">
        <v>45965</v>
      </c>
    </row>
    <row r="437" spans="1:31">
      <c r="A437" s="233"/>
      <c r="B437" s="301"/>
      <c r="C437" s="233"/>
      <c r="D437" s="233"/>
      <c r="E437" s="295"/>
      <c r="F437" s="241"/>
      <c r="G437" s="296"/>
      <c r="H437" s="240"/>
      <c r="I437" s="240"/>
      <c r="J437" s="261"/>
      <c r="K437" s="241"/>
      <c r="L437" s="234"/>
      <c r="M437" s="237"/>
      <c r="N437" s="240"/>
      <c r="O437" s="236"/>
      <c r="P437" s="297"/>
      <c r="Q437" s="298"/>
      <c r="R437" s="298"/>
      <c r="S437" s="297"/>
      <c r="T437" s="299"/>
      <c r="U437" s="235"/>
      <c r="V437" s="235"/>
      <c r="W437" s="300"/>
      <c r="X437" s="236"/>
      <c r="Y437" s="211"/>
      <c r="Z437" s="237"/>
      <c r="AA437" s="238"/>
      <c r="AB437" s="211"/>
      <c r="AC437" s="237"/>
      <c r="AD437" s="238"/>
      <c r="AE437" s="294">
        <v>45972</v>
      </c>
    </row>
    <row r="438" spans="1:31">
      <c r="A438" s="233"/>
      <c r="B438" s="301"/>
      <c r="C438" s="233"/>
      <c r="D438" s="233"/>
      <c r="E438" s="295"/>
      <c r="F438" s="241"/>
      <c r="G438" s="296"/>
      <c r="H438" s="240"/>
      <c r="I438" s="240"/>
      <c r="J438" s="261"/>
      <c r="K438" s="241"/>
      <c r="L438" s="234"/>
      <c r="M438" s="237"/>
      <c r="N438" s="240"/>
      <c r="O438" s="236"/>
      <c r="P438" s="297"/>
      <c r="Q438" s="298"/>
      <c r="R438" s="298"/>
      <c r="S438" s="297"/>
      <c r="T438" s="299"/>
      <c r="U438" s="235"/>
      <c r="V438" s="235"/>
      <c r="W438" s="300"/>
      <c r="X438" s="236"/>
      <c r="Y438" s="211"/>
      <c r="Z438" s="237"/>
      <c r="AA438" s="238"/>
      <c r="AB438" s="211"/>
      <c r="AC438" s="237"/>
      <c r="AD438" s="238"/>
      <c r="AE438" s="294">
        <v>45988</v>
      </c>
    </row>
    <row r="439" spans="1:31">
      <c r="A439" s="233"/>
      <c r="B439" s="301"/>
      <c r="C439" s="233"/>
      <c r="D439" s="233"/>
      <c r="E439" s="295"/>
      <c r="F439" s="241"/>
      <c r="G439" s="296"/>
      <c r="H439" s="240"/>
      <c r="I439" s="240"/>
      <c r="J439" s="261"/>
      <c r="K439" s="241"/>
      <c r="L439" s="234"/>
      <c r="M439" s="237"/>
      <c r="N439" s="240"/>
      <c r="O439" s="236"/>
      <c r="P439" s="297"/>
      <c r="Q439" s="298"/>
      <c r="R439" s="298"/>
      <c r="S439" s="297"/>
      <c r="T439" s="299"/>
      <c r="U439" s="235"/>
      <c r="V439" s="235"/>
      <c r="W439" s="300"/>
      <c r="X439" s="236"/>
      <c r="Y439" s="211"/>
      <c r="Z439" s="237"/>
      <c r="AA439" s="238"/>
      <c r="AB439" s="211"/>
      <c r="AC439" s="237"/>
      <c r="AD439" s="238"/>
      <c r="AE439" s="294">
        <v>46016</v>
      </c>
    </row>
    <row r="440" spans="1:31">
      <c r="A440" s="233"/>
      <c r="B440" s="301"/>
      <c r="C440" s="233"/>
      <c r="D440" s="233"/>
      <c r="E440" s="295"/>
      <c r="F440" s="241"/>
      <c r="G440" s="296"/>
      <c r="H440" s="240"/>
      <c r="I440" s="240"/>
      <c r="J440" s="261"/>
      <c r="K440" s="241"/>
      <c r="L440" s="234"/>
      <c r="M440" s="237"/>
      <c r="N440" s="240"/>
      <c r="O440" s="236"/>
      <c r="P440" s="297"/>
      <c r="Q440" s="298"/>
      <c r="R440" s="298"/>
      <c r="S440" s="297"/>
      <c r="T440" s="299"/>
      <c r="U440" s="235"/>
      <c r="V440" s="235"/>
      <c r="W440" s="300"/>
      <c r="X440" s="236"/>
      <c r="Y440" s="211"/>
      <c r="Z440" s="237"/>
      <c r="AA440" s="238"/>
      <c r="AB440" s="211"/>
      <c r="AC440" s="237"/>
      <c r="AD440" s="238"/>
      <c r="AE440" s="294">
        <v>46023</v>
      </c>
    </row>
    <row r="441" spans="1:31">
      <c r="A441" s="233"/>
      <c r="B441" s="301"/>
      <c r="C441" s="233"/>
      <c r="D441" s="233"/>
      <c r="E441" s="295"/>
      <c r="F441" s="241"/>
      <c r="G441" s="296"/>
      <c r="H441" s="240"/>
      <c r="I441" s="240"/>
      <c r="J441" s="261"/>
      <c r="K441" s="241"/>
      <c r="L441" s="234"/>
      <c r="M441" s="237"/>
      <c r="N441" s="240"/>
      <c r="O441" s="236"/>
      <c r="P441" s="297"/>
      <c r="Q441" s="298"/>
      <c r="R441" s="298"/>
      <c r="S441" s="297"/>
      <c r="T441" s="299"/>
      <c r="U441" s="235"/>
      <c r="V441" s="235"/>
      <c r="W441" s="300"/>
      <c r="X441" s="236"/>
      <c r="Y441" s="211"/>
      <c r="Z441" s="237"/>
      <c r="AA441" s="238"/>
      <c r="AB441" s="211"/>
      <c r="AC441" s="237"/>
      <c r="AD441" s="238"/>
      <c r="AE441" s="294">
        <v>46041</v>
      </c>
    </row>
    <row r="442" spans="1:31">
      <c r="A442" s="233"/>
      <c r="B442" s="301"/>
      <c r="C442" s="233"/>
      <c r="D442" s="233"/>
      <c r="E442" s="295"/>
      <c r="F442" s="241"/>
      <c r="G442" s="296"/>
      <c r="H442" s="240"/>
      <c r="I442" s="240"/>
      <c r="J442" s="261"/>
      <c r="K442" s="241"/>
      <c r="L442" s="234"/>
      <c r="M442" s="237"/>
      <c r="N442" s="240"/>
      <c r="O442" s="236"/>
      <c r="P442" s="297"/>
      <c r="Q442" s="298"/>
      <c r="R442" s="298"/>
      <c r="S442" s="297"/>
      <c r="T442" s="299"/>
      <c r="U442" s="235"/>
      <c r="V442" s="235"/>
      <c r="W442" s="300"/>
      <c r="X442" s="236"/>
      <c r="Y442" s="211"/>
      <c r="Z442" s="237"/>
      <c r="AA442" s="238"/>
      <c r="AB442" s="211"/>
      <c r="AC442" s="237"/>
      <c r="AD442" s="238"/>
      <c r="AE442" s="294">
        <v>46065</v>
      </c>
    </row>
    <row r="443" spans="1:31">
      <c r="A443" s="233"/>
      <c r="B443" s="301"/>
      <c r="C443" s="233"/>
      <c r="D443" s="233"/>
      <c r="E443" s="295"/>
      <c r="F443" s="241"/>
      <c r="G443" s="296"/>
      <c r="H443" s="240"/>
      <c r="I443" s="240"/>
      <c r="J443" s="261"/>
      <c r="K443" s="241"/>
      <c r="L443" s="234"/>
      <c r="M443" s="237"/>
      <c r="N443" s="240"/>
      <c r="O443" s="236"/>
      <c r="P443" s="297"/>
      <c r="Q443" s="298"/>
      <c r="R443" s="298"/>
      <c r="S443" s="297"/>
      <c r="T443" s="299"/>
      <c r="U443" s="235"/>
      <c r="V443" s="235"/>
      <c r="W443" s="300"/>
      <c r="X443" s="236"/>
      <c r="Y443" s="211"/>
      <c r="Z443" s="237"/>
      <c r="AA443" s="238"/>
      <c r="AB443" s="211"/>
      <c r="AC443" s="237"/>
      <c r="AD443" s="238"/>
      <c r="AE443" s="294">
        <v>46069</v>
      </c>
    </row>
    <row r="444" spans="1:31">
      <c r="A444" s="233"/>
      <c r="B444" s="301"/>
      <c r="C444" s="233"/>
      <c r="D444" s="233"/>
      <c r="E444" s="295"/>
      <c r="F444" s="241"/>
      <c r="G444" s="296"/>
      <c r="H444" s="240"/>
      <c r="I444" s="240"/>
      <c r="J444" s="261"/>
      <c r="K444" s="241"/>
      <c r="L444" s="234"/>
      <c r="M444" s="237"/>
      <c r="N444" s="240"/>
      <c r="O444" s="236"/>
      <c r="P444" s="297"/>
      <c r="Q444" s="298"/>
      <c r="R444" s="298"/>
      <c r="S444" s="297"/>
      <c r="T444" s="299"/>
      <c r="U444" s="235"/>
      <c r="V444" s="235"/>
      <c r="W444" s="300"/>
      <c r="X444" s="236"/>
      <c r="Y444" s="211"/>
      <c r="Z444" s="237"/>
      <c r="AA444" s="238"/>
      <c r="AB444" s="211"/>
      <c r="AC444" s="237"/>
      <c r="AD444" s="238"/>
      <c r="AE444" s="294">
        <v>46167</v>
      </c>
    </row>
    <row r="445" spans="1:31">
      <c r="A445" s="233"/>
      <c r="B445" s="301"/>
      <c r="C445" s="233"/>
      <c r="D445" s="233"/>
      <c r="E445" s="295"/>
      <c r="F445" s="241"/>
      <c r="G445" s="296"/>
      <c r="H445" s="240"/>
      <c r="I445" s="240"/>
      <c r="J445" s="261"/>
      <c r="K445" s="241"/>
      <c r="L445" s="234"/>
      <c r="M445" s="237"/>
      <c r="N445" s="240"/>
      <c r="O445" s="236"/>
      <c r="P445" s="297"/>
      <c r="Q445" s="298"/>
      <c r="R445" s="298"/>
      <c r="S445" s="297"/>
      <c r="T445" s="299"/>
      <c r="U445" s="235"/>
      <c r="V445" s="235"/>
      <c r="W445" s="300"/>
      <c r="X445" s="236"/>
      <c r="Y445" s="211"/>
      <c r="Z445" s="237"/>
      <c r="AA445" s="238"/>
      <c r="AB445" s="211"/>
      <c r="AC445" s="237"/>
      <c r="AD445" s="238"/>
      <c r="AE445" s="294">
        <v>46192</v>
      </c>
    </row>
    <row r="446" spans="1:31">
      <c r="A446" s="233"/>
      <c r="B446" s="301"/>
      <c r="C446" s="233"/>
      <c r="D446" s="233"/>
      <c r="E446" s="295"/>
      <c r="F446" s="241"/>
      <c r="G446" s="296"/>
      <c r="H446" s="240"/>
      <c r="I446" s="240"/>
      <c r="J446" s="261"/>
      <c r="K446" s="241"/>
      <c r="L446" s="234"/>
      <c r="M446" s="237"/>
      <c r="N446" s="240"/>
      <c r="O446" s="236"/>
      <c r="P446" s="297"/>
      <c r="Q446" s="298"/>
      <c r="R446" s="298"/>
      <c r="S446" s="297"/>
      <c r="T446" s="299"/>
      <c r="U446" s="235"/>
      <c r="V446" s="235"/>
      <c r="W446" s="300"/>
      <c r="X446" s="236"/>
      <c r="Y446" s="211"/>
      <c r="Z446" s="237"/>
      <c r="AA446" s="238"/>
      <c r="AB446" s="211"/>
      <c r="AC446" s="237"/>
      <c r="AD446" s="238"/>
      <c r="AE446" s="294">
        <v>46206</v>
      </c>
    </row>
    <row r="447" spans="1:31">
      <c r="A447" s="233"/>
      <c r="B447" s="301"/>
      <c r="C447" s="233"/>
      <c r="D447" s="233"/>
      <c r="E447" s="295"/>
      <c r="F447" s="241"/>
      <c r="G447" s="296"/>
      <c r="H447" s="240"/>
      <c r="I447" s="240"/>
      <c r="J447" s="261"/>
      <c r="K447" s="241"/>
      <c r="L447" s="234"/>
      <c r="M447" s="237"/>
      <c r="N447" s="240"/>
      <c r="O447" s="236"/>
      <c r="P447" s="297"/>
      <c r="Q447" s="298"/>
      <c r="R447" s="298"/>
      <c r="S447" s="297"/>
      <c r="T447" s="299"/>
      <c r="U447" s="235"/>
      <c r="V447" s="235"/>
      <c r="W447" s="300"/>
      <c r="X447" s="236"/>
      <c r="Y447" s="211"/>
      <c r="Z447" s="237"/>
      <c r="AA447" s="238"/>
      <c r="AB447" s="211"/>
      <c r="AC447" s="237"/>
      <c r="AD447" s="238"/>
      <c r="AE447" s="294">
        <v>46272</v>
      </c>
    </row>
    <row r="448" spans="1:31">
      <c r="A448" s="233"/>
      <c r="B448" s="301"/>
      <c r="C448" s="233"/>
      <c r="D448" s="233"/>
      <c r="E448" s="295"/>
      <c r="F448" s="241"/>
      <c r="G448" s="296"/>
      <c r="H448" s="240"/>
      <c r="I448" s="240"/>
      <c r="J448" s="261"/>
      <c r="K448" s="241"/>
      <c r="L448" s="234"/>
      <c r="M448" s="237"/>
      <c r="N448" s="240"/>
      <c r="O448" s="236"/>
      <c r="P448" s="297"/>
      <c r="Q448" s="298"/>
      <c r="R448" s="298"/>
      <c r="S448" s="297"/>
      <c r="T448" s="299"/>
      <c r="U448" s="235"/>
      <c r="V448" s="235"/>
      <c r="W448" s="300"/>
      <c r="X448" s="236"/>
      <c r="Y448" s="211"/>
      <c r="Z448" s="237"/>
      <c r="AA448" s="238"/>
      <c r="AB448" s="211"/>
      <c r="AC448" s="237"/>
      <c r="AD448" s="238"/>
      <c r="AE448" s="294">
        <v>46307</v>
      </c>
    </row>
    <row r="449" spans="1:31">
      <c r="A449" s="233"/>
      <c r="B449" s="301"/>
      <c r="C449" s="233"/>
      <c r="D449" s="233"/>
      <c r="E449" s="295"/>
      <c r="F449" s="241"/>
      <c r="G449" s="296"/>
      <c r="H449" s="240"/>
      <c r="I449" s="240"/>
      <c r="J449" s="261"/>
      <c r="K449" s="241"/>
      <c r="L449" s="234"/>
      <c r="M449" s="237"/>
      <c r="N449" s="240"/>
      <c r="O449" s="236"/>
      <c r="P449" s="297"/>
      <c r="Q449" s="298"/>
      <c r="R449" s="298"/>
      <c r="S449" s="297"/>
      <c r="T449" s="299"/>
      <c r="U449" s="235"/>
      <c r="V449" s="235"/>
      <c r="W449" s="300"/>
      <c r="X449" s="236"/>
      <c r="Y449" s="211"/>
      <c r="Z449" s="237"/>
      <c r="AA449" s="238"/>
      <c r="AB449" s="211"/>
      <c r="AC449" s="237"/>
      <c r="AD449" s="238"/>
      <c r="AE449" s="294">
        <v>46329</v>
      </c>
    </row>
    <row r="450" spans="1:31">
      <c r="A450" s="233"/>
      <c r="B450" s="301"/>
      <c r="C450" s="233"/>
      <c r="D450" s="233"/>
      <c r="E450" s="295"/>
      <c r="F450" s="241"/>
      <c r="G450" s="296"/>
      <c r="H450" s="240"/>
      <c r="I450" s="240"/>
      <c r="J450" s="261"/>
      <c r="K450" s="241"/>
      <c r="L450" s="234"/>
      <c r="M450" s="237"/>
      <c r="N450" s="240"/>
      <c r="O450" s="236"/>
      <c r="P450" s="297"/>
      <c r="Q450" s="298"/>
      <c r="R450" s="298"/>
      <c r="S450" s="297"/>
      <c r="T450" s="299"/>
      <c r="U450" s="235"/>
      <c r="V450" s="235"/>
      <c r="W450" s="300"/>
      <c r="X450" s="236"/>
      <c r="Y450" s="211"/>
      <c r="Z450" s="237"/>
      <c r="AA450" s="238"/>
      <c r="AB450" s="211"/>
      <c r="AC450" s="237"/>
      <c r="AD450" s="238"/>
      <c r="AE450" s="294">
        <v>46337</v>
      </c>
    </row>
    <row r="451" spans="1:31">
      <c r="A451" s="233"/>
      <c r="B451" s="301"/>
      <c r="C451" s="233"/>
      <c r="D451" s="233"/>
      <c r="E451" s="295"/>
      <c r="F451" s="241"/>
      <c r="G451" s="296"/>
      <c r="H451" s="240"/>
      <c r="I451" s="240"/>
      <c r="J451" s="261"/>
      <c r="K451" s="241"/>
      <c r="L451" s="234"/>
      <c r="M451" s="237"/>
      <c r="N451" s="240"/>
      <c r="O451" s="236"/>
      <c r="P451" s="297"/>
      <c r="Q451" s="298"/>
      <c r="R451" s="298"/>
      <c r="S451" s="297"/>
      <c r="T451" s="299"/>
      <c r="U451" s="235"/>
      <c r="V451" s="235"/>
      <c r="W451" s="300"/>
      <c r="X451" s="236"/>
      <c r="Y451" s="211"/>
      <c r="Z451" s="237"/>
      <c r="AA451" s="238"/>
      <c r="AB451" s="211"/>
      <c r="AC451" s="237"/>
      <c r="AD451" s="238"/>
      <c r="AE451" s="294">
        <v>46352</v>
      </c>
    </row>
    <row r="452" spans="1:31">
      <c r="A452" s="233"/>
      <c r="B452" s="301"/>
      <c r="C452" s="233"/>
      <c r="D452" s="233"/>
      <c r="E452" s="295"/>
      <c r="F452" s="241"/>
      <c r="G452" s="296"/>
      <c r="H452" s="240"/>
      <c r="I452" s="240"/>
      <c r="J452" s="261"/>
      <c r="K452" s="241"/>
      <c r="L452" s="234"/>
      <c r="M452" s="237"/>
      <c r="N452" s="240"/>
      <c r="O452" s="236"/>
      <c r="P452" s="297"/>
      <c r="Q452" s="298"/>
      <c r="R452" s="298"/>
      <c r="S452" s="297"/>
      <c r="T452" s="299"/>
      <c r="U452" s="235"/>
      <c r="V452" s="235"/>
      <c r="W452" s="300"/>
      <c r="X452" s="236"/>
      <c r="Y452" s="211"/>
      <c r="Z452" s="237"/>
      <c r="AA452" s="238"/>
      <c r="AB452" s="211"/>
      <c r="AC452" s="237"/>
      <c r="AD452" s="238"/>
      <c r="AE452" s="294">
        <v>46381</v>
      </c>
    </row>
    <row r="453" spans="1:31">
      <c r="A453" s="233"/>
      <c r="B453" s="301"/>
      <c r="C453" s="233"/>
      <c r="D453" s="233"/>
      <c r="E453" s="295"/>
      <c r="F453" s="241"/>
      <c r="G453" s="296"/>
      <c r="H453" s="240"/>
      <c r="I453" s="240"/>
      <c r="J453" s="261"/>
      <c r="K453" s="241"/>
      <c r="L453" s="234"/>
      <c r="M453" s="237"/>
      <c r="N453" s="240"/>
      <c r="O453" s="236"/>
      <c r="P453" s="297"/>
      <c r="Q453" s="298"/>
      <c r="R453" s="298"/>
      <c r="S453" s="297"/>
      <c r="T453" s="299"/>
      <c r="U453" s="235"/>
      <c r="V453" s="235"/>
      <c r="W453" s="300"/>
      <c r="X453" s="236"/>
      <c r="Y453" s="211"/>
      <c r="Z453" s="237"/>
      <c r="AA453" s="238"/>
      <c r="AB453" s="211"/>
      <c r="AC453" s="237"/>
      <c r="AD453" s="238"/>
      <c r="AE453" s="294">
        <v>46388</v>
      </c>
    </row>
    <row r="454" spans="1:31">
      <c r="A454" s="233"/>
      <c r="B454" s="301"/>
      <c r="C454" s="233"/>
      <c r="D454" s="233"/>
      <c r="E454" s="295"/>
      <c r="F454" s="241"/>
      <c r="G454" s="296"/>
      <c r="H454" s="240"/>
      <c r="I454" s="240"/>
      <c r="J454" s="261"/>
      <c r="K454" s="241"/>
      <c r="L454" s="234"/>
      <c r="M454" s="237"/>
      <c r="N454" s="240"/>
      <c r="O454" s="236"/>
      <c r="P454" s="297"/>
      <c r="Q454" s="298"/>
      <c r="R454" s="298"/>
      <c r="S454" s="297"/>
      <c r="T454" s="299"/>
      <c r="U454" s="235"/>
      <c r="V454" s="235"/>
      <c r="W454" s="300"/>
      <c r="X454" s="236"/>
      <c r="Y454" s="211"/>
      <c r="Z454" s="237"/>
      <c r="AA454" s="238"/>
      <c r="AB454" s="211"/>
      <c r="AC454" s="237"/>
      <c r="AD454" s="238"/>
      <c r="AE454" s="294">
        <v>46405</v>
      </c>
    </row>
    <row r="455" spans="1:31">
      <c r="A455" s="233"/>
      <c r="B455" s="301"/>
      <c r="C455" s="233"/>
      <c r="D455" s="233"/>
      <c r="E455" s="295"/>
      <c r="F455" s="241"/>
      <c r="G455" s="296"/>
      <c r="H455" s="240"/>
      <c r="I455" s="240"/>
      <c r="J455" s="261"/>
      <c r="K455" s="241"/>
      <c r="L455" s="234"/>
      <c r="M455" s="237"/>
      <c r="N455" s="240"/>
      <c r="O455" s="236"/>
      <c r="P455" s="297"/>
      <c r="Q455" s="298"/>
      <c r="R455" s="298"/>
      <c r="S455" s="297"/>
      <c r="T455" s="299"/>
      <c r="U455" s="235"/>
      <c r="V455" s="235"/>
      <c r="W455" s="300"/>
      <c r="X455" s="236"/>
      <c r="Y455" s="211"/>
      <c r="Z455" s="237"/>
      <c r="AA455" s="238"/>
      <c r="AB455" s="211"/>
      <c r="AC455" s="237"/>
      <c r="AD455" s="238"/>
      <c r="AE455" s="294">
        <v>46430</v>
      </c>
    </row>
    <row r="456" spans="1:31">
      <c r="A456" s="233"/>
      <c r="B456" s="301"/>
      <c r="C456" s="233"/>
      <c r="D456" s="233"/>
      <c r="E456" s="295"/>
      <c r="F456" s="241"/>
      <c r="G456" s="296"/>
      <c r="H456" s="240"/>
      <c r="I456" s="240"/>
      <c r="J456" s="261"/>
      <c r="K456" s="241"/>
      <c r="L456" s="234"/>
      <c r="M456" s="237"/>
      <c r="N456" s="240"/>
      <c r="O456" s="236"/>
      <c r="P456" s="297"/>
      <c r="Q456" s="298"/>
      <c r="R456" s="298"/>
      <c r="S456" s="297"/>
      <c r="T456" s="299"/>
      <c r="U456" s="235"/>
      <c r="V456" s="235"/>
      <c r="W456" s="300"/>
      <c r="X456" s="236"/>
      <c r="Y456" s="211"/>
      <c r="Z456" s="237"/>
      <c r="AA456" s="238"/>
      <c r="AB456" s="211"/>
      <c r="AC456" s="237"/>
      <c r="AD456" s="238"/>
      <c r="AE456" s="294">
        <v>46433</v>
      </c>
    </row>
    <row r="457" spans="1:31">
      <c r="A457" s="233"/>
      <c r="B457" s="301"/>
      <c r="C457" s="233"/>
      <c r="D457" s="233"/>
      <c r="E457" s="295"/>
      <c r="F457" s="241"/>
      <c r="G457" s="296"/>
      <c r="H457" s="240"/>
      <c r="I457" s="240"/>
      <c r="J457" s="261"/>
      <c r="K457" s="241"/>
      <c r="L457" s="234"/>
      <c r="M457" s="237"/>
      <c r="N457" s="240"/>
      <c r="O457" s="236"/>
      <c r="P457" s="297"/>
      <c r="Q457" s="298"/>
      <c r="R457" s="298"/>
      <c r="S457" s="297"/>
      <c r="T457" s="299"/>
      <c r="U457" s="235"/>
      <c r="V457" s="235"/>
      <c r="W457" s="300"/>
      <c r="X457" s="236"/>
      <c r="Y457" s="211"/>
      <c r="Z457" s="237"/>
      <c r="AA457" s="238"/>
      <c r="AB457" s="211"/>
      <c r="AC457" s="237"/>
      <c r="AD457" s="238"/>
      <c r="AE457" s="294">
        <v>46538</v>
      </c>
    </row>
    <row r="458" spans="1:31">
      <c r="A458" s="233"/>
      <c r="B458" s="301"/>
      <c r="C458" s="233"/>
      <c r="D458" s="233"/>
      <c r="E458" s="295"/>
      <c r="F458" s="241"/>
      <c r="G458" s="296"/>
      <c r="H458" s="240"/>
      <c r="I458" s="240"/>
      <c r="J458" s="261"/>
      <c r="K458" s="241"/>
      <c r="L458" s="234"/>
      <c r="M458" s="237"/>
      <c r="N458" s="240"/>
      <c r="O458" s="236"/>
      <c r="P458" s="297"/>
      <c r="Q458" s="298"/>
      <c r="R458" s="298"/>
      <c r="S458" s="297"/>
      <c r="T458" s="299"/>
      <c r="U458" s="235"/>
      <c r="V458" s="235"/>
      <c r="W458" s="300"/>
      <c r="X458" s="236"/>
      <c r="Y458" s="211"/>
      <c r="Z458" s="237"/>
      <c r="AA458" s="238"/>
      <c r="AB458" s="211"/>
      <c r="AC458" s="237"/>
      <c r="AD458" s="238"/>
      <c r="AE458" s="294">
        <v>46556</v>
      </c>
    </row>
    <row r="459" spans="1:31">
      <c r="A459" s="233"/>
      <c r="B459" s="301"/>
      <c r="C459" s="233"/>
      <c r="D459" s="233"/>
      <c r="E459" s="295"/>
      <c r="F459" s="241"/>
      <c r="G459" s="296"/>
      <c r="H459" s="240"/>
      <c r="I459" s="240"/>
      <c r="J459" s="261"/>
      <c r="K459" s="241"/>
      <c r="L459" s="234"/>
      <c r="M459" s="237"/>
      <c r="N459" s="240"/>
      <c r="O459" s="236"/>
      <c r="P459" s="297"/>
      <c r="Q459" s="298"/>
      <c r="R459" s="298"/>
      <c r="S459" s="297"/>
      <c r="T459" s="299"/>
      <c r="U459" s="235"/>
      <c r="V459" s="235"/>
      <c r="W459" s="300"/>
      <c r="X459" s="236"/>
      <c r="Y459" s="211"/>
      <c r="Z459" s="237"/>
      <c r="AA459" s="238"/>
      <c r="AB459" s="211"/>
      <c r="AC459" s="237"/>
      <c r="AD459" s="238"/>
      <c r="AE459" s="294">
        <v>46573</v>
      </c>
    </row>
    <row r="460" spans="1:31">
      <c r="A460" s="233"/>
      <c r="B460" s="301"/>
      <c r="C460" s="233"/>
      <c r="D460" s="233"/>
      <c r="E460" s="295"/>
      <c r="F460" s="241"/>
      <c r="G460" s="296"/>
      <c r="H460" s="240"/>
      <c r="I460" s="240"/>
      <c r="J460" s="261"/>
      <c r="K460" s="241"/>
      <c r="L460" s="234"/>
      <c r="M460" s="237"/>
      <c r="N460" s="240"/>
      <c r="O460" s="236"/>
      <c r="P460" s="297"/>
      <c r="Q460" s="298"/>
      <c r="R460" s="298"/>
      <c r="S460" s="297"/>
      <c r="T460" s="299"/>
      <c r="U460" s="235"/>
      <c r="V460" s="235"/>
      <c r="W460" s="300"/>
      <c r="X460" s="236"/>
      <c r="Y460" s="211"/>
      <c r="Z460" s="237"/>
      <c r="AA460" s="238"/>
      <c r="AB460" s="211"/>
      <c r="AC460" s="237"/>
      <c r="AD460" s="238"/>
      <c r="AE460" s="294">
        <v>46636</v>
      </c>
    </row>
    <row r="461" spans="1:31">
      <c r="A461" s="233"/>
      <c r="B461" s="301"/>
      <c r="C461" s="233"/>
      <c r="D461" s="233"/>
      <c r="E461" s="295"/>
      <c r="F461" s="241"/>
      <c r="G461" s="296"/>
      <c r="H461" s="240"/>
      <c r="I461" s="240"/>
      <c r="J461" s="261"/>
      <c r="K461" s="241"/>
      <c r="L461" s="234"/>
      <c r="M461" s="237"/>
      <c r="N461" s="240"/>
      <c r="O461" s="236"/>
      <c r="P461" s="297"/>
      <c r="Q461" s="298"/>
      <c r="R461" s="298"/>
      <c r="S461" s="297"/>
      <c r="T461" s="299"/>
      <c r="U461" s="235"/>
      <c r="V461" s="235"/>
      <c r="W461" s="300"/>
      <c r="X461" s="236"/>
      <c r="Y461" s="211"/>
      <c r="Z461" s="237"/>
      <c r="AA461" s="238"/>
      <c r="AB461" s="211"/>
      <c r="AC461" s="237"/>
      <c r="AD461" s="238"/>
      <c r="AE461" s="294">
        <v>46671</v>
      </c>
    </row>
    <row r="462" spans="1:31">
      <c r="A462" s="233"/>
      <c r="B462" s="301"/>
      <c r="C462" s="233"/>
      <c r="D462" s="233"/>
      <c r="E462" s="295"/>
      <c r="F462" s="241"/>
      <c r="G462" s="296"/>
      <c r="H462" s="240"/>
      <c r="I462" s="240"/>
      <c r="J462" s="261"/>
      <c r="K462" s="241"/>
      <c r="L462" s="234"/>
      <c r="M462" s="237"/>
      <c r="N462" s="240"/>
      <c r="O462" s="236"/>
      <c r="P462" s="297"/>
      <c r="Q462" s="298"/>
      <c r="R462" s="298"/>
      <c r="S462" s="297"/>
      <c r="T462" s="299"/>
      <c r="U462" s="235"/>
      <c r="V462" s="235"/>
      <c r="W462" s="300"/>
      <c r="X462" s="236"/>
      <c r="Y462" s="211"/>
      <c r="Z462" s="237"/>
      <c r="AA462" s="238"/>
      <c r="AB462" s="211"/>
      <c r="AC462" s="237"/>
      <c r="AD462" s="238"/>
      <c r="AE462" s="294">
        <v>46693</v>
      </c>
    </row>
    <row r="463" spans="1:31">
      <c r="A463" s="233"/>
      <c r="B463" s="301"/>
      <c r="C463" s="233"/>
      <c r="D463" s="233"/>
      <c r="E463" s="295"/>
      <c r="F463" s="241"/>
      <c r="G463" s="296"/>
      <c r="H463" s="240"/>
      <c r="I463" s="240"/>
      <c r="J463" s="261"/>
      <c r="K463" s="241"/>
      <c r="L463" s="234"/>
      <c r="M463" s="237"/>
      <c r="N463" s="240"/>
      <c r="O463" s="236"/>
      <c r="P463" s="297"/>
      <c r="Q463" s="298"/>
      <c r="R463" s="298"/>
      <c r="S463" s="297"/>
      <c r="T463" s="299"/>
      <c r="U463" s="235"/>
      <c r="V463" s="235"/>
      <c r="W463" s="300"/>
      <c r="X463" s="236"/>
      <c r="Y463" s="211"/>
      <c r="Z463" s="237"/>
      <c r="AA463" s="238"/>
      <c r="AB463" s="211"/>
      <c r="AC463" s="237"/>
      <c r="AD463" s="238"/>
      <c r="AE463" s="294">
        <v>46702</v>
      </c>
    </row>
    <row r="464" spans="1:31">
      <c r="A464" s="233"/>
      <c r="B464" s="301"/>
      <c r="C464" s="233"/>
      <c r="D464" s="233"/>
      <c r="E464" s="295"/>
      <c r="F464" s="241"/>
      <c r="G464" s="296"/>
      <c r="H464" s="240"/>
      <c r="I464" s="240"/>
      <c r="J464" s="261"/>
      <c r="K464" s="241"/>
      <c r="L464" s="234"/>
      <c r="M464" s="237"/>
      <c r="N464" s="240"/>
      <c r="O464" s="236"/>
      <c r="P464" s="297"/>
      <c r="Q464" s="298"/>
      <c r="R464" s="298"/>
      <c r="S464" s="297"/>
      <c r="T464" s="299"/>
      <c r="U464" s="235"/>
      <c r="V464" s="235"/>
      <c r="W464" s="300"/>
      <c r="X464" s="236"/>
      <c r="Y464" s="211"/>
      <c r="Z464" s="237"/>
      <c r="AA464" s="238"/>
      <c r="AB464" s="211"/>
      <c r="AC464" s="237"/>
      <c r="AD464" s="238"/>
      <c r="AE464" s="294">
        <v>46716</v>
      </c>
    </row>
    <row r="465" spans="1:31">
      <c r="A465" s="233"/>
      <c r="B465" s="301"/>
      <c r="C465" s="233"/>
      <c r="D465" s="233"/>
      <c r="E465" s="295"/>
      <c r="F465" s="241"/>
      <c r="G465" s="296"/>
      <c r="H465" s="240"/>
      <c r="I465" s="240"/>
      <c r="J465" s="261"/>
      <c r="K465" s="241"/>
      <c r="L465" s="234"/>
      <c r="M465" s="237"/>
      <c r="N465" s="240"/>
      <c r="O465" s="236"/>
      <c r="P465" s="297"/>
      <c r="Q465" s="298"/>
      <c r="R465" s="298"/>
      <c r="S465" s="297"/>
      <c r="T465" s="299"/>
      <c r="U465" s="235"/>
      <c r="V465" s="235"/>
      <c r="W465" s="300"/>
      <c r="X465" s="236"/>
      <c r="Y465" s="211"/>
      <c r="Z465" s="237"/>
      <c r="AA465" s="238"/>
      <c r="AB465" s="211"/>
      <c r="AC465" s="237"/>
      <c r="AD465" s="238"/>
      <c r="AE465" s="294">
        <v>46745</v>
      </c>
    </row>
    <row r="466" spans="1:31">
      <c r="A466" s="233"/>
      <c r="B466" s="301"/>
      <c r="C466" s="233"/>
      <c r="D466" s="233"/>
      <c r="E466" s="295"/>
      <c r="F466" s="241"/>
      <c r="G466" s="296"/>
      <c r="H466" s="240"/>
      <c r="I466" s="240"/>
      <c r="J466" s="261"/>
      <c r="K466" s="241"/>
      <c r="L466" s="234"/>
      <c r="M466" s="237"/>
      <c r="N466" s="240"/>
      <c r="O466" s="236"/>
      <c r="P466" s="297"/>
      <c r="Q466" s="298"/>
      <c r="R466" s="298"/>
      <c r="S466" s="297"/>
      <c r="T466" s="299"/>
      <c r="U466" s="235"/>
      <c r="V466" s="235"/>
      <c r="W466" s="300"/>
      <c r="X466" s="236"/>
      <c r="Y466" s="211"/>
      <c r="Z466" s="237"/>
      <c r="AA466" s="238"/>
      <c r="AB466" s="211"/>
      <c r="AC466" s="237"/>
      <c r="AD466" s="238"/>
      <c r="AE466" s="294">
        <v>46752</v>
      </c>
    </row>
    <row r="467" spans="1:31">
      <c r="A467" s="233"/>
      <c r="B467" s="301"/>
      <c r="C467" s="233"/>
      <c r="D467" s="233"/>
      <c r="E467" s="295"/>
      <c r="F467" s="241"/>
      <c r="G467" s="296"/>
      <c r="H467" s="240"/>
      <c r="I467" s="240"/>
      <c r="J467" s="261"/>
      <c r="K467" s="241"/>
      <c r="L467" s="234"/>
      <c r="M467" s="237"/>
      <c r="N467" s="240"/>
      <c r="O467" s="236"/>
      <c r="P467" s="297"/>
      <c r="Q467" s="298"/>
      <c r="R467" s="298"/>
      <c r="S467" s="297"/>
      <c r="T467" s="299"/>
      <c r="U467" s="235"/>
      <c r="V467" s="235"/>
      <c r="W467" s="300"/>
      <c r="X467" s="236"/>
      <c r="Y467" s="211"/>
      <c r="Z467" s="237"/>
      <c r="AA467" s="238"/>
      <c r="AB467" s="211"/>
      <c r="AC467" s="237"/>
      <c r="AD467" s="238"/>
      <c r="AE467" s="294">
        <v>46769</v>
      </c>
    </row>
    <row r="468" spans="1:31">
      <c r="A468" s="233"/>
      <c r="B468" s="301"/>
      <c r="C468" s="233"/>
      <c r="D468" s="233"/>
      <c r="E468" s="295"/>
      <c r="F468" s="241"/>
      <c r="G468" s="296"/>
      <c r="H468" s="240"/>
      <c r="I468" s="240"/>
      <c r="J468" s="261"/>
      <c r="K468" s="241"/>
      <c r="L468" s="234"/>
      <c r="M468" s="237"/>
      <c r="N468" s="240"/>
      <c r="O468" s="236"/>
      <c r="P468" s="297"/>
      <c r="Q468" s="298"/>
      <c r="R468" s="298"/>
      <c r="S468" s="297"/>
      <c r="T468" s="299"/>
      <c r="U468" s="235"/>
      <c r="V468" s="235"/>
      <c r="W468" s="300"/>
      <c r="X468" s="236"/>
      <c r="Y468" s="211"/>
      <c r="Z468" s="237"/>
      <c r="AA468" s="238"/>
      <c r="AB468" s="211"/>
      <c r="AC468" s="237"/>
      <c r="AD468" s="238"/>
      <c r="AE468" s="294">
        <v>46794</v>
      </c>
    </row>
    <row r="469" spans="1:31">
      <c r="A469" s="233"/>
      <c r="B469" s="301"/>
      <c r="C469" s="233"/>
      <c r="D469" s="233"/>
      <c r="E469" s="295"/>
      <c r="F469" s="241"/>
      <c r="G469" s="296"/>
      <c r="H469" s="240"/>
      <c r="I469" s="240"/>
      <c r="J469" s="261"/>
      <c r="K469" s="241"/>
      <c r="L469" s="234"/>
      <c r="M469" s="237"/>
      <c r="N469" s="240"/>
      <c r="O469" s="236"/>
      <c r="P469" s="297"/>
      <c r="Q469" s="298"/>
      <c r="R469" s="298"/>
      <c r="S469" s="297"/>
      <c r="T469" s="299"/>
      <c r="U469" s="235"/>
      <c r="V469" s="235"/>
      <c r="W469" s="300"/>
      <c r="X469" s="236"/>
      <c r="Y469" s="211"/>
      <c r="Z469" s="237"/>
      <c r="AA469" s="238"/>
      <c r="AB469" s="211"/>
      <c r="AC469" s="237"/>
      <c r="AD469" s="238"/>
      <c r="AE469" s="294">
        <v>46798</v>
      </c>
    </row>
    <row r="470" spans="1:31">
      <c r="A470" s="233"/>
      <c r="B470" s="301"/>
      <c r="C470" s="233"/>
      <c r="D470" s="233"/>
      <c r="E470" s="295"/>
      <c r="F470" s="241"/>
      <c r="G470" s="296"/>
      <c r="H470" s="240"/>
      <c r="I470" s="240"/>
      <c r="J470" s="261"/>
      <c r="K470" s="241"/>
      <c r="L470" s="234"/>
      <c r="M470" s="237"/>
      <c r="N470" s="240"/>
      <c r="O470" s="236"/>
      <c r="P470" s="297"/>
      <c r="Q470" s="298"/>
      <c r="R470" s="298"/>
      <c r="S470" s="297"/>
      <c r="T470" s="299"/>
      <c r="U470" s="235"/>
      <c r="V470" s="235"/>
      <c r="W470" s="300"/>
      <c r="X470" s="236"/>
      <c r="Y470" s="211"/>
      <c r="Z470" s="237"/>
      <c r="AA470" s="238"/>
      <c r="AB470" s="211"/>
      <c r="AC470" s="237"/>
      <c r="AD470" s="238"/>
      <c r="AE470" s="294">
        <v>46804</v>
      </c>
    </row>
    <row r="471" spans="1:31">
      <c r="A471" s="233"/>
      <c r="B471" s="301"/>
      <c r="C471" s="233"/>
      <c r="D471" s="233"/>
      <c r="E471" s="295"/>
      <c r="F471" s="241"/>
      <c r="G471" s="296"/>
      <c r="H471" s="240"/>
      <c r="I471" s="240"/>
      <c r="J471" s="261"/>
      <c r="K471" s="241"/>
      <c r="L471" s="234"/>
      <c r="M471" s="237"/>
      <c r="N471" s="240"/>
      <c r="O471" s="236"/>
      <c r="P471" s="297"/>
      <c r="Q471" s="298"/>
      <c r="R471" s="298"/>
      <c r="S471" s="297"/>
      <c r="T471" s="299"/>
      <c r="U471" s="235"/>
      <c r="V471" s="235"/>
      <c r="W471" s="300"/>
      <c r="X471" s="236"/>
      <c r="Y471" s="211"/>
      <c r="Z471" s="237"/>
      <c r="AA471" s="238"/>
      <c r="AB471" s="211"/>
      <c r="AC471" s="237"/>
      <c r="AD471" s="238"/>
      <c r="AE471" s="294">
        <v>46902</v>
      </c>
    </row>
    <row r="472" spans="1:31">
      <c r="A472" s="233"/>
      <c r="B472" s="301"/>
      <c r="C472" s="233"/>
      <c r="D472" s="233"/>
      <c r="E472" s="295"/>
      <c r="F472" s="241"/>
      <c r="G472" s="296"/>
      <c r="H472" s="240"/>
      <c r="I472" s="240"/>
      <c r="J472" s="261"/>
      <c r="K472" s="241"/>
      <c r="L472" s="234"/>
      <c r="M472" s="237"/>
      <c r="N472" s="240"/>
      <c r="O472" s="236"/>
      <c r="P472" s="297"/>
      <c r="Q472" s="298"/>
      <c r="R472" s="298"/>
      <c r="S472" s="297"/>
      <c r="T472" s="299"/>
      <c r="U472" s="235"/>
      <c r="V472" s="235"/>
      <c r="W472" s="300"/>
      <c r="X472" s="236"/>
      <c r="Y472" s="211"/>
      <c r="Z472" s="237"/>
      <c r="AA472" s="238"/>
      <c r="AB472" s="211"/>
      <c r="AC472" s="237"/>
      <c r="AD472" s="238"/>
      <c r="AE472" s="294">
        <v>46923</v>
      </c>
    </row>
    <row r="473" spans="1:31">
      <c r="A473" s="233"/>
      <c r="B473" s="301"/>
      <c r="C473" s="233"/>
      <c r="D473" s="233"/>
      <c r="E473" s="295"/>
      <c r="F473" s="241"/>
      <c r="G473" s="296"/>
      <c r="H473" s="240"/>
      <c r="I473" s="240"/>
      <c r="J473" s="261"/>
      <c r="K473" s="241"/>
      <c r="L473" s="234"/>
      <c r="M473" s="237"/>
      <c r="N473" s="240"/>
      <c r="O473" s="236"/>
      <c r="P473" s="297"/>
      <c r="Q473" s="298"/>
      <c r="R473" s="298"/>
      <c r="S473" s="297"/>
      <c r="T473" s="299"/>
      <c r="U473" s="235"/>
      <c r="V473" s="235"/>
      <c r="W473" s="300"/>
      <c r="X473" s="236"/>
      <c r="Y473" s="211"/>
      <c r="Z473" s="237"/>
      <c r="AA473" s="238"/>
      <c r="AB473" s="211"/>
      <c r="AC473" s="237"/>
      <c r="AD473" s="238"/>
      <c r="AE473" s="294">
        <v>46938</v>
      </c>
    </row>
    <row r="474" spans="1:31">
      <c r="A474" s="233"/>
      <c r="B474" s="301"/>
      <c r="C474" s="233"/>
      <c r="D474" s="233"/>
      <c r="E474" s="295"/>
      <c r="F474" s="241"/>
      <c r="G474" s="296"/>
      <c r="H474" s="240"/>
      <c r="I474" s="240"/>
      <c r="J474" s="261"/>
      <c r="K474" s="241"/>
      <c r="L474" s="234"/>
      <c r="M474" s="237"/>
      <c r="N474" s="240"/>
      <c r="O474" s="236"/>
      <c r="P474" s="297"/>
      <c r="Q474" s="298"/>
      <c r="R474" s="298"/>
      <c r="S474" s="297"/>
      <c r="T474" s="299"/>
      <c r="U474" s="235"/>
      <c r="V474" s="235"/>
      <c r="W474" s="300"/>
      <c r="X474" s="236"/>
      <c r="Y474" s="211"/>
      <c r="Z474" s="237"/>
      <c r="AA474" s="238"/>
      <c r="AB474" s="211"/>
      <c r="AC474" s="237"/>
      <c r="AD474" s="238"/>
      <c r="AE474" s="294">
        <v>47000</v>
      </c>
    </row>
    <row r="475" spans="1:31">
      <c r="A475" s="233"/>
      <c r="B475" s="301"/>
      <c r="C475" s="233"/>
      <c r="D475" s="233"/>
      <c r="E475" s="295"/>
      <c r="F475" s="241"/>
      <c r="G475" s="296"/>
      <c r="H475" s="240"/>
      <c r="I475" s="240"/>
      <c r="J475" s="261"/>
      <c r="K475" s="241"/>
      <c r="L475" s="234"/>
      <c r="M475" s="237"/>
      <c r="N475" s="240"/>
      <c r="O475" s="236"/>
      <c r="P475" s="297"/>
      <c r="Q475" s="298"/>
      <c r="R475" s="298"/>
      <c r="S475" s="297"/>
      <c r="T475" s="299"/>
      <c r="U475" s="235"/>
      <c r="V475" s="235"/>
      <c r="W475" s="300"/>
      <c r="X475" s="236"/>
      <c r="Y475" s="211"/>
      <c r="Z475" s="237"/>
      <c r="AA475" s="238"/>
      <c r="AB475" s="211"/>
      <c r="AC475" s="237"/>
      <c r="AD475" s="238"/>
      <c r="AE475" s="294">
        <v>47035</v>
      </c>
    </row>
    <row r="476" spans="1:31">
      <c r="A476" s="233"/>
      <c r="B476" s="301"/>
      <c r="C476" s="233"/>
      <c r="D476" s="233"/>
      <c r="E476" s="295"/>
      <c r="F476" s="241"/>
      <c r="G476" s="296"/>
      <c r="H476" s="240"/>
      <c r="I476" s="240"/>
      <c r="J476" s="261"/>
      <c r="K476" s="241"/>
      <c r="L476" s="234"/>
      <c r="M476" s="237"/>
      <c r="N476" s="240"/>
      <c r="O476" s="236"/>
      <c r="P476" s="297"/>
      <c r="Q476" s="298"/>
      <c r="R476" s="298"/>
      <c r="S476" s="297"/>
      <c r="T476" s="299"/>
      <c r="U476" s="235"/>
      <c r="V476" s="235"/>
      <c r="W476" s="300"/>
      <c r="X476" s="236"/>
      <c r="Y476" s="211"/>
      <c r="Z476" s="237"/>
      <c r="AA476" s="238"/>
      <c r="AB476" s="211"/>
      <c r="AC476" s="237"/>
      <c r="AD476" s="238"/>
      <c r="AE476" s="294">
        <v>47064</v>
      </c>
    </row>
    <row r="477" spans="1:31">
      <c r="A477" s="233"/>
      <c r="B477" s="301"/>
      <c r="C477" s="233"/>
      <c r="D477" s="233"/>
      <c r="E477" s="295"/>
      <c r="F477" s="241"/>
      <c r="G477" s="296"/>
      <c r="H477" s="240"/>
      <c r="I477" s="240"/>
      <c r="J477" s="261"/>
      <c r="K477" s="241"/>
      <c r="L477" s="234"/>
      <c r="M477" s="237"/>
      <c r="N477" s="240"/>
      <c r="O477" s="236"/>
      <c r="P477" s="297"/>
      <c r="Q477" s="298"/>
      <c r="R477" s="298"/>
      <c r="S477" s="297"/>
      <c r="T477" s="299"/>
      <c r="U477" s="235"/>
      <c r="V477" s="235"/>
      <c r="W477" s="300"/>
      <c r="X477" s="236"/>
      <c r="Y477" s="211"/>
      <c r="Z477" s="237"/>
      <c r="AA477" s="238"/>
      <c r="AB477" s="211"/>
      <c r="AC477" s="237"/>
      <c r="AD477" s="238"/>
      <c r="AE477" s="294">
        <v>47067</v>
      </c>
    </row>
    <row r="478" spans="1:31">
      <c r="A478" s="233"/>
      <c r="B478" s="301"/>
      <c r="C478" s="233"/>
      <c r="D478" s="233"/>
      <c r="E478" s="295"/>
      <c r="F478" s="241"/>
      <c r="G478" s="296"/>
      <c r="H478" s="240"/>
      <c r="I478" s="240"/>
      <c r="J478" s="261"/>
      <c r="K478" s="241"/>
      <c r="L478" s="234"/>
      <c r="M478" s="237"/>
      <c r="N478" s="240"/>
      <c r="O478" s="236"/>
      <c r="P478" s="297"/>
      <c r="Q478" s="298"/>
      <c r="R478" s="298"/>
      <c r="S478" s="297"/>
      <c r="T478" s="299"/>
      <c r="U478" s="235"/>
      <c r="V478" s="235"/>
      <c r="W478" s="300"/>
      <c r="X478" s="236"/>
      <c r="Y478" s="211"/>
      <c r="Z478" s="237"/>
      <c r="AA478" s="238"/>
      <c r="AB478" s="211"/>
      <c r="AC478" s="237"/>
      <c r="AD478" s="238"/>
      <c r="AE478" s="294">
        <v>47080</v>
      </c>
    </row>
    <row r="479" spans="1:31">
      <c r="A479" s="233"/>
      <c r="B479" s="301"/>
      <c r="C479" s="233"/>
      <c r="D479" s="233"/>
      <c r="E479" s="295"/>
      <c r="F479" s="241"/>
      <c r="G479" s="296"/>
      <c r="H479" s="240"/>
      <c r="I479" s="240"/>
      <c r="J479" s="261"/>
      <c r="K479" s="241"/>
      <c r="L479" s="234"/>
      <c r="M479" s="237"/>
      <c r="N479" s="240"/>
      <c r="O479" s="236"/>
      <c r="P479" s="297"/>
      <c r="Q479" s="298"/>
      <c r="R479" s="298"/>
      <c r="S479" s="297"/>
      <c r="T479" s="299"/>
      <c r="U479" s="235"/>
      <c r="V479" s="235"/>
      <c r="W479" s="300"/>
      <c r="X479" s="236"/>
      <c r="Y479" s="211"/>
      <c r="Z479" s="237"/>
      <c r="AA479" s="238"/>
      <c r="AB479" s="211"/>
      <c r="AC479" s="237"/>
      <c r="AD479" s="238"/>
      <c r="AE479" s="294">
        <v>47112</v>
      </c>
    </row>
    <row r="480" spans="1:31">
      <c r="A480" s="233"/>
      <c r="B480" s="301"/>
      <c r="C480" s="233"/>
      <c r="D480" s="233"/>
      <c r="E480" s="295"/>
      <c r="F480" s="241"/>
      <c r="G480" s="296"/>
      <c r="H480" s="240"/>
      <c r="I480" s="240"/>
      <c r="J480" s="261"/>
      <c r="K480" s="241"/>
      <c r="L480" s="234"/>
      <c r="M480" s="237"/>
      <c r="N480" s="240"/>
      <c r="O480" s="236"/>
      <c r="P480" s="297"/>
      <c r="Q480" s="298"/>
      <c r="R480" s="298"/>
      <c r="S480" s="297"/>
      <c r="T480" s="299"/>
      <c r="U480" s="235"/>
      <c r="V480" s="235"/>
      <c r="W480" s="300"/>
      <c r="X480" s="236"/>
      <c r="Y480" s="211"/>
      <c r="Z480" s="237"/>
      <c r="AA480" s="238"/>
      <c r="AB480" s="211"/>
      <c r="AC480" s="237"/>
      <c r="AD480" s="238"/>
      <c r="AE480" s="294">
        <v>47119</v>
      </c>
    </row>
    <row r="481" spans="1:31">
      <c r="A481" s="233"/>
      <c r="B481" s="301"/>
      <c r="C481" s="233"/>
      <c r="D481" s="233"/>
      <c r="E481" s="295"/>
      <c r="F481" s="241"/>
      <c r="G481" s="296"/>
      <c r="H481" s="240"/>
      <c r="I481" s="240"/>
      <c r="J481" s="261"/>
      <c r="K481" s="241"/>
      <c r="L481" s="234"/>
      <c r="M481" s="237"/>
      <c r="N481" s="240"/>
      <c r="O481" s="236"/>
      <c r="P481" s="297"/>
      <c r="Q481" s="298"/>
      <c r="R481" s="298"/>
      <c r="S481" s="297"/>
      <c r="T481" s="299"/>
      <c r="U481" s="235"/>
      <c r="V481" s="235"/>
      <c r="W481" s="300"/>
      <c r="X481" s="236"/>
      <c r="Y481" s="211"/>
      <c r="Z481" s="237"/>
      <c r="AA481" s="238"/>
      <c r="AB481" s="211"/>
      <c r="AC481" s="237"/>
      <c r="AD481" s="238"/>
      <c r="AE481" s="294">
        <v>47133</v>
      </c>
    </row>
    <row r="482" spans="1:31">
      <c r="A482" s="233"/>
      <c r="B482" s="301"/>
      <c r="C482" s="233"/>
      <c r="D482" s="233"/>
      <c r="E482" s="295"/>
      <c r="F482" s="241"/>
      <c r="G482" s="296"/>
      <c r="H482" s="240"/>
      <c r="I482" s="240"/>
      <c r="J482" s="261"/>
      <c r="K482" s="241"/>
      <c r="L482" s="234"/>
      <c r="M482" s="237"/>
      <c r="N482" s="240"/>
      <c r="O482" s="236"/>
      <c r="P482" s="297"/>
      <c r="Q482" s="298"/>
      <c r="R482" s="298"/>
      <c r="S482" s="297"/>
      <c r="T482" s="299"/>
      <c r="U482" s="235"/>
      <c r="V482" s="235"/>
      <c r="W482" s="300"/>
      <c r="X482" s="236"/>
      <c r="Y482" s="211"/>
      <c r="Z482" s="237"/>
      <c r="AA482" s="238"/>
      <c r="AB482" s="211"/>
      <c r="AC482" s="237"/>
      <c r="AD482" s="238"/>
      <c r="AE482" s="294">
        <v>47161</v>
      </c>
    </row>
    <row r="483" spans="1:31">
      <c r="A483" s="233"/>
      <c r="B483" s="301"/>
      <c r="C483" s="233"/>
      <c r="D483" s="233"/>
      <c r="E483" s="295"/>
      <c r="F483" s="241"/>
      <c r="G483" s="296"/>
      <c r="H483" s="240"/>
      <c r="I483" s="240"/>
      <c r="J483" s="261"/>
      <c r="K483" s="241"/>
      <c r="L483" s="234"/>
      <c r="M483" s="237"/>
      <c r="N483" s="240"/>
      <c r="O483" s="236"/>
      <c r="P483" s="297"/>
      <c r="Q483" s="298"/>
      <c r="R483" s="298"/>
      <c r="S483" s="297"/>
      <c r="T483" s="299"/>
      <c r="U483" s="235"/>
      <c r="V483" s="235"/>
      <c r="W483" s="300"/>
      <c r="X483" s="236"/>
      <c r="Y483" s="211"/>
      <c r="Z483" s="237"/>
      <c r="AA483" s="238"/>
      <c r="AB483" s="211"/>
      <c r="AC483" s="237"/>
      <c r="AD483" s="238"/>
      <c r="AE483" s="294">
        <v>47164</v>
      </c>
    </row>
    <row r="484" spans="1:31">
      <c r="A484" s="233"/>
      <c r="B484" s="301"/>
      <c r="C484" s="233"/>
      <c r="D484" s="233"/>
      <c r="E484" s="295"/>
      <c r="F484" s="241"/>
      <c r="G484" s="296"/>
      <c r="H484" s="240"/>
      <c r="I484" s="240"/>
      <c r="J484" s="261"/>
      <c r="K484" s="241"/>
      <c r="L484" s="234"/>
      <c r="M484" s="237"/>
      <c r="N484" s="240"/>
      <c r="O484" s="236"/>
      <c r="P484" s="297"/>
      <c r="Q484" s="298"/>
      <c r="R484" s="298"/>
      <c r="S484" s="297"/>
      <c r="T484" s="299"/>
      <c r="U484" s="235"/>
      <c r="V484" s="235"/>
      <c r="W484" s="300"/>
      <c r="X484" s="236"/>
      <c r="Y484" s="211"/>
      <c r="Z484" s="237"/>
      <c r="AA484" s="238"/>
      <c r="AB484" s="211"/>
      <c r="AC484" s="237"/>
      <c r="AD484" s="238"/>
      <c r="AE484" s="294">
        <v>47168</v>
      </c>
    </row>
    <row r="485" spans="1:31">
      <c r="A485" s="233"/>
      <c r="B485" s="301"/>
      <c r="C485" s="233"/>
      <c r="D485" s="233"/>
      <c r="E485" s="295"/>
      <c r="F485" s="241"/>
      <c r="G485" s="296"/>
      <c r="H485" s="240"/>
      <c r="I485" s="240"/>
      <c r="J485" s="261"/>
      <c r="K485" s="241"/>
      <c r="L485" s="234"/>
      <c r="M485" s="237"/>
      <c r="N485" s="240"/>
      <c r="O485" s="236"/>
      <c r="P485" s="297"/>
      <c r="Q485" s="298"/>
      <c r="R485" s="298"/>
      <c r="S485" s="297"/>
      <c r="T485" s="299"/>
      <c r="U485" s="235"/>
      <c r="V485" s="235"/>
      <c r="W485" s="300"/>
      <c r="X485" s="236"/>
      <c r="Y485" s="211"/>
      <c r="Z485" s="237"/>
      <c r="AA485" s="238"/>
      <c r="AB485" s="211"/>
      <c r="AC485" s="237"/>
      <c r="AD485" s="238"/>
      <c r="AE485" s="294">
        <v>47266</v>
      </c>
    </row>
    <row r="486" spans="1:31">
      <c r="A486" s="233"/>
      <c r="B486" s="301"/>
      <c r="C486" s="233"/>
      <c r="D486" s="233"/>
      <c r="E486" s="295"/>
      <c r="F486" s="241"/>
      <c r="G486" s="296"/>
      <c r="H486" s="240"/>
      <c r="I486" s="240"/>
      <c r="J486" s="261"/>
      <c r="K486" s="241"/>
      <c r="L486" s="234"/>
      <c r="M486" s="237"/>
      <c r="N486" s="240"/>
      <c r="O486" s="236"/>
      <c r="P486" s="297"/>
      <c r="Q486" s="298"/>
      <c r="R486" s="298"/>
      <c r="S486" s="297"/>
      <c r="T486" s="299"/>
      <c r="U486" s="235"/>
      <c r="V486" s="235"/>
      <c r="W486" s="300"/>
      <c r="X486" s="236"/>
      <c r="Y486" s="211"/>
      <c r="Z486" s="237"/>
      <c r="AA486" s="238"/>
      <c r="AB486" s="211"/>
      <c r="AC486" s="237"/>
      <c r="AD486" s="238"/>
      <c r="AE486" s="294">
        <v>47288</v>
      </c>
    </row>
    <row r="487" spans="1:31">
      <c r="A487" s="233"/>
      <c r="B487" s="301"/>
      <c r="C487" s="233"/>
      <c r="D487" s="233"/>
      <c r="E487" s="295"/>
      <c r="F487" s="241"/>
      <c r="G487" s="296"/>
      <c r="H487" s="240"/>
      <c r="I487" s="240"/>
      <c r="J487" s="261"/>
      <c r="K487" s="241"/>
      <c r="L487" s="234"/>
      <c r="M487" s="237"/>
      <c r="N487" s="240"/>
      <c r="O487" s="236"/>
      <c r="P487" s="297"/>
      <c r="Q487" s="298"/>
      <c r="R487" s="298"/>
      <c r="S487" s="297"/>
      <c r="T487" s="299"/>
      <c r="U487" s="235"/>
      <c r="V487" s="235"/>
      <c r="W487" s="300"/>
      <c r="X487" s="236"/>
      <c r="Y487" s="211"/>
      <c r="Z487" s="237"/>
      <c r="AA487" s="238"/>
      <c r="AB487" s="211"/>
      <c r="AC487" s="237"/>
      <c r="AD487" s="238"/>
      <c r="AE487" s="294">
        <v>47303</v>
      </c>
    </row>
    <row r="488" spans="1:31">
      <c r="A488" s="233"/>
      <c r="B488" s="301"/>
      <c r="C488" s="233"/>
      <c r="D488" s="233"/>
      <c r="E488" s="295"/>
      <c r="F488" s="241"/>
      <c r="G488" s="296"/>
      <c r="H488" s="240"/>
      <c r="I488" s="240"/>
      <c r="J488" s="261"/>
      <c r="K488" s="241"/>
      <c r="L488" s="234"/>
      <c r="M488" s="237"/>
      <c r="N488" s="240"/>
      <c r="O488" s="236"/>
      <c r="P488" s="297"/>
      <c r="Q488" s="298"/>
      <c r="R488" s="298"/>
      <c r="S488" s="297"/>
      <c r="T488" s="299"/>
      <c r="U488" s="235"/>
      <c r="V488" s="235"/>
      <c r="W488" s="300"/>
      <c r="X488" s="236"/>
      <c r="Y488" s="211"/>
      <c r="Z488" s="237"/>
      <c r="AA488" s="238"/>
      <c r="AB488" s="211"/>
      <c r="AC488" s="237"/>
      <c r="AD488" s="238"/>
      <c r="AE488" s="294">
        <v>47364</v>
      </c>
    </row>
    <row r="489" spans="1:31">
      <c r="A489" s="233"/>
      <c r="B489" s="301"/>
      <c r="C489" s="233"/>
      <c r="D489" s="233"/>
      <c r="E489" s="295"/>
      <c r="F489" s="241"/>
      <c r="G489" s="296"/>
      <c r="H489" s="240"/>
      <c r="I489" s="240"/>
      <c r="J489" s="261"/>
      <c r="K489" s="241"/>
      <c r="L489" s="234"/>
      <c r="M489" s="237"/>
      <c r="N489" s="240"/>
      <c r="O489" s="236"/>
      <c r="P489" s="297"/>
      <c r="Q489" s="298"/>
      <c r="R489" s="298"/>
      <c r="S489" s="297"/>
      <c r="T489" s="299"/>
      <c r="U489" s="235"/>
      <c r="V489" s="235"/>
      <c r="W489" s="300"/>
      <c r="X489" s="236"/>
      <c r="Y489" s="211"/>
      <c r="Z489" s="237"/>
      <c r="AA489" s="238"/>
      <c r="AB489" s="211"/>
      <c r="AC489" s="237"/>
      <c r="AD489" s="238"/>
      <c r="AE489" s="294">
        <v>47399</v>
      </c>
    </row>
    <row r="490" spans="1:31">
      <c r="A490" s="233"/>
      <c r="B490" s="301"/>
      <c r="C490" s="233"/>
      <c r="D490" s="233"/>
      <c r="E490" s="295"/>
      <c r="F490" s="241"/>
      <c r="G490" s="296"/>
      <c r="H490" s="240"/>
      <c r="I490" s="240"/>
      <c r="J490" s="261"/>
      <c r="K490" s="241"/>
      <c r="L490" s="234"/>
      <c r="M490" s="237"/>
      <c r="N490" s="240"/>
      <c r="O490" s="236"/>
      <c r="P490" s="297"/>
      <c r="Q490" s="298"/>
      <c r="R490" s="298"/>
      <c r="S490" s="297"/>
      <c r="T490" s="299"/>
      <c r="U490" s="235"/>
      <c r="V490" s="235"/>
      <c r="W490" s="300"/>
      <c r="X490" s="236"/>
      <c r="Y490" s="211"/>
      <c r="Z490" s="237"/>
      <c r="AA490" s="238"/>
      <c r="AB490" s="211"/>
      <c r="AC490" s="237"/>
      <c r="AD490" s="238"/>
      <c r="AE490" s="294">
        <v>47428</v>
      </c>
    </row>
    <row r="491" spans="1:31">
      <c r="A491" s="233"/>
      <c r="B491" s="301"/>
      <c r="C491" s="233"/>
      <c r="D491" s="233"/>
      <c r="E491" s="295"/>
      <c r="F491" s="241"/>
      <c r="G491" s="296"/>
      <c r="H491" s="240"/>
      <c r="I491" s="240"/>
      <c r="J491" s="261"/>
      <c r="K491" s="241"/>
      <c r="L491" s="234"/>
      <c r="M491" s="237"/>
      <c r="N491" s="240"/>
      <c r="O491" s="236"/>
      <c r="P491" s="297"/>
      <c r="Q491" s="298"/>
      <c r="R491" s="298"/>
      <c r="S491" s="297"/>
      <c r="T491" s="299"/>
      <c r="U491" s="235"/>
      <c r="V491" s="235"/>
      <c r="W491" s="300"/>
      <c r="X491" s="236"/>
      <c r="Y491" s="211"/>
      <c r="Z491" s="237"/>
      <c r="AA491" s="238"/>
      <c r="AB491" s="211"/>
      <c r="AC491" s="237"/>
      <c r="AD491" s="238"/>
      <c r="AE491" s="294">
        <v>47434</v>
      </c>
    </row>
    <row r="492" spans="1:31">
      <c r="A492" s="233"/>
      <c r="B492" s="301"/>
      <c r="C492" s="233"/>
      <c r="D492" s="233"/>
      <c r="E492" s="295"/>
      <c r="F492" s="241"/>
      <c r="G492" s="296"/>
      <c r="H492" s="240"/>
      <c r="I492" s="240"/>
      <c r="J492" s="261"/>
      <c r="K492" s="241"/>
      <c r="L492" s="234"/>
      <c r="M492" s="237"/>
      <c r="N492" s="240"/>
      <c r="O492" s="236"/>
      <c r="P492" s="297"/>
      <c r="Q492" s="298"/>
      <c r="R492" s="298"/>
      <c r="S492" s="297"/>
      <c r="T492" s="299"/>
      <c r="U492" s="235"/>
      <c r="V492" s="235"/>
      <c r="W492" s="300"/>
      <c r="X492" s="236"/>
      <c r="Y492" s="211"/>
      <c r="Z492" s="237"/>
      <c r="AA492" s="238"/>
      <c r="AB492" s="211"/>
      <c r="AC492" s="237"/>
      <c r="AD492" s="238"/>
      <c r="AE492" s="294">
        <v>47444</v>
      </c>
    </row>
    <row r="493" spans="1:31">
      <c r="A493" s="233"/>
      <c r="B493" s="301"/>
      <c r="C493" s="233"/>
      <c r="D493" s="233"/>
      <c r="E493" s="295"/>
      <c r="F493" s="241"/>
      <c r="G493" s="296"/>
      <c r="H493" s="240"/>
      <c r="I493" s="240"/>
      <c r="J493" s="261"/>
      <c r="K493" s="241"/>
      <c r="L493" s="234"/>
      <c r="M493" s="237"/>
      <c r="N493" s="240"/>
      <c r="O493" s="236"/>
      <c r="P493" s="297"/>
      <c r="Q493" s="298"/>
      <c r="R493" s="298"/>
      <c r="S493" s="297"/>
      <c r="T493" s="299"/>
      <c r="U493" s="235"/>
      <c r="V493" s="235"/>
      <c r="W493" s="300"/>
      <c r="X493" s="236"/>
      <c r="Y493" s="211"/>
      <c r="Z493" s="237"/>
      <c r="AA493" s="238"/>
      <c r="AB493" s="211"/>
      <c r="AC493" s="237"/>
      <c r="AD493" s="238"/>
      <c r="AE493" s="294">
        <v>47477</v>
      </c>
    </row>
    <row r="494" spans="1:31">
      <c r="A494" s="233"/>
      <c r="B494" s="301"/>
      <c r="C494" s="233"/>
      <c r="D494" s="233"/>
      <c r="E494" s="295"/>
      <c r="F494" s="241"/>
      <c r="G494" s="296"/>
      <c r="H494" s="240"/>
      <c r="I494" s="240"/>
      <c r="J494" s="261"/>
      <c r="K494" s="241"/>
      <c r="L494" s="234"/>
      <c r="M494" s="237"/>
      <c r="N494" s="240"/>
      <c r="O494" s="236"/>
      <c r="P494" s="297"/>
      <c r="Q494" s="298"/>
      <c r="R494" s="298"/>
      <c r="S494" s="297"/>
      <c r="T494" s="299"/>
      <c r="U494" s="235"/>
      <c r="V494" s="235"/>
      <c r="W494" s="300"/>
      <c r="X494" s="236"/>
      <c r="Y494" s="211"/>
      <c r="Z494" s="237"/>
      <c r="AA494" s="238"/>
      <c r="AB494" s="211"/>
      <c r="AC494" s="237"/>
      <c r="AD494" s="238"/>
      <c r="AE494" s="294">
        <v>47484</v>
      </c>
    </row>
    <row r="495" spans="1:31">
      <c r="A495" s="233"/>
      <c r="B495" s="301"/>
      <c r="C495" s="233"/>
      <c r="D495" s="233"/>
      <c r="E495" s="295"/>
      <c r="F495" s="241"/>
      <c r="G495" s="296"/>
      <c r="H495" s="240"/>
      <c r="I495" s="240"/>
      <c r="J495" s="261"/>
      <c r="K495" s="241"/>
      <c r="L495" s="234"/>
      <c r="M495" s="237"/>
      <c r="N495" s="240"/>
      <c r="O495" s="236"/>
      <c r="P495" s="297"/>
      <c r="Q495" s="298"/>
      <c r="R495" s="298"/>
      <c r="S495" s="297"/>
      <c r="T495" s="299"/>
      <c r="U495" s="235"/>
      <c r="V495" s="235"/>
      <c r="W495" s="300"/>
      <c r="X495" s="236"/>
      <c r="Y495" s="211"/>
      <c r="Z495" s="237"/>
      <c r="AA495" s="238"/>
      <c r="AB495" s="211"/>
      <c r="AC495" s="237"/>
      <c r="AD495" s="238"/>
      <c r="AE495" s="294">
        <v>47504</v>
      </c>
    </row>
    <row r="496" spans="1:31">
      <c r="A496" s="233"/>
      <c r="B496" s="301"/>
      <c r="C496" s="233"/>
      <c r="D496" s="233"/>
      <c r="E496" s="295"/>
      <c r="F496" s="241"/>
      <c r="G496" s="296"/>
      <c r="H496" s="240"/>
      <c r="I496" s="240"/>
      <c r="J496" s="261"/>
      <c r="K496" s="241"/>
      <c r="L496" s="234"/>
      <c r="M496" s="237"/>
      <c r="N496" s="240"/>
      <c r="O496" s="236"/>
      <c r="P496" s="297"/>
      <c r="Q496" s="298"/>
      <c r="R496" s="298"/>
      <c r="S496" s="297"/>
      <c r="T496" s="299"/>
      <c r="U496" s="235"/>
      <c r="V496" s="235"/>
      <c r="W496" s="300"/>
      <c r="X496" s="236"/>
      <c r="Y496" s="211"/>
      <c r="Z496" s="237"/>
      <c r="AA496" s="238"/>
      <c r="AB496" s="211"/>
      <c r="AC496" s="237"/>
      <c r="AD496" s="238"/>
      <c r="AE496" s="294">
        <v>47526</v>
      </c>
    </row>
    <row r="497" spans="1:31">
      <c r="A497" s="233"/>
      <c r="B497" s="301"/>
      <c r="C497" s="233"/>
      <c r="D497" s="233"/>
      <c r="E497" s="295"/>
      <c r="F497" s="241"/>
      <c r="G497" s="296"/>
      <c r="H497" s="240"/>
      <c r="I497" s="240"/>
      <c r="J497" s="261"/>
      <c r="K497" s="241"/>
      <c r="L497" s="234"/>
      <c r="M497" s="237"/>
      <c r="N497" s="240"/>
      <c r="O497" s="236"/>
      <c r="P497" s="297"/>
      <c r="Q497" s="298"/>
      <c r="R497" s="298"/>
      <c r="S497" s="297"/>
      <c r="T497" s="299"/>
      <c r="U497" s="235"/>
      <c r="V497" s="235"/>
      <c r="W497" s="300"/>
      <c r="X497" s="236"/>
      <c r="Y497" s="211"/>
      <c r="Z497" s="237"/>
      <c r="AA497" s="238"/>
      <c r="AB497" s="211"/>
      <c r="AC497" s="237"/>
      <c r="AD497" s="238"/>
      <c r="AE497" s="294">
        <v>47529</v>
      </c>
    </row>
    <row r="498" spans="1:31">
      <c r="A498" s="233"/>
      <c r="B498" s="301"/>
      <c r="C498" s="233"/>
      <c r="D498" s="233"/>
      <c r="E498" s="295"/>
      <c r="F498" s="241"/>
      <c r="G498" s="296"/>
      <c r="H498" s="240"/>
      <c r="I498" s="240"/>
      <c r="J498" s="261"/>
      <c r="K498" s="241"/>
      <c r="L498" s="234"/>
      <c r="M498" s="237"/>
      <c r="N498" s="240"/>
      <c r="O498" s="236"/>
      <c r="P498" s="297"/>
      <c r="Q498" s="298"/>
      <c r="R498" s="298"/>
      <c r="S498" s="297"/>
      <c r="T498" s="299"/>
      <c r="U498" s="235"/>
      <c r="V498" s="235"/>
      <c r="W498" s="300"/>
      <c r="X498" s="236"/>
      <c r="Y498" s="211"/>
      <c r="Z498" s="237"/>
      <c r="AA498" s="238"/>
      <c r="AB498" s="211"/>
      <c r="AC498" s="237"/>
      <c r="AD498" s="238"/>
      <c r="AE498" s="294">
        <v>47532</v>
      </c>
    </row>
    <row r="499" spans="1:31">
      <c r="A499" s="233"/>
      <c r="B499" s="301"/>
      <c r="C499" s="233"/>
      <c r="D499" s="233"/>
      <c r="E499" s="295"/>
      <c r="F499" s="241"/>
      <c r="G499" s="296"/>
      <c r="H499" s="240"/>
      <c r="I499" s="240"/>
      <c r="J499" s="261"/>
      <c r="K499" s="241"/>
      <c r="L499" s="234"/>
      <c r="M499" s="237"/>
      <c r="N499" s="240"/>
      <c r="O499" s="236"/>
      <c r="P499" s="297"/>
      <c r="Q499" s="298"/>
      <c r="R499" s="298"/>
      <c r="S499" s="297"/>
      <c r="T499" s="299"/>
      <c r="U499" s="235"/>
      <c r="V499" s="235"/>
      <c r="W499" s="300"/>
      <c r="X499" s="236"/>
      <c r="Y499" s="211"/>
      <c r="Z499" s="237"/>
      <c r="AA499" s="238"/>
      <c r="AB499" s="211"/>
      <c r="AC499" s="237"/>
      <c r="AD499" s="238"/>
      <c r="AE499" s="294">
        <v>47630</v>
      </c>
    </row>
    <row r="500" spans="1:31">
      <c r="A500" s="233"/>
      <c r="B500" s="301"/>
      <c r="C500" s="233"/>
      <c r="D500" s="233"/>
      <c r="E500" s="295"/>
      <c r="F500" s="241"/>
      <c r="G500" s="296"/>
      <c r="H500" s="240"/>
      <c r="I500" s="240"/>
      <c r="J500" s="261"/>
      <c r="K500" s="241"/>
      <c r="L500" s="234"/>
      <c r="M500" s="237"/>
      <c r="N500" s="240"/>
      <c r="O500" s="236"/>
      <c r="P500" s="297"/>
      <c r="Q500" s="298"/>
      <c r="R500" s="298"/>
      <c r="S500" s="297"/>
      <c r="T500" s="299"/>
      <c r="U500" s="235"/>
      <c r="V500" s="235"/>
      <c r="W500" s="300"/>
      <c r="X500" s="236"/>
      <c r="Y500" s="211"/>
      <c r="Z500" s="237"/>
      <c r="AA500" s="238"/>
      <c r="AB500" s="211"/>
      <c r="AC500" s="237"/>
      <c r="AD500" s="238"/>
      <c r="AE500" s="294">
        <v>47653</v>
      </c>
    </row>
    <row r="501" spans="1:31">
      <c r="A501" s="233"/>
      <c r="B501" s="301"/>
      <c r="C501" s="233"/>
      <c r="D501" s="233"/>
      <c r="E501" s="295"/>
      <c r="F501" s="241"/>
      <c r="G501" s="296"/>
      <c r="H501" s="240"/>
      <c r="I501" s="240"/>
      <c r="J501" s="261"/>
      <c r="K501" s="241"/>
      <c r="L501" s="234"/>
      <c r="M501" s="237"/>
      <c r="N501" s="240"/>
      <c r="O501" s="236"/>
      <c r="P501" s="297"/>
      <c r="Q501" s="298"/>
      <c r="R501" s="298"/>
      <c r="S501" s="297"/>
      <c r="T501" s="299"/>
      <c r="U501" s="235"/>
      <c r="V501" s="235"/>
      <c r="W501" s="300"/>
      <c r="X501" s="236"/>
      <c r="Y501" s="211"/>
      <c r="Z501" s="237"/>
      <c r="AA501" s="238"/>
      <c r="AB501" s="211"/>
      <c r="AC501" s="237"/>
      <c r="AD501" s="238"/>
      <c r="AE501" s="294">
        <v>47668</v>
      </c>
    </row>
    <row r="502" spans="1:31">
      <c r="A502" s="233"/>
      <c r="B502" s="301"/>
      <c r="C502" s="233"/>
      <c r="D502" s="233"/>
      <c r="E502" s="295"/>
      <c r="F502" s="241"/>
      <c r="G502" s="296"/>
      <c r="H502" s="240"/>
      <c r="I502" s="240"/>
      <c r="J502" s="261"/>
      <c r="K502" s="241"/>
      <c r="L502" s="234"/>
      <c r="M502" s="237"/>
      <c r="N502" s="240"/>
      <c r="O502" s="236"/>
      <c r="P502" s="297"/>
      <c r="Q502" s="298"/>
      <c r="R502" s="298"/>
      <c r="S502" s="297"/>
      <c r="T502" s="299"/>
      <c r="U502" s="235"/>
      <c r="V502" s="235"/>
      <c r="W502" s="300"/>
      <c r="X502" s="236"/>
      <c r="Y502" s="211"/>
      <c r="Z502" s="237"/>
      <c r="AA502" s="238"/>
      <c r="AB502" s="211"/>
      <c r="AC502" s="237"/>
      <c r="AD502" s="238"/>
      <c r="AE502" s="294">
        <v>47728</v>
      </c>
    </row>
    <row r="503" spans="1:31">
      <c r="A503" s="233"/>
      <c r="B503" s="301"/>
      <c r="C503" s="233"/>
      <c r="D503" s="233"/>
      <c r="E503" s="295"/>
      <c r="F503" s="241"/>
      <c r="G503" s="296"/>
      <c r="H503" s="240"/>
      <c r="I503" s="240"/>
      <c r="J503" s="261"/>
      <c r="K503" s="241"/>
      <c r="L503" s="234"/>
      <c r="M503" s="237"/>
      <c r="N503" s="240"/>
      <c r="O503" s="236"/>
      <c r="P503" s="297"/>
      <c r="Q503" s="298"/>
      <c r="R503" s="298"/>
      <c r="S503" s="297"/>
      <c r="T503" s="299"/>
      <c r="U503" s="235"/>
      <c r="V503" s="235"/>
      <c r="W503" s="300"/>
      <c r="X503" s="236"/>
      <c r="Y503" s="211"/>
      <c r="Z503" s="237"/>
      <c r="AA503" s="238"/>
      <c r="AB503" s="211"/>
      <c r="AC503" s="237"/>
      <c r="AD503" s="238"/>
      <c r="AE503" s="294">
        <v>47770</v>
      </c>
    </row>
    <row r="504" spans="1:31">
      <c r="A504" s="233"/>
      <c r="B504" s="301"/>
      <c r="C504" s="233"/>
      <c r="D504" s="233"/>
      <c r="E504" s="295"/>
      <c r="F504" s="241"/>
      <c r="G504" s="296"/>
      <c r="H504" s="240"/>
      <c r="I504" s="240"/>
      <c r="J504" s="261"/>
      <c r="K504" s="241"/>
      <c r="L504" s="234"/>
      <c r="M504" s="237"/>
      <c r="N504" s="240"/>
      <c r="O504" s="236"/>
      <c r="P504" s="297"/>
      <c r="Q504" s="298"/>
      <c r="R504" s="298"/>
      <c r="S504" s="297"/>
      <c r="T504" s="299"/>
      <c r="U504" s="235"/>
      <c r="V504" s="235"/>
      <c r="W504" s="300"/>
      <c r="X504" s="236"/>
      <c r="Y504" s="211"/>
      <c r="Z504" s="237"/>
      <c r="AA504" s="238"/>
      <c r="AB504" s="211"/>
      <c r="AC504" s="237"/>
      <c r="AD504" s="238"/>
      <c r="AE504" s="294">
        <v>47792</v>
      </c>
    </row>
    <row r="505" spans="1:31">
      <c r="A505" s="233"/>
      <c r="B505" s="301"/>
      <c r="C505" s="233"/>
      <c r="D505" s="233"/>
      <c r="E505" s="295"/>
      <c r="F505" s="241"/>
      <c r="G505" s="296"/>
      <c r="H505" s="240"/>
      <c r="I505" s="240"/>
      <c r="J505" s="261"/>
      <c r="K505" s="241"/>
      <c r="L505" s="234"/>
      <c r="M505" s="237"/>
      <c r="N505" s="240"/>
      <c r="O505" s="236"/>
      <c r="P505" s="297"/>
      <c r="Q505" s="298"/>
      <c r="R505" s="298"/>
      <c r="S505" s="297"/>
      <c r="T505" s="299"/>
      <c r="U505" s="235"/>
      <c r="V505" s="235"/>
      <c r="W505" s="300"/>
      <c r="X505" s="236"/>
      <c r="Y505" s="211"/>
      <c r="Z505" s="237"/>
      <c r="AA505" s="238"/>
      <c r="AB505" s="211"/>
      <c r="AC505" s="237"/>
      <c r="AD505" s="238"/>
      <c r="AE505" s="294">
        <v>47798</v>
      </c>
    </row>
    <row r="506" spans="1:31">
      <c r="A506" s="233"/>
      <c r="B506" s="301"/>
      <c r="C506" s="233"/>
      <c r="D506" s="233"/>
      <c r="E506" s="295"/>
      <c r="F506" s="241"/>
      <c r="G506" s="296"/>
      <c r="H506" s="240"/>
      <c r="I506" s="240"/>
      <c r="J506" s="261"/>
      <c r="K506" s="241"/>
      <c r="L506" s="234"/>
      <c r="M506" s="237"/>
      <c r="N506" s="240"/>
      <c r="O506" s="236"/>
      <c r="P506" s="297"/>
      <c r="Q506" s="298"/>
      <c r="R506" s="298"/>
      <c r="S506" s="297"/>
      <c r="T506" s="299"/>
      <c r="U506" s="235"/>
      <c r="V506" s="235"/>
      <c r="W506" s="300"/>
      <c r="X506" s="236"/>
      <c r="Y506" s="211"/>
      <c r="Z506" s="237"/>
      <c r="AA506" s="238"/>
      <c r="AB506" s="211"/>
      <c r="AC506" s="237"/>
      <c r="AD506" s="238"/>
      <c r="AE506" s="294">
        <v>47815</v>
      </c>
    </row>
    <row r="507" spans="1:31">
      <c r="A507" s="233"/>
      <c r="B507" s="301"/>
      <c r="C507" s="233"/>
      <c r="D507" s="233"/>
      <c r="E507" s="295"/>
      <c r="F507" s="241"/>
      <c r="G507" s="296"/>
      <c r="H507" s="240"/>
      <c r="I507" s="240"/>
      <c r="J507" s="261"/>
      <c r="K507" s="241"/>
      <c r="L507" s="234"/>
      <c r="M507" s="237"/>
      <c r="N507" s="240"/>
      <c r="O507" s="236"/>
      <c r="P507" s="297"/>
      <c r="Q507" s="298"/>
      <c r="R507" s="298"/>
      <c r="S507" s="297"/>
      <c r="T507" s="299"/>
      <c r="U507" s="235"/>
      <c r="V507" s="235"/>
      <c r="W507" s="300"/>
      <c r="X507" s="236"/>
      <c r="Y507" s="211"/>
      <c r="Z507" s="237"/>
      <c r="AA507" s="238"/>
      <c r="AB507" s="211"/>
      <c r="AC507" s="237"/>
      <c r="AD507" s="238"/>
      <c r="AE507" s="294">
        <v>47842</v>
      </c>
    </row>
    <row r="508" spans="1:31">
      <c r="A508" s="233"/>
      <c r="B508" s="301"/>
      <c r="C508" s="233"/>
      <c r="D508" s="233"/>
      <c r="E508" s="295"/>
      <c r="F508" s="241"/>
      <c r="G508" s="296"/>
      <c r="H508" s="240"/>
      <c r="I508" s="240"/>
      <c r="J508" s="261"/>
      <c r="K508" s="241"/>
      <c r="L508" s="234"/>
      <c r="M508" s="237"/>
      <c r="N508" s="240"/>
      <c r="O508" s="236"/>
      <c r="P508" s="297"/>
      <c r="Q508" s="298"/>
      <c r="R508" s="298"/>
      <c r="S508" s="297"/>
      <c r="T508" s="299"/>
      <c r="U508" s="235"/>
      <c r="V508" s="235"/>
      <c r="W508" s="300"/>
      <c r="X508" s="236"/>
      <c r="Y508" s="211"/>
      <c r="Z508" s="237"/>
      <c r="AA508" s="238"/>
      <c r="AB508" s="211"/>
      <c r="AC508" s="237"/>
      <c r="AD508" s="238"/>
      <c r="AE508" s="294">
        <v>47849</v>
      </c>
    </row>
    <row r="509" spans="1:31">
      <c r="A509" s="233"/>
      <c r="B509" s="301"/>
      <c r="C509" s="233"/>
      <c r="D509" s="233"/>
      <c r="E509" s="295"/>
      <c r="F509" s="241"/>
      <c r="G509" s="296"/>
      <c r="H509" s="240"/>
      <c r="I509" s="240"/>
      <c r="J509" s="261"/>
      <c r="K509" s="241"/>
      <c r="L509" s="234"/>
      <c r="M509" s="237"/>
      <c r="N509" s="240"/>
      <c r="O509" s="236"/>
      <c r="P509" s="297"/>
      <c r="Q509" s="298"/>
      <c r="R509" s="298"/>
      <c r="S509" s="297"/>
      <c r="T509" s="299"/>
      <c r="U509" s="235"/>
      <c r="V509" s="235"/>
      <c r="W509" s="300"/>
      <c r="X509" s="236"/>
      <c r="Y509" s="211"/>
      <c r="Z509" s="237"/>
      <c r="AA509" s="238"/>
      <c r="AB509" s="211"/>
      <c r="AC509" s="237"/>
      <c r="AD509" s="238"/>
      <c r="AE509" s="294">
        <v>47868</v>
      </c>
    </row>
    <row r="510" spans="1:31">
      <c r="A510" s="233"/>
      <c r="B510" s="301"/>
      <c r="C510" s="233"/>
      <c r="D510" s="233"/>
      <c r="E510" s="295"/>
      <c r="F510" s="241"/>
      <c r="G510" s="296"/>
      <c r="H510" s="240"/>
      <c r="I510" s="240"/>
      <c r="J510" s="261"/>
      <c r="K510" s="241"/>
      <c r="L510" s="234"/>
      <c r="M510" s="237"/>
      <c r="N510" s="240"/>
      <c r="O510" s="236"/>
      <c r="P510" s="297"/>
      <c r="Q510" s="298"/>
      <c r="R510" s="298"/>
      <c r="S510" s="297"/>
      <c r="T510" s="299"/>
      <c r="U510" s="235"/>
      <c r="V510" s="235"/>
      <c r="W510" s="300"/>
      <c r="X510" s="236"/>
      <c r="Y510" s="211"/>
      <c r="Z510" s="237"/>
      <c r="AA510" s="238"/>
      <c r="AB510" s="211"/>
      <c r="AC510" s="237"/>
      <c r="AD510" s="238"/>
      <c r="AE510" s="294">
        <v>47891</v>
      </c>
    </row>
    <row r="511" spans="1:31">
      <c r="A511" s="233"/>
      <c r="B511" s="301"/>
      <c r="C511" s="233"/>
      <c r="D511" s="233"/>
      <c r="E511" s="295"/>
      <c r="F511" s="241"/>
      <c r="G511" s="296"/>
      <c r="H511" s="240"/>
      <c r="I511" s="240"/>
      <c r="J511" s="261"/>
      <c r="K511" s="241"/>
      <c r="L511" s="234"/>
      <c r="M511" s="237"/>
      <c r="N511" s="240"/>
      <c r="O511" s="236"/>
      <c r="P511" s="297"/>
      <c r="Q511" s="298"/>
      <c r="R511" s="298"/>
      <c r="S511" s="297"/>
      <c r="T511" s="299"/>
      <c r="U511" s="235"/>
      <c r="V511" s="235"/>
      <c r="W511" s="300"/>
      <c r="X511" s="236"/>
      <c r="Y511" s="211"/>
      <c r="Z511" s="237"/>
      <c r="AA511" s="238"/>
      <c r="AB511" s="211"/>
      <c r="AC511" s="237"/>
      <c r="AD511" s="238"/>
      <c r="AE511" s="294">
        <v>47896</v>
      </c>
    </row>
    <row r="512" spans="1:31">
      <c r="A512" s="233"/>
      <c r="B512" s="301"/>
      <c r="C512" s="233"/>
      <c r="D512" s="233"/>
      <c r="E512" s="295"/>
      <c r="F512" s="241"/>
      <c r="G512" s="296"/>
      <c r="H512" s="240"/>
      <c r="I512" s="240"/>
      <c r="J512" s="261"/>
      <c r="K512" s="241"/>
      <c r="L512" s="234"/>
      <c r="M512" s="237"/>
      <c r="N512" s="240"/>
      <c r="O512" s="236"/>
      <c r="P512" s="297"/>
      <c r="Q512" s="298"/>
      <c r="R512" s="298"/>
      <c r="S512" s="297"/>
      <c r="T512" s="299"/>
      <c r="U512" s="235"/>
      <c r="V512" s="235"/>
      <c r="W512" s="300"/>
      <c r="X512" s="236"/>
      <c r="Y512" s="211"/>
      <c r="Z512" s="237"/>
      <c r="AA512" s="238"/>
      <c r="AB512" s="211"/>
      <c r="AC512" s="237"/>
      <c r="AD512" s="238"/>
      <c r="AE512" s="294">
        <v>47994</v>
      </c>
    </row>
    <row r="513" spans="1:31">
      <c r="A513" s="233"/>
      <c r="B513" s="301"/>
      <c r="C513" s="233"/>
      <c r="D513" s="233"/>
      <c r="E513" s="295"/>
      <c r="F513" s="241"/>
      <c r="G513" s="296"/>
      <c r="H513" s="240"/>
      <c r="I513" s="240"/>
      <c r="J513" s="261"/>
      <c r="K513" s="241"/>
      <c r="L513" s="234"/>
      <c r="M513" s="237"/>
      <c r="N513" s="240"/>
      <c r="O513" s="236"/>
      <c r="P513" s="297"/>
      <c r="Q513" s="298"/>
      <c r="R513" s="298"/>
      <c r="S513" s="297"/>
      <c r="T513" s="299"/>
      <c r="U513" s="235"/>
      <c r="V513" s="235"/>
      <c r="W513" s="300"/>
      <c r="X513" s="236"/>
      <c r="Y513" s="211"/>
      <c r="Z513" s="237"/>
      <c r="AA513" s="238"/>
      <c r="AB513" s="211"/>
      <c r="AC513" s="237"/>
      <c r="AD513" s="238"/>
      <c r="AE513" s="294">
        <v>48018</v>
      </c>
    </row>
    <row r="514" spans="1:31">
      <c r="A514" s="233"/>
      <c r="B514" s="301"/>
      <c r="C514" s="233"/>
      <c r="D514" s="233"/>
      <c r="E514" s="295"/>
      <c r="F514" s="241"/>
      <c r="G514" s="296"/>
      <c r="H514" s="240"/>
      <c r="I514" s="240"/>
      <c r="J514" s="261"/>
      <c r="K514" s="241"/>
      <c r="L514" s="234"/>
      <c r="M514" s="237"/>
      <c r="N514" s="240"/>
      <c r="O514" s="236"/>
      <c r="P514" s="297"/>
      <c r="Q514" s="298"/>
      <c r="R514" s="298"/>
      <c r="S514" s="297"/>
      <c r="T514" s="299"/>
      <c r="U514" s="235"/>
      <c r="V514" s="235"/>
      <c r="W514" s="300"/>
      <c r="X514" s="236"/>
      <c r="Y514" s="211"/>
      <c r="Z514" s="237"/>
      <c r="AA514" s="238"/>
      <c r="AB514" s="211"/>
      <c r="AC514" s="237"/>
      <c r="AD514" s="238"/>
      <c r="AE514" s="294">
        <v>48033</v>
      </c>
    </row>
    <row r="515" spans="1:31">
      <c r="A515" s="233"/>
      <c r="B515" s="301"/>
      <c r="C515" s="233"/>
      <c r="D515" s="233"/>
      <c r="E515" s="295"/>
      <c r="F515" s="241"/>
      <c r="G515" s="296"/>
      <c r="H515" s="240"/>
      <c r="I515" s="240"/>
      <c r="J515" s="261"/>
      <c r="K515" s="241"/>
      <c r="L515" s="234"/>
      <c r="M515" s="237"/>
      <c r="N515" s="240"/>
      <c r="O515" s="236"/>
      <c r="P515" s="297"/>
      <c r="Q515" s="298"/>
      <c r="R515" s="298"/>
      <c r="S515" s="297"/>
      <c r="T515" s="299"/>
      <c r="U515" s="235"/>
      <c r="V515" s="235"/>
      <c r="W515" s="300"/>
      <c r="X515" s="236"/>
      <c r="Y515" s="211"/>
      <c r="Z515" s="237"/>
      <c r="AA515" s="238"/>
      <c r="AB515" s="211"/>
      <c r="AC515" s="237"/>
      <c r="AD515" s="238"/>
      <c r="AE515" s="294">
        <v>48092</v>
      </c>
    </row>
    <row r="516" spans="1:31">
      <c r="A516" s="233"/>
      <c r="B516" s="301"/>
      <c r="C516" s="233"/>
      <c r="D516" s="233"/>
      <c r="E516" s="295"/>
      <c r="F516" s="241"/>
      <c r="G516" s="296"/>
      <c r="H516" s="240"/>
      <c r="I516" s="240"/>
      <c r="J516" s="261"/>
      <c r="K516" s="241"/>
      <c r="L516" s="234"/>
      <c r="M516" s="237"/>
      <c r="N516" s="240"/>
      <c r="O516" s="236"/>
      <c r="P516" s="297"/>
      <c r="Q516" s="298"/>
      <c r="R516" s="298"/>
      <c r="S516" s="297"/>
      <c r="T516" s="299"/>
      <c r="U516" s="235"/>
      <c r="V516" s="235"/>
      <c r="W516" s="300"/>
      <c r="X516" s="236"/>
      <c r="Y516" s="211"/>
      <c r="Z516" s="237"/>
      <c r="AA516" s="238"/>
      <c r="AB516" s="211"/>
      <c r="AC516" s="237"/>
      <c r="AD516" s="238"/>
      <c r="AE516" s="294">
        <v>48134</v>
      </c>
    </row>
    <row r="517" spans="1:31">
      <c r="A517" s="233"/>
      <c r="B517" s="301"/>
      <c r="C517" s="233"/>
      <c r="D517" s="233"/>
      <c r="E517" s="295"/>
      <c r="F517" s="241"/>
      <c r="G517" s="296"/>
      <c r="H517" s="240"/>
      <c r="I517" s="240"/>
      <c r="J517" s="261"/>
      <c r="K517" s="241"/>
      <c r="L517" s="234"/>
      <c r="M517" s="237"/>
      <c r="N517" s="240"/>
      <c r="O517" s="236"/>
      <c r="P517" s="297"/>
      <c r="Q517" s="298"/>
      <c r="R517" s="298"/>
      <c r="S517" s="297"/>
      <c r="T517" s="299"/>
      <c r="U517" s="235"/>
      <c r="V517" s="235"/>
      <c r="W517" s="300"/>
      <c r="X517" s="236"/>
      <c r="Y517" s="211"/>
      <c r="Z517" s="237"/>
      <c r="AA517" s="238"/>
      <c r="AB517" s="211"/>
      <c r="AC517" s="237"/>
      <c r="AD517" s="238"/>
      <c r="AE517" s="294">
        <v>48156</v>
      </c>
    </row>
    <row r="518" spans="1:31">
      <c r="AE518" s="310">
        <v>48163</v>
      </c>
    </row>
    <row r="519" spans="1:31">
      <c r="AE519" s="310">
        <v>48179</v>
      </c>
    </row>
    <row r="520" spans="1:31">
      <c r="AE520" s="310">
        <v>48207</v>
      </c>
    </row>
    <row r="521" spans="1:31">
      <c r="AE521" s="310">
        <v>48214</v>
      </c>
    </row>
    <row r="522" spans="1:31">
      <c r="AE522" s="310">
        <v>48232</v>
      </c>
    </row>
    <row r="523" spans="1:31">
      <c r="AE523" s="310">
        <v>48256</v>
      </c>
    </row>
    <row r="524" spans="1:31">
      <c r="AE524" s="310">
        <v>48260</v>
      </c>
    </row>
    <row r="525" spans="1:31">
      <c r="AE525" s="310">
        <v>48365</v>
      </c>
    </row>
    <row r="526" spans="1:31">
      <c r="AE526" s="310">
        <v>48383</v>
      </c>
    </row>
    <row r="527" spans="1:31">
      <c r="AE527" s="310">
        <v>48400</v>
      </c>
    </row>
    <row r="528" spans="1:31">
      <c r="AE528" s="310">
        <v>48463</v>
      </c>
    </row>
    <row r="529" spans="31:31">
      <c r="AE529" s="310">
        <v>48498</v>
      </c>
    </row>
    <row r="530" spans="31:31">
      <c r="AE530" s="310">
        <v>48520</v>
      </c>
    </row>
    <row r="531" spans="31:31">
      <c r="AE531" s="310">
        <v>48529</v>
      </c>
    </row>
    <row r="532" spans="31:31">
      <c r="AE532" s="310">
        <v>48543</v>
      </c>
    </row>
    <row r="533" spans="31:31">
      <c r="AE533" s="310">
        <v>48572</v>
      </c>
    </row>
    <row r="534" spans="31:31">
      <c r="AE534" s="310">
        <v>48579</v>
      </c>
    </row>
    <row r="535" spans="31:31">
      <c r="AE535" s="310">
        <v>48596</v>
      </c>
    </row>
    <row r="536" spans="31:31">
      <c r="AE536" s="310">
        <v>48621</v>
      </c>
    </row>
    <row r="537" spans="31:31">
      <c r="AE537" s="310">
        <v>48625</v>
      </c>
    </row>
    <row r="538" spans="31:31">
      <c r="AE538" s="310">
        <v>48631</v>
      </c>
    </row>
    <row r="539" spans="31:31">
      <c r="AE539" s="310">
        <v>48729</v>
      </c>
    </row>
    <row r="540" spans="31:31">
      <c r="AE540" s="310">
        <v>48750</v>
      </c>
    </row>
    <row r="541" spans="31:31">
      <c r="AE541" s="310">
        <v>48764</v>
      </c>
    </row>
    <row r="542" spans="31:31">
      <c r="AE542" s="310">
        <v>48827</v>
      </c>
    </row>
    <row r="543" spans="31:31">
      <c r="AE543" s="310">
        <v>48862</v>
      </c>
    </row>
    <row r="544" spans="31:31">
      <c r="AE544" s="310">
        <v>48891</v>
      </c>
    </row>
    <row r="545" spans="31:31">
      <c r="AE545" s="310">
        <v>48894</v>
      </c>
    </row>
    <row r="546" spans="31:31">
      <c r="AE546" s="310">
        <v>48907</v>
      </c>
    </row>
    <row r="547" spans="31:31">
      <c r="AE547" s="310">
        <v>48939</v>
      </c>
    </row>
    <row r="548" spans="31:31">
      <c r="AE548" s="310">
        <v>48946</v>
      </c>
    </row>
    <row r="549" spans="31:31">
      <c r="AE549" s="310">
        <v>48960</v>
      </c>
    </row>
    <row r="550" spans="31:31">
      <c r="AE550" s="310">
        <v>48988</v>
      </c>
    </row>
    <row r="551" spans="31:31">
      <c r="AE551" s="310">
        <v>48990</v>
      </c>
    </row>
    <row r="552" spans="31:31">
      <c r="AE552" s="310">
        <v>48995</v>
      </c>
    </row>
    <row r="553" spans="31:31">
      <c r="AE553" s="310">
        <v>49093</v>
      </c>
    </row>
    <row r="554" spans="31:31">
      <c r="AE554" s="310">
        <v>49114</v>
      </c>
    </row>
    <row r="555" spans="31:31">
      <c r="AE555" s="310">
        <v>49129</v>
      </c>
    </row>
    <row r="556" spans="31:31">
      <c r="AE556" s="310">
        <v>49191</v>
      </c>
    </row>
    <row r="557" spans="31:31">
      <c r="AE557" s="310">
        <v>49226</v>
      </c>
    </row>
    <row r="558" spans="31:31">
      <c r="AE558" s="310">
        <v>49255</v>
      </c>
    </row>
    <row r="559" spans="31:31">
      <c r="AE559" s="310">
        <v>49258</v>
      </c>
    </row>
    <row r="560" spans="31:31">
      <c r="AE560" s="310">
        <v>49271</v>
      </c>
    </row>
    <row r="561" spans="31:31">
      <c r="AE561" s="310">
        <v>49303</v>
      </c>
    </row>
    <row r="562" spans="31:31">
      <c r="AE562" s="310">
        <v>49310</v>
      </c>
    </row>
    <row r="563" spans="31:31">
      <c r="AE563" s="310">
        <v>49324</v>
      </c>
    </row>
    <row r="564" spans="31:31">
      <c r="AE564" s="310">
        <v>49352</v>
      </c>
    </row>
    <row r="565" spans="31:31">
      <c r="AE565" s="310">
        <v>49355</v>
      </c>
    </row>
    <row r="566" spans="31:31">
      <c r="AE566" s="310">
        <v>49359</v>
      </c>
    </row>
    <row r="567" spans="31:31">
      <c r="AE567" s="310">
        <v>49457</v>
      </c>
    </row>
    <row r="568" spans="31:31">
      <c r="AE568" s="310">
        <v>49479</v>
      </c>
    </row>
    <row r="569" spans="31:31">
      <c r="AE569" s="310">
        <v>49494</v>
      </c>
    </row>
    <row r="570" spans="31:31">
      <c r="AE570" s="310">
        <v>49555</v>
      </c>
    </row>
    <row r="571" spans="31:31">
      <c r="AE571" s="310">
        <v>49590</v>
      </c>
    </row>
    <row r="572" spans="31:31">
      <c r="AE572" s="310">
        <v>49619</v>
      </c>
    </row>
    <row r="573" spans="31:31">
      <c r="AE573" s="310">
        <v>49625</v>
      </c>
    </row>
    <row r="574" spans="31:31">
      <c r="AE574" s="310">
        <v>49635</v>
      </c>
    </row>
    <row r="575" spans="31:31">
      <c r="AE575" s="310">
        <v>49668</v>
      </c>
    </row>
    <row r="576" spans="31:31">
      <c r="AE576" s="310">
        <v>49675</v>
      </c>
    </row>
    <row r="577" spans="31:31">
      <c r="AE577" s="310">
        <v>49695</v>
      </c>
    </row>
    <row r="578" spans="31:31">
      <c r="AE578" s="310">
        <v>49717</v>
      </c>
    </row>
    <row r="579" spans="31:31">
      <c r="AE579" s="310">
        <v>49720</v>
      </c>
    </row>
    <row r="580" spans="31:31">
      <c r="AE580" s="310">
        <v>49723</v>
      </c>
    </row>
    <row r="581" spans="31:31">
      <c r="AE581" s="310">
        <v>49821</v>
      </c>
    </row>
    <row r="582" spans="31:31">
      <c r="AE582" s="310">
        <v>49845</v>
      </c>
    </row>
    <row r="583" spans="31:31">
      <c r="AE583" s="310">
        <v>49860</v>
      </c>
    </row>
    <row r="584" spans="31:31">
      <c r="AE584" s="310">
        <v>49919</v>
      </c>
    </row>
    <row r="585" spans="31:31">
      <c r="AE585" s="310">
        <v>49961</v>
      </c>
    </row>
    <row r="586" spans="31:31">
      <c r="AE586" s="310">
        <v>49983</v>
      </c>
    </row>
    <row r="587" spans="31:31">
      <c r="AE587" s="310">
        <v>49990</v>
      </c>
    </row>
    <row r="588" spans="31:31">
      <c r="AE588" s="310">
        <v>50006</v>
      </c>
    </row>
    <row r="589" spans="31:31">
      <c r="AE589" s="310">
        <v>50034</v>
      </c>
    </row>
    <row r="590" spans="31:31">
      <c r="AE590" s="310">
        <v>50041</v>
      </c>
    </row>
    <row r="591" spans="31:31">
      <c r="AE591" s="310">
        <v>50059</v>
      </c>
    </row>
    <row r="592" spans="31:31">
      <c r="AE592" s="310">
        <v>50083</v>
      </c>
    </row>
    <row r="593" spans="31:31">
      <c r="AE593" s="310">
        <v>50087</v>
      </c>
    </row>
    <row r="594" spans="31:31">
      <c r="AE594" s="310">
        <v>50185</v>
      </c>
    </row>
    <row r="595" spans="31:31">
      <c r="AE595" s="310">
        <v>50210</v>
      </c>
    </row>
    <row r="596" spans="31:31">
      <c r="AE596" s="310">
        <v>50224</v>
      </c>
    </row>
    <row r="597" spans="31:31">
      <c r="AE597" s="310">
        <v>50290</v>
      </c>
    </row>
    <row r="598" spans="31:31">
      <c r="AE598" s="310">
        <v>50325</v>
      </c>
    </row>
    <row r="599" spans="31:31">
      <c r="AE599" s="310">
        <v>50347</v>
      </c>
    </row>
    <row r="600" spans="31:31">
      <c r="AE600" s="310">
        <v>50355</v>
      </c>
    </row>
    <row r="601" spans="31:31">
      <c r="AE601" s="310">
        <v>50370</v>
      </c>
    </row>
    <row r="602" spans="31:31">
      <c r="AE602" s="310">
        <v>50399</v>
      </c>
    </row>
    <row r="603" spans="31:31">
      <c r="AE603" s="310">
        <v>50406</v>
      </c>
    </row>
    <row r="604" spans="31:31">
      <c r="AE604" s="310">
        <v>50423</v>
      </c>
    </row>
    <row r="605" spans="31:31">
      <c r="AE605" s="310">
        <v>50448</v>
      </c>
    </row>
    <row r="606" spans="31:31">
      <c r="AE606" s="310">
        <v>50451</v>
      </c>
    </row>
    <row r="607" spans="31:31">
      <c r="AE607" s="310">
        <v>50556</v>
      </c>
    </row>
    <row r="608" spans="31:31">
      <c r="AE608" s="310">
        <v>50574</v>
      </c>
    </row>
    <row r="609" spans="31:31">
      <c r="AE609" s="310">
        <v>50591</v>
      </c>
    </row>
    <row r="610" spans="31:31">
      <c r="AE610" s="310">
        <v>50654</v>
      </c>
    </row>
    <row r="611" spans="31:31">
      <c r="AE611" s="310">
        <v>50689</v>
      </c>
    </row>
    <row r="612" spans="31:31">
      <c r="AE612" s="310">
        <v>50711</v>
      </c>
    </row>
    <row r="613" spans="31:31">
      <c r="AE613" s="310">
        <v>50720</v>
      </c>
    </row>
    <row r="614" spans="31:31">
      <c r="AE614" s="310">
        <v>50734</v>
      </c>
    </row>
    <row r="615" spans="31:31">
      <c r="AE615" s="310">
        <v>50763</v>
      </c>
    </row>
    <row r="616" spans="31:31">
      <c r="AE616" s="310">
        <v>50770</v>
      </c>
    </row>
    <row r="617" spans="31:31">
      <c r="AE617" s="310">
        <v>50787</v>
      </c>
    </row>
    <row r="618" spans="31:31">
      <c r="AE618" s="310">
        <v>50812</v>
      </c>
    </row>
    <row r="619" spans="31:31">
      <c r="AE619" s="310">
        <v>50816</v>
      </c>
    </row>
    <row r="620" spans="31:31">
      <c r="AE620" s="310">
        <v>50822</v>
      </c>
    </row>
    <row r="621" spans="31:31">
      <c r="AE621" s="310">
        <v>50920</v>
      </c>
    </row>
    <row r="622" spans="31:31">
      <c r="AE622" s="310">
        <v>50941</v>
      </c>
    </row>
    <row r="623" spans="31:31">
      <c r="AE623" s="310">
        <v>50955</v>
      </c>
    </row>
    <row r="624" spans="31:31">
      <c r="AE624" s="310">
        <v>51018</v>
      </c>
    </row>
    <row r="625" spans="31:31">
      <c r="AE625" s="310">
        <v>51053</v>
      </c>
    </row>
    <row r="626" spans="31:31">
      <c r="AE626" s="310">
        <v>51082</v>
      </c>
    </row>
    <row r="627" spans="31:31">
      <c r="AE627" s="310">
        <v>51085</v>
      </c>
    </row>
    <row r="628" spans="31:31">
      <c r="AE628" s="310">
        <v>51098</v>
      </c>
    </row>
    <row r="629" spans="31:31">
      <c r="AE629" s="310">
        <v>51130</v>
      </c>
    </row>
    <row r="630" spans="31:31">
      <c r="AE630" s="310">
        <v>51137</v>
      </c>
    </row>
    <row r="631" spans="31:31">
      <c r="AE631" s="310">
        <v>51151</v>
      </c>
    </row>
    <row r="632" spans="31:31">
      <c r="AE632" s="310">
        <v>51179</v>
      </c>
    </row>
    <row r="633" spans="31:31">
      <c r="AE633" s="310">
        <v>51181</v>
      </c>
    </row>
    <row r="634" spans="31:31">
      <c r="AE634" s="310">
        <v>51186</v>
      </c>
    </row>
    <row r="635" spans="31:31">
      <c r="AE635" s="310">
        <v>51284</v>
      </c>
    </row>
    <row r="636" spans="31:31">
      <c r="AE636" s="310">
        <v>51306</v>
      </c>
    </row>
    <row r="637" spans="31:31">
      <c r="AE637" s="310">
        <v>51321</v>
      </c>
    </row>
    <row r="638" spans="31:31">
      <c r="AE638" s="310">
        <v>51382</v>
      </c>
    </row>
    <row r="639" spans="31:31">
      <c r="AE639" s="310">
        <v>51417</v>
      </c>
    </row>
    <row r="640" spans="31:31">
      <c r="AE640" s="310">
        <v>51446</v>
      </c>
    </row>
    <row r="641" spans="31:31">
      <c r="AE641" s="310">
        <v>51452</v>
      </c>
    </row>
    <row r="642" spans="31:31">
      <c r="AE642" s="310">
        <v>51462</v>
      </c>
    </row>
    <row r="643" spans="31:31">
      <c r="AE643" s="310">
        <v>51495</v>
      </c>
    </row>
    <row r="644" spans="31:31">
      <c r="AE644" s="310">
        <v>51502</v>
      </c>
    </row>
    <row r="645" spans="31:31">
      <c r="AE645" s="310">
        <v>51522</v>
      </c>
    </row>
    <row r="646" spans="31:31">
      <c r="AE646" s="310">
        <v>51544</v>
      </c>
    </row>
    <row r="647" spans="31:31">
      <c r="AE647" s="310">
        <v>51547</v>
      </c>
    </row>
    <row r="648" spans="31:31">
      <c r="AE648" s="310">
        <v>51550</v>
      </c>
    </row>
    <row r="649" spans="31:31">
      <c r="AE649" s="310">
        <v>51648</v>
      </c>
    </row>
    <row r="650" spans="31:31">
      <c r="AE650" s="310">
        <v>51671</v>
      </c>
    </row>
    <row r="651" spans="31:31">
      <c r="AE651" s="310">
        <v>51686</v>
      </c>
    </row>
    <row r="652" spans="31:31">
      <c r="AE652" s="310">
        <v>51746</v>
      </c>
    </row>
    <row r="653" spans="31:31">
      <c r="AE653" s="310">
        <v>51788</v>
      </c>
    </row>
    <row r="654" spans="31:31">
      <c r="AE654" s="310">
        <v>51810</v>
      </c>
    </row>
    <row r="655" spans="31:31">
      <c r="AE655" s="310">
        <v>51816</v>
      </c>
    </row>
    <row r="656" spans="31:31">
      <c r="AE656" s="310">
        <v>51833</v>
      </c>
    </row>
    <row r="657" spans="31:31">
      <c r="AE657" s="310">
        <v>51860</v>
      </c>
    </row>
    <row r="658" spans="31:31">
      <c r="AE658" s="310">
        <v>51867</v>
      </c>
    </row>
    <row r="659" spans="31:31">
      <c r="AE659" s="310">
        <v>51886</v>
      </c>
    </row>
    <row r="660" spans="31:31">
      <c r="AE660" s="310">
        <v>51909</v>
      </c>
    </row>
    <row r="661" spans="31:31">
      <c r="AE661" s="310">
        <v>51914</v>
      </c>
    </row>
    <row r="662" spans="31:31">
      <c r="AE662" s="310">
        <v>52012</v>
      </c>
    </row>
    <row r="663" spans="31:31">
      <c r="AE663" s="310">
        <v>52036</v>
      </c>
    </row>
    <row r="664" spans="31:31">
      <c r="AE664" s="310">
        <v>52051</v>
      </c>
    </row>
    <row r="665" spans="31:31">
      <c r="AE665" s="310">
        <v>52110</v>
      </c>
    </row>
    <row r="666" spans="31:31">
      <c r="AE666" s="310">
        <v>52152</v>
      </c>
    </row>
    <row r="667" spans="31:31">
      <c r="AE667" s="310">
        <v>52174</v>
      </c>
    </row>
    <row r="668" spans="31:31">
      <c r="AE668" s="310">
        <v>52181</v>
      </c>
    </row>
    <row r="669" spans="31:31">
      <c r="AE669" s="310">
        <v>52197</v>
      </c>
    </row>
    <row r="670" spans="31:31">
      <c r="AE670" s="310">
        <v>52225</v>
      </c>
    </row>
    <row r="671" spans="31:31">
      <c r="AE671" s="310">
        <v>52232</v>
      </c>
    </row>
    <row r="672" spans="31:31">
      <c r="AE672" s="310">
        <v>52250</v>
      </c>
    </row>
    <row r="673" spans="31:31">
      <c r="AE673" s="310">
        <v>52274</v>
      </c>
    </row>
    <row r="674" spans="31:31">
      <c r="AE674" s="310">
        <v>52278</v>
      </c>
    </row>
    <row r="675" spans="31:31">
      <c r="AE675" s="310">
        <v>52376</v>
      </c>
    </row>
    <row r="676" spans="31:31">
      <c r="AE676" s="310">
        <v>52401</v>
      </c>
    </row>
    <row r="677" spans="31:31">
      <c r="AE677" s="310">
        <v>52415</v>
      </c>
    </row>
    <row r="678" spans="31:31">
      <c r="AE678" s="310">
        <v>52481</v>
      </c>
    </row>
    <row r="679" spans="31:31">
      <c r="AE679" s="310">
        <v>52516</v>
      </c>
    </row>
    <row r="680" spans="31:31">
      <c r="AE680" s="310">
        <v>52538</v>
      </c>
    </row>
    <row r="681" spans="31:31">
      <c r="AE681" s="310">
        <v>52546</v>
      </c>
    </row>
    <row r="682" spans="31:31">
      <c r="AE682" s="310">
        <v>52561</v>
      </c>
    </row>
    <row r="683" spans="31:31">
      <c r="AE683" s="310">
        <v>52590</v>
      </c>
    </row>
    <row r="684" spans="31:31">
      <c r="AE684" s="310">
        <v>52597</v>
      </c>
    </row>
    <row r="685" spans="31:31">
      <c r="AE685" s="310">
        <v>52614</v>
      </c>
    </row>
    <row r="686" spans="31:31">
      <c r="AE686" s="310">
        <v>52639</v>
      </c>
    </row>
    <row r="687" spans="31:31">
      <c r="AE687" s="310">
        <v>52642</v>
      </c>
    </row>
    <row r="688" spans="31:31">
      <c r="AE688" s="310">
        <v>52747</v>
      </c>
    </row>
    <row r="689" spans="31:31">
      <c r="AE689" s="310">
        <v>52768</v>
      </c>
    </row>
    <row r="690" spans="31:31">
      <c r="AE690" s="310">
        <v>52782</v>
      </c>
    </row>
    <row r="691" spans="31:31">
      <c r="AE691" s="310">
        <v>52845</v>
      </c>
    </row>
    <row r="692" spans="31:31">
      <c r="AE692" s="310">
        <v>52880</v>
      </c>
    </row>
    <row r="693" spans="31:31">
      <c r="AE693" s="310">
        <v>52909</v>
      </c>
    </row>
    <row r="694" spans="31:31">
      <c r="AE694" s="310">
        <v>52912</v>
      </c>
    </row>
    <row r="695" spans="31:31">
      <c r="AE695" s="310">
        <v>52925</v>
      </c>
    </row>
    <row r="696" spans="31:31">
      <c r="AE696" s="310">
        <v>52957</v>
      </c>
    </row>
    <row r="697" spans="31:31">
      <c r="AE697" s="310">
        <v>52964</v>
      </c>
    </row>
    <row r="698" spans="31:31">
      <c r="AE698" s="310">
        <v>52978</v>
      </c>
    </row>
    <row r="699" spans="31:31">
      <c r="AE699" s="310">
        <v>53006</v>
      </c>
    </row>
    <row r="700" spans="31:31">
      <c r="AE700" s="310">
        <v>53008</v>
      </c>
    </row>
    <row r="701" spans="31:31">
      <c r="AE701" s="310">
        <v>53013</v>
      </c>
    </row>
    <row r="702" spans="31:31">
      <c r="AE702" s="310">
        <v>53111</v>
      </c>
    </row>
    <row r="703" spans="31:31">
      <c r="AE703" s="310">
        <v>53132</v>
      </c>
    </row>
    <row r="704" spans="31:31">
      <c r="AE704" s="310">
        <v>53147</v>
      </c>
    </row>
    <row r="705" spans="31:31">
      <c r="AE705" s="310">
        <v>53209</v>
      </c>
    </row>
    <row r="706" spans="31:31">
      <c r="AE706" s="310">
        <v>53244</v>
      </c>
    </row>
    <row r="707" spans="31:31">
      <c r="AE707" s="310">
        <v>53273</v>
      </c>
    </row>
    <row r="708" spans="31:31">
      <c r="AE708" s="310">
        <v>53276</v>
      </c>
    </row>
    <row r="709" spans="31:31">
      <c r="AE709" s="310">
        <v>53289</v>
      </c>
    </row>
    <row r="710" spans="31:31">
      <c r="AE710" s="310">
        <v>53321</v>
      </c>
    </row>
    <row r="711" spans="31:31">
      <c r="AE711" s="310">
        <v>53328</v>
      </c>
    </row>
    <row r="712" spans="31:31">
      <c r="AE712" s="310">
        <v>53342</v>
      </c>
    </row>
    <row r="713" spans="31:31">
      <c r="AE713" s="310">
        <v>53370</v>
      </c>
    </row>
    <row r="714" spans="31:31">
      <c r="AE714" s="310">
        <v>53373</v>
      </c>
    </row>
    <row r="715" spans="31:31">
      <c r="AE715" s="310">
        <v>53377</v>
      </c>
    </row>
    <row r="716" spans="31:31">
      <c r="AE716" s="310">
        <v>53475</v>
      </c>
    </row>
    <row r="717" spans="31:31">
      <c r="AE717" s="310">
        <v>53497</v>
      </c>
    </row>
    <row r="718" spans="31:31">
      <c r="AE718" s="310">
        <v>53512</v>
      </c>
    </row>
    <row r="719" spans="31:31">
      <c r="AE719" s="310">
        <v>53573</v>
      </c>
    </row>
    <row r="720" spans="31:31">
      <c r="AE720" s="310">
        <v>53608</v>
      </c>
    </row>
    <row r="721" spans="31:31">
      <c r="AE721" s="310">
        <v>53637</v>
      </c>
    </row>
    <row r="722" spans="31:31">
      <c r="AE722" s="310">
        <v>53643</v>
      </c>
    </row>
    <row r="723" spans="31:31">
      <c r="AE723" s="310">
        <v>53653</v>
      </c>
    </row>
    <row r="724" spans="31:31">
      <c r="AE724" s="310">
        <v>53686</v>
      </c>
    </row>
    <row r="725" spans="31:31">
      <c r="AE725" s="310">
        <v>53693</v>
      </c>
    </row>
    <row r="726" spans="31:31">
      <c r="AE726" s="310">
        <v>53713</v>
      </c>
    </row>
    <row r="727" spans="31:31">
      <c r="AE727" s="310">
        <v>53735</v>
      </c>
    </row>
    <row r="728" spans="31:31">
      <c r="AE728" s="310">
        <v>53738</v>
      </c>
    </row>
    <row r="729" spans="31:31">
      <c r="AE729" s="310">
        <v>53741</v>
      </c>
    </row>
    <row r="730" spans="31:31">
      <c r="AE730" s="310">
        <v>53839</v>
      </c>
    </row>
    <row r="731" spans="31:31">
      <c r="AE731" s="310">
        <v>53862</v>
      </c>
    </row>
    <row r="732" spans="31:31">
      <c r="AE732" s="310">
        <v>53877</v>
      </c>
    </row>
    <row r="733" spans="31:31">
      <c r="AE733" s="310">
        <v>53937</v>
      </c>
    </row>
    <row r="734" spans="31:31">
      <c r="AE734" s="310">
        <v>53979</v>
      </c>
    </row>
    <row r="735" spans="31:31">
      <c r="AE735" s="310">
        <v>54001</v>
      </c>
    </row>
    <row r="736" spans="31:31">
      <c r="AE736" s="310">
        <v>54007</v>
      </c>
    </row>
    <row r="737" spans="31:31">
      <c r="AE737" s="310">
        <v>54024</v>
      </c>
    </row>
    <row r="738" spans="31:31">
      <c r="AE738" s="310">
        <v>54051</v>
      </c>
    </row>
    <row r="739" spans="31:31">
      <c r="AE739" s="310">
        <v>54058</v>
      </c>
    </row>
    <row r="740" spans="31:31">
      <c r="AE740" s="310">
        <v>54077</v>
      </c>
    </row>
    <row r="741" spans="31:31">
      <c r="AE741" s="310">
        <v>54100</v>
      </c>
    </row>
    <row r="742" spans="31:31">
      <c r="AE742" s="310">
        <v>54105</v>
      </c>
    </row>
    <row r="743" spans="31:31">
      <c r="AE743" s="310">
        <v>54203</v>
      </c>
    </row>
    <row r="744" spans="31:31">
      <c r="AE744" s="310">
        <v>54228</v>
      </c>
    </row>
    <row r="745" spans="31:31">
      <c r="AE745" s="310">
        <v>54242</v>
      </c>
    </row>
    <row r="746" spans="31:31">
      <c r="AE746" s="310">
        <v>54308</v>
      </c>
    </row>
    <row r="747" spans="31:31">
      <c r="AE747" s="310">
        <v>54343</v>
      </c>
    </row>
    <row r="748" spans="31:31">
      <c r="AE748" s="310">
        <v>54365</v>
      </c>
    </row>
    <row r="749" spans="31:31">
      <c r="AE749" s="310">
        <v>54373</v>
      </c>
    </row>
    <row r="750" spans="31:31">
      <c r="AE750" s="310">
        <v>54388</v>
      </c>
    </row>
    <row r="751" spans="31:31">
      <c r="AE751" s="310">
        <v>54417</v>
      </c>
    </row>
    <row r="752" spans="31:31">
      <c r="AE752" s="310">
        <v>54424</v>
      </c>
    </row>
    <row r="753" spans="31:31">
      <c r="AE753" s="310">
        <v>54441</v>
      </c>
    </row>
    <row r="754" spans="31:31">
      <c r="AE754" s="310">
        <v>54466</v>
      </c>
    </row>
    <row r="755" spans="31:31">
      <c r="AE755" s="310">
        <v>54469</v>
      </c>
    </row>
    <row r="756" spans="31:31">
      <c r="AE756" s="310">
        <v>54574</v>
      </c>
    </row>
    <row r="757" spans="31:31">
      <c r="AE757" s="310">
        <v>54592</v>
      </c>
    </row>
    <row r="758" spans="31:31">
      <c r="AE758" s="310">
        <v>54609</v>
      </c>
    </row>
    <row r="759" spans="31:31">
      <c r="AE759" s="310">
        <v>54672</v>
      </c>
    </row>
    <row r="760" spans="31:31">
      <c r="AE760" s="310">
        <v>54707</v>
      </c>
    </row>
    <row r="761" spans="31:31">
      <c r="AE761" s="310">
        <v>54729</v>
      </c>
    </row>
    <row r="762" spans="31:31">
      <c r="AE762" s="310">
        <v>54738</v>
      </c>
    </row>
    <row r="763" spans="31:31">
      <c r="AE763" s="310">
        <v>54752</v>
      </c>
    </row>
    <row r="764" spans="31:31">
      <c r="AE764" s="310">
        <v>54781</v>
      </c>
    </row>
    <row r="765" spans="31:31">
      <c r="AE765" s="310">
        <v>54788</v>
      </c>
    </row>
    <row r="766" spans="31:31">
      <c r="AE766" s="310">
        <v>54805</v>
      </c>
    </row>
    <row r="767" spans="31:31">
      <c r="AE767" s="310">
        <v>54830</v>
      </c>
    </row>
    <row r="768" spans="31:31">
      <c r="AE768" s="310">
        <v>54834</v>
      </c>
    </row>
    <row r="769" spans="31:31">
      <c r="AE769" s="310">
        <v>54840</v>
      </c>
    </row>
    <row r="770" spans="31:31">
      <c r="AE770" s="310">
        <v>54938</v>
      </c>
    </row>
    <row r="771" spans="31:31">
      <c r="AE771" s="310">
        <v>54959</v>
      </c>
    </row>
    <row r="772" spans="31:31">
      <c r="AE772" s="310">
        <v>54973</v>
      </c>
    </row>
    <row r="773" spans="31:31">
      <c r="AE773" s="310">
        <v>55036</v>
      </c>
    </row>
    <row r="774" spans="31:31">
      <c r="AE774" s="310">
        <v>55071</v>
      </c>
    </row>
    <row r="775" spans="31:31">
      <c r="AE775" s="310">
        <v>55100</v>
      </c>
    </row>
    <row r="776" spans="31:31">
      <c r="AE776" s="310">
        <v>55103</v>
      </c>
    </row>
    <row r="777" spans="31:31">
      <c r="AE777" s="310">
        <v>55116</v>
      </c>
    </row>
    <row r="778" spans="31:31">
      <c r="AE778" s="310">
        <v>55148</v>
      </c>
    </row>
    <row r="779" spans="31:31">
      <c r="AE779" s="310">
        <v>55155</v>
      </c>
    </row>
    <row r="780" spans="31:31">
      <c r="AE780" s="310">
        <v>55169</v>
      </c>
    </row>
    <row r="781" spans="31:31">
      <c r="AE781" s="310">
        <v>55197</v>
      </c>
    </row>
    <row r="782" spans="31:31">
      <c r="AE782" s="310">
        <v>55199</v>
      </c>
    </row>
    <row r="783" spans="31:31">
      <c r="AE783" s="310">
        <v>55204</v>
      </c>
    </row>
    <row r="784" spans="31:31">
      <c r="AE784" s="310">
        <v>55302</v>
      </c>
    </row>
    <row r="785" spans="31:31">
      <c r="AE785" s="310">
        <v>55323</v>
      </c>
    </row>
    <row r="786" spans="31:31">
      <c r="AE786" s="310">
        <v>55338</v>
      </c>
    </row>
    <row r="787" spans="31:31">
      <c r="AE787" s="310">
        <v>55400</v>
      </c>
    </row>
    <row r="788" spans="31:31">
      <c r="AE788" s="310">
        <v>55435</v>
      </c>
    </row>
    <row r="789" spans="31:31">
      <c r="AE789" s="310">
        <v>55464</v>
      </c>
    </row>
    <row r="790" spans="31:31">
      <c r="AE790" s="310">
        <v>55467</v>
      </c>
    </row>
    <row r="791" spans="31:31">
      <c r="AE791" s="310">
        <v>55480</v>
      </c>
    </row>
    <row r="792" spans="31:31">
      <c r="AE792" s="310">
        <v>55512</v>
      </c>
    </row>
    <row r="793" spans="31:31">
      <c r="AE793" s="310">
        <v>55519</v>
      </c>
    </row>
    <row r="794" spans="31:31">
      <c r="AE794" s="310">
        <v>55533</v>
      </c>
    </row>
    <row r="795" spans="31:31">
      <c r="AE795" s="310">
        <v>55561</v>
      </c>
    </row>
    <row r="796" spans="31:31">
      <c r="AE796" s="310">
        <v>55564</v>
      </c>
    </row>
    <row r="797" spans="31:31">
      <c r="AE797" s="310">
        <v>55568</v>
      </c>
    </row>
    <row r="798" spans="31:31">
      <c r="AE798" s="310">
        <v>55666</v>
      </c>
    </row>
    <row r="799" spans="31:31">
      <c r="AE799" s="310">
        <v>55689</v>
      </c>
    </row>
    <row r="800" spans="31:31">
      <c r="AE800" s="310">
        <v>55704</v>
      </c>
    </row>
    <row r="801" spans="31:31">
      <c r="AE801" s="310">
        <v>55764</v>
      </c>
    </row>
    <row r="802" spans="31:31">
      <c r="AE802" s="310">
        <v>55806</v>
      </c>
    </row>
    <row r="803" spans="31:31">
      <c r="AE803" s="310">
        <v>55828</v>
      </c>
    </row>
    <row r="804" spans="31:31">
      <c r="AE804" s="310">
        <v>55834</v>
      </c>
    </row>
    <row r="805" spans="31:31">
      <c r="AE805" s="310">
        <v>55851</v>
      </c>
    </row>
    <row r="806" spans="31:31">
      <c r="AE806" s="310">
        <v>55878</v>
      </c>
    </row>
    <row r="807" spans="31:31">
      <c r="AE807" s="310">
        <v>55885</v>
      </c>
    </row>
    <row r="808" spans="31:31">
      <c r="AE808" s="310">
        <v>55904</v>
      </c>
    </row>
    <row r="809" spans="31:31">
      <c r="AE809" s="310">
        <v>55927</v>
      </c>
    </row>
    <row r="810" spans="31:31">
      <c r="AE810" s="310">
        <v>55932</v>
      </c>
    </row>
    <row r="811" spans="31:31">
      <c r="AE811" s="310">
        <v>56030</v>
      </c>
    </row>
    <row r="812" spans="31:31">
      <c r="AE812" s="310">
        <v>56054</v>
      </c>
    </row>
    <row r="813" spans="31:31">
      <c r="AE813" s="310">
        <v>56069</v>
      </c>
    </row>
    <row r="814" spans="31:31">
      <c r="AE814" s="310">
        <v>56128</v>
      </c>
    </row>
    <row r="815" spans="31:31">
      <c r="AE815" s="310">
        <v>56170</v>
      </c>
    </row>
    <row r="816" spans="31:31">
      <c r="AE816" s="310">
        <v>56192</v>
      </c>
    </row>
    <row r="817" spans="31:31">
      <c r="AE817" s="310">
        <v>56199</v>
      </c>
    </row>
    <row r="818" spans="31:31">
      <c r="AE818" s="310">
        <v>56215</v>
      </c>
    </row>
    <row r="819" spans="31:31">
      <c r="AE819" s="310">
        <v>56243</v>
      </c>
    </row>
    <row r="820" spans="31:31">
      <c r="AE820" s="310">
        <v>56250</v>
      </c>
    </row>
    <row r="821" spans="31:31">
      <c r="AE821" s="310">
        <v>56268</v>
      </c>
    </row>
    <row r="822" spans="31:31">
      <c r="AE822" s="310">
        <v>56292</v>
      </c>
    </row>
    <row r="823" spans="31:31">
      <c r="AE823" s="310">
        <v>56296</v>
      </c>
    </row>
    <row r="824" spans="31:31">
      <c r="AE824" s="310">
        <v>56394</v>
      </c>
    </row>
    <row r="825" spans="31:31">
      <c r="AE825" s="310">
        <v>56419</v>
      </c>
    </row>
    <row r="826" spans="31:31">
      <c r="AE826" s="310">
        <v>56433</v>
      </c>
    </row>
    <row r="827" spans="31:31">
      <c r="AE827" s="310">
        <v>56499</v>
      </c>
    </row>
    <row r="828" spans="31:31">
      <c r="AE828" s="310">
        <v>56534</v>
      </c>
    </row>
    <row r="829" spans="31:31">
      <c r="AE829" s="310">
        <v>56556</v>
      </c>
    </row>
    <row r="830" spans="31:31">
      <c r="AE830" s="310">
        <v>56564</v>
      </c>
    </row>
    <row r="831" spans="31:31">
      <c r="AE831" s="310">
        <v>56579</v>
      </c>
    </row>
    <row r="832" spans="31:31">
      <c r="AE832" s="310">
        <v>56608</v>
      </c>
    </row>
    <row r="833" spans="31:31">
      <c r="AE833" s="310">
        <v>56615</v>
      </c>
    </row>
    <row r="834" spans="31:31">
      <c r="AE834" s="310">
        <v>56632</v>
      </c>
    </row>
    <row r="835" spans="31:31">
      <c r="AE835" s="310">
        <v>56657</v>
      </c>
    </row>
    <row r="836" spans="31:31">
      <c r="AE836" s="310">
        <v>56660</v>
      </c>
    </row>
    <row r="837" spans="31:31">
      <c r="AE837" s="310">
        <v>56765</v>
      </c>
    </row>
    <row r="838" spans="31:31">
      <c r="AE838" s="310">
        <v>56783</v>
      </c>
    </row>
    <row r="839" spans="31:31">
      <c r="AE839" s="310">
        <v>56800</v>
      </c>
    </row>
    <row r="840" spans="31:31">
      <c r="AE840" s="310">
        <v>56863</v>
      </c>
    </row>
    <row r="841" spans="31:31">
      <c r="AE841" s="310">
        <v>56898</v>
      </c>
    </row>
    <row r="842" spans="31:31">
      <c r="AE842" s="310">
        <v>56920</v>
      </c>
    </row>
    <row r="843" spans="31:31">
      <c r="AE843" s="310">
        <v>56929</v>
      </c>
    </row>
    <row r="844" spans="31:31">
      <c r="AE844" s="310">
        <v>56943</v>
      </c>
    </row>
    <row r="845" spans="31:31">
      <c r="AE845" s="310">
        <v>56972</v>
      </c>
    </row>
    <row r="846" spans="31:31">
      <c r="AE846" s="310">
        <v>56979</v>
      </c>
    </row>
    <row r="847" spans="31:31">
      <c r="AE847" s="310">
        <v>56996</v>
      </c>
    </row>
    <row r="848" spans="31:31">
      <c r="AE848" s="310">
        <v>57021</v>
      </c>
    </row>
    <row r="849" spans="31:31">
      <c r="AE849" s="310">
        <v>57025</v>
      </c>
    </row>
    <row r="850" spans="31:31">
      <c r="AE850" s="310">
        <v>57031</v>
      </c>
    </row>
    <row r="851" spans="31:31">
      <c r="AE851" s="310">
        <v>57129</v>
      </c>
    </row>
    <row r="852" spans="31:31">
      <c r="AE852" s="310">
        <v>57150</v>
      </c>
    </row>
    <row r="853" spans="31:31">
      <c r="AE853" s="310">
        <v>57165</v>
      </c>
    </row>
    <row r="854" spans="31:31">
      <c r="AE854" s="310">
        <v>57227</v>
      </c>
    </row>
    <row r="855" spans="31:31">
      <c r="AE855" s="310">
        <v>57262</v>
      </c>
    </row>
    <row r="856" spans="31:31">
      <c r="AE856" s="310">
        <v>57291</v>
      </c>
    </row>
    <row r="857" spans="31:31">
      <c r="AE857" s="310">
        <v>57294</v>
      </c>
    </row>
    <row r="858" spans="31:31">
      <c r="AE858" s="310">
        <v>57307</v>
      </c>
    </row>
    <row r="859" spans="31:31">
      <c r="AE859" s="310">
        <v>57339</v>
      </c>
    </row>
    <row r="860" spans="31:31">
      <c r="AE860" s="310">
        <v>57346</v>
      </c>
    </row>
    <row r="861" spans="31:31">
      <c r="AE861" s="310">
        <v>57360</v>
      </c>
    </row>
    <row r="862" spans="31:31">
      <c r="AE862" s="310">
        <v>57388</v>
      </c>
    </row>
    <row r="863" spans="31:31">
      <c r="AE863" s="310">
        <v>57391</v>
      </c>
    </row>
    <row r="864" spans="31:31">
      <c r="AE864" s="310">
        <v>57395</v>
      </c>
    </row>
    <row r="865" spans="31:31">
      <c r="AE865" s="310">
        <v>57493</v>
      </c>
    </row>
    <row r="866" spans="31:31">
      <c r="AE866" s="310">
        <v>57515</v>
      </c>
    </row>
    <row r="867" spans="31:31">
      <c r="AE867" s="310">
        <v>57530</v>
      </c>
    </row>
    <row r="868" spans="31:31">
      <c r="AE868" s="310">
        <v>57591</v>
      </c>
    </row>
    <row r="869" spans="31:31">
      <c r="AE869" s="310">
        <v>57626</v>
      </c>
    </row>
    <row r="870" spans="31:31">
      <c r="AE870" s="310">
        <v>57655</v>
      </c>
    </row>
    <row r="871" spans="31:31">
      <c r="AE871" s="310">
        <v>57661</v>
      </c>
    </row>
    <row r="872" spans="31:31">
      <c r="AE872" s="310">
        <v>57671</v>
      </c>
    </row>
    <row r="873" spans="31:31">
      <c r="AE873" s="310">
        <v>57704</v>
      </c>
    </row>
    <row r="874" spans="31:31">
      <c r="AE874" s="310">
        <v>57711</v>
      </c>
    </row>
    <row r="875" spans="31:31">
      <c r="AE875" s="310">
        <v>57731</v>
      </c>
    </row>
    <row r="876" spans="31:31">
      <c r="AE876" s="310">
        <v>57753</v>
      </c>
    </row>
    <row r="877" spans="31:31">
      <c r="AE877" s="310">
        <v>57756</v>
      </c>
    </row>
    <row r="878" spans="31:31">
      <c r="AE878" s="310">
        <v>57759</v>
      </c>
    </row>
    <row r="879" spans="31:31">
      <c r="AE879" s="310">
        <v>57857</v>
      </c>
    </row>
    <row r="880" spans="31:31">
      <c r="AE880" s="310">
        <v>57880</v>
      </c>
    </row>
    <row r="881" spans="31:31">
      <c r="AE881" s="310">
        <v>57895</v>
      </c>
    </row>
    <row r="882" spans="31:31">
      <c r="AE882" s="310">
        <v>57955</v>
      </c>
    </row>
    <row r="883" spans="31:31">
      <c r="AE883" s="310">
        <v>57997</v>
      </c>
    </row>
    <row r="884" spans="31:31">
      <c r="AE884" s="310">
        <v>58019</v>
      </c>
    </row>
    <row r="885" spans="31:31">
      <c r="AE885" s="310">
        <v>58025</v>
      </c>
    </row>
    <row r="886" spans="31:31">
      <c r="AE886" s="310">
        <v>58042</v>
      </c>
    </row>
    <row r="887" spans="31:31">
      <c r="AE887" s="310">
        <v>58069</v>
      </c>
    </row>
    <row r="888" spans="31:31">
      <c r="AE888" s="310">
        <v>58076</v>
      </c>
    </row>
    <row r="889" spans="31:31">
      <c r="AE889" s="310">
        <v>58095</v>
      </c>
    </row>
    <row r="890" spans="31:31">
      <c r="AE890" s="310">
        <v>58118</v>
      </c>
    </row>
    <row r="891" spans="31:31">
      <c r="AE891" s="310">
        <v>58123</v>
      </c>
    </row>
    <row r="892" spans="31:31">
      <c r="AE892" s="310">
        <v>58221</v>
      </c>
    </row>
    <row r="893" spans="31:31">
      <c r="AE893" s="310">
        <v>58245</v>
      </c>
    </row>
    <row r="894" spans="31:31">
      <c r="AE894" s="310">
        <v>58260</v>
      </c>
    </row>
    <row r="895" spans="31:31">
      <c r="AE895" s="310">
        <v>58319</v>
      </c>
    </row>
    <row r="896" spans="31:31">
      <c r="AE896" s="310">
        <v>58361</v>
      </c>
    </row>
    <row r="897" spans="31:31">
      <c r="AE897" s="310">
        <v>58383</v>
      </c>
    </row>
    <row r="898" spans="31:31">
      <c r="AE898" s="310">
        <v>58390</v>
      </c>
    </row>
    <row r="899" spans="31:31">
      <c r="AE899" s="310">
        <v>58406</v>
      </c>
    </row>
    <row r="900" spans="31:31">
      <c r="AE900" s="310">
        <v>58434</v>
      </c>
    </row>
    <row r="901" spans="31:31">
      <c r="AE901" s="310">
        <v>58441</v>
      </c>
    </row>
    <row r="902" spans="31:31">
      <c r="AE902" s="310">
        <v>58459</v>
      </c>
    </row>
    <row r="903" spans="31:31">
      <c r="AE903" s="310">
        <v>58483</v>
      </c>
    </row>
    <row r="904" spans="31:31">
      <c r="AE904" s="310">
        <v>58487</v>
      </c>
    </row>
    <row r="905" spans="31:31">
      <c r="AE905" s="310">
        <v>58592</v>
      </c>
    </row>
    <row r="906" spans="31:31">
      <c r="AE906" s="310">
        <v>58610</v>
      </c>
    </row>
    <row r="907" spans="31:31">
      <c r="AE907" s="310">
        <v>58627</v>
      </c>
    </row>
    <row r="908" spans="31:31">
      <c r="AE908" s="310">
        <v>58690</v>
      </c>
    </row>
    <row r="909" spans="31:31">
      <c r="AE909" s="310">
        <v>58725</v>
      </c>
    </row>
    <row r="910" spans="31:31">
      <c r="AE910" s="310">
        <v>58747</v>
      </c>
    </row>
    <row r="911" spans="31:31">
      <c r="AE911" s="310">
        <v>58756</v>
      </c>
    </row>
    <row r="912" spans="31:31">
      <c r="AE912" s="310">
        <v>58770</v>
      </c>
    </row>
    <row r="913" spans="31:31">
      <c r="AE913" s="310">
        <v>58799</v>
      </c>
    </row>
    <row r="914" spans="31:31">
      <c r="AE914" s="310">
        <v>58806</v>
      </c>
    </row>
    <row r="915" spans="31:31">
      <c r="AE915" s="310">
        <v>58823</v>
      </c>
    </row>
    <row r="916" spans="31:31">
      <c r="AE916" s="310">
        <v>58848</v>
      </c>
    </row>
    <row r="917" spans="31:31">
      <c r="AE917" s="310">
        <v>58852</v>
      </c>
    </row>
    <row r="918" spans="31:31">
      <c r="AE918" s="310">
        <v>58858</v>
      </c>
    </row>
    <row r="919" spans="31:31">
      <c r="AE919" s="310">
        <v>58956</v>
      </c>
    </row>
    <row r="920" spans="31:31">
      <c r="AE920" s="310">
        <v>58977</v>
      </c>
    </row>
    <row r="921" spans="31:31">
      <c r="AE921" s="310">
        <v>58991</v>
      </c>
    </row>
    <row r="922" spans="31:31">
      <c r="AE922" s="310">
        <v>59054</v>
      </c>
    </row>
    <row r="923" spans="31:31">
      <c r="AE923" s="310">
        <v>59089</v>
      </c>
    </row>
    <row r="924" spans="31:31">
      <c r="AE924" s="310">
        <v>59118</v>
      </c>
    </row>
    <row r="925" spans="31:31">
      <c r="AE925" s="310">
        <v>59121</v>
      </c>
    </row>
    <row r="926" spans="31:31">
      <c r="AE926" s="310">
        <v>59134</v>
      </c>
    </row>
    <row r="927" spans="31:31">
      <c r="AE927" s="310">
        <v>59166</v>
      </c>
    </row>
    <row r="928" spans="31:31">
      <c r="AE928" s="310">
        <v>59173</v>
      </c>
    </row>
    <row r="929" spans="31:31">
      <c r="AE929" s="310">
        <v>59187</v>
      </c>
    </row>
    <row r="930" spans="31:31">
      <c r="AE930" s="310">
        <v>59215</v>
      </c>
    </row>
    <row r="931" spans="31:31">
      <c r="AE931" s="310">
        <v>59217</v>
      </c>
    </row>
    <row r="932" spans="31:31">
      <c r="AE932" s="310">
        <v>59222</v>
      </c>
    </row>
    <row r="933" spans="31:31">
      <c r="AE933" s="310">
        <v>59320</v>
      </c>
    </row>
    <row r="934" spans="31:31">
      <c r="AE934" s="310">
        <v>59341</v>
      </c>
    </row>
    <row r="935" spans="31:31">
      <c r="AE935" s="310">
        <v>59356</v>
      </c>
    </row>
    <row r="936" spans="31:31">
      <c r="AE936" s="310">
        <v>59418</v>
      </c>
    </row>
    <row r="937" spans="31:31">
      <c r="AE937" s="310">
        <v>59453</v>
      </c>
    </row>
    <row r="938" spans="31:31">
      <c r="AE938" s="310">
        <v>59482</v>
      </c>
    </row>
    <row r="939" spans="31:31">
      <c r="AE939" s="310">
        <v>59485</v>
      </c>
    </row>
    <row r="940" spans="31:31">
      <c r="AE940" s="310">
        <v>59498</v>
      </c>
    </row>
    <row r="941" spans="31:31">
      <c r="AE941" s="310">
        <v>59530</v>
      </c>
    </row>
    <row r="942" spans="31:31">
      <c r="AE942" s="310">
        <v>59537</v>
      </c>
    </row>
    <row r="943" spans="31:31">
      <c r="AE943" s="310">
        <v>59551</v>
      </c>
    </row>
    <row r="944" spans="31:31">
      <c r="AE944" s="310">
        <v>59579</v>
      </c>
    </row>
    <row r="945" spans="31:31">
      <c r="AE945" s="310">
        <v>59582</v>
      </c>
    </row>
    <row r="946" spans="31:31">
      <c r="AE946" s="310">
        <v>59586</v>
      </c>
    </row>
    <row r="947" spans="31:31">
      <c r="AE947" s="310">
        <v>59684</v>
      </c>
    </row>
    <row r="948" spans="31:31">
      <c r="AE948" s="310">
        <v>59706</v>
      </c>
    </row>
    <row r="949" spans="31:31">
      <c r="AE949" s="310">
        <v>59721</v>
      </c>
    </row>
    <row r="950" spans="31:31">
      <c r="AE950" s="310">
        <v>59782</v>
      </c>
    </row>
    <row r="951" spans="31:31">
      <c r="AE951" s="310">
        <v>59817</v>
      </c>
    </row>
    <row r="952" spans="31:31">
      <c r="AE952" s="310">
        <v>59846</v>
      </c>
    </row>
    <row r="953" spans="31:31">
      <c r="AE953" s="310">
        <v>59852</v>
      </c>
    </row>
    <row r="954" spans="31:31">
      <c r="AE954" s="310">
        <v>59862</v>
      </c>
    </row>
    <row r="955" spans="31:31">
      <c r="AE955" s="310">
        <v>59895</v>
      </c>
    </row>
    <row r="956" spans="31:31">
      <c r="AE956" s="310">
        <v>59902</v>
      </c>
    </row>
    <row r="957" spans="31:31">
      <c r="AE957" s="310">
        <v>59922</v>
      </c>
    </row>
    <row r="958" spans="31:31">
      <c r="AE958" s="310">
        <v>59944</v>
      </c>
    </row>
    <row r="959" spans="31:31">
      <c r="AE959" s="310">
        <v>59947</v>
      </c>
    </row>
    <row r="960" spans="31:31">
      <c r="AE960" s="310">
        <v>59950</v>
      </c>
    </row>
    <row r="961" spans="31:31">
      <c r="AE961" s="310">
        <v>60048</v>
      </c>
    </row>
    <row r="962" spans="31:31">
      <c r="AE962" s="310">
        <v>60072</v>
      </c>
    </row>
    <row r="963" spans="31:31">
      <c r="AE963" s="310">
        <v>60087</v>
      </c>
    </row>
    <row r="964" spans="31:31">
      <c r="AE964" s="310">
        <v>60146</v>
      </c>
    </row>
    <row r="965" spans="31:31">
      <c r="AE965" s="310">
        <v>60188</v>
      </c>
    </row>
    <row r="966" spans="31:31">
      <c r="AE966" s="310">
        <v>60210</v>
      </c>
    </row>
    <row r="967" spans="31:31">
      <c r="AE967" s="310">
        <v>60217</v>
      </c>
    </row>
    <row r="968" spans="31:31">
      <c r="AE968" s="310">
        <v>60233</v>
      </c>
    </row>
    <row r="969" spans="31:31">
      <c r="AE969" s="310">
        <v>60261</v>
      </c>
    </row>
    <row r="970" spans="31:31">
      <c r="AE970" s="310">
        <v>60268</v>
      </c>
    </row>
    <row r="971" spans="31:31">
      <c r="AE971" s="310">
        <v>60286</v>
      </c>
    </row>
    <row r="972" spans="31:31">
      <c r="AE972" s="310">
        <v>60310</v>
      </c>
    </row>
    <row r="973" spans="31:31">
      <c r="AE973" s="310">
        <v>60314</v>
      </c>
    </row>
    <row r="974" spans="31:31">
      <c r="AE974" s="310">
        <v>60412</v>
      </c>
    </row>
    <row r="975" spans="31:31">
      <c r="AE975" s="310">
        <v>60437</v>
      </c>
    </row>
    <row r="976" spans="31:31">
      <c r="AE976" s="310">
        <v>60451</v>
      </c>
    </row>
    <row r="977" spans="31:31">
      <c r="AE977" s="310">
        <v>60517</v>
      </c>
    </row>
    <row r="978" spans="31:31">
      <c r="AE978" s="310">
        <v>60552</v>
      </c>
    </row>
    <row r="979" spans="31:31">
      <c r="AE979" s="310">
        <v>60574</v>
      </c>
    </row>
    <row r="980" spans="31:31">
      <c r="AE980" s="310">
        <v>60582</v>
      </c>
    </row>
    <row r="981" spans="31:31">
      <c r="AE981" s="310">
        <v>60597</v>
      </c>
    </row>
    <row r="982" spans="31:31">
      <c r="AE982" s="310">
        <v>60626</v>
      </c>
    </row>
    <row r="983" spans="31:31">
      <c r="AE983" s="310">
        <v>60633</v>
      </c>
    </row>
    <row r="984" spans="31:31">
      <c r="AE984" s="310">
        <v>60650</v>
      </c>
    </row>
    <row r="985" spans="31:31">
      <c r="AE985" s="310">
        <v>60675</v>
      </c>
    </row>
    <row r="986" spans="31:31">
      <c r="AE986" s="310">
        <v>60678</v>
      </c>
    </row>
    <row r="987" spans="31:31">
      <c r="AE987" s="310">
        <v>60783</v>
      </c>
    </row>
    <row r="988" spans="31:31">
      <c r="AE988" s="310">
        <v>60801</v>
      </c>
    </row>
    <row r="989" spans="31:31">
      <c r="AE989" s="310">
        <v>60818</v>
      </c>
    </row>
    <row r="990" spans="31:31">
      <c r="AE990" s="310">
        <v>60881</v>
      </c>
    </row>
    <row r="991" spans="31:31">
      <c r="AE991" s="310">
        <v>60916</v>
      </c>
    </row>
    <row r="992" spans="31:31">
      <c r="AE992" s="310">
        <v>60938</v>
      </c>
    </row>
    <row r="993" spans="31:31">
      <c r="AE993" s="310">
        <v>60947</v>
      </c>
    </row>
    <row r="994" spans="31:31">
      <c r="AE994" s="310">
        <v>60961</v>
      </c>
    </row>
    <row r="995" spans="31:31">
      <c r="AE995" s="310">
        <v>60990</v>
      </c>
    </row>
    <row r="996" spans="31:31">
      <c r="AE996" s="310">
        <v>60997</v>
      </c>
    </row>
    <row r="997" spans="31:31">
      <c r="AE997" s="310">
        <v>61014</v>
      </c>
    </row>
    <row r="998" spans="31:31">
      <c r="AE998" s="310">
        <v>61039</v>
      </c>
    </row>
    <row r="999" spans="31:31">
      <c r="AE999" s="310">
        <v>61043</v>
      </c>
    </row>
    <row r="1000" spans="31:31">
      <c r="AE1000" s="310">
        <v>61049</v>
      </c>
    </row>
    <row r="1001" spans="31:31">
      <c r="AE1001" s="310">
        <v>61147</v>
      </c>
    </row>
    <row r="1002" spans="31:31">
      <c r="AE1002" s="310">
        <v>61168</v>
      </c>
    </row>
    <row r="1003" spans="31:31">
      <c r="AE1003" s="310">
        <v>61182</v>
      </c>
    </row>
    <row r="1004" spans="31:31">
      <c r="AE1004" s="310">
        <v>61245</v>
      </c>
    </row>
    <row r="1005" spans="31:31">
      <c r="AE1005" s="310">
        <v>61280</v>
      </c>
    </row>
    <row r="1006" spans="31:31">
      <c r="AE1006" s="310">
        <v>61309</v>
      </c>
    </row>
    <row r="1007" spans="31:31">
      <c r="AE1007" s="310">
        <v>61312</v>
      </c>
    </row>
    <row r="1008" spans="31:31">
      <c r="AE1008" s="310">
        <v>61325</v>
      </c>
    </row>
    <row r="1009" spans="31:31">
      <c r="AE1009" s="310">
        <v>61357</v>
      </c>
    </row>
    <row r="1010" spans="31:31">
      <c r="AE1010" s="310">
        <v>61364</v>
      </c>
    </row>
    <row r="1011" spans="31:31">
      <c r="AE1011" s="310">
        <v>61378</v>
      </c>
    </row>
    <row r="1012" spans="31:31">
      <c r="AE1012" s="310">
        <v>61406</v>
      </c>
    </row>
    <row r="1013" spans="31:31">
      <c r="AE1013" s="310">
        <v>61408</v>
      </c>
    </row>
    <row r="1014" spans="31:31">
      <c r="AE1014" s="310">
        <v>61413</v>
      </c>
    </row>
    <row r="1015" spans="31:31">
      <c r="AE1015" s="310">
        <v>61511</v>
      </c>
    </row>
    <row r="1016" spans="31:31">
      <c r="AE1016" s="310">
        <v>61533</v>
      </c>
    </row>
    <row r="1017" spans="31:31">
      <c r="AE1017" s="310">
        <v>61548</v>
      </c>
    </row>
    <row r="1018" spans="31:31">
      <c r="AE1018" s="310">
        <v>61609</v>
      </c>
    </row>
    <row r="1019" spans="31:31">
      <c r="AE1019" s="310">
        <v>61644</v>
      </c>
    </row>
    <row r="1020" spans="31:31">
      <c r="AE1020" s="310">
        <v>61673</v>
      </c>
    </row>
    <row r="1021" spans="31:31">
      <c r="AE1021" s="310">
        <v>61679</v>
      </c>
    </row>
    <row r="1022" spans="31:31">
      <c r="AE1022" s="310">
        <v>61689</v>
      </c>
    </row>
    <row r="1023" spans="31:31">
      <c r="AE1023" s="310">
        <v>61722</v>
      </c>
    </row>
    <row r="1024" spans="31:31">
      <c r="AE1024" s="310">
        <v>61729</v>
      </c>
    </row>
    <row r="1025" spans="31:31">
      <c r="AE1025" s="310">
        <v>61749</v>
      </c>
    </row>
    <row r="1026" spans="31:31">
      <c r="AE1026" s="310">
        <v>61771</v>
      </c>
    </row>
    <row r="1027" spans="31:31">
      <c r="AE1027" s="310">
        <v>61774</v>
      </c>
    </row>
    <row r="1028" spans="31:31">
      <c r="AE1028" s="310">
        <v>61777</v>
      </c>
    </row>
    <row r="1029" spans="31:31">
      <c r="AE1029" s="310">
        <v>61875</v>
      </c>
    </row>
    <row r="1030" spans="31:31">
      <c r="AE1030" s="310">
        <v>61898</v>
      </c>
    </row>
    <row r="1031" spans="31:31">
      <c r="AE1031" s="310">
        <v>61913</v>
      </c>
    </row>
    <row r="1032" spans="31:31">
      <c r="AE1032" s="310">
        <v>61973</v>
      </c>
    </row>
    <row r="1033" spans="31:31">
      <c r="AE1033" s="310">
        <v>62015</v>
      </c>
    </row>
    <row r="1034" spans="31:31">
      <c r="AE1034" s="310">
        <v>62037</v>
      </c>
    </row>
    <row r="1035" spans="31:31">
      <c r="AE1035" s="310">
        <v>62043</v>
      </c>
    </row>
    <row r="1036" spans="31:31">
      <c r="AE1036" s="310">
        <v>62060</v>
      </c>
    </row>
    <row r="1037" spans="31:31">
      <c r="AE1037" s="310">
        <v>62087</v>
      </c>
    </row>
    <row r="1038" spans="31:31">
      <c r="AE1038" s="310">
        <v>62094</v>
      </c>
    </row>
    <row r="1039" spans="31:31">
      <c r="AE1039" s="310">
        <v>62113</v>
      </c>
    </row>
    <row r="1040" spans="31:31">
      <c r="AE1040" s="310">
        <v>62136</v>
      </c>
    </row>
    <row r="1041" spans="31:31">
      <c r="AE1041" s="310">
        <v>62141</v>
      </c>
    </row>
    <row r="1042" spans="31:31">
      <c r="AE1042" s="310">
        <v>62239</v>
      </c>
    </row>
    <row r="1043" spans="31:31">
      <c r="AE1043" s="310">
        <v>62263</v>
      </c>
    </row>
    <row r="1044" spans="31:31">
      <c r="AE1044" s="310">
        <v>62278</v>
      </c>
    </row>
    <row r="1045" spans="31:31">
      <c r="AE1045" s="310">
        <v>62337</v>
      </c>
    </row>
    <row r="1046" spans="31:31">
      <c r="AE1046" s="310">
        <v>62379</v>
      </c>
    </row>
    <row r="1047" spans="31:31">
      <c r="AE1047" s="310">
        <v>62401</v>
      </c>
    </row>
    <row r="1048" spans="31:31">
      <c r="AE1048" s="310">
        <v>62408</v>
      </c>
    </row>
    <row r="1049" spans="31:31">
      <c r="AE1049" s="310">
        <v>62424</v>
      </c>
    </row>
    <row r="1050" spans="31:31">
      <c r="AE1050" s="310">
        <v>62452</v>
      </c>
    </row>
    <row r="1051" spans="31:31">
      <c r="AE1051" s="310">
        <v>62459</v>
      </c>
    </row>
    <row r="1052" spans="31:31">
      <c r="AE1052" s="310">
        <v>62477</v>
      </c>
    </row>
    <row r="1053" spans="31:31">
      <c r="AE1053" s="310">
        <v>62501</v>
      </c>
    </row>
    <row r="1054" spans="31:31">
      <c r="AE1054" s="310">
        <v>62505</v>
      </c>
    </row>
    <row r="1055" spans="31:31">
      <c r="AE1055" s="310">
        <v>62603</v>
      </c>
    </row>
    <row r="1056" spans="31:31">
      <c r="AE1056" s="310">
        <v>62628</v>
      </c>
    </row>
    <row r="1057" spans="31:31">
      <c r="AE1057" s="310">
        <v>62642</v>
      </c>
    </row>
    <row r="1058" spans="31:31">
      <c r="AE1058" s="310">
        <v>62708</v>
      </c>
    </row>
    <row r="1059" spans="31:31">
      <c r="AE1059" s="310">
        <v>62743</v>
      </c>
    </row>
    <row r="1060" spans="31:31">
      <c r="AE1060" s="310">
        <v>62765</v>
      </c>
    </row>
    <row r="1061" spans="31:31">
      <c r="AE1061" s="310">
        <v>62773</v>
      </c>
    </row>
    <row r="1062" spans="31:31">
      <c r="AE1062" s="310">
        <v>62788</v>
      </c>
    </row>
    <row r="1063" spans="31:31">
      <c r="AE1063" s="310">
        <v>62817</v>
      </c>
    </row>
    <row r="1064" spans="31:31">
      <c r="AE1064" s="310">
        <v>62824</v>
      </c>
    </row>
    <row r="1065" spans="31:31">
      <c r="AE1065" s="310">
        <v>62841</v>
      </c>
    </row>
    <row r="1066" spans="31:31">
      <c r="AE1066" s="310">
        <v>62866</v>
      </c>
    </row>
    <row r="1067" spans="31:31">
      <c r="AE1067" s="310">
        <v>62869</v>
      </c>
    </row>
    <row r="1068" spans="31:31">
      <c r="AE1068" s="310">
        <v>62974</v>
      </c>
    </row>
    <row r="1069" spans="31:31">
      <c r="AE1069" s="310">
        <v>62995</v>
      </c>
    </row>
    <row r="1070" spans="31:31">
      <c r="AE1070" s="310">
        <v>63009</v>
      </c>
    </row>
    <row r="1071" spans="31:31">
      <c r="AE1071" s="310">
        <v>63072</v>
      </c>
    </row>
    <row r="1072" spans="31:31">
      <c r="AE1072" s="310">
        <v>63107</v>
      </c>
    </row>
    <row r="1073" spans="31:31">
      <c r="AE1073" s="310">
        <v>63136</v>
      </c>
    </row>
    <row r="1074" spans="31:31">
      <c r="AE1074" s="310">
        <v>63139</v>
      </c>
    </row>
    <row r="1075" spans="31:31">
      <c r="AE1075" s="310">
        <v>63152</v>
      </c>
    </row>
    <row r="1076" spans="31:31">
      <c r="AE1076" s="310">
        <v>63184</v>
      </c>
    </row>
    <row r="1077" spans="31:31">
      <c r="AE1077" s="310">
        <v>63191</v>
      </c>
    </row>
    <row r="1078" spans="31:31">
      <c r="AE1078" s="310">
        <v>63205</v>
      </c>
    </row>
    <row r="1079" spans="31:31">
      <c r="AE1079" s="310">
        <v>63233</v>
      </c>
    </row>
    <row r="1080" spans="31:31">
      <c r="AE1080" s="310">
        <v>63235</v>
      </c>
    </row>
    <row r="1081" spans="31:31">
      <c r="AE1081" s="310">
        <v>63240</v>
      </c>
    </row>
    <row r="1082" spans="31:31">
      <c r="AE1082" s="310">
        <v>63338</v>
      </c>
    </row>
    <row r="1083" spans="31:31">
      <c r="AE1083" s="310">
        <v>63359</v>
      </c>
    </row>
    <row r="1084" spans="31:31">
      <c r="AE1084" s="310">
        <v>63374</v>
      </c>
    </row>
    <row r="1085" spans="31:31">
      <c r="AE1085" s="310">
        <v>63436</v>
      </c>
    </row>
    <row r="1086" spans="31:31">
      <c r="AE1086" s="310">
        <v>63471</v>
      </c>
    </row>
    <row r="1087" spans="31:31">
      <c r="AE1087" s="310">
        <v>63500</v>
      </c>
    </row>
    <row r="1088" spans="31:31">
      <c r="AE1088" s="310">
        <v>63503</v>
      </c>
    </row>
    <row r="1089" spans="31:31">
      <c r="AE1089" s="310">
        <v>63516</v>
      </c>
    </row>
    <row r="1090" spans="31:31">
      <c r="AE1090" s="310">
        <v>63548</v>
      </c>
    </row>
    <row r="1091" spans="31:31">
      <c r="AE1091" s="310">
        <v>63555</v>
      </c>
    </row>
    <row r="1092" spans="31:31">
      <c r="AE1092" s="310">
        <v>63569</v>
      </c>
    </row>
    <row r="1093" spans="31:31">
      <c r="AE1093" s="310">
        <v>63597</v>
      </c>
    </row>
    <row r="1094" spans="31:31">
      <c r="AE1094" s="310">
        <v>63600</v>
      </c>
    </row>
    <row r="1095" spans="31:31">
      <c r="AE1095" s="310">
        <v>63604</v>
      </c>
    </row>
    <row r="1096" spans="31:31">
      <c r="AE1096" s="310">
        <v>63702</v>
      </c>
    </row>
    <row r="1097" spans="31:31">
      <c r="AE1097" s="310">
        <v>63724</v>
      </c>
    </row>
    <row r="1098" spans="31:31">
      <c r="AE1098" s="310">
        <v>63739</v>
      </c>
    </row>
    <row r="1099" spans="31:31">
      <c r="AE1099" s="310">
        <v>63800</v>
      </c>
    </row>
    <row r="1100" spans="31:31">
      <c r="AE1100" s="310">
        <v>63835</v>
      </c>
    </row>
    <row r="1101" spans="31:31">
      <c r="AE1101" s="310">
        <v>63864</v>
      </c>
    </row>
    <row r="1102" spans="31:31">
      <c r="AE1102" s="310">
        <v>63870</v>
      </c>
    </row>
    <row r="1103" spans="31:31">
      <c r="AE1103" s="310">
        <v>63880</v>
      </c>
    </row>
    <row r="1104" spans="31:31">
      <c r="AE1104" s="310">
        <v>63913</v>
      </c>
    </row>
    <row r="1105" spans="31:31">
      <c r="AE1105" s="310">
        <v>63920</v>
      </c>
    </row>
    <row r="1106" spans="31:31">
      <c r="AE1106" s="310">
        <v>63940</v>
      </c>
    </row>
    <row r="1107" spans="31:31">
      <c r="AE1107" s="310">
        <v>63962</v>
      </c>
    </row>
    <row r="1108" spans="31:31">
      <c r="AE1108" s="310">
        <v>63965</v>
      </c>
    </row>
    <row r="1109" spans="31:31">
      <c r="AE1109" s="310">
        <v>63968</v>
      </c>
    </row>
    <row r="1110" spans="31:31">
      <c r="AE1110" s="310">
        <v>64066</v>
      </c>
    </row>
    <row r="1111" spans="31:31">
      <c r="AE1111" s="310">
        <v>64089</v>
      </c>
    </row>
    <row r="1112" spans="31:31">
      <c r="AE1112" s="310">
        <v>64104</v>
      </c>
    </row>
    <row r="1113" spans="31:31">
      <c r="AE1113" s="310">
        <v>64164</v>
      </c>
    </row>
    <row r="1114" spans="31:31">
      <c r="AE1114" s="310">
        <v>64206</v>
      </c>
    </row>
    <row r="1115" spans="31:31">
      <c r="AE1115" s="310">
        <v>64228</v>
      </c>
    </row>
    <row r="1116" spans="31:31">
      <c r="AE1116" s="310">
        <v>64234</v>
      </c>
    </row>
    <row r="1117" spans="31:31">
      <c r="AE1117" s="310">
        <v>64251</v>
      </c>
    </row>
    <row r="1118" spans="31:31">
      <c r="AE1118" s="310">
        <v>64278</v>
      </c>
    </row>
    <row r="1119" spans="31:31">
      <c r="AE1119" s="310">
        <v>64285</v>
      </c>
    </row>
    <row r="1120" spans="31:31">
      <c r="AE1120" s="310">
        <v>64304</v>
      </c>
    </row>
    <row r="1121" spans="31:31">
      <c r="AE1121" s="310">
        <v>64327</v>
      </c>
    </row>
    <row r="1122" spans="31:31">
      <c r="AE1122" s="310">
        <v>64332</v>
      </c>
    </row>
    <row r="1123" spans="31:31">
      <c r="AE1123" s="310">
        <v>64430</v>
      </c>
    </row>
    <row r="1124" spans="31:31">
      <c r="AE1124" s="310">
        <v>64455</v>
      </c>
    </row>
    <row r="1125" spans="31:31">
      <c r="AE1125" s="310">
        <v>64469</v>
      </c>
    </row>
    <row r="1126" spans="31:31">
      <c r="AE1126" s="310">
        <v>64535</v>
      </c>
    </row>
    <row r="1127" spans="31:31">
      <c r="AE1127" s="310">
        <v>64570</v>
      </c>
    </row>
    <row r="1128" spans="31:31">
      <c r="AE1128" s="310">
        <v>64592</v>
      </c>
    </row>
    <row r="1129" spans="31:31">
      <c r="AE1129" s="310">
        <v>64600</v>
      </c>
    </row>
    <row r="1130" spans="31:31">
      <c r="AE1130" s="310">
        <v>64615</v>
      </c>
    </row>
    <row r="1131" spans="31:31">
      <c r="AE1131" s="310">
        <v>64644</v>
      </c>
    </row>
    <row r="1132" spans="31:31">
      <c r="AE1132" s="310">
        <v>64651</v>
      </c>
    </row>
    <row r="1133" spans="31:31">
      <c r="AE1133" s="310">
        <v>64668</v>
      </c>
    </row>
    <row r="1134" spans="31:31">
      <c r="AE1134" s="310">
        <v>64693</v>
      </c>
    </row>
    <row r="1135" spans="31:31">
      <c r="AE1135" s="310">
        <v>64696</v>
      </c>
    </row>
    <row r="1136" spans="31:31">
      <c r="AE1136" s="310">
        <v>64801</v>
      </c>
    </row>
    <row r="1137" spans="31:31">
      <c r="AE1137" s="310">
        <v>64819</v>
      </c>
    </row>
    <row r="1138" spans="31:31">
      <c r="AE1138" s="310">
        <v>64836</v>
      </c>
    </row>
    <row r="1139" spans="31:31">
      <c r="AE1139" s="310">
        <v>64899</v>
      </c>
    </row>
    <row r="1140" spans="31:31">
      <c r="AE1140" s="310">
        <v>64934</v>
      </c>
    </row>
    <row r="1141" spans="31:31">
      <c r="AE1141" s="310">
        <v>64956</v>
      </c>
    </row>
    <row r="1142" spans="31:31">
      <c r="AE1142" s="310">
        <v>64965</v>
      </c>
    </row>
    <row r="1143" spans="31:31">
      <c r="AE1143" s="310">
        <v>64979</v>
      </c>
    </row>
    <row r="1144" spans="31:31">
      <c r="AE1144" s="310">
        <v>65008</v>
      </c>
    </row>
    <row r="1145" spans="31:31">
      <c r="AE1145" s="310">
        <v>65015</v>
      </c>
    </row>
    <row r="1146" spans="31:31">
      <c r="AE1146" s="310">
        <v>65032</v>
      </c>
    </row>
    <row r="1147" spans="31:31">
      <c r="AE1147" s="310">
        <v>65057</v>
      </c>
    </row>
    <row r="1148" spans="31:31">
      <c r="AE1148" s="310">
        <v>65061</v>
      </c>
    </row>
    <row r="1149" spans="31:31">
      <c r="AE1149" s="310">
        <v>65067</v>
      </c>
    </row>
    <row r="1150" spans="31:31">
      <c r="AE1150" s="310">
        <v>65165</v>
      </c>
    </row>
    <row r="1151" spans="31:31">
      <c r="AE1151" s="310">
        <v>65186</v>
      </c>
    </row>
    <row r="1152" spans="31:31">
      <c r="AE1152" s="310">
        <v>65200</v>
      </c>
    </row>
    <row r="1153" spans="31:31">
      <c r="AE1153" s="310">
        <v>65263</v>
      </c>
    </row>
    <row r="1154" spans="31:31">
      <c r="AE1154" s="310">
        <v>65298</v>
      </c>
    </row>
    <row r="1155" spans="31:31">
      <c r="AE1155" s="310">
        <v>65327</v>
      </c>
    </row>
    <row r="1156" spans="31:31">
      <c r="AE1156" s="310">
        <v>65330</v>
      </c>
    </row>
    <row r="1157" spans="31:31">
      <c r="AE1157" s="310">
        <v>65343</v>
      </c>
    </row>
    <row r="1158" spans="31:31">
      <c r="AE1158" s="310">
        <v>65375</v>
      </c>
    </row>
    <row r="1159" spans="31:31">
      <c r="AE1159" s="310">
        <v>65382</v>
      </c>
    </row>
    <row r="1160" spans="31:31">
      <c r="AE1160" s="310">
        <v>65396</v>
      </c>
    </row>
    <row r="1161" spans="31:31">
      <c r="AE1161" s="310">
        <v>65424</v>
      </c>
    </row>
    <row r="1162" spans="31:31">
      <c r="AE1162" s="310">
        <v>65426</v>
      </c>
    </row>
    <row r="1163" spans="31:31">
      <c r="AE1163" s="310">
        <v>65431</v>
      </c>
    </row>
    <row r="1164" spans="31:31">
      <c r="AE1164" s="310">
        <v>65529</v>
      </c>
    </row>
    <row r="1165" spans="31:31">
      <c r="AE1165" s="310">
        <v>65550</v>
      </c>
    </row>
    <row r="1166" spans="31:31">
      <c r="AE1166" s="310">
        <v>65565</v>
      </c>
    </row>
    <row r="1167" spans="31:31">
      <c r="AE1167" s="310">
        <v>65627</v>
      </c>
    </row>
    <row r="1168" spans="31:31">
      <c r="AE1168" s="310">
        <v>65662</v>
      </c>
    </row>
    <row r="1169" spans="31:31">
      <c r="AE1169" s="310">
        <v>65691</v>
      </c>
    </row>
    <row r="1170" spans="31:31">
      <c r="AE1170" s="310">
        <v>65694</v>
      </c>
    </row>
    <row r="1171" spans="31:31">
      <c r="AE1171" s="310">
        <v>65707</v>
      </c>
    </row>
    <row r="1172" spans="31:31">
      <c r="AE1172" s="310">
        <v>65739</v>
      </c>
    </row>
    <row r="1173" spans="31:31">
      <c r="AE1173" s="310">
        <v>65746</v>
      </c>
    </row>
    <row r="1174" spans="31:31">
      <c r="AE1174" s="310">
        <v>65760</v>
      </c>
    </row>
    <row r="1175" spans="31:31">
      <c r="AE1175" s="310">
        <v>65788</v>
      </c>
    </row>
    <row r="1176" spans="31:31">
      <c r="AE1176" s="310">
        <v>65791</v>
      </c>
    </row>
    <row r="1177" spans="31:31">
      <c r="AE1177" s="310">
        <v>65795</v>
      </c>
    </row>
    <row r="1178" spans="31:31">
      <c r="AE1178" s="310">
        <v>65893</v>
      </c>
    </row>
    <row r="1179" spans="31:31">
      <c r="AE1179" s="310">
        <v>65916</v>
      </c>
    </row>
    <row r="1180" spans="31:31">
      <c r="AE1180" s="310">
        <v>65931</v>
      </c>
    </row>
    <row r="1181" spans="31:31">
      <c r="AE1181" s="310">
        <v>65991</v>
      </c>
    </row>
    <row r="1182" spans="31:31">
      <c r="AE1182" s="310">
        <v>66033</v>
      </c>
    </row>
    <row r="1183" spans="31:31">
      <c r="AE1183" s="310">
        <v>66055</v>
      </c>
    </row>
    <row r="1184" spans="31:31">
      <c r="AE1184" s="310">
        <v>66061</v>
      </c>
    </row>
    <row r="1185" spans="31:31">
      <c r="AE1185" s="310">
        <v>66078</v>
      </c>
    </row>
    <row r="1186" spans="31:31">
      <c r="AE1186" s="310">
        <v>66105</v>
      </c>
    </row>
    <row r="1187" spans="31:31">
      <c r="AE1187" s="310">
        <v>66112</v>
      </c>
    </row>
    <row r="1188" spans="31:31">
      <c r="AE1188" s="310">
        <v>66131</v>
      </c>
    </row>
    <row r="1189" spans="31:31">
      <c r="AE1189" s="310">
        <v>66154</v>
      </c>
    </row>
    <row r="1190" spans="31:31">
      <c r="AE1190" s="310">
        <v>66159</v>
      </c>
    </row>
    <row r="1191" spans="31:31">
      <c r="AE1191" s="310">
        <v>66257</v>
      </c>
    </row>
    <row r="1192" spans="31:31">
      <c r="AE1192" s="310">
        <v>66281</v>
      </c>
    </row>
    <row r="1193" spans="31:31">
      <c r="AE1193" s="310">
        <v>66296</v>
      </c>
    </row>
    <row r="1194" spans="31:31">
      <c r="AE1194" s="310">
        <v>66355</v>
      </c>
    </row>
    <row r="1195" spans="31:31">
      <c r="AE1195" s="310">
        <v>66397</v>
      </c>
    </row>
    <row r="1196" spans="31:31">
      <c r="AE1196" s="310">
        <v>66419</v>
      </c>
    </row>
    <row r="1197" spans="31:31">
      <c r="AE1197" s="310">
        <v>66426</v>
      </c>
    </row>
    <row r="1198" spans="31:31">
      <c r="AE1198" s="310">
        <v>66442</v>
      </c>
    </row>
    <row r="1199" spans="31:31">
      <c r="AE1199" s="310">
        <v>66470</v>
      </c>
    </row>
    <row r="1200" spans="31:31">
      <c r="AE1200" s="310">
        <v>66477</v>
      </c>
    </row>
    <row r="1201" spans="31:31">
      <c r="AE1201" s="310">
        <v>66495</v>
      </c>
    </row>
    <row r="1202" spans="31:31">
      <c r="AE1202" s="310">
        <v>66519</v>
      </c>
    </row>
    <row r="1203" spans="31:31">
      <c r="AE1203" s="310">
        <v>66523</v>
      </c>
    </row>
    <row r="1204" spans="31:31">
      <c r="AE1204" s="310">
        <v>66621</v>
      </c>
    </row>
    <row r="1205" spans="31:31">
      <c r="AE1205" s="310">
        <v>66646</v>
      </c>
    </row>
    <row r="1206" spans="31:31">
      <c r="AE1206" s="310">
        <v>66660</v>
      </c>
    </row>
    <row r="1207" spans="31:31">
      <c r="AE1207" s="310">
        <v>66726</v>
      </c>
    </row>
    <row r="1208" spans="31:31">
      <c r="AE1208" s="310">
        <v>66761</v>
      </c>
    </row>
    <row r="1209" spans="31:31">
      <c r="AE1209" s="310">
        <v>66783</v>
      </c>
    </row>
    <row r="1210" spans="31:31">
      <c r="AE1210" s="310">
        <v>66791</v>
      </c>
    </row>
    <row r="1211" spans="31:31">
      <c r="AE1211" s="310">
        <v>66806</v>
      </c>
    </row>
    <row r="1212" spans="31:31">
      <c r="AE1212" s="310">
        <v>66835</v>
      </c>
    </row>
    <row r="1213" spans="31:31">
      <c r="AE1213" s="310">
        <v>66842</v>
      </c>
    </row>
    <row r="1214" spans="31:31">
      <c r="AE1214" s="310">
        <v>66859</v>
      </c>
    </row>
    <row r="1215" spans="31:31">
      <c r="AE1215" s="310">
        <v>66884</v>
      </c>
    </row>
    <row r="1216" spans="31:31">
      <c r="AE1216" s="310">
        <v>66887</v>
      </c>
    </row>
    <row r="1217" spans="31:31">
      <c r="AE1217" s="310">
        <v>66992</v>
      </c>
    </row>
    <row r="1218" spans="31:31">
      <c r="AE1218" s="310">
        <v>67010</v>
      </c>
    </row>
    <row r="1219" spans="31:31">
      <c r="AE1219" s="310">
        <v>67027</v>
      </c>
    </row>
    <row r="1220" spans="31:31">
      <c r="AE1220" s="310">
        <v>67090</v>
      </c>
    </row>
    <row r="1221" spans="31:31">
      <c r="AE1221" s="310">
        <v>67125</v>
      </c>
    </row>
    <row r="1222" spans="31:31">
      <c r="AE1222" s="310">
        <v>67147</v>
      </c>
    </row>
    <row r="1223" spans="31:31">
      <c r="AE1223" s="310">
        <v>67156</v>
      </c>
    </row>
    <row r="1224" spans="31:31">
      <c r="AE1224" s="310">
        <v>67170</v>
      </c>
    </row>
    <row r="1225" spans="31:31">
      <c r="AE1225" s="310">
        <v>67199</v>
      </c>
    </row>
    <row r="1226" spans="31:31">
      <c r="AE1226" s="310">
        <v>67206</v>
      </c>
    </row>
    <row r="1227" spans="31:31">
      <c r="AE1227" s="310">
        <v>67223</v>
      </c>
    </row>
    <row r="1228" spans="31:31">
      <c r="AE1228" s="310">
        <v>67248</v>
      </c>
    </row>
    <row r="1229" spans="31:31">
      <c r="AE1229" s="310">
        <v>67252</v>
      </c>
    </row>
    <row r="1230" spans="31:31">
      <c r="AE1230" s="310">
        <v>67258</v>
      </c>
    </row>
    <row r="1231" spans="31:31">
      <c r="AE1231" s="310">
        <v>67356</v>
      </c>
    </row>
    <row r="1232" spans="31:31">
      <c r="AE1232" s="310">
        <v>67377</v>
      </c>
    </row>
    <row r="1233" spans="31:31">
      <c r="AE1233" s="310">
        <v>67392</v>
      </c>
    </row>
    <row r="1234" spans="31:31">
      <c r="AE1234" s="310">
        <v>67454</v>
      </c>
    </row>
    <row r="1235" spans="31:31">
      <c r="AE1235" s="310">
        <v>67489</v>
      </c>
    </row>
    <row r="1236" spans="31:31">
      <c r="AE1236" s="310">
        <v>67518</v>
      </c>
    </row>
    <row r="1237" spans="31:31">
      <c r="AE1237" s="310">
        <v>67521</v>
      </c>
    </row>
    <row r="1238" spans="31:31">
      <c r="AE1238" s="310">
        <v>67534</v>
      </c>
    </row>
    <row r="1239" spans="31:31">
      <c r="AE1239" s="310">
        <v>67566</v>
      </c>
    </row>
    <row r="1240" spans="31:31">
      <c r="AE1240" s="310">
        <v>67573</v>
      </c>
    </row>
    <row r="1241" spans="31:31">
      <c r="AE1241" s="310">
        <v>67587</v>
      </c>
    </row>
    <row r="1242" spans="31:31">
      <c r="AE1242" s="310">
        <v>67615</v>
      </c>
    </row>
    <row r="1243" spans="31:31">
      <c r="AE1243" s="310">
        <v>67618</v>
      </c>
    </row>
    <row r="1244" spans="31:31">
      <c r="AE1244" s="310">
        <v>67622</v>
      </c>
    </row>
    <row r="1245" spans="31:31">
      <c r="AE1245" s="310">
        <v>67720</v>
      </c>
    </row>
    <row r="1246" spans="31:31">
      <c r="AE1246" s="310">
        <v>67742</v>
      </c>
    </row>
    <row r="1247" spans="31:31">
      <c r="AE1247" s="310">
        <v>67757</v>
      </c>
    </row>
    <row r="1248" spans="31:31">
      <c r="AE1248" s="310">
        <v>67818</v>
      </c>
    </row>
    <row r="1249" spans="31:31">
      <c r="AE1249" s="310">
        <v>67853</v>
      </c>
    </row>
    <row r="1250" spans="31:31">
      <c r="AE1250" s="310">
        <v>67882</v>
      </c>
    </row>
    <row r="1251" spans="31:31">
      <c r="AE1251" s="310">
        <v>67888</v>
      </c>
    </row>
    <row r="1252" spans="31:31">
      <c r="AE1252" s="310">
        <v>67898</v>
      </c>
    </row>
    <row r="1253" spans="31:31">
      <c r="AE1253" s="310">
        <v>67931</v>
      </c>
    </row>
    <row r="1254" spans="31:31">
      <c r="AE1254" s="310">
        <v>67938</v>
      </c>
    </row>
    <row r="1255" spans="31:31">
      <c r="AE1255" s="310">
        <v>67958</v>
      </c>
    </row>
    <row r="1256" spans="31:31">
      <c r="AE1256" s="310">
        <v>67980</v>
      </c>
    </row>
    <row r="1257" spans="31:31">
      <c r="AE1257" s="310">
        <v>67983</v>
      </c>
    </row>
    <row r="1258" spans="31:31">
      <c r="AE1258" s="310">
        <v>67986</v>
      </c>
    </row>
    <row r="1259" spans="31:31">
      <c r="AE1259" s="310">
        <v>68084</v>
      </c>
    </row>
    <row r="1260" spans="31:31">
      <c r="AE1260" s="310">
        <v>68107</v>
      </c>
    </row>
    <row r="1261" spans="31:31">
      <c r="AE1261" s="310">
        <v>68122</v>
      </c>
    </row>
    <row r="1262" spans="31:31">
      <c r="AE1262" s="310">
        <v>68182</v>
      </c>
    </row>
    <row r="1263" spans="31:31">
      <c r="AE1263" s="310">
        <v>68224</v>
      </c>
    </row>
    <row r="1264" spans="31:31">
      <c r="AE1264" s="310">
        <v>68246</v>
      </c>
    </row>
    <row r="1265" spans="31:31">
      <c r="AE1265" s="310">
        <v>68252</v>
      </c>
    </row>
    <row r="1266" spans="31:31">
      <c r="AE1266" s="310">
        <v>68269</v>
      </c>
    </row>
    <row r="1267" spans="31:31">
      <c r="AE1267" s="310">
        <v>68296</v>
      </c>
    </row>
    <row r="1268" spans="31:31">
      <c r="AE1268" s="310">
        <v>68303</v>
      </c>
    </row>
    <row r="1269" spans="31:31">
      <c r="AE1269" s="310">
        <v>68322</v>
      </c>
    </row>
    <row r="1270" spans="31:31">
      <c r="AE1270" s="310">
        <v>68345</v>
      </c>
    </row>
    <row r="1271" spans="31:31">
      <c r="AE1271" s="310">
        <v>68350</v>
      </c>
    </row>
    <row r="1272" spans="31:31">
      <c r="AE1272" s="310">
        <v>68448</v>
      </c>
    </row>
    <row r="1273" spans="31:31">
      <c r="AE1273" s="310">
        <v>68472</v>
      </c>
    </row>
    <row r="1274" spans="31:31">
      <c r="AE1274" s="310">
        <v>68487</v>
      </c>
    </row>
    <row r="1275" spans="31:31">
      <c r="AE1275" s="310">
        <v>68546</v>
      </c>
    </row>
    <row r="1276" spans="31:31">
      <c r="AE1276" s="310">
        <v>68588</v>
      </c>
    </row>
    <row r="1277" spans="31:31">
      <c r="AE1277" s="310">
        <v>68610</v>
      </c>
    </row>
    <row r="1278" spans="31:31">
      <c r="AE1278" s="310">
        <v>68617</v>
      </c>
    </row>
    <row r="1279" spans="31:31">
      <c r="AE1279" s="310">
        <v>68633</v>
      </c>
    </row>
    <row r="1280" spans="31:31">
      <c r="AE1280" s="310">
        <v>68661</v>
      </c>
    </row>
    <row r="1281" spans="31:31">
      <c r="AE1281" s="310">
        <v>68668</v>
      </c>
    </row>
    <row r="1282" spans="31:31">
      <c r="AE1282" s="310">
        <v>68686</v>
      </c>
    </row>
    <row r="1283" spans="31:31">
      <c r="AE1283" s="310">
        <v>68710</v>
      </c>
    </row>
    <row r="1284" spans="31:31">
      <c r="AE1284" s="310">
        <v>68714</v>
      </c>
    </row>
    <row r="1285" spans="31:31">
      <c r="AE1285" s="310">
        <v>68819</v>
      </c>
    </row>
    <row r="1286" spans="31:31">
      <c r="AE1286" s="310">
        <v>68837</v>
      </c>
    </row>
    <row r="1287" spans="31:31">
      <c r="AE1287" s="310">
        <v>68854</v>
      </c>
    </row>
    <row r="1288" spans="31:31">
      <c r="AE1288" s="310">
        <v>68917</v>
      </c>
    </row>
    <row r="1289" spans="31:31">
      <c r="AE1289" s="310">
        <v>68952</v>
      </c>
    </row>
    <row r="1290" spans="31:31">
      <c r="AE1290" s="310">
        <v>68974</v>
      </c>
    </row>
    <row r="1291" spans="31:31">
      <c r="AE1291" s="310">
        <v>68983</v>
      </c>
    </row>
    <row r="1292" spans="31:31">
      <c r="AE1292" s="310">
        <v>68997</v>
      </c>
    </row>
    <row r="1293" spans="31:31">
      <c r="AE1293" s="310">
        <v>69026</v>
      </c>
    </row>
    <row r="1294" spans="31:31">
      <c r="AE1294" s="310">
        <v>69033</v>
      </c>
    </row>
    <row r="1295" spans="31:31">
      <c r="AE1295" s="310">
        <v>69050</v>
      </c>
    </row>
    <row r="1296" spans="31:31">
      <c r="AE1296" s="310">
        <v>69075</v>
      </c>
    </row>
    <row r="1297" spans="31:31">
      <c r="AE1297" s="310">
        <v>69079</v>
      </c>
    </row>
    <row r="1298" spans="31:31">
      <c r="AE1298" s="310">
        <v>69085</v>
      </c>
    </row>
    <row r="1299" spans="31:31">
      <c r="AE1299" s="310">
        <v>69183</v>
      </c>
    </row>
    <row r="1300" spans="31:31">
      <c r="AE1300" s="310">
        <v>69204</v>
      </c>
    </row>
    <row r="1301" spans="31:31">
      <c r="AE1301" s="310">
        <v>69218</v>
      </c>
    </row>
    <row r="1302" spans="31:31">
      <c r="AE1302" s="310">
        <v>69281</v>
      </c>
    </row>
    <row r="1303" spans="31:31">
      <c r="AE1303" s="310">
        <v>69316</v>
      </c>
    </row>
    <row r="1304" spans="31:31">
      <c r="AE1304" s="310">
        <v>69345</v>
      </c>
    </row>
    <row r="1305" spans="31:31">
      <c r="AE1305" s="310">
        <v>69348</v>
      </c>
    </row>
    <row r="1306" spans="31:31">
      <c r="AE1306" s="310">
        <v>69361</v>
      </c>
    </row>
    <row r="1307" spans="31:31">
      <c r="AE1307" s="310">
        <v>69393</v>
      </c>
    </row>
    <row r="1308" spans="31:31">
      <c r="AE1308" s="310">
        <v>69400</v>
      </c>
    </row>
    <row r="1309" spans="31:31">
      <c r="AE1309" s="310">
        <v>69414</v>
      </c>
    </row>
    <row r="1310" spans="31:31">
      <c r="AE1310" s="310">
        <v>69442</v>
      </c>
    </row>
    <row r="1311" spans="31:31">
      <c r="AE1311" s="310">
        <v>69444</v>
      </c>
    </row>
    <row r="1312" spans="31:31">
      <c r="AE1312" s="310">
        <v>69449</v>
      </c>
    </row>
    <row r="1313" spans="31:31">
      <c r="AE1313" s="310">
        <v>69547</v>
      </c>
    </row>
    <row r="1314" spans="31:31">
      <c r="AE1314" s="310">
        <v>69568</v>
      </c>
    </row>
    <row r="1315" spans="31:31">
      <c r="AE1315" s="310">
        <v>69583</v>
      </c>
    </row>
    <row r="1316" spans="31:31">
      <c r="AE1316" s="310">
        <v>69645</v>
      </c>
    </row>
    <row r="1317" spans="31:31">
      <c r="AE1317" s="310">
        <v>69680</v>
      </c>
    </row>
    <row r="1318" spans="31:31">
      <c r="AE1318" s="310">
        <v>69709</v>
      </c>
    </row>
    <row r="1319" spans="31:31">
      <c r="AE1319" s="310">
        <v>69712</v>
      </c>
    </row>
    <row r="1320" spans="31:31">
      <c r="AE1320" s="310">
        <v>69725</v>
      </c>
    </row>
    <row r="1321" spans="31:31">
      <c r="AE1321" s="310">
        <v>69757</v>
      </c>
    </row>
    <row r="1322" spans="31:31">
      <c r="AE1322" s="310">
        <v>69764</v>
      </c>
    </row>
    <row r="1323" spans="31:31">
      <c r="AE1323" s="310">
        <v>69778</v>
      </c>
    </row>
    <row r="1324" spans="31:31">
      <c r="AE1324" s="310">
        <v>69806</v>
      </c>
    </row>
    <row r="1325" spans="31:31">
      <c r="AE1325" s="310">
        <v>69809</v>
      </c>
    </row>
    <row r="1326" spans="31:31">
      <c r="AE1326" s="310">
        <v>69813</v>
      </c>
    </row>
    <row r="1327" spans="31:31">
      <c r="AE1327" s="310">
        <v>69911</v>
      </c>
    </row>
    <row r="1328" spans="31:31">
      <c r="AE1328" s="310">
        <v>69933</v>
      </c>
    </row>
    <row r="1329" spans="31:31">
      <c r="AE1329" s="310">
        <v>69948</v>
      </c>
    </row>
    <row r="1330" spans="31:31">
      <c r="AE1330" s="310">
        <v>70009</v>
      </c>
    </row>
    <row r="1331" spans="31:31">
      <c r="AE1331" s="310">
        <v>70044</v>
      </c>
    </row>
    <row r="1332" spans="31:31">
      <c r="AE1332" s="310">
        <v>70073</v>
      </c>
    </row>
    <row r="1333" spans="31:31">
      <c r="AE1333" s="310">
        <v>70079</v>
      </c>
    </row>
    <row r="1334" spans="31:31">
      <c r="AE1334" s="310">
        <v>70089</v>
      </c>
    </row>
    <row r="1335" spans="31:31">
      <c r="AE1335" s="310">
        <v>70122</v>
      </c>
    </row>
    <row r="1336" spans="31:31">
      <c r="AE1336" s="310">
        <v>70129</v>
      </c>
    </row>
    <row r="1337" spans="31:31">
      <c r="AE1337" s="310">
        <v>70149</v>
      </c>
    </row>
    <row r="1338" spans="31:31">
      <c r="AE1338" s="310">
        <v>70171</v>
      </c>
    </row>
    <row r="1339" spans="31:31">
      <c r="AE1339" s="310">
        <v>70174</v>
      </c>
    </row>
    <row r="1340" spans="31:31">
      <c r="AE1340" s="310">
        <v>70177</v>
      </c>
    </row>
    <row r="1341" spans="31:31">
      <c r="AE1341" s="310">
        <v>70275</v>
      </c>
    </row>
    <row r="1342" spans="31:31">
      <c r="AE1342" s="310">
        <v>70299</v>
      </c>
    </row>
    <row r="1343" spans="31:31">
      <c r="AE1343" s="310">
        <v>70314</v>
      </c>
    </row>
    <row r="1344" spans="31:31">
      <c r="AE1344" s="310">
        <v>70373</v>
      </c>
    </row>
    <row r="1345" spans="31:31">
      <c r="AE1345" s="310">
        <v>70415</v>
      </c>
    </row>
    <row r="1346" spans="31:31">
      <c r="AE1346" s="310">
        <v>70437</v>
      </c>
    </row>
    <row r="1347" spans="31:31">
      <c r="AE1347" s="310">
        <v>70444</v>
      </c>
    </row>
    <row r="1348" spans="31:31">
      <c r="AE1348" s="310">
        <v>70460</v>
      </c>
    </row>
    <row r="1349" spans="31:31">
      <c r="AE1349" s="310">
        <v>70488</v>
      </c>
    </row>
    <row r="1350" spans="31:31">
      <c r="AE1350" s="310">
        <v>70495</v>
      </c>
    </row>
    <row r="1351" spans="31:31">
      <c r="AE1351" s="310">
        <v>70513</v>
      </c>
    </row>
    <row r="1352" spans="31:31">
      <c r="AE1352" s="310">
        <v>70537</v>
      </c>
    </row>
    <row r="1353" spans="31:31">
      <c r="AE1353" s="310">
        <v>70541</v>
      </c>
    </row>
    <row r="1354" spans="31:31">
      <c r="AE1354" s="310">
        <v>70639</v>
      </c>
    </row>
    <row r="1355" spans="31:31">
      <c r="AE1355" s="310">
        <v>70664</v>
      </c>
    </row>
    <row r="1356" spans="31:31">
      <c r="AE1356" s="310">
        <v>70678</v>
      </c>
    </row>
    <row r="1357" spans="31:31">
      <c r="AE1357" s="310">
        <v>70744</v>
      </c>
    </row>
    <row r="1358" spans="31:31">
      <c r="AE1358" s="310">
        <v>70779</v>
      </c>
    </row>
    <row r="1359" spans="31:31">
      <c r="AE1359" s="310">
        <v>70801</v>
      </c>
    </row>
    <row r="1360" spans="31:31">
      <c r="AE1360" s="310">
        <v>70809</v>
      </c>
    </row>
    <row r="1361" spans="31:31">
      <c r="AE1361" s="310">
        <v>70824</v>
      </c>
    </row>
    <row r="1362" spans="31:31">
      <c r="AE1362" s="310">
        <v>70853</v>
      </c>
    </row>
    <row r="1363" spans="31:31">
      <c r="AE1363" s="310">
        <v>70860</v>
      </c>
    </row>
    <row r="1364" spans="31:31">
      <c r="AE1364" s="310">
        <v>70877</v>
      </c>
    </row>
    <row r="1365" spans="31:31">
      <c r="AE1365" s="310">
        <v>70902</v>
      </c>
    </row>
    <row r="1366" spans="31:31">
      <c r="AE1366" s="310">
        <v>70905</v>
      </c>
    </row>
    <row r="1367" spans="31:31">
      <c r="AE1367" s="310">
        <v>71010</v>
      </c>
    </row>
    <row r="1368" spans="31:31">
      <c r="AE1368" s="310">
        <v>71028</v>
      </c>
    </row>
    <row r="1369" spans="31:31">
      <c r="AE1369" s="310">
        <v>71045</v>
      </c>
    </row>
    <row r="1370" spans="31:31">
      <c r="AE1370" s="310">
        <v>71108</v>
      </c>
    </row>
    <row r="1371" spans="31:31">
      <c r="AE1371" s="310">
        <v>71143</v>
      </c>
    </row>
    <row r="1372" spans="31:31">
      <c r="AE1372" s="310">
        <v>71165</v>
      </c>
    </row>
    <row r="1373" spans="31:31">
      <c r="AE1373" s="310">
        <v>71174</v>
      </c>
    </row>
    <row r="1374" spans="31:31">
      <c r="AE1374" s="310">
        <v>71188</v>
      </c>
    </row>
    <row r="1375" spans="31:31">
      <c r="AE1375" s="310">
        <v>71217</v>
      </c>
    </row>
    <row r="1376" spans="31:31">
      <c r="AE1376" s="310">
        <v>71224</v>
      </c>
    </row>
    <row r="1377" spans="31:31">
      <c r="AE1377" s="310">
        <v>71241</v>
      </c>
    </row>
    <row r="1378" spans="31:31">
      <c r="AE1378" s="310">
        <v>71266</v>
      </c>
    </row>
    <row r="1379" spans="31:31">
      <c r="AE1379" s="310">
        <v>71270</v>
      </c>
    </row>
    <row r="1380" spans="31:31">
      <c r="AE1380" s="310">
        <v>71276</v>
      </c>
    </row>
    <row r="1381" spans="31:31">
      <c r="AE1381" s="310">
        <v>71374</v>
      </c>
    </row>
    <row r="1382" spans="31:31">
      <c r="AE1382" s="310">
        <v>71395</v>
      </c>
    </row>
    <row r="1383" spans="31:31">
      <c r="AE1383" s="310">
        <v>71409</v>
      </c>
    </row>
    <row r="1384" spans="31:31">
      <c r="AE1384" s="310">
        <v>71472</v>
      </c>
    </row>
    <row r="1385" spans="31:31">
      <c r="AE1385" s="310">
        <v>71507</v>
      </c>
    </row>
    <row r="1386" spans="31:31">
      <c r="AE1386" s="310">
        <v>71536</v>
      </c>
    </row>
    <row r="1387" spans="31:31">
      <c r="AE1387" s="310">
        <v>71539</v>
      </c>
    </row>
    <row r="1388" spans="31:31">
      <c r="AE1388" s="310">
        <v>71552</v>
      </c>
    </row>
    <row r="1389" spans="31:31">
      <c r="AE1389" s="310">
        <v>71584</v>
      </c>
    </row>
    <row r="1390" spans="31:31">
      <c r="AE1390" s="310">
        <v>71591</v>
      </c>
    </row>
    <row r="1391" spans="31:31">
      <c r="AE1391" s="310">
        <v>71605</v>
      </c>
    </row>
    <row r="1392" spans="31:31">
      <c r="AE1392" s="310">
        <v>71633</v>
      </c>
    </row>
    <row r="1393" spans="31:31">
      <c r="AE1393" s="310">
        <v>71635</v>
      </c>
    </row>
    <row r="1394" spans="31:31">
      <c r="AE1394" s="310">
        <v>71640</v>
      </c>
    </row>
    <row r="1395" spans="31:31">
      <c r="AE1395" s="310">
        <v>71738</v>
      </c>
    </row>
    <row r="1396" spans="31:31">
      <c r="AE1396" s="310">
        <v>71760</v>
      </c>
    </row>
    <row r="1397" spans="31:31">
      <c r="AE1397" s="310">
        <v>71775</v>
      </c>
    </row>
    <row r="1398" spans="31:31">
      <c r="AE1398" s="310">
        <v>71836</v>
      </c>
    </row>
    <row r="1399" spans="31:31">
      <c r="AE1399" s="310">
        <v>71871</v>
      </c>
    </row>
    <row r="1400" spans="31:31">
      <c r="AE1400" s="310">
        <v>71900</v>
      </c>
    </row>
    <row r="1401" spans="31:31">
      <c r="AE1401" s="310">
        <v>71906</v>
      </c>
    </row>
    <row r="1402" spans="31:31">
      <c r="AE1402" s="310">
        <v>71916</v>
      </c>
    </row>
    <row r="1403" spans="31:31">
      <c r="AE1403" s="310">
        <v>71949</v>
      </c>
    </row>
    <row r="1404" spans="31:31">
      <c r="AE1404" s="310">
        <v>71956</v>
      </c>
    </row>
    <row r="1405" spans="31:31">
      <c r="AE1405" s="310">
        <v>71976</v>
      </c>
    </row>
    <row r="1406" spans="31:31">
      <c r="AE1406" s="310">
        <v>71998</v>
      </c>
    </row>
    <row r="1407" spans="31:31">
      <c r="AE1407" s="310">
        <v>72001</v>
      </c>
    </row>
    <row r="1408" spans="31:31">
      <c r="AE1408" s="310">
        <v>72004</v>
      </c>
    </row>
    <row r="1409" spans="31:31">
      <c r="AE1409" s="310">
        <v>72102</v>
      </c>
    </row>
    <row r="1410" spans="31:31">
      <c r="AE1410" s="310">
        <v>72125</v>
      </c>
    </row>
    <row r="1411" spans="31:31">
      <c r="AE1411" s="310">
        <v>72140</v>
      </c>
    </row>
    <row r="1412" spans="31:31">
      <c r="AE1412" s="310">
        <v>72200</v>
      </c>
    </row>
    <row r="1413" spans="31:31">
      <c r="AE1413" s="310">
        <v>72242</v>
      </c>
    </row>
    <row r="1414" spans="31:31">
      <c r="AE1414" s="310">
        <v>72264</v>
      </c>
    </row>
    <row r="1415" spans="31:31">
      <c r="AE1415" s="310">
        <v>72270</v>
      </c>
    </row>
    <row r="1416" spans="31:31">
      <c r="AE1416" s="310">
        <v>72287</v>
      </c>
    </row>
    <row r="1417" spans="31:31">
      <c r="AE1417" s="310">
        <v>72314</v>
      </c>
    </row>
    <row r="1418" spans="31:31">
      <c r="AE1418" s="310">
        <v>72321</v>
      </c>
    </row>
    <row r="1419" spans="31:31">
      <c r="AE1419" s="310">
        <v>72340</v>
      </c>
    </row>
    <row r="1420" spans="31:31">
      <c r="AE1420" s="310">
        <v>72363</v>
      </c>
    </row>
    <row r="1421" spans="31:31">
      <c r="AE1421" s="310">
        <v>72368</v>
      </c>
    </row>
    <row r="1422" spans="31:31">
      <c r="AE1422" s="310">
        <v>72466</v>
      </c>
    </row>
    <row r="1423" spans="31:31">
      <c r="AE1423" s="310">
        <v>72490</v>
      </c>
    </row>
    <row r="1424" spans="31:31">
      <c r="AE1424" s="310">
        <v>72505</v>
      </c>
    </row>
    <row r="1425" spans="31:31">
      <c r="AE1425" s="310">
        <v>72564</v>
      </c>
    </row>
    <row r="1426" spans="31:31">
      <c r="AE1426" s="310">
        <v>72606</v>
      </c>
    </row>
    <row r="1427" spans="31:31">
      <c r="AE1427" s="310">
        <v>72628</v>
      </c>
    </row>
    <row r="1428" spans="31:31">
      <c r="AE1428" s="310">
        <v>72635</v>
      </c>
    </row>
    <row r="1429" spans="31:31">
      <c r="AE1429" s="310">
        <v>72651</v>
      </c>
    </row>
    <row r="1430" spans="31:31">
      <c r="AE1430" s="310">
        <v>72679</v>
      </c>
    </row>
    <row r="1431" spans="31:31">
      <c r="AE1431" s="310">
        <v>72686</v>
      </c>
    </row>
    <row r="1432" spans="31:31">
      <c r="AE1432" s="310">
        <v>72704</v>
      </c>
    </row>
    <row r="1433" spans="31:31">
      <c r="AE1433" s="310">
        <v>72728</v>
      </c>
    </row>
    <row r="1434" spans="31:31">
      <c r="AE1434" s="310">
        <v>72732</v>
      </c>
    </row>
    <row r="1435" spans="31:31">
      <c r="AE1435" s="310">
        <v>72830</v>
      </c>
    </row>
    <row r="1436" spans="31:31">
      <c r="AE1436" s="310">
        <v>72855</v>
      </c>
    </row>
    <row r="1437" spans="31:31">
      <c r="AE1437" s="310">
        <v>72869</v>
      </c>
    </row>
    <row r="1438" spans="31:31">
      <c r="AE1438" s="310">
        <v>72935</v>
      </c>
    </row>
    <row r="1439" spans="31:31">
      <c r="AE1439" s="310">
        <v>72970</v>
      </c>
    </row>
    <row r="1440" spans="31:31">
      <c r="AE1440" s="310">
        <v>72992</v>
      </c>
    </row>
    <row r="1441" spans="31:31">
      <c r="AE1441" s="310">
        <v>73000</v>
      </c>
    </row>
    <row r="1442" spans="31:31">
      <c r="AE1442" s="310">
        <v>73015</v>
      </c>
    </row>
    <row r="1443" spans="31:31">
      <c r="AE1443" s="310">
        <v>73044</v>
      </c>
    </row>
  </sheetData>
  <mergeCells count="1">
    <mergeCell ref="Y9:Z9"/>
  </mergeCells>
  <pageMargins left="0.7" right="0.7" top="0.75" bottom="0.75" header="0.3" footer="0.3"/>
  <pageSetup orientation="portrait" r:id="rId1"/>
  <ignoredErrors>
    <ignoredError sqref="C3" unlockedFormula="1"/>
  </ignoredErrors>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8A43DA9-D3A2-4974-9687-3BC7E9C94B8C}">
          <x14:formula1>
            <xm:f>Utilities!$B$62:$B$63</xm:f>
          </x14:formula1>
          <xm:sqref>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F878-3FBB-4982-AF56-3840AA22ADDC}">
  <sheetPr codeName="Sheet13"/>
  <dimension ref="B2:AD38"/>
  <sheetViews>
    <sheetView workbookViewId="0"/>
  </sheetViews>
  <sheetFormatPr defaultRowHeight="12"/>
  <cols>
    <col min="1" max="1" width="4.5703125" customWidth="1"/>
    <col min="2" max="2" width="13.7109375" style="162" bestFit="1" customWidth="1"/>
    <col min="3" max="3" width="6.7109375" style="316" bestFit="1" customWidth="1"/>
    <col min="4" max="4" width="7" style="139" bestFit="1" customWidth="1"/>
    <col min="5" max="5" width="8.5703125" bestFit="1" customWidth="1"/>
    <col min="6" max="6" width="4.5703125" customWidth="1"/>
    <col min="7" max="7" width="12.5703125" style="162" bestFit="1" customWidth="1"/>
    <col min="8" max="8" width="6.7109375" style="316" bestFit="1" customWidth="1"/>
    <col min="9" max="9" width="7" style="139" bestFit="1" customWidth="1"/>
    <col min="10" max="10" width="8.5703125" style="159" bestFit="1" customWidth="1"/>
    <col min="11" max="11" width="4.5703125" customWidth="1"/>
    <col min="12" max="12" width="12" style="162" bestFit="1" customWidth="1"/>
    <col min="13" max="13" width="6.7109375" style="316" bestFit="1" customWidth="1"/>
    <col min="14" max="14" width="7" style="139" bestFit="1" customWidth="1"/>
    <col min="15" max="15" width="8.5703125" bestFit="1" customWidth="1"/>
    <col min="16" max="16" width="4.5703125" customWidth="1"/>
    <col min="17" max="17" width="12" style="162" bestFit="1" customWidth="1"/>
    <col min="18" max="18" width="6.7109375" style="316" bestFit="1" customWidth="1"/>
    <col min="19" max="19" width="7" style="139" bestFit="1" customWidth="1"/>
    <col min="20" max="20" width="8.5703125" bestFit="1" customWidth="1"/>
    <col min="21" max="21" width="4.5703125" customWidth="1"/>
    <col min="22" max="22" width="13.140625" style="162" bestFit="1" customWidth="1"/>
    <col min="23" max="23" width="6.7109375" style="316" bestFit="1" customWidth="1"/>
    <col min="24" max="24" width="7" style="139" bestFit="1" customWidth="1"/>
    <col min="25" max="25" width="8.5703125" style="159" bestFit="1" customWidth="1"/>
    <col min="26" max="26" width="4.5703125" customWidth="1"/>
    <col min="27" max="27" width="12" style="162" bestFit="1" customWidth="1"/>
    <col min="28" max="28" width="6.7109375" style="316" bestFit="1" customWidth="1"/>
    <col min="29" max="29" width="7" style="139" bestFit="1" customWidth="1"/>
    <col min="30" max="30" width="8.5703125" style="159" bestFit="1" customWidth="1"/>
  </cols>
  <sheetData>
    <row r="2" spans="2:30">
      <c r="B2" s="160" t="s">
        <v>229</v>
      </c>
      <c r="C2" s="317"/>
      <c r="D2" s="315"/>
      <c r="E2" s="161"/>
      <c r="G2" s="160" t="s">
        <v>139</v>
      </c>
      <c r="H2" s="317"/>
      <c r="I2" s="315"/>
      <c r="J2" s="161"/>
      <c r="L2" s="160" t="s">
        <v>251</v>
      </c>
      <c r="M2" s="317"/>
      <c r="N2" s="315"/>
      <c r="O2" s="161"/>
      <c r="Q2" s="160" t="s">
        <v>253</v>
      </c>
      <c r="R2" s="317"/>
      <c r="S2" s="315"/>
      <c r="T2" s="161"/>
      <c r="V2" s="160" t="s">
        <v>71</v>
      </c>
      <c r="W2" s="317"/>
      <c r="X2" s="315"/>
      <c r="Y2" s="161"/>
      <c r="AA2" s="160" t="s">
        <v>270</v>
      </c>
      <c r="AB2" s="317"/>
      <c r="AC2" s="315"/>
      <c r="AD2" s="161"/>
    </row>
    <row r="3" spans="2:30">
      <c r="B3" s="160" t="s">
        <v>45</v>
      </c>
      <c r="C3" s="317" t="s">
        <v>52</v>
      </c>
      <c r="D3" s="315" t="s">
        <v>133</v>
      </c>
      <c r="E3" s="161" t="s">
        <v>189</v>
      </c>
      <c r="G3" s="160" t="s">
        <v>45</v>
      </c>
      <c r="H3" s="317" t="s">
        <v>52</v>
      </c>
      <c r="I3" s="315" t="s">
        <v>133</v>
      </c>
      <c r="J3" s="161" t="s">
        <v>189</v>
      </c>
      <c r="L3" s="160" t="s">
        <v>45</v>
      </c>
      <c r="M3" s="317" t="s">
        <v>52</v>
      </c>
      <c r="N3" s="315" t="s">
        <v>133</v>
      </c>
      <c r="O3" s="161" t="s">
        <v>189</v>
      </c>
      <c r="Q3" s="160" t="s">
        <v>45</v>
      </c>
      <c r="R3" s="317" t="s">
        <v>52</v>
      </c>
      <c r="S3" s="315" t="s">
        <v>133</v>
      </c>
      <c r="T3" s="161" t="s">
        <v>189</v>
      </c>
      <c r="V3" s="160" t="s">
        <v>45</v>
      </c>
      <c r="W3" s="317" t="s">
        <v>52</v>
      </c>
      <c r="X3" s="315" t="s">
        <v>133</v>
      </c>
      <c r="Y3" s="161" t="s">
        <v>189</v>
      </c>
      <c r="AA3" s="160" t="s">
        <v>45</v>
      </c>
      <c r="AB3" s="317" t="s">
        <v>52</v>
      </c>
      <c r="AC3" s="315" t="s">
        <v>133</v>
      </c>
      <c r="AD3" s="161" t="s">
        <v>189</v>
      </c>
    </row>
    <row r="4" spans="2:30">
      <c r="B4" s="162" cm="1">
        <f t="array" ref="B4:B24">_xlfn.LET(_xlpm.STACK,
_xlfn.VSTACK(CurveDate,
_xlfn._xlws.FILTER(BankBillRates3M[Maturity Date (T2)],BankBillRates3M[Applied]=TRUE),_xlfn.ANCHORARRAY(
Input!AT4),
_xlfn._xlws.FILTER(BBSW3MSwaps[Maturity Date, T2],BBSW3MSwaps[Numerical Solve])),
_xlfn._xlws.FILTER(_xlpm.STACK, _xlpm.STACK&lt;&gt;""))</f>
        <v>45471</v>
      </c>
      <c r="C4" s="316" cm="1">
        <f t="array" ref="C4:C24">YEARFRAC(CurveDate,_xlfn.CHOOSECOLS(_xlfn.ANCHORARRAY(B4),1),DCB_CCZR)</f>
        <v>0</v>
      </c>
      <c r="D4" s="139" t="str" cm="1">
        <f t="array" ref="D4:D24">IFERROR(-1*LN(_xlfn.ANCHORARRAY(E4))/_xlfn.ANCHORARRAY(C4),"")</f>
        <v/>
      </c>
      <c r="E4" s="159" cm="1">
        <f t="array" ref="E4:E24">_xlfn.LET(_xlpm.STACK,
_xlfn.VSTACK(1,
_xlfn._xlws.FILTER(BankBillRates3M[DF(T2)],BankBillRates3M[Applied]),_xlfn.ANCHORARRAY(
Input!AU4),
_xlfn._xlws.FILTER(BBSW3MSwaps[Solved DF],BBSW3MSwaps[Numerical Solve])),
_xlfn._xlws.FILTER(_xlpm.STACK,_xlpm.STACK&lt;&gt;""))</f>
        <v>1</v>
      </c>
      <c r="G4" s="162" cm="1">
        <f t="array" ref="G4:G31">_xlfn.LET(_xlpm.STACK,
_xlfn.VSTACK(CurveDate,
_xlfn._xlws.FILTER(AONIA[Maturity Date (T2)],AONIA[Analytical Solve]),
_xlfn._xlws.FILTER(AONIA[Final Payment Date (T3)],AONIA[Numerical Solve])),
_xlfn._xlws.FILTER(_xlpm.STACK,_xlpm.STACK&lt;&gt;""))</f>
        <v>45471</v>
      </c>
      <c r="H4" s="316" cm="1">
        <f t="array" ref="H4:H31">YEARFRAC(CurveDate,_xlfn.CHOOSECOLS(_xlfn.ANCHORARRAY(G4),1),DCB_CCZR)</f>
        <v>0</v>
      </c>
      <c r="I4" s="139" t="str" cm="1">
        <f t="array" ref="I4:I31">IFERROR(-1*LN(_xlfn.ANCHORARRAY(J4))/_xlfn.ANCHORARRAY(H4),"")</f>
        <v/>
      </c>
      <c r="J4" s="159" cm="1">
        <f t="array" ref="J4:J31">_xlfn.LET(_xlpm.STACK,
_xlfn.VSTACK(1,
_xlfn._xlws.FILTER(AONIA[DF(T2)],AONIA[Analytical Solve]),
_xlfn._xlws.FILTER(AONIA[Solved DF],AONIA[Numerical Solve])),
_xlfn._xlws.FILTER(_xlpm.STACK,_xlpm.STACK&lt;&gt;""))</f>
        <v>1</v>
      </c>
      <c r="L4" s="162" cm="1">
        <f t="array" ref="L4:L18">_xlfn.LET(_xlpm.STACK,
_xlfn.VSTACK(CurveDate,
_xlfn._xlws.FILTER(BankBillRates1M[Maturity Date (T2)],BankBillRates1M[Applied]=TRUE),
_xlfn._xlws.FILTER(BBSW1M[Maturity Date, T2],BBSW1M[Numerical Solve])),
_xlfn._xlws.FILTER(_xlpm.STACK,_xlpm.STACK&lt;&gt;""))</f>
        <v>45471</v>
      </c>
      <c r="M4" s="316" cm="1">
        <f t="array" ref="M4:M18">YEARFRAC(CurveDate,_xlfn.CHOOSECOLS(_xlfn.ANCHORARRAY(L4),1),DCB_CCZR)</f>
        <v>0</v>
      </c>
      <c r="N4" s="139" t="str" cm="1">
        <f t="array" ref="N4:N18">IFERROR(-1*LN(_xlfn.ANCHORARRAY(O4))/_xlfn.ANCHORARRAY(M4),"")</f>
        <v/>
      </c>
      <c r="O4" s="159" cm="1">
        <f t="array" ref="O4:O18">_xlfn.LET(_xlpm.STACK,
_xlfn.VSTACK(1,
_xlfn._xlws.FILTER(BankBillRates1M[DF(T2)],BankBillRates1M[Applied]),
_xlfn._xlws.FILTER(BBSW1M[Solved DF],BBSW1M[Numerical Solve])),
_xlfn._xlws.FILTER(_xlpm.STACK,_xlpm.STACK&lt;&gt;""))</f>
        <v>1</v>
      </c>
      <c r="Q4" s="162" cm="1">
        <f t="array" ref="Q4:Q18">_xlfn.LET(_xlpm.STACK,
_xlfn.VSTACK(CurveDate,
_xlfn._xlws.FILTER(BankBillRates6M[Maturity Date (T2)],BankBillRates6M[Applied]=TRUE),
_xlfn._xlws.FILTER(BBSW6M[Maturity Date, T2],BBSW6M[Numerical Solve])),
_xlfn._xlws.FILTER(_xlpm.STACK,_xlpm.STACK&lt;&gt;""))</f>
        <v>45471</v>
      </c>
      <c r="R4" s="316" cm="1">
        <f t="array" ref="R4:R18">YEARFRAC(CurveDate,_xlfn.CHOOSECOLS(_xlfn.ANCHORARRAY(Q4),1),DCB_CCZR)</f>
        <v>0</v>
      </c>
      <c r="S4" s="139" t="str" cm="1">
        <f t="array" ref="S4:S18">IFERROR(-1*LN(_xlfn.ANCHORARRAY(T4))/_xlfn.ANCHORARRAY(R4),"")</f>
        <v/>
      </c>
      <c r="T4" s="159" cm="1">
        <f t="array" ref="T4:T18">_xlfn.LET(_xlpm.STACK,
_xlfn.VSTACK(1,
_xlfn._xlws.FILTER(BankBillRates6M[DF(T2)],BankBillRates6M[Applied]),
_xlfn._xlws.FILTER(BBSW6M[Solved DF],BBSW6M[Numerical Solve])),
_xlfn._xlws.FILTER(_xlpm.STACK,_xlpm.STACK&lt;&gt;""))</f>
        <v>1</v>
      </c>
      <c r="V4" s="162" cm="1">
        <f t="array" ref="V4:V38">_xlfn.LET(_xlpm.STACK,
_xlfn.VSTACK(
CurveDate,
_xlfn._xlws.FILTER(SOFR[Maturity Date (T2)],SOFR[Analytical Solve]),
_xlfn._xlws.FILTER(SOFR[Final Payment Date (T3)],SOFR[Numerical Solve])),
_xlfn._xlws.FILTER(_xlpm.STACK,_xlpm.STACK&lt;&gt;""))</f>
        <v>45471</v>
      </c>
      <c r="W4" s="316" cm="1">
        <f t="array" ref="W4:W38">YEARFRAC(CurveDate,_xlfn.CHOOSECOLS(_xlfn.ANCHORARRAY(V4),1),DCB_CCZR)</f>
        <v>0</v>
      </c>
      <c r="X4" s="139" t="str" cm="1">
        <f t="array" ref="X4:X38">IFERROR(-1*LN(_xlfn.ANCHORARRAY(Y4))/_xlfn.ANCHORARRAY(W4),"")</f>
        <v/>
      </c>
      <c r="Y4" s="159" cm="1">
        <f t="array" ref="Y4:Y38">_xlfn.LET(_xlpm.STACK,
_xlfn.VSTACK(1,
_xlfn._xlws.FILTER(SOFR[DF(T2)],SOFR[Analytical Solve]),
_xlfn._xlws.FILTER(SOFR[Solved DF],SOFR[Numerical Solve])),
_xlfn._xlws.FILTER(_xlpm.STACK,_xlpm.STACK&lt;&gt;""))</f>
        <v>1</v>
      </c>
      <c r="AA4" s="162" cm="1">
        <f t="array" ref="AA4:AA17">_xlfn.LET(_xlpm.STACK,
_xlfn.VSTACK(
CurveDate,
_xlfn._xlws.FILTER(FCBS[Final Coupon Payment Date (T3)],FCBS[Valid])),
_xlfn._xlws.FILTER(_xlpm.STACK,_xlpm.STACK&lt;&gt;""))</f>
        <v>45471</v>
      </c>
      <c r="AB4" s="316" cm="1">
        <f t="array" ref="AB4:AB17">YEARFRAC(CurveDate,_xlfn.CHOOSECOLS(_xlfn.ANCHORARRAY(AA4),1),DCB_CCZR)</f>
        <v>0</v>
      </c>
      <c r="AC4" s="139" t="str" cm="1">
        <f t="array" ref="AC4:AC17">IFERROR(-1*LN(_xlfn.ANCHORARRAY(AD4))/_xlfn.ANCHORARRAY(AB4),"")</f>
        <v/>
      </c>
      <c r="AD4" s="159" cm="1">
        <f t="array" ref="AD4:AD17">_xlfn.LET(_xlpm.STACK,
_xlfn.VSTACK(1,
_xlfn._xlws.FILTER(FCBS[Solved DF],FCBS[Valid])),
_xlfn._xlws.FILTER(_xlpm.STACK,_xlpm.STACK&lt;&gt;""))</f>
        <v>1</v>
      </c>
    </row>
    <row r="5" spans="2:30">
      <c r="B5" s="162">
        <v>45474</v>
      </c>
      <c r="C5" s="316">
        <v>8.21917808219178E-3</v>
      </c>
      <c r="D5" s="139">
        <v>4.2992403159757067E-2</v>
      </c>
      <c r="E5" s="159">
        <v>0.99964670020732393</v>
      </c>
      <c r="G5" s="162">
        <v>45474</v>
      </c>
      <c r="H5" s="316">
        <v>8.21917808219178E-3</v>
      </c>
      <c r="I5" s="139">
        <v>4.2992403159757067E-2</v>
      </c>
      <c r="J5" s="159">
        <v>0.99964670020732393</v>
      </c>
      <c r="L5" s="162">
        <v>45474</v>
      </c>
      <c r="M5" s="316">
        <v>8.21917808219178E-3</v>
      </c>
      <c r="N5" s="139">
        <v>4.2992403159757067E-2</v>
      </c>
      <c r="O5" s="159">
        <v>0.99964670020732393</v>
      </c>
      <c r="Q5" s="162">
        <v>45474</v>
      </c>
      <c r="R5" s="316">
        <v>8.21917808219178E-3</v>
      </c>
      <c r="S5" s="139">
        <v>4.2992403159757067E-2</v>
      </c>
      <c r="T5" s="159">
        <v>0.99964670020732393</v>
      </c>
      <c r="V5" s="162">
        <v>45474</v>
      </c>
      <c r="W5" s="316">
        <v>8.21917808219178E-3</v>
      </c>
      <c r="X5" s="139">
        <v>5.0683886034643369E-2</v>
      </c>
      <c r="Y5" s="159">
        <v>0.9995835068721366</v>
      </c>
      <c r="AA5" s="162">
        <v>45841</v>
      </c>
      <c r="AB5" s="316">
        <v>1.0136986301369864</v>
      </c>
      <c r="AC5" s="139">
        <v>4.359494635554105E-2</v>
      </c>
      <c r="AD5" s="159">
        <v>0.95677010848899424</v>
      </c>
    </row>
    <row r="6" spans="2:30">
      <c r="B6" s="162">
        <v>45475</v>
      </c>
      <c r="C6" s="316">
        <v>1.0958904109589041E-2</v>
      </c>
      <c r="D6" s="139">
        <v>4.2993669200375687E-2</v>
      </c>
      <c r="E6" s="159">
        <v>0.99952894748200405</v>
      </c>
      <c r="G6" s="162">
        <v>45475</v>
      </c>
      <c r="H6" s="316">
        <v>1.0958904109589041E-2</v>
      </c>
      <c r="I6" s="139">
        <v>4.2989871674889407E-2</v>
      </c>
      <c r="J6" s="159">
        <v>0.99952898907911891</v>
      </c>
      <c r="L6" s="162">
        <v>45475</v>
      </c>
      <c r="M6" s="316">
        <v>1.0958904109589041E-2</v>
      </c>
      <c r="N6" s="139">
        <v>4.2993669200375687E-2</v>
      </c>
      <c r="O6" s="159">
        <v>0.99952894748200405</v>
      </c>
      <c r="Q6" s="162">
        <v>45475</v>
      </c>
      <c r="R6" s="316">
        <v>1.0958904109589041E-2</v>
      </c>
      <c r="S6" s="139">
        <v>4.2993669200375687E-2</v>
      </c>
      <c r="T6" s="159">
        <v>0.99952894748200405</v>
      </c>
      <c r="V6" s="162">
        <v>45475</v>
      </c>
      <c r="W6" s="316">
        <v>1.0958904109589041E-2</v>
      </c>
      <c r="X6" s="139">
        <v>5.0680367867636751E-2</v>
      </c>
      <c r="Y6" s="159">
        <v>0.99944475291504709</v>
      </c>
      <c r="AA6" s="162">
        <v>46028</v>
      </c>
      <c r="AB6" s="316">
        <v>1.526027397260274</v>
      </c>
      <c r="AC6" s="139">
        <v>4.3596316750634585E-2</v>
      </c>
      <c r="AD6" s="159">
        <v>0.93563561942940709</v>
      </c>
    </row>
    <row r="7" spans="2:30">
      <c r="B7" s="162">
        <v>45481</v>
      </c>
      <c r="C7" s="316">
        <v>2.7397260273972601E-2</v>
      </c>
      <c r="D7" s="139">
        <v>4.2985316671086467E-2</v>
      </c>
      <c r="E7" s="159">
        <v>0.99882301328404044</v>
      </c>
      <c r="G7" s="162">
        <v>45481</v>
      </c>
      <c r="H7" s="316">
        <v>2.7397260273972601E-2</v>
      </c>
      <c r="I7" s="139">
        <v>4.2985316671086467E-2</v>
      </c>
      <c r="J7" s="159">
        <v>0.99882301328404044</v>
      </c>
      <c r="L7" s="162">
        <v>45481</v>
      </c>
      <c r="M7" s="316">
        <v>2.7397260273972601E-2</v>
      </c>
      <c r="N7" s="139">
        <v>4.2985316671086467E-2</v>
      </c>
      <c r="O7" s="159">
        <v>0.99882301328404044</v>
      </c>
      <c r="Q7" s="162">
        <v>45481</v>
      </c>
      <c r="R7" s="316">
        <v>2.7397260273972601E-2</v>
      </c>
      <c r="S7" s="139">
        <v>4.2985316671086467E-2</v>
      </c>
      <c r="T7" s="159">
        <v>0.99882301328404044</v>
      </c>
      <c r="V7" s="162">
        <v>45483</v>
      </c>
      <c r="W7" s="316">
        <v>3.287671232876712E-2</v>
      </c>
      <c r="X7" s="139">
        <v>5.0670990428369249E-2</v>
      </c>
      <c r="Y7" s="159">
        <v>0.99833549125809373</v>
      </c>
      <c r="AA7" s="162">
        <v>46206</v>
      </c>
      <c r="AB7" s="316">
        <v>2.0136986301369864</v>
      </c>
      <c r="AC7" s="139">
        <v>4.3591620065675733E-2</v>
      </c>
      <c r="AD7" s="159">
        <v>0.91596201307350322</v>
      </c>
    </row>
    <row r="8" spans="2:30">
      <c r="B8" s="162">
        <v>45566</v>
      </c>
      <c r="C8" s="316">
        <v>0.26027397260273971</v>
      </c>
      <c r="D8" s="139">
        <v>4.4691308923766999E-2</v>
      </c>
      <c r="E8" s="159">
        <v>0.98843540547129338</v>
      </c>
      <c r="G8" s="162">
        <v>45505</v>
      </c>
      <c r="H8" s="316">
        <v>9.3150684931506855E-2</v>
      </c>
      <c r="I8" s="139">
        <v>4.2927912502097335E-2</v>
      </c>
      <c r="J8" s="159">
        <v>0.99600921996018177</v>
      </c>
      <c r="L8" s="162">
        <v>45505</v>
      </c>
      <c r="M8" s="316">
        <v>9.3150684931506855E-2</v>
      </c>
      <c r="N8" s="139">
        <v>4.3836321074389013E-2</v>
      </c>
      <c r="O8" s="159">
        <v>0.99592494234060447</v>
      </c>
      <c r="Q8" s="162">
        <v>45659</v>
      </c>
      <c r="R8" s="316">
        <v>0.51506849315068493</v>
      </c>
      <c r="S8" s="139">
        <v>4.5432378261561997E-2</v>
      </c>
      <c r="T8" s="159">
        <v>0.97687088853223003</v>
      </c>
      <c r="V8" s="162">
        <v>45490</v>
      </c>
      <c r="W8" s="316">
        <v>5.2054794520547946E-2</v>
      </c>
      <c r="X8" s="139">
        <v>5.0649849256134187E-2</v>
      </c>
      <c r="Y8" s="159">
        <v>0.99736690519588889</v>
      </c>
      <c r="AA8" s="162">
        <v>46573</v>
      </c>
      <c r="AB8" s="316">
        <v>3.0191780821917806</v>
      </c>
      <c r="AC8" s="139">
        <v>4.3591201565407939E-2</v>
      </c>
      <c r="AD8" s="159">
        <v>0.87668318509463072</v>
      </c>
    </row>
    <row r="9" spans="2:30">
      <c r="B9" s="162">
        <v>45639</v>
      </c>
      <c r="C9" s="316">
        <v>0.46027397260273972</v>
      </c>
      <c r="D9" s="139">
        <v>4.7377928626912695E-2</v>
      </c>
      <c r="E9" s="159">
        <v>0.97842922249154518</v>
      </c>
      <c r="G9" s="162">
        <v>45537</v>
      </c>
      <c r="H9" s="316">
        <v>0.18082191780821918</v>
      </c>
      <c r="I9" s="139">
        <v>4.2848086184702178E-2</v>
      </c>
      <c r="J9" s="159">
        <v>0.99228206428364074</v>
      </c>
      <c r="L9" s="162">
        <v>45839</v>
      </c>
      <c r="M9" s="316">
        <v>1.0082191780821919</v>
      </c>
      <c r="N9" s="139">
        <v>4.785007950626903E-2</v>
      </c>
      <c r="O9" s="159">
        <v>0.95290185319887899</v>
      </c>
      <c r="Q9" s="162">
        <v>45839</v>
      </c>
      <c r="R9" s="316">
        <v>1.0082191780821919</v>
      </c>
      <c r="S9" s="139">
        <v>5.009912471324425E-2</v>
      </c>
      <c r="T9" s="159">
        <v>0.95074356708824415</v>
      </c>
      <c r="V9" s="162">
        <v>45497</v>
      </c>
      <c r="W9" s="316">
        <v>7.1232876712328766E-2</v>
      </c>
      <c r="X9" s="139">
        <v>5.0626877523428461E-2</v>
      </c>
      <c r="Y9" s="159">
        <v>0.99640019675828562</v>
      </c>
      <c r="AA9" s="162">
        <v>46939</v>
      </c>
      <c r="AB9" s="316">
        <v>4.021917808219178</v>
      </c>
      <c r="AC9" s="139">
        <v>4.3591597763942218E-2</v>
      </c>
      <c r="AD9" s="159">
        <v>0.83918690737747992</v>
      </c>
    </row>
    <row r="10" spans="2:30">
      <c r="B10" s="162">
        <v>45729</v>
      </c>
      <c r="C10" s="316">
        <v>0.70684931506849313</v>
      </c>
      <c r="D10" s="139">
        <v>4.8185961990021516E-2</v>
      </c>
      <c r="E10" s="159">
        <v>0.96651330503224353</v>
      </c>
      <c r="G10" s="162">
        <v>45566</v>
      </c>
      <c r="H10" s="316">
        <v>0.26027397260273971</v>
      </c>
      <c r="I10" s="139">
        <v>4.2775711540593529E-2</v>
      </c>
      <c r="J10" s="159">
        <v>0.98892834260907314</v>
      </c>
      <c r="L10" s="162">
        <v>46204</v>
      </c>
      <c r="M10" s="316">
        <v>2.0082191780821916</v>
      </c>
      <c r="N10" s="139">
        <v>4.8369547633745048E-2</v>
      </c>
      <c r="O10" s="159">
        <v>0.90743199418049181</v>
      </c>
      <c r="Q10" s="162">
        <v>46204</v>
      </c>
      <c r="R10" s="316">
        <v>2.0082191780821916</v>
      </c>
      <c r="S10" s="139">
        <v>5.0626639497999518E-2</v>
      </c>
      <c r="T10" s="159">
        <v>0.90332815310619019</v>
      </c>
      <c r="V10" s="162">
        <v>45506</v>
      </c>
      <c r="W10" s="316">
        <v>9.5890410958904104E-2</v>
      </c>
      <c r="X10" s="139">
        <v>5.0596450823269509E-2</v>
      </c>
      <c r="Y10" s="159">
        <v>0.99516003609298009</v>
      </c>
      <c r="AA10" s="162">
        <v>47303</v>
      </c>
      <c r="AB10" s="316">
        <v>5.0191780821917806</v>
      </c>
      <c r="AC10" s="139">
        <v>4.3591728608541463E-2</v>
      </c>
      <c r="AD10" s="159">
        <v>0.80348669817381402</v>
      </c>
    </row>
    <row r="11" spans="2:30">
      <c r="B11" s="162">
        <v>45824</v>
      </c>
      <c r="C11" s="316">
        <v>0.9671232876712329</v>
      </c>
      <c r="D11" s="139">
        <v>4.858829885494232E-2</v>
      </c>
      <c r="E11" s="159">
        <v>0.95409610336184303</v>
      </c>
      <c r="G11" s="162">
        <v>45597</v>
      </c>
      <c r="H11" s="316">
        <v>0.34520547945205482</v>
      </c>
      <c r="I11" s="139">
        <v>4.2698599376028552E-2</v>
      </c>
      <c r="J11" s="159">
        <v>0.98536830847168899</v>
      </c>
      <c r="L11" s="162">
        <v>46569</v>
      </c>
      <c r="M11" s="316">
        <v>3.0082191780821916</v>
      </c>
      <c r="N11" s="139">
        <v>4.3760168392228307E-2</v>
      </c>
      <c r="O11" s="159">
        <v>0.87665637876739955</v>
      </c>
      <c r="Q11" s="162">
        <v>46569</v>
      </c>
      <c r="R11" s="316">
        <v>3.0082191780821916</v>
      </c>
      <c r="S11" s="139">
        <v>4.6016648211131925E-2</v>
      </c>
      <c r="T11" s="159">
        <v>0.87072579877720913</v>
      </c>
      <c r="V11" s="162">
        <v>45538</v>
      </c>
      <c r="W11" s="316">
        <v>0.18356164383561643</v>
      </c>
      <c r="X11" s="139">
        <v>5.0486265540423771E-2</v>
      </c>
      <c r="Y11" s="159">
        <v>0.99077546757377655</v>
      </c>
      <c r="AA11" s="162">
        <v>47667</v>
      </c>
      <c r="AB11" s="316">
        <v>6.0164383561643833</v>
      </c>
      <c r="AC11" s="139">
        <v>4.3589337922169895E-2</v>
      </c>
      <c r="AD11" s="159">
        <v>0.76931669700876959</v>
      </c>
    </row>
    <row r="12" spans="2:30">
      <c r="B12" s="162">
        <v>45915</v>
      </c>
      <c r="C12" s="316">
        <v>1.2164383561643837</v>
      </c>
      <c r="D12" s="139">
        <v>4.8812215369361603E-2</v>
      </c>
      <c r="E12" s="159">
        <v>0.94235138760654558</v>
      </c>
      <c r="G12" s="162">
        <v>45628</v>
      </c>
      <c r="H12" s="316">
        <v>0.43013698630136987</v>
      </c>
      <c r="I12" s="139">
        <v>4.2621810843784642E-2</v>
      </c>
      <c r="J12" s="159">
        <v>0.98183381386374668</v>
      </c>
      <c r="L12" s="162">
        <v>46937</v>
      </c>
      <c r="M12" s="316">
        <v>4.0164383561643833</v>
      </c>
      <c r="N12" s="139">
        <v>4.3548868857934492E-2</v>
      </c>
      <c r="O12" s="159">
        <v>0.8395314442426709</v>
      </c>
      <c r="Q12" s="162">
        <v>46937</v>
      </c>
      <c r="R12" s="316">
        <v>4.0164383561643833</v>
      </c>
      <c r="S12" s="139">
        <v>4.580894371007696E-2</v>
      </c>
      <c r="T12" s="159">
        <v>0.83194512274743193</v>
      </c>
      <c r="V12" s="162">
        <v>45567</v>
      </c>
      <c r="W12" s="316">
        <v>0.26301369863013696</v>
      </c>
      <c r="X12" s="139">
        <v>5.0386090744052904E-2</v>
      </c>
      <c r="Y12" s="159">
        <v>0.98683519212676074</v>
      </c>
      <c r="AA12" s="162">
        <v>48032</v>
      </c>
      <c r="AB12" s="316">
        <v>7.0164383561643833</v>
      </c>
      <c r="AC12" s="139">
        <v>4.3589198653740557E-2</v>
      </c>
      <c r="AD12" s="159">
        <v>0.73650376921843652</v>
      </c>
    </row>
    <row r="13" spans="2:30">
      <c r="B13" s="162">
        <v>46003</v>
      </c>
      <c r="C13" s="316">
        <v>1.4575342465753425</v>
      </c>
      <c r="D13" s="139">
        <v>4.8957622353152666E-2</v>
      </c>
      <c r="E13" s="159">
        <v>0.93112903669175351</v>
      </c>
      <c r="G13" s="162">
        <v>45659</v>
      </c>
      <c r="H13" s="316">
        <v>0.51506849315068493</v>
      </c>
      <c r="I13" s="139">
        <v>4.2545366025766737E-2</v>
      </c>
      <c r="J13" s="159">
        <v>0.97832458493832553</v>
      </c>
      <c r="L13" s="162">
        <v>47301</v>
      </c>
      <c r="M13" s="316">
        <v>5.0136986301369859</v>
      </c>
      <c r="N13" s="139">
        <v>4.3580093245987411E-2</v>
      </c>
      <c r="O13" s="159">
        <v>0.80372552588103319</v>
      </c>
      <c r="Q13" s="162">
        <v>47301</v>
      </c>
      <c r="R13" s="316">
        <v>5.0136986301369859</v>
      </c>
      <c r="S13" s="139">
        <v>4.5841728275866071E-2</v>
      </c>
      <c r="T13" s="159">
        <v>0.79466343174830445</v>
      </c>
      <c r="V13" s="162">
        <v>45600</v>
      </c>
      <c r="W13" s="316">
        <v>0.35342465753424657</v>
      </c>
      <c r="X13" s="139">
        <v>5.0272469093642379E-2</v>
      </c>
      <c r="Y13" s="159">
        <v>0.98238938170489265</v>
      </c>
      <c r="AA13" s="162">
        <v>48400</v>
      </c>
      <c r="AB13" s="316">
        <v>8.0246575342465754</v>
      </c>
      <c r="AC13" s="139">
        <v>4.3589109094708305E-2</v>
      </c>
      <c r="AD13" s="159">
        <v>0.70483773011835371</v>
      </c>
    </row>
    <row r="14" spans="2:30">
      <c r="B14" s="162">
        <v>46093</v>
      </c>
      <c r="C14" s="316">
        <v>1.704109589041096</v>
      </c>
      <c r="D14" s="139">
        <v>4.9064214270066575E-2</v>
      </c>
      <c r="E14" s="159">
        <v>0.91978917020971596</v>
      </c>
      <c r="G14" s="162">
        <v>45691</v>
      </c>
      <c r="H14" s="316">
        <v>0.60273972602739723</v>
      </c>
      <c r="I14" s="139">
        <v>4.2466823202809638E-2</v>
      </c>
      <c r="J14" s="159">
        <v>0.97472837028104331</v>
      </c>
      <c r="L14" s="162">
        <v>48030</v>
      </c>
      <c r="M14" s="316">
        <v>7.0109589041095894</v>
      </c>
      <c r="N14" s="139">
        <v>4.3615960622565626E-2</v>
      </c>
      <c r="O14" s="159">
        <v>0.73654149233178967</v>
      </c>
      <c r="Q14" s="162">
        <v>48030</v>
      </c>
      <c r="R14" s="316">
        <v>7.0109589041095894</v>
      </c>
      <c r="S14" s="139">
        <v>4.5879493203897725E-2</v>
      </c>
      <c r="T14" s="159">
        <v>0.7249451795545433</v>
      </c>
      <c r="V14" s="162">
        <v>45628</v>
      </c>
      <c r="W14" s="316">
        <v>0.43013698630136987</v>
      </c>
      <c r="X14" s="139">
        <v>5.0176499978204753E-2</v>
      </c>
      <c r="Y14" s="159">
        <v>0.97864847286663115</v>
      </c>
      <c r="AA14" s="162">
        <v>48765</v>
      </c>
      <c r="AB14" s="316">
        <v>9.0246575342465754</v>
      </c>
      <c r="AC14" s="139">
        <v>4.3589152163461084E-2</v>
      </c>
      <c r="AD14" s="159">
        <v>0.67477419467503752</v>
      </c>
    </row>
    <row r="15" spans="2:30">
      <c r="B15" s="162">
        <v>46188</v>
      </c>
      <c r="C15" s="316">
        <v>1.9643835616438357</v>
      </c>
      <c r="D15" s="139">
        <v>4.9145931071618597E-2</v>
      </c>
      <c r="E15" s="159">
        <v>0.90797225308992169</v>
      </c>
      <c r="G15" s="162">
        <v>45719</v>
      </c>
      <c r="H15" s="316">
        <v>0.67945205479452053</v>
      </c>
      <c r="I15" s="139">
        <v>4.2398406697086409E-2</v>
      </c>
      <c r="J15" s="159">
        <v>0.97160330082595037</v>
      </c>
      <c r="L15" s="162">
        <v>49128</v>
      </c>
      <c r="M15" s="316">
        <v>10.019178082191781</v>
      </c>
      <c r="N15" s="139">
        <v>4.3643517745362695E-2</v>
      </c>
      <c r="O15" s="159">
        <v>0.64579563714097454</v>
      </c>
      <c r="Q15" s="162">
        <v>49128</v>
      </c>
      <c r="R15" s="316">
        <v>10.019178082191781</v>
      </c>
      <c r="S15" s="139">
        <v>4.5908811414180399E-2</v>
      </c>
      <c r="T15" s="159">
        <v>0.63130349520725493</v>
      </c>
      <c r="V15" s="162">
        <v>45659</v>
      </c>
      <c r="W15" s="316">
        <v>0.51506849315068493</v>
      </c>
      <c r="X15" s="139">
        <v>5.0070763040628519E-2</v>
      </c>
      <c r="Y15" s="159">
        <v>0.97453984574598307</v>
      </c>
      <c r="AA15" s="162">
        <v>49130</v>
      </c>
      <c r="AB15" s="316">
        <v>10.024657534246575</v>
      </c>
      <c r="AC15" s="139">
        <v>4.3590200208298568E-2</v>
      </c>
      <c r="AD15" s="159">
        <v>0.64598639942848746</v>
      </c>
    </row>
    <row r="16" spans="2:30">
      <c r="B16" s="162">
        <v>46279</v>
      </c>
      <c r="C16" s="316">
        <v>2.2136986301369861</v>
      </c>
      <c r="D16" s="139">
        <v>4.9206171666525265E-2</v>
      </c>
      <c r="E16" s="159">
        <v>0.89679531191107931</v>
      </c>
      <c r="G16" s="162">
        <v>45748</v>
      </c>
      <c r="H16" s="316">
        <v>0.75890410958904109</v>
      </c>
      <c r="I16" s="139">
        <v>4.2327850238114528E-2</v>
      </c>
      <c r="J16" s="159">
        <v>0.96838767662912051</v>
      </c>
      <c r="L16" s="162">
        <v>49857</v>
      </c>
      <c r="M16" s="316">
        <v>12.016438356164384</v>
      </c>
      <c r="N16" s="139">
        <v>4.3653579994627656E-2</v>
      </c>
      <c r="O16" s="159">
        <v>0.59181537870555634</v>
      </c>
      <c r="Q16" s="162">
        <v>49857</v>
      </c>
      <c r="R16" s="316">
        <v>12.016438356164384</v>
      </c>
      <c r="S16" s="139">
        <v>4.5919250685064139E-2</v>
      </c>
      <c r="T16" s="159">
        <v>0.57592038678958979</v>
      </c>
      <c r="V16" s="162">
        <v>45691</v>
      </c>
      <c r="W16" s="316">
        <v>0.60273972602739723</v>
      </c>
      <c r="X16" s="139">
        <v>4.9962201316519336E-2</v>
      </c>
      <c r="Y16" s="159">
        <v>0.97033471156800688</v>
      </c>
      <c r="AA16" s="162">
        <v>50956</v>
      </c>
      <c r="AB16" s="316">
        <v>15.027397260273972</v>
      </c>
      <c r="AC16" s="139">
        <v>4.358851936828443E-2</v>
      </c>
      <c r="AD16" s="159">
        <v>0.51943063678753676</v>
      </c>
    </row>
    <row r="17" spans="2:30">
      <c r="B17" s="162">
        <v>46569</v>
      </c>
      <c r="C17" s="316">
        <v>3.0082191780821916</v>
      </c>
      <c r="D17" s="139">
        <v>4.4533364922183592E-2</v>
      </c>
      <c r="E17" s="159">
        <v>0.8746196940970864</v>
      </c>
      <c r="G17" s="162">
        <v>45778</v>
      </c>
      <c r="H17" s="316">
        <v>0.84109589041095889</v>
      </c>
      <c r="I17" s="139">
        <v>4.2255184827585258E-2</v>
      </c>
      <c r="J17" s="159">
        <v>0.96508349091091972</v>
      </c>
      <c r="L17" s="162">
        <v>50952</v>
      </c>
      <c r="M17" s="316">
        <v>15.016438356164384</v>
      </c>
      <c r="N17" s="139">
        <v>4.3664207506687876E-2</v>
      </c>
      <c r="O17" s="159">
        <v>0.51908850504917803</v>
      </c>
      <c r="Q17" s="162">
        <v>50952</v>
      </c>
      <c r="R17" s="316">
        <v>15.016438356164384</v>
      </c>
      <c r="S17" s="139">
        <v>4.5930491043567681E-2</v>
      </c>
      <c r="T17" s="159">
        <v>0.50172034939871668</v>
      </c>
      <c r="V17" s="162">
        <v>45719</v>
      </c>
      <c r="W17" s="316">
        <v>0.67945205479452053</v>
      </c>
      <c r="X17" s="139">
        <v>4.9867704145720095E-2</v>
      </c>
      <c r="Y17" s="159">
        <v>0.96668487654330193</v>
      </c>
      <c r="AA17" s="162">
        <v>52783</v>
      </c>
      <c r="AB17" s="316">
        <v>20.032876712328768</v>
      </c>
      <c r="AC17" s="139">
        <v>4.3588245140277801E-2</v>
      </c>
      <c r="AD17" s="159">
        <v>0.41761390690110917</v>
      </c>
    </row>
    <row r="18" spans="2:30">
      <c r="B18" s="162">
        <v>46937</v>
      </c>
      <c r="C18" s="316">
        <v>4.0164383561643833</v>
      </c>
      <c r="D18" s="139">
        <v>4.4327285351053063E-2</v>
      </c>
      <c r="E18" s="159">
        <v>0.83691078003998454</v>
      </c>
      <c r="G18" s="162">
        <v>45810</v>
      </c>
      <c r="H18" s="316">
        <v>0.92876712328767119</v>
      </c>
      <c r="I18" s="139">
        <v>4.2178036563093053E-2</v>
      </c>
      <c r="J18" s="159">
        <v>0.96158378901897823</v>
      </c>
      <c r="L18" s="162">
        <v>52779</v>
      </c>
      <c r="M18" s="316">
        <v>20.021917808219179</v>
      </c>
      <c r="N18" s="139">
        <v>4.3674748724897218E-2</v>
      </c>
      <c r="O18" s="159">
        <v>0.41709042704534688</v>
      </c>
      <c r="Q18" s="162">
        <v>52779</v>
      </c>
      <c r="R18" s="316">
        <v>20.021917808219179</v>
      </c>
      <c r="S18" s="139">
        <v>4.594163986666152E-2</v>
      </c>
      <c r="T18" s="159">
        <v>0.39858291390620082</v>
      </c>
      <c r="V18" s="162">
        <v>45749</v>
      </c>
      <c r="W18" s="316">
        <v>0.76164383561643834</v>
      </c>
      <c r="X18" s="139">
        <v>4.9766970545103088E-2</v>
      </c>
      <c r="Y18" s="159">
        <v>0.96280468570890276</v>
      </c>
    </row>
    <row r="19" spans="2:30">
      <c r="B19" s="162">
        <v>47301</v>
      </c>
      <c r="C19" s="316">
        <v>5.0136986301369859</v>
      </c>
      <c r="D19" s="139">
        <v>4.4361651825975117E-2</v>
      </c>
      <c r="E19" s="159">
        <v>0.8005822904700598</v>
      </c>
      <c r="G19" s="162">
        <v>45839</v>
      </c>
      <c r="H19" s="316">
        <v>1.0082191780821919</v>
      </c>
      <c r="I19" s="139">
        <v>4.2108441457285789E-2</v>
      </c>
      <c r="J19" s="159">
        <v>0.95843403663214188</v>
      </c>
      <c r="O19" s="159"/>
      <c r="T19" s="159"/>
      <c r="V19" s="162">
        <v>45779</v>
      </c>
      <c r="W19" s="316">
        <v>0.84383561643835614</v>
      </c>
      <c r="X19" s="139">
        <v>4.966676703041914E-2</v>
      </c>
      <c r="Y19" s="159">
        <v>0.95895551985452288</v>
      </c>
    </row>
    <row r="20" spans="2:30">
      <c r="B20" s="162">
        <v>48030</v>
      </c>
      <c r="C20" s="316">
        <v>7.0109589041095894</v>
      </c>
      <c r="D20" s="139">
        <v>4.4401109490484238E-2</v>
      </c>
      <c r="E20" s="159">
        <v>0.73249823039659756</v>
      </c>
      <c r="G20" s="162">
        <v>46206</v>
      </c>
      <c r="H20" s="316">
        <v>2.0136986301369864</v>
      </c>
      <c r="I20" s="139">
        <v>4.2104813680435851E-2</v>
      </c>
      <c r="J20" s="159">
        <v>0.91870849440768299</v>
      </c>
      <c r="O20" s="159"/>
      <c r="T20" s="159"/>
      <c r="V20" s="162">
        <v>45810</v>
      </c>
      <c r="W20" s="316">
        <v>0.92876712328767119</v>
      </c>
      <c r="X20" s="139">
        <v>4.956377782322853E-2</v>
      </c>
      <c r="Y20" s="159">
        <v>0.95501024830634895</v>
      </c>
    </row>
    <row r="21" spans="2:30">
      <c r="B21" s="162">
        <v>49128</v>
      </c>
      <c r="C21" s="316">
        <v>10.019178082191781</v>
      </c>
      <c r="D21" s="139">
        <v>4.4431329271083703E-2</v>
      </c>
      <c r="E21" s="159">
        <v>0.64071829220874954</v>
      </c>
      <c r="G21" s="162">
        <v>46573</v>
      </c>
      <c r="H21" s="316">
        <v>3.0191780821917806</v>
      </c>
      <c r="I21" s="139">
        <v>4.2103602226823612E-2</v>
      </c>
      <c r="J21" s="159">
        <v>0.88062951172171089</v>
      </c>
      <c r="O21" s="159"/>
      <c r="T21" s="159"/>
      <c r="V21" s="162">
        <v>45840</v>
      </c>
      <c r="W21" s="316">
        <v>1.010958904109589</v>
      </c>
      <c r="X21" s="139">
        <v>4.9464644217218225E-2</v>
      </c>
      <c r="Y21" s="159">
        <v>0.95122302987288032</v>
      </c>
    </row>
    <row r="22" spans="2:30">
      <c r="B22" s="162">
        <v>49857</v>
      </c>
      <c r="C22" s="316">
        <v>12.016438356164384</v>
      </c>
      <c r="D22" s="139">
        <v>4.4442459140559831E-2</v>
      </c>
      <c r="E22" s="159">
        <v>0.58623176120363496</v>
      </c>
      <c r="G22" s="162">
        <v>46939</v>
      </c>
      <c r="H22" s="316">
        <v>4.021917808219178</v>
      </c>
      <c r="I22" s="139">
        <v>4.2103727891957925E-2</v>
      </c>
      <c r="J22" s="159">
        <v>0.84422373301808762</v>
      </c>
      <c r="O22" s="159"/>
      <c r="T22" s="159"/>
      <c r="V22" s="162">
        <v>45936</v>
      </c>
      <c r="W22" s="316">
        <v>1.273972602739726</v>
      </c>
      <c r="X22" s="139">
        <v>4.9652236861115431E-2</v>
      </c>
      <c r="Y22" s="159">
        <v>0.93870352033190674</v>
      </c>
    </row>
    <row r="23" spans="2:30">
      <c r="B23" s="162">
        <v>50952</v>
      </c>
      <c r="C23" s="316">
        <v>15.016438356164384</v>
      </c>
      <c r="D23" s="139">
        <v>4.445413012424923E-2</v>
      </c>
      <c r="E23" s="159">
        <v>0.51296754306724224</v>
      </c>
      <c r="G23" s="162">
        <v>47303</v>
      </c>
      <c r="H23" s="316">
        <v>5.0191780821917806</v>
      </c>
      <c r="I23" s="139">
        <v>4.2102661444837854E-2</v>
      </c>
      <c r="J23" s="159">
        <v>0.80951436902660456</v>
      </c>
      <c r="O23" s="159"/>
      <c r="T23" s="159"/>
      <c r="V23" s="162">
        <v>46028</v>
      </c>
      <c r="W23" s="316">
        <v>1.526027397260274</v>
      </c>
      <c r="X23" s="139">
        <v>4.9662276062690969E-2</v>
      </c>
      <c r="Y23" s="159">
        <v>0.92701457212284077</v>
      </c>
    </row>
    <row r="24" spans="2:30">
      <c r="B24" s="162">
        <v>52779</v>
      </c>
      <c r="C24" s="316">
        <v>20.021917808219179</v>
      </c>
      <c r="D24" s="139">
        <v>4.446571517678196E-2</v>
      </c>
      <c r="E24" s="159">
        <v>0.41053713367715733</v>
      </c>
      <c r="G24" s="162">
        <v>47667</v>
      </c>
      <c r="H24" s="316">
        <v>6.0164383561643833</v>
      </c>
      <c r="I24" s="139">
        <v>4.2101868910339277E-2</v>
      </c>
      <c r="J24" s="159">
        <v>0.77623241561857836</v>
      </c>
      <c r="O24" s="159"/>
      <c r="T24" s="159"/>
      <c r="V24" s="162">
        <v>46118</v>
      </c>
      <c r="W24" s="316">
        <v>1.7726027397260273</v>
      </c>
      <c r="X24" s="139">
        <v>4.9584809208265065E-2</v>
      </c>
      <c r="Y24" s="159">
        <v>0.91585779806050571</v>
      </c>
    </row>
    <row r="25" spans="2:30">
      <c r="E25" s="159"/>
      <c r="G25" s="162">
        <v>48032</v>
      </c>
      <c r="H25" s="316">
        <v>7.0164383561643833</v>
      </c>
      <c r="I25" s="139">
        <v>4.2101772745816855E-2</v>
      </c>
      <c r="J25" s="159">
        <v>0.7442304904341055</v>
      </c>
      <c r="O25" s="159"/>
      <c r="T25" s="159"/>
      <c r="V25" s="162">
        <v>46210</v>
      </c>
      <c r="W25" s="316">
        <v>2.0246575342465754</v>
      </c>
      <c r="X25" s="139">
        <v>4.9451639377403232E-2</v>
      </c>
      <c r="Y25" s="159">
        <v>0.9047264607848895</v>
      </c>
    </row>
    <row r="26" spans="2:30">
      <c r="E26" s="159"/>
      <c r="G26" s="162">
        <v>48400</v>
      </c>
      <c r="H26" s="316">
        <v>8.0246575342465754</v>
      </c>
      <c r="I26" s="139">
        <v>4.2101395300600947E-2</v>
      </c>
      <c r="J26" s="159">
        <v>0.71330278950554171</v>
      </c>
      <c r="O26" s="159"/>
      <c r="T26" s="159"/>
      <c r="V26" s="162">
        <v>46575</v>
      </c>
      <c r="W26" s="316">
        <v>3.0246575342465754</v>
      </c>
      <c r="X26" s="139">
        <v>4.9455833176173671E-2</v>
      </c>
      <c r="Y26" s="159">
        <v>0.86106355802996026</v>
      </c>
    </row>
    <row r="27" spans="2:30">
      <c r="G27" s="162">
        <v>48765</v>
      </c>
      <c r="H27" s="316">
        <v>9.0246575342465754</v>
      </c>
      <c r="I27" s="139">
        <v>4.2101373958431221E-2</v>
      </c>
      <c r="J27" s="159">
        <v>0.6838952737078996</v>
      </c>
      <c r="V27" s="162">
        <v>46940</v>
      </c>
      <c r="W27" s="316">
        <v>4.0246575342465754</v>
      </c>
      <c r="X27" s="139">
        <v>4.945464058129756E-2</v>
      </c>
      <c r="Y27" s="159">
        <v>0.81951875773318938</v>
      </c>
    </row>
    <row r="28" spans="2:30">
      <c r="G28" s="162">
        <v>49130</v>
      </c>
      <c r="H28" s="316">
        <v>10.024657534246575</v>
      </c>
      <c r="I28" s="139">
        <v>4.2102049270692929E-2</v>
      </c>
      <c r="J28" s="159">
        <v>0.65569559783112474</v>
      </c>
      <c r="V28" s="162">
        <v>47304</v>
      </c>
      <c r="W28" s="316">
        <v>5.021917808219178</v>
      </c>
      <c r="X28" s="139">
        <v>4.9453266313941605E-2</v>
      </c>
      <c r="Y28" s="159">
        <v>0.78008667882289917</v>
      </c>
    </row>
    <row r="29" spans="2:30">
      <c r="G29" s="162">
        <v>49859</v>
      </c>
      <c r="H29" s="316">
        <v>12.021917808219179</v>
      </c>
      <c r="I29" s="139">
        <v>4.2101060852042717E-2</v>
      </c>
      <c r="J29" s="159">
        <v>0.60282068786489229</v>
      </c>
      <c r="V29" s="162">
        <v>47669</v>
      </c>
      <c r="W29" s="316">
        <v>6.021917808219178</v>
      </c>
      <c r="X29" s="139">
        <v>4.9452948266970449E-2</v>
      </c>
      <c r="Y29" s="159">
        <v>0.74244863448889031</v>
      </c>
    </row>
    <row r="30" spans="2:30">
      <c r="G30" s="162">
        <v>50956</v>
      </c>
      <c r="H30" s="316">
        <v>15.027397260273972</v>
      </c>
      <c r="I30" s="139">
        <v>4.2101085822276188E-2</v>
      </c>
      <c r="J30" s="159">
        <v>0.53117181478689957</v>
      </c>
      <c r="V30" s="162">
        <v>48036</v>
      </c>
      <c r="W30" s="316">
        <v>7.0273972602739727</v>
      </c>
      <c r="X30" s="139">
        <v>4.9452715433263843E-2</v>
      </c>
      <c r="Y30" s="159">
        <v>0.70643514621235382</v>
      </c>
    </row>
    <row r="31" spans="2:30">
      <c r="G31" s="162">
        <v>52783</v>
      </c>
      <c r="H31" s="316">
        <v>20.032876712328768</v>
      </c>
      <c r="I31" s="139">
        <v>4.2100860917737459E-2</v>
      </c>
      <c r="J31" s="159">
        <v>0.43024461659188812</v>
      </c>
      <c r="V31" s="162">
        <v>48402</v>
      </c>
      <c r="W31" s="316">
        <v>8.0301369863013701</v>
      </c>
      <c r="X31" s="139">
        <v>4.9452124173958438E-2</v>
      </c>
      <c r="Y31" s="159">
        <v>0.67226186696606194</v>
      </c>
    </row>
    <row r="32" spans="2:30">
      <c r="V32" s="162">
        <v>48767</v>
      </c>
      <c r="W32" s="316">
        <v>9.0301369863013701</v>
      </c>
      <c r="X32" s="139">
        <v>4.9453550259855254E-2</v>
      </c>
      <c r="Y32" s="159">
        <v>0.63981747839832903</v>
      </c>
    </row>
    <row r="33" spans="22:25">
      <c r="V33" s="162">
        <v>49131</v>
      </c>
      <c r="W33" s="316">
        <v>10.027397260273972</v>
      </c>
      <c r="X33" s="139">
        <v>4.9452241603741794E-2</v>
      </c>
      <c r="Y33" s="159">
        <v>0.60903638232070445</v>
      </c>
    </row>
    <row r="34" spans="22:25">
      <c r="V34" s="162">
        <v>49863</v>
      </c>
      <c r="W34" s="316">
        <v>12.032876712328767</v>
      </c>
      <c r="X34" s="139">
        <v>4.9451437857273114E-2</v>
      </c>
      <c r="Y34" s="159">
        <v>0.55153881886162337</v>
      </c>
    </row>
    <row r="35" spans="22:25">
      <c r="V35" s="162">
        <v>50958</v>
      </c>
      <c r="W35" s="316">
        <v>15.032876712328767</v>
      </c>
      <c r="X35" s="139">
        <v>4.9452588530851424E-2</v>
      </c>
      <c r="Y35" s="159">
        <v>0.47548750902008757</v>
      </c>
    </row>
    <row r="36" spans="22:25">
      <c r="V36" s="162">
        <v>52785</v>
      </c>
      <c r="W36" s="316">
        <v>20.038356164383561</v>
      </c>
      <c r="X36" s="139">
        <v>4.9451914008880507E-2</v>
      </c>
      <c r="Y36" s="159">
        <v>0.37122940471454935</v>
      </c>
    </row>
    <row r="37" spans="22:25">
      <c r="V37" s="162">
        <v>54611</v>
      </c>
      <c r="W37" s="316">
        <v>25.041095890410958</v>
      </c>
      <c r="X37" s="139">
        <v>4.9450528033792802E-2</v>
      </c>
      <c r="Y37" s="159">
        <v>0.28987791878948599</v>
      </c>
    </row>
    <row r="38" spans="22:25">
      <c r="V38" s="162">
        <v>56437</v>
      </c>
      <c r="W38" s="316">
        <v>30.043835616438358</v>
      </c>
      <c r="X38" s="139">
        <v>4.9450526188240654E-2</v>
      </c>
      <c r="Y38" s="159">
        <v>0.22634758376156944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50426-035E-43D6-AE60-13FAAFE29194}">
  <sheetPr codeName="Sheet2"/>
  <dimension ref="B2:Q1533"/>
  <sheetViews>
    <sheetView workbookViewId="0">
      <selection activeCell="C42" sqref="C42"/>
    </sheetView>
  </sheetViews>
  <sheetFormatPr defaultRowHeight="12"/>
  <cols>
    <col min="2" max="2" width="31.85546875" bestFit="1" customWidth="1"/>
    <col min="3" max="3" width="24.140625" bestFit="1" customWidth="1"/>
    <col min="4" max="4" width="13.42578125" bestFit="1" customWidth="1"/>
    <col min="5" max="5" width="18.85546875" bestFit="1" customWidth="1"/>
    <col min="6" max="6" width="20.5703125" bestFit="1" customWidth="1"/>
    <col min="7" max="7" width="11.5703125" bestFit="1" customWidth="1"/>
    <col min="8" max="8" width="15.7109375" bestFit="1" customWidth="1"/>
    <col min="9" max="9" width="12.42578125" bestFit="1" customWidth="1"/>
    <col min="10" max="10" width="11.42578125" bestFit="1" customWidth="1"/>
    <col min="11" max="11" width="16" bestFit="1" customWidth="1"/>
    <col min="12" max="12" width="14.7109375" bestFit="1" customWidth="1"/>
    <col min="13" max="13" width="15.42578125" bestFit="1" customWidth="1"/>
    <col min="14" max="14" width="17.42578125" bestFit="1" customWidth="1"/>
    <col min="15" max="15" width="16" bestFit="1" customWidth="1"/>
    <col min="16" max="16" width="23.140625" bestFit="1" customWidth="1"/>
    <col min="17" max="17" width="14.42578125" bestFit="1" customWidth="1"/>
  </cols>
  <sheetData>
    <row r="2" spans="2:17" s="228" customFormat="1">
      <c r="B2" s="331" t="s">
        <v>337</v>
      </c>
    </row>
    <row r="4" spans="2:17">
      <c r="B4" t="s">
        <v>74</v>
      </c>
    </row>
    <row r="5" spans="2:17">
      <c r="B5" s="199"/>
      <c r="C5" s="200" t="s">
        <v>276</v>
      </c>
    </row>
    <row r="6" spans="2:17">
      <c r="B6" s="201"/>
      <c r="C6" s="200" t="s">
        <v>277</v>
      </c>
    </row>
    <row r="7" spans="2:17">
      <c r="B7" s="200"/>
      <c r="C7" s="200" t="s">
        <v>278</v>
      </c>
    </row>
    <row r="9" spans="2:17">
      <c r="B9" s="202" t="s">
        <v>225</v>
      </c>
      <c r="C9" s="200" t="str">
        <f>QuoteGlobal</f>
        <v>FCB Spread</v>
      </c>
    </row>
    <row r="10" spans="2:17">
      <c r="B10" s="203" t="s">
        <v>198</v>
      </c>
      <c r="C10" s="204">
        <f>GlobalIndex</f>
        <v>13</v>
      </c>
    </row>
    <row r="12" spans="2:17">
      <c r="B12" s="224" t="s">
        <v>284</v>
      </c>
      <c r="C12" s="225" t="s">
        <v>225</v>
      </c>
      <c r="D12" s="225" t="s">
        <v>287</v>
      </c>
      <c r="E12" s="225" t="s">
        <v>282</v>
      </c>
      <c r="F12" s="225" t="s">
        <v>192</v>
      </c>
      <c r="G12" s="225" t="s">
        <v>193</v>
      </c>
      <c r="H12" s="225" t="s">
        <v>197</v>
      </c>
      <c r="I12" s="225" t="s">
        <v>194</v>
      </c>
      <c r="J12" s="225" t="s">
        <v>195</v>
      </c>
      <c r="K12" s="225" t="s">
        <v>283</v>
      </c>
      <c r="L12" s="225" t="s">
        <v>199</v>
      </c>
      <c r="M12" s="225" t="s">
        <v>285</v>
      </c>
      <c r="N12" s="225" t="s">
        <v>286</v>
      </c>
      <c r="O12" s="225" t="s">
        <v>200</v>
      </c>
      <c r="P12" s="225" t="s">
        <v>281</v>
      </c>
      <c r="Q12" s="222" t="s">
        <v>294</v>
      </c>
    </row>
    <row r="13" spans="2:17">
      <c r="B13" t="str">
        <f t="shared" ref="B13:B24" si="0">C13&amp;" - "&amp;D13</f>
        <v>BBSW 3M Par Swap Rate - Quote</v>
      </c>
      <c r="C13" s="206" t="s">
        <v>235</v>
      </c>
      <c r="D13" s="207" t="s">
        <v>225</v>
      </c>
      <c r="E13" s="293" t="str">
        <f>IF(Apply_OIS_Dual_Curve_Stripping,"AONIA","BBSW_3M")</f>
        <v>BBSW_3M</v>
      </c>
      <c r="F13" s="208" t="s">
        <v>220</v>
      </c>
      <c r="G13" s="209" t="s">
        <v>145</v>
      </c>
      <c r="H13" s="210" t="e">
        <f>_xlfn.XLOOKUP(GlobalIndex,BBSW3MSwaps[Index],BBSW3MSwaps[Par Swap Rate])</f>
        <v>#N/A</v>
      </c>
      <c r="I13" s="211" t="e">
        <f>_xlfn.XLOOKUP(GlobalIndex,BBSW3MSwaps[Index],BBSW3MSwaps[Effective Date, T1])</f>
        <v>#N/A</v>
      </c>
      <c r="J13" s="212" t="e">
        <f>_xlfn.XLOOKUP(GlobalIndex,BBSW3MSwaps[Index],BBSW3MSwaps[Maturity Date, T2])</f>
        <v>#N/A</v>
      </c>
      <c r="K13" s="213"/>
      <c r="L13" s="213"/>
      <c r="M13" s="214" t="s">
        <v>31</v>
      </c>
      <c r="N13" s="215">
        <f>_xlfn.XLOOKUP(M13,DCB[Day Count Basis String],DCB[Day Count Basis Index])</f>
        <v>3</v>
      </c>
      <c r="O13" s="216" t="e">
        <f>_xlfn.XLOOKUP(GlobalIndex,BBSW3MSwaps[Index],BBSW3MSwaps[Fixed Freq.])</f>
        <v>#N/A</v>
      </c>
      <c r="P13" s="223">
        <v>0</v>
      </c>
      <c r="Q13" s="213"/>
    </row>
    <row r="14" spans="2:17">
      <c r="B14" t="str">
        <f t="shared" si="0"/>
        <v>BBSW 3M Par Swap Rate - Reference</v>
      </c>
      <c r="C14" s="206" t="s">
        <v>235</v>
      </c>
      <c r="D14" s="207" t="s">
        <v>231</v>
      </c>
      <c r="E14" s="293" t="str">
        <f>IF(Apply_OIS_Dual_Curve_Stripping,"AONIA","BBSW_3M")</f>
        <v>BBSW_3M</v>
      </c>
      <c r="F14" s="208" t="s">
        <v>220</v>
      </c>
      <c r="G14" s="209" t="s">
        <v>144</v>
      </c>
      <c r="H14" s="217"/>
      <c r="I14" s="211" t="e">
        <f>_xlfn.XLOOKUP(GlobalIndex,BBSW3MSwaps[Index],BBSW3MSwaps[Effective Date, T1])</f>
        <v>#N/A</v>
      </c>
      <c r="J14" s="212" t="e">
        <f>_xlfn.XLOOKUP(GlobalIndex,BBSW3MSwaps[Index],BBSW3MSwaps[Maturity Date, T2])</f>
        <v>#N/A</v>
      </c>
      <c r="K14" s="208" t="s">
        <v>229</v>
      </c>
      <c r="L14" s="232">
        <v>0</v>
      </c>
      <c r="M14" s="214" t="s">
        <v>31</v>
      </c>
      <c r="N14" s="215">
        <f>_xlfn.XLOOKUP(M14,DCB[Day Count Basis String],DCB[Day Count Basis Index])</f>
        <v>3</v>
      </c>
      <c r="O14" s="216" t="e">
        <f>_xlfn.XLOOKUP(GlobalIndex,BBSW3MSwaps[Index],BBSW3MSwaps[Float Freq.])</f>
        <v>#N/A</v>
      </c>
      <c r="P14" s="223">
        <v>0</v>
      </c>
      <c r="Q14" s="223">
        <v>0</v>
      </c>
    </row>
    <row r="15" spans="2:17">
      <c r="B15" t="str">
        <f t="shared" si="0"/>
        <v>AONIA Par Swap Rate - Quote</v>
      </c>
      <c r="C15" s="206" t="s">
        <v>236</v>
      </c>
      <c r="D15" s="207" t="s">
        <v>225</v>
      </c>
      <c r="E15" s="208" t="s">
        <v>139</v>
      </c>
      <c r="F15" s="208" t="s">
        <v>220</v>
      </c>
      <c r="G15" s="209" t="s">
        <v>145</v>
      </c>
      <c r="H15" s="210" t="e">
        <f>_xlfn.XLOOKUP(GlobalIndex,AONIA[Index],AONIA[Par Swap Rate])</f>
        <v>#N/A</v>
      </c>
      <c r="I15" s="212" t="e">
        <f>_xlfn.XLOOKUP(GlobalIndex,AONIA[Index],AONIA[Settle Date (T1)])</f>
        <v>#N/A</v>
      </c>
      <c r="J15" s="212" t="e">
        <f>_xlfn.XLOOKUP(GlobalIndex,AONIA[Index],AONIA[Maturity Date (T2)])</f>
        <v>#N/A</v>
      </c>
      <c r="K15" s="213"/>
      <c r="L15" s="213"/>
      <c r="M15" s="214" t="s">
        <v>31</v>
      </c>
      <c r="N15" s="215">
        <f>_xlfn.XLOOKUP(M15,DCB[Day Count Basis String],DCB[Day Count Basis Index])</f>
        <v>3</v>
      </c>
      <c r="O15" s="219" t="s">
        <v>134</v>
      </c>
      <c r="P15" s="223">
        <v>2</v>
      </c>
      <c r="Q15" s="213"/>
    </row>
    <row r="16" spans="2:17">
      <c r="B16" t="str">
        <f t="shared" si="0"/>
        <v>AONIA Par Swap Rate - Reference</v>
      </c>
      <c r="C16" s="206" t="s">
        <v>236</v>
      </c>
      <c r="D16" s="207" t="s">
        <v>231</v>
      </c>
      <c r="E16" s="208" t="s">
        <v>139</v>
      </c>
      <c r="F16" s="208" t="s">
        <v>220</v>
      </c>
      <c r="G16" s="209" t="s">
        <v>144</v>
      </c>
      <c r="H16" s="217"/>
      <c r="I16" s="212" t="e">
        <f>_xlfn.XLOOKUP(GlobalIndex,AONIA[Index],AONIA[Settle Date (T1)])</f>
        <v>#N/A</v>
      </c>
      <c r="J16" s="212" t="e">
        <f>_xlfn.XLOOKUP(GlobalIndex,AONIA[Index],AONIA[Maturity Date (T2)])</f>
        <v>#N/A</v>
      </c>
      <c r="K16" s="208" t="s">
        <v>139</v>
      </c>
      <c r="L16" s="232">
        <v>0</v>
      </c>
      <c r="M16" s="214" t="s">
        <v>31</v>
      </c>
      <c r="N16" s="215">
        <f>_xlfn.XLOOKUP(M16,DCB[Day Count Basis String],DCB[Day Count Basis Index])</f>
        <v>3</v>
      </c>
      <c r="O16" s="219" t="s">
        <v>134</v>
      </c>
      <c r="P16" s="223">
        <v>2</v>
      </c>
      <c r="Q16" s="223">
        <v>0</v>
      </c>
    </row>
    <row r="17" spans="2:17">
      <c r="B17" t="str">
        <f t="shared" si="0"/>
        <v>BBSW 1M Basis Spread - Quote</v>
      </c>
      <c r="C17" s="206" t="s">
        <v>237</v>
      </c>
      <c r="D17" s="207" t="s">
        <v>225</v>
      </c>
      <c r="E17" s="293" t="str">
        <f>IF(Apply_OIS_Dual_Curve_Stripping,"AONIA","BBSW_3M")</f>
        <v>BBSW_3M</v>
      </c>
      <c r="F17" s="208" t="s">
        <v>220</v>
      </c>
      <c r="G17" s="209" t="s">
        <v>144</v>
      </c>
      <c r="H17" s="217"/>
      <c r="I17" s="211" t="e">
        <f>_xlfn.XLOOKUP(GlobalIndex,BBSW1M[Index],BBSW1M[Effective Date, T1])</f>
        <v>#N/A</v>
      </c>
      <c r="J17" s="211" t="e">
        <f>_xlfn.XLOOKUP(GlobalIndex,BBSW1M[Index],BBSW1M[Maturity Date, T2])</f>
        <v>#N/A</v>
      </c>
      <c r="K17" s="208" t="s">
        <v>251</v>
      </c>
      <c r="L17" s="232">
        <v>0</v>
      </c>
      <c r="M17" s="214" t="s">
        <v>31</v>
      </c>
      <c r="N17" s="215">
        <f>_xlfn.XLOOKUP(M17,DCB[Day Count Basis String],DCB[Day Count Basis Index])</f>
        <v>3</v>
      </c>
      <c r="O17" s="219" t="s">
        <v>135</v>
      </c>
      <c r="P17" s="223">
        <v>0</v>
      </c>
      <c r="Q17" s="223">
        <v>0</v>
      </c>
    </row>
    <row r="18" spans="2:17">
      <c r="B18" t="str">
        <f t="shared" si="0"/>
        <v>BBSW 1M Basis Spread - Reference</v>
      </c>
      <c r="C18" s="206" t="s">
        <v>237</v>
      </c>
      <c r="D18" s="207" t="s">
        <v>231</v>
      </c>
      <c r="E18" s="293" t="str">
        <f>IF(Apply_OIS_Dual_Curve_Stripping,"AONIA","BBSW_3M")</f>
        <v>BBSW_3M</v>
      </c>
      <c r="F18" s="208" t="s">
        <v>220</v>
      </c>
      <c r="G18" s="209" t="s">
        <v>144</v>
      </c>
      <c r="H18" s="217"/>
      <c r="I18" s="211" t="e">
        <f>_xlfn.XLOOKUP(GlobalIndex,BBSW1M[Index],BBSW1M[Effective Date, T1])</f>
        <v>#N/A</v>
      </c>
      <c r="J18" s="211" t="e">
        <f>_xlfn.XLOOKUP(GlobalIndex,BBSW1M[Index],BBSW1M[Maturity Date, T2])</f>
        <v>#N/A</v>
      </c>
      <c r="K18" s="208" t="s">
        <v>229</v>
      </c>
      <c r="L18" s="218" t="e">
        <f>_xlfn.XLOOKUP(GlobalIndex,BBSW1M[Index],BBSW1M[Basis Spread])</f>
        <v>#N/A</v>
      </c>
      <c r="M18" s="214" t="s">
        <v>31</v>
      </c>
      <c r="N18" s="215">
        <f>_xlfn.XLOOKUP(M18,DCB[Day Count Basis String],DCB[Day Count Basis Index])</f>
        <v>3</v>
      </c>
      <c r="O18" s="219" t="s">
        <v>24</v>
      </c>
      <c r="P18" s="223">
        <v>0</v>
      </c>
      <c r="Q18" s="223">
        <v>0</v>
      </c>
    </row>
    <row r="19" spans="2:17">
      <c r="B19" t="str">
        <f t="shared" si="0"/>
        <v>BBSW 6M Basis Spread - Quote</v>
      </c>
      <c r="C19" s="206" t="s">
        <v>238</v>
      </c>
      <c r="D19" s="207" t="s">
        <v>225</v>
      </c>
      <c r="E19" s="293" t="str">
        <f>IF(Apply_OIS_Dual_Curve_Stripping,"AONIA","BBSW_3M")</f>
        <v>BBSW_3M</v>
      </c>
      <c r="F19" s="208" t="s">
        <v>220</v>
      </c>
      <c r="G19" s="209" t="s">
        <v>144</v>
      </c>
      <c r="H19" s="217"/>
      <c r="I19" s="211" t="e">
        <f>_xlfn.XLOOKUP(GlobalIndex,BBSW1M[Index],BBSW1M[Effective Date, T1])</f>
        <v>#N/A</v>
      </c>
      <c r="J19" s="211" t="e">
        <f>_xlfn.XLOOKUP(GlobalIndex,BBSW1M[Index],BBSW1M[Maturity Date, T2])</f>
        <v>#N/A</v>
      </c>
      <c r="K19" s="208" t="s">
        <v>253</v>
      </c>
      <c r="L19" s="232">
        <v>0</v>
      </c>
      <c r="M19" s="214" t="s">
        <v>31</v>
      </c>
      <c r="N19" s="215">
        <f>_xlfn.XLOOKUP(M19,DCB[Day Count Basis String],DCB[Day Count Basis Index])</f>
        <v>3</v>
      </c>
      <c r="O19" s="219" t="s">
        <v>25</v>
      </c>
      <c r="P19" s="223">
        <v>0</v>
      </c>
      <c r="Q19" s="223">
        <v>0</v>
      </c>
    </row>
    <row r="20" spans="2:17">
      <c r="B20" t="str">
        <f t="shared" si="0"/>
        <v>BBSW 6M Basis Spread - Reference</v>
      </c>
      <c r="C20" s="206" t="s">
        <v>238</v>
      </c>
      <c r="D20" s="207" t="s">
        <v>231</v>
      </c>
      <c r="E20" s="293" t="str">
        <f>IF(Apply_OIS_Dual_Curve_Stripping,"AONIA","BBSW_3M")</f>
        <v>BBSW_3M</v>
      </c>
      <c r="F20" s="208" t="s">
        <v>220</v>
      </c>
      <c r="G20" s="209" t="s">
        <v>144</v>
      </c>
      <c r="H20" s="217"/>
      <c r="I20" s="211" t="e">
        <f>_xlfn.XLOOKUP(GlobalIndex,BBSW1M[Index],BBSW1M[Effective Date, T1])</f>
        <v>#N/A</v>
      </c>
      <c r="J20" s="211" t="e">
        <f>_xlfn.XLOOKUP(GlobalIndex,BBSW1M[Index],BBSW1M[Maturity Date, T2])</f>
        <v>#N/A</v>
      </c>
      <c r="K20" s="208" t="s">
        <v>229</v>
      </c>
      <c r="L20" s="218" t="e">
        <f>_xlfn.XLOOKUP(GlobalIndex,BBSW6M[Index],BBSW6M[Basis Spread])</f>
        <v>#N/A</v>
      </c>
      <c r="M20" s="214" t="s">
        <v>31</v>
      </c>
      <c r="N20" s="215">
        <f>_xlfn.XLOOKUP(M20,DCB[Day Count Basis String],DCB[Day Count Basis Index])</f>
        <v>3</v>
      </c>
      <c r="O20" s="219" t="s">
        <v>24</v>
      </c>
      <c r="P20" s="223">
        <v>0</v>
      </c>
      <c r="Q20" s="223">
        <v>0</v>
      </c>
    </row>
    <row r="21" spans="2:17">
      <c r="B21" t="str">
        <f t="shared" si="0"/>
        <v>SOFR Par Swap Rate - Quote</v>
      </c>
      <c r="C21" s="206" t="s">
        <v>260</v>
      </c>
      <c r="D21" s="207" t="s">
        <v>225</v>
      </c>
      <c r="E21" s="208" t="s">
        <v>71</v>
      </c>
      <c r="F21" s="208" t="s">
        <v>220</v>
      </c>
      <c r="G21" s="209" t="s">
        <v>145</v>
      </c>
      <c r="H21" s="210">
        <f>_xlfn.XLOOKUP(GlobalIndex,SOFR[Index],SOFR[Par Swap Rate])</f>
        <v>5</v>
      </c>
      <c r="I21" s="212">
        <f>_xlfn.XLOOKUP(GlobalIndex,SOFR[Index],SOFR[Settle Date (T1)])</f>
        <v>45475</v>
      </c>
      <c r="J21" s="212">
        <f>_xlfn.XLOOKUP(GlobalIndex,SOFR[Index],SOFR[Maturity Date (T2)])</f>
        <v>49858</v>
      </c>
      <c r="K21" s="213"/>
      <c r="L21" s="213"/>
      <c r="M21" s="214" t="s">
        <v>41</v>
      </c>
      <c r="N21" s="215">
        <f>_xlfn.XLOOKUP(M21,DCB[Day Count Basis String],DCB[Day Count Basis Index])</f>
        <v>2</v>
      </c>
      <c r="O21" s="219" t="s">
        <v>134</v>
      </c>
      <c r="P21" s="223">
        <v>2</v>
      </c>
      <c r="Q21" s="213"/>
    </row>
    <row r="22" spans="2:17">
      <c r="B22" t="str">
        <f t="shared" si="0"/>
        <v>SOFR Par Swap Rate - Reference</v>
      </c>
      <c r="C22" s="206" t="s">
        <v>260</v>
      </c>
      <c r="D22" s="207" t="s">
        <v>231</v>
      </c>
      <c r="E22" s="208" t="s">
        <v>71</v>
      </c>
      <c r="F22" s="208" t="s">
        <v>220</v>
      </c>
      <c r="G22" s="209" t="s">
        <v>144</v>
      </c>
      <c r="H22" s="217"/>
      <c r="I22" s="212">
        <f>_xlfn.XLOOKUP(GlobalIndex,SOFR[Index],SOFR[Settle Date (T1)])</f>
        <v>45475</v>
      </c>
      <c r="J22" s="212">
        <f>_xlfn.XLOOKUP(GlobalIndex,SOFR[Index],SOFR[Maturity Date (T2)])</f>
        <v>49858</v>
      </c>
      <c r="K22" s="208" t="s">
        <v>71</v>
      </c>
      <c r="L22" s="232">
        <v>0</v>
      </c>
      <c r="M22" s="214" t="s">
        <v>41</v>
      </c>
      <c r="N22" s="215">
        <f>_xlfn.XLOOKUP(M22,DCB[Day Count Basis String],DCB[Day Count Basis Index])</f>
        <v>2</v>
      </c>
      <c r="O22" s="219" t="s">
        <v>134</v>
      </c>
      <c r="P22" s="223">
        <v>2</v>
      </c>
      <c r="Q22" s="223">
        <v>0</v>
      </c>
    </row>
    <row r="23" spans="2:17">
      <c r="B23" t="str">
        <f t="shared" si="0"/>
        <v>FCB Spread - Quote</v>
      </c>
      <c r="C23" s="206" t="s">
        <v>269</v>
      </c>
      <c r="D23" s="207" t="s">
        <v>225</v>
      </c>
      <c r="E23" s="208" t="s">
        <v>271</v>
      </c>
      <c r="F23" s="208" t="s">
        <v>266</v>
      </c>
      <c r="G23" s="209" t="s">
        <v>144</v>
      </c>
      <c r="H23" s="217"/>
      <c r="I23" s="212">
        <f>_xlfn.XLOOKUP(GlobalIndex,FCBS[Index],FCBS[Settle Date (T1)])</f>
        <v>45474</v>
      </c>
      <c r="J23" s="212">
        <f>_xlfn.XLOOKUP(GlobalIndex,FCBS[Index],FCBS[Maturity Date (T2)])</f>
        <v>52779</v>
      </c>
      <c r="K23" s="293" t="str">
        <f>_xlfn.XLOOKUP(FCBS_Quote_Type,FCBQuote[FCBS Quote Type],FCBQuote[AUD Index])</f>
        <v>AONIA</v>
      </c>
      <c r="L23" s="218">
        <f>_xlfn.XLOOKUP(GlobalIndex,FCBS[Index],FCBS[Basis Spread])</f>
        <v>15</v>
      </c>
      <c r="M23" s="214" t="s">
        <v>31</v>
      </c>
      <c r="N23" s="215">
        <f>_xlfn.XLOOKUP(M23,DCB[Day Count Basis String],DCB[Day Count Basis Index])</f>
        <v>3</v>
      </c>
      <c r="O23" s="219" t="s">
        <v>24</v>
      </c>
      <c r="P23" s="328" cm="1">
        <f t="array" ref="P23">_xlfn.IFS(QuoteDefinitions[[#This Row],[Forward Index]]="AONIA",2,QuoteDefinitions[[#This Row],[Forward Index]]="BBSW_3M",0)</f>
        <v>2</v>
      </c>
      <c r="Q23" s="223">
        <v>0</v>
      </c>
    </row>
    <row r="24" spans="2:17">
      <c r="B24" t="str">
        <f t="shared" si="0"/>
        <v>FCB Spread - Reference</v>
      </c>
      <c r="C24" s="206" t="s">
        <v>269</v>
      </c>
      <c r="D24" s="207" t="s">
        <v>231</v>
      </c>
      <c r="E24" s="208" t="s">
        <v>71</v>
      </c>
      <c r="F24" s="208" t="s">
        <v>266</v>
      </c>
      <c r="G24" s="209" t="s">
        <v>144</v>
      </c>
      <c r="H24" s="217"/>
      <c r="I24" s="212">
        <f>_xlfn.XLOOKUP(GlobalIndex,FCBS[Index],FCBS[Settle Date (T1)])</f>
        <v>45474</v>
      </c>
      <c r="J24" s="212">
        <f>_xlfn.XLOOKUP(GlobalIndex,FCBS[Index],FCBS[Maturity Date (T2)])</f>
        <v>52779</v>
      </c>
      <c r="K24" s="208" t="s">
        <v>71</v>
      </c>
      <c r="L24" s="232">
        <v>0</v>
      </c>
      <c r="M24" s="214" t="s">
        <v>41</v>
      </c>
      <c r="N24" s="215">
        <f>_xlfn.XLOOKUP(M24,DCB[Day Count Basis String],DCB[Day Count Basis Index])</f>
        <v>2</v>
      </c>
      <c r="O24" s="219" t="s">
        <v>24</v>
      </c>
      <c r="P24" s="223">
        <v>2</v>
      </c>
      <c r="Q24" s="223">
        <v>0</v>
      </c>
    </row>
    <row r="27" spans="2:17" s="228" customFormat="1">
      <c r="B27" s="331" t="s">
        <v>336</v>
      </c>
    </row>
    <row r="29" spans="2:17">
      <c r="B29" t="s">
        <v>279</v>
      </c>
      <c r="C29" t="s">
        <v>280</v>
      </c>
    </row>
    <row r="30" spans="2:17">
      <c r="B30" t="s">
        <v>136</v>
      </c>
      <c r="C30">
        <v>0</v>
      </c>
    </row>
    <row r="31" spans="2:17">
      <c r="B31" t="s">
        <v>146</v>
      </c>
      <c r="C31">
        <v>1</v>
      </c>
    </row>
    <row r="32" spans="2:17">
      <c r="B32" t="s">
        <v>41</v>
      </c>
      <c r="C32">
        <v>2</v>
      </c>
    </row>
    <row r="33" spans="2:4">
      <c r="B33" t="s">
        <v>31</v>
      </c>
      <c r="C33">
        <v>3</v>
      </c>
    </row>
    <row r="35" spans="2:4">
      <c r="B35" t="s">
        <v>267</v>
      </c>
      <c r="C35" t="s">
        <v>268</v>
      </c>
    </row>
    <row r="36" spans="2:4">
      <c r="B36" t="s">
        <v>264</v>
      </c>
      <c r="C36" t="s">
        <v>229</v>
      </c>
    </row>
    <row r="37" spans="2:4">
      <c r="B37" t="s">
        <v>265</v>
      </c>
      <c r="C37" t="s">
        <v>139</v>
      </c>
    </row>
    <row r="40" spans="2:4" s="228" customFormat="1">
      <c r="B40" s="331" t="s">
        <v>334</v>
      </c>
    </row>
    <row r="42" spans="2:4">
      <c r="B42" s="52" t="s">
        <v>289</v>
      </c>
      <c r="C42" s="226" t="s">
        <v>31</v>
      </c>
      <c r="D42" s="191">
        <f>_xlfn.XLOOKUP(C42,DCB[Day Count Basis String],DCB[Day Count Basis Index])</f>
        <v>3</v>
      </c>
    </row>
    <row r="43" spans="2:4">
      <c r="B43" s="52" t="s">
        <v>288</v>
      </c>
      <c r="C43" s="226" t="s">
        <v>41</v>
      </c>
      <c r="D43" s="191">
        <f>_xlfn.XLOOKUP(C43,DCB[Day Count Basis String],DCB[Day Count Basis Index])</f>
        <v>2</v>
      </c>
    </row>
    <row r="45" spans="2:4">
      <c r="B45" s="200" t="s">
        <v>196</v>
      </c>
      <c r="C45" s="231">
        <v>100000000</v>
      </c>
    </row>
    <row r="46" spans="2:4">
      <c r="B46" s="200" t="s">
        <v>221</v>
      </c>
      <c r="C46" s="231" t="b">
        <v>0</v>
      </c>
    </row>
    <row r="47" spans="2:4">
      <c r="B47" s="200" t="s">
        <v>222</v>
      </c>
      <c r="C47" s="231" t="b">
        <v>1</v>
      </c>
    </row>
    <row r="48" spans="2:4">
      <c r="B48" s="200" t="s">
        <v>291</v>
      </c>
      <c r="C48" s="199" t="s">
        <v>143</v>
      </c>
    </row>
    <row r="51" spans="2:2" s="228" customFormat="1">
      <c r="B51" s="331" t="s">
        <v>156</v>
      </c>
    </row>
    <row r="52" spans="2:2">
      <c r="B52" s="229"/>
    </row>
    <row r="53" spans="2:2">
      <c r="B53" s="227" t="s">
        <v>201</v>
      </c>
    </row>
    <row r="54" spans="2:2">
      <c r="B54" t="b">
        <v>1</v>
      </c>
    </row>
    <row r="55" spans="2:2">
      <c r="B55" t="b">
        <v>0</v>
      </c>
    </row>
    <row r="57" spans="2:2">
      <c r="B57" s="228" t="s">
        <v>34</v>
      </c>
    </row>
    <row r="58" spans="2:2">
      <c r="B58" t="s">
        <v>137</v>
      </c>
    </row>
    <row r="59" spans="2:2">
      <c r="B59" t="s">
        <v>297</v>
      </c>
    </row>
    <row r="61" spans="2:2">
      <c r="B61" s="228" t="s">
        <v>244</v>
      </c>
    </row>
    <row r="62" spans="2:2">
      <c r="B62" t="s">
        <v>225</v>
      </c>
    </row>
    <row r="63" spans="2:2">
      <c r="B63" t="s">
        <v>231</v>
      </c>
    </row>
    <row r="65" spans="2:2">
      <c r="B65" s="228" t="s">
        <v>275</v>
      </c>
    </row>
    <row r="66" spans="2:2">
      <c r="B66" t="s">
        <v>235</v>
      </c>
    </row>
    <row r="67" spans="2:2">
      <c r="B67" t="s">
        <v>236</v>
      </c>
    </row>
    <row r="68" spans="2:2">
      <c r="B68" t="s">
        <v>237</v>
      </c>
    </row>
    <row r="69" spans="2:2">
      <c r="B69" t="s">
        <v>238</v>
      </c>
    </row>
    <row r="70" spans="2:2">
      <c r="B70" t="s">
        <v>260</v>
      </c>
    </row>
    <row r="71" spans="2:2">
      <c r="B71" t="s">
        <v>269</v>
      </c>
    </row>
    <row r="73" spans="2:2">
      <c r="B73" s="228" t="s">
        <v>147</v>
      </c>
    </row>
    <row r="74" spans="2:2">
      <c r="B74" t="s">
        <v>142</v>
      </c>
    </row>
    <row r="75" spans="2:2">
      <c r="B75" t="s">
        <v>143</v>
      </c>
    </row>
    <row r="76" spans="2:2">
      <c r="B76" t="s">
        <v>141</v>
      </c>
    </row>
    <row r="77" spans="2:2">
      <c r="B77" t="s">
        <v>140</v>
      </c>
    </row>
    <row r="78" spans="2:2">
      <c r="B78" t="s">
        <v>138</v>
      </c>
    </row>
    <row r="80" spans="2:2">
      <c r="B80" s="228" t="s">
        <v>333</v>
      </c>
    </row>
    <row r="81" spans="2:2">
      <c r="B81" t="s">
        <v>338</v>
      </c>
    </row>
    <row r="82" spans="2:2">
      <c r="B82" t="s">
        <v>335</v>
      </c>
    </row>
    <row r="94" spans="2:2" s="228" customFormat="1">
      <c r="B94" s="331" t="s">
        <v>148</v>
      </c>
    </row>
    <row r="100" spans="2:3">
      <c r="B100" s="230" t="s">
        <v>292</v>
      </c>
      <c r="C100" s="1" t="s">
        <v>293</v>
      </c>
    </row>
    <row r="101" spans="2:3">
      <c r="B101" s="182">
        <v>32874</v>
      </c>
      <c r="C101" s="182">
        <v>32874</v>
      </c>
    </row>
    <row r="102" spans="2:3">
      <c r="B102" s="182">
        <v>32899</v>
      </c>
      <c r="C102" s="182">
        <v>32888</v>
      </c>
    </row>
    <row r="103" spans="2:3">
      <c r="B103" s="182">
        <v>32976</v>
      </c>
      <c r="C103" s="182">
        <v>32916</v>
      </c>
    </row>
    <row r="104" spans="2:3">
      <c r="B104" s="182">
        <v>32979</v>
      </c>
      <c r="C104" s="182">
        <v>32923</v>
      </c>
    </row>
    <row r="105" spans="2:3">
      <c r="B105" s="182">
        <v>32988</v>
      </c>
      <c r="C105" s="182">
        <v>33021</v>
      </c>
    </row>
    <row r="106" spans="2:3">
      <c r="B106" s="182">
        <v>33035</v>
      </c>
      <c r="C106" s="182">
        <v>33058</v>
      </c>
    </row>
    <row r="107" spans="2:3">
      <c r="B107" s="182">
        <v>33091</v>
      </c>
      <c r="C107" s="182">
        <v>33119</v>
      </c>
    </row>
    <row r="108" spans="2:3">
      <c r="B108" s="182">
        <v>33147</v>
      </c>
      <c r="C108" s="182">
        <v>33154</v>
      </c>
    </row>
    <row r="109" spans="2:3">
      <c r="B109" s="182">
        <v>33232</v>
      </c>
      <c r="C109" s="182">
        <v>33189</v>
      </c>
    </row>
    <row r="110" spans="2:3">
      <c r="B110" s="182">
        <v>33233</v>
      </c>
      <c r="C110" s="182">
        <v>33199</v>
      </c>
    </row>
    <row r="111" spans="2:3">
      <c r="B111" s="182">
        <v>33239</v>
      </c>
      <c r="C111" s="182">
        <v>33232</v>
      </c>
    </row>
    <row r="112" spans="2:3">
      <c r="B112" s="182">
        <v>33326</v>
      </c>
      <c r="C112" s="182">
        <v>33239</v>
      </c>
    </row>
    <row r="113" spans="2:3">
      <c r="B113" s="182">
        <v>33329</v>
      </c>
      <c r="C113" s="182">
        <v>33259</v>
      </c>
    </row>
    <row r="114" spans="2:3">
      <c r="B114" s="182">
        <v>33353</v>
      </c>
      <c r="C114" s="182">
        <v>33281</v>
      </c>
    </row>
    <row r="115" spans="2:3">
      <c r="B115" s="182">
        <v>33399</v>
      </c>
      <c r="C115" s="182">
        <v>33287</v>
      </c>
    </row>
    <row r="116" spans="2:3">
      <c r="B116" s="182">
        <v>33455</v>
      </c>
      <c r="C116" s="182">
        <v>33385</v>
      </c>
    </row>
    <row r="117" spans="2:3">
      <c r="B117" s="182">
        <v>33518</v>
      </c>
      <c r="C117" s="182">
        <v>33423</v>
      </c>
    </row>
    <row r="118" spans="2:3">
      <c r="B118" s="182">
        <v>33597</v>
      </c>
      <c r="C118" s="182">
        <v>33483</v>
      </c>
    </row>
    <row r="119" spans="2:3">
      <c r="B119" s="182">
        <v>33598</v>
      </c>
      <c r="C119" s="182">
        <v>33525</v>
      </c>
    </row>
    <row r="120" spans="2:3">
      <c r="B120" s="182">
        <v>33604</v>
      </c>
      <c r="C120" s="182">
        <v>33553</v>
      </c>
    </row>
    <row r="121" spans="2:3">
      <c r="B121" s="182">
        <v>33630</v>
      </c>
      <c r="C121" s="182">
        <v>33570</v>
      </c>
    </row>
    <row r="122" spans="2:3">
      <c r="B122" s="182">
        <v>33711</v>
      </c>
      <c r="C122" s="182">
        <v>33597</v>
      </c>
    </row>
    <row r="123" spans="2:3">
      <c r="B123" s="182">
        <v>33714</v>
      </c>
      <c r="C123" s="182">
        <v>33604</v>
      </c>
    </row>
    <row r="124" spans="2:3">
      <c r="B124" s="182">
        <v>33721</v>
      </c>
      <c r="C124" s="182">
        <v>33623</v>
      </c>
    </row>
    <row r="125" spans="2:3">
      <c r="B125" s="182">
        <v>33763</v>
      </c>
      <c r="C125" s="182">
        <v>33646</v>
      </c>
    </row>
    <row r="126" spans="2:3">
      <c r="B126" s="182">
        <v>33819</v>
      </c>
      <c r="C126" s="182">
        <v>33651</v>
      </c>
    </row>
    <row r="127" spans="2:3">
      <c r="B127" s="182">
        <v>33882</v>
      </c>
      <c r="C127" s="182">
        <v>33749</v>
      </c>
    </row>
    <row r="128" spans="2:3">
      <c r="B128" s="182">
        <v>33963</v>
      </c>
      <c r="C128" s="182">
        <v>33788</v>
      </c>
    </row>
    <row r="129" spans="2:3">
      <c r="B129" s="182">
        <v>33970</v>
      </c>
      <c r="C129" s="182">
        <v>33854</v>
      </c>
    </row>
    <row r="130" spans="2:3">
      <c r="B130" s="182">
        <v>33995</v>
      </c>
      <c r="C130" s="182">
        <v>33889</v>
      </c>
    </row>
    <row r="131" spans="2:3">
      <c r="B131" s="182">
        <v>34068</v>
      </c>
      <c r="C131" s="182">
        <v>33919</v>
      </c>
    </row>
    <row r="132" spans="2:3">
      <c r="B132" s="182">
        <v>34071</v>
      </c>
      <c r="C132" s="182">
        <v>33934</v>
      </c>
    </row>
    <row r="133" spans="2:3">
      <c r="B133" s="182">
        <v>34085</v>
      </c>
      <c r="C133" s="182">
        <v>33963</v>
      </c>
    </row>
    <row r="134" spans="2:3">
      <c r="B134" s="182">
        <v>34134</v>
      </c>
      <c r="C134" s="182">
        <v>33970</v>
      </c>
    </row>
    <row r="135" spans="2:3">
      <c r="B135" s="182">
        <v>34183</v>
      </c>
      <c r="C135" s="182">
        <v>33987</v>
      </c>
    </row>
    <row r="136" spans="2:3">
      <c r="B136" s="182">
        <v>34246</v>
      </c>
      <c r="C136" s="182">
        <v>34012</v>
      </c>
    </row>
    <row r="137" spans="2:3">
      <c r="B137" s="182">
        <v>34330</v>
      </c>
      <c r="C137" s="182">
        <v>34015</v>
      </c>
    </row>
    <row r="138" spans="2:3">
      <c r="B138" s="182">
        <v>34360</v>
      </c>
      <c r="C138" s="182">
        <v>34120</v>
      </c>
    </row>
    <row r="139" spans="2:3">
      <c r="B139" s="182">
        <v>34425</v>
      </c>
      <c r="C139" s="182">
        <v>34155</v>
      </c>
    </row>
    <row r="140" spans="2:3">
      <c r="B140" s="182">
        <v>34428</v>
      </c>
      <c r="C140" s="182">
        <v>34218</v>
      </c>
    </row>
    <row r="141" spans="2:3">
      <c r="B141" s="182">
        <v>34449</v>
      </c>
      <c r="C141" s="182">
        <v>34253</v>
      </c>
    </row>
    <row r="142" spans="2:3">
      <c r="B142" s="182">
        <v>34498</v>
      </c>
      <c r="C142" s="182">
        <v>34284</v>
      </c>
    </row>
    <row r="143" spans="2:3">
      <c r="B143" s="182">
        <v>34547</v>
      </c>
      <c r="C143" s="182">
        <v>34298</v>
      </c>
    </row>
    <row r="144" spans="2:3">
      <c r="B144" s="182">
        <v>34610</v>
      </c>
      <c r="C144" s="182">
        <v>34327</v>
      </c>
    </row>
    <row r="145" spans="2:3">
      <c r="B145" s="182">
        <v>34694</v>
      </c>
      <c r="C145" s="182">
        <v>34334</v>
      </c>
    </row>
    <row r="146" spans="2:3">
      <c r="B146" s="182">
        <v>34695</v>
      </c>
      <c r="C146" s="182">
        <v>34351</v>
      </c>
    </row>
    <row r="147" spans="2:3">
      <c r="B147" s="182">
        <v>34701</v>
      </c>
      <c r="C147" s="182">
        <v>34376</v>
      </c>
    </row>
    <row r="148" spans="2:3">
      <c r="B148" s="182">
        <v>34725</v>
      </c>
      <c r="C148" s="182">
        <v>34386</v>
      </c>
    </row>
    <row r="149" spans="2:3">
      <c r="B149" s="182">
        <v>34803</v>
      </c>
      <c r="C149" s="182">
        <v>34484</v>
      </c>
    </row>
    <row r="150" spans="2:3">
      <c r="B150" s="182">
        <v>34806</v>
      </c>
      <c r="C150" s="182">
        <v>34519</v>
      </c>
    </row>
    <row r="151" spans="2:3">
      <c r="B151" s="182">
        <v>34814</v>
      </c>
      <c r="C151" s="182">
        <v>34582</v>
      </c>
    </row>
    <row r="152" spans="2:3">
      <c r="B152" s="182">
        <v>34862</v>
      </c>
      <c r="C152" s="182">
        <v>34617</v>
      </c>
    </row>
    <row r="153" spans="2:3">
      <c r="B153" s="182">
        <v>34918</v>
      </c>
      <c r="C153" s="182">
        <v>34649</v>
      </c>
    </row>
    <row r="154" spans="2:3">
      <c r="B154" s="182">
        <v>34974</v>
      </c>
      <c r="C154" s="182">
        <v>34662</v>
      </c>
    </row>
    <row r="155" spans="2:3">
      <c r="B155" s="182">
        <v>35058</v>
      </c>
      <c r="C155" s="182">
        <v>34694</v>
      </c>
    </row>
    <row r="156" spans="2:3">
      <c r="B156" s="182">
        <v>35059</v>
      </c>
      <c r="C156" s="182">
        <v>34701</v>
      </c>
    </row>
    <row r="157" spans="2:3">
      <c r="B157" s="182">
        <v>35065</v>
      </c>
      <c r="C157" s="182">
        <v>34715</v>
      </c>
    </row>
    <row r="158" spans="2:3">
      <c r="B158" s="182">
        <v>35090</v>
      </c>
      <c r="C158" s="182">
        <v>34743</v>
      </c>
    </row>
    <row r="159" spans="2:3">
      <c r="B159" s="182">
        <v>35160</v>
      </c>
      <c r="C159" s="182">
        <v>34750</v>
      </c>
    </row>
    <row r="160" spans="2:3">
      <c r="B160" s="182">
        <v>35163</v>
      </c>
      <c r="C160" s="182">
        <v>34848</v>
      </c>
    </row>
    <row r="161" spans="2:3">
      <c r="B161" s="182">
        <v>35180</v>
      </c>
      <c r="C161" s="182">
        <v>34884</v>
      </c>
    </row>
    <row r="162" spans="2:3">
      <c r="B162" s="182">
        <v>35226</v>
      </c>
      <c r="C162" s="182">
        <v>34946</v>
      </c>
    </row>
    <row r="163" spans="2:3">
      <c r="B163" s="182">
        <v>35282</v>
      </c>
      <c r="C163" s="182">
        <v>34981</v>
      </c>
    </row>
    <row r="164" spans="2:3">
      <c r="B164" s="182">
        <v>35345</v>
      </c>
      <c r="C164" s="182">
        <v>35013</v>
      </c>
    </row>
    <row r="165" spans="2:3">
      <c r="B165" s="182">
        <v>35424</v>
      </c>
      <c r="C165" s="182">
        <v>35026</v>
      </c>
    </row>
    <row r="166" spans="2:3">
      <c r="B166" s="182">
        <v>35425</v>
      </c>
      <c r="C166" s="182">
        <v>35058</v>
      </c>
    </row>
    <row r="167" spans="2:3">
      <c r="B167" s="182">
        <v>35431</v>
      </c>
      <c r="C167" s="182">
        <v>35065</v>
      </c>
    </row>
    <row r="168" spans="2:3">
      <c r="B168" s="182">
        <v>35457</v>
      </c>
      <c r="C168" s="182">
        <v>35079</v>
      </c>
    </row>
    <row r="169" spans="2:3">
      <c r="B169" s="182">
        <v>35517</v>
      </c>
      <c r="C169" s="182">
        <v>35107</v>
      </c>
    </row>
    <row r="170" spans="2:3">
      <c r="B170" s="182">
        <v>35520</v>
      </c>
      <c r="C170" s="182">
        <v>35114</v>
      </c>
    </row>
    <row r="171" spans="2:3">
      <c r="B171" s="182">
        <v>35545</v>
      </c>
      <c r="C171" s="182">
        <v>35212</v>
      </c>
    </row>
    <row r="172" spans="2:3">
      <c r="B172" s="182">
        <v>35590</v>
      </c>
      <c r="C172" s="182">
        <v>35250</v>
      </c>
    </row>
    <row r="173" spans="2:3">
      <c r="B173" s="182">
        <v>35646</v>
      </c>
      <c r="C173" s="182">
        <v>35310</v>
      </c>
    </row>
    <row r="174" spans="2:3">
      <c r="B174" s="182">
        <v>35709</v>
      </c>
      <c r="C174" s="182">
        <v>35352</v>
      </c>
    </row>
    <row r="175" spans="2:3">
      <c r="B175" s="182">
        <v>35789</v>
      </c>
      <c r="C175" s="182">
        <v>35380</v>
      </c>
    </row>
    <row r="176" spans="2:3">
      <c r="B176" s="182">
        <v>35790</v>
      </c>
      <c r="C176" s="182">
        <v>35397</v>
      </c>
    </row>
    <row r="177" spans="2:3">
      <c r="B177" s="182">
        <v>35796</v>
      </c>
      <c r="C177" s="182">
        <v>35424</v>
      </c>
    </row>
    <row r="178" spans="2:3">
      <c r="B178" s="182">
        <v>35821</v>
      </c>
      <c r="C178" s="182">
        <v>35431</v>
      </c>
    </row>
    <row r="179" spans="2:3">
      <c r="B179" s="182">
        <v>35895</v>
      </c>
      <c r="C179" s="182">
        <v>35450</v>
      </c>
    </row>
    <row r="180" spans="2:3">
      <c r="B180" s="182">
        <v>35898</v>
      </c>
      <c r="C180" s="182">
        <v>35473</v>
      </c>
    </row>
    <row r="181" spans="2:3">
      <c r="B181" s="182">
        <v>35912</v>
      </c>
      <c r="C181" s="182">
        <v>35478</v>
      </c>
    </row>
    <row r="182" spans="2:3">
      <c r="B182" s="182">
        <v>35954</v>
      </c>
      <c r="C182" s="182">
        <v>35576</v>
      </c>
    </row>
    <row r="183" spans="2:3">
      <c r="B183" s="182">
        <v>36010</v>
      </c>
      <c r="C183" s="182">
        <v>35615</v>
      </c>
    </row>
    <row r="184" spans="2:3">
      <c r="B184" s="182">
        <v>36073</v>
      </c>
      <c r="C184" s="182">
        <v>35674</v>
      </c>
    </row>
    <row r="185" spans="2:3">
      <c r="B185" s="182">
        <v>36154</v>
      </c>
      <c r="C185" s="182">
        <v>35716</v>
      </c>
    </row>
    <row r="186" spans="2:3">
      <c r="B186" s="182">
        <v>36161</v>
      </c>
      <c r="C186" s="182">
        <v>35745</v>
      </c>
    </row>
    <row r="187" spans="2:3">
      <c r="B187" s="182">
        <v>36186</v>
      </c>
      <c r="C187" s="182">
        <v>35761</v>
      </c>
    </row>
    <row r="188" spans="2:3">
      <c r="B188" s="182">
        <v>36252</v>
      </c>
      <c r="C188" s="182">
        <v>35789</v>
      </c>
    </row>
    <row r="189" spans="2:3">
      <c r="B189" s="182">
        <v>36255</v>
      </c>
      <c r="C189" s="182">
        <v>35796</v>
      </c>
    </row>
    <row r="190" spans="2:3">
      <c r="B190" s="182">
        <v>36276</v>
      </c>
      <c r="C190" s="182">
        <v>35814</v>
      </c>
    </row>
    <row r="191" spans="2:3">
      <c r="B191" s="182">
        <v>36325</v>
      </c>
      <c r="C191" s="182">
        <v>35838</v>
      </c>
    </row>
    <row r="192" spans="2:3">
      <c r="B192" s="182">
        <v>36374</v>
      </c>
      <c r="C192" s="182">
        <v>35842</v>
      </c>
    </row>
    <row r="193" spans="2:3">
      <c r="B193" s="182">
        <v>36437</v>
      </c>
      <c r="C193" s="182">
        <v>35940</v>
      </c>
    </row>
    <row r="194" spans="2:3">
      <c r="B194" s="182">
        <v>36521</v>
      </c>
      <c r="C194" s="182">
        <v>35979</v>
      </c>
    </row>
    <row r="195" spans="2:3">
      <c r="B195" s="182">
        <v>36551</v>
      </c>
      <c r="C195" s="182">
        <v>36045</v>
      </c>
    </row>
    <row r="196" spans="2:3">
      <c r="B196" s="182">
        <v>36637</v>
      </c>
      <c r="C196" s="182">
        <v>36080</v>
      </c>
    </row>
    <row r="197" spans="2:3">
      <c r="B197" s="182">
        <v>36640</v>
      </c>
      <c r="C197" s="182">
        <v>36110</v>
      </c>
    </row>
    <row r="198" spans="2:3">
      <c r="B198" s="182">
        <v>36641</v>
      </c>
      <c r="C198" s="182">
        <v>36125</v>
      </c>
    </row>
    <row r="199" spans="2:3">
      <c r="B199" s="182">
        <v>36689</v>
      </c>
      <c r="C199" s="182">
        <v>36154</v>
      </c>
    </row>
    <row r="200" spans="2:3">
      <c r="B200" s="182">
        <v>36745</v>
      </c>
      <c r="C200" s="182">
        <v>36161</v>
      </c>
    </row>
    <row r="201" spans="2:3">
      <c r="B201" s="182">
        <v>36801</v>
      </c>
      <c r="C201" s="182">
        <v>36178</v>
      </c>
    </row>
    <row r="202" spans="2:3">
      <c r="B202" s="182">
        <v>36885</v>
      </c>
      <c r="C202" s="182">
        <v>36203</v>
      </c>
    </row>
    <row r="203" spans="2:3">
      <c r="B203" s="182">
        <v>36886</v>
      </c>
      <c r="C203" s="182">
        <v>36206</v>
      </c>
    </row>
    <row r="204" spans="2:3">
      <c r="B204" s="182">
        <v>36892</v>
      </c>
      <c r="C204" s="182">
        <v>36311</v>
      </c>
    </row>
    <row r="205" spans="2:3">
      <c r="B205" s="182">
        <v>36917</v>
      </c>
      <c r="C205" s="182">
        <v>36346</v>
      </c>
    </row>
    <row r="206" spans="2:3">
      <c r="B206" s="182">
        <v>36994</v>
      </c>
      <c r="C206" s="182">
        <v>36409</v>
      </c>
    </row>
    <row r="207" spans="2:3">
      <c r="B207" s="182">
        <v>36997</v>
      </c>
      <c r="C207" s="182">
        <v>36444</v>
      </c>
    </row>
    <row r="208" spans="2:3">
      <c r="B208" s="182">
        <v>37006</v>
      </c>
      <c r="C208" s="182">
        <v>36475</v>
      </c>
    </row>
    <row r="209" spans="2:3">
      <c r="B209" s="182">
        <v>37053</v>
      </c>
      <c r="C209" s="182">
        <v>36489</v>
      </c>
    </row>
    <row r="210" spans="2:3">
      <c r="B210" s="182">
        <v>37109</v>
      </c>
      <c r="C210" s="182">
        <v>36518</v>
      </c>
    </row>
    <row r="211" spans="2:3">
      <c r="B211" s="182">
        <v>37165</v>
      </c>
      <c r="C211" s="182">
        <v>36525</v>
      </c>
    </row>
    <row r="212" spans="2:3">
      <c r="B212" s="182">
        <v>37250</v>
      </c>
      <c r="C212" s="182">
        <v>36542</v>
      </c>
    </row>
    <row r="213" spans="2:3">
      <c r="B213" s="182">
        <v>37251</v>
      </c>
      <c r="C213" s="182">
        <v>36567</v>
      </c>
    </row>
    <row r="214" spans="2:3">
      <c r="B214" s="182">
        <v>37257</v>
      </c>
      <c r="C214" s="182">
        <v>36577</v>
      </c>
    </row>
    <row r="215" spans="2:3">
      <c r="B215" s="182">
        <v>37344</v>
      </c>
      <c r="C215" s="182">
        <v>36675</v>
      </c>
    </row>
    <row r="216" spans="2:3">
      <c r="B216" s="182">
        <v>37347</v>
      </c>
      <c r="C216" s="182">
        <v>36711</v>
      </c>
    </row>
    <row r="217" spans="2:3">
      <c r="B217" s="182">
        <v>37371</v>
      </c>
      <c r="C217" s="182">
        <v>36773</v>
      </c>
    </row>
    <row r="218" spans="2:3">
      <c r="B218" s="182">
        <v>37417</v>
      </c>
      <c r="C218" s="182">
        <v>36808</v>
      </c>
    </row>
    <row r="219" spans="2:3">
      <c r="B219" s="182">
        <v>37473</v>
      </c>
      <c r="C219" s="182">
        <v>36840</v>
      </c>
    </row>
    <row r="220" spans="2:3">
      <c r="B220" s="182">
        <v>37536</v>
      </c>
      <c r="C220" s="182">
        <v>36853</v>
      </c>
    </row>
    <row r="221" spans="2:3">
      <c r="B221" s="182">
        <v>37615</v>
      </c>
      <c r="C221" s="182">
        <v>36885</v>
      </c>
    </row>
    <row r="222" spans="2:3">
      <c r="B222" s="182">
        <v>37616</v>
      </c>
      <c r="C222" s="182">
        <v>36892</v>
      </c>
    </row>
    <row r="223" spans="2:3">
      <c r="B223" s="182">
        <v>37622</v>
      </c>
      <c r="C223" s="182">
        <v>36906</v>
      </c>
    </row>
    <row r="224" spans="2:3">
      <c r="B224" s="182">
        <v>37648</v>
      </c>
      <c r="C224" s="182">
        <v>36934</v>
      </c>
    </row>
    <row r="225" spans="2:3">
      <c r="B225" s="182">
        <v>37729</v>
      </c>
      <c r="C225" s="182">
        <v>36941</v>
      </c>
    </row>
    <row r="226" spans="2:3">
      <c r="B226" s="182">
        <v>37732</v>
      </c>
      <c r="C226" s="182">
        <v>37039</v>
      </c>
    </row>
    <row r="227" spans="2:3">
      <c r="B227" s="182">
        <v>37736</v>
      </c>
      <c r="C227" s="182">
        <v>37076</v>
      </c>
    </row>
    <row r="228" spans="2:3">
      <c r="B228" s="182">
        <v>37781</v>
      </c>
      <c r="C228" s="182">
        <v>37137</v>
      </c>
    </row>
    <row r="229" spans="2:3">
      <c r="B229" s="182">
        <v>37837</v>
      </c>
      <c r="C229" s="182">
        <v>37172</v>
      </c>
    </row>
    <row r="230" spans="2:3">
      <c r="B230" s="182">
        <v>37900</v>
      </c>
      <c r="C230" s="182">
        <v>37207</v>
      </c>
    </row>
    <row r="231" spans="2:3">
      <c r="B231" s="182">
        <v>37980</v>
      </c>
      <c r="C231" s="182">
        <v>37217</v>
      </c>
    </row>
    <row r="232" spans="2:3">
      <c r="B232" s="182">
        <v>37981</v>
      </c>
      <c r="C232" s="182">
        <v>37250</v>
      </c>
    </row>
    <row r="233" spans="2:3">
      <c r="B233" s="182">
        <v>37987</v>
      </c>
      <c r="C233" s="182">
        <v>37257</v>
      </c>
    </row>
    <row r="234" spans="2:3">
      <c r="B234" s="182">
        <v>38012</v>
      </c>
      <c r="C234" s="182">
        <v>37277</v>
      </c>
    </row>
    <row r="235" spans="2:3">
      <c r="B235" s="182">
        <v>38086</v>
      </c>
      <c r="C235" s="182">
        <v>37299</v>
      </c>
    </row>
    <row r="236" spans="2:3">
      <c r="B236" s="182">
        <v>38089</v>
      </c>
      <c r="C236" s="182">
        <v>37305</v>
      </c>
    </row>
    <row r="237" spans="2:3">
      <c r="B237" s="182">
        <v>38103</v>
      </c>
      <c r="C237" s="182">
        <v>37403</v>
      </c>
    </row>
    <row r="238" spans="2:3">
      <c r="B238" s="182">
        <v>38152</v>
      </c>
      <c r="C238" s="182">
        <v>37441</v>
      </c>
    </row>
    <row r="239" spans="2:3">
      <c r="B239" s="182">
        <v>38201</v>
      </c>
      <c r="C239" s="182">
        <v>37501</v>
      </c>
    </row>
    <row r="240" spans="2:3">
      <c r="B240" s="182">
        <v>38264</v>
      </c>
      <c r="C240" s="182">
        <v>37543</v>
      </c>
    </row>
    <row r="241" spans="2:3">
      <c r="B241" s="182">
        <v>38348</v>
      </c>
      <c r="C241" s="182">
        <v>37571</v>
      </c>
    </row>
    <row r="242" spans="2:3">
      <c r="B242" s="182">
        <v>38378</v>
      </c>
      <c r="C242" s="182">
        <v>37588</v>
      </c>
    </row>
    <row r="243" spans="2:3">
      <c r="B243" s="182">
        <v>38436</v>
      </c>
      <c r="C243" s="182">
        <v>37615</v>
      </c>
    </row>
    <row r="244" spans="2:3">
      <c r="B244" s="182">
        <v>38439</v>
      </c>
      <c r="C244" s="182">
        <v>37622</v>
      </c>
    </row>
    <row r="245" spans="2:3">
      <c r="B245" s="182">
        <v>38467</v>
      </c>
      <c r="C245" s="182">
        <v>37641</v>
      </c>
    </row>
    <row r="246" spans="2:3">
      <c r="B246" s="182">
        <v>38516</v>
      </c>
      <c r="C246" s="182">
        <v>37664</v>
      </c>
    </row>
    <row r="247" spans="2:3">
      <c r="B247" s="182">
        <v>38565</v>
      </c>
      <c r="C247" s="182">
        <v>37669</v>
      </c>
    </row>
    <row r="248" spans="2:3">
      <c r="B248" s="182">
        <v>38628</v>
      </c>
      <c r="C248" s="182">
        <v>37767</v>
      </c>
    </row>
    <row r="249" spans="2:3">
      <c r="B249" s="182">
        <v>38712</v>
      </c>
      <c r="C249" s="182">
        <v>37806</v>
      </c>
    </row>
    <row r="250" spans="2:3">
      <c r="B250" s="182">
        <v>38713</v>
      </c>
      <c r="C250" s="182">
        <v>37865</v>
      </c>
    </row>
    <row r="251" spans="2:3">
      <c r="B251" s="182">
        <v>38719</v>
      </c>
      <c r="C251" s="182">
        <v>37907</v>
      </c>
    </row>
    <row r="252" spans="2:3">
      <c r="B252" s="182">
        <v>38743</v>
      </c>
      <c r="C252" s="182">
        <v>37936</v>
      </c>
    </row>
    <row r="253" spans="2:3">
      <c r="B253" s="182">
        <v>38821</v>
      </c>
      <c r="C253" s="182">
        <v>37952</v>
      </c>
    </row>
    <row r="254" spans="2:3">
      <c r="B254" s="182">
        <v>38824</v>
      </c>
      <c r="C254" s="182">
        <v>37980</v>
      </c>
    </row>
    <row r="255" spans="2:3">
      <c r="B255" s="182">
        <v>38832</v>
      </c>
      <c r="C255" s="182">
        <v>37987</v>
      </c>
    </row>
    <row r="256" spans="2:3">
      <c r="B256" s="182">
        <v>38880</v>
      </c>
      <c r="C256" s="182">
        <v>38005</v>
      </c>
    </row>
    <row r="257" spans="2:3">
      <c r="B257" s="182">
        <v>38936</v>
      </c>
      <c r="C257" s="182">
        <v>38029</v>
      </c>
    </row>
    <row r="258" spans="2:3">
      <c r="B258" s="182">
        <v>38992</v>
      </c>
      <c r="C258" s="182">
        <v>38033</v>
      </c>
    </row>
    <row r="259" spans="2:3">
      <c r="B259" s="182">
        <v>39076</v>
      </c>
      <c r="C259" s="182">
        <v>38138</v>
      </c>
    </row>
    <row r="260" spans="2:3">
      <c r="B260" s="182">
        <v>39077</v>
      </c>
      <c r="C260" s="182">
        <v>38173</v>
      </c>
    </row>
    <row r="261" spans="2:3">
      <c r="B261" s="182">
        <v>39083</v>
      </c>
      <c r="C261" s="182">
        <v>38236</v>
      </c>
    </row>
    <row r="262" spans="2:3">
      <c r="B262" s="182">
        <v>39108</v>
      </c>
      <c r="C262" s="182">
        <v>38271</v>
      </c>
    </row>
    <row r="263" spans="2:3">
      <c r="B263" s="182">
        <v>39178</v>
      </c>
      <c r="C263" s="182">
        <v>38302</v>
      </c>
    </row>
    <row r="264" spans="2:3">
      <c r="B264" s="182">
        <v>39181</v>
      </c>
      <c r="C264" s="182">
        <v>38316</v>
      </c>
    </row>
    <row r="265" spans="2:3">
      <c r="B265" s="182">
        <v>39197</v>
      </c>
      <c r="C265" s="182">
        <v>38345</v>
      </c>
    </row>
    <row r="266" spans="2:3">
      <c r="B266" s="182">
        <v>39244</v>
      </c>
      <c r="C266" s="182">
        <v>38352</v>
      </c>
    </row>
    <row r="267" spans="2:3">
      <c r="B267" s="182">
        <v>39300</v>
      </c>
      <c r="C267" s="182">
        <v>38369</v>
      </c>
    </row>
    <row r="268" spans="2:3">
      <c r="B268" s="182">
        <v>39356</v>
      </c>
      <c r="C268" s="182">
        <v>38394</v>
      </c>
    </row>
    <row r="269" spans="2:3">
      <c r="B269" s="182">
        <v>39441</v>
      </c>
      <c r="C269" s="182">
        <v>38398</v>
      </c>
    </row>
    <row r="270" spans="2:3">
      <c r="B270" s="182">
        <v>39442</v>
      </c>
      <c r="C270" s="182">
        <v>38404</v>
      </c>
    </row>
    <row r="271" spans="2:3">
      <c r="B271" s="182">
        <v>39448</v>
      </c>
      <c r="C271" s="182">
        <v>38502</v>
      </c>
    </row>
    <row r="272" spans="2:3">
      <c r="B272" s="182">
        <v>39528</v>
      </c>
      <c r="C272" s="182">
        <v>38537</v>
      </c>
    </row>
    <row r="273" spans="2:3">
      <c r="B273" s="182">
        <v>39531</v>
      </c>
      <c r="C273" s="182">
        <v>38600</v>
      </c>
    </row>
    <row r="274" spans="2:3">
      <c r="B274" s="182">
        <v>39563</v>
      </c>
      <c r="C274" s="182">
        <v>38635</v>
      </c>
    </row>
    <row r="275" spans="2:3">
      <c r="B275" s="182">
        <v>39608</v>
      </c>
      <c r="C275" s="182">
        <v>38667</v>
      </c>
    </row>
    <row r="276" spans="2:3">
      <c r="B276" s="182">
        <v>39664</v>
      </c>
      <c r="C276" s="182">
        <v>38680</v>
      </c>
    </row>
    <row r="277" spans="2:3">
      <c r="B277" s="182">
        <v>39727</v>
      </c>
      <c r="C277" s="182">
        <v>38712</v>
      </c>
    </row>
    <row r="278" spans="2:3">
      <c r="B278" s="182">
        <v>39807</v>
      </c>
      <c r="C278" s="182">
        <v>38719</v>
      </c>
    </row>
    <row r="279" spans="2:3">
      <c r="B279" s="182">
        <v>39808</v>
      </c>
      <c r="C279" s="182">
        <v>38733</v>
      </c>
    </row>
    <row r="280" spans="2:3">
      <c r="B280" s="182">
        <v>39814</v>
      </c>
      <c r="C280" s="182">
        <v>38761</v>
      </c>
    </row>
    <row r="281" spans="2:3">
      <c r="B281" s="182">
        <v>39839</v>
      </c>
      <c r="C281" s="182">
        <v>38763</v>
      </c>
    </row>
    <row r="282" spans="2:3">
      <c r="B282" s="182">
        <v>39913</v>
      </c>
      <c r="C282" s="182">
        <v>38768</v>
      </c>
    </row>
    <row r="283" spans="2:3">
      <c r="B283" s="182">
        <v>39916</v>
      </c>
      <c r="C283" s="182">
        <v>38866</v>
      </c>
    </row>
    <row r="284" spans="2:3">
      <c r="B284" s="182">
        <v>39930</v>
      </c>
      <c r="C284" s="182">
        <v>38902</v>
      </c>
    </row>
    <row r="285" spans="2:3">
      <c r="B285" s="182">
        <v>39972</v>
      </c>
      <c r="C285" s="182">
        <v>38964</v>
      </c>
    </row>
    <row r="286" spans="2:3">
      <c r="B286" s="182">
        <v>40028</v>
      </c>
      <c r="C286" s="182">
        <v>38999</v>
      </c>
    </row>
    <row r="287" spans="2:3">
      <c r="B287" s="182">
        <v>40091</v>
      </c>
      <c r="C287" s="182">
        <v>39031</v>
      </c>
    </row>
    <row r="288" spans="2:3">
      <c r="B288" s="182">
        <v>40172</v>
      </c>
      <c r="C288" s="182">
        <v>39044</v>
      </c>
    </row>
    <row r="289" spans="2:3">
      <c r="B289" s="182">
        <v>40179</v>
      </c>
      <c r="C289" s="182">
        <v>39076</v>
      </c>
    </row>
    <row r="290" spans="2:3">
      <c r="B290" s="182">
        <v>40204</v>
      </c>
      <c r="C290" s="182">
        <v>39083</v>
      </c>
    </row>
    <row r="291" spans="2:3">
      <c r="B291" s="182">
        <v>40270</v>
      </c>
      <c r="C291" s="182">
        <v>39097</v>
      </c>
    </row>
    <row r="292" spans="2:3">
      <c r="B292" s="182">
        <v>40273</v>
      </c>
      <c r="C292" s="182">
        <v>39125</v>
      </c>
    </row>
    <row r="293" spans="2:3">
      <c r="B293" s="182">
        <v>40294</v>
      </c>
      <c r="C293" s="182">
        <v>39128</v>
      </c>
    </row>
    <row r="294" spans="2:3">
      <c r="B294" s="182">
        <v>40343</v>
      </c>
      <c r="C294" s="182">
        <v>39132</v>
      </c>
    </row>
    <row r="295" spans="2:3">
      <c r="B295" s="182">
        <v>40392</v>
      </c>
      <c r="C295" s="182">
        <v>39230</v>
      </c>
    </row>
    <row r="296" spans="2:3">
      <c r="B296" s="182">
        <v>40455</v>
      </c>
      <c r="C296" s="182">
        <v>39267</v>
      </c>
    </row>
    <row r="297" spans="2:3">
      <c r="B297" s="182">
        <v>40539</v>
      </c>
      <c r="C297" s="182">
        <v>39328</v>
      </c>
    </row>
    <row r="298" spans="2:3">
      <c r="B298" s="182">
        <v>40546</v>
      </c>
      <c r="C298" s="182">
        <v>39363</v>
      </c>
    </row>
    <row r="299" spans="2:3">
      <c r="B299" s="182">
        <v>40569</v>
      </c>
      <c r="C299" s="182">
        <v>39398</v>
      </c>
    </row>
    <row r="300" spans="2:3">
      <c r="B300" s="182">
        <v>40655</v>
      </c>
      <c r="C300" s="182">
        <v>39408</v>
      </c>
    </row>
    <row r="301" spans="2:3">
      <c r="B301" s="182">
        <v>40658</v>
      </c>
      <c r="C301" s="182">
        <v>39441</v>
      </c>
    </row>
    <row r="302" spans="2:3">
      <c r="B302" s="182">
        <v>40707</v>
      </c>
      <c r="C302" s="182">
        <v>39448</v>
      </c>
    </row>
    <row r="303" spans="2:3">
      <c r="B303" s="182">
        <v>40756</v>
      </c>
      <c r="C303" s="182">
        <v>39468</v>
      </c>
    </row>
    <row r="304" spans="2:3">
      <c r="B304" s="182">
        <v>40819</v>
      </c>
      <c r="C304" s="182">
        <v>39490</v>
      </c>
    </row>
    <row r="305" spans="2:3">
      <c r="B305" s="182">
        <v>40903</v>
      </c>
      <c r="C305" s="182">
        <v>39493</v>
      </c>
    </row>
    <row r="306" spans="2:3">
      <c r="B306" s="182">
        <v>40904</v>
      </c>
      <c r="C306" s="182">
        <v>39496</v>
      </c>
    </row>
    <row r="307" spans="2:3">
      <c r="B307" s="182">
        <v>40910</v>
      </c>
      <c r="C307" s="182">
        <v>39594</v>
      </c>
    </row>
    <row r="308" spans="2:3">
      <c r="B308" s="182">
        <v>40934</v>
      </c>
      <c r="C308" s="182">
        <v>39633</v>
      </c>
    </row>
    <row r="309" spans="2:3">
      <c r="B309" s="182">
        <v>41005</v>
      </c>
      <c r="C309" s="182">
        <v>39692</v>
      </c>
    </row>
    <row r="310" spans="2:3">
      <c r="B310" s="182">
        <v>41008</v>
      </c>
      <c r="C310" s="182">
        <v>39734</v>
      </c>
    </row>
    <row r="311" spans="2:3">
      <c r="B311" s="182">
        <v>41024</v>
      </c>
      <c r="C311" s="182">
        <v>39756</v>
      </c>
    </row>
    <row r="312" spans="2:3">
      <c r="B312" s="182">
        <v>41071</v>
      </c>
      <c r="C312" s="182">
        <v>39763</v>
      </c>
    </row>
    <row r="313" spans="2:3">
      <c r="B313" s="182">
        <v>41127</v>
      </c>
      <c r="C313" s="182">
        <v>39779</v>
      </c>
    </row>
    <row r="314" spans="2:3">
      <c r="B314" s="182">
        <v>41183</v>
      </c>
      <c r="C314" s="182">
        <v>39807</v>
      </c>
    </row>
    <row r="315" spans="2:3">
      <c r="B315" s="182">
        <v>41268</v>
      </c>
      <c r="C315" s="182">
        <v>39814</v>
      </c>
    </row>
    <row r="316" spans="2:3">
      <c r="B316" s="182">
        <v>41269</v>
      </c>
      <c r="C316" s="182">
        <v>39832</v>
      </c>
    </row>
    <row r="317" spans="2:3">
      <c r="B317" s="182">
        <v>41275</v>
      </c>
      <c r="C317" s="182">
        <v>39856</v>
      </c>
    </row>
    <row r="318" spans="2:3">
      <c r="B318" s="182">
        <v>41302</v>
      </c>
      <c r="C318" s="182">
        <v>39860</v>
      </c>
    </row>
    <row r="319" spans="2:3">
      <c r="B319" s="182">
        <v>41362</v>
      </c>
      <c r="C319" s="182">
        <v>39958</v>
      </c>
    </row>
    <row r="320" spans="2:3">
      <c r="B320" s="182">
        <v>41365</v>
      </c>
      <c r="C320" s="182">
        <v>39997</v>
      </c>
    </row>
    <row r="321" spans="2:3">
      <c r="B321" s="182">
        <v>41389</v>
      </c>
      <c r="C321" s="182">
        <v>40063</v>
      </c>
    </row>
    <row r="322" spans="2:3">
      <c r="B322" s="182">
        <v>41435</v>
      </c>
      <c r="C322" s="182">
        <v>40098</v>
      </c>
    </row>
    <row r="323" spans="2:3">
      <c r="B323" s="182">
        <v>41491</v>
      </c>
      <c r="C323" s="182">
        <v>40128</v>
      </c>
    </row>
    <row r="324" spans="2:3">
      <c r="B324" s="182">
        <v>41554</v>
      </c>
      <c r="C324" s="182">
        <v>40143</v>
      </c>
    </row>
    <row r="325" spans="2:3">
      <c r="B325" s="182">
        <v>41633</v>
      </c>
      <c r="C325" s="182">
        <v>40172</v>
      </c>
    </row>
    <row r="326" spans="2:3">
      <c r="B326" s="182">
        <v>41634</v>
      </c>
      <c r="C326" s="182">
        <v>40179</v>
      </c>
    </row>
    <row r="327" spans="2:3">
      <c r="B327" s="182">
        <v>41640</v>
      </c>
      <c r="C327" s="182">
        <v>40196</v>
      </c>
    </row>
    <row r="328" spans="2:3">
      <c r="B328" s="182">
        <v>41666</v>
      </c>
      <c r="C328" s="182">
        <v>40221</v>
      </c>
    </row>
    <row r="329" spans="2:3">
      <c r="B329" s="182">
        <v>41747</v>
      </c>
      <c r="C329" s="182">
        <v>40224</v>
      </c>
    </row>
    <row r="330" spans="2:3">
      <c r="B330" s="182">
        <v>41750</v>
      </c>
      <c r="C330" s="182">
        <v>40329</v>
      </c>
    </row>
    <row r="331" spans="2:3">
      <c r="B331" s="182">
        <v>41754</v>
      </c>
      <c r="C331" s="182">
        <v>40364</v>
      </c>
    </row>
    <row r="332" spans="2:3">
      <c r="B332" s="182">
        <v>41799</v>
      </c>
      <c r="C332" s="182">
        <v>40427</v>
      </c>
    </row>
    <row r="333" spans="2:3">
      <c r="B333" s="182">
        <v>41855</v>
      </c>
      <c r="C333" s="182">
        <v>40462</v>
      </c>
    </row>
    <row r="334" spans="2:3">
      <c r="B334" s="182">
        <v>41918</v>
      </c>
      <c r="C334" s="182">
        <v>40484</v>
      </c>
    </row>
    <row r="335" spans="2:3">
      <c r="B335" s="182">
        <v>41998</v>
      </c>
      <c r="C335" s="182">
        <v>40493</v>
      </c>
    </row>
    <row r="336" spans="2:3">
      <c r="B336" s="182">
        <v>41999</v>
      </c>
      <c r="C336" s="182">
        <v>40507</v>
      </c>
    </row>
    <row r="337" spans="2:3">
      <c r="B337" s="182">
        <v>42005</v>
      </c>
      <c r="C337" s="182">
        <v>40536</v>
      </c>
    </row>
    <row r="338" spans="2:3">
      <c r="B338" s="182">
        <v>42030</v>
      </c>
      <c r="C338" s="182">
        <v>40543</v>
      </c>
    </row>
    <row r="339" spans="2:3">
      <c r="B339" s="182">
        <v>42097</v>
      </c>
      <c r="C339" s="182">
        <v>40560</v>
      </c>
    </row>
    <row r="340" spans="2:3">
      <c r="B340" s="182">
        <v>42100</v>
      </c>
      <c r="C340" s="182">
        <v>40585</v>
      </c>
    </row>
    <row r="341" spans="2:3">
      <c r="B341" s="182">
        <v>42163</v>
      </c>
      <c r="C341" s="182">
        <v>40589</v>
      </c>
    </row>
    <row r="342" spans="2:3">
      <c r="B342" s="182">
        <v>42219</v>
      </c>
      <c r="C342" s="182">
        <v>40595</v>
      </c>
    </row>
    <row r="343" spans="2:3">
      <c r="B343" s="182">
        <v>42282</v>
      </c>
      <c r="C343" s="182">
        <v>40693</v>
      </c>
    </row>
    <row r="344" spans="2:3">
      <c r="B344" s="182">
        <v>42363</v>
      </c>
      <c r="C344" s="182">
        <v>40728</v>
      </c>
    </row>
    <row r="345" spans="2:3">
      <c r="B345" s="182">
        <v>42366</v>
      </c>
      <c r="C345" s="182">
        <v>40791</v>
      </c>
    </row>
    <row r="346" spans="2:3">
      <c r="B346" s="182">
        <v>42370</v>
      </c>
      <c r="C346" s="182">
        <v>40826</v>
      </c>
    </row>
    <row r="347" spans="2:3">
      <c r="B347" s="182">
        <v>42395</v>
      </c>
      <c r="C347" s="182">
        <v>40858</v>
      </c>
    </row>
    <row r="348" spans="2:3">
      <c r="B348" s="182">
        <v>42454</v>
      </c>
      <c r="C348" s="182">
        <v>40871</v>
      </c>
    </row>
    <row r="349" spans="2:3">
      <c r="B349" s="182">
        <v>42457</v>
      </c>
      <c r="C349" s="182">
        <v>40903</v>
      </c>
    </row>
    <row r="350" spans="2:3">
      <c r="B350" s="182">
        <v>42485</v>
      </c>
      <c r="C350" s="182">
        <v>40910</v>
      </c>
    </row>
    <row r="351" spans="2:3">
      <c r="B351" s="182">
        <v>42534</v>
      </c>
      <c r="C351" s="182">
        <v>40924</v>
      </c>
    </row>
    <row r="352" spans="2:3">
      <c r="B352" s="182">
        <v>42583</v>
      </c>
      <c r="C352" s="182">
        <v>40952</v>
      </c>
    </row>
    <row r="353" spans="2:3">
      <c r="B353" s="182">
        <v>42646</v>
      </c>
      <c r="C353" s="182">
        <v>40954</v>
      </c>
    </row>
    <row r="354" spans="2:3">
      <c r="B354" s="182">
        <v>42730</v>
      </c>
      <c r="C354" s="182">
        <v>40959</v>
      </c>
    </row>
    <row r="355" spans="2:3">
      <c r="B355" s="182">
        <v>42731</v>
      </c>
      <c r="C355" s="182">
        <v>41057</v>
      </c>
    </row>
    <row r="356" spans="2:3">
      <c r="B356" s="182">
        <v>42737</v>
      </c>
      <c r="C356" s="182">
        <v>41094</v>
      </c>
    </row>
    <row r="357" spans="2:3">
      <c r="B357" s="182">
        <v>42761</v>
      </c>
      <c r="C357" s="182">
        <v>41155</v>
      </c>
    </row>
    <row r="358" spans="2:3">
      <c r="B358" s="182">
        <v>42839</v>
      </c>
      <c r="C358" s="182">
        <v>41190</v>
      </c>
    </row>
    <row r="359" spans="2:3">
      <c r="B359" s="182">
        <v>42842</v>
      </c>
      <c r="C359" s="182">
        <v>41219</v>
      </c>
    </row>
    <row r="360" spans="2:3">
      <c r="B360" s="182">
        <v>42850</v>
      </c>
      <c r="C360" s="182">
        <v>41225</v>
      </c>
    </row>
    <row r="361" spans="2:3">
      <c r="B361" s="182">
        <v>42898</v>
      </c>
      <c r="C361" s="182">
        <v>41235</v>
      </c>
    </row>
    <row r="362" spans="2:3">
      <c r="B362" s="182">
        <v>42954</v>
      </c>
      <c r="C362" s="182">
        <v>41268</v>
      </c>
    </row>
    <row r="363" spans="2:3">
      <c r="B363" s="182">
        <v>43010</v>
      </c>
      <c r="C363" s="182">
        <v>41275</v>
      </c>
    </row>
    <row r="364" spans="2:3">
      <c r="B364" s="182">
        <v>43094</v>
      </c>
      <c r="C364" s="182">
        <v>41295</v>
      </c>
    </row>
    <row r="365" spans="2:3">
      <c r="B365" s="182">
        <v>43095</v>
      </c>
      <c r="C365" s="182">
        <v>41317</v>
      </c>
    </row>
    <row r="366" spans="2:3">
      <c r="B366" s="182">
        <v>43101</v>
      </c>
      <c r="C366" s="182">
        <v>41320</v>
      </c>
    </row>
    <row r="367" spans="2:3">
      <c r="B367" s="182">
        <v>43126</v>
      </c>
      <c r="C367" s="182">
        <v>41323</v>
      </c>
    </row>
    <row r="368" spans="2:3">
      <c r="B368" s="182">
        <v>43189</v>
      </c>
      <c r="C368" s="182">
        <v>41421</v>
      </c>
    </row>
    <row r="369" spans="2:3">
      <c r="B369" s="182">
        <v>43192</v>
      </c>
      <c r="C369" s="182">
        <v>41459</v>
      </c>
    </row>
    <row r="370" spans="2:3">
      <c r="B370" s="182">
        <v>43215</v>
      </c>
      <c r="C370" s="182">
        <v>41519</v>
      </c>
    </row>
    <row r="371" spans="2:3">
      <c r="B371" s="182">
        <v>43262</v>
      </c>
      <c r="C371" s="182">
        <v>41561</v>
      </c>
    </row>
    <row r="372" spans="2:3">
      <c r="B372" s="182">
        <v>43318</v>
      </c>
      <c r="C372" s="182">
        <v>41589</v>
      </c>
    </row>
    <row r="373" spans="2:3">
      <c r="B373" s="182">
        <v>43374</v>
      </c>
      <c r="C373" s="182">
        <v>41606</v>
      </c>
    </row>
    <row r="374" spans="2:3">
      <c r="B374" s="182">
        <v>43459</v>
      </c>
      <c r="C374" s="182">
        <v>41633</v>
      </c>
    </row>
    <row r="375" spans="2:3">
      <c r="B375" s="182">
        <v>43460</v>
      </c>
      <c r="C375" s="182">
        <v>41640</v>
      </c>
    </row>
    <row r="376" spans="2:3">
      <c r="B376" s="182">
        <v>43466</v>
      </c>
      <c r="C376" s="182">
        <v>41659</v>
      </c>
    </row>
    <row r="377" spans="2:3">
      <c r="B377" s="182">
        <v>43493</v>
      </c>
      <c r="C377" s="182">
        <v>41682</v>
      </c>
    </row>
    <row r="378" spans="2:3">
      <c r="B378" s="182">
        <v>43574</v>
      </c>
      <c r="C378" s="182">
        <v>41687</v>
      </c>
    </row>
    <row r="379" spans="2:3">
      <c r="B379" s="182">
        <v>43577</v>
      </c>
      <c r="C379" s="182">
        <v>41785</v>
      </c>
    </row>
    <row r="380" spans="2:3">
      <c r="B380" s="182">
        <v>43580</v>
      </c>
      <c r="C380" s="182">
        <v>41824</v>
      </c>
    </row>
    <row r="381" spans="2:3">
      <c r="B381" s="182">
        <v>43626</v>
      </c>
      <c r="C381" s="182">
        <v>41883</v>
      </c>
    </row>
    <row r="382" spans="2:3">
      <c r="B382" s="182">
        <v>43682</v>
      </c>
      <c r="C382" s="182">
        <v>41925</v>
      </c>
    </row>
    <row r="383" spans="2:3">
      <c r="B383" s="182">
        <v>43745</v>
      </c>
      <c r="C383" s="182">
        <v>41947</v>
      </c>
    </row>
    <row r="384" spans="2:3">
      <c r="B384" s="182">
        <v>43824</v>
      </c>
      <c r="C384" s="182">
        <v>41954</v>
      </c>
    </row>
    <row r="385" spans="2:3">
      <c r="B385" s="182">
        <v>43825</v>
      </c>
      <c r="C385" s="182">
        <v>41970</v>
      </c>
    </row>
    <row r="386" spans="2:3">
      <c r="B386" s="182">
        <v>43831</v>
      </c>
      <c r="C386" s="182">
        <v>41998</v>
      </c>
    </row>
    <row r="387" spans="2:3">
      <c r="B387" s="182">
        <v>43857</v>
      </c>
      <c r="C387" s="182">
        <v>42005</v>
      </c>
    </row>
    <row r="388" spans="2:3">
      <c r="B388" s="182">
        <v>43931</v>
      </c>
      <c r="C388" s="182">
        <v>42023</v>
      </c>
    </row>
    <row r="389" spans="2:3">
      <c r="B389" s="182">
        <v>43934</v>
      </c>
      <c r="C389" s="182">
        <v>42047</v>
      </c>
    </row>
    <row r="390" spans="2:3">
      <c r="B390" s="182">
        <v>43990</v>
      </c>
      <c r="C390" s="182">
        <v>42051</v>
      </c>
    </row>
    <row r="391" spans="2:3">
      <c r="B391" s="182">
        <v>44046</v>
      </c>
      <c r="C391" s="182">
        <v>42149</v>
      </c>
    </row>
    <row r="392" spans="2:3">
      <c r="B392" s="182">
        <v>44109</v>
      </c>
      <c r="C392" s="182">
        <v>42188</v>
      </c>
    </row>
    <row r="393" spans="2:3">
      <c r="B393" s="182">
        <v>44190</v>
      </c>
      <c r="C393" s="182">
        <v>42254</v>
      </c>
    </row>
    <row r="394" spans="2:3">
      <c r="B394" s="182">
        <v>44193</v>
      </c>
      <c r="C394" s="182">
        <v>42289</v>
      </c>
    </row>
    <row r="395" spans="2:3">
      <c r="B395" s="182">
        <v>44197</v>
      </c>
      <c r="C395" s="182">
        <v>42311</v>
      </c>
    </row>
    <row r="396" spans="2:3">
      <c r="B396" s="182">
        <v>44222</v>
      </c>
      <c r="C396" s="182">
        <v>42319</v>
      </c>
    </row>
    <row r="397" spans="2:3">
      <c r="B397" s="182">
        <v>44288</v>
      </c>
      <c r="C397" s="182">
        <v>42334</v>
      </c>
    </row>
    <row r="398" spans="2:3">
      <c r="B398" s="182">
        <v>44291</v>
      </c>
      <c r="C398" s="182">
        <v>42363</v>
      </c>
    </row>
    <row r="399" spans="2:3">
      <c r="B399" s="182">
        <v>44361</v>
      </c>
      <c r="C399" s="182">
        <v>42370</v>
      </c>
    </row>
    <row r="400" spans="2:3">
      <c r="B400" s="182">
        <v>44410</v>
      </c>
      <c r="C400" s="182">
        <v>42387</v>
      </c>
    </row>
    <row r="401" spans="2:3">
      <c r="B401" s="182">
        <v>44473</v>
      </c>
      <c r="C401" s="182">
        <v>42412</v>
      </c>
    </row>
    <row r="402" spans="2:3">
      <c r="B402" s="182">
        <v>44557</v>
      </c>
      <c r="C402" s="182">
        <v>42415</v>
      </c>
    </row>
    <row r="403" spans="2:3">
      <c r="B403" s="182">
        <v>44558</v>
      </c>
      <c r="C403" s="182">
        <v>42520</v>
      </c>
    </row>
    <row r="404" spans="2:3">
      <c r="B404" s="182">
        <v>44564</v>
      </c>
      <c r="C404" s="182">
        <v>42555</v>
      </c>
    </row>
    <row r="405" spans="2:3">
      <c r="B405" s="182">
        <v>44587</v>
      </c>
      <c r="C405" s="182">
        <v>42618</v>
      </c>
    </row>
    <row r="406" spans="2:3">
      <c r="B406" s="182">
        <v>44666</v>
      </c>
      <c r="C406" s="182">
        <v>42653</v>
      </c>
    </row>
    <row r="407" spans="2:3">
      <c r="B407" s="182">
        <v>44669</v>
      </c>
      <c r="C407" s="182">
        <v>42682</v>
      </c>
    </row>
    <row r="408" spans="2:3">
      <c r="B408" s="182">
        <v>44676</v>
      </c>
      <c r="C408" s="182">
        <v>42685</v>
      </c>
    </row>
    <row r="409" spans="2:3">
      <c r="B409" s="182">
        <v>44725</v>
      </c>
      <c r="C409" s="182">
        <v>42698</v>
      </c>
    </row>
    <row r="410" spans="2:3">
      <c r="B410" s="182">
        <v>44774</v>
      </c>
      <c r="C410" s="182">
        <v>42730</v>
      </c>
    </row>
    <row r="411" spans="2:3">
      <c r="B411" s="182">
        <v>44826</v>
      </c>
      <c r="C411" s="182">
        <v>42737</v>
      </c>
    </row>
    <row r="412" spans="2:3">
      <c r="B412" s="182">
        <v>44837</v>
      </c>
      <c r="C412" s="182">
        <v>42751</v>
      </c>
    </row>
    <row r="413" spans="2:3">
      <c r="B413" s="182">
        <v>44921</v>
      </c>
      <c r="C413" s="182">
        <v>42779</v>
      </c>
    </row>
    <row r="414" spans="2:3">
      <c r="B414" s="182">
        <v>44922</v>
      </c>
      <c r="C414" s="182">
        <v>42781</v>
      </c>
    </row>
    <row r="415" spans="2:3">
      <c r="B415" s="182">
        <v>44928</v>
      </c>
      <c r="C415" s="182">
        <v>42786</v>
      </c>
    </row>
    <row r="416" spans="2:3">
      <c r="B416" s="182">
        <v>44952</v>
      </c>
      <c r="C416" s="182">
        <v>42884</v>
      </c>
    </row>
    <row r="417" spans="2:3">
      <c r="B417" s="182">
        <v>45023</v>
      </c>
      <c r="C417" s="182">
        <v>42920</v>
      </c>
    </row>
    <row r="418" spans="2:3">
      <c r="B418" s="182">
        <v>45026</v>
      </c>
      <c r="C418" s="182">
        <v>42982</v>
      </c>
    </row>
    <row r="419" spans="2:3">
      <c r="B419" s="182">
        <v>45041</v>
      </c>
      <c r="C419" s="182">
        <v>43017</v>
      </c>
    </row>
    <row r="420" spans="2:3">
      <c r="B420" s="182">
        <v>45089</v>
      </c>
      <c r="C420" s="182">
        <v>43046</v>
      </c>
    </row>
    <row r="421" spans="2:3">
      <c r="B421" s="182">
        <v>45145</v>
      </c>
      <c r="C421" s="182">
        <v>43049</v>
      </c>
    </row>
    <row r="422" spans="2:3">
      <c r="B422" s="182">
        <v>45201</v>
      </c>
      <c r="C422" s="182">
        <v>43062</v>
      </c>
    </row>
    <row r="423" spans="2:3">
      <c r="B423" s="182">
        <v>45285</v>
      </c>
      <c r="C423" s="182">
        <v>43094</v>
      </c>
    </row>
    <row r="424" spans="2:3">
      <c r="B424" s="182">
        <v>45286</v>
      </c>
      <c r="C424" s="182">
        <v>43101</v>
      </c>
    </row>
    <row r="425" spans="2:3">
      <c r="B425" s="182">
        <v>45292</v>
      </c>
      <c r="C425" s="182">
        <v>43115</v>
      </c>
    </row>
    <row r="426" spans="2:3">
      <c r="B426" s="182">
        <v>45317</v>
      </c>
      <c r="C426" s="182">
        <v>43143</v>
      </c>
    </row>
    <row r="427" spans="2:3">
      <c r="B427" s="182">
        <v>45380</v>
      </c>
      <c r="C427" s="182">
        <v>43146</v>
      </c>
    </row>
    <row r="428" spans="2:3">
      <c r="B428" s="182">
        <v>45383</v>
      </c>
      <c r="C428" s="182">
        <v>43150</v>
      </c>
    </row>
    <row r="429" spans="2:3">
      <c r="B429" s="182">
        <v>45407</v>
      </c>
      <c r="C429" s="182">
        <v>43248</v>
      </c>
    </row>
    <row r="430" spans="2:3">
      <c r="B430" s="182">
        <v>45453</v>
      </c>
      <c r="C430" s="182">
        <v>43285</v>
      </c>
    </row>
    <row r="431" spans="2:3">
      <c r="B431" s="182">
        <v>45509</v>
      </c>
      <c r="C431" s="182">
        <v>43346</v>
      </c>
    </row>
    <row r="432" spans="2:3">
      <c r="B432" s="182">
        <v>45572</v>
      </c>
      <c r="C432" s="182">
        <v>43381</v>
      </c>
    </row>
    <row r="433" spans="2:3">
      <c r="B433" s="182">
        <v>45651</v>
      </c>
      <c r="C433" s="182">
        <v>43410</v>
      </c>
    </row>
    <row r="434" spans="2:3">
      <c r="B434" s="182">
        <v>45652</v>
      </c>
      <c r="C434" s="182">
        <v>43416</v>
      </c>
    </row>
    <row r="435" spans="2:3">
      <c r="B435" s="182">
        <v>45658</v>
      </c>
      <c r="C435" s="182">
        <v>43426</v>
      </c>
    </row>
    <row r="436" spans="2:3">
      <c r="B436" s="182">
        <v>45684</v>
      </c>
      <c r="C436" s="182">
        <v>43459</v>
      </c>
    </row>
    <row r="437" spans="2:3">
      <c r="B437" s="182">
        <v>45765</v>
      </c>
      <c r="C437" s="182">
        <v>43466</v>
      </c>
    </row>
    <row r="438" spans="2:3">
      <c r="B438" s="182">
        <v>45768</v>
      </c>
      <c r="C438" s="182">
        <v>43486</v>
      </c>
    </row>
    <row r="439" spans="2:3">
      <c r="B439" s="182">
        <v>45772</v>
      </c>
      <c r="C439" s="182">
        <v>43508</v>
      </c>
    </row>
    <row r="440" spans="2:3">
      <c r="B440" s="182">
        <v>45817</v>
      </c>
      <c r="C440" s="182">
        <v>43511</v>
      </c>
    </row>
    <row r="441" spans="2:3">
      <c r="B441" s="182">
        <v>45873</v>
      </c>
      <c r="C441" s="182">
        <v>43514</v>
      </c>
    </row>
    <row r="442" spans="2:3">
      <c r="B442" s="182">
        <v>45936</v>
      </c>
      <c r="C442" s="182">
        <v>43612</v>
      </c>
    </row>
    <row r="443" spans="2:3">
      <c r="B443" s="182">
        <v>46016</v>
      </c>
      <c r="C443" s="182">
        <v>43650</v>
      </c>
    </row>
    <row r="444" spans="2:3">
      <c r="B444" s="182">
        <v>46017</v>
      </c>
      <c r="C444" s="182">
        <v>43710</v>
      </c>
    </row>
    <row r="445" spans="2:3">
      <c r="B445" s="182">
        <v>46023</v>
      </c>
      <c r="C445" s="182">
        <v>43752</v>
      </c>
    </row>
    <row r="446" spans="2:3">
      <c r="B446" s="182">
        <v>46048</v>
      </c>
      <c r="C446" s="182">
        <v>43774</v>
      </c>
    </row>
    <row r="447" spans="2:3">
      <c r="B447" s="182">
        <v>46115</v>
      </c>
      <c r="C447" s="182">
        <v>43780</v>
      </c>
    </row>
    <row r="448" spans="2:3">
      <c r="B448" s="182">
        <v>46118</v>
      </c>
      <c r="C448" s="182">
        <v>43797</v>
      </c>
    </row>
    <row r="449" spans="2:3">
      <c r="B449" s="182">
        <v>46181</v>
      </c>
      <c r="C449" s="182">
        <v>43824</v>
      </c>
    </row>
    <row r="450" spans="2:3">
      <c r="B450" s="182">
        <v>46237</v>
      </c>
      <c r="C450" s="182">
        <v>43831</v>
      </c>
    </row>
    <row r="451" spans="2:3">
      <c r="B451" s="182">
        <v>46300</v>
      </c>
      <c r="C451" s="182">
        <v>43850</v>
      </c>
    </row>
    <row r="452" spans="2:3">
      <c r="B452" s="182">
        <v>46381</v>
      </c>
      <c r="C452" s="182">
        <v>43873</v>
      </c>
    </row>
    <row r="453" spans="2:3">
      <c r="B453" s="182">
        <v>46384</v>
      </c>
      <c r="C453" s="182">
        <v>43878</v>
      </c>
    </row>
    <row r="454" spans="2:3">
      <c r="B454" s="182">
        <v>46388</v>
      </c>
      <c r="C454" s="182">
        <v>43976</v>
      </c>
    </row>
    <row r="455" spans="2:3">
      <c r="B455" s="182">
        <v>46413</v>
      </c>
      <c r="C455" s="182">
        <v>44015</v>
      </c>
    </row>
    <row r="456" spans="2:3">
      <c r="B456" s="182">
        <v>46472</v>
      </c>
      <c r="C456" s="182">
        <v>44081</v>
      </c>
    </row>
    <row r="457" spans="2:3">
      <c r="B457" s="182">
        <v>46475</v>
      </c>
      <c r="C457" s="182">
        <v>44116</v>
      </c>
    </row>
    <row r="458" spans="2:3">
      <c r="B458" s="182">
        <v>46552</v>
      </c>
      <c r="C458" s="182">
        <v>44138</v>
      </c>
    </row>
    <row r="459" spans="2:3">
      <c r="B459" s="182">
        <v>46601</v>
      </c>
      <c r="C459" s="182">
        <v>44146</v>
      </c>
    </row>
    <row r="460" spans="2:3">
      <c r="B460" s="182">
        <v>46664</v>
      </c>
      <c r="C460" s="182">
        <v>44161</v>
      </c>
    </row>
    <row r="461" spans="2:3">
      <c r="B461" s="182">
        <v>46748</v>
      </c>
      <c r="C461" s="182">
        <v>44190</v>
      </c>
    </row>
    <row r="462" spans="2:3">
      <c r="B462" s="182">
        <v>46749</v>
      </c>
      <c r="C462" s="182">
        <v>44197</v>
      </c>
    </row>
    <row r="463" spans="2:3">
      <c r="B463" s="182">
        <v>46755</v>
      </c>
      <c r="C463" s="182">
        <v>44214</v>
      </c>
    </row>
    <row r="464" spans="2:3">
      <c r="B464" s="182">
        <v>46778</v>
      </c>
      <c r="C464" s="182">
        <v>44239</v>
      </c>
    </row>
    <row r="465" spans="2:3">
      <c r="B465" s="182">
        <v>46857</v>
      </c>
      <c r="C465" s="182">
        <v>44242</v>
      </c>
    </row>
    <row r="466" spans="2:3">
      <c r="B466" s="182">
        <v>46860</v>
      </c>
      <c r="C466" s="182">
        <v>44347</v>
      </c>
    </row>
    <row r="467" spans="2:3">
      <c r="B467" s="182">
        <v>46868</v>
      </c>
      <c r="C467" s="182">
        <v>44365</v>
      </c>
    </row>
    <row r="468" spans="2:3">
      <c r="B468" s="182">
        <v>46916</v>
      </c>
      <c r="C468" s="182">
        <v>44382</v>
      </c>
    </row>
    <row r="469" spans="2:3">
      <c r="B469" s="182">
        <v>46972</v>
      </c>
      <c r="C469" s="182">
        <v>44445</v>
      </c>
    </row>
    <row r="470" spans="2:3">
      <c r="B470" s="182">
        <v>47028</v>
      </c>
      <c r="C470" s="182">
        <v>44480</v>
      </c>
    </row>
    <row r="471" spans="2:3">
      <c r="B471" s="182">
        <v>47112</v>
      </c>
      <c r="C471" s="182">
        <v>44502</v>
      </c>
    </row>
    <row r="472" spans="2:3">
      <c r="B472" s="182">
        <v>47113</v>
      </c>
      <c r="C472" s="182">
        <v>44511</v>
      </c>
    </row>
    <row r="473" spans="2:3">
      <c r="B473" s="182">
        <v>47119</v>
      </c>
      <c r="C473" s="182">
        <v>44525</v>
      </c>
    </row>
    <row r="474" spans="2:3">
      <c r="B474" s="182">
        <v>47144</v>
      </c>
      <c r="C474" s="182">
        <v>44554</v>
      </c>
    </row>
    <row r="475" spans="2:3">
      <c r="B475" s="182">
        <v>47207</v>
      </c>
      <c r="C475" s="182">
        <v>44561</v>
      </c>
    </row>
    <row r="476" spans="2:3">
      <c r="B476" s="182">
        <v>47210</v>
      </c>
      <c r="C476" s="182">
        <v>44578</v>
      </c>
    </row>
    <row r="477" spans="2:3">
      <c r="B477" s="182">
        <v>47233</v>
      </c>
      <c r="C477" s="182">
        <v>44603</v>
      </c>
    </row>
    <row r="478" spans="2:3">
      <c r="B478" s="182">
        <v>47280</v>
      </c>
      <c r="C478" s="182">
        <v>44607</v>
      </c>
    </row>
    <row r="479" spans="2:3">
      <c r="B479" s="182">
        <v>47336</v>
      </c>
      <c r="C479" s="182">
        <v>44613</v>
      </c>
    </row>
    <row r="480" spans="2:3">
      <c r="B480" s="182">
        <v>47392</v>
      </c>
      <c r="C480" s="182">
        <v>44711</v>
      </c>
    </row>
    <row r="481" spans="2:3">
      <c r="B481" s="182">
        <v>47477</v>
      </c>
      <c r="C481" s="182">
        <v>44732</v>
      </c>
    </row>
    <row r="482" spans="2:3">
      <c r="B482" s="182">
        <v>47478</v>
      </c>
      <c r="C482" s="182">
        <v>44746</v>
      </c>
    </row>
    <row r="483" spans="2:3">
      <c r="B483" s="182">
        <v>47484</v>
      </c>
      <c r="C483" s="182">
        <v>44809</v>
      </c>
    </row>
    <row r="484" spans="2:3">
      <c r="B484" s="182">
        <v>47511</v>
      </c>
      <c r="C484" s="182">
        <v>44844</v>
      </c>
    </row>
    <row r="485" spans="2:3">
      <c r="B485" s="182">
        <v>47592</v>
      </c>
      <c r="C485" s="182">
        <v>44873</v>
      </c>
    </row>
    <row r="486" spans="2:3">
      <c r="B486" s="182">
        <v>47595</v>
      </c>
      <c r="C486" s="182">
        <v>44876</v>
      </c>
    </row>
    <row r="487" spans="2:3">
      <c r="B487" s="182">
        <v>47598</v>
      </c>
      <c r="C487" s="182">
        <v>44889</v>
      </c>
    </row>
    <row r="488" spans="2:3">
      <c r="B488" s="182">
        <v>47644</v>
      </c>
      <c r="C488" s="182">
        <v>44921</v>
      </c>
    </row>
    <row r="489" spans="2:3">
      <c r="B489" s="182">
        <v>47700</v>
      </c>
      <c r="C489" s="182">
        <v>44928</v>
      </c>
    </row>
    <row r="490" spans="2:3">
      <c r="B490" s="182">
        <v>47763</v>
      </c>
      <c r="C490" s="182">
        <v>44942</v>
      </c>
    </row>
    <row r="491" spans="2:3">
      <c r="B491" s="182">
        <v>47842</v>
      </c>
      <c r="C491" s="182">
        <v>44970</v>
      </c>
    </row>
    <row r="492" spans="2:3">
      <c r="B492" s="182">
        <v>47843</v>
      </c>
      <c r="C492" s="182">
        <v>44972</v>
      </c>
    </row>
    <row r="493" spans="2:3">
      <c r="B493" s="182">
        <v>47849</v>
      </c>
      <c r="C493" s="182">
        <v>44977</v>
      </c>
    </row>
    <row r="494" spans="2:3">
      <c r="B494" s="182">
        <v>47875</v>
      </c>
      <c r="C494" s="182">
        <v>45075</v>
      </c>
    </row>
    <row r="495" spans="2:3">
      <c r="B495" s="182">
        <v>47949</v>
      </c>
      <c r="C495" s="182">
        <v>45096</v>
      </c>
    </row>
    <row r="496" spans="2:3">
      <c r="B496" s="182">
        <v>47952</v>
      </c>
      <c r="C496" s="182">
        <v>45111</v>
      </c>
    </row>
    <row r="497" spans="2:3">
      <c r="B497" s="182">
        <v>47963</v>
      </c>
      <c r="C497" s="182">
        <v>45173</v>
      </c>
    </row>
    <row r="498" spans="2:3">
      <c r="B498" s="182">
        <v>48008</v>
      </c>
      <c r="C498" s="182">
        <v>45208</v>
      </c>
    </row>
    <row r="499" spans="2:3">
      <c r="B499" s="182">
        <v>48064</v>
      </c>
      <c r="C499" s="182">
        <v>45237</v>
      </c>
    </row>
    <row r="500" spans="2:3">
      <c r="B500" s="182">
        <v>48127</v>
      </c>
      <c r="C500" s="182">
        <v>45240</v>
      </c>
    </row>
    <row r="501" spans="2:3">
      <c r="B501" s="182">
        <v>48207</v>
      </c>
      <c r="C501" s="182">
        <v>45253</v>
      </c>
    </row>
    <row r="502" spans="2:3">
      <c r="B502" s="182">
        <v>48208</v>
      </c>
      <c r="C502" s="182">
        <v>45285</v>
      </c>
    </row>
    <row r="503" spans="2:3">
      <c r="B503" s="182">
        <v>48214</v>
      </c>
      <c r="C503" s="182">
        <v>45292</v>
      </c>
    </row>
    <row r="504" spans="2:3">
      <c r="B504" s="182">
        <v>48239</v>
      </c>
      <c r="C504" s="182">
        <v>45306</v>
      </c>
    </row>
    <row r="505" spans="2:3">
      <c r="B505" s="182">
        <v>48299</v>
      </c>
      <c r="C505" s="182">
        <v>45334</v>
      </c>
    </row>
    <row r="506" spans="2:3">
      <c r="B506" s="182">
        <v>48302</v>
      </c>
      <c r="C506" s="182">
        <v>45337</v>
      </c>
    </row>
    <row r="507" spans="2:3">
      <c r="B507" s="182">
        <v>48379</v>
      </c>
      <c r="C507" s="182">
        <v>45341</v>
      </c>
    </row>
    <row r="508" spans="2:3">
      <c r="B508" s="182">
        <v>48428</v>
      </c>
      <c r="C508" s="182">
        <v>45439</v>
      </c>
    </row>
    <row r="509" spans="2:3">
      <c r="B509" s="182">
        <v>48491</v>
      </c>
      <c r="C509" s="182">
        <v>45462</v>
      </c>
    </row>
    <row r="510" spans="2:3">
      <c r="B510" s="182">
        <v>48575</v>
      </c>
      <c r="C510" s="182">
        <v>45477</v>
      </c>
    </row>
    <row r="511" spans="2:3">
      <c r="B511" s="182">
        <v>48576</v>
      </c>
      <c r="C511" s="182">
        <v>45537</v>
      </c>
    </row>
    <row r="512" spans="2:3">
      <c r="B512" s="182">
        <v>48582</v>
      </c>
      <c r="C512" s="182">
        <v>45579</v>
      </c>
    </row>
    <row r="513" spans="2:3">
      <c r="B513" s="182">
        <v>48605</v>
      </c>
      <c r="C513" s="182">
        <v>45601</v>
      </c>
    </row>
    <row r="514" spans="2:3">
      <c r="B514" s="182">
        <v>48684</v>
      </c>
      <c r="C514" s="182">
        <v>45607</v>
      </c>
    </row>
    <row r="515" spans="2:3">
      <c r="B515" s="182">
        <v>48687</v>
      </c>
      <c r="C515" s="182">
        <v>45624</v>
      </c>
    </row>
    <row r="516" spans="2:3">
      <c r="B516" s="182">
        <v>48694</v>
      </c>
      <c r="C516" s="182">
        <v>45651</v>
      </c>
    </row>
    <row r="517" spans="2:3">
      <c r="B517" s="182">
        <v>48743</v>
      </c>
      <c r="C517" s="182">
        <v>45658</v>
      </c>
    </row>
    <row r="518" spans="2:3">
      <c r="B518" s="182">
        <v>48792</v>
      </c>
      <c r="C518" s="182">
        <v>45677</v>
      </c>
    </row>
    <row r="519" spans="2:3">
      <c r="B519" s="182">
        <v>48855</v>
      </c>
      <c r="C519" s="182">
        <v>45700</v>
      </c>
    </row>
    <row r="520" spans="2:3">
      <c r="B520" s="182">
        <v>48939</v>
      </c>
      <c r="C520" s="182">
        <v>45705</v>
      </c>
    </row>
    <row r="521" spans="2:3">
      <c r="B521" s="182">
        <v>48940</v>
      </c>
      <c r="C521" s="182">
        <v>45803</v>
      </c>
    </row>
    <row r="522" spans="2:3">
      <c r="B522" s="182">
        <v>48946</v>
      </c>
      <c r="C522" s="182">
        <v>45827</v>
      </c>
    </row>
    <row r="523" spans="2:3">
      <c r="B523" s="182">
        <v>48970</v>
      </c>
      <c r="C523" s="182">
        <v>45842</v>
      </c>
    </row>
    <row r="524" spans="2:3">
      <c r="B524" s="182">
        <v>49041</v>
      </c>
      <c r="C524" s="182">
        <v>45901</v>
      </c>
    </row>
    <row r="525" spans="2:3">
      <c r="B525" s="182">
        <v>49044</v>
      </c>
      <c r="C525" s="182">
        <v>45943</v>
      </c>
    </row>
    <row r="526" spans="2:3">
      <c r="B526" s="182">
        <v>49059</v>
      </c>
      <c r="C526" s="182">
        <v>45965</v>
      </c>
    </row>
    <row r="527" spans="2:3">
      <c r="B527" s="182">
        <v>49107</v>
      </c>
      <c r="C527" s="182">
        <v>45972</v>
      </c>
    </row>
    <row r="528" spans="2:3">
      <c r="B528" s="182">
        <v>49163</v>
      </c>
      <c r="C528" s="182">
        <v>45988</v>
      </c>
    </row>
    <row r="529" spans="2:3">
      <c r="B529" s="182">
        <v>49219</v>
      </c>
      <c r="C529" s="182">
        <v>46016</v>
      </c>
    </row>
    <row r="530" spans="2:3">
      <c r="B530" s="182">
        <v>49303</v>
      </c>
      <c r="C530" s="182">
        <v>46023</v>
      </c>
    </row>
    <row r="531" spans="2:3">
      <c r="B531" s="182">
        <v>49304</v>
      </c>
      <c r="C531" s="182">
        <v>46041</v>
      </c>
    </row>
    <row r="532" spans="2:3">
      <c r="B532" s="182">
        <v>49310</v>
      </c>
      <c r="C532" s="182">
        <v>46065</v>
      </c>
    </row>
    <row r="533" spans="2:3">
      <c r="B533" s="182">
        <v>49335</v>
      </c>
      <c r="C533" s="182">
        <v>46069</v>
      </c>
    </row>
    <row r="534" spans="2:3">
      <c r="B534" s="182">
        <v>49391</v>
      </c>
      <c r="C534" s="182">
        <v>46167</v>
      </c>
    </row>
    <row r="535" spans="2:3">
      <c r="B535" s="182">
        <v>49394</v>
      </c>
      <c r="C535" s="182">
        <v>46192</v>
      </c>
    </row>
    <row r="536" spans="2:3">
      <c r="B536" s="182">
        <v>49424</v>
      </c>
      <c r="C536" s="182">
        <v>46206</v>
      </c>
    </row>
    <row r="537" spans="2:3">
      <c r="B537" s="182">
        <v>49471</v>
      </c>
      <c r="C537" s="182">
        <v>46272</v>
      </c>
    </row>
    <row r="538" spans="2:3">
      <c r="B538" s="182">
        <v>49527</v>
      </c>
      <c r="C538" s="182">
        <v>46307</v>
      </c>
    </row>
    <row r="539" spans="2:3">
      <c r="B539" s="182">
        <v>49583</v>
      </c>
      <c r="C539" s="182">
        <v>46329</v>
      </c>
    </row>
    <row r="540" spans="2:3">
      <c r="B540" s="182">
        <v>49668</v>
      </c>
      <c r="C540" s="182">
        <v>46337</v>
      </c>
    </row>
    <row r="541" spans="2:3">
      <c r="B541" s="182">
        <v>49669</v>
      </c>
      <c r="C541" s="182">
        <v>46352</v>
      </c>
    </row>
    <row r="542" spans="2:3">
      <c r="B542" s="182">
        <v>49675</v>
      </c>
      <c r="C542" s="182">
        <v>46381</v>
      </c>
    </row>
    <row r="543" spans="2:3">
      <c r="B543" s="182">
        <v>49702</v>
      </c>
      <c r="C543" s="182">
        <v>46388</v>
      </c>
    </row>
    <row r="544" spans="2:3">
      <c r="B544" s="182">
        <v>49776</v>
      </c>
      <c r="C544" s="182">
        <v>46405</v>
      </c>
    </row>
    <row r="545" spans="2:3">
      <c r="B545" s="182">
        <v>49779</v>
      </c>
      <c r="C545" s="182">
        <v>46430</v>
      </c>
    </row>
    <row r="546" spans="2:3">
      <c r="B546" s="182">
        <v>49790</v>
      </c>
      <c r="C546" s="182">
        <v>46433</v>
      </c>
    </row>
    <row r="547" spans="2:3">
      <c r="B547" s="182">
        <v>49835</v>
      </c>
      <c r="C547" s="182">
        <v>46538</v>
      </c>
    </row>
    <row r="548" spans="2:3">
      <c r="B548" s="182">
        <v>49891</v>
      </c>
      <c r="C548" s="182">
        <v>46556</v>
      </c>
    </row>
    <row r="549" spans="2:3">
      <c r="B549" s="182">
        <v>49954</v>
      </c>
      <c r="C549" s="182">
        <v>46573</v>
      </c>
    </row>
    <row r="550" spans="2:3">
      <c r="B550" s="182">
        <v>50034</v>
      </c>
      <c r="C550" s="182">
        <v>46636</v>
      </c>
    </row>
    <row r="551" spans="2:3">
      <c r="B551" s="182">
        <v>50035</v>
      </c>
      <c r="C551" s="182">
        <v>46671</v>
      </c>
    </row>
    <row r="552" spans="2:3">
      <c r="B552" s="182">
        <v>50041</v>
      </c>
      <c r="C552" s="182">
        <v>46693</v>
      </c>
    </row>
    <row r="553" spans="2:3">
      <c r="B553" s="182">
        <v>50066</v>
      </c>
      <c r="C553" s="182">
        <v>46702</v>
      </c>
    </row>
    <row r="554" spans="2:3">
      <c r="B554" s="182">
        <v>50133</v>
      </c>
      <c r="C554" s="182">
        <v>46716</v>
      </c>
    </row>
    <row r="555" spans="2:3">
      <c r="B555" s="182">
        <v>50136</v>
      </c>
      <c r="C555" s="182">
        <v>46745</v>
      </c>
    </row>
    <row r="556" spans="2:3">
      <c r="B556" s="182">
        <v>50199</v>
      </c>
      <c r="C556" s="182">
        <v>46752</v>
      </c>
    </row>
    <row r="557" spans="2:3">
      <c r="B557" s="182">
        <v>50255</v>
      </c>
      <c r="C557" s="182">
        <v>46769</v>
      </c>
    </row>
    <row r="558" spans="2:3">
      <c r="B558" s="182">
        <v>50318</v>
      </c>
      <c r="C558" s="182">
        <v>46794</v>
      </c>
    </row>
    <row r="559" spans="2:3">
      <c r="B559" s="182">
        <v>50399</v>
      </c>
      <c r="C559" s="182">
        <v>46798</v>
      </c>
    </row>
    <row r="560" spans="2:3">
      <c r="B560" s="182">
        <v>50402</v>
      </c>
      <c r="C560" s="182">
        <v>46804</v>
      </c>
    </row>
    <row r="561" spans="2:3">
      <c r="B561" s="182">
        <v>50406</v>
      </c>
      <c r="C561" s="182">
        <v>46902</v>
      </c>
    </row>
    <row r="562" spans="2:3">
      <c r="B562" s="182">
        <v>50431</v>
      </c>
      <c r="C562" s="182">
        <v>46923</v>
      </c>
    </row>
    <row r="563" spans="2:3">
      <c r="B563" s="182">
        <v>50518</v>
      </c>
      <c r="C563" s="182">
        <v>46938</v>
      </c>
    </row>
    <row r="564" spans="2:3">
      <c r="B564" s="182">
        <v>50521</v>
      </c>
      <c r="C564" s="182">
        <v>47000</v>
      </c>
    </row>
    <row r="565" spans="2:3">
      <c r="B565" s="182">
        <v>50570</v>
      </c>
      <c r="C565" s="182">
        <v>47035</v>
      </c>
    </row>
    <row r="566" spans="2:3">
      <c r="B566" s="182">
        <v>50619</v>
      </c>
      <c r="C566" s="182">
        <v>47064</v>
      </c>
    </row>
    <row r="567" spans="2:3">
      <c r="B567" s="182">
        <v>50682</v>
      </c>
      <c r="C567" s="182">
        <v>47067</v>
      </c>
    </row>
    <row r="568" spans="2:3">
      <c r="B568" s="182">
        <v>50766</v>
      </c>
      <c r="C568" s="182">
        <v>47080</v>
      </c>
    </row>
    <row r="569" spans="2:3">
      <c r="B569" s="182">
        <v>50767</v>
      </c>
      <c r="C569" s="182">
        <v>47112</v>
      </c>
    </row>
    <row r="570" spans="2:3">
      <c r="B570" s="182">
        <v>50773</v>
      </c>
      <c r="C570" s="182">
        <v>47119</v>
      </c>
    </row>
    <row r="571" spans="2:3">
      <c r="B571" s="182">
        <v>50796</v>
      </c>
      <c r="C571" s="182">
        <v>47133</v>
      </c>
    </row>
    <row r="572" spans="2:3">
      <c r="B572" s="182">
        <v>50868</v>
      </c>
      <c r="C572" s="182">
        <v>47161</v>
      </c>
    </row>
    <row r="573" spans="2:3">
      <c r="B573" s="182">
        <v>50871</v>
      </c>
      <c r="C573" s="182">
        <v>47164</v>
      </c>
    </row>
    <row r="574" spans="2:3">
      <c r="B574" s="182">
        <v>50885</v>
      </c>
      <c r="C574" s="182">
        <v>47168</v>
      </c>
    </row>
    <row r="575" spans="2:3">
      <c r="B575" s="182">
        <v>50934</v>
      </c>
      <c r="C575" s="182">
        <v>47266</v>
      </c>
    </row>
    <row r="576" spans="2:3">
      <c r="B576" s="182">
        <v>50983</v>
      </c>
      <c r="C576" s="182">
        <v>47288</v>
      </c>
    </row>
    <row r="577" spans="2:3">
      <c r="B577" s="182">
        <v>51046</v>
      </c>
      <c r="C577" s="182">
        <v>47303</v>
      </c>
    </row>
    <row r="578" spans="2:3">
      <c r="B578" s="182">
        <v>51130</v>
      </c>
      <c r="C578" s="182">
        <v>47364</v>
      </c>
    </row>
    <row r="579" spans="2:3">
      <c r="B579" s="182">
        <v>51131</v>
      </c>
      <c r="C579" s="182">
        <v>47399</v>
      </c>
    </row>
    <row r="580" spans="2:3">
      <c r="B580" s="182">
        <v>51137</v>
      </c>
      <c r="C580" s="182">
        <v>47428</v>
      </c>
    </row>
    <row r="581" spans="2:3">
      <c r="B581" s="182">
        <v>51161</v>
      </c>
      <c r="C581" s="182">
        <v>47434</v>
      </c>
    </row>
    <row r="582" spans="2:3">
      <c r="B582" s="182">
        <v>51225</v>
      </c>
      <c r="C582" s="182">
        <v>47444</v>
      </c>
    </row>
    <row r="583" spans="2:3">
      <c r="B583" s="182">
        <v>51228</v>
      </c>
      <c r="C583" s="182">
        <v>47477</v>
      </c>
    </row>
    <row r="584" spans="2:3">
      <c r="B584" s="182">
        <v>51251</v>
      </c>
      <c r="C584" s="182">
        <v>47484</v>
      </c>
    </row>
    <row r="585" spans="2:3">
      <c r="B585" s="182">
        <v>51298</v>
      </c>
      <c r="C585" s="182">
        <v>47504</v>
      </c>
    </row>
    <row r="586" spans="2:3">
      <c r="B586" s="182">
        <v>51354</v>
      </c>
      <c r="C586" s="182">
        <v>47526</v>
      </c>
    </row>
    <row r="587" spans="2:3">
      <c r="B587" s="182">
        <v>51410</v>
      </c>
      <c r="C587" s="182">
        <v>47529</v>
      </c>
    </row>
    <row r="588" spans="2:3">
      <c r="B588" s="182">
        <v>51495</v>
      </c>
      <c r="C588" s="182">
        <v>47532</v>
      </c>
    </row>
    <row r="589" spans="2:3">
      <c r="B589" s="182">
        <v>51496</v>
      </c>
      <c r="C589" s="182">
        <v>47630</v>
      </c>
    </row>
    <row r="590" spans="2:3">
      <c r="B590" s="182">
        <v>51502</v>
      </c>
      <c r="C590" s="182">
        <v>47653</v>
      </c>
    </row>
    <row r="591" spans="2:3">
      <c r="B591" s="182">
        <v>51529</v>
      </c>
      <c r="C591" s="182">
        <v>47668</v>
      </c>
    </row>
    <row r="592" spans="2:3">
      <c r="B592" s="182">
        <v>51610</v>
      </c>
      <c r="C592" s="182">
        <v>47728</v>
      </c>
    </row>
    <row r="593" spans="2:3">
      <c r="B593" s="182">
        <v>51613</v>
      </c>
      <c r="C593" s="182">
        <v>47770</v>
      </c>
    </row>
    <row r="594" spans="2:3">
      <c r="B594" s="182">
        <v>51616</v>
      </c>
      <c r="C594" s="182">
        <v>47792</v>
      </c>
    </row>
    <row r="595" spans="2:3">
      <c r="B595" s="182">
        <v>51662</v>
      </c>
      <c r="C595" s="182">
        <v>47798</v>
      </c>
    </row>
    <row r="596" spans="2:3">
      <c r="B596" s="182">
        <v>51718</v>
      </c>
      <c r="C596" s="182">
        <v>47815</v>
      </c>
    </row>
    <row r="597" spans="2:3">
      <c r="B597" s="182">
        <v>51781</v>
      </c>
      <c r="C597" s="182">
        <v>47842</v>
      </c>
    </row>
    <row r="598" spans="2:3">
      <c r="B598" s="182">
        <v>51860</v>
      </c>
      <c r="C598" s="182">
        <v>47849</v>
      </c>
    </row>
    <row r="599" spans="2:3">
      <c r="B599" s="182">
        <v>51861</v>
      </c>
      <c r="C599" s="182">
        <v>47868</v>
      </c>
    </row>
    <row r="600" spans="2:3">
      <c r="B600" s="182">
        <v>51867</v>
      </c>
      <c r="C600" s="182">
        <v>47891</v>
      </c>
    </row>
    <row r="601" spans="2:3">
      <c r="B601" s="182">
        <v>51893</v>
      </c>
      <c r="C601" s="182">
        <v>47896</v>
      </c>
    </row>
    <row r="602" spans="2:3">
      <c r="B602" s="182">
        <v>51960</v>
      </c>
      <c r="C602" s="182">
        <v>47994</v>
      </c>
    </row>
    <row r="603" spans="2:3">
      <c r="B603" s="182">
        <v>51963</v>
      </c>
      <c r="C603" s="182">
        <v>48018</v>
      </c>
    </row>
    <row r="604" spans="2:3">
      <c r="B604" s="182">
        <v>51981</v>
      </c>
      <c r="C604" s="182">
        <v>48033</v>
      </c>
    </row>
    <row r="605" spans="2:3">
      <c r="B605" s="182">
        <v>52026</v>
      </c>
      <c r="C605" s="182">
        <v>48092</v>
      </c>
    </row>
    <row r="606" spans="2:3">
      <c r="B606" s="182">
        <v>52082</v>
      </c>
      <c r="C606" s="182">
        <v>48134</v>
      </c>
    </row>
    <row r="607" spans="2:3">
      <c r="B607" s="182">
        <v>52145</v>
      </c>
      <c r="C607" s="182">
        <v>48156</v>
      </c>
    </row>
    <row r="608" spans="2:3">
      <c r="B608" s="182">
        <v>52225</v>
      </c>
      <c r="C608" s="182">
        <v>48163</v>
      </c>
    </row>
    <row r="609" spans="2:3">
      <c r="B609" s="182">
        <v>52226</v>
      </c>
      <c r="C609" s="182">
        <v>48179</v>
      </c>
    </row>
    <row r="610" spans="2:3">
      <c r="B610" s="182">
        <v>52232</v>
      </c>
      <c r="C610" s="182">
        <v>48207</v>
      </c>
    </row>
    <row r="611" spans="2:3">
      <c r="B611" s="182">
        <v>52257</v>
      </c>
      <c r="C611" s="182">
        <v>48214</v>
      </c>
    </row>
    <row r="612" spans="2:3">
      <c r="B612" s="182">
        <v>52317</v>
      </c>
      <c r="C612" s="182">
        <v>48232</v>
      </c>
    </row>
    <row r="613" spans="2:3">
      <c r="B613" s="182">
        <v>52320</v>
      </c>
      <c r="C613" s="182">
        <v>48256</v>
      </c>
    </row>
    <row r="614" spans="2:3">
      <c r="B614" s="182">
        <v>52390</v>
      </c>
      <c r="C614" s="182">
        <v>48260</v>
      </c>
    </row>
    <row r="615" spans="2:3">
      <c r="B615" s="182">
        <v>52446</v>
      </c>
      <c r="C615" s="182">
        <v>48365</v>
      </c>
    </row>
    <row r="616" spans="2:3">
      <c r="B616" s="182">
        <v>52509</v>
      </c>
      <c r="C616" s="182">
        <v>48383</v>
      </c>
    </row>
    <row r="617" spans="2:3">
      <c r="B617" s="182">
        <v>52590</v>
      </c>
      <c r="C617" s="182">
        <v>48400</v>
      </c>
    </row>
    <row r="618" spans="2:3">
      <c r="B618" s="182">
        <v>52593</v>
      </c>
      <c r="C618" s="182">
        <v>48463</v>
      </c>
    </row>
    <row r="619" spans="2:3">
      <c r="B619" s="182">
        <v>52597</v>
      </c>
      <c r="C619" s="182">
        <v>48498</v>
      </c>
    </row>
    <row r="620" spans="2:3">
      <c r="B620" s="182">
        <v>52622</v>
      </c>
      <c r="C620" s="182">
        <v>48520</v>
      </c>
    </row>
    <row r="621" spans="2:3">
      <c r="B621" s="182">
        <v>52702</v>
      </c>
      <c r="C621" s="182">
        <v>48529</v>
      </c>
    </row>
    <row r="622" spans="2:3">
      <c r="B622" s="182">
        <v>52705</v>
      </c>
      <c r="C622" s="182">
        <v>48543</v>
      </c>
    </row>
    <row r="623" spans="2:3">
      <c r="B623" s="182">
        <v>52712</v>
      </c>
      <c r="C623" s="182">
        <v>48572</v>
      </c>
    </row>
    <row r="624" spans="2:3">
      <c r="B624" s="182">
        <v>52761</v>
      </c>
      <c r="C624" s="182">
        <v>48579</v>
      </c>
    </row>
    <row r="625" spans="2:3">
      <c r="B625" s="182">
        <v>52810</v>
      </c>
      <c r="C625" s="182">
        <v>48596</v>
      </c>
    </row>
    <row r="626" spans="2:3">
      <c r="B626" s="182">
        <v>52873</v>
      </c>
      <c r="C626" s="182">
        <v>48621</v>
      </c>
    </row>
    <row r="627" spans="2:3">
      <c r="B627" s="182">
        <v>52957</v>
      </c>
      <c r="C627" s="182">
        <v>48625</v>
      </c>
    </row>
    <row r="628" spans="2:3">
      <c r="B628" s="182">
        <v>52958</v>
      </c>
      <c r="C628" s="182">
        <v>48631</v>
      </c>
    </row>
    <row r="629" spans="2:3">
      <c r="B629" s="182">
        <v>52964</v>
      </c>
      <c r="C629" s="182">
        <v>48729</v>
      </c>
    </row>
    <row r="630" spans="2:3">
      <c r="B630" s="182">
        <v>52988</v>
      </c>
      <c r="C630" s="182">
        <v>48750</v>
      </c>
    </row>
    <row r="631" spans="2:3">
      <c r="B631" s="182">
        <v>53059</v>
      </c>
      <c r="C631" s="182">
        <v>48764</v>
      </c>
    </row>
    <row r="632" spans="2:3">
      <c r="B632" s="182">
        <v>53062</v>
      </c>
      <c r="C632" s="182">
        <v>48827</v>
      </c>
    </row>
    <row r="633" spans="2:3">
      <c r="B633" s="182">
        <v>53077</v>
      </c>
      <c r="C633" s="182">
        <v>48862</v>
      </c>
    </row>
    <row r="634" spans="2:3">
      <c r="B634" s="182">
        <v>53125</v>
      </c>
      <c r="C634" s="182">
        <v>48891</v>
      </c>
    </row>
    <row r="635" spans="2:3">
      <c r="B635" s="182">
        <v>53181</v>
      </c>
      <c r="C635" s="182">
        <v>48894</v>
      </c>
    </row>
    <row r="636" spans="2:3">
      <c r="B636" s="182">
        <v>53237</v>
      </c>
      <c r="C636" s="182">
        <v>48907</v>
      </c>
    </row>
    <row r="637" spans="2:3">
      <c r="B637" s="182">
        <v>53321</v>
      </c>
      <c r="C637" s="182">
        <v>48939</v>
      </c>
    </row>
    <row r="638" spans="2:3">
      <c r="B638" s="182">
        <v>53322</v>
      </c>
      <c r="C638" s="182">
        <v>48946</v>
      </c>
    </row>
    <row r="639" spans="2:3">
      <c r="B639" s="182">
        <v>53328</v>
      </c>
      <c r="C639" s="182">
        <v>48960</v>
      </c>
    </row>
    <row r="640" spans="2:3">
      <c r="B640" s="182">
        <v>53353</v>
      </c>
      <c r="C640" s="182">
        <v>48988</v>
      </c>
    </row>
    <row r="641" spans="2:3">
      <c r="B641" s="182">
        <v>53409</v>
      </c>
      <c r="C641" s="182">
        <v>48990</v>
      </c>
    </row>
    <row r="642" spans="2:3">
      <c r="B642" s="182">
        <v>53412</v>
      </c>
      <c r="C642" s="182">
        <v>48995</v>
      </c>
    </row>
    <row r="643" spans="2:3">
      <c r="B643" s="182">
        <v>53442</v>
      </c>
      <c r="C643" s="182">
        <v>49093</v>
      </c>
    </row>
    <row r="644" spans="2:3">
      <c r="B644" s="182">
        <v>53489</v>
      </c>
      <c r="C644" s="182">
        <v>49114</v>
      </c>
    </row>
    <row r="645" spans="2:3">
      <c r="B645" s="182">
        <v>53545</v>
      </c>
      <c r="C645" s="182">
        <v>49129</v>
      </c>
    </row>
    <row r="646" spans="2:3">
      <c r="B646" s="182">
        <v>53601</v>
      </c>
      <c r="C646" s="182">
        <v>49191</v>
      </c>
    </row>
    <row r="647" spans="2:3">
      <c r="B647" s="182">
        <v>53686</v>
      </c>
      <c r="C647" s="182">
        <v>49226</v>
      </c>
    </row>
    <row r="648" spans="2:3">
      <c r="B648" s="182">
        <v>53687</v>
      </c>
      <c r="C648" s="182">
        <v>49255</v>
      </c>
    </row>
    <row r="649" spans="2:3">
      <c r="B649" s="182">
        <v>53693</v>
      </c>
      <c r="C649" s="182">
        <v>49258</v>
      </c>
    </row>
    <row r="650" spans="2:3">
      <c r="B650" s="182">
        <v>53720</v>
      </c>
      <c r="C650" s="182">
        <v>49271</v>
      </c>
    </row>
    <row r="651" spans="2:3">
      <c r="B651" s="182">
        <v>53794</v>
      </c>
      <c r="C651" s="182">
        <v>49303</v>
      </c>
    </row>
    <row r="652" spans="2:3">
      <c r="B652" s="182">
        <v>53797</v>
      </c>
      <c r="C652" s="182">
        <v>49310</v>
      </c>
    </row>
    <row r="653" spans="2:3">
      <c r="B653" s="182">
        <v>53807</v>
      </c>
      <c r="C653" s="182">
        <v>49324</v>
      </c>
    </row>
    <row r="654" spans="2:3">
      <c r="B654" s="182">
        <v>53853</v>
      </c>
      <c r="C654" s="182">
        <v>49352</v>
      </c>
    </row>
    <row r="655" spans="2:3">
      <c r="B655" s="182">
        <v>53909</v>
      </c>
      <c r="C655" s="182">
        <v>49355</v>
      </c>
    </row>
    <row r="656" spans="2:3">
      <c r="B656" s="182">
        <v>53972</v>
      </c>
      <c r="C656" s="182">
        <v>49359</v>
      </c>
    </row>
    <row r="657" spans="2:3">
      <c r="B657" s="182">
        <v>54051</v>
      </c>
      <c r="C657" s="182">
        <v>49457</v>
      </c>
    </row>
    <row r="658" spans="2:3">
      <c r="B658" s="182">
        <v>54052</v>
      </c>
      <c r="C658" s="182">
        <v>49479</v>
      </c>
    </row>
    <row r="659" spans="2:3">
      <c r="B659" s="182">
        <v>54058</v>
      </c>
      <c r="C659" s="182">
        <v>49494</v>
      </c>
    </row>
    <row r="660" spans="2:3">
      <c r="B660" s="182">
        <v>54084</v>
      </c>
      <c r="C660" s="182">
        <v>49555</v>
      </c>
    </row>
    <row r="661" spans="2:3">
      <c r="B661" s="182">
        <v>54151</v>
      </c>
      <c r="C661" s="182">
        <v>49590</v>
      </c>
    </row>
    <row r="662" spans="2:3">
      <c r="B662" s="182">
        <v>54154</v>
      </c>
      <c r="C662" s="182">
        <v>49619</v>
      </c>
    </row>
    <row r="663" spans="2:3">
      <c r="B663" s="182">
        <v>54217</v>
      </c>
      <c r="C663" s="182">
        <v>49625</v>
      </c>
    </row>
    <row r="664" spans="2:3">
      <c r="B664" s="182">
        <v>54273</v>
      </c>
      <c r="C664" s="182">
        <v>49635</v>
      </c>
    </row>
    <row r="665" spans="2:3">
      <c r="B665" s="182">
        <v>54336</v>
      </c>
      <c r="C665" s="182">
        <v>49668</v>
      </c>
    </row>
    <row r="666" spans="2:3">
      <c r="B666" s="182">
        <v>54417</v>
      </c>
      <c r="C666" s="182">
        <v>49675</v>
      </c>
    </row>
    <row r="667" spans="2:3">
      <c r="B667" s="182">
        <v>54420</v>
      </c>
      <c r="C667" s="182">
        <v>49695</v>
      </c>
    </row>
    <row r="668" spans="2:3">
      <c r="B668" s="182">
        <v>54424</v>
      </c>
      <c r="C668" s="182">
        <v>49717</v>
      </c>
    </row>
    <row r="669" spans="2:3">
      <c r="B669" s="182">
        <v>54449</v>
      </c>
      <c r="C669" s="182">
        <v>49720</v>
      </c>
    </row>
    <row r="670" spans="2:3">
      <c r="B670" s="182">
        <v>54529</v>
      </c>
      <c r="C670" s="182">
        <v>49723</v>
      </c>
    </row>
    <row r="671" spans="2:3">
      <c r="B671" s="182">
        <v>54532</v>
      </c>
      <c r="C671" s="182">
        <v>49821</v>
      </c>
    </row>
    <row r="672" spans="2:3">
      <c r="B672" s="182">
        <v>54588</v>
      </c>
      <c r="C672" s="182">
        <v>49845</v>
      </c>
    </row>
    <row r="673" spans="2:3">
      <c r="B673" s="182">
        <v>54637</v>
      </c>
      <c r="C673" s="182">
        <v>49860</v>
      </c>
    </row>
    <row r="674" spans="2:3">
      <c r="B674" s="182">
        <v>54700</v>
      </c>
      <c r="C674" s="182">
        <v>49919</v>
      </c>
    </row>
    <row r="675" spans="2:3">
      <c r="B675" s="182">
        <v>54784</v>
      </c>
      <c r="C675" s="182">
        <v>49961</v>
      </c>
    </row>
    <row r="676" spans="2:3">
      <c r="B676" s="182">
        <v>54785</v>
      </c>
      <c r="C676" s="182">
        <v>49983</v>
      </c>
    </row>
    <row r="677" spans="2:3">
      <c r="B677" s="182">
        <v>54791</v>
      </c>
      <c r="C677" s="182">
        <v>49990</v>
      </c>
    </row>
    <row r="678" spans="2:3">
      <c r="B678" s="182">
        <v>54814</v>
      </c>
      <c r="C678" s="182">
        <v>50006</v>
      </c>
    </row>
    <row r="679" spans="2:3">
      <c r="B679" s="182">
        <v>54886</v>
      </c>
      <c r="C679" s="182">
        <v>50034</v>
      </c>
    </row>
    <row r="680" spans="2:3">
      <c r="B680" s="182">
        <v>54889</v>
      </c>
      <c r="C680" s="182">
        <v>50041</v>
      </c>
    </row>
    <row r="681" spans="2:3">
      <c r="B681" s="182">
        <v>54903</v>
      </c>
      <c r="C681" s="182">
        <v>50059</v>
      </c>
    </row>
    <row r="682" spans="2:3">
      <c r="B682" s="182">
        <v>54952</v>
      </c>
      <c r="C682" s="182">
        <v>50083</v>
      </c>
    </row>
    <row r="683" spans="2:3">
      <c r="B683" s="182">
        <v>55001</v>
      </c>
      <c r="C683" s="182">
        <v>50087</v>
      </c>
    </row>
    <row r="684" spans="2:3">
      <c r="B684" s="182">
        <v>55064</v>
      </c>
      <c r="C684" s="182">
        <v>50185</v>
      </c>
    </row>
    <row r="685" spans="2:3">
      <c r="B685" s="182">
        <v>55148</v>
      </c>
      <c r="C685" s="182">
        <v>50210</v>
      </c>
    </row>
    <row r="686" spans="2:3">
      <c r="B686" s="182">
        <v>55149</v>
      </c>
      <c r="C686" s="182">
        <v>50224</v>
      </c>
    </row>
    <row r="687" spans="2:3">
      <c r="B687" s="182">
        <v>55155</v>
      </c>
      <c r="C687" s="182">
        <v>50290</v>
      </c>
    </row>
    <row r="688" spans="2:3">
      <c r="B688" s="182">
        <v>55179</v>
      </c>
      <c r="C688" s="182">
        <v>50325</v>
      </c>
    </row>
    <row r="689" spans="2:3">
      <c r="B689" s="182">
        <v>55243</v>
      </c>
      <c r="C689" s="182">
        <v>50347</v>
      </c>
    </row>
    <row r="690" spans="2:3">
      <c r="B690" s="182">
        <v>55246</v>
      </c>
      <c r="C690" s="182">
        <v>50355</v>
      </c>
    </row>
    <row r="691" spans="2:3">
      <c r="B691" s="182">
        <v>55268</v>
      </c>
      <c r="C691" s="182">
        <v>50370</v>
      </c>
    </row>
    <row r="692" spans="2:3">
      <c r="B692" s="182">
        <v>55316</v>
      </c>
      <c r="C692" s="182">
        <v>50399</v>
      </c>
    </row>
    <row r="693" spans="2:3">
      <c r="B693" s="182">
        <v>55372</v>
      </c>
      <c r="C693" s="182">
        <v>50406</v>
      </c>
    </row>
    <row r="694" spans="2:3">
      <c r="B694" s="182">
        <v>55428</v>
      </c>
      <c r="C694" s="182">
        <v>50423</v>
      </c>
    </row>
    <row r="695" spans="2:3">
      <c r="B695" s="182">
        <v>55512</v>
      </c>
      <c r="C695" s="182">
        <v>50448</v>
      </c>
    </row>
    <row r="696" spans="2:3">
      <c r="B696" s="182">
        <v>55513</v>
      </c>
      <c r="C696" s="182">
        <v>50451</v>
      </c>
    </row>
    <row r="697" spans="2:3">
      <c r="B697" s="182">
        <v>55519</v>
      </c>
      <c r="C697" s="182">
        <v>50556</v>
      </c>
    </row>
    <row r="698" spans="2:3">
      <c r="B698" s="182">
        <v>55544</v>
      </c>
      <c r="C698" s="182">
        <v>50574</v>
      </c>
    </row>
    <row r="699" spans="2:3">
      <c r="B699" s="182">
        <v>55628</v>
      </c>
      <c r="C699" s="182">
        <v>50591</v>
      </c>
    </row>
    <row r="700" spans="2:3">
      <c r="B700" s="182">
        <v>55631</v>
      </c>
      <c r="C700" s="182">
        <v>50654</v>
      </c>
    </row>
    <row r="701" spans="2:3">
      <c r="B701" s="182">
        <v>55634</v>
      </c>
      <c r="C701" s="182">
        <v>50689</v>
      </c>
    </row>
    <row r="702" spans="2:3">
      <c r="B702" s="182">
        <v>55680</v>
      </c>
      <c r="C702" s="182">
        <v>50711</v>
      </c>
    </row>
    <row r="703" spans="2:3">
      <c r="B703" s="182">
        <v>55736</v>
      </c>
      <c r="C703" s="182">
        <v>50720</v>
      </c>
    </row>
    <row r="704" spans="2:3">
      <c r="B704" s="182">
        <v>55799</v>
      </c>
      <c r="C704" s="182">
        <v>50734</v>
      </c>
    </row>
    <row r="705" spans="2:3">
      <c r="B705" s="182">
        <v>55878</v>
      </c>
      <c r="C705" s="182">
        <v>50763</v>
      </c>
    </row>
    <row r="706" spans="2:3">
      <c r="B706" s="182">
        <v>55879</v>
      </c>
      <c r="C706" s="182">
        <v>50770</v>
      </c>
    </row>
    <row r="707" spans="2:3">
      <c r="B707" s="182">
        <v>55885</v>
      </c>
      <c r="C707" s="182">
        <v>50787</v>
      </c>
    </row>
    <row r="708" spans="2:3">
      <c r="B708" s="182">
        <v>55911</v>
      </c>
      <c r="C708" s="182">
        <v>50812</v>
      </c>
    </row>
    <row r="709" spans="2:3">
      <c r="B709" s="182">
        <v>55978</v>
      </c>
      <c r="C709" s="182">
        <v>50816</v>
      </c>
    </row>
    <row r="710" spans="2:3">
      <c r="B710" s="182">
        <v>55981</v>
      </c>
      <c r="C710" s="182">
        <v>50822</v>
      </c>
    </row>
    <row r="711" spans="2:3">
      <c r="B711" s="182">
        <v>55999</v>
      </c>
      <c r="C711" s="182">
        <v>50920</v>
      </c>
    </row>
    <row r="712" spans="2:3">
      <c r="B712" s="182">
        <v>56044</v>
      </c>
      <c r="C712" s="182">
        <v>50941</v>
      </c>
    </row>
    <row r="713" spans="2:3">
      <c r="B713" s="182">
        <v>56100</v>
      </c>
      <c r="C713" s="182">
        <v>50955</v>
      </c>
    </row>
    <row r="714" spans="2:3">
      <c r="B714" s="182">
        <v>56163</v>
      </c>
      <c r="C714" s="182">
        <v>51018</v>
      </c>
    </row>
    <row r="715" spans="2:3">
      <c r="B715" s="182">
        <v>56243</v>
      </c>
      <c r="C715" s="182">
        <v>51053</v>
      </c>
    </row>
    <row r="716" spans="2:3">
      <c r="B716" s="182">
        <v>56244</v>
      </c>
      <c r="C716" s="182">
        <v>51082</v>
      </c>
    </row>
    <row r="717" spans="2:3">
      <c r="B717" s="182">
        <v>56250</v>
      </c>
      <c r="C717" s="182">
        <v>51085</v>
      </c>
    </row>
    <row r="718" spans="2:3">
      <c r="B718" s="182">
        <v>56275</v>
      </c>
      <c r="C718" s="182">
        <v>51098</v>
      </c>
    </row>
    <row r="719" spans="2:3">
      <c r="B719" s="182">
        <v>56335</v>
      </c>
      <c r="C719" s="182">
        <v>51130</v>
      </c>
    </row>
    <row r="720" spans="2:3">
      <c r="B720" s="182">
        <v>56338</v>
      </c>
      <c r="C720" s="182">
        <v>51137</v>
      </c>
    </row>
    <row r="721" spans="2:3">
      <c r="B721" s="182">
        <v>56408</v>
      </c>
      <c r="C721" s="182">
        <v>51151</v>
      </c>
    </row>
    <row r="722" spans="2:3">
      <c r="B722" s="182">
        <v>56464</v>
      </c>
      <c r="C722" s="182">
        <v>51179</v>
      </c>
    </row>
    <row r="723" spans="2:3">
      <c r="B723" s="182">
        <v>56527</v>
      </c>
      <c r="C723" s="182">
        <v>51181</v>
      </c>
    </row>
    <row r="724" spans="2:3">
      <c r="B724" s="182">
        <v>56608</v>
      </c>
      <c r="C724" s="182">
        <v>51186</v>
      </c>
    </row>
    <row r="725" spans="2:3">
      <c r="B725" s="182">
        <v>56611</v>
      </c>
      <c r="C725" s="182">
        <v>51284</v>
      </c>
    </row>
    <row r="726" spans="2:3">
      <c r="B726" s="182">
        <v>56615</v>
      </c>
      <c r="C726" s="182">
        <v>51306</v>
      </c>
    </row>
    <row r="727" spans="2:3">
      <c r="B727" s="182">
        <v>56640</v>
      </c>
      <c r="C727" s="182">
        <v>51321</v>
      </c>
    </row>
    <row r="728" spans="2:3">
      <c r="B728" s="182">
        <v>56720</v>
      </c>
      <c r="C728" s="182">
        <v>51382</v>
      </c>
    </row>
    <row r="729" spans="2:3">
      <c r="B729" s="182">
        <v>56723</v>
      </c>
      <c r="C729" s="182">
        <v>51417</v>
      </c>
    </row>
    <row r="730" spans="2:3">
      <c r="B730" s="182">
        <v>56779</v>
      </c>
      <c r="C730" s="182">
        <v>51446</v>
      </c>
    </row>
    <row r="731" spans="2:3">
      <c r="B731" s="182">
        <v>56828</v>
      </c>
      <c r="C731" s="182">
        <v>51452</v>
      </c>
    </row>
    <row r="732" spans="2:3">
      <c r="B732" s="182">
        <v>56891</v>
      </c>
      <c r="C732" s="182">
        <v>51462</v>
      </c>
    </row>
    <row r="733" spans="2:3">
      <c r="B733" s="182">
        <v>56975</v>
      </c>
      <c r="C733" s="182">
        <v>51495</v>
      </c>
    </row>
    <row r="734" spans="2:3">
      <c r="B734" s="182">
        <v>56976</v>
      </c>
      <c r="C734" s="182">
        <v>51502</v>
      </c>
    </row>
    <row r="735" spans="2:3">
      <c r="B735" s="182">
        <v>56982</v>
      </c>
      <c r="C735" s="182">
        <v>51522</v>
      </c>
    </row>
    <row r="736" spans="2:3">
      <c r="B736" s="182">
        <v>57005</v>
      </c>
      <c r="C736" s="182">
        <v>51544</v>
      </c>
    </row>
    <row r="737" spans="2:3">
      <c r="B737" s="182">
        <v>57070</v>
      </c>
      <c r="C737" s="182">
        <v>51547</v>
      </c>
    </row>
    <row r="738" spans="2:3">
      <c r="B738" s="182">
        <v>57073</v>
      </c>
      <c r="C738" s="182">
        <v>51550</v>
      </c>
    </row>
    <row r="739" spans="2:3">
      <c r="B739" s="182">
        <v>57095</v>
      </c>
      <c r="C739" s="182">
        <v>51648</v>
      </c>
    </row>
    <row r="740" spans="2:3">
      <c r="B740" s="182">
        <v>57143</v>
      </c>
      <c r="C740" s="182">
        <v>51671</v>
      </c>
    </row>
    <row r="741" spans="2:3">
      <c r="B741" s="182">
        <v>57199</v>
      </c>
      <c r="C741" s="182">
        <v>51686</v>
      </c>
    </row>
    <row r="742" spans="2:3">
      <c r="B742" s="182">
        <v>57255</v>
      </c>
      <c r="C742" s="182">
        <v>51746</v>
      </c>
    </row>
    <row r="743" spans="2:3">
      <c r="B743" s="182">
        <v>57339</v>
      </c>
      <c r="C743" s="182">
        <v>51788</v>
      </c>
    </row>
    <row r="744" spans="2:3">
      <c r="B744" s="182">
        <v>57340</v>
      </c>
      <c r="C744" s="182">
        <v>51810</v>
      </c>
    </row>
    <row r="745" spans="2:3">
      <c r="B745" s="182">
        <v>57346</v>
      </c>
      <c r="C745" s="182">
        <v>51816</v>
      </c>
    </row>
    <row r="746" spans="2:3">
      <c r="B746" s="182">
        <v>57371</v>
      </c>
      <c r="C746" s="182">
        <v>51833</v>
      </c>
    </row>
    <row r="747" spans="2:3">
      <c r="B747" s="182">
        <v>57455</v>
      </c>
      <c r="C747" s="182">
        <v>51860</v>
      </c>
    </row>
    <row r="748" spans="2:3">
      <c r="B748" s="182">
        <v>57458</v>
      </c>
      <c r="C748" s="182">
        <v>51867</v>
      </c>
    </row>
    <row r="749" spans="2:3">
      <c r="B749" s="182">
        <v>57460</v>
      </c>
      <c r="C749" s="182">
        <v>51886</v>
      </c>
    </row>
    <row r="750" spans="2:3">
      <c r="B750" s="182">
        <v>57507</v>
      </c>
      <c r="C750" s="182">
        <v>51909</v>
      </c>
    </row>
    <row r="751" spans="2:3">
      <c r="B751" s="182">
        <v>57563</v>
      </c>
      <c r="C751" s="182">
        <v>51914</v>
      </c>
    </row>
    <row r="752" spans="2:3">
      <c r="B752" s="182">
        <v>57619</v>
      </c>
      <c r="C752" s="182">
        <v>52012</v>
      </c>
    </row>
    <row r="753" spans="2:3">
      <c r="B753" s="182">
        <v>57704</v>
      </c>
      <c r="C753" s="182">
        <v>52036</v>
      </c>
    </row>
    <row r="754" spans="2:3">
      <c r="B754" s="182">
        <v>57705</v>
      </c>
      <c r="C754" s="182">
        <v>52051</v>
      </c>
    </row>
    <row r="755" spans="2:3">
      <c r="B755" s="182">
        <v>57711</v>
      </c>
      <c r="C755" s="182">
        <v>52110</v>
      </c>
    </row>
    <row r="756" spans="2:3">
      <c r="B756" s="182">
        <v>57738</v>
      </c>
      <c r="C756" s="182">
        <v>52152</v>
      </c>
    </row>
    <row r="757" spans="2:3">
      <c r="B757" s="182">
        <v>57812</v>
      </c>
      <c r="C757" s="182">
        <v>52174</v>
      </c>
    </row>
    <row r="758" spans="2:3">
      <c r="B758" s="182">
        <v>57815</v>
      </c>
      <c r="C758" s="182">
        <v>52181</v>
      </c>
    </row>
    <row r="759" spans="2:3">
      <c r="B759" s="182">
        <v>57825</v>
      </c>
      <c r="C759" s="182">
        <v>52197</v>
      </c>
    </row>
    <row r="760" spans="2:3">
      <c r="B760" s="182">
        <v>57871</v>
      </c>
      <c r="C760" s="182">
        <v>52225</v>
      </c>
    </row>
    <row r="761" spans="2:3">
      <c r="B761" s="182">
        <v>57927</v>
      </c>
      <c r="C761" s="182">
        <v>52232</v>
      </c>
    </row>
    <row r="762" spans="2:3">
      <c r="B762" s="182">
        <v>57990</v>
      </c>
      <c r="C762" s="182">
        <v>52250</v>
      </c>
    </row>
    <row r="763" spans="2:3">
      <c r="B763" s="182">
        <v>58069</v>
      </c>
      <c r="C763" s="182">
        <v>52274</v>
      </c>
    </row>
    <row r="764" spans="2:3">
      <c r="B764" s="182">
        <v>58070</v>
      </c>
      <c r="C764" s="182">
        <v>52278</v>
      </c>
    </row>
    <row r="765" spans="2:3">
      <c r="B765" s="182">
        <v>58076</v>
      </c>
      <c r="C765" s="182">
        <v>52376</v>
      </c>
    </row>
    <row r="766" spans="2:3">
      <c r="B766" s="182">
        <v>58102</v>
      </c>
      <c r="C766" s="182">
        <v>52401</v>
      </c>
    </row>
    <row r="767" spans="2:3">
      <c r="B767" s="182">
        <v>58162</v>
      </c>
      <c r="C767" s="182">
        <v>52415</v>
      </c>
    </row>
    <row r="768" spans="2:3">
      <c r="B768" s="182">
        <v>58165</v>
      </c>
      <c r="C768" s="182">
        <v>52481</v>
      </c>
    </row>
    <row r="769" spans="2:3">
      <c r="B769" s="182">
        <v>58190</v>
      </c>
      <c r="C769" s="182">
        <v>52516</v>
      </c>
    </row>
    <row r="770" spans="2:3">
      <c r="B770" s="182">
        <v>58235</v>
      </c>
      <c r="C770" s="182">
        <v>52538</v>
      </c>
    </row>
    <row r="771" spans="2:3">
      <c r="B771" s="182">
        <v>58291</v>
      </c>
      <c r="C771" s="182">
        <v>52546</v>
      </c>
    </row>
    <row r="772" spans="2:3">
      <c r="B772" s="182">
        <v>58354</v>
      </c>
      <c r="C772" s="182">
        <v>52561</v>
      </c>
    </row>
    <row r="773" spans="2:3">
      <c r="B773" s="182">
        <v>58434</v>
      </c>
      <c r="C773" s="182">
        <v>52590</v>
      </c>
    </row>
    <row r="774" spans="2:3">
      <c r="B774" s="182">
        <v>58435</v>
      </c>
      <c r="C774" s="182">
        <v>52597</v>
      </c>
    </row>
    <row r="775" spans="2:3">
      <c r="B775" s="182">
        <v>58441</v>
      </c>
      <c r="C775" s="182">
        <v>52614</v>
      </c>
    </row>
    <row r="776" spans="2:3">
      <c r="B776" s="182">
        <v>58466</v>
      </c>
      <c r="C776" s="182">
        <v>52639</v>
      </c>
    </row>
    <row r="777" spans="2:3">
      <c r="B777" s="182">
        <v>58547</v>
      </c>
      <c r="C777" s="182">
        <v>52642</v>
      </c>
    </row>
    <row r="778" spans="2:3">
      <c r="B778" s="182">
        <v>58550</v>
      </c>
      <c r="C778" s="182">
        <v>52747</v>
      </c>
    </row>
    <row r="779" spans="2:3">
      <c r="B779" s="182">
        <v>58606</v>
      </c>
      <c r="C779" s="182">
        <v>52768</v>
      </c>
    </row>
    <row r="780" spans="2:3">
      <c r="B780" s="182">
        <v>58655</v>
      </c>
      <c r="C780" s="182">
        <v>52782</v>
      </c>
    </row>
    <row r="781" spans="2:3">
      <c r="B781" s="182">
        <v>58718</v>
      </c>
      <c r="C781" s="182">
        <v>52845</v>
      </c>
    </row>
    <row r="782" spans="2:3">
      <c r="B782" s="182">
        <v>58802</v>
      </c>
      <c r="C782" s="182">
        <v>52880</v>
      </c>
    </row>
    <row r="783" spans="2:3">
      <c r="B783" s="182">
        <v>58803</v>
      </c>
      <c r="C783" s="182">
        <v>52909</v>
      </c>
    </row>
    <row r="784" spans="2:3">
      <c r="B784" s="182">
        <v>58809</v>
      </c>
      <c r="C784" s="182">
        <v>52912</v>
      </c>
    </row>
    <row r="785" spans="2:3">
      <c r="B785" s="182">
        <v>58832</v>
      </c>
      <c r="C785" s="182">
        <v>52925</v>
      </c>
    </row>
    <row r="786" spans="2:3">
      <c r="B786" s="182">
        <v>58904</v>
      </c>
      <c r="C786" s="182">
        <v>52957</v>
      </c>
    </row>
    <row r="787" spans="2:3">
      <c r="B787" s="182">
        <v>58907</v>
      </c>
      <c r="C787" s="182">
        <v>52964</v>
      </c>
    </row>
    <row r="788" spans="2:3">
      <c r="B788" s="182">
        <v>58921</v>
      </c>
      <c r="C788" s="182">
        <v>52978</v>
      </c>
    </row>
    <row r="789" spans="2:3">
      <c r="B789" s="182">
        <v>58970</v>
      </c>
      <c r="C789" s="182">
        <v>53006</v>
      </c>
    </row>
    <row r="790" spans="2:3">
      <c r="B790" s="182">
        <v>59019</v>
      </c>
      <c r="C790" s="182">
        <v>53008</v>
      </c>
    </row>
    <row r="791" spans="2:3">
      <c r="B791" s="182">
        <v>59082</v>
      </c>
      <c r="C791" s="182">
        <v>53013</v>
      </c>
    </row>
    <row r="792" spans="2:3">
      <c r="B792" s="182">
        <v>59166</v>
      </c>
      <c r="C792" s="182">
        <v>53111</v>
      </c>
    </row>
    <row r="793" spans="2:3">
      <c r="B793" s="182">
        <v>59167</v>
      </c>
      <c r="C793" s="182">
        <v>53132</v>
      </c>
    </row>
    <row r="794" spans="2:3">
      <c r="B794" s="182">
        <v>59173</v>
      </c>
      <c r="C794" s="182">
        <v>53147</v>
      </c>
    </row>
    <row r="795" spans="2:3">
      <c r="B795" s="182">
        <v>59197</v>
      </c>
      <c r="C795" s="182">
        <v>53209</v>
      </c>
    </row>
    <row r="796" spans="2:3">
      <c r="B796" s="182">
        <v>59254</v>
      </c>
      <c r="C796" s="182">
        <v>53244</v>
      </c>
    </row>
    <row r="797" spans="2:3">
      <c r="B797" s="182">
        <v>59257</v>
      </c>
      <c r="C797" s="182">
        <v>53273</v>
      </c>
    </row>
    <row r="798" spans="2:3">
      <c r="B798" s="182">
        <v>59286</v>
      </c>
      <c r="C798" s="182">
        <v>53276</v>
      </c>
    </row>
    <row r="799" spans="2:3">
      <c r="B799" s="182">
        <v>59334</v>
      </c>
      <c r="C799" s="182">
        <v>53289</v>
      </c>
    </row>
    <row r="800" spans="2:3">
      <c r="B800" s="182">
        <v>59390</v>
      </c>
      <c r="C800" s="182">
        <v>53321</v>
      </c>
    </row>
    <row r="801" spans="2:3">
      <c r="B801" s="182">
        <v>59446</v>
      </c>
      <c r="C801" s="182">
        <v>53328</v>
      </c>
    </row>
    <row r="802" spans="2:3">
      <c r="B802" s="182">
        <v>59530</v>
      </c>
      <c r="C802" s="182">
        <v>53342</v>
      </c>
    </row>
    <row r="803" spans="2:3">
      <c r="B803" s="182">
        <v>59531</v>
      </c>
      <c r="C803" s="182">
        <v>53370</v>
      </c>
    </row>
    <row r="804" spans="2:3">
      <c r="B804" s="182">
        <v>59537</v>
      </c>
      <c r="C804" s="182">
        <v>53373</v>
      </c>
    </row>
    <row r="805" spans="2:3">
      <c r="B805" s="182">
        <v>59562</v>
      </c>
      <c r="C805" s="182">
        <v>53377</v>
      </c>
    </row>
    <row r="806" spans="2:3">
      <c r="B806" s="182">
        <v>59639</v>
      </c>
      <c r="C806" s="182">
        <v>53475</v>
      </c>
    </row>
    <row r="807" spans="2:3">
      <c r="B807" s="182">
        <v>59642</v>
      </c>
      <c r="C807" s="182">
        <v>53497</v>
      </c>
    </row>
    <row r="808" spans="2:3">
      <c r="B808" s="182">
        <v>59651</v>
      </c>
      <c r="C808" s="182">
        <v>53512</v>
      </c>
    </row>
    <row r="809" spans="2:3">
      <c r="B809" s="182">
        <v>59698</v>
      </c>
      <c r="C809" s="182">
        <v>53573</v>
      </c>
    </row>
    <row r="810" spans="2:3">
      <c r="B810" s="182">
        <v>59754</v>
      </c>
      <c r="C810" s="182">
        <v>53608</v>
      </c>
    </row>
    <row r="811" spans="2:3">
      <c r="B811" s="182">
        <v>59810</v>
      </c>
      <c r="C811" s="182">
        <v>53637</v>
      </c>
    </row>
    <row r="812" spans="2:3">
      <c r="B812" s="182">
        <v>59895</v>
      </c>
      <c r="C812" s="182">
        <v>53643</v>
      </c>
    </row>
    <row r="813" spans="2:3">
      <c r="B813" s="182">
        <v>59896</v>
      </c>
      <c r="C813" s="182">
        <v>53653</v>
      </c>
    </row>
    <row r="814" spans="2:3">
      <c r="B814" s="182">
        <v>59902</v>
      </c>
      <c r="C814" s="182">
        <v>53686</v>
      </c>
    </row>
    <row r="815" spans="2:3">
      <c r="B815" s="182">
        <v>59929</v>
      </c>
      <c r="C815" s="182">
        <v>53693</v>
      </c>
    </row>
    <row r="816" spans="2:3">
      <c r="B816" s="182">
        <v>59996</v>
      </c>
      <c r="C816" s="182">
        <v>53713</v>
      </c>
    </row>
    <row r="817" spans="2:3">
      <c r="B817" s="182">
        <v>59999</v>
      </c>
      <c r="C817" s="182">
        <v>53735</v>
      </c>
    </row>
    <row r="818" spans="2:3">
      <c r="B818" s="182">
        <v>60017</v>
      </c>
      <c r="C818" s="182">
        <v>53738</v>
      </c>
    </row>
    <row r="819" spans="2:3">
      <c r="B819" s="182">
        <v>60062</v>
      </c>
      <c r="C819" s="182">
        <v>53741</v>
      </c>
    </row>
    <row r="820" spans="2:3">
      <c r="B820" s="182">
        <v>60118</v>
      </c>
      <c r="C820" s="182">
        <v>53839</v>
      </c>
    </row>
    <row r="821" spans="2:3">
      <c r="B821" s="182">
        <v>60181</v>
      </c>
      <c r="C821" s="182">
        <v>53862</v>
      </c>
    </row>
    <row r="822" spans="2:3">
      <c r="B822" s="182">
        <v>60261</v>
      </c>
      <c r="C822" s="182">
        <v>53877</v>
      </c>
    </row>
    <row r="823" spans="2:3">
      <c r="B823" s="182">
        <v>60262</v>
      </c>
      <c r="C823" s="182">
        <v>53937</v>
      </c>
    </row>
    <row r="824" spans="2:3">
      <c r="B824" s="182">
        <v>60268</v>
      </c>
      <c r="C824" s="182">
        <v>53979</v>
      </c>
    </row>
    <row r="825" spans="2:3">
      <c r="B825" s="182">
        <v>60293</v>
      </c>
      <c r="C825" s="182">
        <v>54001</v>
      </c>
    </row>
    <row r="826" spans="2:3">
      <c r="B826" s="182">
        <v>60353</v>
      </c>
      <c r="C826" s="182">
        <v>54007</v>
      </c>
    </row>
    <row r="827" spans="2:3">
      <c r="B827" s="182">
        <v>60356</v>
      </c>
      <c r="C827" s="182">
        <v>54024</v>
      </c>
    </row>
    <row r="828" spans="2:3">
      <c r="B828" s="182">
        <v>60426</v>
      </c>
      <c r="C828" s="182">
        <v>54051</v>
      </c>
    </row>
    <row r="829" spans="2:3">
      <c r="B829" s="182">
        <v>60482</v>
      </c>
      <c r="C829" s="182">
        <v>54058</v>
      </c>
    </row>
    <row r="830" spans="2:3">
      <c r="B830" s="182">
        <v>60545</v>
      </c>
      <c r="C830" s="182">
        <v>54077</v>
      </c>
    </row>
    <row r="831" spans="2:3">
      <c r="B831" s="182">
        <v>60626</v>
      </c>
      <c r="C831" s="182">
        <v>54100</v>
      </c>
    </row>
    <row r="832" spans="2:3">
      <c r="B832" s="182">
        <v>60629</v>
      </c>
      <c r="C832" s="182">
        <v>54105</v>
      </c>
    </row>
    <row r="833" spans="2:3">
      <c r="B833" s="182">
        <v>60633</v>
      </c>
      <c r="C833" s="182">
        <v>54203</v>
      </c>
    </row>
    <row r="834" spans="2:3">
      <c r="B834" s="182">
        <v>60658</v>
      </c>
      <c r="C834" s="182">
        <v>54228</v>
      </c>
    </row>
    <row r="835" spans="2:3">
      <c r="B835" s="182">
        <v>60731</v>
      </c>
      <c r="C835" s="182">
        <v>54242</v>
      </c>
    </row>
    <row r="836" spans="2:3">
      <c r="B836" s="182">
        <v>60734</v>
      </c>
      <c r="C836" s="182">
        <v>54308</v>
      </c>
    </row>
    <row r="837" spans="2:3">
      <c r="B837" s="182">
        <v>60797</v>
      </c>
      <c r="C837" s="182">
        <v>54343</v>
      </c>
    </row>
    <row r="838" spans="2:3">
      <c r="B838" s="182">
        <v>60846</v>
      </c>
      <c r="C838" s="182">
        <v>54365</v>
      </c>
    </row>
    <row r="839" spans="2:3">
      <c r="B839" s="182">
        <v>60909</v>
      </c>
      <c r="C839" s="182">
        <v>54373</v>
      </c>
    </row>
    <row r="840" spans="2:3">
      <c r="B840" s="182">
        <v>60993</v>
      </c>
      <c r="C840" s="182">
        <v>54388</v>
      </c>
    </row>
    <row r="841" spans="2:3">
      <c r="B841" s="182">
        <v>60994</v>
      </c>
      <c r="C841" s="182">
        <v>54417</v>
      </c>
    </row>
    <row r="842" spans="2:3">
      <c r="B842" s="182">
        <v>61000</v>
      </c>
      <c r="C842" s="182">
        <v>54424</v>
      </c>
    </row>
    <row r="843" spans="2:3">
      <c r="B843" s="182">
        <v>61023</v>
      </c>
      <c r="C843" s="182">
        <v>54441</v>
      </c>
    </row>
    <row r="844" spans="2:3">
      <c r="B844" s="182">
        <v>61088</v>
      </c>
      <c r="C844" s="182">
        <v>54466</v>
      </c>
    </row>
    <row r="845" spans="2:3">
      <c r="B845" s="182">
        <v>61091</v>
      </c>
      <c r="C845" s="182">
        <v>54469</v>
      </c>
    </row>
    <row r="846" spans="2:3">
      <c r="B846" s="182">
        <v>61112</v>
      </c>
      <c r="C846" s="182">
        <v>54574</v>
      </c>
    </row>
    <row r="847" spans="2:3">
      <c r="B847" s="182">
        <v>61161</v>
      </c>
      <c r="C847" s="182">
        <v>54592</v>
      </c>
    </row>
    <row r="848" spans="2:3">
      <c r="B848" s="182">
        <v>61210</v>
      </c>
      <c r="C848" s="182">
        <v>54609</v>
      </c>
    </row>
    <row r="849" spans="2:3">
      <c r="B849" s="182">
        <v>61273</v>
      </c>
      <c r="C849" s="182">
        <v>54672</v>
      </c>
    </row>
    <row r="850" spans="2:3">
      <c r="B850" s="182">
        <v>61357</v>
      </c>
      <c r="C850" s="182">
        <v>54707</v>
      </c>
    </row>
    <row r="851" spans="2:3">
      <c r="B851" s="182">
        <v>61358</v>
      </c>
      <c r="C851" s="182">
        <v>54729</v>
      </c>
    </row>
    <row r="852" spans="2:3">
      <c r="B852" s="182">
        <v>61364</v>
      </c>
      <c r="C852" s="182">
        <v>54738</v>
      </c>
    </row>
    <row r="853" spans="2:3">
      <c r="B853" s="182">
        <v>61388</v>
      </c>
      <c r="C853" s="182">
        <v>54752</v>
      </c>
    </row>
    <row r="854" spans="2:3">
      <c r="B854" s="182">
        <v>61473</v>
      </c>
      <c r="C854" s="182">
        <v>54781</v>
      </c>
    </row>
    <row r="855" spans="2:3">
      <c r="B855" s="182">
        <v>61476</v>
      </c>
      <c r="C855" s="182">
        <v>54788</v>
      </c>
    </row>
    <row r="856" spans="2:3">
      <c r="B856" s="182">
        <v>61478</v>
      </c>
      <c r="C856" s="182">
        <v>54805</v>
      </c>
    </row>
    <row r="857" spans="2:3">
      <c r="B857" s="182">
        <v>61525</v>
      </c>
      <c r="C857" s="182">
        <v>54830</v>
      </c>
    </row>
    <row r="858" spans="2:3">
      <c r="B858" s="182">
        <v>61581</v>
      </c>
      <c r="C858" s="182">
        <v>54834</v>
      </c>
    </row>
    <row r="859" spans="2:3">
      <c r="B859" s="182">
        <v>61637</v>
      </c>
      <c r="C859" s="182">
        <v>54840</v>
      </c>
    </row>
    <row r="860" spans="2:3">
      <c r="B860" s="182">
        <v>61722</v>
      </c>
      <c r="C860" s="182">
        <v>54938</v>
      </c>
    </row>
    <row r="861" spans="2:3">
      <c r="B861" s="182">
        <v>61723</v>
      </c>
      <c r="C861" s="182">
        <v>54959</v>
      </c>
    </row>
    <row r="862" spans="2:3">
      <c r="B862" s="182">
        <v>61729</v>
      </c>
      <c r="C862" s="182">
        <v>54973</v>
      </c>
    </row>
    <row r="863" spans="2:3">
      <c r="B863" s="182">
        <v>61756</v>
      </c>
      <c r="C863" s="182">
        <v>55036</v>
      </c>
    </row>
    <row r="864" spans="2:3">
      <c r="B864" s="182">
        <v>61830</v>
      </c>
      <c r="C864" s="182">
        <v>55071</v>
      </c>
    </row>
    <row r="865" spans="2:3">
      <c r="B865" s="182">
        <v>61833</v>
      </c>
      <c r="C865" s="182">
        <v>55100</v>
      </c>
    </row>
    <row r="866" spans="2:3">
      <c r="B866" s="182">
        <v>61843</v>
      </c>
      <c r="C866" s="182">
        <v>55103</v>
      </c>
    </row>
    <row r="867" spans="2:3">
      <c r="B867" s="182">
        <v>61889</v>
      </c>
      <c r="C867" s="182">
        <v>55116</v>
      </c>
    </row>
    <row r="868" spans="2:3">
      <c r="B868" s="182">
        <v>61945</v>
      </c>
      <c r="C868" s="182">
        <v>55148</v>
      </c>
    </row>
    <row r="869" spans="2:3">
      <c r="B869" s="182">
        <v>62008</v>
      </c>
      <c r="C869" s="182">
        <v>55155</v>
      </c>
    </row>
    <row r="870" spans="2:3">
      <c r="B870" s="182">
        <v>62087</v>
      </c>
      <c r="C870" s="182">
        <v>55169</v>
      </c>
    </row>
    <row r="871" spans="2:3">
      <c r="B871" s="182">
        <v>62088</v>
      </c>
      <c r="C871" s="182">
        <v>55197</v>
      </c>
    </row>
    <row r="872" spans="2:3">
      <c r="B872" s="182">
        <v>62094</v>
      </c>
      <c r="C872" s="182">
        <v>55199</v>
      </c>
    </row>
    <row r="873" spans="2:3">
      <c r="B873" s="182">
        <v>62120</v>
      </c>
      <c r="C873" s="182">
        <v>55204</v>
      </c>
    </row>
    <row r="874" spans="2:3">
      <c r="B874" s="182">
        <v>62180</v>
      </c>
      <c r="C874" s="182">
        <v>55302</v>
      </c>
    </row>
    <row r="875" spans="2:3">
      <c r="B875" s="182">
        <v>62183</v>
      </c>
      <c r="C875" s="182">
        <v>55323</v>
      </c>
    </row>
    <row r="876" spans="2:3">
      <c r="B876" s="182">
        <v>62208</v>
      </c>
      <c r="C876" s="182">
        <v>55338</v>
      </c>
    </row>
    <row r="877" spans="2:3">
      <c r="B877" s="182">
        <v>62253</v>
      </c>
      <c r="C877" s="182">
        <v>55400</v>
      </c>
    </row>
    <row r="878" spans="2:3">
      <c r="B878" s="182">
        <v>62309</v>
      </c>
      <c r="C878" s="182">
        <v>55435</v>
      </c>
    </row>
    <row r="879" spans="2:3">
      <c r="B879" s="182">
        <v>62372</v>
      </c>
      <c r="C879" s="182">
        <v>55464</v>
      </c>
    </row>
    <row r="880" spans="2:3">
      <c r="B880" s="182">
        <v>62452</v>
      </c>
      <c r="C880" s="182">
        <v>55467</v>
      </c>
    </row>
    <row r="881" spans="2:3">
      <c r="B881" s="182">
        <v>62453</v>
      </c>
      <c r="C881" s="182">
        <v>55480</v>
      </c>
    </row>
    <row r="882" spans="2:3">
      <c r="B882" s="182">
        <v>62459</v>
      </c>
      <c r="C882" s="182">
        <v>55512</v>
      </c>
    </row>
    <row r="883" spans="2:3">
      <c r="B883" s="182">
        <v>62484</v>
      </c>
      <c r="C883" s="182">
        <v>55519</v>
      </c>
    </row>
    <row r="884" spans="2:3">
      <c r="B884" s="182">
        <v>62565</v>
      </c>
      <c r="C884" s="182">
        <v>55533</v>
      </c>
    </row>
    <row r="885" spans="2:3">
      <c r="B885" s="182">
        <v>62568</v>
      </c>
      <c r="C885" s="182">
        <v>55561</v>
      </c>
    </row>
    <row r="886" spans="2:3">
      <c r="B886" s="182">
        <v>62617</v>
      </c>
      <c r="C886" s="182">
        <v>55564</v>
      </c>
    </row>
    <row r="887" spans="2:3">
      <c r="B887" s="182">
        <v>62673</v>
      </c>
      <c r="C887" s="182">
        <v>55568</v>
      </c>
    </row>
    <row r="888" spans="2:3">
      <c r="B888" s="182">
        <v>62736</v>
      </c>
      <c r="C888" s="182">
        <v>55666</v>
      </c>
    </row>
    <row r="889" spans="2:3">
      <c r="B889" s="182">
        <v>62817</v>
      </c>
      <c r="C889" s="182">
        <v>55689</v>
      </c>
    </row>
    <row r="890" spans="2:3">
      <c r="B890" s="182">
        <v>62820</v>
      </c>
      <c r="C890" s="182">
        <v>55704</v>
      </c>
    </row>
    <row r="891" spans="2:3">
      <c r="B891" s="182">
        <v>62824</v>
      </c>
      <c r="C891" s="182">
        <v>55764</v>
      </c>
    </row>
    <row r="892" spans="2:3">
      <c r="B892" s="182">
        <v>62849</v>
      </c>
      <c r="C892" s="182">
        <v>55806</v>
      </c>
    </row>
    <row r="893" spans="2:3">
      <c r="B893" s="182">
        <v>62922</v>
      </c>
      <c r="C893" s="182">
        <v>55828</v>
      </c>
    </row>
    <row r="894" spans="2:3">
      <c r="B894" s="182">
        <v>62925</v>
      </c>
      <c r="C894" s="182">
        <v>55834</v>
      </c>
    </row>
    <row r="895" spans="2:3">
      <c r="B895" s="182">
        <v>62939</v>
      </c>
      <c r="C895" s="182">
        <v>55851</v>
      </c>
    </row>
    <row r="896" spans="2:3">
      <c r="B896" s="182">
        <v>62988</v>
      </c>
      <c r="C896" s="182">
        <v>55878</v>
      </c>
    </row>
    <row r="897" spans="2:3">
      <c r="B897" s="182">
        <v>63037</v>
      </c>
      <c r="C897" s="182">
        <v>55885</v>
      </c>
    </row>
    <row r="898" spans="2:3">
      <c r="B898" s="182">
        <v>63100</v>
      </c>
      <c r="C898" s="182">
        <v>55904</v>
      </c>
    </row>
    <row r="899" spans="2:3">
      <c r="B899" s="182">
        <v>63184</v>
      </c>
      <c r="C899" s="182">
        <v>55927</v>
      </c>
    </row>
    <row r="900" spans="2:3">
      <c r="B900" s="182">
        <v>63185</v>
      </c>
      <c r="C900" s="182">
        <v>55932</v>
      </c>
    </row>
    <row r="901" spans="2:3">
      <c r="B901" s="182">
        <v>63191</v>
      </c>
      <c r="C901" s="182">
        <v>56030</v>
      </c>
    </row>
    <row r="902" spans="2:3">
      <c r="B902" s="182">
        <v>63215</v>
      </c>
      <c r="C902" s="182">
        <v>56054</v>
      </c>
    </row>
    <row r="903" spans="2:3">
      <c r="B903" s="182">
        <v>63272</v>
      </c>
      <c r="C903" s="182">
        <v>56069</v>
      </c>
    </row>
    <row r="904" spans="2:3">
      <c r="B904" s="182">
        <v>63275</v>
      </c>
      <c r="C904" s="182">
        <v>56128</v>
      </c>
    </row>
    <row r="905" spans="2:3">
      <c r="B905" s="182">
        <v>63304</v>
      </c>
      <c r="C905" s="182">
        <v>56170</v>
      </c>
    </row>
    <row r="906" spans="2:3">
      <c r="B906" s="182">
        <v>63352</v>
      </c>
      <c r="C906" s="182">
        <v>56192</v>
      </c>
    </row>
    <row r="907" spans="2:3">
      <c r="B907" s="182">
        <v>63408</v>
      </c>
      <c r="C907" s="182">
        <v>56199</v>
      </c>
    </row>
    <row r="908" spans="2:3">
      <c r="B908" s="182">
        <v>63464</v>
      </c>
      <c r="C908" s="182">
        <v>56215</v>
      </c>
    </row>
    <row r="909" spans="2:3">
      <c r="B909" s="182">
        <v>63548</v>
      </c>
      <c r="C909" s="182">
        <v>56243</v>
      </c>
    </row>
    <row r="910" spans="2:3">
      <c r="B910" s="182">
        <v>63549</v>
      </c>
      <c r="C910" s="182">
        <v>56250</v>
      </c>
    </row>
    <row r="911" spans="2:3">
      <c r="B911" s="182">
        <v>63555</v>
      </c>
      <c r="C911" s="182">
        <v>56268</v>
      </c>
    </row>
    <row r="912" spans="2:3">
      <c r="B912" s="182">
        <v>63580</v>
      </c>
      <c r="C912" s="182">
        <v>56292</v>
      </c>
    </row>
    <row r="913" spans="2:3">
      <c r="B913" s="182">
        <v>63657</v>
      </c>
      <c r="C913" s="182">
        <v>56296</v>
      </c>
    </row>
    <row r="914" spans="2:3">
      <c r="B914" s="182">
        <v>63660</v>
      </c>
      <c r="C914" s="182">
        <v>56394</v>
      </c>
    </row>
    <row r="915" spans="2:3">
      <c r="B915" s="182">
        <v>63669</v>
      </c>
      <c r="C915" s="182">
        <v>56419</v>
      </c>
    </row>
    <row r="916" spans="2:3">
      <c r="B916" s="182">
        <v>63716</v>
      </c>
      <c r="C916" s="182">
        <v>56433</v>
      </c>
    </row>
    <row r="917" spans="2:3">
      <c r="B917" s="182">
        <v>63772</v>
      </c>
      <c r="C917" s="182">
        <v>56499</v>
      </c>
    </row>
    <row r="918" spans="2:3">
      <c r="B918" s="182">
        <v>63828</v>
      </c>
      <c r="C918" s="182">
        <v>56534</v>
      </c>
    </row>
    <row r="919" spans="2:3">
      <c r="B919" s="182">
        <v>63913</v>
      </c>
      <c r="C919" s="182">
        <v>56556</v>
      </c>
    </row>
    <row r="920" spans="2:3">
      <c r="B920" s="182">
        <v>63914</v>
      </c>
      <c r="C920" s="182">
        <v>56564</v>
      </c>
    </row>
    <row r="921" spans="2:3">
      <c r="B921" s="182">
        <v>63920</v>
      </c>
      <c r="C921" s="182">
        <v>56579</v>
      </c>
    </row>
    <row r="922" spans="2:3">
      <c r="B922" s="182">
        <v>63947</v>
      </c>
      <c r="C922" s="182">
        <v>56608</v>
      </c>
    </row>
    <row r="923" spans="2:3">
      <c r="B923" s="182">
        <v>64014</v>
      </c>
      <c r="C923" s="182">
        <v>56615</v>
      </c>
    </row>
    <row r="924" spans="2:3">
      <c r="B924" s="182">
        <v>64017</v>
      </c>
      <c r="C924" s="182">
        <v>56632</v>
      </c>
    </row>
    <row r="925" spans="2:3">
      <c r="B925" s="182">
        <v>64034</v>
      </c>
      <c r="C925" s="182">
        <v>56657</v>
      </c>
    </row>
    <row r="926" spans="2:3">
      <c r="B926" s="182">
        <v>64080</v>
      </c>
      <c r="C926" s="182">
        <v>56660</v>
      </c>
    </row>
    <row r="927" spans="2:3">
      <c r="B927" s="182">
        <v>64136</v>
      </c>
      <c r="C927" s="182">
        <v>56765</v>
      </c>
    </row>
    <row r="928" spans="2:3">
      <c r="B928" s="182">
        <v>64199</v>
      </c>
      <c r="C928" s="182">
        <v>56783</v>
      </c>
    </row>
    <row r="929" spans="2:3">
      <c r="B929" s="182">
        <v>64278</v>
      </c>
      <c r="C929" s="182">
        <v>56800</v>
      </c>
    </row>
    <row r="930" spans="2:3">
      <c r="B930" s="182">
        <v>64279</v>
      </c>
      <c r="C930" s="182">
        <v>56863</v>
      </c>
    </row>
    <row r="931" spans="2:3">
      <c r="B931" s="182">
        <v>64285</v>
      </c>
      <c r="C931" s="182">
        <v>56898</v>
      </c>
    </row>
    <row r="932" spans="2:3">
      <c r="B932" s="182">
        <v>64311</v>
      </c>
      <c r="C932" s="182">
        <v>56920</v>
      </c>
    </row>
    <row r="933" spans="2:3">
      <c r="B933" s="182">
        <v>64392</v>
      </c>
      <c r="C933" s="182">
        <v>56929</v>
      </c>
    </row>
    <row r="934" spans="2:3">
      <c r="B934" s="182">
        <v>64395</v>
      </c>
      <c r="C934" s="182">
        <v>56943</v>
      </c>
    </row>
    <row r="935" spans="2:3">
      <c r="B935" s="182">
        <v>64444</v>
      </c>
      <c r="C935" s="182">
        <v>56972</v>
      </c>
    </row>
    <row r="936" spans="2:3">
      <c r="B936" s="182">
        <v>64500</v>
      </c>
      <c r="C936" s="182">
        <v>56979</v>
      </c>
    </row>
    <row r="937" spans="2:3">
      <c r="B937" s="182">
        <v>64563</v>
      </c>
      <c r="C937" s="182">
        <v>56996</v>
      </c>
    </row>
    <row r="938" spans="2:3">
      <c r="B938" s="182">
        <v>64644</v>
      </c>
      <c r="C938" s="182">
        <v>57021</v>
      </c>
    </row>
    <row r="939" spans="2:3">
      <c r="B939" s="182">
        <v>64647</v>
      </c>
      <c r="C939" s="182">
        <v>57025</v>
      </c>
    </row>
    <row r="940" spans="2:3">
      <c r="B940" s="182">
        <v>64651</v>
      </c>
      <c r="C940" s="182">
        <v>57031</v>
      </c>
    </row>
    <row r="941" spans="2:3">
      <c r="B941" s="182">
        <v>64676</v>
      </c>
      <c r="C941" s="182">
        <v>57129</v>
      </c>
    </row>
    <row r="942" spans="2:3">
      <c r="B942" s="182">
        <v>64749</v>
      </c>
      <c r="C942" s="182">
        <v>57150</v>
      </c>
    </row>
    <row r="943" spans="2:3">
      <c r="B943" s="182">
        <v>64752</v>
      </c>
      <c r="C943" s="182">
        <v>57165</v>
      </c>
    </row>
    <row r="944" spans="2:3">
      <c r="B944" s="182">
        <v>64815</v>
      </c>
      <c r="C944" s="182">
        <v>57227</v>
      </c>
    </row>
    <row r="945" spans="2:3">
      <c r="B945" s="182">
        <v>64864</v>
      </c>
      <c r="C945" s="182">
        <v>57262</v>
      </c>
    </row>
    <row r="946" spans="2:3">
      <c r="B946" s="182">
        <v>64927</v>
      </c>
      <c r="C946" s="182">
        <v>57291</v>
      </c>
    </row>
    <row r="947" spans="2:3">
      <c r="B947" s="182">
        <v>65011</v>
      </c>
      <c r="C947" s="182">
        <v>57294</v>
      </c>
    </row>
    <row r="948" spans="2:3">
      <c r="B948" s="182">
        <v>65012</v>
      </c>
      <c r="C948" s="182">
        <v>57307</v>
      </c>
    </row>
    <row r="949" spans="2:3">
      <c r="B949" s="182">
        <v>65018</v>
      </c>
      <c r="C949" s="182">
        <v>57339</v>
      </c>
    </row>
    <row r="950" spans="2:3">
      <c r="B950" s="182">
        <v>65041</v>
      </c>
      <c r="C950" s="182">
        <v>57346</v>
      </c>
    </row>
    <row r="951" spans="2:3">
      <c r="B951" s="182">
        <v>65106</v>
      </c>
      <c r="C951" s="182">
        <v>57360</v>
      </c>
    </row>
    <row r="952" spans="2:3">
      <c r="B952" s="182">
        <v>65109</v>
      </c>
      <c r="C952" s="182">
        <v>57388</v>
      </c>
    </row>
    <row r="953" spans="2:3">
      <c r="B953" s="182">
        <v>65130</v>
      </c>
      <c r="C953" s="182">
        <v>57391</v>
      </c>
    </row>
    <row r="954" spans="2:3">
      <c r="B954" s="182">
        <v>65179</v>
      </c>
      <c r="C954" s="182">
        <v>57395</v>
      </c>
    </row>
    <row r="955" spans="2:3">
      <c r="B955" s="182">
        <v>65228</v>
      </c>
      <c r="C955" s="182">
        <v>57493</v>
      </c>
    </row>
    <row r="956" spans="2:3">
      <c r="B956" s="182">
        <v>65291</v>
      </c>
      <c r="C956" s="182">
        <v>57515</v>
      </c>
    </row>
    <row r="957" spans="2:3">
      <c r="B957" s="182">
        <v>65375</v>
      </c>
      <c r="C957" s="182">
        <v>57530</v>
      </c>
    </row>
    <row r="958" spans="2:3">
      <c r="B958" s="182">
        <v>65376</v>
      </c>
      <c r="C958" s="182">
        <v>57591</v>
      </c>
    </row>
    <row r="959" spans="2:3">
      <c r="B959" s="182">
        <v>65382</v>
      </c>
      <c r="C959" s="182">
        <v>57626</v>
      </c>
    </row>
    <row r="960" spans="2:3">
      <c r="B960" s="182">
        <v>65406</v>
      </c>
      <c r="C960" s="182">
        <v>57655</v>
      </c>
    </row>
    <row r="961" spans="2:3">
      <c r="B961" s="182">
        <v>65491</v>
      </c>
      <c r="C961" s="182">
        <v>57661</v>
      </c>
    </row>
    <row r="962" spans="2:3">
      <c r="B962" s="182">
        <v>65494</v>
      </c>
      <c r="C962" s="182">
        <v>57671</v>
      </c>
    </row>
    <row r="963" spans="2:3">
      <c r="B963" s="182">
        <v>65495</v>
      </c>
      <c r="C963" s="182">
        <v>57704</v>
      </c>
    </row>
    <row r="964" spans="2:3">
      <c r="B964" s="182">
        <v>65543</v>
      </c>
      <c r="C964" s="182">
        <v>57711</v>
      </c>
    </row>
    <row r="965" spans="2:3">
      <c r="B965" s="182">
        <v>65599</v>
      </c>
      <c r="C965" s="182">
        <v>57731</v>
      </c>
    </row>
    <row r="966" spans="2:3">
      <c r="B966" s="182">
        <v>65655</v>
      </c>
      <c r="C966" s="182">
        <v>57753</v>
      </c>
    </row>
    <row r="967" spans="2:3">
      <c r="B967" s="182">
        <v>65739</v>
      </c>
      <c r="C967" s="182">
        <v>57756</v>
      </c>
    </row>
    <row r="968" spans="2:3">
      <c r="B968" s="182">
        <v>65740</v>
      </c>
      <c r="C968" s="182">
        <v>57759</v>
      </c>
    </row>
    <row r="969" spans="2:3">
      <c r="B969" s="182">
        <v>65746</v>
      </c>
      <c r="C969" s="182">
        <v>57857</v>
      </c>
    </row>
    <row r="970" spans="2:3">
      <c r="B970" s="182">
        <v>65771</v>
      </c>
      <c r="C970" s="182">
        <v>57880</v>
      </c>
    </row>
    <row r="971" spans="2:3">
      <c r="B971" s="182">
        <v>65841</v>
      </c>
      <c r="C971" s="182">
        <v>57895</v>
      </c>
    </row>
    <row r="972" spans="2:3">
      <c r="B972" s="182">
        <v>65844</v>
      </c>
      <c r="C972" s="182">
        <v>57955</v>
      </c>
    </row>
    <row r="973" spans="2:3">
      <c r="B973" s="182">
        <v>65861</v>
      </c>
      <c r="C973" s="182">
        <v>57997</v>
      </c>
    </row>
    <row r="974" spans="2:3">
      <c r="B974" s="182">
        <v>65907</v>
      </c>
      <c r="C974" s="182">
        <v>58019</v>
      </c>
    </row>
    <row r="975" spans="2:3">
      <c r="B975" s="182">
        <v>65963</v>
      </c>
      <c r="C975" s="182">
        <v>58025</v>
      </c>
    </row>
    <row r="976" spans="2:3">
      <c r="B976" s="182">
        <v>66026</v>
      </c>
      <c r="C976" s="182">
        <v>58042</v>
      </c>
    </row>
    <row r="977" spans="2:3">
      <c r="B977" s="182">
        <v>66105</v>
      </c>
      <c r="C977" s="182">
        <v>58069</v>
      </c>
    </row>
    <row r="978" spans="2:3">
      <c r="B978" s="182">
        <v>66106</v>
      </c>
      <c r="C978" s="182">
        <v>58076</v>
      </c>
    </row>
    <row r="979" spans="2:3">
      <c r="B979" s="182">
        <v>66112</v>
      </c>
      <c r="C979" s="182">
        <v>58095</v>
      </c>
    </row>
    <row r="980" spans="2:3">
      <c r="B980" s="182">
        <v>66138</v>
      </c>
      <c r="C980" s="182">
        <v>58118</v>
      </c>
    </row>
    <row r="981" spans="2:3">
      <c r="B981" s="182">
        <v>66198</v>
      </c>
      <c r="C981" s="182">
        <v>58123</v>
      </c>
    </row>
    <row r="982" spans="2:3">
      <c r="B982" s="182">
        <v>66201</v>
      </c>
      <c r="C982" s="182">
        <v>58221</v>
      </c>
    </row>
    <row r="983" spans="2:3">
      <c r="B983" s="182">
        <v>66226</v>
      </c>
      <c r="C983" s="182">
        <v>58245</v>
      </c>
    </row>
    <row r="984" spans="2:3">
      <c r="B984" s="182">
        <v>66271</v>
      </c>
      <c r="C984" s="182">
        <v>58260</v>
      </c>
    </row>
    <row r="985" spans="2:3">
      <c r="B985" s="182">
        <v>66327</v>
      </c>
      <c r="C985" s="182">
        <v>58319</v>
      </c>
    </row>
    <row r="986" spans="2:3">
      <c r="B986" s="182">
        <v>66390</v>
      </c>
      <c r="C986" s="182">
        <v>58361</v>
      </c>
    </row>
    <row r="987" spans="2:3">
      <c r="B987" s="182">
        <v>66470</v>
      </c>
      <c r="C987" s="182">
        <v>58383</v>
      </c>
    </row>
    <row r="988" spans="2:3">
      <c r="B988" s="182">
        <v>66471</v>
      </c>
      <c r="C988" s="182">
        <v>58390</v>
      </c>
    </row>
    <row r="989" spans="2:3">
      <c r="B989" s="182">
        <v>66477</v>
      </c>
      <c r="C989" s="182">
        <v>58406</v>
      </c>
    </row>
    <row r="990" spans="2:3">
      <c r="B990" s="182">
        <v>66502</v>
      </c>
      <c r="C990" s="182">
        <v>58434</v>
      </c>
    </row>
    <row r="991" spans="2:3">
      <c r="B991" s="182">
        <v>66583</v>
      </c>
      <c r="C991" s="182">
        <v>58441</v>
      </c>
    </row>
    <row r="992" spans="2:3">
      <c r="B992" s="182">
        <v>66586</v>
      </c>
      <c r="C992" s="182">
        <v>58459</v>
      </c>
    </row>
    <row r="993" spans="2:3">
      <c r="B993" s="182">
        <v>66635</v>
      </c>
      <c r="C993" s="182">
        <v>58483</v>
      </c>
    </row>
    <row r="994" spans="2:3">
      <c r="B994" s="182">
        <v>66691</v>
      </c>
      <c r="C994" s="182">
        <v>58487</v>
      </c>
    </row>
    <row r="995" spans="2:3">
      <c r="B995" s="182">
        <v>66754</v>
      </c>
      <c r="C995" s="182">
        <v>58592</v>
      </c>
    </row>
    <row r="996" spans="2:3">
      <c r="B996" s="182">
        <v>66835</v>
      </c>
      <c r="C996" s="182">
        <v>58610</v>
      </c>
    </row>
    <row r="997" spans="2:3">
      <c r="B997" s="182">
        <v>66838</v>
      </c>
      <c r="C997" s="182">
        <v>58627</v>
      </c>
    </row>
    <row r="998" spans="2:3">
      <c r="B998" s="182">
        <v>66842</v>
      </c>
      <c r="C998" s="182">
        <v>58690</v>
      </c>
    </row>
    <row r="999" spans="2:3">
      <c r="B999" s="182">
        <v>66867</v>
      </c>
      <c r="C999" s="182">
        <v>58725</v>
      </c>
    </row>
    <row r="1000" spans="2:3">
      <c r="B1000" s="182">
        <v>66933</v>
      </c>
      <c r="C1000" s="182">
        <v>58747</v>
      </c>
    </row>
    <row r="1001" spans="2:3">
      <c r="B1001" s="182">
        <v>66936</v>
      </c>
      <c r="C1001" s="182">
        <v>58756</v>
      </c>
    </row>
    <row r="1002" spans="2:3">
      <c r="B1002" s="182">
        <v>67006</v>
      </c>
      <c r="C1002" s="182">
        <v>58770</v>
      </c>
    </row>
    <row r="1003" spans="2:3">
      <c r="B1003" s="182">
        <v>67055</v>
      </c>
      <c r="C1003" s="182">
        <v>58799</v>
      </c>
    </row>
    <row r="1004" spans="2:3">
      <c r="B1004" s="182">
        <v>67118</v>
      </c>
      <c r="C1004" s="182">
        <v>58806</v>
      </c>
    </row>
    <row r="1005" spans="2:3">
      <c r="B1005" s="182">
        <v>67202</v>
      </c>
      <c r="C1005" s="182">
        <v>58823</v>
      </c>
    </row>
    <row r="1006" spans="2:3">
      <c r="B1006" s="182">
        <v>67203</v>
      </c>
      <c r="C1006" s="182">
        <v>58848</v>
      </c>
    </row>
    <row r="1007" spans="2:3">
      <c r="B1007" s="182">
        <v>67209</v>
      </c>
      <c r="C1007" s="182">
        <v>58852</v>
      </c>
    </row>
    <row r="1008" spans="2:3">
      <c r="B1008" s="182">
        <v>67232</v>
      </c>
      <c r="C1008" s="182">
        <v>58858</v>
      </c>
    </row>
    <row r="1009" spans="2:3">
      <c r="B1009" s="182">
        <v>67290</v>
      </c>
      <c r="C1009" s="182">
        <v>58956</v>
      </c>
    </row>
    <row r="1010" spans="2:3">
      <c r="B1010" s="182">
        <v>67293</v>
      </c>
      <c r="C1010" s="182">
        <v>58977</v>
      </c>
    </row>
    <row r="1011" spans="2:3">
      <c r="B1011" s="182">
        <v>67322</v>
      </c>
      <c r="C1011" s="182">
        <v>58991</v>
      </c>
    </row>
    <row r="1012" spans="2:3">
      <c r="B1012" s="182">
        <v>67370</v>
      </c>
      <c r="C1012" s="182">
        <v>59054</v>
      </c>
    </row>
    <row r="1013" spans="2:3">
      <c r="B1013" s="182">
        <v>67426</v>
      </c>
      <c r="C1013" s="182">
        <v>59089</v>
      </c>
    </row>
    <row r="1014" spans="2:3">
      <c r="B1014" s="182">
        <v>67482</v>
      </c>
      <c r="C1014" s="182">
        <v>59118</v>
      </c>
    </row>
    <row r="1015" spans="2:3">
      <c r="B1015" s="182">
        <v>67566</v>
      </c>
      <c r="C1015" s="182">
        <v>59121</v>
      </c>
    </row>
    <row r="1016" spans="2:3">
      <c r="B1016" s="182">
        <v>67567</v>
      </c>
      <c r="C1016" s="182">
        <v>59134</v>
      </c>
    </row>
    <row r="1017" spans="2:3">
      <c r="B1017" s="182">
        <v>67573</v>
      </c>
      <c r="C1017" s="182">
        <v>59166</v>
      </c>
    </row>
    <row r="1018" spans="2:3">
      <c r="B1018" s="182">
        <v>67598</v>
      </c>
      <c r="C1018" s="182">
        <v>59173</v>
      </c>
    </row>
    <row r="1019" spans="2:3">
      <c r="B1019" s="182">
        <v>67675</v>
      </c>
      <c r="C1019" s="182">
        <v>59187</v>
      </c>
    </row>
    <row r="1020" spans="2:3">
      <c r="B1020" s="182">
        <v>67678</v>
      </c>
      <c r="C1020" s="182">
        <v>59215</v>
      </c>
    </row>
    <row r="1021" spans="2:3">
      <c r="B1021" s="182">
        <v>67687</v>
      </c>
      <c r="C1021" s="182">
        <v>59217</v>
      </c>
    </row>
    <row r="1022" spans="2:3">
      <c r="B1022" s="182">
        <v>67734</v>
      </c>
      <c r="C1022" s="182">
        <v>59222</v>
      </c>
    </row>
    <row r="1023" spans="2:3">
      <c r="B1023" s="182">
        <v>67790</v>
      </c>
      <c r="C1023" s="182">
        <v>59320</v>
      </c>
    </row>
    <row r="1024" spans="2:3">
      <c r="B1024" s="182">
        <v>67846</v>
      </c>
      <c r="C1024" s="182">
        <v>59341</v>
      </c>
    </row>
    <row r="1025" spans="2:3">
      <c r="B1025" s="182">
        <v>67931</v>
      </c>
      <c r="C1025" s="182">
        <v>59356</v>
      </c>
    </row>
    <row r="1026" spans="2:3">
      <c r="B1026" s="182">
        <v>67932</v>
      </c>
      <c r="C1026" s="182">
        <v>59418</v>
      </c>
    </row>
    <row r="1027" spans="2:3">
      <c r="B1027" s="182">
        <v>67938</v>
      </c>
      <c r="C1027" s="182">
        <v>59453</v>
      </c>
    </row>
    <row r="1028" spans="2:3">
      <c r="B1028" s="182">
        <v>67965</v>
      </c>
      <c r="C1028" s="182">
        <v>59482</v>
      </c>
    </row>
    <row r="1029" spans="2:3">
      <c r="B1029" s="182">
        <v>68025</v>
      </c>
      <c r="C1029" s="182">
        <v>59485</v>
      </c>
    </row>
    <row r="1030" spans="2:3">
      <c r="B1030" s="182">
        <v>68028</v>
      </c>
      <c r="C1030" s="182">
        <v>59498</v>
      </c>
    </row>
    <row r="1031" spans="2:3">
      <c r="B1031" s="182">
        <v>68052</v>
      </c>
      <c r="C1031" s="182">
        <v>59530</v>
      </c>
    </row>
    <row r="1032" spans="2:3">
      <c r="B1032" s="182">
        <v>68098</v>
      </c>
      <c r="C1032" s="182">
        <v>59537</v>
      </c>
    </row>
    <row r="1033" spans="2:3">
      <c r="B1033" s="182">
        <v>68154</v>
      </c>
      <c r="C1033" s="182">
        <v>59551</v>
      </c>
    </row>
    <row r="1034" spans="2:3">
      <c r="B1034" s="182">
        <v>68217</v>
      </c>
      <c r="C1034" s="182">
        <v>59579</v>
      </c>
    </row>
    <row r="1035" spans="2:3">
      <c r="B1035" s="182">
        <v>68296</v>
      </c>
      <c r="C1035" s="182">
        <v>59582</v>
      </c>
    </row>
    <row r="1036" spans="2:3">
      <c r="B1036" s="182">
        <v>68297</v>
      </c>
      <c r="C1036" s="182">
        <v>59586</v>
      </c>
    </row>
    <row r="1037" spans="2:3">
      <c r="B1037" s="182">
        <v>68303</v>
      </c>
      <c r="C1037" s="182">
        <v>59684</v>
      </c>
    </row>
    <row r="1038" spans="2:3">
      <c r="B1038" s="182">
        <v>68329</v>
      </c>
      <c r="C1038" s="182">
        <v>59706</v>
      </c>
    </row>
    <row r="1039" spans="2:3">
      <c r="B1039" s="182">
        <v>68410</v>
      </c>
      <c r="C1039" s="182">
        <v>59721</v>
      </c>
    </row>
    <row r="1040" spans="2:3">
      <c r="B1040" s="182">
        <v>68413</v>
      </c>
      <c r="C1040" s="182">
        <v>59782</v>
      </c>
    </row>
    <row r="1041" spans="2:3">
      <c r="B1041" s="182">
        <v>68417</v>
      </c>
      <c r="C1041" s="182">
        <v>59817</v>
      </c>
    </row>
    <row r="1042" spans="2:3">
      <c r="B1042" s="182">
        <v>68462</v>
      </c>
      <c r="C1042" s="182">
        <v>59846</v>
      </c>
    </row>
    <row r="1043" spans="2:3">
      <c r="B1043" s="182">
        <v>68518</v>
      </c>
      <c r="C1043" s="182">
        <v>59852</v>
      </c>
    </row>
    <row r="1044" spans="2:3">
      <c r="B1044" s="182">
        <v>68581</v>
      </c>
      <c r="C1044" s="182">
        <v>59862</v>
      </c>
    </row>
    <row r="1045" spans="2:3">
      <c r="B1045" s="182">
        <v>68661</v>
      </c>
      <c r="C1045" s="182">
        <v>59895</v>
      </c>
    </row>
    <row r="1046" spans="2:3">
      <c r="B1046" s="182">
        <v>68662</v>
      </c>
      <c r="C1046" s="182">
        <v>59902</v>
      </c>
    </row>
    <row r="1047" spans="2:3">
      <c r="B1047" s="182">
        <v>68668</v>
      </c>
      <c r="C1047" s="182">
        <v>59922</v>
      </c>
    </row>
    <row r="1048" spans="2:3">
      <c r="B1048" s="182">
        <v>68693</v>
      </c>
      <c r="C1048" s="182">
        <v>59944</v>
      </c>
    </row>
    <row r="1049" spans="2:3">
      <c r="B1049" s="182">
        <v>68767</v>
      </c>
      <c r="C1049" s="182">
        <v>59947</v>
      </c>
    </row>
    <row r="1050" spans="2:3">
      <c r="B1050" s="182">
        <v>68770</v>
      </c>
      <c r="C1050" s="182">
        <v>59950</v>
      </c>
    </row>
    <row r="1051" spans="2:3">
      <c r="B1051" s="182">
        <v>68833</v>
      </c>
      <c r="C1051" s="182">
        <v>60048</v>
      </c>
    </row>
    <row r="1052" spans="2:3">
      <c r="B1052" s="182">
        <v>68882</v>
      </c>
      <c r="C1052" s="182">
        <v>60072</v>
      </c>
    </row>
    <row r="1053" spans="2:3">
      <c r="B1053" s="182">
        <v>68945</v>
      </c>
      <c r="C1053" s="182">
        <v>60087</v>
      </c>
    </row>
    <row r="1054" spans="2:3">
      <c r="B1054" s="182">
        <v>69029</v>
      </c>
      <c r="C1054" s="182">
        <v>60146</v>
      </c>
    </row>
    <row r="1055" spans="2:3">
      <c r="B1055" s="182">
        <v>69030</v>
      </c>
      <c r="C1055" s="182">
        <v>60188</v>
      </c>
    </row>
    <row r="1056" spans="2:3">
      <c r="B1056" s="182">
        <v>69036</v>
      </c>
      <c r="C1056" s="182">
        <v>60210</v>
      </c>
    </row>
    <row r="1057" spans="2:3">
      <c r="B1057" s="182">
        <v>69059</v>
      </c>
      <c r="C1057" s="182">
        <v>60217</v>
      </c>
    </row>
    <row r="1058" spans="2:3">
      <c r="B1058" s="182">
        <v>69124</v>
      </c>
      <c r="C1058" s="182">
        <v>60233</v>
      </c>
    </row>
    <row r="1059" spans="2:3">
      <c r="B1059" s="182">
        <v>69127</v>
      </c>
      <c r="C1059" s="182">
        <v>60261</v>
      </c>
    </row>
    <row r="1060" spans="2:3">
      <c r="B1060" s="182">
        <v>69148</v>
      </c>
      <c r="C1060" s="182">
        <v>60268</v>
      </c>
    </row>
    <row r="1061" spans="2:3">
      <c r="B1061" s="182">
        <v>69197</v>
      </c>
      <c r="C1061" s="182">
        <v>60286</v>
      </c>
    </row>
    <row r="1062" spans="2:3">
      <c r="B1062" s="182">
        <v>69246</v>
      </c>
      <c r="C1062" s="182">
        <v>60310</v>
      </c>
    </row>
    <row r="1063" spans="2:3">
      <c r="B1063" s="182">
        <v>69309</v>
      </c>
      <c r="C1063" s="182">
        <v>60314</v>
      </c>
    </row>
    <row r="1064" spans="2:3">
      <c r="B1064" s="182">
        <v>69393</v>
      </c>
      <c r="C1064" s="182">
        <v>60412</v>
      </c>
    </row>
    <row r="1065" spans="2:3">
      <c r="B1065" s="182">
        <v>69394</v>
      </c>
      <c r="C1065" s="182">
        <v>60437</v>
      </c>
    </row>
    <row r="1066" spans="2:3">
      <c r="B1066" s="182">
        <v>69400</v>
      </c>
      <c r="C1066" s="182">
        <v>60451</v>
      </c>
    </row>
    <row r="1067" spans="2:3">
      <c r="B1067" s="182">
        <v>69424</v>
      </c>
      <c r="C1067" s="182">
        <v>60517</v>
      </c>
    </row>
    <row r="1068" spans="2:3">
      <c r="B1068" s="182">
        <v>69502</v>
      </c>
      <c r="C1068" s="182">
        <v>60552</v>
      </c>
    </row>
    <row r="1069" spans="2:3">
      <c r="B1069" s="182">
        <v>69505</v>
      </c>
      <c r="C1069" s="182">
        <v>60574</v>
      </c>
    </row>
    <row r="1070" spans="2:3">
      <c r="B1070" s="182">
        <v>69513</v>
      </c>
      <c r="C1070" s="182">
        <v>60582</v>
      </c>
    </row>
    <row r="1071" spans="2:3">
      <c r="B1071" s="182">
        <v>69561</v>
      </c>
      <c r="C1071" s="182">
        <v>60597</v>
      </c>
    </row>
    <row r="1072" spans="2:3">
      <c r="B1072" s="182">
        <v>69617</v>
      </c>
      <c r="C1072" s="182">
        <v>60626</v>
      </c>
    </row>
    <row r="1073" spans="2:3">
      <c r="B1073" s="182">
        <v>69673</v>
      </c>
      <c r="C1073" s="182">
        <v>60633</v>
      </c>
    </row>
    <row r="1074" spans="2:3">
      <c r="B1074" s="182">
        <v>69757</v>
      </c>
      <c r="C1074" s="182">
        <v>60650</v>
      </c>
    </row>
    <row r="1075" spans="2:3">
      <c r="B1075" s="182">
        <v>69758</v>
      </c>
      <c r="C1075" s="182">
        <v>60675</v>
      </c>
    </row>
    <row r="1076" spans="2:3">
      <c r="B1076" s="182">
        <v>69764</v>
      </c>
      <c r="C1076" s="182">
        <v>60678</v>
      </c>
    </row>
    <row r="1077" spans="2:3">
      <c r="B1077" s="182">
        <v>69789</v>
      </c>
      <c r="C1077" s="182">
        <v>60783</v>
      </c>
    </row>
    <row r="1078" spans="2:3">
      <c r="B1078" s="182">
        <v>69859</v>
      </c>
      <c r="C1078" s="182">
        <v>60801</v>
      </c>
    </row>
    <row r="1079" spans="2:3">
      <c r="B1079" s="182">
        <v>69862</v>
      </c>
      <c r="C1079" s="182">
        <v>60818</v>
      </c>
    </row>
    <row r="1080" spans="2:3">
      <c r="B1080" s="182">
        <v>69878</v>
      </c>
      <c r="C1080" s="182">
        <v>60881</v>
      </c>
    </row>
    <row r="1081" spans="2:3">
      <c r="B1081" s="182">
        <v>69925</v>
      </c>
      <c r="C1081" s="182">
        <v>60916</v>
      </c>
    </row>
    <row r="1082" spans="2:3">
      <c r="B1082" s="182">
        <v>69981</v>
      </c>
      <c r="C1082" s="182">
        <v>60938</v>
      </c>
    </row>
    <row r="1083" spans="2:3">
      <c r="B1083" s="182">
        <v>70037</v>
      </c>
      <c r="C1083" s="182">
        <v>60947</v>
      </c>
    </row>
    <row r="1084" spans="2:3">
      <c r="B1084" s="182">
        <v>70122</v>
      </c>
      <c r="C1084" s="182">
        <v>60961</v>
      </c>
    </row>
    <row r="1085" spans="2:3">
      <c r="B1085" s="182">
        <v>70123</v>
      </c>
      <c r="C1085" s="182">
        <v>60990</v>
      </c>
    </row>
    <row r="1086" spans="2:3">
      <c r="B1086" s="182">
        <v>70129</v>
      </c>
      <c r="C1086" s="182">
        <v>60997</v>
      </c>
    </row>
    <row r="1087" spans="2:3">
      <c r="B1087" s="182">
        <v>70156</v>
      </c>
      <c r="C1087" s="182">
        <v>61014</v>
      </c>
    </row>
    <row r="1088" spans="2:3">
      <c r="B1088" s="182">
        <v>70216</v>
      </c>
      <c r="C1088" s="182">
        <v>61039</v>
      </c>
    </row>
    <row r="1089" spans="2:3">
      <c r="B1089" s="182">
        <v>70219</v>
      </c>
      <c r="C1089" s="182">
        <v>61043</v>
      </c>
    </row>
    <row r="1090" spans="2:3">
      <c r="B1090" s="182">
        <v>70244</v>
      </c>
      <c r="C1090" s="182">
        <v>61049</v>
      </c>
    </row>
    <row r="1091" spans="2:3">
      <c r="B1091" s="182">
        <v>70289</v>
      </c>
      <c r="C1091" s="182">
        <v>61147</v>
      </c>
    </row>
    <row r="1092" spans="2:3">
      <c r="B1092" s="182">
        <v>70345</v>
      </c>
      <c r="C1092" s="182">
        <v>61168</v>
      </c>
    </row>
    <row r="1093" spans="2:3">
      <c r="B1093" s="182">
        <v>70408</v>
      </c>
      <c r="C1093" s="182">
        <v>61182</v>
      </c>
    </row>
    <row r="1094" spans="2:3">
      <c r="B1094" s="182">
        <v>70488</v>
      </c>
      <c r="C1094" s="182">
        <v>61245</v>
      </c>
    </row>
    <row r="1095" spans="2:3">
      <c r="B1095" s="182">
        <v>70489</v>
      </c>
      <c r="C1095" s="182">
        <v>61280</v>
      </c>
    </row>
    <row r="1096" spans="2:3">
      <c r="B1096" s="182">
        <v>70495</v>
      </c>
      <c r="C1096" s="182">
        <v>61309</v>
      </c>
    </row>
    <row r="1097" spans="2:3">
      <c r="B1097" s="182">
        <v>70520</v>
      </c>
      <c r="C1097" s="182">
        <v>61312</v>
      </c>
    </row>
    <row r="1098" spans="2:3">
      <c r="B1098" s="182">
        <v>70594</v>
      </c>
      <c r="C1098" s="182">
        <v>61325</v>
      </c>
    </row>
    <row r="1099" spans="2:3">
      <c r="B1099" s="182">
        <v>70597</v>
      </c>
      <c r="C1099" s="182">
        <v>61357</v>
      </c>
    </row>
    <row r="1100" spans="2:3">
      <c r="B1100" s="182">
        <v>70653</v>
      </c>
      <c r="C1100" s="182">
        <v>61364</v>
      </c>
    </row>
    <row r="1101" spans="2:3">
      <c r="B1101" s="182">
        <v>70709</v>
      </c>
      <c r="C1101" s="182">
        <v>61378</v>
      </c>
    </row>
    <row r="1102" spans="2:3">
      <c r="B1102" s="182">
        <v>70772</v>
      </c>
      <c r="C1102" s="182">
        <v>61406</v>
      </c>
    </row>
    <row r="1103" spans="2:3">
      <c r="B1103" s="182">
        <v>70853</v>
      </c>
      <c r="C1103" s="182">
        <v>61408</v>
      </c>
    </row>
    <row r="1104" spans="2:3">
      <c r="B1104" s="182">
        <v>70856</v>
      </c>
      <c r="C1104" s="182">
        <v>61413</v>
      </c>
    </row>
    <row r="1105" spans="2:3">
      <c r="B1105" s="182">
        <v>70860</v>
      </c>
      <c r="C1105" s="182">
        <v>61511</v>
      </c>
    </row>
    <row r="1106" spans="2:3">
      <c r="B1106" s="182">
        <v>70885</v>
      </c>
      <c r="C1106" s="182">
        <v>61533</v>
      </c>
    </row>
    <row r="1107" spans="2:3">
      <c r="B1107" s="182">
        <v>70951</v>
      </c>
      <c r="C1107" s="182">
        <v>61548</v>
      </c>
    </row>
    <row r="1108" spans="2:3">
      <c r="B1108" s="182">
        <v>70954</v>
      </c>
      <c r="C1108" s="182">
        <v>61609</v>
      </c>
    </row>
    <row r="1109" spans="2:3">
      <c r="B1109" s="182">
        <v>71024</v>
      </c>
      <c r="C1109" s="182">
        <v>61644</v>
      </c>
    </row>
    <row r="1110" spans="2:3">
      <c r="B1110" s="182">
        <v>71073</v>
      </c>
      <c r="C1110" s="182">
        <v>61673</v>
      </c>
    </row>
    <row r="1111" spans="2:3">
      <c r="B1111" s="182">
        <v>71136</v>
      </c>
      <c r="C1111" s="182">
        <v>61679</v>
      </c>
    </row>
    <row r="1112" spans="2:3">
      <c r="B1112" s="182">
        <v>71220</v>
      </c>
      <c r="C1112" s="182">
        <v>61689</v>
      </c>
    </row>
    <row r="1113" spans="2:3">
      <c r="B1113" s="182">
        <v>71221</v>
      </c>
      <c r="C1113" s="182">
        <v>61722</v>
      </c>
    </row>
    <row r="1114" spans="2:3">
      <c r="B1114" s="182">
        <v>71227</v>
      </c>
      <c r="C1114" s="182">
        <v>61729</v>
      </c>
    </row>
    <row r="1115" spans="2:3">
      <c r="B1115" s="182">
        <v>71250</v>
      </c>
      <c r="C1115" s="182">
        <v>61749</v>
      </c>
    </row>
    <row r="1116" spans="2:3">
      <c r="B1116" s="182">
        <v>71336</v>
      </c>
      <c r="C1116" s="182">
        <v>61771</v>
      </c>
    </row>
    <row r="1117" spans="2:3">
      <c r="B1117" s="182">
        <v>71339</v>
      </c>
      <c r="C1117" s="182">
        <v>61774</v>
      </c>
    </row>
    <row r="1118" spans="2:3">
      <c r="B1118" s="182">
        <v>71388</v>
      </c>
      <c r="C1118" s="182">
        <v>61777</v>
      </c>
    </row>
    <row r="1119" spans="2:3">
      <c r="B1119" s="182">
        <v>71437</v>
      </c>
      <c r="C1119" s="182">
        <v>61875</v>
      </c>
    </row>
    <row r="1120" spans="2:3">
      <c r="B1120" s="182">
        <v>71500</v>
      </c>
      <c r="C1120" s="182">
        <v>61898</v>
      </c>
    </row>
    <row r="1121" spans="2:3">
      <c r="B1121" s="182">
        <v>71584</v>
      </c>
      <c r="C1121" s="182">
        <v>61913</v>
      </c>
    </row>
    <row r="1122" spans="2:3">
      <c r="B1122" s="182">
        <v>71585</v>
      </c>
      <c r="C1122" s="182">
        <v>61973</v>
      </c>
    </row>
    <row r="1123" spans="2:3">
      <c r="B1123" s="182">
        <v>71591</v>
      </c>
      <c r="C1123" s="182">
        <v>62015</v>
      </c>
    </row>
    <row r="1124" spans="2:3">
      <c r="B1124" s="182">
        <v>71615</v>
      </c>
      <c r="C1124" s="182">
        <v>62037</v>
      </c>
    </row>
    <row r="1125" spans="2:3">
      <c r="B1125" s="182">
        <v>71693</v>
      </c>
      <c r="C1125" s="182">
        <v>62043</v>
      </c>
    </row>
    <row r="1126" spans="2:3">
      <c r="B1126" s="182">
        <v>71696</v>
      </c>
      <c r="C1126" s="182">
        <v>62060</v>
      </c>
    </row>
    <row r="1127" spans="2:3">
      <c r="B1127" s="182">
        <v>71705</v>
      </c>
      <c r="C1127" s="182">
        <v>62087</v>
      </c>
    </row>
    <row r="1128" spans="2:3">
      <c r="B1128" s="182">
        <v>71752</v>
      </c>
      <c r="C1128" s="182">
        <v>62094</v>
      </c>
    </row>
    <row r="1129" spans="2:3">
      <c r="B1129" s="182">
        <v>71808</v>
      </c>
      <c r="C1129" s="182">
        <v>62113</v>
      </c>
    </row>
    <row r="1130" spans="2:3">
      <c r="B1130" s="182">
        <v>71864</v>
      </c>
      <c r="C1130" s="182">
        <v>62136</v>
      </c>
    </row>
    <row r="1131" spans="2:3">
      <c r="B1131" s="182">
        <v>71949</v>
      </c>
      <c r="C1131" s="182">
        <v>62141</v>
      </c>
    </row>
    <row r="1132" spans="2:3">
      <c r="B1132" s="182">
        <v>71950</v>
      </c>
      <c r="C1132" s="182">
        <v>62239</v>
      </c>
    </row>
    <row r="1133" spans="2:3">
      <c r="B1133" s="182">
        <v>71956</v>
      </c>
      <c r="C1133" s="182">
        <v>62263</v>
      </c>
    </row>
    <row r="1134" spans="2:3">
      <c r="B1134" s="182">
        <v>71983</v>
      </c>
      <c r="C1134" s="182">
        <v>62278</v>
      </c>
    </row>
    <row r="1135" spans="2:3">
      <c r="B1135" s="182">
        <v>72043</v>
      </c>
      <c r="C1135" s="182">
        <v>62337</v>
      </c>
    </row>
    <row r="1136" spans="2:3">
      <c r="B1136" s="182">
        <v>72046</v>
      </c>
      <c r="C1136" s="182">
        <v>62379</v>
      </c>
    </row>
    <row r="1137" spans="2:3">
      <c r="B1137" s="182">
        <v>72070</v>
      </c>
      <c r="C1137" s="182">
        <v>62401</v>
      </c>
    </row>
    <row r="1138" spans="2:3">
      <c r="B1138" s="182">
        <v>72116</v>
      </c>
      <c r="C1138" s="182">
        <v>62408</v>
      </c>
    </row>
    <row r="1139" spans="2:3">
      <c r="B1139" s="182">
        <v>72172</v>
      </c>
      <c r="C1139" s="182">
        <v>62424</v>
      </c>
    </row>
    <row r="1140" spans="2:3">
      <c r="B1140" s="182">
        <v>72235</v>
      </c>
      <c r="C1140" s="182">
        <v>62452</v>
      </c>
    </row>
    <row r="1141" spans="2:3">
      <c r="B1141" s="182">
        <v>72314</v>
      </c>
      <c r="C1141" s="182">
        <v>62459</v>
      </c>
    </row>
    <row r="1142" spans="2:3">
      <c r="B1142" s="182">
        <v>72315</v>
      </c>
      <c r="C1142" s="182">
        <v>62477</v>
      </c>
    </row>
    <row r="1143" spans="2:3">
      <c r="B1143" s="182">
        <v>72321</v>
      </c>
      <c r="C1143" s="182">
        <v>62501</v>
      </c>
    </row>
    <row r="1144" spans="2:3">
      <c r="B1144" s="182">
        <v>72347</v>
      </c>
      <c r="C1144" s="182">
        <v>62505</v>
      </c>
    </row>
    <row r="1145" spans="2:3">
      <c r="B1145" s="182">
        <v>72428</v>
      </c>
      <c r="C1145" s="182">
        <v>62603</v>
      </c>
    </row>
    <row r="1146" spans="2:3">
      <c r="B1146" s="182">
        <v>72431</v>
      </c>
      <c r="C1146" s="182">
        <v>62628</v>
      </c>
    </row>
    <row r="1147" spans="2:3">
      <c r="B1147" s="182">
        <v>72435</v>
      </c>
      <c r="C1147" s="182">
        <v>62642</v>
      </c>
    </row>
    <row r="1148" spans="2:3">
      <c r="B1148" s="182">
        <v>72480</v>
      </c>
      <c r="C1148" s="182">
        <v>62708</v>
      </c>
    </row>
    <row r="1149" spans="2:3">
      <c r="B1149" s="182">
        <v>72536</v>
      </c>
      <c r="C1149" s="182">
        <v>62743</v>
      </c>
    </row>
    <row r="1150" spans="2:3">
      <c r="B1150" s="182">
        <v>72599</v>
      </c>
      <c r="C1150" s="182">
        <v>62765</v>
      </c>
    </row>
    <row r="1151" spans="2:3">
      <c r="B1151" s="182">
        <v>72679</v>
      </c>
      <c r="C1151" s="182">
        <v>62773</v>
      </c>
    </row>
    <row r="1152" spans="2:3">
      <c r="B1152" s="182">
        <v>72680</v>
      </c>
      <c r="C1152" s="182">
        <v>62788</v>
      </c>
    </row>
    <row r="1153" spans="2:3">
      <c r="B1153" s="182">
        <v>72686</v>
      </c>
      <c r="C1153" s="182">
        <v>62817</v>
      </c>
    </row>
    <row r="1154" spans="2:3">
      <c r="B1154" s="182">
        <v>72711</v>
      </c>
      <c r="C1154" s="182">
        <v>62824</v>
      </c>
    </row>
    <row r="1155" spans="2:3">
      <c r="B1155" s="182">
        <v>72785</v>
      </c>
      <c r="C1155" s="182">
        <v>62841</v>
      </c>
    </row>
    <row r="1156" spans="2:3">
      <c r="B1156" s="182">
        <v>72788</v>
      </c>
      <c r="C1156" s="182">
        <v>62866</v>
      </c>
    </row>
    <row r="1157" spans="2:3">
      <c r="B1157" s="182">
        <v>72844</v>
      </c>
      <c r="C1157" s="182">
        <v>62869</v>
      </c>
    </row>
    <row r="1158" spans="2:3">
      <c r="B1158" s="182">
        <v>72900</v>
      </c>
      <c r="C1158" s="182">
        <v>62974</v>
      </c>
    </row>
    <row r="1159" spans="2:3">
      <c r="B1159" s="182">
        <v>72963</v>
      </c>
      <c r="C1159" s="182">
        <v>62995</v>
      </c>
    </row>
    <row r="1160" spans="2:3">
      <c r="B1160" s="182">
        <v>73044</v>
      </c>
      <c r="C1160" s="182">
        <v>63009</v>
      </c>
    </row>
    <row r="1161" spans="2:3">
      <c r="B1161" s="182">
        <v>73047</v>
      </c>
      <c r="C1161" s="182">
        <v>63072</v>
      </c>
    </row>
    <row r="1162" spans="2:3">
      <c r="C1162" s="182">
        <v>63107</v>
      </c>
    </row>
    <row r="1163" spans="2:3">
      <c r="C1163" s="182">
        <v>63136</v>
      </c>
    </row>
    <row r="1164" spans="2:3">
      <c r="C1164" s="182">
        <v>63139</v>
      </c>
    </row>
    <row r="1165" spans="2:3">
      <c r="C1165" s="182">
        <v>63152</v>
      </c>
    </row>
    <row r="1166" spans="2:3">
      <c r="C1166" s="182">
        <v>63184</v>
      </c>
    </row>
    <row r="1167" spans="2:3">
      <c r="C1167" s="182">
        <v>63191</v>
      </c>
    </row>
    <row r="1168" spans="2:3">
      <c r="C1168" s="182">
        <v>63205</v>
      </c>
    </row>
    <row r="1169" spans="3:3">
      <c r="C1169" s="182">
        <v>63233</v>
      </c>
    </row>
    <row r="1170" spans="3:3">
      <c r="C1170" s="182">
        <v>63235</v>
      </c>
    </row>
    <row r="1171" spans="3:3">
      <c r="C1171" s="182">
        <v>63240</v>
      </c>
    </row>
    <row r="1172" spans="3:3">
      <c r="C1172" s="182">
        <v>63338</v>
      </c>
    </row>
    <row r="1173" spans="3:3">
      <c r="C1173" s="182">
        <v>63359</v>
      </c>
    </row>
    <row r="1174" spans="3:3">
      <c r="C1174" s="182">
        <v>63374</v>
      </c>
    </row>
    <row r="1175" spans="3:3">
      <c r="C1175" s="182">
        <v>63436</v>
      </c>
    </row>
    <row r="1176" spans="3:3">
      <c r="C1176" s="182">
        <v>63471</v>
      </c>
    </row>
    <row r="1177" spans="3:3">
      <c r="C1177" s="182">
        <v>63500</v>
      </c>
    </row>
    <row r="1178" spans="3:3">
      <c r="C1178" s="182">
        <v>63503</v>
      </c>
    </row>
    <row r="1179" spans="3:3">
      <c r="C1179" s="182">
        <v>63516</v>
      </c>
    </row>
    <row r="1180" spans="3:3">
      <c r="C1180" s="182">
        <v>63548</v>
      </c>
    </row>
    <row r="1181" spans="3:3">
      <c r="C1181" s="182">
        <v>63555</v>
      </c>
    </row>
    <row r="1182" spans="3:3">
      <c r="C1182" s="182">
        <v>63569</v>
      </c>
    </row>
    <row r="1183" spans="3:3">
      <c r="C1183" s="182">
        <v>63597</v>
      </c>
    </row>
    <row r="1184" spans="3:3">
      <c r="C1184" s="182">
        <v>63600</v>
      </c>
    </row>
    <row r="1185" spans="3:3">
      <c r="C1185" s="182">
        <v>63604</v>
      </c>
    </row>
    <row r="1186" spans="3:3">
      <c r="C1186" s="182">
        <v>63702</v>
      </c>
    </row>
    <row r="1187" spans="3:3">
      <c r="C1187" s="182">
        <v>63724</v>
      </c>
    </row>
    <row r="1188" spans="3:3">
      <c r="C1188" s="182">
        <v>63739</v>
      </c>
    </row>
    <row r="1189" spans="3:3">
      <c r="C1189" s="182">
        <v>63800</v>
      </c>
    </row>
    <row r="1190" spans="3:3">
      <c r="C1190" s="182">
        <v>63835</v>
      </c>
    </row>
    <row r="1191" spans="3:3">
      <c r="C1191" s="182">
        <v>63864</v>
      </c>
    </row>
    <row r="1192" spans="3:3">
      <c r="C1192" s="182">
        <v>63870</v>
      </c>
    </row>
    <row r="1193" spans="3:3">
      <c r="C1193" s="182">
        <v>63880</v>
      </c>
    </row>
    <row r="1194" spans="3:3">
      <c r="C1194" s="182">
        <v>63913</v>
      </c>
    </row>
    <row r="1195" spans="3:3">
      <c r="C1195" s="182">
        <v>63920</v>
      </c>
    </row>
    <row r="1196" spans="3:3">
      <c r="C1196" s="182">
        <v>63940</v>
      </c>
    </row>
    <row r="1197" spans="3:3">
      <c r="C1197" s="182">
        <v>63962</v>
      </c>
    </row>
    <row r="1198" spans="3:3">
      <c r="C1198" s="182">
        <v>63965</v>
      </c>
    </row>
    <row r="1199" spans="3:3">
      <c r="C1199" s="182">
        <v>63968</v>
      </c>
    </row>
    <row r="1200" spans="3:3">
      <c r="C1200" s="182">
        <v>64066</v>
      </c>
    </row>
    <row r="1201" spans="3:3">
      <c r="C1201" s="182">
        <v>64089</v>
      </c>
    </row>
    <row r="1202" spans="3:3">
      <c r="C1202" s="182">
        <v>64104</v>
      </c>
    </row>
    <row r="1203" spans="3:3">
      <c r="C1203" s="182">
        <v>64164</v>
      </c>
    </row>
    <row r="1204" spans="3:3">
      <c r="C1204" s="182">
        <v>64206</v>
      </c>
    </row>
    <row r="1205" spans="3:3">
      <c r="C1205" s="182">
        <v>64228</v>
      </c>
    </row>
    <row r="1206" spans="3:3">
      <c r="C1206" s="182">
        <v>64234</v>
      </c>
    </row>
    <row r="1207" spans="3:3">
      <c r="C1207" s="182">
        <v>64251</v>
      </c>
    </row>
    <row r="1208" spans="3:3">
      <c r="C1208" s="182">
        <v>64278</v>
      </c>
    </row>
    <row r="1209" spans="3:3">
      <c r="C1209" s="182">
        <v>64285</v>
      </c>
    </row>
    <row r="1210" spans="3:3">
      <c r="C1210" s="182">
        <v>64304</v>
      </c>
    </row>
    <row r="1211" spans="3:3">
      <c r="C1211" s="182">
        <v>64327</v>
      </c>
    </row>
    <row r="1212" spans="3:3">
      <c r="C1212" s="182">
        <v>64332</v>
      </c>
    </row>
    <row r="1213" spans="3:3">
      <c r="C1213" s="182">
        <v>64430</v>
      </c>
    </row>
    <row r="1214" spans="3:3">
      <c r="C1214" s="182">
        <v>64455</v>
      </c>
    </row>
    <row r="1215" spans="3:3">
      <c r="C1215" s="182">
        <v>64469</v>
      </c>
    </row>
    <row r="1216" spans="3:3">
      <c r="C1216" s="182">
        <v>64535</v>
      </c>
    </row>
    <row r="1217" spans="3:3">
      <c r="C1217" s="182">
        <v>64570</v>
      </c>
    </row>
    <row r="1218" spans="3:3">
      <c r="C1218" s="182">
        <v>64592</v>
      </c>
    </row>
    <row r="1219" spans="3:3">
      <c r="C1219" s="182">
        <v>64600</v>
      </c>
    </row>
    <row r="1220" spans="3:3">
      <c r="C1220" s="182">
        <v>64615</v>
      </c>
    </row>
    <row r="1221" spans="3:3">
      <c r="C1221" s="182">
        <v>64644</v>
      </c>
    </row>
    <row r="1222" spans="3:3">
      <c r="C1222" s="182">
        <v>64651</v>
      </c>
    </row>
    <row r="1223" spans="3:3">
      <c r="C1223" s="182">
        <v>64668</v>
      </c>
    </row>
    <row r="1224" spans="3:3">
      <c r="C1224" s="182">
        <v>64693</v>
      </c>
    </row>
    <row r="1225" spans="3:3">
      <c r="C1225" s="182">
        <v>64696</v>
      </c>
    </row>
    <row r="1226" spans="3:3">
      <c r="C1226" s="182">
        <v>64801</v>
      </c>
    </row>
    <row r="1227" spans="3:3">
      <c r="C1227" s="182">
        <v>64819</v>
      </c>
    </row>
    <row r="1228" spans="3:3">
      <c r="C1228" s="182">
        <v>64836</v>
      </c>
    </row>
    <row r="1229" spans="3:3">
      <c r="C1229" s="182">
        <v>64899</v>
      </c>
    </row>
    <row r="1230" spans="3:3">
      <c r="C1230" s="182">
        <v>64934</v>
      </c>
    </row>
    <row r="1231" spans="3:3">
      <c r="C1231" s="182">
        <v>64956</v>
      </c>
    </row>
    <row r="1232" spans="3:3">
      <c r="C1232" s="182">
        <v>64965</v>
      </c>
    </row>
    <row r="1233" spans="3:3">
      <c r="C1233" s="182">
        <v>64979</v>
      </c>
    </row>
    <row r="1234" spans="3:3">
      <c r="C1234" s="182">
        <v>65008</v>
      </c>
    </row>
    <row r="1235" spans="3:3">
      <c r="C1235" s="182">
        <v>65015</v>
      </c>
    </row>
    <row r="1236" spans="3:3">
      <c r="C1236" s="182">
        <v>65032</v>
      </c>
    </row>
    <row r="1237" spans="3:3">
      <c r="C1237" s="182">
        <v>65057</v>
      </c>
    </row>
    <row r="1238" spans="3:3">
      <c r="C1238" s="182">
        <v>65061</v>
      </c>
    </row>
    <row r="1239" spans="3:3">
      <c r="C1239" s="182">
        <v>65067</v>
      </c>
    </row>
    <row r="1240" spans="3:3">
      <c r="C1240" s="182">
        <v>65165</v>
      </c>
    </row>
    <row r="1241" spans="3:3">
      <c r="C1241" s="182">
        <v>65186</v>
      </c>
    </row>
    <row r="1242" spans="3:3">
      <c r="C1242" s="182">
        <v>65200</v>
      </c>
    </row>
    <row r="1243" spans="3:3">
      <c r="C1243" s="182">
        <v>65263</v>
      </c>
    </row>
    <row r="1244" spans="3:3">
      <c r="C1244" s="182">
        <v>65298</v>
      </c>
    </row>
    <row r="1245" spans="3:3">
      <c r="C1245" s="182">
        <v>65327</v>
      </c>
    </row>
    <row r="1246" spans="3:3">
      <c r="C1246" s="182">
        <v>65330</v>
      </c>
    </row>
    <row r="1247" spans="3:3">
      <c r="C1247" s="182">
        <v>65343</v>
      </c>
    </row>
    <row r="1248" spans="3:3">
      <c r="C1248" s="182">
        <v>65375</v>
      </c>
    </row>
    <row r="1249" spans="3:3">
      <c r="C1249" s="182">
        <v>65382</v>
      </c>
    </row>
    <row r="1250" spans="3:3">
      <c r="C1250" s="182">
        <v>65396</v>
      </c>
    </row>
    <row r="1251" spans="3:3">
      <c r="C1251" s="182">
        <v>65424</v>
      </c>
    </row>
    <row r="1252" spans="3:3">
      <c r="C1252" s="182">
        <v>65426</v>
      </c>
    </row>
    <row r="1253" spans="3:3">
      <c r="C1253" s="182">
        <v>65431</v>
      </c>
    </row>
    <row r="1254" spans="3:3">
      <c r="C1254" s="182">
        <v>65529</v>
      </c>
    </row>
    <row r="1255" spans="3:3">
      <c r="C1255" s="182">
        <v>65550</v>
      </c>
    </row>
    <row r="1256" spans="3:3">
      <c r="C1256" s="182">
        <v>65565</v>
      </c>
    </row>
    <row r="1257" spans="3:3">
      <c r="C1257" s="182">
        <v>65627</v>
      </c>
    </row>
    <row r="1258" spans="3:3">
      <c r="C1258" s="182">
        <v>65662</v>
      </c>
    </row>
    <row r="1259" spans="3:3">
      <c r="C1259" s="182">
        <v>65691</v>
      </c>
    </row>
    <row r="1260" spans="3:3">
      <c r="C1260" s="182">
        <v>65694</v>
      </c>
    </row>
    <row r="1261" spans="3:3">
      <c r="C1261" s="182">
        <v>65707</v>
      </c>
    </row>
    <row r="1262" spans="3:3">
      <c r="C1262" s="182">
        <v>65739</v>
      </c>
    </row>
    <row r="1263" spans="3:3">
      <c r="C1263" s="182">
        <v>65746</v>
      </c>
    </row>
    <row r="1264" spans="3:3">
      <c r="C1264" s="182">
        <v>65760</v>
      </c>
    </row>
    <row r="1265" spans="3:3">
      <c r="C1265" s="182">
        <v>65788</v>
      </c>
    </row>
    <row r="1266" spans="3:3">
      <c r="C1266" s="182">
        <v>65791</v>
      </c>
    </row>
    <row r="1267" spans="3:3">
      <c r="C1267" s="182">
        <v>65795</v>
      </c>
    </row>
    <row r="1268" spans="3:3">
      <c r="C1268" s="182">
        <v>65893</v>
      </c>
    </row>
    <row r="1269" spans="3:3">
      <c r="C1269" s="182">
        <v>65916</v>
      </c>
    </row>
    <row r="1270" spans="3:3">
      <c r="C1270" s="182">
        <v>65931</v>
      </c>
    </row>
    <row r="1271" spans="3:3">
      <c r="C1271" s="182">
        <v>65991</v>
      </c>
    </row>
    <row r="1272" spans="3:3">
      <c r="C1272" s="182">
        <v>66033</v>
      </c>
    </row>
    <row r="1273" spans="3:3">
      <c r="C1273" s="182">
        <v>66055</v>
      </c>
    </row>
    <row r="1274" spans="3:3">
      <c r="C1274" s="182">
        <v>66061</v>
      </c>
    </row>
    <row r="1275" spans="3:3">
      <c r="C1275" s="182">
        <v>66078</v>
      </c>
    </row>
    <row r="1276" spans="3:3">
      <c r="C1276" s="182">
        <v>66105</v>
      </c>
    </row>
    <row r="1277" spans="3:3">
      <c r="C1277" s="182">
        <v>66112</v>
      </c>
    </row>
    <row r="1278" spans="3:3">
      <c r="C1278" s="182">
        <v>66131</v>
      </c>
    </row>
    <row r="1279" spans="3:3">
      <c r="C1279" s="182">
        <v>66154</v>
      </c>
    </row>
    <row r="1280" spans="3:3">
      <c r="C1280" s="182">
        <v>66159</v>
      </c>
    </row>
    <row r="1281" spans="3:3">
      <c r="C1281" s="182">
        <v>66257</v>
      </c>
    </row>
    <row r="1282" spans="3:3">
      <c r="C1282" s="182">
        <v>66281</v>
      </c>
    </row>
    <row r="1283" spans="3:3">
      <c r="C1283" s="182">
        <v>66296</v>
      </c>
    </row>
    <row r="1284" spans="3:3">
      <c r="C1284" s="182">
        <v>66355</v>
      </c>
    </row>
    <row r="1285" spans="3:3">
      <c r="C1285" s="182">
        <v>66397</v>
      </c>
    </row>
    <row r="1286" spans="3:3">
      <c r="C1286" s="182">
        <v>66419</v>
      </c>
    </row>
    <row r="1287" spans="3:3">
      <c r="C1287" s="182">
        <v>66426</v>
      </c>
    </row>
    <row r="1288" spans="3:3">
      <c r="C1288" s="182">
        <v>66442</v>
      </c>
    </row>
    <row r="1289" spans="3:3">
      <c r="C1289" s="182">
        <v>66470</v>
      </c>
    </row>
    <row r="1290" spans="3:3">
      <c r="C1290" s="182">
        <v>66477</v>
      </c>
    </row>
    <row r="1291" spans="3:3">
      <c r="C1291" s="182">
        <v>66495</v>
      </c>
    </row>
    <row r="1292" spans="3:3">
      <c r="C1292" s="182">
        <v>66519</v>
      </c>
    </row>
    <row r="1293" spans="3:3">
      <c r="C1293" s="182">
        <v>66523</v>
      </c>
    </row>
    <row r="1294" spans="3:3">
      <c r="C1294" s="182">
        <v>66621</v>
      </c>
    </row>
    <row r="1295" spans="3:3">
      <c r="C1295" s="182">
        <v>66646</v>
      </c>
    </row>
    <row r="1296" spans="3:3">
      <c r="C1296" s="182">
        <v>66660</v>
      </c>
    </row>
    <row r="1297" spans="3:3">
      <c r="C1297" s="182">
        <v>66726</v>
      </c>
    </row>
    <row r="1298" spans="3:3">
      <c r="C1298" s="182">
        <v>66761</v>
      </c>
    </row>
    <row r="1299" spans="3:3">
      <c r="C1299" s="182">
        <v>66783</v>
      </c>
    </row>
    <row r="1300" spans="3:3">
      <c r="C1300" s="182">
        <v>66791</v>
      </c>
    </row>
    <row r="1301" spans="3:3">
      <c r="C1301" s="182">
        <v>66806</v>
      </c>
    </row>
    <row r="1302" spans="3:3">
      <c r="C1302" s="182">
        <v>66835</v>
      </c>
    </row>
    <row r="1303" spans="3:3">
      <c r="C1303" s="182">
        <v>66842</v>
      </c>
    </row>
    <row r="1304" spans="3:3">
      <c r="C1304" s="182">
        <v>66859</v>
      </c>
    </row>
    <row r="1305" spans="3:3">
      <c r="C1305" s="182">
        <v>66884</v>
      </c>
    </row>
    <row r="1306" spans="3:3">
      <c r="C1306" s="182">
        <v>66887</v>
      </c>
    </row>
    <row r="1307" spans="3:3">
      <c r="C1307" s="182">
        <v>66992</v>
      </c>
    </row>
    <row r="1308" spans="3:3">
      <c r="C1308" s="182">
        <v>67010</v>
      </c>
    </row>
    <row r="1309" spans="3:3">
      <c r="C1309" s="182">
        <v>67027</v>
      </c>
    </row>
    <row r="1310" spans="3:3">
      <c r="C1310" s="182">
        <v>67090</v>
      </c>
    </row>
    <row r="1311" spans="3:3">
      <c r="C1311" s="182">
        <v>67125</v>
      </c>
    </row>
    <row r="1312" spans="3:3">
      <c r="C1312" s="182">
        <v>67147</v>
      </c>
    </row>
    <row r="1313" spans="3:3">
      <c r="C1313" s="182">
        <v>67156</v>
      </c>
    </row>
    <row r="1314" spans="3:3">
      <c r="C1314" s="182">
        <v>67170</v>
      </c>
    </row>
    <row r="1315" spans="3:3">
      <c r="C1315" s="182">
        <v>67199</v>
      </c>
    </row>
    <row r="1316" spans="3:3">
      <c r="C1316" s="182">
        <v>67206</v>
      </c>
    </row>
    <row r="1317" spans="3:3">
      <c r="C1317" s="182">
        <v>67223</v>
      </c>
    </row>
    <row r="1318" spans="3:3">
      <c r="C1318" s="182">
        <v>67248</v>
      </c>
    </row>
    <row r="1319" spans="3:3">
      <c r="C1319" s="182">
        <v>67252</v>
      </c>
    </row>
    <row r="1320" spans="3:3">
      <c r="C1320" s="182">
        <v>67258</v>
      </c>
    </row>
    <row r="1321" spans="3:3">
      <c r="C1321" s="182">
        <v>67356</v>
      </c>
    </row>
    <row r="1322" spans="3:3">
      <c r="C1322" s="182">
        <v>67377</v>
      </c>
    </row>
    <row r="1323" spans="3:3">
      <c r="C1323" s="182">
        <v>67392</v>
      </c>
    </row>
    <row r="1324" spans="3:3">
      <c r="C1324" s="182">
        <v>67454</v>
      </c>
    </row>
    <row r="1325" spans="3:3">
      <c r="C1325" s="182">
        <v>67489</v>
      </c>
    </row>
    <row r="1326" spans="3:3">
      <c r="C1326" s="182">
        <v>67518</v>
      </c>
    </row>
    <row r="1327" spans="3:3">
      <c r="C1327" s="182">
        <v>67521</v>
      </c>
    </row>
    <row r="1328" spans="3:3">
      <c r="C1328" s="182">
        <v>67534</v>
      </c>
    </row>
    <row r="1329" spans="3:3">
      <c r="C1329" s="182">
        <v>67566</v>
      </c>
    </row>
    <row r="1330" spans="3:3">
      <c r="C1330" s="182">
        <v>67573</v>
      </c>
    </row>
    <row r="1331" spans="3:3">
      <c r="C1331" s="182">
        <v>67587</v>
      </c>
    </row>
    <row r="1332" spans="3:3">
      <c r="C1332" s="182">
        <v>67615</v>
      </c>
    </row>
    <row r="1333" spans="3:3">
      <c r="C1333" s="182">
        <v>67618</v>
      </c>
    </row>
    <row r="1334" spans="3:3">
      <c r="C1334" s="182">
        <v>67622</v>
      </c>
    </row>
    <row r="1335" spans="3:3">
      <c r="C1335" s="182">
        <v>67720</v>
      </c>
    </row>
    <row r="1336" spans="3:3">
      <c r="C1336" s="182">
        <v>67742</v>
      </c>
    </row>
    <row r="1337" spans="3:3">
      <c r="C1337" s="182">
        <v>67757</v>
      </c>
    </row>
    <row r="1338" spans="3:3">
      <c r="C1338" s="182">
        <v>67818</v>
      </c>
    </row>
    <row r="1339" spans="3:3">
      <c r="C1339" s="182">
        <v>67853</v>
      </c>
    </row>
    <row r="1340" spans="3:3">
      <c r="C1340" s="182">
        <v>67882</v>
      </c>
    </row>
    <row r="1341" spans="3:3">
      <c r="C1341" s="182">
        <v>67888</v>
      </c>
    </row>
    <row r="1342" spans="3:3">
      <c r="C1342" s="182">
        <v>67898</v>
      </c>
    </row>
    <row r="1343" spans="3:3">
      <c r="C1343" s="182">
        <v>67931</v>
      </c>
    </row>
    <row r="1344" spans="3:3">
      <c r="C1344" s="182">
        <v>67938</v>
      </c>
    </row>
    <row r="1345" spans="3:3">
      <c r="C1345" s="182">
        <v>67958</v>
      </c>
    </row>
    <row r="1346" spans="3:3">
      <c r="C1346" s="182">
        <v>67980</v>
      </c>
    </row>
    <row r="1347" spans="3:3">
      <c r="C1347" s="182">
        <v>67983</v>
      </c>
    </row>
    <row r="1348" spans="3:3">
      <c r="C1348" s="182">
        <v>67986</v>
      </c>
    </row>
    <row r="1349" spans="3:3">
      <c r="C1349" s="182">
        <v>68084</v>
      </c>
    </row>
    <row r="1350" spans="3:3">
      <c r="C1350" s="182">
        <v>68107</v>
      </c>
    </row>
    <row r="1351" spans="3:3">
      <c r="C1351" s="182">
        <v>68122</v>
      </c>
    </row>
    <row r="1352" spans="3:3">
      <c r="C1352" s="182">
        <v>68182</v>
      </c>
    </row>
    <row r="1353" spans="3:3">
      <c r="C1353" s="182">
        <v>68224</v>
      </c>
    </row>
    <row r="1354" spans="3:3">
      <c r="C1354" s="182">
        <v>68246</v>
      </c>
    </row>
    <row r="1355" spans="3:3">
      <c r="C1355" s="182">
        <v>68252</v>
      </c>
    </row>
    <row r="1356" spans="3:3">
      <c r="C1356" s="182">
        <v>68269</v>
      </c>
    </row>
    <row r="1357" spans="3:3">
      <c r="C1357" s="182">
        <v>68296</v>
      </c>
    </row>
    <row r="1358" spans="3:3">
      <c r="C1358" s="182">
        <v>68303</v>
      </c>
    </row>
    <row r="1359" spans="3:3">
      <c r="C1359" s="182">
        <v>68322</v>
      </c>
    </row>
    <row r="1360" spans="3:3">
      <c r="C1360" s="182">
        <v>68345</v>
      </c>
    </row>
    <row r="1361" spans="3:3">
      <c r="C1361" s="182">
        <v>68350</v>
      </c>
    </row>
    <row r="1362" spans="3:3">
      <c r="C1362" s="182">
        <v>68448</v>
      </c>
    </row>
    <row r="1363" spans="3:3">
      <c r="C1363" s="182">
        <v>68472</v>
      </c>
    </row>
    <row r="1364" spans="3:3">
      <c r="C1364" s="182">
        <v>68487</v>
      </c>
    </row>
    <row r="1365" spans="3:3">
      <c r="C1365" s="182">
        <v>68546</v>
      </c>
    </row>
    <row r="1366" spans="3:3">
      <c r="C1366" s="182">
        <v>68588</v>
      </c>
    </row>
    <row r="1367" spans="3:3">
      <c r="C1367" s="182">
        <v>68610</v>
      </c>
    </row>
    <row r="1368" spans="3:3">
      <c r="C1368" s="182">
        <v>68617</v>
      </c>
    </row>
    <row r="1369" spans="3:3">
      <c r="C1369" s="182">
        <v>68633</v>
      </c>
    </row>
    <row r="1370" spans="3:3">
      <c r="C1370" s="182">
        <v>68661</v>
      </c>
    </row>
    <row r="1371" spans="3:3">
      <c r="C1371" s="182">
        <v>68668</v>
      </c>
    </row>
    <row r="1372" spans="3:3">
      <c r="C1372" s="182">
        <v>68686</v>
      </c>
    </row>
    <row r="1373" spans="3:3">
      <c r="C1373" s="182">
        <v>68710</v>
      </c>
    </row>
    <row r="1374" spans="3:3">
      <c r="C1374" s="182">
        <v>68714</v>
      </c>
    </row>
    <row r="1375" spans="3:3">
      <c r="C1375" s="182">
        <v>68819</v>
      </c>
    </row>
    <row r="1376" spans="3:3">
      <c r="C1376" s="182">
        <v>68837</v>
      </c>
    </row>
    <row r="1377" spans="3:3">
      <c r="C1377" s="182">
        <v>68854</v>
      </c>
    </row>
    <row r="1378" spans="3:3">
      <c r="C1378" s="182">
        <v>68917</v>
      </c>
    </row>
    <row r="1379" spans="3:3">
      <c r="C1379" s="182">
        <v>68952</v>
      </c>
    </row>
    <row r="1380" spans="3:3">
      <c r="C1380" s="182">
        <v>68974</v>
      </c>
    </row>
    <row r="1381" spans="3:3">
      <c r="C1381" s="182">
        <v>68983</v>
      </c>
    </row>
    <row r="1382" spans="3:3">
      <c r="C1382" s="182">
        <v>68997</v>
      </c>
    </row>
    <row r="1383" spans="3:3">
      <c r="C1383" s="182">
        <v>69026</v>
      </c>
    </row>
    <row r="1384" spans="3:3">
      <c r="C1384" s="182">
        <v>69033</v>
      </c>
    </row>
    <row r="1385" spans="3:3">
      <c r="C1385" s="182">
        <v>69050</v>
      </c>
    </row>
    <row r="1386" spans="3:3">
      <c r="C1386" s="182">
        <v>69075</v>
      </c>
    </row>
    <row r="1387" spans="3:3">
      <c r="C1387" s="182">
        <v>69079</v>
      </c>
    </row>
    <row r="1388" spans="3:3">
      <c r="C1388" s="182">
        <v>69085</v>
      </c>
    </row>
    <row r="1389" spans="3:3">
      <c r="C1389" s="182">
        <v>69183</v>
      </c>
    </row>
    <row r="1390" spans="3:3">
      <c r="C1390" s="182">
        <v>69204</v>
      </c>
    </row>
    <row r="1391" spans="3:3">
      <c r="C1391" s="182">
        <v>69218</v>
      </c>
    </row>
    <row r="1392" spans="3:3">
      <c r="C1392" s="182">
        <v>69281</v>
      </c>
    </row>
    <row r="1393" spans="3:3">
      <c r="C1393" s="182">
        <v>69316</v>
      </c>
    </row>
    <row r="1394" spans="3:3">
      <c r="C1394" s="182">
        <v>69345</v>
      </c>
    </row>
    <row r="1395" spans="3:3">
      <c r="C1395" s="182">
        <v>69348</v>
      </c>
    </row>
    <row r="1396" spans="3:3">
      <c r="C1396" s="182">
        <v>69361</v>
      </c>
    </row>
    <row r="1397" spans="3:3">
      <c r="C1397" s="182">
        <v>69393</v>
      </c>
    </row>
    <row r="1398" spans="3:3">
      <c r="C1398" s="182">
        <v>69400</v>
      </c>
    </row>
    <row r="1399" spans="3:3">
      <c r="C1399" s="182">
        <v>69414</v>
      </c>
    </row>
    <row r="1400" spans="3:3">
      <c r="C1400" s="182">
        <v>69442</v>
      </c>
    </row>
    <row r="1401" spans="3:3">
      <c r="C1401" s="182">
        <v>69444</v>
      </c>
    </row>
    <row r="1402" spans="3:3">
      <c r="C1402" s="182">
        <v>69449</v>
      </c>
    </row>
    <row r="1403" spans="3:3">
      <c r="C1403" s="182">
        <v>69547</v>
      </c>
    </row>
    <row r="1404" spans="3:3">
      <c r="C1404" s="182">
        <v>69568</v>
      </c>
    </row>
    <row r="1405" spans="3:3">
      <c r="C1405" s="182">
        <v>69583</v>
      </c>
    </row>
    <row r="1406" spans="3:3">
      <c r="C1406" s="182">
        <v>69645</v>
      </c>
    </row>
    <row r="1407" spans="3:3">
      <c r="C1407" s="182">
        <v>69680</v>
      </c>
    </row>
    <row r="1408" spans="3:3">
      <c r="C1408" s="182">
        <v>69709</v>
      </c>
    </row>
    <row r="1409" spans="3:3">
      <c r="C1409" s="182">
        <v>69712</v>
      </c>
    </row>
    <row r="1410" spans="3:3">
      <c r="C1410" s="182">
        <v>69725</v>
      </c>
    </row>
    <row r="1411" spans="3:3">
      <c r="C1411" s="182">
        <v>69757</v>
      </c>
    </row>
    <row r="1412" spans="3:3">
      <c r="C1412" s="182">
        <v>69764</v>
      </c>
    </row>
    <row r="1413" spans="3:3">
      <c r="C1413" s="182">
        <v>69778</v>
      </c>
    </row>
    <row r="1414" spans="3:3">
      <c r="C1414" s="182">
        <v>69806</v>
      </c>
    </row>
    <row r="1415" spans="3:3">
      <c r="C1415" s="182">
        <v>69809</v>
      </c>
    </row>
    <row r="1416" spans="3:3">
      <c r="C1416" s="182">
        <v>69813</v>
      </c>
    </row>
    <row r="1417" spans="3:3">
      <c r="C1417" s="182">
        <v>69911</v>
      </c>
    </row>
    <row r="1418" spans="3:3">
      <c r="C1418" s="182">
        <v>69933</v>
      </c>
    </row>
    <row r="1419" spans="3:3">
      <c r="C1419" s="182">
        <v>69948</v>
      </c>
    </row>
    <row r="1420" spans="3:3">
      <c r="C1420" s="182">
        <v>70009</v>
      </c>
    </row>
    <row r="1421" spans="3:3">
      <c r="C1421" s="182">
        <v>70044</v>
      </c>
    </row>
    <row r="1422" spans="3:3">
      <c r="C1422" s="182">
        <v>70073</v>
      </c>
    </row>
    <row r="1423" spans="3:3">
      <c r="C1423" s="182">
        <v>70079</v>
      </c>
    </row>
    <row r="1424" spans="3:3">
      <c r="C1424" s="182">
        <v>70089</v>
      </c>
    </row>
    <row r="1425" spans="3:3">
      <c r="C1425" s="182">
        <v>70122</v>
      </c>
    </row>
    <row r="1426" spans="3:3">
      <c r="C1426" s="182">
        <v>70129</v>
      </c>
    </row>
    <row r="1427" spans="3:3">
      <c r="C1427" s="182">
        <v>70149</v>
      </c>
    </row>
    <row r="1428" spans="3:3">
      <c r="C1428" s="182">
        <v>70171</v>
      </c>
    </row>
    <row r="1429" spans="3:3">
      <c r="C1429" s="182">
        <v>70174</v>
      </c>
    </row>
    <row r="1430" spans="3:3">
      <c r="C1430" s="182">
        <v>70177</v>
      </c>
    </row>
    <row r="1431" spans="3:3">
      <c r="C1431" s="182">
        <v>70275</v>
      </c>
    </row>
    <row r="1432" spans="3:3">
      <c r="C1432" s="182">
        <v>70299</v>
      </c>
    </row>
    <row r="1433" spans="3:3">
      <c r="C1433" s="182">
        <v>70314</v>
      </c>
    </row>
    <row r="1434" spans="3:3">
      <c r="C1434" s="182">
        <v>70373</v>
      </c>
    </row>
    <row r="1435" spans="3:3">
      <c r="C1435" s="182">
        <v>70415</v>
      </c>
    </row>
    <row r="1436" spans="3:3">
      <c r="C1436" s="182">
        <v>70437</v>
      </c>
    </row>
    <row r="1437" spans="3:3">
      <c r="C1437" s="182">
        <v>70444</v>
      </c>
    </row>
    <row r="1438" spans="3:3">
      <c r="C1438" s="182">
        <v>70460</v>
      </c>
    </row>
    <row r="1439" spans="3:3">
      <c r="C1439" s="182">
        <v>70488</v>
      </c>
    </row>
    <row r="1440" spans="3:3">
      <c r="C1440" s="182">
        <v>70495</v>
      </c>
    </row>
    <row r="1441" spans="3:3">
      <c r="C1441" s="182">
        <v>70513</v>
      </c>
    </row>
    <row r="1442" spans="3:3">
      <c r="C1442" s="182">
        <v>70537</v>
      </c>
    </row>
    <row r="1443" spans="3:3">
      <c r="C1443" s="182">
        <v>70541</v>
      </c>
    </row>
    <row r="1444" spans="3:3">
      <c r="C1444" s="182">
        <v>70639</v>
      </c>
    </row>
    <row r="1445" spans="3:3">
      <c r="C1445" s="182">
        <v>70664</v>
      </c>
    </row>
    <row r="1446" spans="3:3">
      <c r="C1446" s="182">
        <v>70678</v>
      </c>
    </row>
    <row r="1447" spans="3:3">
      <c r="C1447" s="182">
        <v>70744</v>
      </c>
    </row>
    <row r="1448" spans="3:3">
      <c r="C1448" s="182">
        <v>70779</v>
      </c>
    </row>
    <row r="1449" spans="3:3">
      <c r="C1449" s="182">
        <v>70801</v>
      </c>
    </row>
    <row r="1450" spans="3:3">
      <c r="C1450" s="182">
        <v>70809</v>
      </c>
    </row>
    <row r="1451" spans="3:3">
      <c r="C1451" s="182">
        <v>70824</v>
      </c>
    </row>
    <row r="1452" spans="3:3">
      <c r="C1452" s="182">
        <v>70853</v>
      </c>
    </row>
    <row r="1453" spans="3:3">
      <c r="C1453" s="182">
        <v>70860</v>
      </c>
    </row>
    <row r="1454" spans="3:3">
      <c r="C1454" s="182">
        <v>70877</v>
      </c>
    </row>
    <row r="1455" spans="3:3">
      <c r="C1455" s="182">
        <v>70902</v>
      </c>
    </row>
    <row r="1456" spans="3:3">
      <c r="C1456" s="182">
        <v>70905</v>
      </c>
    </row>
    <row r="1457" spans="3:3">
      <c r="C1457" s="182">
        <v>71010</v>
      </c>
    </row>
    <row r="1458" spans="3:3">
      <c r="C1458" s="182">
        <v>71028</v>
      </c>
    </row>
    <row r="1459" spans="3:3">
      <c r="C1459" s="182">
        <v>71045</v>
      </c>
    </row>
    <row r="1460" spans="3:3">
      <c r="C1460" s="182">
        <v>71108</v>
      </c>
    </row>
    <row r="1461" spans="3:3">
      <c r="C1461" s="182">
        <v>71143</v>
      </c>
    </row>
    <row r="1462" spans="3:3">
      <c r="C1462" s="182">
        <v>71165</v>
      </c>
    </row>
    <row r="1463" spans="3:3">
      <c r="C1463" s="182">
        <v>71174</v>
      </c>
    </row>
    <row r="1464" spans="3:3">
      <c r="C1464" s="182">
        <v>71188</v>
      </c>
    </row>
    <row r="1465" spans="3:3">
      <c r="C1465" s="182">
        <v>71217</v>
      </c>
    </row>
    <row r="1466" spans="3:3">
      <c r="C1466" s="182">
        <v>71224</v>
      </c>
    </row>
    <row r="1467" spans="3:3">
      <c r="C1467" s="182">
        <v>71241</v>
      </c>
    </row>
    <row r="1468" spans="3:3">
      <c r="C1468" s="182">
        <v>71266</v>
      </c>
    </row>
    <row r="1469" spans="3:3">
      <c r="C1469" s="182">
        <v>71270</v>
      </c>
    </row>
    <row r="1470" spans="3:3">
      <c r="C1470" s="182">
        <v>71276</v>
      </c>
    </row>
    <row r="1471" spans="3:3">
      <c r="C1471" s="182">
        <v>71374</v>
      </c>
    </row>
    <row r="1472" spans="3:3">
      <c r="C1472" s="182">
        <v>71395</v>
      </c>
    </row>
    <row r="1473" spans="3:3">
      <c r="C1473" s="182">
        <v>71409</v>
      </c>
    </row>
    <row r="1474" spans="3:3">
      <c r="C1474" s="182">
        <v>71472</v>
      </c>
    </row>
    <row r="1475" spans="3:3">
      <c r="C1475" s="182">
        <v>71507</v>
      </c>
    </row>
    <row r="1476" spans="3:3">
      <c r="C1476" s="182">
        <v>71536</v>
      </c>
    </row>
    <row r="1477" spans="3:3">
      <c r="C1477" s="182">
        <v>71539</v>
      </c>
    </row>
    <row r="1478" spans="3:3">
      <c r="C1478" s="182">
        <v>71552</v>
      </c>
    </row>
    <row r="1479" spans="3:3">
      <c r="C1479" s="182">
        <v>71584</v>
      </c>
    </row>
    <row r="1480" spans="3:3">
      <c r="C1480" s="182">
        <v>71591</v>
      </c>
    </row>
    <row r="1481" spans="3:3">
      <c r="C1481" s="182">
        <v>71605</v>
      </c>
    </row>
    <row r="1482" spans="3:3">
      <c r="C1482" s="182">
        <v>71633</v>
      </c>
    </row>
    <row r="1483" spans="3:3">
      <c r="C1483" s="182">
        <v>71635</v>
      </c>
    </row>
    <row r="1484" spans="3:3">
      <c r="C1484" s="182">
        <v>71640</v>
      </c>
    </row>
    <row r="1485" spans="3:3">
      <c r="C1485" s="182">
        <v>71738</v>
      </c>
    </row>
    <row r="1486" spans="3:3">
      <c r="C1486" s="182">
        <v>71760</v>
      </c>
    </row>
    <row r="1487" spans="3:3">
      <c r="C1487" s="182">
        <v>71775</v>
      </c>
    </row>
    <row r="1488" spans="3:3">
      <c r="C1488" s="182">
        <v>71836</v>
      </c>
    </row>
    <row r="1489" spans="3:3">
      <c r="C1489" s="182">
        <v>71871</v>
      </c>
    </row>
    <row r="1490" spans="3:3">
      <c r="C1490" s="182">
        <v>71900</v>
      </c>
    </row>
    <row r="1491" spans="3:3">
      <c r="C1491" s="182">
        <v>71906</v>
      </c>
    </row>
    <row r="1492" spans="3:3">
      <c r="C1492" s="182">
        <v>71916</v>
      </c>
    </row>
    <row r="1493" spans="3:3">
      <c r="C1493" s="182">
        <v>71949</v>
      </c>
    </row>
    <row r="1494" spans="3:3">
      <c r="C1494" s="182">
        <v>71956</v>
      </c>
    </row>
    <row r="1495" spans="3:3">
      <c r="C1495" s="182">
        <v>71976</v>
      </c>
    </row>
    <row r="1496" spans="3:3">
      <c r="C1496" s="182">
        <v>71998</v>
      </c>
    </row>
    <row r="1497" spans="3:3">
      <c r="C1497" s="182">
        <v>72001</v>
      </c>
    </row>
    <row r="1498" spans="3:3">
      <c r="C1498" s="182">
        <v>72004</v>
      </c>
    </row>
    <row r="1499" spans="3:3">
      <c r="C1499" s="182">
        <v>72102</v>
      </c>
    </row>
    <row r="1500" spans="3:3">
      <c r="C1500" s="182">
        <v>72125</v>
      </c>
    </row>
    <row r="1501" spans="3:3">
      <c r="C1501" s="182">
        <v>72140</v>
      </c>
    </row>
    <row r="1502" spans="3:3">
      <c r="C1502" s="182">
        <v>72200</v>
      </c>
    </row>
    <row r="1503" spans="3:3">
      <c r="C1503" s="182">
        <v>72242</v>
      </c>
    </row>
    <row r="1504" spans="3:3">
      <c r="C1504" s="182">
        <v>72264</v>
      </c>
    </row>
    <row r="1505" spans="3:3">
      <c r="C1505" s="182">
        <v>72270</v>
      </c>
    </row>
    <row r="1506" spans="3:3">
      <c r="C1506" s="182">
        <v>72287</v>
      </c>
    </row>
    <row r="1507" spans="3:3">
      <c r="C1507" s="182">
        <v>72314</v>
      </c>
    </row>
    <row r="1508" spans="3:3">
      <c r="C1508" s="182">
        <v>72321</v>
      </c>
    </row>
    <row r="1509" spans="3:3">
      <c r="C1509" s="182">
        <v>72340</v>
      </c>
    </row>
    <row r="1510" spans="3:3">
      <c r="C1510" s="182">
        <v>72363</v>
      </c>
    </row>
    <row r="1511" spans="3:3">
      <c r="C1511" s="182">
        <v>72368</v>
      </c>
    </row>
    <row r="1512" spans="3:3">
      <c r="C1512" s="182">
        <v>72466</v>
      </c>
    </row>
    <row r="1513" spans="3:3">
      <c r="C1513" s="182">
        <v>72490</v>
      </c>
    </row>
    <row r="1514" spans="3:3">
      <c r="C1514" s="182">
        <v>72505</v>
      </c>
    </row>
    <row r="1515" spans="3:3">
      <c r="C1515" s="182">
        <v>72564</v>
      </c>
    </row>
    <row r="1516" spans="3:3">
      <c r="C1516" s="182">
        <v>72606</v>
      </c>
    </row>
    <row r="1517" spans="3:3">
      <c r="C1517" s="182">
        <v>72628</v>
      </c>
    </row>
    <row r="1518" spans="3:3">
      <c r="C1518" s="182">
        <v>72635</v>
      </c>
    </row>
    <row r="1519" spans="3:3">
      <c r="C1519" s="182">
        <v>72651</v>
      </c>
    </row>
    <row r="1520" spans="3:3">
      <c r="C1520" s="182">
        <v>72679</v>
      </c>
    </row>
    <row r="1521" spans="3:3">
      <c r="C1521" s="182">
        <v>72686</v>
      </c>
    </row>
    <row r="1522" spans="3:3">
      <c r="C1522" s="182">
        <v>72704</v>
      </c>
    </row>
    <row r="1523" spans="3:3">
      <c r="C1523" s="182">
        <v>72728</v>
      </c>
    </row>
    <row r="1524" spans="3:3">
      <c r="C1524" s="182">
        <v>72732</v>
      </c>
    </row>
    <row r="1525" spans="3:3">
      <c r="C1525" s="182">
        <v>72830</v>
      </c>
    </row>
    <row r="1526" spans="3:3">
      <c r="C1526" s="182">
        <v>72855</v>
      </c>
    </row>
    <row r="1527" spans="3:3">
      <c r="C1527" s="182">
        <v>72869</v>
      </c>
    </row>
    <row r="1528" spans="3:3">
      <c r="C1528" s="182">
        <v>72935</v>
      </c>
    </row>
    <row r="1529" spans="3:3">
      <c r="C1529" s="182">
        <v>72970</v>
      </c>
    </row>
    <row r="1530" spans="3:3">
      <c r="C1530" s="182">
        <v>72992</v>
      </c>
    </row>
    <row r="1531" spans="3:3">
      <c r="C1531" s="182">
        <v>73000</v>
      </c>
    </row>
    <row r="1532" spans="3:3">
      <c r="C1532" s="182">
        <v>73015</v>
      </c>
    </row>
    <row r="1533" spans="3:3">
      <c r="C1533" s="182">
        <v>73044</v>
      </c>
    </row>
  </sheetData>
  <dataValidations count="2">
    <dataValidation type="list" allowBlank="1" showInputMessage="1" showErrorMessage="1" sqref="C42:C43" xr:uid="{BFF5F4AE-EE2C-45C1-ABE4-EBA1C89B066B}">
      <formula1>$B$30:$B$33</formula1>
    </dataValidation>
    <dataValidation type="list" allowBlank="1" showInputMessage="1" showErrorMessage="1" sqref="C48" xr:uid="{50228A4F-047C-443F-8170-A0161EA3A9DD}">
      <formula1>$B$74:$B$78</formula1>
    </dataValidation>
  </dataValidations>
  <pageMargins left="0.7" right="0.7" top="0.75" bottom="0.75" header="0.3" footer="0.3"/>
  <ignoredErrors>
    <ignoredError sqref="C10" unlockedFormula="1"/>
  </ignoredErrors>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F64F-4DCB-4E99-81CF-DC90CBB475C0}">
  <sheetPr codeName="Sheet16"/>
  <dimension ref="B2:L39"/>
  <sheetViews>
    <sheetView workbookViewId="0"/>
  </sheetViews>
  <sheetFormatPr defaultColWidth="8.7109375" defaultRowHeight="12"/>
  <cols>
    <col min="1" max="1" width="8.7109375" style="71"/>
    <col min="2" max="2" width="138.7109375" style="71" bestFit="1" customWidth="1"/>
    <col min="3" max="3" width="6" style="71" bestFit="1" customWidth="1"/>
    <col min="4" max="5" width="12.140625" style="321" bestFit="1" customWidth="1"/>
    <col min="6" max="6" width="8.140625" style="321" bestFit="1" customWidth="1"/>
    <col min="7" max="7" width="15.7109375" style="321" bestFit="1" customWidth="1"/>
    <col min="8" max="8" width="15.5703125" style="321" bestFit="1" customWidth="1"/>
    <col min="9" max="9" width="6.85546875" style="321" bestFit="1" customWidth="1"/>
    <col min="10" max="10" width="9.5703125" style="321" bestFit="1" customWidth="1"/>
    <col min="11" max="11" width="13.28515625" style="321" bestFit="1" customWidth="1"/>
    <col min="12" max="12" width="15.42578125" style="321" bestFit="1" customWidth="1"/>
    <col min="13" max="13" width="15.42578125" style="71" bestFit="1" customWidth="1"/>
    <col min="14" max="16384" width="8.7109375" style="71"/>
  </cols>
  <sheetData>
    <row r="2" spans="2:12" s="2" customFormat="1">
      <c r="D2" s="320"/>
      <c r="E2" s="320"/>
      <c r="F2" s="320"/>
      <c r="G2" s="320"/>
      <c r="H2" s="320"/>
      <c r="I2" s="320"/>
      <c r="J2" s="320"/>
      <c r="K2" s="320"/>
      <c r="L2" s="320"/>
    </row>
    <row r="4" spans="2:12">
      <c r="B4" s="73" t="s">
        <v>159</v>
      </c>
      <c r="D4" s="321" t="s">
        <v>155</v>
      </c>
      <c r="E4" s="321" t="s">
        <v>111</v>
      </c>
      <c r="F4" s="321" t="s">
        <v>17</v>
      </c>
      <c r="G4" s="322" t="s">
        <v>110</v>
      </c>
      <c r="H4" s="322" t="s">
        <v>109</v>
      </c>
      <c r="I4" s="321" t="s">
        <v>1</v>
      </c>
      <c r="J4" s="321" t="s">
        <v>108</v>
      </c>
      <c r="K4" s="321" t="s">
        <v>107</v>
      </c>
      <c r="L4" s="321" t="s">
        <v>156</v>
      </c>
    </row>
    <row r="5" spans="2:12">
      <c r="D5" s="321" t="s">
        <v>131</v>
      </c>
      <c r="E5" s="321" t="s">
        <v>131</v>
      </c>
      <c r="F5" s="323">
        <v>45170</v>
      </c>
      <c r="G5" s="324">
        <v>45176</v>
      </c>
      <c r="H5" s="324">
        <v>45177</v>
      </c>
      <c r="I5" s="321">
        <f t="shared" ref="I5:I21" si="0">YEAR(H5)</f>
        <v>2023</v>
      </c>
      <c r="J5" s="321">
        <f t="shared" ref="J5:J21" si="1">MONTH(H5)</f>
        <v>9</v>
      </c>
      <c r="K5" s="321" t="str" cm="1">
        <f t="array" ref="K5">_xlfn.IFS(J5=3,"MAR",J5=6,"JUN",J5=9,"SEP",J5=12,"DEC")</f>
        <v>SEP</v>
      </c>
      <c r="L5" s="321" t="str">
        <f t="shared" ref="L5:L21" si="2">K5&amp;(YEAR(F5)-2000)</f>
        <v>SEP23</v>
      </c>
    </row>
    <row r="6" spans="2:12">
      <c r="B6" s="77" t="s">
        <v>106</v>
      </c>
      <c r="D6" s="321" t="s">
        <v>130</v>
      </c>
      <c r="E6" s="321" t="s">
        <v>130</v>
      </c>
      <c r="F6" s="323">
        <v>45261</v>
      </c>
      <c r="G6" s="324">
        <v>45267</v>
      </c>
      <c r="H6" s="324">
        <v>45268</v>
      </c>
      <c r="I6" s="321">
        <f t="shared" si="0"/>
        <v>2023</v>
      </c>
      <c r="J6" s="321">
        <f t="shared" si="1"/>
        <v>12</v>
      </c>
      <c r="K6" s="321" t="str" cm="1">
        <f t="array" ref="K6">_xlfn.IFS(J6=3,"MAR",J6=6,"JUN",J6=9,"SEP",J6=12,"DEC")</f>
        <v>DEC</v>
      </c>
      <c r="L6" s="321" t="str">
        <f t="shared" si="2"/>
        <v>DEC23</v>
      </c>
    </row>
    <row r="7" spans="2:12">
      <c r="B7" s="76" t="s">
        <v>160</v>
      </c>
      <c r="D7" s="321" t="s">
        <v>128</v>
      </c>
      <c r="E7" s="321" t="s">
        <v>128</v>
      </c>
      <c r="F7" s="323">
        <v>45352</v>
      </c>
      <c r="G7" s="324">
        <v>45358</v>
      </c>
      <c r="H7" s="324">
        <v>45359</v>
      </c>
      <c r="I7" s="321">
        <f t="shared" si="0"/>
        <v>2024</v>
      </c>
      <c r="J7" s="321">
        <f t="shared" si="1"/>
        <v>3</v>
      </c>
      <c r="K7" s="321" t="str" cm="1">
        <f t="array" ref="K7">_xlfn.IFS(J7=3,"MAR",J7=6,"JUN",J7=9,"SEP",J7=12,"DEC")</f>
        <v>MAR</v>
      </c>
      <c r="L7" s="321" t="str">
        <f t="shared" si="2"/>
        <v>MAR24</v>
      </c>
    </row>
    <row r="8" spans="2:12">
      <c r="B8" s="71" t="s">
        <v>125</v>
      </c>
      <c r="D8" s="321" t="s">
        <v>126</v>
      </c>
      <c r="E8" s="321" t="s">
        <v>126</v>
      </c>
      <c r="F8" s="323">
        <v>45444</v>
      </c>
      <c r="G8" s="324">
        <v>45456</v>
      </c>
      <c r="H8" s="324">
        <v>45457</v>
      </c>
      <c r="I8" s="321">
        <f t="shared" si="0"/>
        <v>2024</v>
      </c>
      <c r="J8" s="321">
        <f t="shared" si="1"/>
        <v>6</v>
      </c>
      <c r="K8" s="321" t="str" cm="1">
        <f t="array" ref="K8">_xlfn.IFS(J8=3,"MAR",J8=6,"JUN",J8=9,"SEP",J8=12,"DEC")</f>
        <v>JUN</v>
      </c>
      <c r="L8" s="321" t="str">
        <f t="shared" si="2"/>
        <v>JUN24</v>
      </c>
    </row>
    <row r="9" spans="2:12">
      <c r="B9" s="71" t="s">
        <v>127</v>
      </c>
      <c r="D9" s="321" t="s">
        <v>124</v>
      </c>
      <c r="E9" s="321" t="s">
        <v>124</v>
      </c>
      <c r="F9" s="323">
        <v>45536</v>
      </c>
      <c r="G9" s="324">
        <v>45547</v>
      </c>
      <c r="H9" s="324">
        <v>45548</v>
      </c>
      <c r="I9" s="321">
        <f t="shared" si="0"/>
        <v>2024</v>
      </c>
      <c r="J9" s="321">
        <f t="shared" si="1"/>
        <v>9</v>
      </c>
      <c r="K9" s="321" t="str" cm="1">
        <f t="array" ref="K9">_xlfn.IFS(J9=3,"MAR",J9=6,"JUN",J9=9,"SEP",J9=12,"DEC")</f>
        <v>SEP</v>
      </c>
      <c r="L9" s="321" t="str">
        <f t="shared" si="2"/>
        <v>SEP24</v>
      </c>
    </row>
    <row r="10" spans="2:12">
      <c r="B10" s="71" t="s">
        <v>129</v>
      </c>
      <c r="D10" s="321" t="s">
        <v>123</v>
      </c>
      <c r="E10" s="321" t="s">
        <v>123</v>
      </c>
      <c r="F10" s="323">
        <v>45627</v>
      </c>
      <c r="G10" s="324">
        <v>45638</v>
      </c>
      <c r="H10" s="324">
        <v>45639</v>
      </c>
      <c r="I10" s="321">
        <f t="shared" si="0"/>
        <v>2024</v>
      </c>
      <c r="J10" s="321">
        <f t="shared" si="1"/>
        <v>12</v>
      </c>
      <c r="K10" s="321" t="str" cm="1">
        <f t="array" ref="K10">_xlfn.IFS(J10=3,"MAR",J10=6,"JUN",J10=9,"SEP",J10=12,"DEC")</f>
        <v>DEC</v>
      </c>
      <c r="L10" s="321" t="str">
        <f t="shared" si="2"/>
        <v>DEC24</v>
      </c>
    </row>
    <row r="11" spans="2:12">
      <c r="B11" s="71" t="s">
        <v>306</v>
      </c>
      <c r="D11" s="321" t="s">
        <v>122</v>
      </c>
      <c r="E11" s="321" t="s">
        <v>122</v>
      </c>
      <c r="F11" s="323">
        <v>45717</v>
      </c>
      <c r="G11" s="324">
        <v>45729</v>
      </c>
      <c r="H11" s="324">
        <v>45730</v>
      </c>
      <c r="I11" s="321">
        <f t="shared" si="0"/>
        <v>2025</v>
      </c>
      <c r="J11" s="321">
        <f t="shared" si="1"/>
        <v>3</v>
      </c>
      <c r="K11" s="321" t="str" cm="1">
        <f t="array" ref="K11">_xlfn.IFS(J11=3,"MAR",J11=6,"JUN",J11=9,"SEP",J11=12,"DEC")</f>
        <v>MAR</v>
      </c>
      <c r="L11" s="321" t="str">
        <f t="shared" si="2"/>
        <v>MAR25</v>
      </c>
    </row>
    <row r="12" spans="2:12">
      <c r="B12" s="72" t="s">
        <v>307</v>
      </c>
      <c r="D12" s="321" t="s">
        <v>121</v>
      </c>
      <c r="E12" s="321" t="s">
        <v>121</v>
      </c>
      <c r="F12" s="323">
        <v>45809</v>
      </c>
      <c r="G12" s="324">
        <v>45820</v>
      </c>
      <c r="H12" s="324">
        <v>45821</v>
      </c>
      <c r="I12" s="321">
        <f t="shared" si="0"/>
        <v>2025</v>
      </c>
      <c r="J12" s="321">
        <f t="shared" si="1"/>
        <v>6</v>
      </c>
      <c r="K12" s="321" t="str" cm="1">
        <f t="array" ref="K12">_xlfn.IFS(J12=3,"MAR",J12=6,"JUN",J12=9,"SEP",J12=12,"DEC")</f>
        <v>JUN</v>
      </c>
      <c r="L12" s="321" t="str">
        <f t="shared" si="2"/>
        <v>JUN25</v>
      </c>
    </row>
    <row r="13" spans="2:12">
      <c r="D13" s="321" t="s">
        <v>120</v>
      </c>
      <c r="E13" s="321" t="s">
        <v>120</v>
      </c>
      <c r="F13" s="323">
        <v>45901</v>
      </c>
      <c r="G13" s="324">
        <v>45911</v>
      </c>
      <c r="H13" s="324">
        <v>45912</v>
      </c>
      <c r="I13" s="321">
        <f t="shared" si="0"/>
        <v>2025</v>
      </c>
      <c r="J13" s="321">
        <f t="shared" si="1"/>
        <v>9</v>
      </c>
      <c r="K13" s="321" t="str" cm="1">
        <f t="array" ref="K13">_xlfn.IFS(J13=3,"MAR",J13=6,"JUN",J13=9,"SEP",J13=12,"DEC")</f>
        <v>SEP</v>
      </c>
      <c r="L13" s="321" t="str">
        <f t="shared" si="2"/>
        <v>SEP25</v>
      </c>
    </row>
    <row r="14" spans="2:12">
      <c r="B14" s="71" t="s">
        <v>157</v>
      </c>
      <c r="D14" s="321" t="s">
        <v>119</v>
      </c>
      <c r="E14" s="321" t="s">
        <v>119</v>
      </c>
      <c r="F14" s="323">
        <v>45992</v>
      </c>
      <c r="G14" s="324">
        <v>46002</v>
      </c>
      <c r="H14" s="324">
        <v>46003</v>
      </c>
      <c r="I14" s="321">
        <f t="shared" si="0"/>
        <v>2025</v>
      </c>
      <c r="J14" s="321">
        <f t="shared" si="1"/>
        <v>12</v>
      </c>
      <c r="K14" s="321" t="str" cm="1">
        <f t="array" ref="K14">_xlfn.IFS(J14=3,"MAR",J14=6,"JUN",J14=9,"SEP",J14=12,"DEC")</f>
        <v>DEC</v>
      </c>
      <c r="L14" s="321" t="str">
        <f t="shared" si="2"/>
        <v>DEC25</v>
      </c>
    </row>
    <row r="15" spans="2:12">
      <c r="B15" s="71" t="s">
        <v>158</v>
      </c>
      <c r="D15" s="321" t="s">
        <v>118</v>
      </c>
      <c r="E15" s="321" t="s">
        <v>118</v>
      </c>
      <c r="F15" s="323">
        <v>46082</v>
      </c>
      <c r="G15" s="324">
        <v>46093</v>
      </c>
      <c r="H15" s="324">
        <v>46094</v>
      </c>
      <c r="I15" s="321">
        <f t="shared" si="0"/>
        <v>2026</v>
      </c>
      <c r="J15" s="321">
        <f t="shared" si="1"/>
        <v>3</v>
      </c>
      <c r="K15" s="321" t="str" cm="1">
        <f t="array" ref="K15">_xlfn.IFS(J15=3,"MAR",J15=6,"JUN",J15=9,"SEP",J15=12,"DEC")</f>
        <v>MAR</v>
      </c>
      <c r="L15" s="321" t="str">
        <f t="shared" si="2"/>
        <v>MAR26</v>
      </c>
    </row>
    <row r="16" spans="2:12">
      <c r="D16" s="321" t="s">
        <v>117</v>
      </c>
      <c r="E16" s="321" t="s">
        <v>117</v>
      </c>
      <c r="F16" s="323">
        <v>46174</v>
      </c>
      <c r="G16" s="324">
        <v>46184</v>
      </c>
      <c r="H16" s="324">
        <v>46185</v>
      </c>
      <c r="I16" s="321">
        <f t="shared" si="0"/>
        <v>2026</v>
      </c>
      <c r="J16" s="321">
        <f t="shared" si="1"/>
        <v>6</v>
      </c>
      <c r="K16" s="321" t="str" cm="1">
        <f t="array" ref="K16">_xlfn.IFS(J16=3,"MAR",J16=6,"JUN",J16=9,"SEP",J16=12,"DEC")</f>
        <v>JUN</v>
      </c>
      <c r="L16" s="321" t="str">
        <f t="shared" si="2"/>
        <v>JUN26</v>
      </c>
    </row>
    <row r="17" spans="2:12">
      <c r="D17" s="321" t="s">
        <v>116</v>
      </c>
      <c r="E17" s="321" t="s">
        <v>116</v>
      </c>
      <c r="F17" s="323">
        <v>46266</v>
      </c>
      <c r="G17" s="324">
        <v>46275</v>
      </c>
      <c r="H17" s="324">
        <v>46276</v>
      </c>
      <c r="I17" s="321">
        <f t="shared" si="0"/>
        <v>2026</v>
      </c>
      <c r="J17" s="321">
        <f t="shared" si="1"/>
        <v>9</v>
      </c>
      <c r="K17" s="321" t="str" cm="1">
        <f t="array" ref="K17">_xlfn.IFS(J17=3,"MAR",J17=6,"JUN",J17=9,"SEP",J17=12,"DEC")</f>
        <v>SEP</v>
      </c>
      <c r="L17" s="321" t="str">
        <f t="shared" si="2"/>
        <v>SEP26</v>
      </c>
    </row>
    <row r="18" spans="2:12">
      <c r="D18" s="321" t="s">
        <v>115</v>
      </c>
      <c r="E18" s="321" t="s">
        <v>115</v>
      </c>
      <c r="F18" s="323">
        <v>46357</v>
      </c>
      <c r="G18" s="324">
        <v>46366</v>
      </c>
      <c r="H18" s="324">
        <v>46367</v>
      </c>
      <c r="I18" s="321">
        <f t="shared" si="0"/>
        <v>2026</v>
      </c>
      <c r="J18" s="321">
        <f t="shared" si="1"/>
        <v>12</v>
      </c>
      <c r="K18" s="321" t="str" cm="1">
        <f t="array" ref="K18">_xlfn.IFS(J18=3,"MAR",J18=6,"JUN",J18=9,"SEP",J18=12,"DEC")</f>
        <v>DEC</v>
      </c>
      <c r="L18" s="321" t="str">
        <f t="shared" si="2"/>
        <v>DEC26</v>
      </c>
    </row>
    <row r="19" spans="2:12">
      <c r="D19" s="321" t="s">
        <v>114</v>
      </c>
      <c r="E19" s="321" t="s">
        <v>114</v>
      </c>
      <c r="F19" s="323">
        <v>46447</v>
      </c>
      <c r="G19" s="324">
        <v>46457</v>
      </c>
      <c r="H19" s="324">
        <v>46458</v>
      </c>
      <c r="I19" s="321">
        <f t="shared" si="0"/>
        <v>2027</v>
      </c>
      <c r="J19" s="321">
        <f t="shared" si="1"/>
        <v>3</v>
      </c>
      <c r="K19" s="321" t="str" cm="1">
        <f t="array" ref="K19">_xlfn.IFS(J19=3,"MAR",J19=6,"JUN",J19=9,"SEP",J19=12,"DEC")</f>
        <v>MAR</v>
      </c>
      <c r="L19" s="321" t="str">
        <f t="shared" si="2"/>
        <v>MAR27</v>
      </c>
    </row>
    <row r="20" spans="2:12">
      <c r="D20" s="321" t="s">
        <v>113</v>
      </c>
      <c r="E20" s="321" t="s">
        <v>113</v>
      </c>
      <c r="F20" s="323">
        <v>46539</v>
      </c>
      <c r="G20" s="324">
        <v>46548</v>
      </c>
      <c r="H20" s="324">
        <v>46549</v>
      </c>
      <c r="I20" s="321">
        <f t="shared" si="0"/>
        <v>2027</v>
      </c>
      <c r="J20" s="321">
        <f t="shared" si="1"/>
        <v>6</v>
      </c>
      <c r="K20" s="321" t="str" cm="1">
        <f t="array" ref="K20">_xlfn.IFS(J20=3,"MAR",J20=6,"JUN",J20=9,"SEP",J20=12,"DEC")</f>
        <v>JUN</v>
      </c>
      <c r="L20" s="321" t="str">
        <f t="shared" si="2"/>
        <v>JUN27</v>
      </c>
    </row>
    <row r="21" spans="2:12">
      <c r="D21" s="321" t="s">
        <v>112</v>
      </c>
      <c r="E21" s="321" t="s">
        <v>112</v>
      </c>
      <c r="F21" s="323">
        <v>46631</v>
      </c>
      <c r="G21" s="324">
        <v>46639</v>
      </c>
      <c r="H21" s="324">
        <v>46640</v>
      </c>
      <c r="I21" s="321">
        <f t="shared" si="0"/>
        <v>2027</v>
      </c>
      <c r="J21" s="321">
        <f t="shared" si="1"/>
        <v>9</v>
      </c>
      <c r="K21" s="321" t="str" cm="1">
        <f t="array" ref="K21">_xlfn.IFS(J21=3,"MAR",J21=6,"JUN",J21=9,"SEP",J21=12,"DEC")</f>
        <v>SEP</v>
      </c>
      <c r="L21" s="321" t="str">
        <f t="shared" si="2"/>
        <v>SEP27</v>
      </c>
    </row>
    <row r="23" spans="2:12" s="75" customFormat="1">
      <c r="D23" s="325"/>
      <c r="E23" s="325"/>
      <c r="F23" s="325"/>
      <c r="G23" s="325"/>
      <c r="H23" s="325"/>
      <c r="I23" s="325"/>
      <c r="J23" s="325"/>
      <c r="K23" s="325"/>
      <c r="L23" s="325"/>
    </row>
    <row r="25" spans="2:12">
      <c r="B25" s="74" t="s">
        <v>162</v>
      </c>
      <c r="D25" s="321" t="s">
        <v>155</v>
      </c>
      <c r="E25" s="321" t="s">
        <v>111</v>
      </c>
      <c r="F25" s="321" t="s">
        <v>17</v>
      </c>
      <c r="G25" s="322" t="s">
        <v>110</v>
      </c>
      <c r="H25" s="322" t="s">
        <v>109</v>
      </c>
      <c r="I25" s="321" t="s">
        <v>1</v>
      </c>
      <c r="J25" s="321" t="s">
        <v>108</v>
      </c>
      <c r="K25" s="321" t="s">
        <v>107</v>
      </c>
      <c r="L25" s="326" t="s">
        <v>156</v>
      </c>
    </row>
    <row r="26" spans="2:12">
      <c r="D26" s="321" t="s">
        <v>163</v>
      </c>
      <c r="E26" s="321" t="s">
        <v>105</v>
      </c>
      <c r="F26" s="321" t="s">
        <v>104</v>
      </c>
      <c r="G26" s="324">
        <v>45182</v>
      </c>
      <c r="H26" s="324">
        <f t="shared" ref="H26:H39" si="3">G26+1</f>
        <v>45183</v>
      </c>
      <c r="I26" s="321">
        <f t="shared" ref="I26:I39" si="4">YEAR(H26)</f>
        <v>2023</v>
      </c>
      <c r="J26" s="321">
        <f t="shared" ref="J26:J39" si="5">MONTH(H26)</f>
        <v>9</v>
      </c>
      <c r="K26" s="321" t="str" cm="1">
        <f t="array" ref="K26">_xlfn.IFS(J26=3,"MAR",J26=6,"JUN",J26=9,"SEP",J26=12,"DEC")</f>
        <v>SEP</v>
      </c>
      <c r="L26" s="321" t="str">
        <f t="shared" ref="L26:L39" si="6">K26&amp;(YEAR(F26)-2000)</f>
        <v>SEP23</v>
      </c>
    </row>
    <row r="27" spans="2:12">
      <c r="B27" s="77" t="s">
        <v>106</v>
      </c>
      <c r="D27" s="321" t="s">
        <v>164</v>
      </c>
      <c r="E27" s="321" t="s">
        <v>103</v>
      </c>
      <c r="F27" s="321" t="s">
        <v>102</v>
      </c>
      <c r="G27" s="324">
        <v>45273</v>
      </c>
      <c r="H27" s="324">
        <f t="shared" si="3"/>
        <v>45274</v>
      </c>
      <c r="I27" s="321">
        <f t="shared" si="4"/>
        <v>2023</v>
      </c>
      <c r="J27" s="321">
        <f t="shared" si="5"/>
        <v>12</v>
      </c>
      <c r="K27" s="321" t="str" cm="1">
        <f t="array" ref="K27">_xlfn.IFS(J27=3,"MAR",J27=6,"JUN",J27=9,"SEP",J27=12,"DEC")</f>
        <v>DEC</v>
      </c>
      <c r="L27" s="321" t="str">
        <f t="shared" si="6"/>
        <v>DEC23</v>
      </c>
    </row>
    <row r="28" spans="2:12">
      <c r="B28" s="76" t="s">
        <v>161</v>
      </c>
      <c r="D28" s="321" t="s">
        <v>165</v>
      </c>
      <c r="E28" s="321" t="s">
        <v>100</v>
      </c>
      <c r="F28" s="321" t="s">
        <v>99</v>
      </c>
      <c r="G28" s="324">
        <v>45364</v>
      </c>
      <c r="H28" s="324">
        <f t="shared" si="3"/>
        <v>45365</v>
      </c>
      <c r="I28" s="321">
        <f t="shared" si="4"/>
        <v>2024</v>
      </c>
      <c r="J28" s="321">
        <f t="shared" si="5"/>
        <v>3</v>
      </c>
      <c r="K28" s="321" t="str" cm="1">
        <f t="array" ref="K28">_xlfn.IFS(J28=3,"MAR",J28=6,"JUN",J28=9,"SEP",J28=12,"DEC")</f>
        <v>MAR</v>
      </c>
      <c r="L28" s="321" t="str">
        <f t="shared" si="6"/>
        <v>MAR24</v>
      </c>
    </row>
    <row r="29" spans="2:12">
      <c r="B29" s="71" t="s">
        <v>101</v>
      </c>
      <c r="D29" s="321" t="s">
        <v>166</v>
      </c>
      <c r="E29" s="321" t="s">
        <v>97</v>
      </c>
      <c r="F29" s="321" t="s">
        <v>96</v>
      </c>
      <c r="G29" s="324">
        <v>45455</v>
      </c>
      <c r="H29" s="324">
        <f t="shared" si="3"/>
        <v>45456</v>
      </c>
      <c r="I29" s="321">
        <f t="shared" si="4"/>
        <v>2024</v>
      </c>
      <c r="J29" s="321">
        <f t="shared" si="5"/>
        <v>6</v>
      </c>
      <c r="K29" s="321" t="str" cm="1">
        <f t="array" ref="K29">_xlfn.IFS(J29=3,"MAR",J29=6,"JUN",J29=9,"SEP",J29=12,"DEC")</f>
        <v>JUN</v>
      </c>
      <c r="L29" s="321" t="str">
        <f t="shared" si="6"/>
        <v>JUN24</v>
      </c>
    </row>
    <row r="30" spans="2:12">
      <c r="B30" s="71" t="s">
        <v>98</v>
      </c>
      <c r="D30" s="321" t="s">
        <v>167</v>
      </c>
      <c r="E30" s="321" t="s">
        <v>94</v>
      </c>
      <c r="F30" s="321" t="s">
        <v>93</v>
      </c>
      <c r="G30" s="324">
        <v>45546</v>
      </c>
      <c r="H30" s="324">
        <f t="shared" si="3"/>
        <v>45547</v>
      </c>
      <c r="I30" s="321">
        <f t="shared" si="4"/>
        <v>2024</v>
      </c>
      <c r="J30" s="321">
        <f t="shared" si="5"/>
        <v>9</v>
      </c>
      <c r="K30" s="321" t="str" cm="1">
        <f t="array" ref="K30">_xlfn.IFS(J30=3,"MAR",J30=6,"JUN",J30=9,"SEP",J30=12,"DEC")</f>
        <v>SEP</v>
      </c>
      <c r="L30" s="321" t="str">
        <f t="shared" si="6"/>
        <v>SEP24</v>
      </c>
    </row>
    <row r="31" spans="2:12">
      <c r="B31" s="72" t="s">
        <v>95</v>
      </c>
      <c r="D31" s="321" t="s">
        <v>168</v>
      </c>
      <c r="E31" s="321" t="s">
        <v>92</v>
      </c>
      <c r="F31" s="321" t="s">
        <v>91</v>
      </c>
      <c r="G31" s="324">
        <v>45637</v>
      </c>
      <c r="H31" s="324">
        <f t="shared" si="3"/>
        <v>45638</v>
      </c>
      <c r="I31" s="321">
        <f t="shared" si="4"/>
        <v>2024</v>
      </c>
      <c r="J31" s="321">
        <f t="shared" si="5"/>
        <v>12</v>
      </c>
      <c r="K31" s="321" t="str" cm="1">
        <f t="array" ref="K31">_xlfn.IFS(J31=3,"MAR",J31=6,"JUN",J31=9,"SEP",J31=12,"DEC")</f>
        <v>DEC</v>
      </c>
      <c r="L31" s="321" t="str">
        <f t="shared" si="6"/>
        <v>DEC24</v>
      </c>
    </row>
    <row r="32" spans="2:12">
      <c r="B32" s="71" t="s">
        <v>305</v>
      </c>
      <c r="D32" s="321" t="s">
        <v>169</v>
      </c>
      <c r="E32" s="321" t="s">
        <v>90</v>
      </c>
      <c r="F32" s="321" t="s">
        <v>89</v>
      </c>
      <c r="G32" s="324">
        <v>45728</v>
      </c>
      <c r="H32" s="324">
        <f t="shared" si="3"/>
        <v>45729</v>
      </c>
      <c r="I32" s="321">
        <f t="shared" si="4"/>
        <v>2025</v>
      </c>
      <c r="J32" s="321">
        <f t="shared" si="5"/>
        <v>3</v>
      </c>
      <c r="K32" s="321" t="str" cm="1">
        <f t="array" ref="K32">_xlfn.IFS(J32=3,"MAR",J32=6,"JUN",J32=9,"SEP",J32=12,"DEC")</f>
        <v>MAR</v>
      </c>
      <c r="L32" s="321" t="str">
        <f t="shared" si="6"/>
        <v>MAR25</v>
      </c>
    </row>
    <row r="33" spans="2:12">
      <c r="B33" s="72" t="s">
        <v>307</v>
      </c>
      <c r="D33" s="321" t="s">
        <v>170</v>
      </c>
      <c r="E33" s="321" t="s">
        <v>88</v>
      </c>
      <c r="F33" s="321" t="s">
        <v>87</v>
      </c>
      <c r="G33" s="324">
        <v>45819</v>
      </c>
      <c r="H33" s="324">
        <f t="shared" si="3"/>
        <v>45820</v>
      </c>
      <c r="I33" s="321">
        <f t="shared" si="4"/>
        <v>2025</v>
      </c>
      <c r="J33" s="321">
        <f t="shared" si="5"/>
        <v>6</v>
      </c>
      <c r="K33" s="321" t="str" cm="1">
        <f t="array" ref="K33">_xlfn.IFS(J33=3,"MAR",J33=6,"JUN",J33=9,"SEP",J33=12,"DEC")</f>
        <v>JUN</v>
      </c>
      <c r="L33" s="321" t="str">
        <f t="shared" si="6"/>
        <v>JUN25</v>
      </c>
    </row>
    <row r="34" spans="2:12">
      <c r="D34" s="321" t="s">
        <v>171</v>
      </c>
      <c r="E34" s="321" t="s">
        <v>86</v>
      </c>
      <c r="F34" s="321" t="s">
        <v>85</v>
      </c>
      <c r="G34" s="324">
        <v>45910</v>
      </c>
      <c r="H34" s="324">
        <f t="shared" si="3"/>
        <v>45911</v>
      </c>
      <c r="I34" s="321">
        <f t="shared" si="4"/>
        <v>2025</v>
      </c>
      <c r="J34" s="321">
        <f t="shared" si="5"/>
        <v>9</v>
      </c>
      <c r="K34" s="321" t="str" cm="1">
        <f t="array" ref="K34">_xlfn.IFS(J34=3,"MAR",J34=6,"JUN",J34=9,"SEP",J34=12,"DEC")</f>
        <v>SEP</v>
      </c>
      <c r="L34" s="321" t="str">
        <f t="shared" si="6"/>
        <v>SEP25</v>
      </c>
    </row>
    <row r="35" spans="2:12">
      <c r="D35" s="321" t="s">
        <v>172</v>
      </c>
      <c r="E35" s="321" t="s">
        <v>84</v>
      </c>
      <c r="F35" s="321" t="s">
        <v>83</v>
      </c>
      <c r="G35" s="324">
        <v>46001</v>
      </c>
      <c r="H35" s="324">
        <f t="shared" si="3"/>
        <v>46002</v>
      </c>
      <c r="I35" s="321">
        <f t="shared" si="4"/>
        <v>2025</v>
      </c>
      <c r="J35" s="321">
        <f t="shared" si="5"/>
        <v>12</v>
      </c>
      <c r="K35" s="321" t="str" cm="1">
        <f t="array" ref="K35">_xlfn.IFS(J35=3,"MAR",J35=6,"JUN",J35=9,"SEP",J35=12,"DEC")</f>
        <v>DEC</v>
      </c>
      <c r="L35" s="321" t="str">
        <f t="shared" si="6"/>
        <v>DEC25</v>
      </c>
    </row>
    <row r="36" spans="2:12">
      <c r="B36" s="71" t="s">
        <v>157</v>
      </c>
      <c r="D36" s="321" t="s">
        <v>173</v>
      </c>
      <c r="E36" s="321" t="s">
        <v>82</v>
      </c>
      <c r="F36" s="321" t="s">
        <v>81</v>
      </c>
      <c r="G36" s="324">
        <v>46092</v>
      </c>
      <c r="H36" s="324">
        <f t="shared" si="3"/>
        <v>46093</v>
      </c>
      <c r="I36" s="321">
        <f t="shared" si="4"/>
        <v>2026</v>
      </c>
      <c r="J36" s="321">
        <f t="shared" si="5"/>
        <v>3</v>
      </c>
      <c r="K36" s="321" t="str" cm="1">
        <f t="array" ref="K36">_xlfn.IFS(J36=3,"MAR",J36=6,"JUN",J36=9,"SEP",J36=12,"DEC")</f>
        <v>MAR</v>
      </c>
      <c r="L36" s="321" t="str">
        <f t="shared" si="6"/>
        <v>MAR26</v>
      </c>
    </row>
    <row r="37" spans="2:12">
      <c r="B37" s="71" t="s">
        <v>158</v>
      </c>
      <c r="D37" s="321" t="s">
        <v>174</v>
      </c>
      <c r="E37" s="321" t="s">
        <v>80</v>
      </c>
      <c r="F37" s="321" t="s">
        <v>79</v>
      </c>
      <c r="G37" s="324">
        <v>46183</v>
      </c>
      <c r="H37" s="324">
        <f t="shared" si="3"/>
        <v>46184</v>
      </c>
      <c r="I37" s="321">
        <f t="shared" si="4"/>
        <v>2026</v>
      </c>
      <c r="J37" s="321">
        <f t="shared" si="5"/>
        <v>6</v>
      </c>
      <c r="K37" s="321" t="str" cm="1">
        <f t="array" ref="K37">_xlfn.IFS(J37=3,"MAR",J37=6,"JUN",J37=9,"SEP",J37=12,"DEC")</f>
        <v>JUN</v>
      </c>
      <c r="L37" s="321" t="str">
        <f t="shared" si="6"/>
        <v>JUN26</v>
      </c>
    </row>
    <row r="38" spans="2:12">
      <c r="D38" s="321" t="s">
        <v>175</v>
      </c>
      <c r="E38" s="321" t="s">
        <v>78</v>
      </c>
      <c r="F38" s="321" t="s">
        <v>77</v>
      </c>
      <c r="G38" s="324">
        <v>46281</v>
      </c>
      <c r="H38" s="324">
        <f t="shared" si="3"/>
        <v>46282</v>
      </c>
      <c r="I38" s="321">
        <f t="shared" si="4"/>
        <v>2026</v>
      </c>
      <c r="J38" s="321">
        <f t="shared" si="5"/>
        <v>9</v>
      </c>
      <c r="K38" s="321" t="str" cm="1">
        <f t="array" ref="K38">_xlfn.IFS(J38=3,"MAR",J38=6,"JUN",J38=9,"SEP",J38=12,"DEC")</f>
        <v>SEP</v>
      </c>
      <c r="L38" s="321" t="str">
        <f t="shared" si="6"/>
        <v>SEP26</v>
      </c>
    </row>
    <row r="39" spans="2:12">
      <c r="D39" s="321" t="s">
        <v>176</v>
      </c>
      <c r="E39" s="321" t="s">
        <v>76</v>
      </c>
      <c r="F39" s="321" t="s">
        <v>75</v>
      </c>
      <c r="G39" s="324">
        <v>46372</v>
      </c>
      <c r="H39" s="324">
        <f t="shared" si="3"/>
        <v>46373</v>
      </c>
      <c r="I39" s="321">
        <f t="shared" si="4"/>
        <v>2026</v>
      </c>
      <c r="J39" s="321">
        <f t="shared" si="5"/>
        <v>12</v>
      </c>
      <c r="K39" s="321" t="str" cm="1">
        <f t="array" ref="K39">_xlfn.IFS(J39=3,"MAR",J39=6,"JUN",J39=9,"SEP",J39=12,"DEC")</f>
        <v>DEC</v>
      </c>
      <c r="L39" s="321" t="str">
        <f t="shared" si="6"/>
        <v>DEC26</v>
      </c>
    </row>
  </sheetData>
  <hyperlinks>
    <hyperlink ref="B28" r:id="rId1" xr:uid="{BB0626B4-AAEF-4E32-B814-437AF72B86D8}"/>
    <hyperlink ref="B7" r:id="rId2" xr:uid="{F955559D-7F0A-4327-9A81-2CEC903A506D}"/>
  </hyperlinks>
  <pageMargins left="0.7" right="0.7" top="0.75" bottom="0.75" header="0.3" footer="0.3"/>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43</vt:i4>
      </vt:variant>
    </vt:vector>
  </HeadingPairs>
  <TitlesOfParts>
    <vt:vector size="50" baseType="lpstr">
      <vt:lpstr>README</vt:lpstr>
      <vt:lpstr>Input</vt:lpstr>
      <vt:lpstr>QuoteLeg</vt:lpstr>
      <vt:lpstr>ReferenceLeg</vt:lpstr>
      <vt:lpstr>Curves</vt:lpstr>
      <vt:lpstr>Utilities</vt:lpstr>
      <vt:lpstr>ASX Futures</vt:lpstr>
      <vt:lpstr>Apply_OIS_Dual_Curve_Stripping</vt:lpstr>
      <vt:lpstr>ApplyFutures</vt:lpstr>
      <vt:lpstr>CCY</vt:lpstr>
      <vt:lpstr>CurveDate</vt:lpstr>
      <vt:lpstr>DayCount_AUD</vt:lpstr>
      <vt:lpstr>DayCount_SOFR</vt:lpstr>
      <vt:lpstr>QuoteLeg!DayCountBasis</vt:lpstr>
      <vt:lpstr>ReferenceLeg!DayCountBasis</vt:lpstr>
      <vt:lpstr>DCB_CCZR</vt:lpstr>
      <vt:lpstr>Diff_2_Goal_Seek</vt:lpstr>
      <vt:lpstr>QuoteLeg!DiscountingIndex</vt:lpstr>
      <vt:lpstr>ReferenceLeg!DiscountingIndex</vt:lpstr>
      <vt:lpstr>QuoteLeg!ExchangeNotionals</vt:lpstr>
      <vt:lpstr>ReferenceLeg!ExchangeNotionals</vt:lpstr>
      <vt:lpstr>FCBS_Quote_Type</vt:lpstr>
      <vt:lpstr>QuoteLeg!FixingOffset</vt:lpstr>
      <vt:lpstr>ReferenceLeg!FixingOffset</vt:lpstr>
      <vt:lpstr>QuoteLeg!FloatingIndex</vt:lpstr>
      <vt:lpstr>ReferenceLeg!FloatingIndex</vt:lpstr>
      <vt:lpstr>FuturesPriority</vt:lpstr>
      <vt:lpstr>GlobalIndex</vt:lpstr>
      <vt:lpstr>QuoteLeg!Holidays</vt:lpstr>
      <vt:lpstr>Holidays_NSWPublic</vt:lpstr>
      <vt:lpstr>Holidays_NY_Public</vt:lpstr>
      <vt:lpstr>IncludePaymentsOnValuationDate</vt:lpstr>
      <vt:lpstr>QuoteLeg!Index</vt:lpstr>
      <vt:lpstr>ReferenceLeg!Index</vt:lpstr>
      <vt:lpstr>QuoteLeg!IsFixed</vt:lpstr>
      <vt:lpstr>ReferenceLeg!IsFixed</vt:lpstr>
      <vt:lpstr>QuoteLeg!LegNumber</vt:lpstr>
      <vt:lpstr>ReferenceLeg!LegNumber</vt:lpstr>
      <vt:lpstr>Notional</vt:lpstr>
      <vt:lpstr>OISPaymentDelay</vt:lpstr>
      <vt:lpstr>QuoteLeg!Payment_Offset</vt:lpstr>
      <vt:lpstr>ReferenceLeg!Payment_Offset</vt:lpstr>
      <vt:lpstr>QuoteLeg!Quote</vt:lpstr>
      <vt:lpstr>ReferenceLeg!Quote</vt:lpstr>
      <vt:lpstr>QuoteGlobal</vt:lpstr>
      <vt:lpstr>RollConvention</vt:lpstr>
      <vt:lpstr>RollUserSpecifiedDates</vt:lpstr>
      <vt:lpstr>SettlementDelayAUD</vt:lpstr>
      <vt:lpstr>SettlementDelayUSD</vt:lpstr>
      <vt:lpstr>Swap_Value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2024-10-07T04:16:26Z</dcterms:created>
  <dcterms:modified xsi:type="dcterms:W3CDTF">2024-10-27T12:11:06Z</dcterms:modified>
</cp:coreProperties>
</file>