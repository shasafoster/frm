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7B70BFEC-B74A-442A-813B-F4883CB0C436}" xr6:coauthVersionLast="47" xr6:coauthVersionMax="47" xr10:uidLastSave="{00000000-0000-0000-0000-000000000000}"/>
  <bookViews>
    <workbookView xWindow="28680" yWindow="0" windowWidth="29040" windowHeight="15720" xr2:uid="{9694CC0F-232B-4A3A-A6BA-5306960B69CD}"/>
  </bookViews>
  <sheets>
    <sheet name="Calculations" sheetId="11" r:id="rId1"/>
    <sheet name="References" sheetId="35" r:id="rId2"/>
    <sheet name="OIS Fixing Sources" sheetId="36" r:id="rId3"/>
  </sheets>
  <functionGroups builtInGroupCount="19"/>
  <definedNames>
    <definedName name="_xlnm._FilterDatabase" localSheetId="2" hidden="1">'OIS Fixing Sources'!$O$2:$P$1308</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Calculations!$F$8</definedName>
    <definedName name="AccrualStartDate">Calculations!$F$7</definedName>
    <definedName name="AONIA">_xlfn.ANCHORARRAY(#REF!)</definedName>
    <definedName name="ESTR">_xlfn.ANCHORARRAY(#REF!)</definedName>
    <definedName name="Fixing.Offset">Calculations!$F$14</definedName>
    <definedName name="MacroOutput">Calculations!$K$13:$M$1048576</definedName>
    <definedName name="Result">Calculations!$F$16:$F$18</definedName>
    <definedName name="Results">#REF!</definedName>
    <definedName name="SOFR">_xlfn.ANCHORARRAY(#REF!)</definedName>
    <definedName name="SONIA">_xlfn.ANCHORARRAY(#REF!)</definedName>
    <definedName name="TONAR">_xlfn.ANCHORARRAY(#REF!)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1" l="1" a="1"/>
  <c r="O5" i="11" s="1"/>
  <c r="P5" i="11" s="1" a="1"/>
  <c r="P5" i="11" s="1"/>
  <c r="F18" i="11" s="1"/>
  <c r="F13" i="11"/>
  <c r="R5" i="11" a="1"/>
  <c r="R5" i="11" l="1"/>
  <c r="F9" i="11"/>
  <c r="S5" i="11" l="1" a="1"/>
  <c r="S5" i="11" s="1"/>
  <c r="T5" i="11" l="1" a="1"/>
  <c r="T5" i="11" s="1"/>
  <c r="F16" i="11" s="1"/>
  <c r="F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S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<sst xmlns="http://schemas.openxmlformats.org/spreadsheetml/2006/main" count="80" uniqueCount="51">
  <si>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</si>
  <si>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</si>
  <si>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</si>
  <si>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</si>
  <si>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</si>
  <si>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</si>
  <si>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</si>
  <si>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</si>
  <si>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</si>
  <si>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</si>
  <si>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</si>
  <si>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</si>
  <si>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</si>
  <si>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</si>
  <si>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</si>
  <si>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</si>
  <si>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</si>
  <si>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</si>
  <si>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</si>
  <si>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</si>
  <si>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</si>
  <si>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</si>
  <si>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</si>
  <si>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</si>
  <si>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</si>
  <si>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</si>
  <si>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</si>
  <si>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</si>
  <si>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</si>
  <si>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</si>
  <si>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</si>
  <si>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</si>
  <si>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</si>
  <si>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</si>
  <si>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1. Enter in the OIS fixings in the table (columns B,C).
2. Enter the 'Coupon Accrual Start Date' and 'Coupon Accrual End Date' dates, below. 
3. Click 'Run Macro' to run the VBA macro to calculate the OIS coupon rates for each accrual period in I,J.</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</si>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</sst>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0000%"/>
    <numFmt numFmtId="165" formatCode="_-* #,##0.00000000_-;\-* #,##0.00000000_-;_-* &quot;-&quot;??_-;_-@_-"/>
    <numFmt numFmtId="166" formatCode="d\-mmm\-yyyy_-;;"/>
    <numFmt numFmtId="167" formatCode="#,##0_-;\(#,##0\)_-;\-_-"/>
    <numFmt numFmtId="168" formatCode="0.000%"/>
    <numFmt numFmtId="169" formatCode="0.000000%"/>
    <numFmt numFmtId="170" formatCode="ddd\ d/mmm/yy_-;;"/>
    <numFmt numFmtId="171" formatCode="ddd\ d\-mmm\-yyyy_-;;"/>
    <numFmt numFmtId="172" formatCode="d\-mmm\-yy_-;;"/>
  </numFmts>
  <fonts count="14" x14ac:knownFonts="1">
    <font>
      <sz val="11"/>
      <color theme="1"/>
      <name val="Calibri"/>
      <family val="2"/>
      <scheme val="minor"/>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0"/>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14" fontId="3" fillId="0" borderId="0" applyFont="0" applyFill="0" applyBorder="0" applyAlignment="0" applyProtection="0"/>
    <xf numFmtId="0" fontId="12" fillId="0" borderId="0" applyNumberFormat="0" applyFill="0" applyBorder="0" applyAlignment="0" applyProtection="0"/>
  </cellStyleXfs>
  <cellXfs count="58">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66" fontId="7" fillId="0" borderId="0" xfId="0" applyNumberFormat="1" applyFont="1"/>
    <xf numFmtId="164" fontId="5" fillId="0" borderId="5" xfId="2" applyNumberFormat="1" applyFont="1" applyFill="1" applyBorder="1"/>
    <xf numFmtId="165" fontId="5" fillId="0" borderId="5" xfId="1" applyNumberFormat="1" applyFont="1" applyFill="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2" fillId="0" borderId="0" xfId="0" applyFont="1"/>
    <xf numFmtId="0" fontId="2" fillId="0" borderId="2" xfId="0" applyFont="1" applyBorder="1"/>
    <xf numFmtId="0" fontId="2"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 fillId="0" borderId="0" xfId="0" applyFont="1"/>
    <xf numFmtId="0" fontId="13" fillId="0" borderId="0" xfId="4" applyFont="1"/>
    <xf numFmtId="172" fontId="1" fillId="0" borderId="0" xfId="0" applyNumberFormat="1" applyFont="1"/>
    <xf numFmtId="166" fontId="9" fillId="2" borderId="0" xfId="0" applyNumberFormat="1" applyFont="1" applyFill="1"/>
    <xf numFmtId="0" fontId="9" fillId="2" borderId="0" xfId="0" applyFont="1" applyFill="1"/>
    <xf numFmtId="0" fontId="9" fillId="2" borderId="0" xfId="0" applyFont="1" applyFill="1" applyProtection="1">
      <protection locked="0"/>
    </xf>
    <xf numFmtId="0" fontId="7" fillId="0" borderId="0" xfId="0" applyFont="1" applyAlignment="1">
      <alignment horizontal="center"/>
    </xf>
    <xf numFmtId="0" fontId="7" fillId="0" borderId="1" xfId="0" applyFont="1" applyBorder="1" applyAlignment="1">
      <alignment horizontal="center"/>
    </xf>
    <xf numFmtId="170" fontId="8" fillId="0" borderId="7" xfId="0" applyNumberFormat="1" applyFont="1" applyBorder="1" applyAlignment="1">
      <alignment horizontal="center"/>
    </xf>
    <xf numFmtId="170" fontId="8" fillId="0" borderId="8" xfId="0" applyNumberFormat="1" applyFont="1" applyBorder="1" applyAlignment="1">
      <alignment horizontal="center"/>
    </xf>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10" fillId="0" borderId="0" xfId="0" applyFont="1" applyAlignment="1">
      <alignment horizontal="left"/>
    </xf>
    <xf numFmtId="0" fontId="2" fillId="0" borderId="0" xfId="0" applyFont="1" applyAlignment="1">
      <alignment horizontal="left" wrapText="1"/>
    </xf>
    <xf numFmtId="0" fontId="2" fillId="3" borderId="0" xfId="0" applyFont="1" applyFill="1"/>
    <xf numFmtId="164" fontId="2" fillId="0" borderId="0" xfId="0" applyNumberFormat="1" applyFont="1"/>
    <xf numFmtId="164" fontId="7" fillId="0" borderId="0" xfId="0" applyNumberFormat="1" applyFont="1"/>
    <xf numFmtId="170" fontId="8" fillId="0" borderId="2" xfId="0" applyNumberFormat="1" applyFont="1" applyBorder="1" applyAlignment="1"/>
    <xf numFmtId="164" fontId="8" fillId="0" borderId="2" xfId="2" applyNumberFormat="1" applyFont="1" applyFill="1" applyBorder="1"/>
    <xf numFmtId="0" fontId="2" fillId="0" borderId="0" xfId="0" applyFont="1" applyBorder="1"/>
  </cellXfs>
  <cellStyles count="5">
    <cellStyle name="blp_date_short" xfId="3" xr:uid="{1C28083C-1416-4E3C-B92F-B370E6478D2E}"/>
    <cellStyle name="Comma" xfId="1" builtinId="3"/>
    <cellStyle name="Hyperlink" xfId="4" builtinId="8"/>
    <cellStyle name="Normal" xfId="0" builtinId="0"/>
    <cellStyle name="Percent" xfId="2" builtinId="5"/>
  </cellStyles>
  <dxfs count="10">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6" formatCode="d\-mmm\-yyyy_-;;"/>
      <fill>
        <patternFill patternType="solid">
          <fgColor indexed="64"/>
          <bgColor theme="7" tint="0.79998168889431442"/>
        </patternFill>
      </fill>
    </dxf>
    <dxf>
      <border outline="0">
        <left style="thin">
          <color indexed="64"/>
        </left>
        <right style="thin">
          <color indexed="64"/>
        </right>
      </border>
    </dxf>
    <dxf>
      <font>
        <strike val="0"/>
        <outline val="0"/>
        <shadow val="0"/>
        <u val="none"/>
        <vertAlign val="baseline"/>
        <sz val="9"/>
        <color rgb="FF0070C0"/>
        <name val="Arial"/>
        <family val="2"/>
        <scheme val="none"/>
      </font>
      <fill>
        <patternFill patternType="solid">
          <fgColor indexed="64"/>
          <bgColor theme="7" tint="0.79998168889431442"/>
        </patternFill>
      </fill>
    </dxf>
    <dxf>
      <border outline="0">
        <bottom style="thin">
          <color indexed="64"/>
        </bottom>
      </border>
    </dxf>
    <dxf>
      <font>
        <strike val="0"/>
        <outline val="0"/>
        <shadow val="0"/>
        <u val="none"/>
        <vertAlign val="baseline"/>
        <sz val="9"/>
        <color theme="0"/>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9</xdr:row>
          <xdr:rowOff>47625</xdr:rowOff>
        </xdr:from>
        <xdr:to>
          <xdr:col>9</xdr:col>
          <xdr:colOff>9525</xdr:colOff>
          <xdr:row>10</xdr:row>
          <xdr:rowOff>47625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11</xdr:col>
      <xdr:colOff>476251</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6751" y="190500"/>
          <a:ext cx="6515100" cy="5430135"/>
          <a:chOff x="18307050" y="409575"/>
          <a:chExt cx="771632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620077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27B773-8473-4F13-926F-17AB509FC445}" name="OISFixings" displayName="OISFixings" ref="B4:C1254" totalsRowShown="0" headerRowDxfId="9" dataDxfId="7" headerRowBorderDxfId="8" tableBorderDxfId="6">
  <autoFilter ref="B4:C1254" xr:uid="{9227B773-8473-4F13-926F-17AB509FC445}"/>
  <tableColumns count="2">
    <tableColumn id="1" xr3:uid="{8E5B3E2B-E42D-42BA-88B8-138DCEC492CB}" name="Observation Date" dataDxfId="5"/>
    <tableColumn id="2" xr3:uid="{948F056D-9E63-428D-B48A-7DD724791AEC}" name="Fixing" dataDxfId="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E21:F30" totalsRowShown="0" headerRowDxfId="3" dataDxfId="2">
  <autoFilter ref="E21:F30" xr:uid="{EFD26EB8-7F11-49ED-A5B0-15388FF2E440}"/>
  <tableColumns count="2">
    <tableColumn id="1" xr3:uid="{ED5825A2-96D5-4447-B81B-BDE4A6CD527B}" name="Curve" dataDxfId="1"/>
    <tableColumn id="2" xr3:uid="{CB102811-852D-4FAA-A4B5-AC1CE93D58C0}" name="# days in year"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rba.gov.au/statistics/cash-rate/" TargetMode="Externa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5" Type="http://schemas.openxmlformats.org/officeDocument/2006/relationships/hyperlink" Target="https://www.bankofengland.co.uk/markets/sonia-benchmark" TargetMode="External"/><Relationship Id="rId4" Type="http://schemas.openxmlformats.org/officeDocument/2006/relationships/hyperlink" Target="https://fred.stlouisfed.org/series/SOF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V1379"/>
  <sheetViews>
    <sheetView tabSelected="1" workbookViewId="0"/>
  </sheetViews>
  <sheetFormatPr defaultRowHeight="12" x14ac:dyDescent="0.2"/>
  <cols>
    <col min="1" max="1" width="9.140625" style="19"/>
    <col min="2" max="2" width="23.42578125" style="19" bestFit="1" customWidth="1"/>
    <col min="3" max="3" width="10.5703125" style="19" bestFit="1" customWidth="1"/>
    <col min="4" max="4" width="9.140625" style="19"/>
    <col min="5" max="5" width="30.7109375" style="19" bestFit="1" customWidth="1"/>
    <col min="6" max="6" width="14.28515625" style="19" bestFit="1" customWidth="1"/>
    <col min="7" max="7" width="9.140625" style="19"/>
    <col min="8" max="8" width="5.140625" style="19" bestFit="1" customWidth="1"/>
    <col min="9" max="9" width="30.7109375" style="19" bestFit="1" customWidth="1"/>
    <col min="10" max="10" width="30.5703125" style="19" bestFit="1" customWidth="1"/>
    <col min="11" max="11" width="16.28515625" style="19" bestFit="1" customWidth="1"/>
    <col min="12" max="12" width="15.28515625" style="19" bestFit="1" customWidth="1"/>
    <col min="13" max="13" width="13.42578125" style="19" bestFit="1" customWidth="1"/>
    <col min="14" max="14" width="9.140625" style="19"/>
    <col min="15" max="15" width="15.140625" style="20" bestFit="1" customWidth="1"/>
    <col min="16" max="16" width="8" style="19" bestFit="1" customWidth="1"/>
    <col min="17" max="17" width="8" style="20" customWidth="1"/>
    <col min="18" max="18" width="13.7109375" style="20" bestFit="1" customWidth="1"/>
    <col min="19" max="19" width="12.140625" style="57" bestFit="1" customWidth="1"/>
    <col min="20" max="20" width="12.7109375" style="21" bestFit="1" customWidth="1"/>
    <col min="21" max="16384" width="9.140625" style="19"/>
  </cols>
  <sheetData>
    <row r="1" spans="2:22" x14ac:dyDescent="0.2">
      <c r="O1" s="19"/>
      <c r="Q1" s="57"/>
      <c r="R1" s="19"/>
      <c r="T1" s="19"/>
    </row>
    <row r="2" spans="2:22" x14ac:dyDescent="0.2">
      <c r="B2" s="42" t="s">
        <v>24</v>
      </c>
      <c r="C2" s="43" t="s">
        <v>19</v>
      </c>
      <c r="O2" s="19"/>
      <c r="Q2" s="57"/>
      <c r="R2" s="19"/>
      <c r="T2" s="19"/>
    </row>
    <row r="3" spans="2:22" x14ac:dyDescent="0.2">
      <c r="B3" s="2"/>
      <c r="C3" s="2"/>
      <c r="E3" s="2"/>
      <c r="F3" s="2"/>
      <c r="G3" s="2"/>
      <c r="H3" s="2"/>
      <c r="I3" s="2"/>
      <c r="J3" s="2"/>
      <c r="K3" s="2"/>
      <c r="L3" s="2"/>
      <c r="M3" s="2"/>
      <c r="N3" s="2"/>
      <c r="O3" s="45" t="s">
        <v>50</v>
      </c>
      <c r="P3" s="46"/>
      <c r="Q3" s="55"/>
      <c r="R3" s="47" t="s">
        <v>20</v>
      </c>
      <c r="S3" s="48"/>
      <c r="T3" s="49"/>
      <c r="U3" s="2"/>
      <c r="V3" s="2"/>
    </row>
    <row r="4" spans="2:22" x14ac:dyDescent="0.2">
      <c r="B4" s="15" t="s">
        <v>3</v>
      </c>
      <c r="C4" s="16" t="s">
        <v>11</v>
      </c>
      <c r="E4" s="27" t="s">
        <v>25</v>
      </c>
      <c r="F4" s="2"/>
      <c r="G4" s="2"/>
      <c r="H4" s="50" t="s">
        <v>26</v>
      </c>
      <c r="I4" s="50"/>
      <c r="J4" s="2"/>
      <c r="K4" s="2"/>
      <c r="L4" s="2"/>
      <c r="M4" s="2"/>
      <c r="N4" s="2"/>
      <c r="O4" s="3" t="s">
        <v>3</v>
      </c>
      <c r="P4" s="4" t="s">
        <v>11</v>
      </c>
      <c r="Q4" s="56"/>
      <c r="R4" s="3" t="s">
        <v>6</v>
      </c>
      <c r="S4" s="6" t="s">
        <v>7</v>
      </c>
      <c r="T4" s="5" t="s">
        <v>10</v>
      </c>
      <c r="U4" s="2"/>
      <c r="V4" s="2"/>
    </row>
    <row r="5" spans="2:22" x14ac:dyDescent="0.2">
      <c r="B5" s="40">
        <v>43734</v>
      </c>
      <c r="C5" s="41">
        <v>1.85</v>
      </c>
      <c r="G5" s="2"/>
      <c r="N5" s="2"/>
      <c r="O5" s="7" cm="1">
        <f t="array" ref="O5:O252">_xlfn._xlws.SORT(_xlfn._xlws.FILTER(OISFixings[Observation Date],(OISFixings[Observation Date]&gt;=F7)*(OISFixings[Observation Date]&lt;F8)))</f>
        <v>44838</v>
      </c>
      <c r="P5" s="8" cm="1">
        <f t="array" ref="P5:P252">_xlfn.XLOOKUP(_xlfn.ANCHORARRAY(O5),OISFixings[Observation Date],OISFixings[Fixing])%</f>
        <v>3.04E-2</v>
      </c>
      <c r="Q5" s="9"/>
      <c r="R5" s="7" cm="1">
        <f t="array" ref="R5:R368">TRANSPOSE(GenerateDateArray(F7,F8-1))</f>
        <v>44838</v>
      </c>
      <c r="S5" s="8" cm="1">
        <f t="array" ref="S5:S368">_xlfn.XLOOKUP(_xlfn.ANCHORARRAY(R5),_xlfn.ANCHORARRAY(O5),_xlfn.ANCHORARRAY(P5),,-1)</f>
        <v>3.04E-2</v>
      </c>
      <c r="T5" s="10" cm="1">
        <f t="array" ref="T5:T368">1+_xlfn.ANCHORARRAY(S5)/$F$13</f>
        <v>1.0000844444444446</v>
      </c>
      <c r="U5" s="2"/>
      <c r="V5" s="2"/>
    </row>
    <row r="6" spans="2:22" x14ac:dyDescent="0.2">
      <c r="B6" s="40">
        <v>43735</v>
      </c>
      <c r="C6" s="41">
        <v>1.82</v>
      </c>
      <c r="E6" s="44" t="s">
        <v>1</v>
      </c>
      <c r="F6" s="44"/>
      <c r="G6" s="2"/>
      <c r="H6" s="51" t="s">
        <v>34</v>
      </c>
      <c r="I6" s="51"/>
      <c r="J6" s="51"/>
      <c r="K6" s="51"/>
      <c r="L6" s="51"/>
      <c r="M6" s="51"/>
      <c r="N6" s="2"/>
      <c r="O6" s="7">
        <v>44839</v>
      </c>
      <c r="P6" s="8">
        <v>3.04E-2</v>
      </c>
      <c r="Q6" s="9"/>
      <c r="R6" s="7">
        <v>44839</v>
      </c>
      <c r="S6" s="8">
        <v>3.04E-2</v>
      </c>
      <c r="T6" s="10">
        <v>1.0000844444444446</v>
      </c>
      <c r="U6" s="2"/>
      <c r="V6" s="2"/>
    </row>
    <row r="7" spans="2:22" x14ac:dyDescent="0.2">
      <c r="B7" s="40">
        <v>43738</v>
      </c>
      <c r="C7" s="41">
        <v>2.35</v>
      </c>
      <c r="E7" s="11" t="s">
        <v>33</v>
      </c>
      <c r="F7" s="17">
        <v>44838</v>
      </c>
      <c r="G7" s="2"/>
      <c r="H7" s="51"/>
      <c r="I7" s="51"/>
      <c r="J7" s="51"/>
      <c r="K7" s="51"/>
      <c r="L7" s="51"/>
      <c r="M7" s="51"/>
      <c r="N7" s="2"/>
      <c r="O7" s="7">
        <v>44840</v>
      </c>
      <c r="P7" s="8">
        <v>3.0499999999999999E-2</v>
      </c>
      <c r="Q7" s="9"/>
      <c r="R7" s="7">
        <v>44840</v>
      </c>
      <c r="S7" s="8">
        <v>3.0499999999999999E-2</v>
      </c>
      <c r="T7" s="10">
        <v>1.0000847222222222</v>
      </c>
      <c r="U7" s="2"/>
      <c r="V7" s="2"/>
    </row>
    <row r="8" spans="2:22" x14ac:dyDescent="0.2">
      <c r="B8" s="40">
        <v>43739</v>
      </c>
      <c r="C8" s="41">
        <v>1.88</v>
      </c>
      <c r="E8" s="11" t="s">
        <v>32</v>
      </c>
      <c r="F8" s="17">
        <v>45202</v>
      </c>
      <c r="G8" s="2"/>
      <c r="H8" s="51"/>
      <c r="I8" s="51"/>
      <c r="J8" s="51"/>
      <c r="K8" s="51"/>
      <c r="L8" s="51"/>
      <c r="M8" s="51"/>
      <c r="N8" s="2"/>
      <c r="O8" s="7">
        <v>44841</v>
      </c>
      <c r="P8" s="8">
        <v>3.0499999999999999E-2</v>
      </c>
      <c r="Q8" s="9"/>
      <c r="R8" s="7">
        <v>44841</v>
      </c>
      <c r="S8" s="8">
        <v>3.0499999999999999E-2</v>
      </c>
      <c r="T8" s="10">
        <v>1.0000847222222222</v>
      </c>
      <c r="U8" s="2"/>
      <c r="V8" s="2"/>
    </row>
    <row r="9" spans="2:22" x14ac:dyDescent="0.2">
      <c r="B9" s="40">
        <v>43740</v>
      </c>
      <c r="C9" s="41">
        <v>1.85</v>
      </c>
      <c r="E9" s="11" t="s">
        <v>8</v>
      </c>
      <c r="F9" s="11">
        <f>F8-F7</f>
        <v>364</v>
      </c>
      <c r="G9" s="2"/>
      <c r="N9" s="2"/>
      <c r="O9" s="7">
        <v>44845</v>
      </c>
      <c r="P9" s="8">
        <v>3.0499999999999999E-2</v>
      </c>
      <c r="Q9" s="9"/>
      <c r="R9" s="7">
        <v>44842</v>
      </c>
      <c r="S9" s="8">
        <v>3.0499999999999999E-2</v>
      </c>
      <c r="T9" s="10">
        <v>1.0000847222222222</v>
      </c>
      <c r="U9" s="2"/>
      <c r="V9" s="2"/>
    </row>
    <row r="10" spans="2:22" x14ac:dyDescent="0.2">
      <c r="B10" s="40">
        <v>43741</v>
      </c>
      <c r="C10" s="41">
        <v>1.84</v>
      </c>
      <c r="E10" s="2"/>
      <c r="F10" s="2"/>
      <c r="G10" s="2"/>
      <c r="N10" s="2"/>
      <c r="O10" s="7">
        <v>44846</v>
      </c>
      <c r="P10" s="8">
        <v>3.04E-2</v>
      </c>
      <c r="Q10" s="9"/>
      <c r="R10" s="7">
        <v>44843</v>
      </c>
      <c r="S10" s="8">
        <v>3.0499999999999999E-2</v>
      </c>
      <c r="T10" s="10">
        <v>1.0000847222222222</v>
      </c>
      <c r="U10" s="2"/>
      <c r="V10" s="2"/>
    </row>
    <row r="11" spans="2:22" x14ac:dyDescent="0.2">
      <c r="B11" s="40">
        <v>43742</v>
      </c>
      <c r="C11" s="41">
        <v>1.82</v>
      </c>
      <c r="E11" s="44" t="s">
        <v>2</v>
      </c>
      <c r="F11" s="44"/>
      <c r="G11" s="2"/>
      <c r="N11" s="2"/>
      <c r="O11" s="7">
        <v>44847</v>
      </c>
      <c r="P11" s="8">
        <v>3.04E-2</v>
      </c>
      <c r="Q11" s="9"/>
      <c r="R11" s="7">
        <v>44844</v>
      </c>
      <c r="S11" s="8">
        <v>3.0499999999999999E-2</v>
      </c>
      <c r="T11" s="10">
        <v>1.0000847222222222</v>
      </c>
      <c r="U11" s="2"/>
      <c r="V11" s="2"/>
    </row>
    <row r="12" spans="2:22" x14ac:dyDescent="0.2">
      <c r="B12" s="40">
        <v>43745</v>
      </c>
      <c r="C12" s="41">
        <v>1.83</v>
      </c>
      <c r="E12" s="11" t="s">
        <v>23</v>
      </c>
      <c r="F12" s="18" t="s">
        <v>0</v>
      </c>
      <c r="G12" s="2"/>
      <c r="H12" s="24" t="s">
        <v>16</v>
      </c>
      <c r="I12" s="25" t="s">
        <v>33</v>
      </c>
      <c r="J12" s="25" t="s">
        <v>32</v>
      </c>
      <c r="K12" s="25" t="s">
        <v>9</v>
      </c>
      <c r="L12" s="25" t="s">
        <v>5</v>
      </c>
      <c r="M12" s="26" t="s">
        <v>4</v>
      </c>
      <c r="N12" s="2"/>
      <c r="O12" s="7">
        <v>44848</v>
      </c>
      <c r="P12" s="8">
        <v>3.04E-2</v>
      </c>
      <c r="Q12" s="9"/>
      <c r="R12" s="7">
        <v>44845</v>
      </c>
      <c r="S12" s="8">
        <v>3.0499999999999999E-2</v>
      </c>
      <c r="T12" s="10">
        <v>1.0000847222222222</v>
      </c>
      <c r="U12" s="2"/>
      <c r="V12" s="2"/>
    </row>
    <row r="13" spans="2:22" x14ac:dyDescent="0.2">
      <c r="B13" s="40">
        <v>43746</v>
      </c>
      <c r="C13" s="41">
        <v>1.85</v>
      </c>
      <c r="E13" s="11" t="s">
        <v>15</v>
      </c>
      <c r="F13" s="11">
        <f>_xlfn.XLOOKUP(F12,DayCountBasis[Curve],DayCountBasis['# days in year])</f>
        <v>360</v>
      </c>
      <c r="G13" s="2"/>
      <c r="H13" s="22">
        <v>1</v>
      </c>
      <c r="I13" s="33">
        <v>44816</v>
      </c>
      <c r="J13" s="34">
        <v>45180</v>
      </c>
      <c r="K13" s="28">
        <v>4.5344696165939676E-2</v>
      </c>
      <c r="L13" s="28">
        <v>4.433873626373621E-2</v>
      </c>
      <c r="M13" s="29">
        <v>4.4227822580645212E-2</v>
      </c>
      <c r="N13" s="2"/>
      <c r="O13" s="7">
        <v>44851</v>
      </c>
      <c r="P13" s="8">
        <v>3.0499999999999999E-2</v>
      </c>
      <c r="Q13" s="9"/>
      <c r="R13" s="7">
        <v>44846</v>
      </c>
      <c r="S13" s="8">
        <v>3.04E-2</v>
      </c>
      <c r="T13" s="10">
        <v>1.0000844444444446</v>
      </c>
      <c r="U13" s="2"/>
      <c r="V13" s="2"/>
    </row>
    <row r="14" spans="2:22" x14ac:dyDescent="0.2">
      <c r="B14" s="40">
        <v>43747</v>
      </c>
      <c r="C14" s="41">
        <v>1.85</v>
      </c>
      <c r="E14" s="2"/>
      <c r="F14" s="2"/>
      <c r="G14" s="12"/>
      <c r="H14" s="22">
        <v>2</v>
      </c>
      <c r="I14" s="33">
        <v>44817</v>
      </c>
      <c r="J14" s="34">
        <v>45181</v>
      </c>
      <c r="K14" s="28">
        <v>4.5431461619938156E-2</v>
      </c>
      <c r="L14" s="28">
        <v>4.4421703296703245E-2</v>
      </c>
      <c r="M14" s="29">
        <v>4.434959677419361E-2</v>
      </c>
      <c r="N14" s="12"/>
      <c r="O14" s="7">
        <v>44852</v>
      </c>
      <c r="P14" s="8">
        <v>3.04E-2</v>
      </c>
      <c r="Q14" s="9"/>
      <c r="R14" s="7">
        <v>44847</v>
      </c>
      <c r="S14" s="8">
        <v>3.04E-2</v>
      </c>
      <c r="T14" s="10">
        <v>1.0000844444444446</v>
      </c>
      <c r="U14" s="2"/>
      <c r="V14" s="2"/>
    </row>
    <row r="15" spans="2:22" x14ac:dyDescent="0.2">
      <c r="B15" s="40">
        <v>43748</v>
      </c>
      <c r="C15" s="41">
        <v>1.85</v>
      </c>
      <c r="E15" s="11" t="s">
        <v>21</v>
      </c>
      <c r="F15" s="11" t="s">
        <v>22</v>
      </c>
      <c r="G15" s="12"/>
      <c r="H15" s="22">
        <v>3</v>
      </c>
      <c r="I15" s="33">
        <v>44818</v>
      </c>
      <c r="J15" s="34">
        <v>45182</v>
      </c>
      <c r="K15" s="28">
        <v>4.5518234352137081E-2</v>
      </c>
      <c r="L15" s="28">
        <v>4.450467032967028E-2</v>
      </c>
      <c r="M15" s="29">
        <v>4.4471370967742001E-2</v>
      </c>
      <c r="N15" s="12"/>
      <c r="O15" s="7">
        <v>44853</v>
      </c>
      <c r="P15" s="8">
        <v>3.04E-2</v>
      </c>
      <c r="Q15" s="9"/>
      <c r="R15" s="7">
        <v>44848</v>
      </c>
      <c r="S15" s="8">
        <v>3.04E-2</v>
      </c>
      <c r="T15" s="10">
        <v>1.0000844444444446</v>
      </c>
      <c r="U15" s="2"/>
      <c r="V15" s="2"/>
    </row>
    <row r="16" spans="2:22" x14ac:dyDescent="0.2">
      <c r="B16" s="40">
        <v>43749</v>
      </c>
      <c r="C16" s="41">
        <v>1.85</v>
      </c>
      <c r="E16" s="11" t="s">
        <v>9</v>
      </c>
      <c r="F16" s="1">
        <f>(PRODUCT(_xlfn.ANCHORARRAY(T5))-1)*F13/F9</f>
        <v>4.7019223785209639E-2</v>
      </c>
      <c r="G16" s="2"/>
      <c r="H16" s="22">
        <v>4</v>
      </c>
      <c r="I16" s="33">
        <v>44819</v>
      </c>
      <c r="J16" s="34">
        <v>45183</v>
      </c>
      <c r="K16" s="28">
        <v>4.5605301738351055E-2</v>
      </c>
      <c r="L16" s="28">
        <v>4.4587912087912053E-2</v>
      </c>
      <c r="M16" s="29">
        <v>4.4593548387096851E-2</v>
      </c>
      <c r="N16" s="2"/>
      <c r="O16" s="7">
        <v>44854</v>
      </c>
      <c r="P16" s="8">
        <v>3.0299999999999997E-2</v>
      </c>
      <c r="Q16" s="9"/>
      <c r="R16" s="7">
        <v>44849</v>
      </c>
      <c r="S16" s="8">
        <v>3.04E-2</v>
      </c>
      <c r="T16" s="10">
        <v>1.0000844444444446</v>
      </c>
      <c r="U16" s="2"/>
      <c r="V16" s="2"/>
    </row>
    <row r="17" spans="2:22" x14ac:dyDescent="0.2">
      <c r="B17" s="40">
        <v>43753</v>
      </c>
      <c r="C17" s="41">
        <v>2</v>
      </c>
      <c r="E17" s="11" t="s">
        <v>5</v>
      </c>
      <c r="F17" s="13">
        <f>AVERAGE(_xlfn.ANCHORARRAY(S5))</f>
        <v>4.5938736263736263E-2</v>
      </c>
      <c r="G17" s="54"/>
      <c r="H17" s="22">
        <v>5</v>
      </c>
      <c r="I17" s="33">
        <v>44820</v>
      </c>
      <c r="J17" s="34">
        <v>45184</v>
      </c>
      <c r="K17" s="28">
        <v>4.5692089052880053E-2</v>
      </c>
      <c r="L17" s="28">
        <v>4.4670879120879088E-2</v>
      </c>
      <c r="M17" s="29">
        <v>4.4715322580645235E-2</v>
      </c>
      <c r="N17" s="2"/>
      <c r="O17" s="7">
        <v>44855</v>
      </c>
      <c r="P17" s="8">
        <v>3.0200000000000001E-2</v>
      </c>
      <c r="Q17" s="9"/>
      <c r="R17" s="7">
        <v>44850</v>
      </c>
      <c r="S17" s="8">
        <v>3.04E-2</v>
      </c>
      <c r="T17" s="10">
        <v>1.0000844444444446</v>
      </c>
      <c r="U17" s="2"/>
      <c r="V17" s="2"/>
    </row>
    <row r="18" spans="2:22" x14ac:dyDescent="0.2">
      <c r="B18" s="40">
        <v>43754</v>
      </c>
      <c r="C18" s="41">
        <v>2.0499999999999998</v>
      </c>
      <c r="E18" s="11" t="s">
        <v>4</v>
      </c>
      <c r="F18" s="13">
        <f>AVERAGE(_xlfn.ANCHORARRAY(P5))</f>
        <v>4.5956854838709822E-2</v>
      </c>
      <c r="G18" s="2"/>
      <c r="H18" s="22">
        <v>6</v>
      </c>
      <c r="I18" s="33">
        <v>44823</v>
      </c>
      <c r="J18" s="34">
        <v>45187</v>
      </c>
      <c r="K18" s="28">
        <v>4.5954219438088105E-2</v>
      </c>
      <c r="L18" s="28">
        <v>4.4921428571428536E-2</v>
      </c>
      <c r="M18" s="29">
        <v>4.4837903225806539E-2</v>
      </c>
      <c r="N18" s="2"/>
      <c r="O18" s="7">
        <v>44858</v>
      </c>
      <c r="P18" s="8">
        <v>3.0099999999999998E-2</v>
      </c>
      <c r="Q18" s="9"/>
      <c r="R18" s="7">
        <v>44851</v>
      </c>
      <c r="S18" s="8">
        <v>3.0499999999999999E-2</v>
      </c>
      <c r="T18" s="10">
        <v>1.0000847222222222</v>
      </c>
      <c r="U18" s="2"/>
      <c r="V18" s="2"/>
    </row>
    <row r="19" spans="2:22" x14ac:dyDescent="0.2">
      <c r="B19" s="40">
        <v>43755</v>
      </c>
      <c r="C19" s="41">
        <v>1.95</v>
      </c>
      <c r="F19" s="53"/>
      <c r="G19" s="2"/>
      <c r="H19" s="22">
        <v>7</v>
      </c>
      <c r="I19" s="33">
        <v>44824</v>
      </c>
      <c r="J19" s="34">
        <v>45188</v>
      </c>
      <c r="K19" s="28">
        <v>4.6041610989612937E-2</v>
      </c>
      <c r="L19" s="28">
        <v>4.5004945054945018E-2</v>
      </c>
      <c r="M19" s="29">
        <v>4.4960483870967828E-2</v>
      </c>
      <c r="N19" s="2"/>
      <c r="O19" s="7">
        <v>44859</v>
      </c>
      <c r="P19" s="8">
        <v>3.0200000000000001E-2</v>
      </c>
      <c r="Q19" s="9"/>
      <c r="R19" s="7">
        <v>44852</v>
      </c>
      <c r="S19" s="8">
        <v>3.04E-2</v>
      </c>
      <c r="T19" s="10">
        <v>1.0000844444444446</v>
      </c>
      <c r="U19" s="2"/>
      <c r="V19" s="2"/>
    </row>
    <row r="20" spans="2:22" x14ac:dyDescent="0.2">
      <c r="B20" s="40">
        <v>43756</v>
      </c>
      <c r="C20" s="41">
        <v>1.88</v>
      </c>
      <c r="G20" s="2"/>
      <c r="H20" s="22">
        <v>8</v>
      </c>
      <c r="I20" s="33">
        <v>44825</v>
      </c>
      <c r="J20" s="34">
        <v>45189</v>
      </c>
      <c r="K20" s="28">
        <v>4.6129297441237699E-2</v>
      </c>
      <c r="L20" s="28">
        <v>4.5088736263736232E-2</v>
      </c>
      <c r="M20" s="29">
        <v>4.5083467741935578E-2</v>
      </c>
      <c r="N20" s="2"/>
      <c r="O20" s="7">
        <v>44860</v>
      </c>
      <c r="P20" s="8">
        <v>3.0299999999999997E-2</v>
      </c>
      <c r="Q20" s="9"/>
      <c r="R20" s="7">
        <v>44853</v>
      </c>
      <c r="S20" s="8">
        <v>3.04E-2</v>
      </c>
      <c r="T20" s="10">
        <v>1.0000844444444446</v>
      </c>
      <c r="U20" s="2"/>
      <c r="V20" s="2"/>
    </row>
    <row r="21" spans="2:22" x14ac:dyDescent="0.2">
      <c r="B21" s="40">
        <v>43759</v>
      </c>
      <c r="C21" s="41">
        <v>1.86</v>
      </c>
      <c r="E21" s="19" t="s">
        <v>14</v>
      </c>
      <c r="F21" s="19" t="s">
        <v>28</v>
      </c>
      <c r="H21" s="23">
        <v>9</v>
      </c>
      <c r="I21" s="33">
        <v>44826</v>
      </c>
      <c r="J21" s="34">
        <v>45190</v>
      </c>
      <c r="K21" s="28">
        <v>4.6216991345752634E-2</v>
      </c>
      <c r="L21" s="28">
        <v>4.5172527472527452E-2</v>
      </c>
      <c r="M21" s="29">
        <v>4.5206451612903327E-2</v>
      </c>
      <c r="N21" s="2"/>
      <c r="O21" s="7">
        <v>44861</v>
      </c>
      <c r="P21" s="8">
        <v>3.04E-2</v>
      </c>
      <c r="Q21" s="9"/>
      <c r="R21" s="7">
        <v>44854</v>
      </c>
      <c r="S21" s="8">
        <v>3.0299999999999997E-2</v>
      </c>
      <c r="T21" s="10">
        <v>1.0000841666666667</v>
      </c>
      <c r="U21" s="2"/>
      <c r="V21" s="2"/>
    </row>
    <row r="22" spans="2:22" x14ac:dyDescent="0.2">
      <c r="B22" s="40">
        <v>43760</v>
      </c>
      <c r="C22" s="41">
        <v>1.87</v>
      </c>
      <c r="E22" s="19" t="s">
        <v>13</v>
      </c>
      <c r="F22" s="19">
        <v>365</v>
      </c>
      <c r="H22" s="23">
        <v>10</v>
      </c>
      <c r="I22" s="33">
        <v>44827</v>
      </c>
      <c r="J22" s="34">
        <v>45191</v>
      </c>
      <c r="K22" s="28">
        <v>4.6283412957807316E-2</v>
      </c>
      <c r="L22" s="28">
        <v>4.5235989010988985E-2</v>
      </c>
      <c r="M22" s="29">
        <v>4.5299596774193651E-2</v>
      </c>
      <c r="N22" s="2"/>
      <c r="O22" s="7">
        <v>44862</v>
      </c>
      <c r="P22" s="8">
        <v>3.0499999999999999E-2</v>
      </c>
      <c r="Q22" s="9"/>
      <c r="R22" s="7">
        <v>44855</v>
      </c>
      <c r="S22" s="8">
        <v>3.0200000000000001E-2</v>
      </c>
      <c r="T22" s="10">
        <v>1.000083888888889</v>
      </c>
      <c r="U22" s="2"/>
      <c r="V22" s="2"/>
    </row>
    <row r="23" spans="2:22" x14ac:dyDescent="0.2">
      <c r="B23" s="40">
        <v>43761</v>
      </c>
      <c r="C23" s="41">
        <v>1.87</v>
      </c>
      <c r="E23" s="19" t="s">
        <v>29</v>
      </c>
      <c r="F23" s="19">
        <v>365</v>
      </c>
      <c r="H23" s="22">
        <v>11</v>
      </c>
      <c r="I23" s="33">
        <v>44830</v>
      </c>
      <c r="J23" s="34">
        <v>45194</v>
      </c>
      <c r="K23" s="28">
        <v>4.6482703365264347E-2</v>
      </c>
      <c r="L23" s="28">
        <v>4.5426373626373605E-2</v>
      </c>
      <c r="M23" s="29">
        <v>4.5392741935483982E-2</v>
      </c>
      <c r="N23" s="2"/>
      <c r="O23" s="7">
        <v>44865</v>
      </c>
      <c r="P23" s="8">
        <v>3.0499999999999999E-2</v>
      </c>
      <c r="Q23" s="9"/>
      <c r="R23" s="7">
        <v>44856</v>
      </c>
      <c r="S23" s="8">
        <v>3.0200000000000001E-2</v>
      </c>
      <c r="T23" s="10">
        <v>1.000083888888889</v>
      </c>
      <c r="U23" s="2"/>
      <c r="V23" s="2"/>
    </row>
    <row r="24" spans="2:22" x14ac:dyDescent="0.2">
      <c r="B24" s="40">
        <v>43762</v>
      </c>
      <c r="C24" s="41">
        <v>1.86</v>
      </c>
      <c r="E24" s="52" t="s">
        <v>12</v>
      </c>
      <c r="F24" s="52">
        <v>360</v>
      </c>
      <c r="H24" s="22">
        <v>12</v>
      </c>
      <c r="I24" s="33">
        <v>44831</v>
      </c>
      <c r="J24" s="34">
        <v>45195</v>
      </c>
      <c r="K24" s="28">
        <v>4.6549429639006545E-2</v>
      </c>
      <c r="L24" s="28">
        <v>4.5490109890109869E-2</v>
      </c>
      <c r="M24" s="29">
        <v>4.5486290322580759E-2</v>
      </c>
      <c r="N24" s="2"/>
      <c r="O24" s="7">
        <v>44866</v>
      </c>
      <c r="P24" s="8">
        <v>3.0499999999999999E-2</v>
      </c>
      <c r="Q24" s="9"/>
      <c r="R24" s="7">
        <v>44857</v>
      </c>
      <c r="S24" s="8">
        <v>3.0200000000000001E-2</v>
      </c>
      <c r="T24" s="10">
        <v>1.000083888888889</v>
      </c>
      <c r="U24" s="2"/>
      <c r="V24" s="2"/>
    </row>
    <row r="25" spans="2:22" x14ac:dyDescent="0.2">
      <c r="B25" s="40">
        <v>43763</v>
      </c>
      <c r="C25" s="41">
        <v>1.84</v>
      </c>
      <c r="E25" s="19" t="s">
        <v>30</v>
      </c>
      <c r="F25" s="19">
        <v>365</v>
      </c>
      <c r="H25" s="22">
        <v>13</v>
      </c>
      <c r="I25" s="33">
        <v>44832</v>
      </c>
      <c r="J25" s="34">
        <v>45196</v>
      </c>
      <c r="K25" s="28">
        <v>4.6616447862926409E-2</v>
      </c>
      <c r="L25" s="28">
        <v>4.5554120879120863E-2</v>
      </c>
      <c r="M25" s="29">
        <v>4.5580241935483996E-2</v>
      </c>
      <c r="N25" s="2"/>
      <c r="O25" s="7">
        <v>44867</v>
      </c>
      <c r="P25" s="8">
        <v>3.0499999999999999E-2</v>
      </c>
      <c r="Q25" s="9"/>
      <c r="R25" s="7">
        <v>44858</v>
      </c>
      <c r="S25" s="8">
        <v>3.0099999999999998E-2</v>
      </c>
      <c r="T25" s="10">
        <v>1.0000836111111111</v>
      </c>
      <c r="U25" s="2"/>
      <c r="V25" s="2"/>
    </row>
    <row r="26" spans="2:22" x14ac:dyDescent="0.2">
      <c r="B26" s="40">
        <v>43766</v>
      </c>
      <c r="C26" s="41">
        <v>1.82</v>
      </c>
      <c r="E26" s="19" t="s">
        <v>27</v>
      </c>
      <c r="F26" s="19">
        <v>365</v>
      </c>
      <c r="H26" s="22">
        <v>14</v>
      </c>
      <c r="I26" s="33">
        <v>44833</v>
      </c>
      <c r="J26" s="34">
        <v>45197</v>
      </c>
      <c r="K26" s="28">
        <v>4.6683758074533711E-2</v>
      </c>
      <c r="L26" s="28">
        <v>4.5618406593406574E-2</v>
      </c>
      <c r="M26" s="29">
        <v>4.5674596774193672E-2</v>
      </c>
      <c r="N26" s="2"/>
      <c r="O26" s="7">
        <v>44868</v>
      </c>
      <c r="P26" s="8">
        <v>3.7999999999999999E-2</v>
      </c>
      <c r="Q26" s="9"/>
      <c r="R26" s="7">
        <v>44859</v>
      </c>
      <c r="S26" s="8">
        <v>3.0200000000000001E-2</v>
      </c>
      <c r="T26" s="10">
        <v>1.000083888888889</v>
      </c>
      <c r="U26" s="2"/>
      <c r="V26" s="2"/>
    </row>
    <row r="27" spans="2:22" x14ac:dyDescent="0.2">
      <c r="B27" s="40">
        <v>43767</v>
      </c>
      <c r="C27" s="41">
        <v>1.81</v>
      </c>
      <c r="E27" s="52" t="s">
        <v>31</v>
      </c>
      <c r="F27" s="52">
        <v>360</v>
      </c>
      <c r="H27" s="22">
        <v>15</v>
      </c>
      <c r="I27" s="33">
        <v>44834</v>
      </c>
      <c r="J27" s="34">
        <v>45198</v>
      </c>
      <c r="K27" s="28">
        <v>4.6751360367669206E-2</v>
      </c>
      <c r="L27" s="28">
        <v>4.5682967032967023E-2</v>
      </c>
      <c r="M27" s="29">
        <v>4.5769354838709801E-2</v>
      </c>
      <c r="N27" s="2"/>
      <c r="O27" s="7">
        <v>44869</v>
      </c>
      <c r="P27" s="8">
        <v>3.7999999999999999E-2</v>
      </c>
      <c r="Q27" s="9"/>
      <c r="R27" s="7">
        <v>44860</v>
      </c>
      <c r="S27" s="8">
        <v>3.0299999999999997E-2</v>
      </c>
      <c r="T27" s="10">
        <v>1.0000841666666667</v>
      </c>
      <c r="U27" s="2"/>
      <c r="V27" s="2"/>
    </row>
    <row r="28" spans="2:22" x14ac:dyDescent="0.2">
      <c r="B28" s="40">
        <v>43768</v>
      </c>
      <c r="C28" s="41">
        <v>1.82</v>
      </c>
      <c r="E28" s="52" t="s">
        <v>0</v>
      </c>
      <c r="F28" s="52">
        <v>360</v>
      </c>
      <c r="H28" s="22">
        <v>16</v>
      </c>
      <c r="I28" s="33">
        <v>44837</v>
      </c>
      <c r="J28" s="34">
        <v>45201</v>
      </c>
      <c r="K28" s="28">
        <v>4.6952467258847913E-2</v>
      </c>
      <c r="L28" s="28">
        <v>4.5874999999999999E-2</v>
      </c>
      <c r="M28" s="29">
        <v>4.5863306451613038E-2</v>
      </c>
      <c r="N28" s="2"/>
      <c r="O28" s="7">
        <v>44872</v>
      </c>
      <c r="P28" s="8">
        <v>3.78E-2</v>
      </c>
      <c r="Q28" s="9"/>
      <c r="R28" s="7">
        <v>44861</v>
      </c>
      <c r="S28" s="8">
        <v>3.04E-2</v>
      </c>
      <c r="T28" s="10">
        <v>1.0000844444444446</v>
      </c>
      <c r="U28" s="2"/>
      <c r="V28" s="2"/>
    </row>
    <row r="29" spans="2:22" x14ac:dyDescent="0.2">
      <c r="B29" s="40">
        <v>43769</v>
      </c>
      <c r="C29" s="41">
        <v>1.76</v>
      </c>
      <c r="E29" s="19" t="s">
        <v>18</v>
      </c>
      <c r="F29" s="19">
        <v>365</v>
      </c>
      <c r="H29" s="22">
        <v>17</v>
      </c>
      <c r="I29" s="33">
        <v>44838</v>
      </c>
      <c r="J29" s="34">
        <v>45202</v>
      </c>
      <c r="K29" s="28">
        <v>4.7019223785209639E-2</v>
      </c>
      <c r="L29" s="28">
        <v>4.5938736263736263E-2</v>
      </c>
      <c r="M29" s="29">
        <v>4.5956854838709822E-2</v>
      </c>
      <c r="N29" s="2"/>
      <c r="O29" s="7">
        <v>44873</v>
      </c>
      <c r="P29" s="8">
        <v>3.78E-2</v>
      </c>
      <c r="Q29" s="9"/>
      <c r="R29" s="7">
        <v>44862</v>
      </c>
      <c r="S29" s="8">
        <v>3.0499999999999999E-2</v>
      </c>
      <c r="T29" s="10">
        <v>1.0000847222222222</v>
      </c>
      <c r="U29" s="2"/>
      <c r="V29" s="2"/>
    </row>
    <row r="30" spans="2:22" x14ac:dyDescent="0.2">
      <c r="B30" s="40">
        <v>43770</v>
      </c>
      <c r="C30" s="41">
        <v>1.58</v>
      </c>
      <c r="E30" s="19" t="s">
        <v>17</v>
      </c>
      <c r="F30" s="19">
        <v>365</v>
      </c>
      <c r="H30" s="22">
        <v>18</v>
      </c>
      <c r="I30" s="33"/>
      <c r="J30" s="34"/>
      <c r="K30" s="28"/>
      <c r="L30" s="28"/>
      <c r="M30" s="29"/>
      <c r="N30" s="2"/>
      <c r="O30" s="7">
        <v>44874</v>
      </c>
      <c r="P30" s="8">
        <v>3.78E-2</v>
      </c>
      <c r="Q30" s="9"/>
      <c r="R30" s="7">
        <v>44863</v>
      </c>
      <c r="S30" s="8">
        <v>3.0499999999999999E-2</v>
      </c>
      <c r="T30" s="10">
        <v>1.0000847222222222</v>
      </c>
      <c r="U30" s="2"/>
      <c r="V30" s="2"/>
    </row>
    <row r="31" spans="2:22" x14ac:dyDescent="0.2">
      <c r="B31" s="40">
        <v>43773</v>
      </c>
      <c r="C31" s="41">
        <v>1.56</v>
      </c>
      <c r="H31" s="22">
        <v>19</v>
      </c>
      <c r="I31" s="33"/>
      <c r="J31" s="34"/>
      <c r="K31" s="28"/>
      <c r="L31" s="28"/>
      <c r="M31" s="29"/>
      <c r="N31" s="2"/>
      <c r="O31" s="7">
        <v>44875</v>
      </c>
      <c r="P31" s="8">
        <v>3.78E-2</v>
      </c>
      <c r="Q31" s="9"/>
      <c r="R31" s="7">
        <v>44864</v>
      </c>
      <c r="S31" s="8">
        <v>3.0499999999999999E-2</v>
      </c>
      <c r="T31" s="10">
        <v>1.0000847222222222</v>
      </c>
      <c r="U31" s="2"/>
      <c r="V31" s="2"/>
    </row>
    <row r="32" spans="2:22" x14ac:dyDescent="0.2">
      <c r="B32" s="40">
        <v>43774</v>
      </c>
      <c r="C32" s="41">
        <v>1.58</v>
      </c>
      <c r="H32" s="22">
        <v>20</v>
      </c>
      <c r="I32" s="33"/>
      <c r="J32" s="34"/>
      <c r="K32" s="28"/>
      <c r="L32" s="28"/>
      <c r="M32" s="29"/>
      <c r="N32" s="2"/>
      <c r="O32" s="7">
        <v>44879</v>
      </c>
      <c r="P32" s="8">
        <v>3.7900000000000003E-2</v>
      </c>
      <c r="Q32" s="9"/>
      <c r="R32" s="7">
        <v>44865</v>
      </c>
      <c r="S32" s="8">
        <v>3.0499999999999999E-2</v>
      </c>
      <c r="T32" s="10">
        <v>1.0000847222222222</v>
      </c>
      <c r="U32" s="2"/>
      <c r="V32" s="2"/>
    </row>
    <row r="33" spans="2:22" x14ac:dyDescent="0.2">
      <c r="B33" s="40">
        <v>43775</v>
      </c>
      <c r="C33" s="41">
        <v>1.57</v>
      </c>
      <c r="H33" s="22">
        <v>21</v>
      </c>
      <c r="I33" s="33"/>
      <c r="J33" s="34"/>
      <c r="K33" s="28"/>
      <c r="L33" s="28"/>
      <c r="M33" s="29"/>
      <c r="N33" s="2"/>
      <c r="O33" s="7">
        <v>44880</v>
      </c>
      <c r="P33" s="8">
        <v>3.7999999999999999E-2</v>
      </c>
      <c r="Q33" s="9"/>
      <c r="R33" s="7">
        <v>44866</v>
      </c>
      <c r="S33" s="8">
        <v>3.0499999999999999E-2</v>
      </c>
      <c r="T33" s="10">
        <v>1.0000847222222222</v>
      </c>
      <c r="U33" s="2"/>
      <c r="V33" s="2"/>
    </row>
    <row r="34" spans="2:22" x14ac:dyDescent="0.2">
      <c r="B34" s="40">
        <v>43776</v>
      </c>
      <c r="C34" s="41">
        <v>1.56</v>
      </c>
      <c r="H34" s="22">
        <v>22</v>
      </c>
      <c r="I34" s="33"/>
      <c r="J34" s="34"/>
      <c r="K34" s="28"/>
      <c r="L34" s="28"/>
      <c r="M34" s="29"/>
      <c r="N34" s="2"/>
      <c r="O34" s="7">
        <v>44881</v>
      </c>
      <c r="P34" s="8">
        <v>3.8100000000000002E-2</v>
      </c>
      <c r="Q34" s="9"/>
      <c r="R34" s="7">
        <v>44867</v>
      </c>
      <c r="S34" s="8">
        <v>3.0499999999999999E-2</v>
      </c>
      <c r="T34" s="10">
        <v>1.0000847222222222</v>
      </c>
      <c r="U34" s="2"/>
      <c r="V34" s="2"/>
    </row>
    <row r="35" spans="2:22" x14ac:dyDescent="0.2">
      <c r="B35" s="40">
        <v>43777</v>
      </c>
      <c r="C35" s="41">
        <v>1.56</v>
      </c>
      <c r="H35" s="22">
        <v>23</v>
      </c>
      <c r="I35" s="33"/>
      <c r="J35" s="34"/>
      <c r="K35" s="28"/>
      <c r="L35" s="28"/>
      <c r="M35" s="29"/>
      <c r="N35" s="2"/>
      <c r="O35" s="7">
        <v>44882</v>
      </c>
      <c r="P35" s="8">
        <v>3.7999999999999999E-2</v>
      </c>
      <c r="Q35" s="9"/>
      <c r="R35" s="7">
        <v>44868</v>
      </c>
      <c r="S35" s="8">
        <v>3.7999999999999999E-2</v>
      </c>
      <c r="T35" s="10">
        <v>1.0001055555555556</v>
      </c>
      <c r="U35" s="2"/>
      <c r="V35" s="2"/>
    </row>
    <row r="36" spans="2:22" x14ac:dyDescent="0.2">
      <c r="B36" s="40">
        <v>43781</v>
      </c>
      <c r="C36" s="41">
        <v>1.57</v>
      </c>
      <c r="H36" s="22">
        <v>24</v>
      </c>
      <c r="I36" s="33"/>
      <c r="J36" s="34"/>
      <c r="K36" s="28"/>
      <c r="L36" s="28"/>
      <c r="M36" s="29"/>
      <c r="N36" s="2"/>
      <c r="O36" s="7">
        <v>44883</v>
      </c>
      <c r="P36" s="8">
        <v>3.7999999999999999E-2</v>
      </c>
      <c r="Q36" s="9"/>
      <c r="R36" s="7">
        <v>44869</v>
      </c>
      <c r="S36" s="8">
        <v>3.7999999999999999E-2</v>
      </c>
      <c r="T36" s="10">
        <v>1.0001055555555556</v>
      </c>
      <c r="U36" s="2"/>
      <c r="V36" s="2"/>
    </row>
    <row r="37" spans="2:22" x14ac:dyDescent="0.2">
      <c r="B37" s="40">
        <v>43782</v>
      </c>
      <c r="C37" s="41">
        <v>1.57</v>
      </c>
      <c r="H37" s="22">
        <v>25</v>
      </c>
      <c r="I37" s="33"/>
      <c r="J37" s="34"/>
      <c r="K37" s="28"/>
      <c r="L37" s="28"/>
      <c r="M37" s="29"/>
      <c r="N37" s="2"/>
      <c r="O37" s="7">
        <v>44886</v>
      </c>
      <c r="P37" s="8">
        <v>3.7999999999999999E-2</v>
      </c>
      <c r="Q37" s="9"/>
      <c r="R37" s="7">
        <v>44870</v>
      </c>
      <c r="S37" s="8">
        <v>3.7999999999999999E-2</v>
      </c>
      <c r="T37" s="10">
        <v>1.0001055555555556</v>
      </c>
      <c r="U37" s="2"/>
      <c r="V37" s="2"/>
    </row>
    <row r="38" spans="2:22" x14ac:dyDescent="0.2">
      <c r="B38" s="40">
        <v>43783</v>
      </c>
      <c r="C38" s="41">
        <v>1.58</v>
      </c>
      <c r="H38" s="22">
        <v>26</v>
      </c>
      <c r="I38" s="33"/>
      <c r="J38" s="34"/>
      <c r="K38" s="28"/>
      <c r="L38" s="28"/>
      <c r="M38" s="29"/>
      <c r="N38" s="2"/>
      <c r="O38" s="7">
        <v>44887</v>
      </c>
      <c r="P38" s="8">
        <v>3.7999999999999999E-2</v>
      </c>
      <c r="Q38" s="9"/>
      <c r="R38" s="7">
        <v>44871</v>
      </c>
      <c r="S38" s="8">
        <v>3.7999999999999999E-2</v>
      </c>
      <c r="T38" s="10">
        <v>1.0001055555555556</v>
      </c>
      <c r="U38" s="2"/>
      <c r="V38" s="2"/>
    </row>
    <row r="39" spans="2:22" x14ac:dyDescent="0.2">
      <c r="B39" s="40">
        <v>43784</v>
      </c>
      <c r="C39" s="41">
        <v>1.59</v>
      </c>
      <c r="H39" s="22">
        <v>27</v>
      </c>
      <c r="I39" s="33"/>
      <c r="J39" s="34"/>
      <c r="K39" s="28"/>
      <c r="L39" s="28"/>
      <c r="M39" s="29"/>
      <c r="N39" s="2"/>
      <c r="O39" s="7">
        <v>44888</v>
      </c>
      <c r="P39" s="8">
        <v>3.7900000000000003E-2</v>
      </c>
      <c r="Q39" s="9"/>
      <c r="R39" s="7">
        <v>44872</v>
      </c>
      <c r="S39" s="8">
        <v>3.78E-2</v>
      </c>
      <c r="T39" s="10">
        <v>1.000105</v>
      </c>
      <c r="U39" s="2"/>
      <c r="V39" s="2"/>
    </row>
    <row r="40" spans="2:22" x14ac:dyDescent="0.2">
      <c r="B40" s="40">
        <v>43787</v>
      </c>
      <c r="C40" s="41">
        <v>1.56</v>
      </c>
      <c r="H40" s="22">
        <v>28</v>
      </c>
      <c r="I40" s="33"/>
      <c r="J40" s="34"/>
      <c r="K40" s="28"/>
      <c r="L40" s="28"/>
      <c r="M40" s="29"/>
      <c r="N40" s="2"/>
      <c r="O40" s="7">
        <v>44890</v>
      </c>
      <c r="P40" s="8">
        <v>3.7999999999999999E-2</v>
      </c>
      <c r="Q40" s="9"/>
      <c r="R40" s="7">
        <v>44873</v>
      </c>
      <c r="S40" s="8">
        <v>3.78E-2</v>
      </c>
      <c r="T40" s="10">
        <v>1.000105</v>
      </c>
      <c r="U40" s="2"/>
      <c r="V40" s="2"/>
    </row>
    <row r="41" spans="2:22" x14ac:dyDescent="0.2">
      <c r="B41" s="40">
        <v>43788</v>
      </c>
      <c r="C41" s="41">
        <v>1.57</v>
      </c>
      <c r="H41" s="22">
        <v>29</v>
      </c>
      <c r="I41" s="33"/>
      <c r="J41" s="34"/>
      <c r="K41" s="28"/>
      <c r="L41" s="28"/>
      <c r="M41" s="29"/>
      <c r="N41" s="2"/>
      <c r="O41" s="7">
        <v>44893</v>
      </c>
      <c r="P41" s="8">
        <v>3.7999999999999999E-2</v>
      </c>
      <c r="Q41" s="9"/>
      <c r="R41" s="7">
        <v>44874</v>
      </c>
      <c r="S41" s="8">
        <v>3.78E-2</v>
      </c>
      <c r="T41" s="10">
        <v>1.000105</v>
      </c>
      <c r="U41" s="2"/>
      <c r="V41" s="2"/>
    </row>
    <row r="42" spans="2:22" x14ac:dyDescent="0.2">
      <c r="B42" s="40">
        <v>43789</v>
      </c>
      <c r="C42" s="41">
        <v>1.57</v>
      </c>
      <c r="H42" s="22">
        <v>30</v>
      </c>
      <c r="I42" s="33"/>
      <c r="J42" s="34"/>
      <c r="K42" s="28"/>
      <c r="L42" s="28"/>
      <c r="M42" s="29"/>
      <c r="N42" s="2"/>
      <c r="O42" s="7">
        <v>44894</v>
      </c>
      <c r="P42" s="8">
        <v>3.8100000000000002E-2</v>
      </c>
      <c r="Q42" s="9"/>
      <c r="R42" s="7">
        <v>44875</v>
      </c>
      <c r="S42" s="8">
        <v>3.78E-2</v>
      </c>
      <c r="T42" s="10">
        <v>1.000105</v>
      </c>
      <c r="U42" s="2"/>
      <c r="V42" s="2"/>
    </row>
    <row r="43" spans="2:22" x14ac:dyDescent="0.2">
      <c r="B43" s="40">
        <v>43790</v>
      </c>
      <c r="C43" s="41">
        <v>1.58</v>
      </c>
      <c r="H43" s="22">
        <v>31</v>
      </c>
      <c r="I43" s="33"/>
      <c r="J43" s="34"/>
      <c r="K43" s="28"/>
      <c r="L43" s="28"/>
      <c r="M43" s="29"/>
      <c r="N43" s="2"/>
      <c r="O43" s="7">
        <v>44895</v>
      </c>
      <c r="P43" s="8">
        <v>3.8199999999999998E-2</v>
      </c>
      <c r="Q43" s="9"/>
      <c r="R43" s="7">
        <v>44876</v>
      </c>
      <c r="S43" s="8">
        <v>3.78E-2</v>
      </c>
      <c r="T43" s="10">
        <v>1.000105</v>
      </c>
      <c r="U43" s="2"/>
      <c r="V43" s="2"/>
    </row>
    <row r="44" spans="2:22" x14ac:dyDescent="0.2">
      <c r="B44" s="40">
        <v>43791</v>
      </c>
      <c r="C44" s="41">
        <v>1.58</v>
      </c>
      <c r="H44" s="22">
        <v>32</v>
      </c>
      <c r="I44" s="33"/>
      <c r="J44" s="34"/>
      <c r="K44" s="28"/>
      <c r="L44" s="28"/>
      <c r="M44" s="29"/>
      <c r="N44" s="2"/>
      <c r="O44" s="7">
        <v>44896</v>
      </c>
      <c r="P44" s="8">
        <v>3.8199999999999998E-2</v>
      </c>
      <c r="Q44" s="9"/>
      <c r="R44" s="7">
        <v>44877</v>
      </c>
      <c r="S44" s="8">
        <v>3.78E-2</v>
      </c>
      <c r="T44" s="10">
        <v>1.000105</v>
      </c>
      <c r="U44" s="2"/>
      <c r="V44" s="2"/>
    </row>
    <row r="45" spans="2:22" x14ac:dyDescent="0.2">
      <c r="B45" s="40">
        <v>43794</v>
      </c>
      <c r="C45" s="41">
        <v>1.56</v>
      </c>
      <c r="H45" s="22">
        <v>33</v>
      </c>
      <c r="I45" s="33"/>
      <c r="J45" s="34"/>
      <c r="K45" s="28"/>
      <c r="L45" s="28"/>
      <c r="M45" s="29"/>
      <c r="N45" s="2"/>
      <c r="O45" s="7">
        <v>44897</v>
      </c>
      <c r="P45" s="8">
        <v>3.8100000000000002E-2</v>
      </c>
      <c r="Q45" s="9"/>
      <c r="R45" s="7">
        <v>44878</v>
      </c>
      <c r="S45" s="8">
        <v>3.78E-2</v>
      </c>
      <c r="T45" s="10">
        <v>1.000105</v>
      </c>
      <c r="U45" s="2"/>
      <c r="V45" s="2"/>
    </row>
    <row r="46" spans="2:22" x14ac:dyDescent="0.2">
      <c r="B46" s="40">
        <v>43795</v>
      </c>
      <c r="C46" s="41">
        <v>1.54</v>
      </c>
      <c r="H46" s="22">
        <v>34</v>
      </c>
      <c r="I46" s="33"/>
      <c r="J46" s="34"/>
      <c r="K46" s="28"/>
      <c r="L46" s="28"/>
      <c r="M46" s="29"/>
      <c r="N46" s="2"/>
      <c r="O46" s="7">
        <v>44900</v>
      </c>
      <c r="P46" s="8">
        <v>3.8100000000000002E-2</v>
      </c>
      <c r="Q46" s="9"/>
      <c r="R46" s="7">
        <v>44879</v>
      </c>
      <c r="S46" s="8">
        <v>3.7900000000000003E-2</v>
      </c>
      <c r="T46" s="10">
        <v>1.0001052777777777</v>
      </c>
      <c r="U46" s="2"/>
      <c r="V46" s="2"/>
    </row>
    <row r="47" spans="2:22" x14ac:dyDescent="0.2">
      <c r="B47" s="40">
        <v>43796</v>
      </c>
      <c r="C47" s="41">
        <v>1.55</v>
      </c>
      <c r="H47" s="22">
        <v>35</v>
      </c>
      <c r="I47" s="33"/>
      <c r="J47" s="34"/>
      <c r="K47" s="28"/>
      <c r="L47" s="28"/>
      <c r="M47" s="29"/>
      <c r="N47" s="2"/>
      <c r="O47" s="7">
        <v>44901</v>
      </c>
      <c r="P47" s="8">
        <v>3.7999999999999999E-2</v>
      </c>
      <c r="Q47" s="9"/>
      <c r="R47" s="7">
        <v>44880</v>
      </c>
      <c r="S47" s="8">
        <v>3.7999999999999999E-2</v>
      </c>
      <c r="T47" s="10">
        <v>1.0001055555555556</v>
      </c>
      <c r="U47" s="2"/>
      <c r="V47" s="2"/>
    </row>
    <row r="48" spans="2:22" x14ac:dyDescent="0.2">
      <c r="B48" s="40">
        <v>43798</v>
      </c>
      <c r="C48" s="41">
        <v>1.65</v>
      </c>
      <c r="H48" s="22">
        <v>36</v>
      </c>
      <c r="I48" s="33"/>
      <c r="J48" s="34"/>
      <c r="K48" s="28"/>
      <c r="L48" s="28"/>
      <c r="M48" s="29"/>
      <c r="N48" s="2"/>
      <c r="O48" s="7">
        <v>44902</v>
      </c>
      <c r="P48" s="8">
        <v>3.7999999999999999E-2</v>
      </c>
      <c r="Q48" s="9"/>
      <c r="R48" s="7">
        <v>44881</v>
      </c>
      <c r="S48" s="8">
        <v>3.8100000000000002E-2</v>
      </c>
      <c r="T48" s="10">
        <v>1.0001058333333332</v>
      </c>
      <c r="U48" s="2"/>
      <c r="V48" s="2"/>
    </row>
    <row r="49" spans="2:22" x14ac:dyDescent="0.2">
      <c r="B49" s="40">
        <v>43801</v>
      </c>
      <c r="C49" s="41">
        <v>1.63</v>
      </c>
      <c r="H49" s="22">
        <v>37</v>
      </c>
      <c r="I49" s="33"/>
      <c r="J49" s="34"/>
      <c r="K49" s="28"/>
      <c r="L49" s="28"/>
      <c r="M49" s="29"/>
      <c r="N49" s="2"/>
      <c r="O49" s="7">
        <v>44903</v>
      </c>
      <c r="P49" s="8">
        <v>3.7999999999999999E-2</v>
      </c>
      <c r="Q49" s="9"/>
      <c r="R49" s="7">
        <v>44882</v>
      </c>
      <c r="S49" s="8">
        <v>3.7999999999999999E-2</v>
      </c>
      <c r="T49" s="10">
        <v>1.0001055555555556</v>
      </c>
      <c r="U49" s="2"/>
      <c r="V49" s="2"/>
    </row>
    <row r="50" spans="2:22" x14ac:dyDescent="0.2">
      <c r="B50" s="40">
        <v>43802</v>
      </c>
      <c r="C50" s="41">
        <v>1.55</v>
      </c>
      <c r="H50" s="22">
        <v>38</v>
      </c>
      <c r="I50" s="33"/>
      <c r="J50" s="34"/>
      <c r="K50" s="28"/>
      <c r="L50" s="28"/>
      <c r="M50" s="29"/>
      <c r="N50" s="2"/>
      <c r="O50" s="7">
        <v>44904</v>
      </c>
      <c r="P50" s="8">
        <v>3.7999999999999999E-2</v>
      </c>
      <c r="Q50" s="9"/>
      <c r="R50" s="7">
        <v>44883</v>
      </c>
      <c r="S50" s="8">
        <v>3.7999999999999999E-2</v>
      </c>
      <c r="T50" s="10">
        <v>1.0001055555555556</v>
      </c>
      <c r="U50" s="2"/>
      <c r="V50" s="2"/>
    </row>
    <row r="51" spans="2:22" x14ac:dyDescent="0.2">
      <c r="B51" s="40">
        <v>43803</v>
      </c>
      <c r="C51" s="41">
        <v>1.54</v>
      </c>
      <c r="H51" s="22">
        <v>39</v>
      </c>
      <c r="I51" s="33"/>
      <c r="J51" s="34"/>
      <c r="K51" s="28"/>
      <c r="L51" s="28"/>
      <c r="M51" s="29"/>
      <c r="N51" s="2"/>
      <c r="O51" s="7">
        <v>44907</v>
      </c>
      <c r="P51" s="8">
        <v>3.7999999999999999E-2</v>
      </c>
      <c r="Q51" s="9"/>
      <c r="R51" s="7">
        <v>44884</v>
      </c>
      <c r="S51" s="8">
        <v>3.7999999999999999E-2</v>
      </c>
      <c r="T51" s="10">
        <v>1.0001055555555556</v>
      </c>
      <c r="U51" s="2"/>
      <c r="V51" s="2"/>
    </row>
    <row r="52" spans="2:22" x14ac:dyDescent="0.2">
      <c r="B52" s="40">
        <v>43804</v>
      </c>
      <c r="C52" s="41">
        <v>1.55</v>
      </c>
      <c r="H52" s="22">
        <v>40</v>
      </c>
      <c r="I52" s="33"/>
      <c r="J52" s="34"/>
      <c r="K52" s="28"/>
      <c r="L52" s="28"/>
      <c r="M52" s="29"/>
      <c r="N52" s="2"/>
      <c r="O52" s="7">
        <v>44908</v>
      </c>
      <c r="P52" s="8">
        <v>3.7999999999999999E-2</v>
      </c>
      <c r="Q52" s="9"/>
      <c r="R52" s="7">
        <v>44885</v>
      </c>
      <c r="S52" s="8">
        <v>3.7999999999999999E-2</v>
      </c>
      <c r="T52" s="10">
        <v>1.0001055555555556</v>
      </c>
      <c r="U52" s="2"/>
      <c r="V52" s="2"/>
    </row>
    <row r="53" spans="2:22" x14ac:dyDescent="0.2">
      <c r="B53" s="40">
        <v>43805</v>
      </c>
      <c r="C53" s="41">
        <v>1.55</v>
      </c>
      <c r="H53" s="22">
        <v>41</v>
      </c>
      <c r="I53" s="33"/>
      <c r="J53" s="34"/>
      <c r="K53" s="28"/>
      <c r="L53" s="28"/>
      <c r="M53" s="29"/>
      <c r="N53" s="2"/>
      <c r="O53" s="7">
        <v>44909</v>
      </c>
      <c r="P53" s="8">
        <v>3.7999999999999999E-2</v>
      </c>
      <c r="Q53" s="9"/>
      <c r="R53" s="7">
        <v>44886</v>
      </c>
      <c r="S53" s="8">
        <v>3.7999999999999999E-2</v>
      </c>
      <c r="T53" s="10">
        <v>1.0001055555555556</v>
      </c>
      <c r="U53" s="2"/>
      <c r="V53" s="2"/>
    </row>
    <row r="54" spans="2:22" x14ac:dyDescent="0.2">
      <c r="B54" s="40">
        <v>43808</v>
      </c>
      <c r="C54" s="41">
        <v>1.56</v>
      </c>
      <c r="H54" s="22">
        <v>42</v>
      </c>
      <c r="I54" s="33"/>
      <c r="J54" s="34"/>
      <c r="K54" s="28"/>
      <c r="L54" s="28"/>
      <c r="M54" s="29"/>
      <c r="N54" s="2"/>
      <c r="O54" s="7">
        <v>44910</v>
      </c>
      <c r="P54" s="8">
        <v>4.3200000000000002E-2</v>
      </c>
      <c r="Q54" s="9"/>
      <c r="R54" s="7">
        <v>44887</v>
      </c>
      <c r="S54" s="8">
        <v>3.7999999999999999E-2</v>
      </c>
      <c r="T54" s="10">
        <v>1.0001055555555556</v>
      </c>
      <c r="U54" s="2"/>
      <c r="V54" s="2"/>
    </row>
    <row r="55" spans="2:22" x14ac:dyDescent="0.2">
      <c r="B55" s="40">
        <v>43809</v>
      </c>
      <c r="C55" s="41">
        <v>1.55</v>
      </c>
      <c r="H55" s="22">
        <v>43</v>
      </c>
      <c r="I55" s="33"/>
      <c r="J55" s="34"/>
      <c r="K55" s="28"/>
      <c r="L55" s="28"/>
      <c r="M55" s="29"/>
      <c r="N55" s="2"/>
      <c r="O55" s="7">
        <v>44911</v>
      </c>
      <c r="P55" s="8">
        <v>4.3200000000000002E-2</v>
      </c>
      <c r="Q55" s="9"/>
      <c r="R55" s="7">
        <v>44888</v>
      </c>
      <c r="S55" s="8">
        <v>3.7900000000000003E-2</v>
      </c>
      <c r="T55" s="10">
        <v>1.0001052777777777</v>
      </c>
      <c r="U55" s="2"/>
      <c r="V55" s="2"/>
    </row>
    <row r="56" spans="2:22" x14ac:dyDescent="0.2">
      <c r="B56" s="40">
        <v>43810</v>
      </c>
      <c r="C56" s="41">
        <v>1.54</v>
      </c>
      <c r="H56" s="22">
        <v>44</v>
      </c>
      <c r="I56" s="33"/>
      <c r="J56" s="34"/>
      <c r="K56" s="28"/>
      <c r="L56" s="28"/>
      <c r="M56" s="29"/>
      <c r="N56" s="2"/>
      <c r="O56" s="7">
        <v>44914</v>
      </c>
      <c r="P56" s="8">
        <v>4.2999999999999997E-2</v>
      </c>
      <c r="Q56" s="9"/>
      <c r="R56" s="7">
        <v>44889</v>
      </c>
      <c r="S56" s="8">
        <v>3.7900000000000003E-2</v>
      </c>
      <c r="T56" s="10">
        <v>1.0001052777777777</v>
      </c>
      <c r="U56" s="2"/>
      <c r="V56" s="2"/>
    </row>
    <row r="57" spans="2:22" x14ac:dyDescent="0.2">
      <c r="B57" s="40">
        <v>43811</v>
      </c>
      <c r="C57" s="41">
        <v>1.53</v>
      </c>
      <c r="H57" s="22">
        <v>45</v>
      </c>
      <c r="I57" s="33"/>
      <c r="J57" s="34"/>
      <c r="K57" s="28"/>
      <c r="L57" s="28"/>
      <c r="M57" s="29"/>
      <c r="N57" s="2"/>
      <c r="O57" s="7">
        <v>44915</v>
      </c>
      <c r="P57" s="8">
        <v>4.2999999999999997E-2</v>
      </c>
      <c r="Q57" s="9"/>
      <c r="R57" s="7">
        <v>44890</v>
      </c>
      <c r="S57" s="8">
        <v>3.7999999999999999E-2</v>
      </c>
      <c r="T57" s="10">
        <v>1.0001055555555556</v>
      </c>
      <c r="U57" s="2"/>
      <c r="V57" s="2"/>
    </row>
    <row r="58" spans="2:22" x14ac:dyDescent="0.2">
      <c r="B58" s="40">
        <v>43812</v>
      </c>
      <c r="C58" s="41">
        <v>1.54</v>
      </c>
      <c r="H58" s="22">
        <v>46</v>
      </c>
      <c r="I58" s="33"/>
      <c r="J58" s="34"/>
      <c r="K58" s="28"/>
      <c r="L58" s="28"/>
      <c r="M58" s="29"/>
      <c r="N58" s="2"/>
      <c r="O58" s="7">
        <v>44916</v>
      </c>
      <c r="P58" s="8">
        <v>4.2999999999999997E-2</v>
      </c>
      <c r="Q58" s="9"/>
      <c r="R58" s="7">
        <v>44891</v>
      </c>
      <c r="S58" s="8">
        <v>3.7999999999999999E-2</v>
      </c>
      <c r="T58" s="10">
        <v>1.0001055555555556</v>
      </c>
      <c r="U58" s="2"/>
      <c r="V58" s="2"/>
    </row>
    <row r="59" spans="2:22" x14ac:dyDescent="0.2">
      <c r="B59" s="40">
        <v>43815</v>
      </c>
      <c r="C59" s="41">
        <v>1.62</v>
      </c>
      <c r="H59" s="22">
        <v>47</v>
      </c>
      <c r="I59" s="33"/>
      <c r="J59" s="34"/>
      <c r="K59" s="28"/>
      <c r="L59" s="28"/>
      <c r="M59" s="29"/>
      <c r="N59" s="2"/>
      <c r="O59" s="7">
        <v>44917</v>
      </c>
      <c r="P59" s="8">
        <v>4.2999999999999997E-2</v>
      </c>
      <c r="Q59" s="9"/>
      <c r="R59" s="7">
        <v>44892</v>
      </c>
      <c r="S59" s="8">
        <v>3.7999999999999999E-2</v>
      </c>
      <c r="T59" s="10">
        <v>1.0001055555555556</v>
      </c>
      <c r="U59" s="2"/>
      <c r="V59" s="2"/>
    </row>
    <row r="60" spans="2:22" x14ac:dyDescent="0.2">
      <c r="B60" s="40">
        <v>43816</v>
      </c>
      <c r="C60" s="41">
        <v>1.54</v>
      </c>
      <c r="H60" s="22">
        <v>48</v>
      </c>
      <c r="I60" s="33"/>
      <c r="J60" s="34"/>
      <c r="K60" s="28"/>
      <c r="L60" s="28"/>
      <c r="M60" s="29"/>
      <c r="N60" s="2"/>
      <c r="O60" s="7">
        <v>44918</v>
      </c>
      <c r="P60" s="8">
        <v>4.2999999999999997E-2</v>
      </c>
      <c r="Q60" s="9"/>
      <c r="R60" s="7">
        <v>44893</v>
      </c>
      <c r="S60" s="8">
        <v>3.7999999999999999E-2</v>
      </c>
      <c r="T60" s="10">
        <v>1.0001055555555556</v>
      </c>
      <c r="U60" s="2"/>
      <c r="V60" s="2"/>
    </row>
    <row r="61" spans="2:22" x14ac:dyDescent="0.2">
      <c r="B61" s="40">
        <v>43817</v>
      </c>
      <c r="C61" s="41">
        <v>1.53</v>
      </c>
      <c r="H61" s="22">
        <v>49</v>
      </c>
      <c r="I61" s="33"/>
      <c r="J61" s="34"/>
      <c r="K61" s="28"/>
      <c r="L61" s="28"/>
      <c r="M61" s="29"/>
      <c r="N61" s="2"/>
      <c r="O61" s="7">
        <v>44922</v>
      </c>
      <c r="P61" s="8">
        <v>4.2999999999999997E-2</v>
      </c>
      <c r="Q61" s="9"/>
      <c r="R61" s="7">
        <v>44894</v>
      </c>
      <c r="S61" s="8">
        <v>3.8100000000000002E-2</v>
      </c>
      <c r="T61" s="10">
        <v>1.0001058333333332</v>
      </c>
      <c r="U61" s="2"/>
      <c r="V61" s="2"/>
    </row>
    <row r="62" spans="2:22" x14ac:dyDescent="0.2">
      <c r="B62" s="40">
        <v>43818</v>
      </c>
      <c r="C62" s="41">
        <v>1.53</v>
      </c>
      <c r="H62" s="22">
        <v>50</v>
      </c>
      <c r="I62" s="33"/>
      <c r="J62" s="34"/>
      <c r="K62" s="28"/>
      <c r="L62" s="28"/>
      <c r="M62" s="29"/>
      <c r="N62" s="2"/>
      <c r="O62" s="7">
        <v>44923</v>
      </c>
      <c r="P62" s="8">
        <v>4.2999999999999997E-2</v>
      </c>
      <c r="Q62" s="9"/>
      <c r="R62" s="7">
        <v>44895</v>
      </c>
      <c r="S62" s="8">
        <v>3.8199999999999998E-2</v>
      </c>
      <c r="T62" s="10">
        <v>1.0001061111111111</v>
      </c>
      <c r="U62" s="2"/>
      <c r="V62" s="2"/>
    </row>
    <row r="63" spans="2:22" x14ac:dyDescent="0.2">
      <c r="B63" s="40">
        <v>43819</v>
      </c>
      <c r="C63" s="41">
        <v>1.53</v>
      </c>
      <c r="H63" s="22">
        <v>51</v>
      </c>
      <c r="I63" s="33"/>
      <c r="J63" s="34"/>
      <c r="K63" s="28"/>
      <c r="L63" s="28"/>
      <c r="M63" s="29"/>
      <c r="N63" s="2"/>
      <c r="O63" s="7">
        <v>44924</v>
      </c>
      <c r="P63" s="8">
        <v>4.2999999999999997E-2</v>
      </c>
      <c r="Q63" s="9"/>
      <c r="R63" s="7">
        <v>44896</v>
      </c>
      <c r="S63" s="8">
        <v>3.8199999999999998E-2</v>
      </c>
      <c r="T63" s="10">
        <v>1.0001061111111111</v>
      </c>
      <c r="U63" s="2"/>
      <c r="V63" s="2"/>
    </row>
    <row r="64" spans="2:22" x14ac:dyDescent="0.2">
      <c r="B64" s="40">
        <v>43822</v>
      </c>
      <c r="C64" s="41">
        <v>1.52</v>
      </c>
      <c r="H64" s="22">
        <v>52</v>
      </c>
      <c r="I64" s="33"/>
      <c r="J64" s="34"/>
      <c r="K64" s="28"/>
      <c r="L64" s="28"/>
      <c r="M64" s="29"/>
      <c r="N64" s="2"/>
      <c r="O64" s="7">
        <v>44925</v>
      </c>
      <c r="P64" s="8">
        <v>4.2999999999999997E-2</v>
      </c>
      <c r="Q64" s="9"/>
      <c r="R64" s="7">
        <v>44897</v>
      </c>
      <c r="S64" s="8">
        <v>3.8100000000000002E-2</v>
      </c>
      <c r="T64" s="10">
        <v>1.0001058333333332</v>
      </c>
      <c r="U64" s="2"/>
      <c r="V64" s="2"/>
    </row>
    <row r="65" spans="2:22" x14ac:dyDescent="0.2">
      <c r="B65" s="40">
        <v>43823</v>
      </c>
      <c r="C65" s="41">
        <v>1.52</v>
      </c>
      <c r="H65" s="22">
        <v>53</v>
      </c>
      <c r="I65" s="33"/>
      <c r="J65" s="34"/>
      <c r="K65" s="28"/>
      <c r="L65" s="28"/>
      <c r="M65" s="29"/>
      <c r="N65" s="2"/>
      <c r="O65" s="7">
        <v>44929</v>
      </c>
      <c r="P65" s="8">
        <v>4.3099999999999999E-2</v>
      </c>
      <c r="Q65" s="9"/>
      <c r="R65" s="7">
        <v>44898</v>
      </c>
      <c r="S65" s="8">
        <v>3.8100000000000002E-2</v>
      </c>
      <c r="T65" s="10">
        <v>1.0001058333333332</v>
      </c>
      <c r="U65" s="2"/>
      <c r="V65" s="2"/>
    </row>
    <row r="66" spans="2:22" x14ac:dyDescent="0.2">
      <c r="B66" s="40">
        <v>43825</v>
      </c>
      <c r="C66" s="41">
        <v>1.52</v>
      </c>
      <c r="H66" s="22">
        <v>54</v>
      </c>
      <c r="I66" s="33"/>
      <c r="J66" s="34"/>
      <c r="K66" s="28"/>
      <c r="L66" s="28"/>
      <c r="M66" s="29"/>
      <c r="N66" s="2"/>
      <c r="O66" s="7">
        <v>44930</v>
      </c>
      <c r="P66" s="8">
        <v>4.2999999999999997E-2</v>
      </c>
      <c r="Q66" s="9"/>
      <c r="R66" s="7">
        <v>44899</v>
      </c>
      <c r="S66" s="8">
        <v>3.8100000000000002E-2</v>
      </c>
      <c r="T66" s="10">
        <v>1.0001058333333332</v>
      </c>
      <c r="U66" s="2"/>
      <c r="V66" s="2"/>
    </row>
    <row r="67" spans="2:22" x14ac:dyDescent="0.2">
      <c r="B67" s="40">
        <v>43826</v>
      </c>
      <c r="C67" s="41">
        <v>1.53</v>
      </c>
      <c r="H67" s="22">
        <v>55</v>
      </c>
      <c r="I67" s="33"/>
      <c r="J67" s="34"/>
      <c r="K67" s="28"/>
      <c r="L67" s="28"/>
      <c r="M67" s="29"/>
      <c r="N67" s="2"/>
      <c r="O67" s="7">
        <v>44931</v>
      </c>
      <c r="P67" s="8">
        <v>4.3099999999999999E-2</v>
      </c>
      <c r="Q67" s="9"/>
      <c r="R67" s="7">
        <v>44900</v>
      </c>
      <c r="S67" s="8">
        <v>3.8100000000000002E-2</v>
      </c>
      <c r="T67" s="10">
        <v>1.0001058333333332</v>
      </c>
      <c r="U67" s="2"/>
      <c r="V67" s="2"/>
    </row>
    <row r="68" spans="2:22" x14ac:dyDescent="0.2">
      <c r="B68" s="40">
        <v>43829</v>
      </c>
      <c r="C68" s="41">
        <v>1.54</v>
      </c>
      <c r="H68" s="22">
        <v>56</v>
      </c>
      <c r="I68" s="33"/>
      <c r="J68" s="34"/>
      <c r="K68" s="28"/>
      <c r="L68" s="28"/>
      <c r="M68" s="29"/>
      <c r="N68" s="2"/>
      <c r="O68" s="7">
        <v>44932</v>
      </c>
      <c r="P68" s="8">
        <v>4.3099999999999999E-2</v>
      </c>
      <c r="Q68" s="9"/>
      <c r="R68" s="7">
        <v>44901</v>
      </c>
      <c r="S68" s="8">
        <v>3.7999999999999999E-2</v>
      </c>
      <c r="T68" s="10">
        <v>1.0001055555555556</v>
      </c>
      <c r="U68" s="2"/>
      <c r="V68" s="2"/>
    </row>
    <row r="69" spans="2:22" x14ac:dyDescent="0.2">
      <c r="B69" s="40">
        <v>43830</v>
      </c>
      <c r="C69" s="41">
        <v>1.55</v>
      </c>
      <c r="H69" s="22">
        <v>57</v>
      </c>
      <c r="I69" s="33"/>
      <c r="J69" s="34"/>
      <c r="K69" s="28"/>
      <c r="L69" s="28"/>
      <c r="M69" s="29"/>
      <c r="N69" s="2"/>
      <c r="O69" s="7">
        <v>44935</v>
      </c>
      <c r="P69" s="8">
        <v>4.3099999999999999E-2</v>
      </c>
      <c r="Q69" s="9"/>
      <c r="R69" s="7">
        <v>44902</v>
      </c>
      <c r="S69" s="8">
        <v>3.7999999999999999E-2</v>
      </c>
      <c r="T69" s="10">
        <v>1.0001055555555556</v>
      </c>
      <c r="U69" s="2"/>
      <c r="V69" s="2"/>
    </row>
    <row r="70" spans="2:22" x14ac:dyDescent="0.2">
      <c r="B70" s="40">
        <v>43832</v>
      </c>
      <c r="C70" s="41">
        <v>1.54</v>
      </c>
      <c r="H70" s="22">
        <v>58</v>
      </c>
      <c r="I70" s="33"/>
      <c r="J70" s="34"/>
      <c r="K70" s="28"/>
      <c r="L70" s="28"/>
      <c r="M70" s="29"/>
      <c r="N70" s="2"/>
      <c r="O70" s="7">
        <v>44936</v>
      </c>
      <c r="P70" s="8">
        <v>4.3099999999999999E-2</v>
      </c>
      <c r="Q70" s="9"/>
      <c r="R70" s="7">
        <v>44903</v>
      </c>
      <c r="S70" s="8">
        <v>3.7999999999999999E-2</v>
      </c>
      <c r="T70" s="10">
        <v>1.0001055555555556</v>
      </c>
      <c r="U70" s="2"/>
      <c r="V70" s="2"/>
    </row>
    <row r="71" spans="2:22" x14ac:dyDescent="0.2">
      <c r="B71" s="40">
        <v>43833</v>
      </c>
      <c r="C71" s="41">
        <v>1.55</v>
      </c>
      <c r="H71" s="22">
        <v>59</v>
      </c>
      <c r="I71" s="33"/>
      <c r="J71" s="34"/>
      <c r="K71" s="28"/>
      <c r="L71" s="28"/>
      <c r="M71" s="29"/>
      <c r="N71" s="2"/>
      <c r="O71" s="7">
        <v>44937</v>
      </c>
      <c r="P71" s="8">
        <v>4.2999999999999997E-2</v>
      </c>
      <c r="Q71" s="9"/>
      <c r="R71" s="7">
        <v>44904</v>
      </c>
      <c r="S71" s="8">
        <v>3.7999999999999999E-2</v>
      </c>
      <c r="T71" s="10">
        <v>1.0001055555555556</v>
      </c>
      <c r="U71" s="2"/>
      <c r="V71" s="2"/>
    </row>
    <row r="72" spans="2:22" x14ac:dyDescent="0.2">
      <c r="B72" s="40">
        <v>43836</v>
      </c>
      <c r="C72" s="41">
        <v>1.55</v>
      </c>
      <c r="H72" s="22">
        <v>60</v>
      </c>
      <c r="I72" s="33"/>
      <c r="J72" s="34"/>
      <c r="K72" s="28"/>
      <c r="L72" s="28"/>
      <c r="M72" s="29"/>
      <c r="N72" s="2"/>
      <c r="O72" s="7">
        <v>44938</v>
      </c>
      <c r="P72" s="8">
        <v>4.2999999999999997E-2</v>
      </c>
      <c r="Q72" s="9"/>
      <c r="R72" s="7">
        <v>44905</v>
      </c>
      <c r="S72" s="8">
        <v>3.7999999999999999E-2</v>
      </c>
      <c r="T72" s="10">
        <v>1.0001055555555556</v>
      </c>
      <c r="U72" s="2"/>
      <c r="V72" s="2"/>
    </row>
    <row r="73" spans="2:22" x14ac:dyDescent="0.2">
      <c r="B73" s="40">
        <v>43837</v>
      </c>
      <c r="C73" s="41">
        <v>1.56</v>
      </c>
      <c r="H73" s="22">
        <v>61</v>
      </c>
      <c r="I73" s="33"/>
      <c r="J73" s="34"/>
      <c r="K73" s="28"/>
      <c r="L73" s="28"/>
      <c r="M73" s="29"/>
      <c r="N73" s="2"/>
      <c r="O73" s="7">
        <v>44939</v>
      </c>
      <c r="P73" s="8">
        <v>4.2999999999999997E-2</v>
      </c>
      <c r="Q73" s="9"/>
      <c r="R73" s="7">
        <v>44906</v>
      </c>
      <c r="S73" s="8">
        <v>3.7999999999999999E-2</v>
      </c>
      <c r="T73" s="10">
        <v>1.0001055555555556</v>
      </c>
      <c r="U73" s="2"/>
      <c r="V73" s="2"/>
    </row>
    <row r="74" spans="2:22" x14ac:dyDescent="0.2">
      <c r="B74" s="40">
        <v>43838</v>
      </c>
      <c r="C74" s="41">
        <v>1.55</v>
      </c>
      <c r="H74" s="22">
        <v>62</v>
      </c>
      <c r="I74" s="33"/>
      <c r="J74" s="34"/>
      <c r="K74" s="28"/>
      <c r="L74" s="28"/>
      <c r="M74" s="29"/>
      <c r="N74" s="2"/>
      <c r="O74" s="7">
        <v>44943</v>
      </c>
      <c r="P74" s="8">
        <v>4.3099999999999999E-2</v>
      </c>
      <c r="Q74" s="9"/>
      <c r="R74" s="7">
        <v>44907</v>
      </c>
      <c r="S74" s="8">
        <v>3.7999999999999999E-2</v>
      </c>
      <c r="T74" s="10">
        <v>1.0001055555555556</v>
      </c>
      <c r="U74" s="2"/>
      <c r="V74" s="2"/>
    </row>
    <row r="75" spans="2:22" x14ac:dyDescent="0.2">
      <c r="B75" s="40">
        <v>43839</v>
      </c>
      <c r="C75" s="41">
        <v>1.55</v>
      </c>
      <c r="H75" s="22">
        <v>63</v>
      </c>
      <c r="I75" s="33"/>
      <c r="J75" s="34"/>
      <c r="K75" s="28"/>
      <c r="L75" s="28"/>
      <c r="M75" s="29"/>
      <c r="N75" s="2"/>
      <c r="O75" s="7">
        <v>44944</v>
      </c>
      <c r="P75" s="8">
        <v>4.2999999999999997E-2</v>
      </c>
      <c r="Q75" s="9"/>
      <c r="R75" s="7">
        <v>44908</v>
      </c>
      <c r="S75" s="8">
        <v>3.7999999999999999E-2</v>
      </c>
      <c r="T75" s="10">
        <v>1.0001055555555556</v>
      </c>
      <c r="U75" s="2"/>
      <c r="V75" s="2"/>
    </row>
    <row r="76" spans="2:22" x14ac:dyDescent="0.2">
      <c r="B76" s="40">
        <v>43840</v>
      </c>
      <c r="C76" s="41">
        <v>1.55</v>
      </c>
      <c r="H76" s="22">
        <v>64</v>
      </c>
      <c r="I76" s="33"/>
      <c r="J76" s="34"/>
      <c r="K76" s="28"/>
      <c r="L76" s="28"/>
      <c r="M76" s="29"/>
      <c r="N76" s="2"/>
      <c r="O76" s="7">
        <v>44945</v>
      </c>
      <c r="P76" s="8">
        <v>4.3099999999999999E-2</v>
      </c>
      <c r="Q76" s="9"/>
      <c r="R76" s="7">
        <v>44909</v>
      </c>
      <c r="S76" s="8">
        <v>3.7999999999999999E-2</v>
      </c>
      <c r="T76" s="10">
        <v>1.0001055555555556</v>
      </c>
      <c r="U76" s="2"/>
      <c r="V76" s="2"/>
    </row>
    <row r="77" spans="2:22" x14ac:dyDescent="0.2">
      <c r="B77" s="40">
        <v>43843</v>
      </c>
      <c r="C77" s="41">
        <v>1.54</v>
      </c>
      <c r="H77" s="22">
        <v>65</v>
      </c>
      <c r="I77" s="33"/>
      <c r="J77" s="34"/>
      <c r="K77" s="28"/>
      <c r="L77" s="28"/>
      <c r="M77" s="29"/>
      <c r="N77" s="2"/>
      <c r="O77" s="7">
        <v>44946</v>
      </c>
      <c r="P77" s="8">
        <v>4.2999999999999997E-2</v>
      </c>
      <c r="Q77" s="9"/>
      <c r="R77" s="7">
        <v>44910</v>
      </c>
      <c r="S77" s="8">
        <v>4.3200000000000002E-2</v>
      </c>
      <c r="T77" s="10">
        <v>1.0001199999999999</v>
      </c>
      <c r="U77" s="2"/>
      <c r="V77" s="2"/>
    </row>
    <row r="78" spans="2:22" x14ac:dyDescent="0.2">
      <c r="B78" s="40">
        <v>43844</v>
      </c>
      <c r="C78" s="41">
        <v>1.55</v>
      </c>
      <c r="H78" s="22">
        <v>66</v>
      </c>
      <c r="I78" s="33"/>
      <c r="J78" s="34"/>
      <c r="K78" s="28"/>
      <c r="L78" s="28"/>
      <c r="M78" s="29"/>
      <c r="N78" s="2"/>
      <c r="O78" s="7">
        <v>44949</v>
      </c>
      <c r="P78" s="8">
        <v>4.2999999999999997E-2</v>
      </c>
      <c r="Q78" s="9"/>
      <c r="R78" s="7">
        <v>44911</v>
      </c>
      <c r="S78" s="8">
        <v>4.3200000000000002E-2</v>
      </c>
      <c r="T78" s="10">
        <v>1.0001199999999999</v>
      </c>
      <c r="U78" s="2"/>
      <c r="V78" s="2"/>
    </row>
    <row r="79" spans="2:22" x14ac:dyDescent="0.2">
      <c r="B79" s="40">
        <v>43845</v>
      </c>
      <c r="C79" s="41">
        <v>1.56</v>
      </c>
      <c r="H79" s="22">
        <v>67</v>
      </c>
      <c r="I79" s="33"/>
      <c r="J79" s="34"/>
      <c r="K79" s="28"/>
      <c r="L79" s="28"/>
      <c r="M79" s="29"/>
      <c r="N79" s="2"/>
      <c r="O79" s="7">
        <v>44950</v>
      </c>
      <c r="P79" s="8">
        <v>4.2999999999999997E-2</v>
      </c>
      <c r="Q79" s="9"/>
      <c r="R79" s="7">
        <v>44912</v>
      </c>
      <c r="S79" s="8">
        <v>4.3200000000000002E-2</v>
      </c>
      <c r="T79" s="10">
        <v>1.0001199999999999</v>
      </c>
      <c r="U79" s="2"/>
      <c r="V79" s="2"/>
    </row>
    <row r="80" spans="2:22" x14ac:dyDescent="0.2">
      <c r="B80" s="40">
        <v>43846</v>
      </c>
      <c r="C80" s="41">
        <v>1.55</v>
      </c>
      <c r="H80" s="22">
        <v>68</v>
      </c>
      <c r="I80" s="33"/>
      <c r="J80" s="34"/>
      <c r="K80" s="28"/>
      <c r="L80" s="28"/>
      <c r="M80" s="29"/>
      <c r="N80" s="2"/>
      <c r="O80" s="7">
        <v>44951</v>
      </c>
      <c r="P80" s="8">
        <v>4.3099999999999999E-2</v>
      </c>
      <c r="Q80" s="9"/>
      <c r="R80" s="7">
        <v>44913</v>
      </c>
      <c r="S80" s="8">
        <v>4.3200000000000002E-2</v>
      </c>
      <c r="T80" s="10">
        <v>1.0001199999999999</v>
      </c>
      <c r="U80" s="2"/>
      <c r="V80" s="2"/>
    </row>
    <row r="81" spans="2:22" x14ac:dyDescent="0.2">
      <c r="B81" s="40">
        <v>43847</v>
      </c>
      <c r="C81" s="41">
        <v>1.54</v>
      </c>
      <c r="H81" s="22">
        <v>69</v>
      </c>
      <c r="I81" s="33"/>
      <c r="J81" s="34"/>
      <c r="K81" s="28"/>
      <c r="L81" s="28"/>
      <c r="M81" s="29"/>
      <c r="N81" s="2"/>
      <c r="O81" s="7">
        <v>44952</v>
      </c>
      <c r="P81" s="8">
        <v>4.2999999999999997E-2</v>
      </c>
      <c r="Q81" s="9"/>
      <c r="R81" s="7">
        <v>44914</v>
      </c>
      <c r="S81" s="8">
        <v>4.2999999999999997E-2</v>
      </c>
      <c r="T81" s="10">
        <v>1.0001194444444443</v>
      </c>
      <c r="U81" s="2"/>
      <c r="V81" s="2"/>
    </row>
    <row r="82" spans="2:22" x14ac:dyDescent="0.2">
      <c r="B82" s="40">
        <v>43851</v>
      </c>
      <c r="C82" s="41">
        <v>1.54</v>
      </c>
      <c r="H82" s="22">
        <v>70</v>
      </c>
      <c r="I82" s="33"/>
      <c r="J82" s="34"/>
      <c r="K82" s="28"/>
      <c r="L82" s="28"/>
      <c r="M82" s="29"/>
      <c r="N82" s="2"/>
      <c r="O82" s="7">
        <v>44953</v>
      </c>
      <c r="P82" s="8">
        <v>4.2999999999999997E-2</v>
      </c>
      <c r="Q82" s="9"/>
      <c r="R82" s="7">
        <v>44915</v>
      </c>
      <c r="S82" s="8">
        <v>4.2999999999999997E-2</v>
      </c>
      <c r="T82" s="10">
        <v>1.0001194444444443</v>
      </c>
      <c r="U82" s="2"/>
      <c r="V82" s="2"/>
    </row>
    <row r="83" spans="2:22" x14ac:dyDescent="0.2">
      <c r="B83" s="40">
        <v>43852</v>
      </c>
      <c r="C83" s="41">
        <v>1.54</v>
      </c>
      <c r="H83" s="22">
        <v>71</v>
      </c>
      <c r="I83" s="33"/>
      <c r="J83" s="34"/>
      <c r="K83" s="28"/>
      <c r="L83" s="28"/>
      <c r="M83" s="29"/>
      <c r="N83" s="2"/>
      <c r="O83" s="7">
        <v>44956</v>
      </c>
      <c r="P83" s="8">
        <v>4.2999999999999997E-2</v>
      </c>
      <c r="Q83" s="9"/>
      <c r="R83" s="7">
        <v>44916</v>
      </c>
      <c r="S83" s="8">
        <v>4.2999999999999997E-2</v>
      </c>
      <c r="T83" s="10">
        <v>1.0001194444444443</v>
      </c>
      <c r="U83" s="2"/>
      <c r="V83" s="2"/>
    </row>
    <row r="84" spans="2:22" x14ac:dyDescent="0.2">
      <c r="B84" s="40">
        <v>43853</v>
      </c>
      <c r="C84" s="41">
        <v>1.54</v>
      </c>
      <c r="H84" s="22">
        <v>72</v>
      </c>
      <c r="I84" s="33"/>
      <c r="J84" s="34"/>
      <c r="K84" s="28"/>
      <c r="L84" s="28"/>
      <c r="M84" s="29"/>
      <c r="N84" s="2"/>
      <c r="O84" s="7">
        <v>44957</v>
      </c>
      <c r="P84" s="8">
        <v>4.3099999999999999E-2</v>
      </c>
      <c r="Q84" s="9"/>
      <c r="R84" s="7">
        <v>44917</v>
      </c>
      <c r="S84" s="8">
        <v>4.2999999999999997E-2</v>
      </c>
      <c r="T84" s="10">
        <v>1.0001194444444443</v>
      </c>
      <c r="U84" s="2"/>
      <c r="V84" s="2"/>
    </row>
    <row r="85" spans="2:22" x14ac:dyDescent="0.2">
      <c r="B85" s="40">
        <v>43854</v>
      </c>
      <c r="C85" s="41">
        <v>1.53</v>
      </c>
      <c r="H85" s="22">
        <v>73</v>
      </c>
      <c r="I85" s="33"/>
      <c r="J85" s="34"/>
      <c r="K85" s="28"/>
      <c r="L85" s="28"/>
      <c r="M85" s="29"/>
      <c r="N85" s="2"/>
      <c r="O85" s="7">
        <v>44958</v>
      </c>
      <c r="P85" s="8">
        <v>4.3099999999999999E-2</v>
      </c>
      <c r="Q85" s="9"/>
      <c r="R85" s="7">
        <v>44918</v>
      </c>
      <c r="S85" s="8">
        <v>4.2999999999999997E-2</v>
      </c>
      <c r="T85" s="10">
        <v>1.0001194444444443</v>
      </c>
      <c r="U85" s="2"/>
      <c r="V85" s="2"/>
    </row>
    <row r="86" spans="2:22" x14ac:dyDescent="0.2">
      <c r="B86" s="40">
        <v>43857</v>
      </c>
      <c r="C86" s="41">
        <v>1.53</v>
      </c>
      <c r="H86" s="22">
        <v>74</v>
      </c>
      <c r="I86" s="33"/>
      <c r="J86" s="34"/>
      <c r="K86" s="28"/>
      <c r="L86" s="28"/>
      <c r="M86" s="29"/>
      <c r="N86" s="2"/>
      <c r="O86" s="7">
        <v>44959</v>
      </c>
      <c r="P86" s="8">
        <v>4.5599999999999995E-2</v>
      </c>
      <c r="Q86" s="9"/>
      <c r="R86" s="7">
        <v>44919</v>
      </c>
      <c r="S86" s="8">
        <v>4.2999999999999997E-2</v>
      </c>
      <c r="T86" s="10">
        <v>1.0001194444444443</v>
      </c>
      <c r="U86" s="2"/>
      <c r="V86" s="2"/>
    </row>
    <row r="87" spans="2:22" x14ac:dyDescent="0.2">
      <c r="B87" s="40">
        <v>43858</v>
      </c>
      <c r="C87" s="41">
        <v>1.53</v>
      </c>
      <c r="H87" s="22">
        <v>75</v>
      </c>
      <c r="I87" s="33"/>
      <c r="J87" s="34"/>
      <c r="K87" s="28"/>
      <c r="L87" s="28"/>
      <c r="M87" s="29"/>
      <c r="N87" s="2"/>
      <c r="O87" s="7">
        <v>44960</v>
      </c>
      <c r="P87" s="8">
        <v>4.5499999999999999E-2</v>
      </c>
      <c r="Q87" s="9"/>
      <c r="R87" s="7">
        <v>44920</v>
      </c>
      <c r="S87" s="8">
        <v>4.2999999999999997E-2</v>
      </c>
      <c r="T87" s="10">
        <v>1.0001194444444443</v>
      </c>
      <c r="U87" s="2"/>
      <c r="V87" s="2"/>
    </row>
    <row r="88" spans="2:22" x14ac:dyDescent="0.2">
      <c r="B88" s="40">
        <v>43859</v>
      </c>
      <c r="C88" s="41">
        <v>1.53</v>
      </c>
      <c r="H88" s="22">
        <v>76</v>
      </c>
      <c r="I88" s="33"/>
      <c r="J88" s="34"/>
      <c r="K88" s="28"/>
      <c r="L88" s="28"/>
      <c r="M88" s="29"/>
      <c r="N88" s="2"/>
      <c r="O88" s="7">
        <v>44963</v>
      </c>
      <c r="P88" s="8">
        <v>4.5499999999999999E-2</v>
      </c>
      <c r="Q88" s="9"/>
      <c r="R88" s="7">
        <v>44921</v>
      </c>
      <c r="S88" s="8">
        <v>4.2999999999999997E-2</v>
      </c>
      <c r="T88" s="10">
        <v>1.0001194444444443</v>
      </c>
      <c r="U88" s="2"/>
      <c r="V88" s="2"/>
    </row>
    <row r="89" spans="2:22" x14ac:dyDescent="0.2">
      <c r="B89" s="40">
        <v>43860</v>
      </c>
      <c r="C89" s="41">
        <v>1.58</v>
      </c>
      <c r="H89" s="22">
        <v>77</v>
      </c>
      <c r="I89" s="33"/>
      <c r="J89" s="34"/>
      <c r="K89" s="28"/>
      <c r="L89" s="28"/>
      <c r="M89" s="29"/>
      <c r="N89" s="2"/>
      <c r="O89" s="7">
        <v>44964</v>
      </c>
      <c r="P89" s="8">
        <v>4.5499999999999999E-2</v>
      </c>
      <c r="Q89" s="9"/>
      <c r="R89" s="7">
        <v>44922</v>
      </c>
      <c r="S89" s="8">
        <v>4.2999999999999997E-2</v>
      </c>
      <c r="T89" s="10">
        <v>1.0001194444444443</v>
      </c>
      <c r="U89" s="2"/>
      <c r="V89" s="2"/>
    </row>
    <row r="90" spans="2:22" x14ac:dyDescent="0.2">
      <c r="B90" s="40">
        <v>43861</v>
      </c>
      <c r="C90" s="41">
        <v>1.6</v>
      </c>
      <c r="H90" s="22">
        <v>78</v>
      </c>
      <c r="I90" s="33"/>
      <c r="J90" s="34"/>
      <c r="K90" s="28"/>
      <c r="L90" s="28"/>
      <c r="M90" s="29"/>
      <c r="N90" s="2"/>
      <c r="O90" s="7">
        <v>44965</v>
      </c>
      <c r="P90" s="8">
        <v>4.5499999999999999E-2</v>
      </c>
      <c r="Q90" s="9"/>
      <c r="R90" s="7">
        <v>44923</v>
      </c>
      <c r="S90" s="8">
        <v>4.2999999999999997E-2</v>
      </c>
      <c r="T90" s="10">
        <v>1.0001194444444443</v>
      </c>
      <c r="U90" s="2"/>
      <c r="V90" s="2"/>
    </row>
    <row r="91" spans="2:22" x14ac:dyDescent="0.2">
      <c r="B91" s="40">
        <v>43864</v>
      </c>
      <c r="C91" s="41">
        <v>1.59</v>
      </c>
      <c r="H91" s="22">
        <v>79</v>
      </c>
      <c r="I91" s="33"/>
      <c r="J91" s="34"/>
      <c r="K91" s="28"/>
      <c r="L91" s="28"/>
      <c r="M91" s="29"/>
      <c r="N91" s="2"/>
      <c r="O91" s="7">
        <v>44966</v>
      </c>
      <c r="P91" s="8">
        <v>4.5499999999999999E-2</v>
      </c>
      <c r="Q91" s="9"/>
      <c r="R91" s="7">
        <v>44924</v>
      </c>
      <c r="S91" s="8">
        <v>4.2999999999999997E-2</v>
      </c>
      <c r="T91" s="10">
        <v>1.0001194444444443</v>
      </c>
      <c r="U91" s="2"/>
      <c r="V91" s="2"/>
    </row>
    <row r="92" spans="2:22" x14ac:dyDescent="0.2">
      <c r="B92" s="40">
        <v>43865</v>
      </c>
      <c r="C92" s="41">
        <v>1.6</v>
      </c>
      <c r="H92" s="22">
        <v>80</v>
      </c>
      <c r="I92" s="33"/>
      <c r="J92" s="34"/>
      <c r="K92" s="28"/>
      <c r="L92" s="28"/>
      <c r="M92" s="29"/>
      <c r="N92" s="2"/>
      <c r="O92" s="7">
        <v>44967</v>
      </c>
      <c r="P92" s="8">
        <v>4.5499999999999999E-2</v>
      </c>
      <c r="Q92" s="9"/>
      <c r="R92" s="7">
        <v>44925</v>
      </c>
      <c r="S92" s="8">
        <v>4.2999999999999997E-2</v>
      </c>
      <c r="T92" s="10">
        <v>1.0001194444444443</v>
      </c>
      <c r="U92" s="2"/>
      <c r="V92" s="2"/>
    </row>
    <row r="93" spans="2:22" x14ac:dyDescent="0.2">
      <c r="B93" s="40">
        <v>43866</v>
      </c>
      <c r="C93" s="41">
        <v>1.59</v>
      </c>
      <c r="H93" s="22">
        <v>81</v>
      </c>
      <c r="I93" s="33"/>
      <c r="J93" s="34"/>
      <c r="K93" s="28"/>
      <c r="L93" s="28"/>
      <c r="M93" s="29"/>
      <c r="N93" s="2"/>
      <c r="O93" s="7">
        <v>44970</v>
      </c>
      <c r="P93" s="8">
        <v>4.5499999999999999E-2</v>
      </c>
      <c r="Q93" s="9"/>
      <c r="R93" s="7">
        <v>44926</v>
      </c>
      <c r="S93" s="8">
        <v>4.2999999999999997E-2</v>
      </c>
      <c r="T93" s="10">
        <v>1.0001194444444443</v>
      </c>
      <c r="U93" s="2"/>
      <c r="V93" s="2"/>
    </row>
    <row r="94" spans="2:22" x14ac:dyDescent="0.2">
      <c r="B94" s="40">
        <v>43867</v>
      </c>
      <c r="C94" s="41">
        <v>1.59</v>
      </c>
      <c r="H94" s="22">
        <v>82</v>
      </c>
      <c r="I94" s="33"/>
      <c r="J94" s="34"/>
      <c r="K94" s="28"/>
      <c r="L94" s="28"/>
      <c r="M94" s="29"/>
      <c r="N94" s="2"/>
      <c r="O94" s="7">
        <v>44971</v>
      </c>
      <c r="P94" s="8">
        <v>4.5499999999999999E-2</v>
      </c>
      <c r="Q94" s="9"/>
      <c r="R94" s="7">
        <v>44927</v>
      </c>
      <c r="S94" s="8">
        <v>4.2999999999999997E-2</v>
      </c>
      <c r="T94" s="10">
        <v>1.0001194444444443</v>
      </c>
      <c r="U94" s="2"/>
      <c r="V94" s="2"/>
    </row>
    <row r="95" spans="2:22" x14ac:dyDescent="0.2">
      <c r="B95" s="40">
        <v>43868</v>
      </c>
      <c r="C95" s="41">
        <v>1.58</v>
      </c>
      <c r="H95" s="22">
        <v>83</v>
      </c>
      <c r="I95" s="33"/>
      <c r="J95" s="34"/>
      <c r="K95" s="28"/>
      <c r="L95" s="28"/>
      <c r="M95" s="29"/>
      <c r="N95" s="2"/>
      <c r="O95" s="7">
        <v>44972</v>
      </c>
      <c r="P95" s="8">
        <v>4.5499999999999999E-2</v>
      </c>
      <c r="Q95" s="9"/>
      <c r="R95" s="7">
        <v>44928</v>
      </c>
      <c r="S95" s="8">
        <v>4.2999999999999997E-2</v>
      </c>
      <c r="T95" s="10">
        <v>1.0001194444444443</v>
      </c>
      <c r="U95" s="2"/>
      <c r="V95" s="2"/>
    </row>
    <row r="96" spans="2:22" x14ac:dyDescent="0.2">
      <c r="B96" s="40">
        <v>43871</v>
      </c>
      <c r="C96" s="41">
        <v>1.58</v>
      </c>
      <c r="H96" s="22">
        <v>84</v>
      </c>
      <c r="I96" s="33"/>
      <c r="J96" s="34"/>
      <c r="K96" s="28"/>
      <c r="L96" s="28"/>
      <c r="M96" s="29"/>
      <c r="N96" s="2"/>
      <c r="O96" s="7">
        <v>44973</v>
      </c>
      <c r="P96" s="8">
        <v>4.5499999999999999E-2</v>
      </c>
      <c r="Q96" s="9"/>
      <c r="R96" s="7">
        <v>44929</v>
      </c>
      <c r="S96" s="8">
        <v>4.3099999999999999E-2</v>
      </c>
      <c r="T96" s="10">
        <v>1.0001197222222222</v>
      </c>
      <c r="U96" s="2"/>
      <c r="V96" s="2"/>
    </row>
    <row r="97" spans="2:22" x14ac:dyDescent="0.2">
      <c r="B97" s="40">
        <v>43872</v>
      </c>
      <c r="C97" s="41">
        <v>1.58</v>
      </c>
      <c r="H97" s="22">
        <v>85</v>
      </c>
      <c r="I97" s="33"/>
      <c r="J97" s="34"/>
      <c r="K97" s="28"/>
      <c r="L97" s="28"/>
      <c r="M97" s="29"/>
      <c r="N97" s="2"/>
      <c r="O97" s="7">
        <v>44974</v>
      </c>
      <c r="P97" s="8">
        <v>4.5499999999999999E-2</v>
      </c>
      <c r="Q97" s="9"/>
      <c r="R97" s="7">
        <v>44930</v>
      </c>
      <c r="S97" s="8">
        <v>4.2999999999999997E-2</v>
      </c>
      <c r="T97" s="10">
        <v>1.0001194444444443</v>
      </c>
      <c r="U97" s="2"/>
      <c r="V97" s="2"/>
    </row>
    <row r="98" spans="2:22" x14ac:dyDescent="0.2">
      <c r="B98" s="40">
        <v>43873</v>
      </c>
      <c r="C98" s="41">
        <v>1.57</v>
      </c>
      <c r="H98" s="22">
        <v>86</v>
      </c>
      <c r="I98" s="33"/>
      <c r="J98" s="34"/>
      <c r="K98" s="28"/>
      <c r="L98" s="28"/>
      <c r="M98" s="29"/>
      <c r="N98" s="2"/>
      <c r="O98" s="7">
        <v>44978</v>
      </c>
      <c r="P98" s="8">
        <v>4.5499999999999999E-2</v>
      </c>
      <c r="Q98" s="9"/>
      <c r="R98" s="7">
        <v>44931</v>
      </c>
      <c r="S98" s="8">
        <v>4.3099999999999999E-2</v>
      </c>
      <c r="T98" s="10">
        <v>1.0001197222222222</v>
      </c>
      <c r="U98" s="2"/>
      <c r="V98" s="2"/>
    </row>
    <row r="99" spans="2:22" x14ac:dyDescent="0.2">
      <c r="B99" s="40">
        <v>43874</v>
      </c>
      <c r="C99" s="41">
        <v>1.57</v>
      </c>
      <c r="H99" s="22">
        <v>87</v>
      </c>
      <c r="I99" s="33"/>
      <c r="J99" s="34"/>
      <c r="K99" s="28"/>
      <c r="L99" s="28"/>
      <c r="M99" s="29"/>
      <c r="N99" s="2"/>
      <c r="O99" s="7">
        <v>44979</v>
      </c>
      <c r="P99" s="8">
        <v>4.5499999999999999E-2</v>
      </c>
      <c r="Q99" s="9"/>
      <c r="R99" s="7">
        <v>44932</v>
      </c>
      <c r="S99" s="8">
        <v>4.3099999999999999E-2</v>
      </c>
      <c r="T99" s="10">
        <v>1.0001197222222222</v>
      </c>
      <c r="U99" s="2"/>
      <c r="V99" s="2"/>
    </row>
    <row r="100" spans="2:22" x14ac:dyDescent="0.2">
      <c r="B100" s="40">
        <v>43875</v>
      </c>
      <c r="C100" s="41">
        <v>1.58</v>
      </c>
      <c r="H100" s="22">
        <v>88</v>
      </c>
      <c r="I100" s="33"/>
      <c r="J100" s="34"/>
      <c r="K100" s="28"/>
      <c r="L100" s="28"/>
      <c r="M100" s="29"/>
      <c r="N100" s="2"/>
      <c r="O100" s="7">
        <v>44980</v>
      </c>
      <c r="P100" s="8">
        <v>4.5499999999999999E-2</v>
      </c>
      <c r="Q100" s="9"/>
      <c r="R100" s="7">
        <v>44933</v>
      </c>
      <c r="S100" s="8">
        <v>4.3099999999999999E-2</v>
      </c>
      <c r="T100" s="10">
        <v>1.0001197222222222</v>
      </c>
      <c r="U100" s="2"/>
      <c r="V100" s="2"/>
    </row>
    <row r="101" spans="2:22" x14ac:dyDescent="0.2">
      <c r="B101" s="40">
        <v>43879</v>
      </c>
      <c r="C101" s="41">
        <v>1.6</v>
      </c>
      <c r="H101" s="22">
        <v>89</v>
      </c>
      <c r="I101" s="33"/>
      <c r="J101" s="34"/>
      <c r="K101" s="28"/>
      <c r="L101" s="28"/>
      <c r="M101" s="29"/>
      <c r="N101" s="2"/>
      <c r="O101" s="7">
        <v>44981</v>
      </c>
      <c r="P101" s="8">
        <v>4.5499999999999999E-2</v>
      </c>
      <c r="Q101" s="9"/>
      <c r="R101" s="7">
        <v>44934</v>
      </c>
      <c r="S101" s="8">
        <v>4.3099999999999999E-2</v>
      </c>
      <c r="T101" s="10">
        <v>1.0001197222222222</v>
      </c>
      <c r="U101" s="2"/>
      <c r="V101" s="2"/>
    </row>
    <row r="102" spans="2:22" x14ac:dyDescent="0.2">
      <c r="B102" s="40">
        <v>43880</v>
      </c>
      <c r="C102" s="41">
        <v>1.59</v>
      </c>
      <c r="H102" s="22">
        <v>90</v>
      </c>
      <c r="I102" s="33"/>
      <c r="J102" s="34"/>
      <c r="K102" s="28"/>
      <c r="L102" s="28"/>
      <c r="M102" s="29"/>
      <c r="N102" s="2"/>
      <c r="O102" s="7">
        <v>44984</v>
      </c>
      <c r="P102" s="8">
        <v>4.5499999999999999E-2</v>
      </c>
      <c r="Q102" s="9"/>
      <c r="R102" s="7">
        <v>44935</v>
      </c>
      <c r="S102" s="8">
        <v>4.3099999999999999E-2</v>
      </c>
      <c r="T102" s="10">
        <v>1.0001197222222222</v>
      </c>
      <c r="U102" s="2"/>
      <c r="V102" s="2"/>
    </row>
    <row r="103" spans="2:22" x14ac:dyDescent="0.2">
      <c r="B103" s="40">
        <v>43881</v>
      </c>
      <c r="C103" s="41">
        <v>1.6</v>
      </c>
      <c r="H103" s="22">
        <v>91</v>
      </c>
      <c r="I103" s="33"/>
      <c r="J103" s="34"/>
      <c r="K103" s="28"/>
      <c r="L103" s="28"/>
      <c r="M103" s="29"/>
      <c r="N103" s="2"/>
      <c r="O103" s="7">
        <v>44985</v>
      </c>
      <c r="P103" s="8">
        <v>4.5499999999999999E-2</v>
      </c>
      <c r="Q103" s="9"/>
      <c r="R103" s="7">
        <v>44936</v>
      </c>
      <c r="S103" s="8">
        <v>4.3099999999999999E-2</v>
      </c>
      <c r="T103" s="10">
        <v>1.0001197222222222</v>
      </c>
      <c r="U103" s="2"/>
      <c r="V103" s="2"/>
    </row>
    <row r="104" spans="2:22" x14ac:dyDescent="0.2">
      <c r="B104" s="40">
        <v>43882</v>
      </c>
      <c r="C104" s="41">
        <v>1.58</v>
      </c>
      <c r="H104" s="22">
        <v>92</v>
      </c>
      <c r="I104" s="33"/>
      <c r="J104" s="34"/>
      <c r="K104" s="28"/>
      <c r="L104" s="28"/>
      <c r="M104" s="29"/>
      <c r="N104" s="2"/>
      <c r="O104" s="7">
        <v>44986</v>
      </c>
      <c r="P104" s="8">
        <v>4.5499999999999999E-2</v>
      </c>
      <c r="Q104" s="9"/>
      <c r="R104" s="7">
        <v>44937</v>
      </c>
      <c r="S104" s="8">
        <v>4.2999999999999997E-2</v>
      </c>
      <c r="T104" s="10">
        <v>1.0001194444444443</v>
      </c>
      <c r="U104" s="2"/>
      <c r="V104" s="2"/>
    </row>
    <row r="105" spans="2:22" x14ac:dyDescent="0.2">
      <c r="B105" s="40">
        <v>43885</v>
      </c>
      <c r="C105" s="41">
        <v>1.58</v>
      </c>
      <c r="H105" s="22">
        <v>93</v>
      </c>
      <c r="I105" s="33"/>
      <c r="J105" s="34"/>
      <c r="K105" s="28"/>
      <c r="L105" s="28"/>
      <c r="M105" s="29"/>
      <c r="N105" s="2"/>
      <c r="O105" s="7">
        <v>44987</v>
      </c>
      <c r="P105" s="8">
        <v>4.5499999999999999E-2</v>
      </c>
      <c r="Q105" s="9"/>
      <c r="R105" s="7">
        <v>44938</v>
      </c>
      <c r="S105" s="8">
        <v>4.2999999999999997E-2</v>
      </c>
      <c r="T105" s="10">
        <v>1.0001194444444443</v>
      </c>
      <c r="U105" s="2"/>
      <c r="V105" s="2"/>
    </row>
    <row r="106" spans="2:22" x14ac:dyDescent="0.2">
      <c r="B106" s="40">
        <v>43886</v>
      </c>
      <c r="C106" s="41">
        <v>1.59</v>
      </c>
      <c r="H106" s="22">
        <v>94</v>
      </c>
      <c r="I106" s="33"/>
      <c r="J106" s="34"/>
      <c r="K106" s="28"/>
      <c r="L106" s="28"/>
      <c r="M106" s="29"/>
      <c r="N106" s="2"/>
      <c r="O106" s="7">
        <v>44988</v>
      </c>
      <c r="P106" s="8">
        <v>4.5499999999999999E-2</v>
      </c>
      <c r="Q106" s="9"/>
      <c r="R106" s="7">
        <v>44939</v>
      </c>
      <c r="S106" s="8">
        <v>4.2999999999999997E-2</v>
      </c>
      <c r="T106" s="10">
        <v>1.0001194444444443</v>
      </c>
      <c r="U106" s="2"/>
      <c r="V106" s="2"/>
    </row>
    <row r="107" spans="2:22" x14ac:dyDescent="0.2">
      <c r="B107" s="40">
        <v>43887</v>
      </c>
      <c r="C107" s="41">
        <v>1.58</v>
      </c>
      <c r="H107" s="22">
        <v>95</v>
      </c>
      <c r="I107" s="33"/>
      <c r="J107" s="34"/>
      <c r="K107" s="28"/>
      <c r="L107" s="28"/>
      <c r="M107" s="29"/>
      <c r="N107" s="2"/>
      <c r="O107" s="7">
        <v>44991</v>
      </c>
      <c r="P107" s="8">
        <v>4.5499999999999999E-2</v>
      </c>
      <c r="Q107" s="9"/>
      <c r="R107" s="7">
        <v>44940</v>
      </c>
      <c r="S107" s="8">
        <v>4.2999999999999997E-2</v>
      </c>
      <c r="T107" s="10">
        <v>1.0001194444444443</v>
      </c>
      <c r="U107" s="2"/>
      <c r="V107" s="2"/>
    </row>
    <row r="108" spans="2:22" x14ac:dyDescent="0.2">
      <c r="B108" s="40">
        <v>43888</v>
      </c>
      <c r="C108" s="41">
        <v>1.58</v>
      </c>
      <c r="H108" s="22">
        <v>96</v>
      </c>
      <c r="I108" s="33"/>
      <c r="J108" s="34"/>
      <c r="K108" s="28"/>
      <c r="L108" s="28"/>
      <c r="M108" s="29"/>
      <c r="N108" s="2"/>
      <c r="O108" s="7">
        <v>44992</v>
      </c>
      <c r="P108" s="8">
        <v>4.5499999999999999E-2</v>
      </c>
      <c r="Q108" s="9"/>
      <c r="R108" s="7">
        <v>44941</v>
      </c>
      <c r="S108" s="8">
        <v>4.2999999999999997E-2</v>
      </c>
      <c r="T108" s="10">
        <v>1.0001194444444443</v>
      </c>
      <c r="U108" s="2"/>
      <c r="V108" s="2"/>
    </row>
    <row r="109" spans="2:22" x14ac:dyDescent="0.2">
      <c r="B109" s="40">
        <v>43889</v>
      </c>
      <c r="C109" s="41">
        <v>1.6</v>
      </c>
      <c r="H109" s="22">
        <v>97</v>
      </c>
      <c r="I109" s="33"/>
      <c r="J109" s="34"/>
      <c r="K109" s="28"/>
      <c r="L109" s="28"/>
      <c r="M109" s="29"/>
      <c r="N109" s="2"/>
      <c r="O109" s="7">
        <v>44993</v>
      </c>
      <c r="P109" s="8">
        <v>4.5499999999999999E-2</v>
      </c>
      <c r="Q109" s="9"/>
      <c r="R109" s="7">
        <v>44942</v>
      </c>
      <c r="S109" s="8">
        <v>4.2999999999999997E-2</v>
      </c>
      <c r="T109" s="10">
        <v>1.0001194444444443</v>
      </c>
      <c r="U109" s="2"/>
      <c r="V109" s="2"/>
    </row>
    <row r="110" spans="2:22" x14ac:dyDescent="0.2">
      <c r="B110" s="40">
        <v>43892</v>
      </c>
      <c r="C110" s="41">
        <v>1.59</v>
      </c>
      <c r="H110" s="22">
        <v>98</v>
      </c>
      <c r="I110" s="33"/>
      <c r="J110" s="34"/>
      <c r="K110" s="28"/>
      <c r="L110" s="28"/>
      <c r="M110" s="29"/>
      <c r="N110" s="2"/>
      <c r="O110" s="7">
        <v>44994</v>
      </c>
      <c r="P110" s="8">
        <v>4.5499999999999999E-2</v>
      </c>
      <c r="Q110" s="9"/>
      <c r="R110" s="7">
        <v>44943</v>
      </c>
      <c r="S110" s="8">
        <v>4.3099999999999999E-2</v>
      </c>
      <c r="T110" s="10">
        <v>1.0001197222222222</v>
      </c>
      <c r="U110" s="2"/>
      <c r="V110" s="2"/>
    </row>
    <row r="111" spans="2:22" x14ac:dyDescent="0.2">
      <c r="B111" s="40">
        <v>43893</v>
      </c>
      <c r="C111" s="41">
        <v>1.64</v>
      </c>
      <c r="H111" s="22">
        <v>99</v>
      </c>
      <c r="I111" s="33"/>
      <c r="J111" s="34"/>
      <c r="K111" s="28"/>
      <c r="L111" s="28"/>
      <c r="M111" s="29"/>
      <c r="N111" s="2"/>
      <c r="O111" s="7">
        <v>44995</v>
      </c>
      <c r="P111" s="8">
        <v>4.5499999999999999E-2</v>
      </c>
      <c r="Q111" s="9"/>
      <c r="R111" s="7">
        <v>44944</v>
      </c>
      <c r="S111" s="8">
        <v>4.2999999999999997E-2</v>
      </c>
      <c r="T111" s="10">
        <v>1.0001194444444443</v>
      </c>
      <c r="U111" s="2"/>
      <c r="V111" s="2"/>
    </row>
    <row r="112" spans="2:22" x14ac:dyDescent="0.2">
      <c r="B112" s="40">
        <v>43894</v>
      </c>
      <c r="C112" s="41">
        <v>1.23</v>
      </c>
      <c r="H112" s="32">
        <v>100</v>
      </c>
      <c r="I112" s="35"/>
      <c r="J112" s="36"/>
      <c r="K112" s="30"/>
      <c r="L112" s="30"/>
      <c r="M112" s="31"/>
      <c r="N112" s="2"/>
      <c r="O112" s="7">
        <v>44998</v>
      </c>
      <c r="P112" s="8">
        <v>4.5499999999999999E-2</v>
      </c>
      <c r="Q112" s="9"/>
      <c r="R112" s="7">
        <v>44945</v>
      </c>
      <c r="S112" s="8">
        <v>4.3099999999999999E-2</v>
      </c>
      <c r="T112" s="10">
        <v>1.0001197222222222</v>
      </c>
      <c r="U112" s="2"/>
      <c r="V112" s="2"/>
    </row>
    <row r="113" spans="2:22" x14ac:dyDescent="0.2">
      <c r="B113" s="40">
        <v>43895</v>
      </c>
      <c r="C113" s="41">
        <v>1.1200000000000001</v>
      </c>
      <c r="K113" s="2"/>
      <c r="L113" s="2"/>
      <c r="M113" s="2"/>
      <c r="N113" s="2"/>
      <c r="O113" s="7">
        <v>44999</v>
      </c>
      <c r="P113" s="8">
        <v>4.5499999999999999E-2</v>
      </c>
      <c r="Q113" s="9"/>
      <c r="R113" s="7">
        <v>44946</v>
      </c>
      <c r="S113" s="8">
        <v>4.2999999999999997E-2</v>
      </c>
      <c r="T113" s="10">
        <v>1.0001194444444443</v>
      </c>
      <c r="U113" s="2"/>
      <c r="V113" s="2"/>
    </row>
    <row r="114" spans="2:22" x14ac:dyDescent="0.2">
      <c r="B114" s="40">
        <v>43896</v>
      </c>
      <c r="C114" s="41">
        <v>1.1000000000000001</v>
      </c>
      <c r="K114" s="2"/>
      <c r="L114" s="2"/>
      <c r="M114" s="2"/>
      <c r="N114" s="2"/>
      <c r="O114" s="7">
        <v>45000</v>
      </c>
      <c r="P114" s="8">
        <v>4.58E-2</v>
      </c>
      <c r="Q114" s="9"/>
      <c r="R114" s="7">
        <v>44947</v>
      </c>
      <c r="S114" s="8">
        <v>4.2999999999999997E-2</v>
      </c>
      <c r="T114" s="10">
        <v>1.0001194444444443</v>
      </c>
      <c r="U114" s="2"/>
      <c r="V114" s="2"/>
    </row>
    <row r="115" spans="2:22" x14ac:dyDescent="0.2">
      <c r="B115" s="40">
        <v>43899</v>
      </c>
      <c r="C115" s="41">
        <v>1.0900000000000001</v>
      </c>
      <c r="K115" s="2"/>
      <c r="L115" s="2"/>
      <c r="M115" s="2"/>
      <c r="N115" s="2"/>
      <c r="O115" s="7">
        <v>45001</v>
      </c>
      <c r="P115" s="8">
        <v>4.5700000000000005E-2</v>
      </c>
      <c r="Q115" s="9"/>
      <c r="R115" s="7">
        <v>44948</v>
      </c>
      <c r="S115" s="8">
        <v>4.2999999999999997E-2</v>
      </c>
      <c r="T115" s="10">
        <v>1.0001194444444443</v>
      </c>
      <c r="U115" s="2"/>
      <c r="V115" s="2"/>
    </row>
    <row r="116" spans="2:22" x14ac:dyDescent="0.2">
      <c r="B116" s="40">
        <v>43900</v>
      </c>
      <c r="C116" s="41">
        <v>1.1100000000000001</v>
      </c>
      <c r="K116" s="2"/>
      <c r="L116" s="2"/>
      <c r="M116" s="2"/>
      <c r="N116" s="2"/>
      <c r="O116" s="7">
        <v>45002</v>
      </c>
      <c r="P116" s="8">
        <v>4.5499999999999999E-2</v>
      </c>
      <c r="Q116" s="9"/>
      <c r="R116" s="7">
        <v>44949</v>
      </c>
      <c r="S116" s="8">
        <v>4.2999999999999997E-2</v>
      </c>
      <c r="T116" s="10">
        <v>1.0001194444444443</v>
      </c>
      <c r="U116" s="2"/>
      <c r="V116" s="2"/>
    </row>
    <row r="117" spans="2:22" x14ac:dyDescent="0.2">
      <c r="B117" s="40">
        <v>43901</v>
      </c>
      <c r="C117" s="41">
        <v>1.1499999999999999</v>
      </c>
      <c r="K117" s="2"/>
      <c r="L117" s="2"/>
      <c r="M117" s="2"/>
      <c r="N117" s="2"/>
      <c r="O117" s="7">
        <v>45005</v>
      </c>
      <c r="P117" s="8">
        <v>4.5499999999999999E-2</v>
      </c>
      <c r="Q117" s="9"/>
      <c r="R117" s="7">
        <v>44950</v>
      </c>
      <c r="S117" s="8">
        <v>4.2999999999999997E-2</v>
      </c>
      <c r="T117" s="10">
        <v>1.0001194444444443</v>
      </c>
      <c r="U117" s="2"/>
      <c r="V117" s="2"/>
    </row>
    <row r="118" spans="2:22" x14ac:dyDescent="0.2">
      <c r="B118" s="40">
        <v>43902</v>
      </c>
      <c r="C118" s="41">
        <v>1.2</v>
      </c>
      <c r="K118" s="2"/>
      <c r="L118" s="2"/>
      <c r="M118" s="2"/>
      <c r="N118" s="2"/>
      <c r="O118" s="7">
        <v>45006</v>
      </c>
      <c r="P118" s="8">
        <v>4.5499999999999999E-2</v>
      </c>
      <c r="Q118" s="9"/>
      <c r="R118" s="7">
        <v>44951</v>
      </c>
      <c r="S118" s="8">
        <v>4.3099999999999999E-2</v>
      </c>
      <c r="T118" s="10">
        <v>1.0001197222222222</v>
      </c>
      <c r="U118" s="2"/>
      <c r="V118" s="2"/>
    </row>
    <row r="119" spans="2:22" x14ac:dyDescent="0.2">
      <c r="B119" s="40">
        <v>43903</v>
      </c>
      <c r="C119" s="41">
        <v>1.1000000000000001</v>
      </c>
      <c r="K119" s="2"/>
      <c r="L119" s="2"/>
      <c r="M119" s="2"/>
      <c r="N119" s="2"/>
      <c r="O119" s="7">
        <v>45007</v>
      </c>
      <c r="P119" s="8">
        <v>4.5499999999999999E-2</v>
      </c>
      <c r="Q119" s="9"/>
      <c r="R119" s="7">
        <v>44952</v>
      </c>
      <c r="S119" s="8">
        <v>4.2999999999999997E-2</v>
      </c>
      <c r="T119" s="10">
        <v>1.0001194444444443</v>
      </c>
      <c r="U119" s="2"/>
      <c r="V119" s="2"/>
    </row>
    <row r="120" spans="2:22" x14ac:dyDescent="0.2">
      <c r="B120" s="40">
        <v>43906</v>
      </c>
      <c r="C120" s="41">
        <v>0.26</v>
      </c>
      <c r="K120" s="2"/>
      <c r="L120" s="2"/>
      <c r="M120" s="2"/>
      <c r="N120" s="2"/>
      <c r="O120" s="7">
        <v>45008</v>
      </c>
      <c r="P120" s="8">
        <v>4.8000000000000001E-2</v>
      </c>
      <c r="Q120" s="9"/>
      <c r="R120" s="7">
        <v>44953</v>
      </c>
      <c r="S120" s="8">
        <v>4.2999999999999997E-2</v>
      </c>
      <c r="T120" s="10">
        <v>1.0001194444444443</v>
      </c>
      <c r="U120" s="2"/>
      <c r="V120" s="2"/>
    </row>
    <row r="121" spans="2:22" x14ac:dyDescent="0.2">
      <c r="B121" s="40">
        <v>43907</v>
      </c>
      <c r="C121" s="41">
        <v>0.54</v>
      </c>
      <c r="K121" s="2"/>
      <c r="L121" s="2"/>
      <c r="M121" s="2"/>
      <c r="N121" s="2"/>
      <c r="O121" s="7">
        <v>45009</v>
      </c>
      <c r="P121" s="8">
        <v>4.8000000000000001E-2</v>
      </c>
      <c r="Q121" s="9"/>
      <c r="R121" s="7">
        <v>44954</v>
      </c>
      <c r="S121" s="8">
        <v>4.2999999999999997E-2</v>
      </c>
      <c r="T121" s="10">
        <v>1.0001194444444443</v>
      </c>
      <c r="U121" s="2"/>
      <c r="V121" s="2"/>
    </row>
    <row r="122" spans="2:22" x14ac:dyDescent="0.2">
      <c r="B122" s="40">
        <v>43908</v>
      </c>
      <c r="C122" s="41">
        <v>0.1</v>
      </c>
      <c r="G122" s="2"/>
      <c r="H122" s="2"/>
      <c r="I122" s="2"/>
      <c r="J122" s="2"/>
      <c r="K122" s="2"/>
      <c r="L122" s="2"/>
      <c r="M122" s="2"/>
      <c r="N122" s="2"/>
      <c r="O122" s="7">
        <v>45012</v>
      </c>
      <c r="P122" s="8">
        <v>4.8099999999999997E-2</v>
      </c>
      <c r="Q122" s="9"/>
      <c r="R122" s="7">
        <v>44955</v>
      </c>
      <c r="S122" s="8">
        <v>4.2999999999999997E-2</v>
      </c>
      <c r="T122" s="10">
        <v>1.0001194444444443</v>
      </c>
      <c r="U122" s="2"/>
      <c r="V122" s="2"/>
    </row>
    <row r="123" spans="2:22" x14ac:dyDescent="0.2">
      <c r="B123" s="40">
        <v>43909</v>
      </c>
      <c r="C123" s="41">
        <v>0.06</v>
      </c>
      <c r="G123" s="2"/>
      <c r="H123" s="2"/>
      <c r="I123" s="2"/>
      <c r="J123" s="2"/>
      <c r="K123" s="2"/>
      <c r="L123" s="2"/>
      <c r="M123" s="2"/>
      <c r="N123" s="2"/>
      <c r="O123" s="7">
        <v>45013</v>
      </c>
      <c r="P123" s="8">
        <v>4.8399999999999999E-2</v>
      </c>
      <c r="Q123" s="9"/>
      <c r="R123" s="7">
        <v>44956</v>
      </c>
      <c r="S123" s="8">
        <v>4.2999999999999997E-2</v>
      </c>
      <c r="T123" s="10">
        <v>1.0001194444444443</v>
      </c>
      <c r="U123" s="2"/>
      <c r="V123" s="2"/>
    </row>
    <row r="124" spans="2:22" x14ac:dyDescent="0.2">
      <c r="B124" s="40">
        <v>43910</v>
      </c>
      <c r="C124" s="41">
        <v>0.04</v>
      </c>
      <c r="E124" s="2"/>
      <c r="F124" s="2"/>
      <c r="G124" s="2"/>
      <c r="H124" s="2"/>
      <c r="I124" s="2"/>
      <c r="J124" s="2"/>
      <c r="K124" s="2"/>
      <c r="L124" s="2"/>
      <c r="M124" s="2"/>
      <c r="N124" s="2"/>
      <c r="O124" s="7">
        <v>45014</v>
      </c>
      <c r="P124" s="8">
        <v>4.8300000000000003E-2</v>
      </c>
      <c r="Q124" s="9"/>
      <c r="R124" s="7">
        <v>44957</v>
      </c>
      <c r="S124" s="8">
        <v>4.3099999999999999E-2</v>
      </c>
      <c r="T124" s="10">
        <v>1.0001197222222222</v>
      </c>
      <c r="U124" s="2"/>
      <c r="V124" s="2"/>
    </row>
    <row r="125" spans="2:22" x14ac:dyDescent="0.2">
      <c r="B125" s="40">
        <v>43913</v>
      </c>
      <c r="C125" s="41">
        <v>0.02</v>
      </c>
      <c r="E125" s="2"/>
      <c r="F125" s="2"/>
      <c r="G125" s="2"/>
      <c r="H125" s="2"/>
      <c r="I125" s="2"/>
      <c r="J125" s="2"/>
      <c r="K125" s="2"/>
      <c r="L125" s="2"/>
      <c r="M125" s="2"/>
      <c r="N125" s="2"/>
      <c r="O125" s="7">
        <v>45015</v>
      </c>
      <c r="P125" s="8">
        <v>4.82E-2</v>
      </c>
      <c r="Q125" s="9"/>
      <c r="R125" s="7">
        <v>44958</v>
      </c>
      <c r="S125" s="8">
        <v>4.3099999999999999E-2</v>
      </c>
      <c r="T125" s="10">
        <v>1.0001197222222222</v>
      </c>
      <c r="U125" s="2"/>
      <c r="V125" s="2"/>
    </row>
    <row r="126" spans="2:22" x14ac:dyDescent="0.2">
      <c r="B126" s="40">
        <v>43914</v>
      </c>
      <c r="C126" s="41">
        <v>0.01</v>
      </c>
      <c r="E126" s="2"/>
      <c r="F126" s="2"/>
      <c r="G126" s="2"/>
      <c r="H126" s="2"/>
      <c r="I126" s="2"/>
      <c r="J126" s="2"/>
      <c r="K126" s="2"/>
      <c r="L126" s="2"/>
      <c r="M126" s="2"/>
      <c r="N126" s="2"/>
      <c r="O126" s="7">
        <v>45016</v>
      </c>
      <c r="P126" s="8">
        <v>4.87E-2</v>
      </c>
      <c r="Q126" s="9"/>
      <c r="R126" s="7">
        <v>44959</v>
      </c>
      <c r="S126" s="8">
        <v>4.5599999999999995E-2</v>
      </c>
      <c r="T126" s="10">
        <v>1.0001266666666666</v>
      </c>
      <c r="U126" s="2"/>
      <c r="V126" s="2"/>
    </row>
    <row r="127" spans="2:22" x14ac:dyDescent="0.2">
      <c r="B127" s="40">
        <v>43915</v>
      </c>
      <c r="C127" s="41">
        <v>0.01</v>
      </c>
      <c r="E127" s="2"/>
      <c r="F127" s="2"/>
      <c r="G127" s="2"/>
      <c r="H127" s="2"/>
      <c r="I127" s="2"/>
      <c r="J127" s="2"/>
      <c r="K127" s="2"/>
      <c r="L127" s="2"/>
      <c r="M127" s="2"/>
      <c r="N127" s="2"/>
      <c r="O127" s="7">
        <v>45019</v>
      </c>
      <c r="P127" s="8">
        <v>4.8399999999999999E-2</v>
      </c>
      <c r="Q127" s="9"/>
      <c r="R127" s="7">
        <v>44960</v>
      </c>
      <c r="S127" s="8">
        <v>4.5499999999999999E-2</v>
      </c>
      <c r="T127" s="10">
        <v>1.0001263888888889</v>
      </c>
      <c r="U127" s="2"/>
      <c r="V127" s="2"/>
    </row>
    <row r="128" spans="2:22" x14ac:dyDescent="0.2">
      <c r="B128" s="40">
        <v>43916</v>
      </c>
      <c r="C128" s="41">
        <v>0.01</v>
      </c>
      <c r="E128" s="2"/>
      <c r="F128" s="2"/>
      <c r="G128" s="2"/>
      <c r="H128" s="2"/>
      <c r="I128" s="2"/>
      <c r="J128" s="2"/>
      <c r="K128" s="2"/>
      <c r="L128" s="2"/>
      <c r="M128" s="2"/>
      <c r="N128" s="2"/>
      <c r="O128" s="7">
        <v>45020</v>
      </c>
      <c r="P128" s="8">
        <v>4.8300000000000003E-2</v>
      </c>
      <c r="Q128" s="9"/>
      <c r="R128" s="7">
        <v>44961</v>
      </c>
      <c r="S128" s="8">
        <v>4.5499999999999999E-2</v>
      </c>
      <c r="T128" s="10">
        <v>1.0001263888888889</v>
      </c>
      <c r="U128" s="2"/>
      <c r="V128" s="2"/>
    </row>
    <row r="129" spans="2:22" x14ac:dyDescent="0.2">
      <c r="B129" s="40">
        <v>43917</v>
      </c>
      <c r="C129" s="41">
        <v>0.01</v>
      </c>
      <c r="E129" s="2"/>
      <c r="F129" s="2"/>
      <c r="G129" s="2"/>
      <c r="H129" s="2"/>
      <c r="I129" s="2"/>
      <c r="J129" s="2"/>
      <c r="K129" s="2"/>
      <c r="L129" s="2"/>
      <c r="M129" s="2"/>
      <c r="N129" s="2"/>
      <c r="O129" s="7">
        <v>45021</v>
      </c>
      <c r="P129" s="8">
        <v>4.8099999999999997E-2</v>
      </c>
      <c r="Q129" s="9"/>
      <c r="R129" s="7">
        <v>44962</v>
      </c>
      <c r="S129" s="8">
        <v>4.5499999999999999E-2</v>
      </c>
      <c r="T129" s="10">
        <v>1.0001263888888889</v>
      </c>
      <c r="U129" s="2"/>
      <c r="V129" s="2"/>
    </row>
    <row r="130" spans="2:22" x14ac:dyDescent="0.2">
      <c r="B130" s="40">
        <v>43920</v>
      </c>
      <c r="C130" s="41">
        <v>0.01</v>
      </c>
      <c r="E130" s="2"/>
      <c r="F130" s="2"/>
      <c r="G130" s="2"/>
      <c r="H130" s="2"/>
      <c r="I130" s="2"/>
      <c r="J130" s="2"/>
      <c r="K130" s="2"/>
      <c r="L130" s="2"/>
      <c r="M130" s="2"/>
      <c r="N130" s="2"/>
      <c r="O130" s="7">
        <v>45022</v>
      </c>
      <c r="P130" s="8">
        <v>4.8099999999999997E-2</v>
      </c>
      <c r="Q130" s="9"/>
      <c r="R130" s="7">
        <v>44963</v>
      </c>
      <c r="S130" s="8">
        <v>4.5499999999999999E-2</v>
      </c>
      <c r="T130" s="10">
        <v>1.0001263888888889</v>
      </c>
      <c r="U130" s="2"/>
      <c r="V130" s="2"/>
    </row>
    <row r="131" spans="2:22" x14ac:dyDescent="0.2">
      <c r="B131" s="40">
        <v>43921</v>
      </c>
      <c r="C131" s="41">
        <v>0.01</v>
      </c>
      <c r="E131" s="2"/>
      <c r="F131" s="2"/>
      <c r="G131" s="2"/>
      <c r="H131" s="2"/>
      <c r="I131" s="2"/>
      <c r="J131" s="2"/>
      <c r="K131" s="2"/>
      <c r="L131" s="2"/>
      <c r="M131" s="2"/>
      <c r="N131" s="2"/>
      <c r="O131" s="7">
        <v>45026</v>
      </c>
      <c r="P131" s="8">
        <v>4.8099999999999997E-2</v>
      </c>
      <c r="Q131" s="9"/>
      <c r="R131" s="7">
        <v>44964</v>
      </c>
      <c r="S131" s="8">
        <v>4.5499999999999999E-2</v>
      </c>
      <c r="T131" s="10">
        <v>1.0001263888888889</v>
      </c>
      <c r="U131" s="2"/>
      <c r="V131" s="2"/>
    </row>
    <row r="132" spans="2:22" x14ac:dyDescent="0.2">
      <c r="B132" s="40">
        <v>43922</v>
      </c>
      <c r="C132" s="41">
        <v>0.01</v>
      </c>
      <c r="E132" s="2"/>
      <c r="F132" s="2"/>
      <c r="G132" s="2"/>
      <c r="H132" s="2"/>
      <c r="I132" s="2"/>
      <c r="J132" s="2"/>
      <c r="K132" s="2"/>
      <c r="L132" s="2"/>
      <c r="M132" s="2"/>
      <c r="N132" s="2"/>
      <c r="O132" s="7">
        <v>45027</v>
      </c>
      <c r="P132" s="8">
        <v>4.8000000000000001E-2</v>
      </c>
      <c r="Q132" s="9"/>
      <c r="R132" s="7">
        <v>44965</v>
      </c>
      <c r="S132" s="8">
        <v>4.5499999999999999E-2</v>
      </c>
      <c r="T132" s="10">
        <v>1.0001263888888889</v>
      </c>
      <c r="U132" s="2"/>
      <c r="V132" s="2"/>
    </row>
    <row r="133" spans="2:22" x14ac:dyDescent="0.2">
      <c r="B133" s="40">
        <v>43923</v>
      </c>
      <c r="C133" s="41">
        <v>0.01</v>
      </c>
      <c r="E133" s="2"/>
      <c r="F133" s="2"/>
      <c r="G133" s="2"/>
      <c r="H133" s="2"/>
      <c r="I133" s="2"/>
      <c r="J133" s="2"/>
      <c r="K133" s="2"/>
      <c r="L133" s="2"/>
      <c r="M133" s="2"/>
      <c r="N133" s="2"/>
      <c r="O133" s="7">
        <v>45028</v>
      </c>
      <c r="P133" s="8">
        <v>4.8000000000000001E-2</v>
      </c>
      <c r="Q133" s="9"/>
      <c r="R133" s="7">
        <v>44966</v>
      </c>
      <c r="S133" s="8">
        <v>4.5499999999999999E-2</v>
      </c>
      <c r="T133" s="10">
        <v>1.0001263888888889</v>
      </c>
      <c r="U133" s="2"/>
      <c r="V133" s="2"/>
    </row>
    <row r="134" spans="2:22" x14ac:dyDescent="0.2">
      <c r="B134" s="40">
        <v>43924</v>
      </c>
      <c r="C134" s="41">
        <v>0.01</v>
      </c>
      <c r="E134" s="2"/>
      <c r="F134" s="2"/>
      <c r="G134" s="2"/>
      <c r="H134" s="2"/>
      <c r="I134" s="2"/>
      <c r="J134" s="2"/>
      <c r="K134" s="2"/>
      <c r="L134" s="2"/>
      <c r="M134" s="2"/>
      <c r="N134" s="2"/>
      <c r="O134" s="7">
        <v>45029</v>
      </c>
      <c r="P134" s="8">
        <v>4.8000000000000001E-2</v>
      </c>
      <c r="Q134" s="9"/>
      <c r="R134" s="7">
        <v>44967</v>
      </c>
      <c r="S134" s="8">
        <v>4.5499999999999999E-2</v>
      </c>
      <c r="T134" s="10">
        <v>1.0001263888888889</v>
      </c>
      <c r="U134" s="2"/>
      <c r="V134" s="2"/>
    </row>
    <row r="135" spans="2:22" x14ac:dyDescent="0.2">
      <c r="B135" s="40">
        <v>43927</v>
      </c>
      <c r="C135" s="41">
        <v>0.01</v>
      </c>
      <c r="E135" s="2"/>
      <c r="F135" s="2"/>
      <c r="G135" s="2"/>
      <c r="H135" s="2"/>
      <c r="I135" s="2"/>
      <c r="J135" s="2"/>
      <c r="K135" s="2"/>
      <c r="L135" s="2"/>
      <c r="M135" s="2"/>
      <c r="N135" s="2"/>
      <c r="O135" s="7">
        <v>45030</v>
      </c>
      <c r="P135" s="8">
        <v>4.8000000000000001E-2</v>
      </c>
      <c r="Q135" s="9"/>
      <c r="R135" s="7">
        <v>44968</v>
      </c>
      <c r="S135" s="8">
        <v>4.5499999999999999E-2</v>
      </c>
      <c r="T135" s="10">
        <v>1.0001263888888889</v>
      </c>
      <c r="U135" s="2"/>
      <c r="V135" s="2"/>
    </row>
    <row r="136" spans="2:22" x14ac:dyDescent="0.2">
      <c r="B136" s="40">
        <v>43928</v>
      </c>
      <c r="C136" s="41">
        <v>0.01</v>
      </c>
      <c r="E136" s="2"/>
      <c r="F136" s="2"/>
      <c r="G136" s="2"/>
      <c r="H136" s="2"/>
      <c r="I136" s="2"/>
      <c r="J136" s="2"/>
      <c r="K136" s="2"/>
      <c r="L136" s="2"/>
      <c r="M136" s="2"/>
      <c r="N136" s="2"/>
      <c r="O136" s="7">
        <v>45033</v>
      </c>
      <c r="P136" s="8">
        <v>4.8000000000000001E-2</v>
      </c>
      <c r="Q136" s="9"/>
      <c r="R136" s="7">
        <v>44969</v>
      </c>
      <c r="S136" s="8">
        <v>4.5499999999999999E-2</v>
      </c>
      <c r="T136" s="10">
        <v>1.0001263888888889</v>
      </c>
      <c r="U136" s="2"/>
      <c r="V136" s="2"/>
    </row>
    <row r="137" spans="2:22" x14ac:dyDescent="0.2">
      <c r="B137" s="40">
        <v>43929</v>
      </c>
      <c r="C137" s="41">
        <v>0.01</v>
      </c>
      <c r="E137" s="2"/>
      <c r="F137" s="2"/>
      <c r="G137" s="2"/>
      <c r="H137" s="2"/>
      <c r="I137" s="2"/>
      <c r="J137" s="2"/>
      <c r="K137" s="2"/>
      <c r="L137" s="2"/>
      <c r="M137" s="2"/>
      <c r="N137" s="2"/>
      <c r="O137" s="7">
        <v>45034</v>
      </c>
      <c r="P137" s="8">
        <v>4.8000000000000001E-2</v>
      </c>
      <c r="Q137" s="9"/>
      <c r="R137" s="7">
        <v>44970</v>
      </c>
      <c r="S137" s="8">
        <v>4.5499999999999999E-2</v>
      </c>
      <c r="T137" s="10">
        <v>1.0001263888888889</v>
      </c>
      <c r="U137" s="2"/>
      <c r="V137" s="2"/>
    </row>
    <row r="138" spans="2:22" x14ac:dyDescent="0.2">
      <c r="B138" s="40">
        <v>43930</v>
      </c>
      <c r="C138" s="41">
        <v>0.01</v>
      </c>
      <c r="E138" s="2"/>
      <c r="F138" s="2"/>
      <c r="G138" s="2"/>
      <c r="H138" s="2"/>
      <c r="I138" s="2"/>
      <c r="J138" s="2"/>
      <c r="K138" s="2"/>
      <c r="L138" s="2"/>
      <c r="M138" s="2"/>
      <c r="N138" s="2"/>
      <c r="O138" s="7">
        <v>45035</v>
      </c>
      <c r="P138" s="8">
        <v>4.8000000000000001E-2</v>
      </c>
      <c r="Q138" s="9"/>
      <c r="R138" s="7">
        <v>44971</v>
      </c>
      <c r="S138" s="8">
        <v>4.5499999999999999E-2</v>
      </c>
      <c r="T138" s="10">
        <v>1.0001263888888889</v>
      </c>
      <c r="U138" s="2"/>
      <c r="V138" s="2"/>
    </row>
    <row r="139" spans="2:22" x14ac:dyDescent="0.2">
      <c r="B139" s="40">
        <v>43934</v>
      </c>
      <c r="C139" s="41">
        <v>0.02</v>
      </c>
      <c r="E139" s="2"/>
      <c r="F139" s="2"/>
      <c r="G139" s="2"/>
      <c r="H139" s="2"/>
      <c r="I139" s="2"/>
      <c r="J139" s="2"/>
      <c r="K139" s="2"/>
      <c r="L139" s="2"/>
      <c r="M139" s="2"/>
      <c r="N139" s="2"/>
      <c r="O139" s="7">
        <v>45036</v>
      </c>
      <c r="P139" s="8">
        <v>4.8000000000000001E-2</v>
      </c>
      <c r="Q139" s="9"/>
      <c r="R139" s="7">
        <v>44972</v>
      </c>
      <c r="S139" s="8">
        <v>4.5499999999999999E-2</v>
      </c>
      <c r="T139" s="10">
        <v>1.0001263888888889</v>
      </c>
      <c r="U139" s="2"/>
      <c r="V139" s="2"/>
    </row>
    <row r="140" spans="2:22" x14ac:dyDescent="0.2">
      <c r="B140" s="40">
        <v>43935</v>
      </c>
      <c r="C140" s="41">
        <v>0.06</v>
      </c>
      <c r="E140" s="2"/>
      <c r="F140" s="2"/>
      <c r="G140" s="2"/>
      <c r="H140" s="2"/>
      <c r="I140" s="2"/>
      <c r="J140" s="2"/>
      <c r="K140" s="2"/>
      <c r="L140" s="2"/>
      <c r="M140" s="2"/>
      <c r="N140" s="2"/>
      <c r="O140" s="7">
        <v>45037</v>
      </c>
      <c r="P140" s="8">
        <v>4.8000000000000001E-2</v>
      </c>
      <c r="Q140" s="9"/>
      <c r="R140" s="7">
        <v>44973</v>
      </c>
      <c r="S140" s="8">
        <v>4.5499999999999999E-2</v>
      </c>
      <c r="T140" s="10">
        <v>1.0001263888888889</v>
      </c>
      <c r="U140" s="2"/>
      <c r="V140" s="2"/>
    </row>
    <row r="141" spans="2:22" x14ac:dyDescent="0.2">
      <c r="B141" s="40">
        <v>43936</v>
      </c>
      <c r="C141" s="41">
        <v>0.03</v>
      </c>
      <c r="E141" s="2"/>
      <c r="F141" s="2"/>
      <c r="G141" s="2"/>
      <c r="H141" s="2"/>
      <c r="I141" s="2"/>
      <c r="J141" s="2"/>
      <c r="K141" s="2"/>
      <c r="L141" s="2"/>
      <c r="M141" s="2"/>
      <c r="N141" s="2"/>
      <c r="O141" s="7">
        <v>45040</v>
      </c>
      <c r="P141" s="8">
        <v>4.8000000000000001E-2</v>
      </c>
      <c r="Q141" s="9"/>
      <c r="R141" s="7">
        <v>44974</v>
      </c>
      <c r="S141" s="8">
        <v>4.5499999999999999E-2</v>
      </c>
      <c r="T141" s="10">
        <v>1.0001263888888889</v>
      </c>
      <c r="U141" s="2"/>
      <c r="V141" s="2"/>
    </row>
    <row r="142" spans="2:22" x14ac:dyDescent="0.2">
      <c r="B142" s="40">
        <v>43937</v>
      </c>
      <c r="C142" s="41">
        <v>0.03</v>
      </c>
      <c r="E142" s="2"/>
      <c r="F142" s="2"/>
      <c r="G142" s="2"/>
      <c r="H142" s="2"/>
      <c r="I142" s="2"/>
      <c r="J142" s="2"/>
      <c r="K142" s="2"/>
      <c r="L142" s="2"/>
      <c r="M142" s="2"/>
      <c r="N142" s="2"/>
      <c r="O142" s="7">
        <v>45041</v>
      </c>
      <c r="P142" s="8">
        <v>4.8000000000000001E-2</v>
      </c>
      <c r="Q142" s="9"/>
      <c r="R142" s="7">
        <v>44975</v>
      </c>
      <c r="S142" s="8">
        <v>4.5499999999999999E-2</v>
      </c>
      <c r="T142" s="10">
        <v>1.0001263888888889</v>
      </c>
      <c r="U142" s="2"/>
      <c r="V142" s="2"/>
    </row>
    <row r="143" spans="2:22" x14ac:dyDescent="0.2">
      <c r="B143" s="40">
        <v>43938</v>
      </c>
      <c r="C143" s="41">
        <v>0.03</v>
      </c>
      <c r="E143" s="2"/>
      <c r="F143" s="2"/>
      <c r="G143" s="2"/>
      <c r="H143" s="2"/>
      <c r="I143" s="2"/>
      <c r="J143" s="2"/>
      <c r="K143" s="2"/>
      <c r="L143" s="2"/>
      <c r="M143" s="2"/>
      <c r="N143" s="2"/>
      <c r="O143" s="7">
        <v>45042</v>
      </c>
      <c r="P143" s="8">
        <v>4.8000000000000001E-2</v>
      </c>
      <c r="Q143" s="9"/>
      <c r="R143" s="7">
        <v>44976</v>
      </c>
      <c r="S143" s="8">
        <v>4.5499999999999999E-2</v>
      </c>
      <c r="T143" s="10">
        <v>1.0001263888888889</v>
      </c>
      <c r="U143" s="2"/>
      <c r="V143" s="2"/>
    </row>
    <row r="144" spans="2:22" x14ac:dyDescent="0.2">
      <c r="B144" s="40">
        <v>43941</v>
      </c>
      <c r="C144" s="41">
        <v>0.02</v>
      </c>
      <c r="E144" s="2"/>
      <c r="F144" s="2"/>
      <c r="G144" s="2"/>
      <c r="H144" s="2"/>
      <c r="I144" s="2"/>
      <c r="J144" s="2"/>
      <c r="K144" s="2"/>
      <c r="L144" s="2"/>
      <c r="M144" s="2"/>
      <c r="N144" s="2"/>
      <c r="O144" s="7">
        <v>45043</v>
      </c>
      <c r="P144" s="8">
        <v>4.8099999999999997E-2</v>
      </c>
      <c r="Q144" s="9"/>
      <c r="R144" s="7">
        <v>44977</v>
      </c>
      <c r="S144" s="8">
        <v>4.5499999999999999E-2</v>
      </c>
      <c r="T144" s="10">
        <v>1.0001263888888889</v>
      </c>
      <c r="U144" s="2"/>
      <c r="V144" s="2"/>
    </row>
    <row r="145" spans="2:22" x14ac:dyDescent="0.2">
      <c r="B145" s="40">
        <v>43942</v>
      </c>
      <c r="C145" s="41">
        <v>0.01</v>
      </c>
      <c r="E145" s="2"/>
      <c r="F145" s="2"/>
      <c r="G145" s="2"/>
      <c r="H145" s="2"/>
      <c r="I145" s="2"/>
      <c r="J145" s="2"/>
      <c r="K145" s="2"/>
      <c r="L145" s="2"/>
      <c r="M145" s="2"/>
      <c r="N145" s="2"/>
      <c r="O145" s="7">
        <v>45044</v>
      </c>
      <c r="P145" s="8">
        <v>4.8099999999999997E-2</v>
      </c>
      <c r="Q145" s="9"/>
      <c r="R145" s="7">
        <v>44978</v>
      </c>
      <c r="S145" s="8">
        <v>4.5499999999999999E-2</v>
      </c>
      <c r="T145" s="10">
        <v>1.0001263888888889</v>
      </c>
      <c r="U145" s="2"/>
      <c r="V145" s="2"/>
    </row>
    <row r="146" spans="2:22" x14ac:dyDescent="0.2">
      <c r="B146" s="40">
        <v>43943</v>
      </c>
      <c r="C146" s="41">
        <v>0.01</v>
      </c>
      <c r="E146" s="2"/>
      <c r="F146" s="2"/>
      <c r="G146" s="2"/>
      <c r="H146" s="2"/>
      <c r="I146" s="2"/>
      <c r="J146" s="2"/>
      <c r="K146" s="2"/>
      <c r="L146" s="2"/>
      <c r="M146" s="2"/>
      <c r="N146" s="2"/>
      <c r="O146" s="7">
        <v>45047</v>
      </c>
      <c r="P146" s="8">
        <v>4.8099999999999997E-2</v>
      </c>
      <c r="Q146" s="9"/>
      <c r="R146" s="7">
        <v>44979</v>
      </c>
      <c r="S146" s="8">
        <v>4.5499999999999999E-2</v>
      </c>
      <c r="T146" s="10">
        <v>1.0001263888888889</v>
      </c>
      <c r="U146" s="2"/>
      <c r="V146" s="2"/>
    </row>
    <row r="147" spans="2:22" x14ac:dyDescent="0.2">
      <c r="B147" s="40">
        <v>43944</v>
      </c>
      <c r="C147" s="41">
        <v>0.01</v>
      </c>
      <c r="E147" s="2"/>
      <c r="F147" s="2"/>
      <c r="G147" s="2"/>
      <c r="H147" s="2"/>
      <c r="I147" s="2"/>
      <c r="J147" s="2"/>
      <c r="K147" s="2"/>
      <c r="L147" s="2"/>
      <c r="M147" s="2"/>
      <c r="N147" s="2"/>
      <c r="O147" s="7">
        <v>45048</v>
      </c>
      <c r="P147" s="8">
        <v>4.8099999999999997E-2</v>
      </c>
      <c r="Q147" s="9"/>
      <c r="R147" s="7">
        <v>44980</v>
      </c>
      <c r="S147" s="8">
        <v>4.5499999999999999E-2</v>
      </c>
      <c r="T147" s="10">
        <v>1.0001263888888889</v>
      </c>
      <c r="U147" s="2"/>
      <c r="V147" s="2"/>
    </row>
    <row r="148" spans="2:22" x14ac:dyDescent="0.2">
      <c r="B148" s="40">
        <v>43945</v>
      </c>
      <c r="C148" s="41">
        <v>0.03</v>
      </c>
      <c r="E148" s="2"/>
      <c r="F148" s="2"/>
      <c r="G148" s="2"/>
      <c r="H148" s="2"/>
      <c r="I148" s="2"/>
      <c r="J148" s="2"/>
      <c r="K148" s="2"/>
      <c r="L148" s="2"/>
      <c r="M148" s="2"/>
      <c r="N148" s="2"/>
      <c r="O148" s="7">
        <v>45049</v>
      </c>
      <c r="P148" s="8">
        <v>4.8099999999999997E-2</v>
      </c>
      <c r="Q148" s="9"/>
      <c r="R148" s="7">
        <v>44981</v>
      </c>
      <c r="S148" s="8">
        <v>4.5499999999999999E-2</v>
      </c>
      <c r="T148" s="10">
        <v>1.0001263888888889</v>
      </c>
      <c r="U148" s="2"/>
      <c r="V148" s="2"/>
    </row>
    <row r="149" spans="2:22" x14ac:dyDescent="0.2">
      <c r="B149" s="40">
        <v>43948</v>
      </c>
      <c r="C149" s="41">
        <v>0.03</v>
      </c>
      <c r="E149" s="2"/>
      <c r="F149" s="2"/>
      <c r="G149" s="2"/>
      <c r="H149" s="2"/>
      <c r="I149" s="2"/>
      <c r="J149" s="2"/>
      <c r="K149" s="2"/>
      <c r="L149" s="2"/>
      <c r="M149" s="2"/>
      <c r="N149" s="2"/>
      <c r="O149" s="7">
        <v>45050</v>
      </c>
      <c r="P149" s="8">
        <v>5.0599999999999999E-2</v>
      </c>
      <c r="Q149" s="9"/>
      <c r="R149" s="7">
        <v>44982</v>
      </c>
      <c r="S149" s="8">
        <v>4.5499999999999999E-2</v>
      </c>
      <c r="T149" s="10">
        <v>1.0001263888888889</v>
      </c>
      <c r="U149" s="2"/>
      <c r="V149" s="2"/>
    </row>
    <row r="150" spans="2:22" x14ac:dyDescent="0.2">
      <c r="B150" s="40">
        <v>43949</v>
      </c>
      <c r="C150" s="41">
        <v>0.01</v>
      </c>
      <c r="E150" s="2"/>
      <c r="F150" s="2"/>
      <c r="G150" s="2"/>
      <c r="H150" s="2"/>
      <c r="I150" s="2"/>
      <c r="J150" s="2"/>
      <c r="K150" s="2"/>
      <c r="L150" s="2"/>
      <c r="M150" s="2"/>
      <c r="N150" s="2"/>
      <c r="O150" s="7">
        <v>45051</v>
      </c>
      <c r="P150" s="8">
        <v>5.0599999999999999E-2</v>
      </c>
      <c r="Q150" s="9"/>
      <c r="R150" s="7">
        <v>44983</v>
      </c>
      <c r="S150" s="8">
        <v>4.5499999999999999E-2</v>
      </c>
      <c r="T150" s="10">
        <v>1.0001263888888889</v>
      </c>
      <c r="U150" s="2"/>
      <c r="V150" s="2"/>
    </row>
    <row r="151" spans="2:22" x14ac:dyDescent="0.2">
      <c r="B151" s="40">
        <v>43950</v>
      </c>
      <c r="C151" s="41">
        <v>0.01</v>
      </c>
      <c r="E151" s="2"/>
      <c r="F151" s="2"/>
      <c r="G151" s="2"/>
      <c r="H151" s="2"/>
      <c r="I151" s="2"/>
      <c r="J151" s="2"/>
      <c r="K151" s="2"/>
      <c r="L151" s="2"/>
      <c r="M151" s="2"/>
      <c r="N151" s="2"/>
      <c r="O151" s="7">
        <v>45054</v>
      </c>
      <c r="P151" s="8">
        <v>5.0599999999999999E-2</v>
      </c>
      <c r="Q151" s="9"/>
      <c r="R151" s="7">
        <v>44984</v>
      </c>
      <c r="S151" s="8">
        <v>4.5499999999999999E-2</v>
      </c>
      <c r="T151" s="10">
        <v>1.0001263888888889</v>
      </c>
      <c r="U151" s="2"/>
      <c r="V151" s="2"/>
    </row>
    <row r="152" spans="2:22" x14ac:dyDescent="0.2">
      <c r="B152" s="40">
        <v>43951</v>
      </c>
      <c r="C152" s="41">
        <v>0.04</v>
      </c>
      <c r="E152" s="2"/>
      <c r="F152" s="2"/>
      <c r="G152" s="2"/>
      <c r="H152" s="2"/>
      <c r="I152" s="2"/>
      <c r="J152" s="2"/>
      <c r="K152" s="2"/>
      <c r="L152" s="2"/>
      <c r="M152" s="2"/>
      <c r="N152" s="2"/>
      <c r="O152" s="7">
        <v>45055</v>
      </c>
      <c r="P152" s="8">
        <v>5.0599999999999999E-2</v>
      </c>
      <c r="Q152" s="9"/>
      <c r="R152" s="7">
        <v>44985</v>
      </c>
      <c r="S152" s="8">
        <v>4.5499999999999999E-2</v>
      </c>
      <c r="T152" s="10">
        <v>1.0001263888888889</v>
      </c>
      <c r="U152" s="2"/>
      <c r="V152" s="2"/>
    </row>
    <row r="153" spans="2:22" x14ac:dyDescent="0.2">
      <c r="B153" s="40">
        <v>43952</v>
      </c>
      <c r="C153" s="41">
        <v>0.03</v>
      </c>
      <c r="E153" s="2"/>
      <c r="F153" s="2"/>
      <c r="G153" s="2"/>
      <c r="H153" s="2"/>
      <c r="I153" s="2"/>
      <c r="J153" s="2"/>
      <c r="K153" s="2"/>
      <c r="L153" s="2"/>
      <c r="M153" s="2"/>
      <c r="N153" s="2"/>
      <c r="O153" s="7">
        <v>45056</v>
      </c>
      <c r="P153" s="8">
        <v>5.0599999999999999E-2</v>
      </c>
      <c r="Q153" s="9"/>
      <c r="R153" s="7">
        <v>44986</v>
      </c>
      <c r="S153" s="8">
        <v>4.5499999999999999E-2</v>
      </c>
      <c r="T153" s="10">
        <v>1.0001263888888889</v>
      </c>
      <c r="U153" s="2"/>
      <c r="V153" s="2"/>
    </row>
    <row r="154" spans="2:22" x14ac:dyDescent="0.2">
      <c r="B154" s="40">
        <v>43955</v>
      </c>
      <c r="C154" s="41">
        <v>0.05</v>
      </c>
      <c r="E154" s="2"/>
      <c r="F154" s="2"/>
      <c r="G154" s="2"/>
      <c r="H154" s="2"/>
      <c r="I154" s="2"/>
      <c r="J154" s="2"/>
      <c r="K154" s="2"/>
      <c r="L154" s="2"/>
      <c r="M154" s="2"/>
      <c r="N154" s="2"/>
      <c r="O154" s="7">
        <v>45057</v>
      </c>
      <c r="P154" s="8">
        <v>5.0499999999999996E-2</v>
      </c>
      <c r="Q154" s="9"/>
      <c r="R154" s="7">
        <v>44987</v>
      </c>
      <c r="S154" s="8">
        <v>4.5499999999999999E-2</v>
      </c>
      <c r="T154" s="10">
        <v>1.0001263888888889</v>
      </c>
      <c r="U154" s="2"/>
      <c r="V154" s="2"/>
    </row>
    <row r="155" spans="2:22" x14ac:dyDescent="0.2">
      <c r="B155" s="40">
        <v>43956</v>
      </c>
      <c r="C155" s="41">
        <v>0.05</v>
      </c>
      <c r="E155" s="2"/>
      <c r="F155" s="2"/>
      <c r="G155" s="2"/>
      <c r="H155" s="2"/>
      <c r="I155" s="2"/>
      <c r="J155" s="2"/>
      <c r="K155" s="2"/>
      <c r="L155" s="2"/>
      <c r="M155" s="2"/>
      <c r="N155" s="2"/>
      <c r="O155" s="7">
        <v>45058</v>
      </c>
      <c r="P155" s="8">
        <v>5.0499999999999996E-2</v>
      </c>
      <c r="Q155" s="9"/>
      <c r="R155" s="7">
        <v>44988</v>
      </c>
      <c r="S155" s="8">
        <v>4.5499999999999999E-2</v>
      </c>
      <c r="T155" s="10">
        <v>1.0001263888888889</v>
      </c>
      <c r="U155" s="2"/>
      <c r="V155" s="2"/>
    </row>
    <row r="156" spans="2:22" x14ac:dyDescent="0.2">
      <c r="B156" s="40">
        <v>43957</v>
      </c>
      <c r="C156" s="41">
        <v>0.05</v>
      </c>
      <c r="E156" s="2"/>
      <c r="F156" s="2"/>
      <c r="G156" s="2"/>
      <c r="H156" s="2"/>
      <c r="I156" s="2"/>
      <c r="J156" s="2"/>
      <c r="K156" s="2"/>
      <c r="L156" s="2"/>
      <c r="M156" s="2"/>
      <c r="N156" s="2"/>
      <c r="O156" s="7">
        <v>45061</v>
      </c>
      <c r="P156" s="8">
        <v>5.0599999999999999E-2</v>
      </c>
      <c r="Q156" s="9"/>
      <c r="R156" s="7">
        <v>44989</v>
      </c>
      <c r="S156" s="8">
        <v>4.5499999999999999E-2</v>
      </c>
      <c r="T156" s="10">
        <v>1.0001263888888889</v>
      </c>
      <c r="U156" s="2"/>
      <c r="V156" s="2"/>
    </row>
    <row r="157" spans="2:22" x14ac:dyDescent="0.2">
      <c r="B157" s="40">
        <v>43958</v>
      </c>
      <c r="C157" s="41">
        <v>0.05</v>
      </c>
      <c r="E157" s="2"/>
      <c r="F157" s="2"/>
      <c r="G157" s="2"/>
      <c r="H157" s="2"/>
      <c r="I157" s="2"/>
      <c r="J157" s="2"/>
      <c r="K157" s="2"/>
      <c r="L157" s="2"/>
      <c r="M157" s="2"/>
      <c r="N157" s="2"/>
      <c r="O157" s="7">
        <v>45062</v>
      </c>
      <c r="P157" s="8">
        <v>5.0499999999999996E-2</v>
      </c>
      <c r="Q157" s="9"/>
      <c r="R157" s="7">
        <v>44990</v>
      </c>
      <c r="S157" s="8">
        <v>4.5499999999999999E-2</v>
      </c>
      <c r="T157" s="10">
        <v>1.0001263888888889</v>
      </c>
      <c r="U157" s="2"/>
      <c r="V157" s="2"/>
    </row>
    <row r="158" spans="2:22" x14ac:dyDescent="0.2">
      <c r="B158" s="40">
        <v>43959</v>
      </c>
      <c r="C158" s="41">
        <v>0.06</v>
      </c>
      <c r="E158" s="2"/>
      <c r="F158" s="2"/>
      <c r="G158" s="2"/>
      <c r="H158" s="2"/>
      <c r="I158" s="2"/>
      <c r="J158" s="2"/>
      <c r="K158" s="2"/>
      <c r="L158" s="2"/>
      <c r="M158" s="2"/>
      <c r="N158" s="2"/>
      <c r="O158" s="7">
        <v>45063</v>
      </c>
      <c r="P158" s="8">
        <v>5.0499999999999996E-2</v>
      </c>
      <c r="Q158" s="9"/>
      <c r="R158" s="7">
        <v>44991</v>
      </c>
      <c r="S158" s="8">
        <v>4.5499999999999999E-2</v>
      </c>
      <c r="T158" s="10">
        <v>1.0001263888888889</v>
      </c>
      <c r="U158" s="2"/>
      <c r="V158" s="2"/>
    </row>
    <row r="159" spans="2:22" x14ac:dyDescent="0.2">
      <c r="B159" s="40">
        <v>43962</v>
      </c>
      <c r="C159" s="41">
        <v>0.06</v>
      </c>
      <c r="E159" s="2"/>
      <c r="F159" s="2"/>
      <c r="G159" s="2"/>
      <c r="H159" s="2"/>
      <c r="I159" s="2"/>
      <c r="J159" s="2"/>
      <c r="K159" s="2"/>
      <c r="L159" s="2"/>
      <c r="M159" s="2"/>
      <c r="N159" s="2"/>
      <c r="O159" s="7">
        <v>45064</v>
      </c>
      <c r="P159" s="8">
        <v>5.0499999999999996E-2</v>
      </c>
      <c r="Q159" s="9"/>
      <c r="R159" s="7">
        <v>44992</v>
      </c>
      <c r="S159" s="8">
        <v>4.5499999999999999E-2</v>
      </c>
      <c r="T159" s="10">
        <v>1.0001263888888889</v>
      </c>
      <c r="U159" s="2"/>
      <c r="V159" s="2"/>
    </row>
    <row r="160" spans="2:22" x14ac:dyDescent="0.2">
      <c r="B160" s="40">
        <v>43963</v>
      </c>
      <c r="C160" s="41">
        <v>0.06</v>
      </c>
      <c r="E160" s="2"/>
      <c r="F160" s="2"/>
      <c r="G160" s="2"/>
      <c r="H160" s="2"/>
      <c r="I160" s="2"/>
      <c r="J160" s="2"/>
      <c r="K160" s="2"/>
      <c r="L160" s="2"/>
      <c r="M160" s="2"/>
      <c r="N160" s="2"/>
      <c r="O160" s="7">
        <v>45065</v>
      </c>
      <c r="P160" s="8">
        <v>5.0499999999999996E-2</v>
      </c>
      <c r="Q160" s="9"/>
      <c r="R160" s="7">
        <v>44993</v>
      </c>
      <c r="S160" s="8">
        <v>4.5499999999999999E-2</v>
      </c>
      <c r="T160" s="10">
        <v>1.0001263888888889</v>
      </c>
      <c r="U160" s="2"/>
      <c r="V160" s="2"/>
    </row>
    <row r="161" spans="2:22" x14ac:dyDescent="0.2">
      <c r="B161" s="40">
        <v>43964</v>
      </c>
      <c r="C161" s="41">
        <v>0.04</v>
      </c>
      <c r="E161" s="2"/>
      <c r="F161" s="2"/>
      <c r="G161" s="2"/>
      <c r="H161" s="2"/>
      <c r="I161" s="2"/>
      <c r="J161" s="2"/>
      <c r="K161" s="2"/>
      <c r="L161" s="2"/>
      <c r="M161" s="2"/>
      <c r="N161" s="2"/>
      <c r="O161" s="7">
        <v>45068</v>
      </c>
      <c r="P161" s="8">
        <v>5.0499999999999996E-2</v>
      </c>
      <c r="Q161" s="9"/>
      <c r="R161" s="7">
        <v>44994</v>
      </c>
      <c r="S161" s="8">
        <v>4.5499999999999999E-2</v>
      </c>
      <c r="T161" s="10">
        <v>1.0001263888888889</v>
      </c>
      <c r="U161" s="2"/>
      <c r="V161" s="2"/>
    </row>
    <row r="162" spans="2:22" x14ac:dyDescent="0.2">
      <c r="B162" s="40">
        <v>43965</v>
      </c>
      <c r="C162" s="41">
        <v>0.02</v>
      </c>
      <c r="E162" s="2"/>
      <c r="F162" s="2"/>
      <c r="G162" s="2"/>
      <c r="H162" s="2"/>
      <c r="I162" s="2"/>
      <c r="J162" s="2"/>
      <c r="K162" s="2"/>
      <c r="L162" s="2"/>
      <c r="M162" s="2"/>
      <c r="N162" s="2"/>
      <c r="O162" s="7">
        <v>45069</v>
      </c>
      <c r="P162" s="8">
        <v>5.0499999999999996E-2</v>
      </c>
      <c r="Q162" s="9"/>
      <c r="R162" s="7">
        <v>44995</v>
      </c>
      <c r="S162" s="8">
        <v>4.5499999999999999E-2</v>
      </c>
      <c r="T162" s="10">
        <v>1.0001263888888889</v>
      </c>
      <c r="U162" s="2"/>
      <c r="V162" s="2"/>
    </row>
    <row r="163" spans="2:22" x14ac:dyDescent="0.2">
      <c r="B163" s="40">
        <v>43966</v>
      </c>
      <c r="C163" s="41">
        <v>0.05</v>
      </c>
      <c r="E163" s="2"/>
      <c r="F163" s="2"/>
      <c r="G163" s="2"/>
      <c r="H163" s="2"/>
      <c r="I163" s="2"/>
      <c r="J163" s="2"/>
      <c r="K163" s="2"/>
      <c r="L163" s="2"/>
      <c r="M163" s="2"/>
      <c r="N163" s="2"/>
      <c r="O163" s="7">
        <v>45070</v>
      </c>
      <c r="P163" s="8">
        <v>5.0499999999999996E-2</v>
      </c>
      <c r="Q163" s="9"/>
      <c r="R163" s="7">
        <v>44996</v>
      </c>
      <c r="S163" s="8">
        <v>4.5499999999999999E-2</v>
      </c>
      <c r="T163" s="10">
        <v>1.0001263888888889</v>
      </c>
      <c r="U163" s="2"/>
      <c r="V163" s="2"/>
    </row>
    <row r="164" spans="2:22" x14ac:dyDescent="0.2">
      <c r="B164" s="40">
        <v>43969</v>
      </c>
      <c r="C164" s="41">
        <v>0.04</v>
      </c>
      <c r="E164" s="2"/>
      <c r="F164" s="2"/>
      <c r="G164" s="2"/>
      <c r="H164" s="2"/>
      <c r="I164" s="2"/>
      <c r="J164" s="2"/>
      <c r="K164" s="2"/>
      <c r="L164" s="2"/>
      <c r="M164" s="2"/>
      <c r="N164" s="2"/>
      <c r="O164" s="7">
        <v>45071</v>
      </c>
      <c r="P164" s="8">
        <v>5.0599999999999999E-2</v>
      </c>
      <c r="Q164" s="9"/>
      <c r="R164" s="7">
        <v>44997</v>
      </c>
      <c r="S164" s="8">
        <v>4.5499999999999999E-2</v>
      </c>
      <c r="T164" s="10">
        <v>1.0001263888888889</v>
      </c>
      <c r="U164" s="2"/>
      <c r="V164" s="2"/>
    </row>
    <row r="165" spans="2:22" x14ac:dyDescent="0.2">
      <c r="B165" s="40">
        <v>43970</v>
      </c>
      <c r="C165" s="41">
        <v>0.04</v>
      </c>
      <c r="E165" s="2"/>
      <c r="F165" s="2"/>
      <c r="G165" s="2"/>
      <c r="H165" s="2"/>
      <c r="I165" s="2"/>
      <c r="J165" s="2"/>
      <c r="K165" s="2"/>
      <c r="L165" s="2"/>
      <c r="M165" s="2"/>
      <c r="N165" s="2"/>
      <c r="O165" s="7">
        <v>45072</v>
      </c>
      <c r="P165" s="8">
        <v>5.0599999999999999E-2</v>
      </c>
      <c r="Q165" s="9"/>
      <c r="R165" s="7">
        <v>44998</v>
      </c>
      <c r="S165" s="8">
        <v>4.5499999999999999E-2</v>
      </c>
      <c r="T165" s="10">
        <v>1.0001263888888889</v>
      </c>
      <c r="U165" s="2"/>
      <c r="V165" s="2"/>
    </row>
    <row r="166" spans="2:22" x14ac:dyDescent="0.2">
      <c r="B166" s="40">
        <v>43971</v>
      </c>
      <c r="C166" s="41">
        <v>0.01</v>
      </c>
      <c r="E166" s="2"/>
      <c r="F166" s="2"/>
      <c r="G166" s="2"/>
      <c r="H166" s="2"/>
      <c r="I166" s="2"/>
      <c r="J166" s="2"/>
      <c r="K166" s="2"/>
      <c r="L166" s="2"/>
      <c r="M166" s="2"/>
      <c r="N166" s="2"/>
      <c r="O166" s="7">
        <v>45076</v>
      </c>
      <c r="P166" s="8">
        <v>5.0599999999999999E-2</v>
      </c>
      <c r="Q166" s="9"/>
      <c r="R166" s="7">
        <v>44999</v>
      </c>
      <c r="S166" s="8">
        <v>4.5499999999999999E-2</v>
      </c>
      <c r="T166" s="10">
        <v>1.0001263888888889</v>
      </c>
      <c r="U166" s="2"/>
      <c r="V166" s="2"/>
    </row>
    <row r="167" spans="2:22" x14ac:dyDescent="0.2">
      <c r="B167" s="40">
        <v>43972</v>
      </c>
      <c r="C167" s="41">
        <v>0.02</v>
      </c>
      <c r="E167" s="2"/>
      <c r="F167" s="2"/>
      <c r="G167" s="2"/>
      <c r="H167" s="2"/>
      <c r="I167" s="2"/>
      <c r="J167" s="2"/>
      <c r="K167" s="2"/>
      <c r="L167" s="2"/>
      <c r="M167" s="2"/>
      <c r="N167" s="2"/>
      <c r="O167" s="7">
        <v>45077</v>
      </c>
      <c r="P167" s="8">
        <v>5.0799999999999998E-2</v>
      </c>
      <c r="Q167" s="9"/>
      <c r="R167" s="7">
        <v>45000</v>
      </c>
      <c r="S167" s="8">
        <v>4.58E-2</v>
      </c>
      <c r="T167" s="10">
        <v>1.0001272222222222</v>
      </c>
      <c r="U167" s="2"/>
      <c r="V167" s="2"/>
    </row>
    <row r="168" spans="2:22" x14ac:dyDescent="0.2">
      <c r="B168" s="40">
        <v>43973</v>
      </c>
      <c r="C168" s="41">
        <v>0.04</v>
      </c>
      <c r="E168" s="2"/>
      <c r="F168" s="2"/>
      <c r="G168" s="2"/>
      <c r="H168" s="2"/>
      <c r="I168" s="2"/>
      <c r="J168" s="2"/>
      <c r="K168" s="2"/>
      <c r="L168" s="2"/>
      <c r="M168" s="2"/>
      <c r="N168" s="2"/>
      <c r="O168" s="7">
        <v>45078</v>
      </c>
      <c r="P168" s="8">
        <v>5.0799999999999998E-2</v>
      </c>
      <c r="Q168" s="9"/>
      <c r="R168" s="7">
        <v>45001</v>
      </c>
      <c r="S168" s="8">
        <v>4.5700000000000005E-2</v>
      </c>
      <c r="T168" s="10">
        <v>1.0001269444444445</v>
      </c>
      <c r="U168" s="2"/>
      <c r="V168" s="2"/>
    </row>
    <row r="169" spans="2:22" x14ac:dyDescent="0.2">
      <c r="B169" s="40">
        <v>43977</v>
      </c>
      <c r="C169" s="41">
        <v>0.06</v>
      </c>
      <c r="E169" s="2"/>
      <c r="F169" s="2"/>
      <c r="G169" s="2"/>
      <c r="H169" s="2"/>
      <c r="I169" s="2"/>
      <c r="J169" s="2"/>
      <c r="K169" s="2"/>
      <c r="L169" s="2"/>
      <c r="M169" s="2"/>
      <c r="N169" s="2"/>
      <c r="O169" s="7">
        <v>45079</v>
      </c>
      <c r="P169" s="8">
        <v>5.0700000000000002E-2</v>
      </c>
      <c r="Q169" s="9"/>
      <c r="R169" s="7">
        <v>45002</v>
      </c>
      <c r="S169" s="8">
        <v>4.5499999999999999E-2</v>
      </c>
      <c r="T169" s="10">
        <v>1.0001263888888889</v>
      </c>
      <c r="U169" s="2"/>
      <c r="V169" s="2"/>
    </row>
    <row r="170" spans="2:22" x14ac:dyDescent="0.2">
      <c r="B170" s="40">
        <v>43978</v>
      </c>
      <c r="C170" s="41">
        <v>0.06</v>
      </c>
      <c r="E170" s="2"/>
      <c r="F170" s="2"/>
      <c r="G170" s="2"/>
      <c r="H170" s="2"/>
      <c r="I170" s="2"/>
      <c r="J170" s="2"/>
      <c r="K170" s="2"/>
      <c r="L170" s="2"/>
      <c r="M170" s="2"/>
      <c r="N170" s="2"/>
      <c r="O170" s="7">
        <v>45082</v>
      </c>
      <c r="P170" s="8">
        <v>5.0599999999999999E-2</v>
      </c>
      <c r="Q170" s="9"/>
      <c r="R170" s="7">
        <v>45003</v>
      </c>
      <c r="S170" s="8">
        <v>4.5499999999999999E-2</v>
      </c>
      <c r="T170" s="10">
        <v>1.0001263888888889</v>
      </c>
      <c r="U170" s="2"/>
      <c r="V170" s="2"/>
    </row>
    <row r="171" spans="2:22" x14ac:dyDescent="0.2">
      <c r="B171" s="40">
        <v>43979</v>
      </c>
      <c r="C171" s="41">
        <v>0.06</v>
      </c>
      <c r="E171" s="2"/>
      <c r="F171" s="2"/>
      <c r="G171" s="2"/>
      <c r="H171" s="2"/>
      <c r="I171" s="2"/>
      <c r="J171" s="2"/>
      <c r="K171" s="2"/>
      <c r="L171" s="2"/>
      <c r="M171" s="2"/>
      <c r="N171" s="2"/>
      <c r="O171" s="7">
        <v>45083</v>
      </c>
      <c r="P171" s="8">
        <v>5.0499999999999996E-2</v>
      </c>
      <c r="Q171" s="9"/>
      <c r="R171" s="7">
        <v>45004</v>
      </c>
      <c r="S171" s="8">
        <v>4.5499999999999999E-2</v>
      </c>
      <c r="T171" s="10">
        <v>1.0001263888888889</v>
      </c>
      <c r="U171" s="2"/>
      <c r="V171" s="2"/>
    </row>
    <row r="172" spans="2:22" x14ac:dyDescent="0.2">
      <c r="B172" s="40">
        <v>43980</v>
      </c>
      <c r="C172" s="41">
        <v>0.06</v>
      </c>
      <c r="E172" s="2"/>
      <c r="F172" s="2"/>
      <c r="G172" s="2"/>
      <c r="H172" s="2"/>
      <c r="I172" s="2"/>
      <c r="J172" s="2"/>
      <c r="K172" s="2"/>
      <c r="L172" s="2"/>
      <c r="M172" s="2"/>
      <c r="N172" s="2"/>
      <c r="O172" s="7">
        <v>45084</v>
      </c>
      <c r="P172" s="8">
        <v>5.0499999999999996E-2</v>
      </c>
      <c r="Q172" s="9"/>
      <c r="R172" s="7">
        <v>45005</v>
      </c>
      <c r="S172" s="8">
        <v>4.5499999999999999E-2</v>
      </c>
      <c r="T172" s="10">
        <v>1.0001263888888889</v>
      </c>
      <c r="U172" s="2"/>
      <c r="V172" s="2"/>
    </row>
    <row r="173" spans="2:22" x14ac:dyDescent="0.2">
      <c r="B173" s="40">
        <v>43983</v>
      </c>
      <c r="C173" s="41">
        <v>0.06</v>
      </c>
      <c r="E173" s="2"/>
      <c r="F173" s="2"/>
      <c r="G173" s="2"/>
      <c r="H173" s="2"/>
      <c r="I173" s="2"/>
      <c r="J173" s="2"/>
      <c r="K173" s="2"/>
      <c r="L173" s="2"/>
      <c r="M173" s="2"/>
      <c r="N173" s="2"/>
      <c r="O173" s="7">
        <v>45085</v>
      </c>
      <c r="P173" s="8">
        <v>5.0499999999999996E-2</v>
      </c>
      <c r="Q173" s="9"/>
      <c r="R173" s="7">
        <v>45006</v>
      </c>
      <c r="S173" s="8">
        <v>4.5499999999999999E-2</v>
      </c>
      <c r="T173" s="10">
        <v>1.0001263888888889</v>
      </c>
      <c r="U173" s="2"/>
      <c r="V173" s="2"/>
    </row>
    <row r="174" spans="2:22" x14ac:dyDescent="0.2">
      <c r="B174" s="40">
        <v>43984</v>
      </c>
      <c r="C174" s="41">
        <v>7.0000000000000007E-2</v>
      </c>
      <c r="E174" s="2"/>
      <c r="F174" s="2"/>
      <c r="G174" s="2"/>
      <c r="H174" s="2"/>
      <c r="I174" s="2"/>
      <c r="J174" s="2"/>
      <c r="K174" s="2"/>
      <c r="L174" s="2"/>
      <c r="M174" s="2"/>
      <c r="N174" s="2"/>
      <c r="O174" s="7">
        <v>45086</v>
      </c>
      <c r="P174" s="8">
        <v>5.0499999999999996E-2</v>
      </c>
      <c r="Q174" s="9"/>
      <c r="R174" s="7">
        <v>45007</v>
      </c>
      <c r="S174" s="8">
        <v>4.5499999999999999E-2</v>
      </c>
      <c r="T174" s="10">
        <v>1.0001263888888889</v>
      </c>
      <c r="U174" s="2"/>
      <c r="V174" s="2"/>
    </row>
    <row r="175" spans="2:22" x14ac:dyDescent="0.2">
      <c r="B175" s="40">
        <v>43985</v>
      </c>
      <c r="C175" s="41">
        <v>0.06</v>
      </c>
      <c r="E175" s="2"/>
      <c r="F175" s="2"/>
      <c r="G175" s="2"/>
      <c r="H175" s="2"/>
      <c r="I175" s="2"/>
      <c r="J175" s="2"/>
      <c r="K175" s="2"/>
      <c r="L175" s="2"/>
      <c r="M175" s="2"/>
      <c r="N175" s="2"/>
      <c r="O175" s="7">
        <v>45089</v>
      </c>
      <c r="P175" s="8">
        <v>5.0499999999999996E-2</v>
      </c>
      <c r="Q175" s="9"/>
      <c r="R175" s="7">
        <v>45008</v>
      </c>
      <c r="S175" s="8">
        <v>4.8000000000000001E-2</v>
      </c>
      <c r="T175" s="10">
        <v>1.0001333333333333</v>
      </c>
      <c r="U175" s="2"/>
      <c r="V175" s="2"/>
    </row>
    <row r="176" spans="2:22" x14ac:dyDescent="0.2">
      <c r="B176" s="40">
        <v>43986</v>
      </c>
      <c r="C176" s="41">
        <v>7.0000000000000007E-2</v>
      </c>
      <c r="E176" s="2"/>
      <c r="F176" s="2"/>
      <c r="G176" s="2"/>
      <c r="H176" s="2"/>
      <c r="I176" s="2"/>
      <c r="J176" s="2"/>
      <c r="K176" s="2"/>
      <c r="L176" s="2"/>
      <c r="M176" s="2"/>
      <c r="N176" s="2"/>
      <c r="O176" s="7">
        <v>45090</v>
      </c>
      <c r="P176" s="8">
        <v>5.0499999999999996E-2</v>
      </c>
      <c r="Q176" s="9"/>
      <c r="R176" s="7">
        <v>45009</v>
      </c>
      <c r="S176" s="8">
        <v>4.8000000000000001E-2</v>
      </c>
      <c r="T176" s="10">
        <v>1.0001333333333333</v>
      </c>
      <c r="U176" s="2"/>
      <c r="V176" s="2"/>
    </row>
    <row r="177" spans="2:22" x14ac:dyDescent="0.2">
      <c r="B177" s="40">
        <v>43987</v>
      </c>
      <c r="C177" s="41">
        <v>7.0000000000000007E-2</v>
      </c>
      <c r="E177" s="2"/>
      <c r="F177" s="2"/>
      <c r="G177" s="2"/>
      <c r="H177" s="2"/>
      <c r="I177" s="2"/>
      <c r="J177" s="2"/>
      <c r="K177" s="2"/>
      <c r="L177" s="2"/>
      <c r="M177" s="2"/>
      <c r="N177" s="2"/>
      <c r="O177" s="7">
        <v>45091</v>
      </c>
      <c r="P177" s="8">
        <v>5.0499999999999996E-2</v>
      </c>
      <c r="Q177" s="9"/>
      <c r="R177" s="7">
        <v>45010</v>
      </c>
      <c r="S177" s="8">
        <v>4.8000000000000001E-2</v>
      </c>
      <c r="T177" s="10">
        <v>1.0001333333333333</v>
      </c>
      <c r="U177" s="2"/>
      <c r="V177" s="2"/>
    </row>
    <row r="178" spans="2:22" x14ac:dyDescent="0.2">
      <c r="B178" s="40">
        <v>43990</v>
      </c>
      <c r="C178" s="41">
        <v>7.0000000000000007E-2</v>
      </c>
      <c r="E178" s="2"/>
      <c r="F178" s="2"/>
      <c r="G178" s="2"/>
      <c r="H178" s="2"/>
      <c r="I178" s="2"/>
      <c r="J178" s="2"/>
      <c r="K178" s="2"/>
      <c r="L178" s="2"/>
      <c r="M178" s="2"/>
      <c r="N178" s="2"/>
      <c r="O178" s="7">
        <v>45092</v>
      </c>
      <c r="P178" s="8">
        <v>5.0599999999999999E-2</v>
      </c>
      <c r="Q178" s="9"/>
      <c r="R178" s="7">
        <v>45011</v>
      </c>
      <c r="S178" s="8">
        <v>4.8000000000000001E-2</v>
      </c>
      <c r="T178" s="10">
        <v>1.0001333333333333</v>
      </c>
      <c r="U178" s="2"/>
      <c r="V178" s="2"/>
    </row>
    <row r="179" spans="2:22" x14ac:dyDescent="0.2">
      <c r="B179" s="40">
        <v>43991</v>
      </c>
      <c r="C179" s="41">
        <v>0.08</v>
      </c>
      <c r="E179" s="2"/>
      <c r="F179" s="2"/>
      <c r="G179" s="2"/>
      <c r="H179" s="2"/>
      <c r="I179" s="2"/>
      <c r="J179" s="2"/>
      <c r="K179" s="2"/>
      <c r="L179" s="2"/>
      <c r="M179" s="2"/>
      <c r="N179" s="2"/>
      <c r="O179" s="7">
        <v>45093</v>
      </c>
      <c r="P179" s="8">
        <v>5.0499999999999996E-2</v>
      </c>
      <c r="Q179" s="9"/>
      <c r="R179" s="7">
        <v>45012</v>
      </c>
      <c r="S179" s="8">
        <v>4.8099999999999997E-2</v>
      </c>
      <c r="T179" s="10">
        <v>1.0001336111111112</v>
      </c>
      <c r="U179" s="2"/>
      <c r="V179" s="2"/>
    </row>
    <row r="180" spans="2:22" x14ac:dyDescent="0.2">
      <c r="B180" s="40">
        <v>43992</v>
      </c>
      <c r="C180" s="41">
        <v>7.0000000000000007E-2</v>
      </c>
      <c r="E180" s="2"/>
      <c r="F180" s="2"/>
      <c r="G180" s="2"/>
      <c r="H180" s="2"/>
      <c r="I180" s="2"/>
      <c r="J180" s="2"/>
      <c r="K180" s="2"/>
      <c r="L180" s="2"/>
      <c r="M180" s="2"/>
      <c r="N180" s="2"/>
      <c r="O180" s="7">
        <v>45097</v>
      </c>
      <c r="P180" s="8">
        <v>5.0499999999999996E-2</v>
      </c>
      <c r="Q180" s="9"/>
      <c r="R180" s="7">
        <v>45013</v>
      </c>
      <c r="S180" s="8">
        <v>4.8399999999999999E-2</v>
      </c>
      <c r="T180" s="10">
        <v>1.0001344444444444</v>
      </c>
      <c r="U180" s="2"/>
      <c r="V180" s="2"/>
    </row>
    <row r="181" spans="2:22" x14ac:dyDescent="0.2">
      <c r="B181" s="40">
        <v>43993</v>
      </c>
      <c r="C181" s="41">
        <v>0.08</v>
      </c>
      <c r="E181" s="2"/>
      <c r="F181" s="2"/>
      <c r="G181" s="2"/>
      <c r="H181" s="2"/>
      <c r="I181" s="2"/>
      <c r="J181" s="2"/>
      <c r="K181" s="2"/>
      <c r="L181" s="2"/>
      <c r="M181" s="2"/>
      <c r="N181" s="2"/>
      <c r="O181" s="7">
        <v>45098</v>
      </c>
      <c r="P181" s="8">
        <v>5.0499999999999996E-2</v>
      </c>
      <c r="Q181" s="9"/>
      <c r="R181" s="7">
        <v>45014</v>
      </c>
      <c r="S181" s="8">
        <v>4.8300000000000003E-2</v>
      </c>
      <c r="T181" s="10">
        <v>1.0001341666666668</v>
      </c>
      <c r="U181" s="2"/>
      <c r="V181" s="2"/>
    </row>
    <row r="182" spans="2:22" x14ac:dyDescent="0.2">
      <c r="B182" s="40">
        <v>43994</v>
      </c>
      <c r="C182" s="41">
        <v>0.08</v>
      </c>
      <c r="E182" s="2"/>
      <c r="F182" s="2"/>
      <c r="G182" s="2"/>
      <c r="H182" s="2"/>
      <c r="I182" s="2"/>
      <c r="J182" s="2"/>
      <c r="K182" s="2"/>
      <c r="L182" s="2"/>
      <c r="M182" s="2"/>
      <c r="N182" s="2"/>
      <c r="O182" s="7">
        <v>45099</v>
      </c>
      <c r="P182" s="8">
        <v>5.0499999999999996E-2</v>
      </c>
      <c r="Q182" s="9"/>
      <c r="R182" s="7">
        <v>45015</v>
      </c>
      <c r="S182" s="8">
        <v>4.82E-2</v>
      </c>
      <c r="T182" s="10">
        <v>1.0001338888888889</v>
      </c>
      <c r="U182" s="2"/>
      <c r="V182" s="2"/>
    </row>
    <row r="183" spans="2:22" x14ac:dyDescent="0.2">
      <c r="B183" s="40">
        <v>43997</v>
      </c>
      <c r="C183" s="41">
        <v>0.09</v>
      </c>
      <c r="E183" s="2"/>
      <c r="F183" s="2"/>
      <c r="G183" s="2"/>
      <c r="H183" s="2"/>
      <c r="I183" s="2"/>
      <c r="J183" s="2"/>
      <c r="K183" s="2"/>
      <c r="L183" s="2"/>
      <c r="M183" s="2"/>
      <c r="N183" s="2"/>
      <c r="O183" s="7">
        <v>45100</v>
      </c>
      <c r="P183" s="8">
        <v>5.0499999999999996E-2</v>
      </c>
      <c r="Q183" s="9"/>
      <c r="R183" s="7">
        <v>45016</v>
      </c>
      <c r="S183" s="8">
        <v>4.87E-2</v>
      </c>
      <c r="T183" s="10">
        <v>1.0001352777777779</v>
      </c>
      <c r="U183" s="2"/>
      <c r="V183" s="2"/>
    </row>
    <row r="184" spans="2:22" x14ac:dyDescent="0.2">
      <c r="B184" s="40">
        <v>43998</v>
      </c>
      <c r="C184" s="41">
        <v>0.09</v>
      </c>
      <c r="E184" s="2"/>
      <c r="F184" s="2"/>
      <c r="G184" s="2"/>
      <c r="H184" s="2"/>
      <c r="I184" s="2"/>
      <c r="J184" s="2"/>
      <c r="K184" s="2"/>
      <c r="L184" s="2"/>
      <c r="M184" s="2"/>
      <c r="N184" s="2"/>
      <c r="O184" s="7">
        <v>45103</v>
      </c>
      <c r="P184" s="8">
        <v>5.0499999999999996E-2</v>
      </c>
      <c r="Q184" s="9"/>
      <c r="R184" s="7">
        <v>45017</v>
      </c>
      <c r="S184" s="8">
        <v>4.87E-2</v>
      </c>
      <c r="T184" s="10">
        <v>1.0001352777777779</v>
      </c>
      <c r="U184" s="2"/>
      <c r="V184" s="2"/>
    </row>
    <row r="185" spans="2:22" x14ac:dyDescent="0.2">
      <c r="B185" s="40">
        <v>43999</v>
      </c>
      <c r="C185" s="41">
        <v>0.09</v>
      </c>
      <c r="E185" s="2"/>
      <c r="F185" s="2"/>
      <c r="G185" s="2"/>
      <c r="H185" s="2"/>
      <c r="I185" s="2"/>
      <c r="J185" s="2"/>
      <c r="K185" s="2"/>
      <c r="L185" s="2"/>
      <c r="M185" s="2"/>
      <c r="N185" s="2"/>
      <c r="O185" s="7">
        <v>45104</v>
      </c>
      <c r="P185" s="8">
        <v>5.0499999999999996E-2</v>
      </c>
      <c r="Q185" s="9"/>
      <c r="R185" s="7">
        <v>45018</v>
      </c>
      <c r="S185" s="8">
        <v>4.87E-2</v>
      </c>
      <c r="T185" s="10">
        <v>1.0001352777777779</v>
      </c>
      <c r="U185" s="2"/>
      <c r="V185" s="2"/>
    </row>
    <row r="186" spans="2:22" x14ac:dyDescent="0.2">
      <c r="B186" s="40">
        <v>44000</v>
      </c>
      <c r="C186" s="41">
        <v>0.09</v>
      </c>
      <c r="E186" s="2"/>
      <c r="F186" s="2"/>
      <c r="G186" s="2"/>
      <c r="H186" s="2"/>
      <c r="I186" s="2"/>
      <c r="J186" s="2"/>
      <c r="K186" s="2"/>
      <c r="L186" s="2"/>
      <c r="M186" s="2"/>
      <c r="N186" s="2"/>
      <c r="O186" s="7">
        <v>45105</v>
      </c>
      <c r="P186" s="8">
        <v>5.0599999999999999E-2</v>
      </c>
      <c r="Q186" s="9"/>
      <c r="R186" s="7">
        <v>45019</v>
      </c>
      <c r="S186" s="8">
        <v>4.8399999999999999E-2</v>
      </c>
      <c r="T186" s="10">
        <v>1.0001344444444444</v>
      </c>
      <c r="U186" s="2"/>
      <c r="V186" s="2"/>
    </row>
    <row r="187" spans="2:22" x14ac:dyDescent="0.2">
      <c r="B187" s="40">
        <v>44001</v>
      </c>
      <c r="C187" s="41">
        <v>0.09</v>
      </c>
      <c r="E187" s="2"/>
      <c r="F187" s="2"/>
      <c r="G187" s="2"/>
      <c r="H187" s="2"/>
      <c r="I187" s="2"/>
      <c r="J187" s="2"/>
      <c r="K187" s="2"/>
      <c r="L187" s="2"/>
      <c r="M187" s="2"/>
      <c r="N187" s="2"/>
      <c r="O187" s="7">
        <v>45106</v>
      </c>
      <c r="P187" s="8">
        <v>5.0599999999999999E-2</v>
      </c>
      <c r="Q187" s="9"/>
      <c r="R187" s="7">
        <v>45020</v>
      </c>
      <c r="S187" s="8">
        <v>4.8300000000000003E-2</v>
      </c>
      <c r="T187" s="10">
        <v>1.0001341666666668</v>
      </c>
      <c r="U187" s="2"/>
      <c r="V187" s="2"/>
    </row>
    <row r="188" spans="2:22" x14ac:dyDescent="0.2">
      <c r="B188" s="40">
        <v>44004</v>
      </c>
      <c r="C188" s="41">
        <v>0.08</v>
      </c>
      <c r="E188" s="2"/>
      <c r="F188" s="2"/>
      <c r="G188" s="2"/>
      <c r="H188" s="2"/>
      <c r="I188" s="2"/>
      <c r="J188" s="2"/>
      <c r="K188" s="2"/>
      <c r="L188" s="2"/>
      <c r="M188" s="2"/>
      <c r="N188" s="2"/>
      <c r="O188" s="7">
        <v>45107</v>
      </c>
      <c r="P188" s="8">
        <v>5.0900000000000001E-2</v>
      </c>
      <c r="Q188" s="9"/>
      <c r="R188" s="7">
        <v>45021</v>
      </c>
      <c r="S188" s="8">
        <v>4.8099999999999997E-2</v>
      </c>
      <c r="T188" s="10">
        <v>1.0001336111111112</v>
      </c>
      <c r="U188" s="2"/>
      <c r="V188" s="2"/>
    </row>
    <row r="189" spans="2:22" x14ac:dyDescent="0.2">
      <c r="B189" s="40">
        <v>44005</v>
      </c>
      <c r="C189" s="41">
        <v>7.0000000000000007E-2</v>
      </c>
      <c r="E189" s="2"/>
      <c r="F189" s="2"/>
      <c r="G189" s="2"/>
      <c r="H189" s="2"/>
      <c r="I189" s="2"/>
      <c r="J189" s="2"/>
      <c r="K189" s="2"/>
      <c r="L189" s="2"/>
      <c r="M189" s="2"/>
      <c r="N189" s="2"/>
      <c r="O189" s="7">
        <v>45110</v>
      </c>
      <c r="P189" s="8">
        <v>5.0599999999999999E-2</v>
      </c>
      <c r="Q189" s="9"/>
      <c r="R189" s="7">
        <v>45022</v>
      </c>
      <c r="S189" s="8">
        <v>4.8099999999999997E-2</v>
      </c>
      <c r="T189" s="10">
        <v>1.0001336111111112</v>
      </c>
      <c r="U189" s="2"/>
      <c r="V189" s="2"/>
    </row>
    <row r="190" spans="2:22" x14ac:dyDescent="0.2">
      <c r="B190" s="40">
        <v>44006</v>
      </c>
      <c r="C190" s="41">
        <v>0.08</v>
      </c>
      <c r="E190" s="2"/>
      <c r="F190" s="2"/>
      <c r="G190" s="2"/>
      <c r="H190" s="2"/>
      <c r="I190" s="2"/>
      <c r="J190" s="2"/>
      <c r="K190" s="2"/>
      <c r="L190" s="2"/>
      <c r="M190" s="2"/>
      <c r="N190" s="2"/>
      <c r="O190" s="7">
        <v>45112</v>
      </c>
      <c r="P190" s="8">
        <v>5.0599999999999999E-2</v>
      </c>
      <c r="Q190" s="9"/>
      <c r="R190" s="7">
        <v>45023</v>
      </c>
      <c r="S190" s="8">
        <v>4.8099999999999997E-2</v>
      </c>
      <c r="T190" s="10">
        <v>1.0001336111111112</v>
      </c>
      <c r="U190" s="2"/>
      <c r="V190" s="2"/>
    </row>
    <row r="191" spans="2:22" x14ac:dyDescent="0.2">
      <c r="B191" s="40">
        <v>44007</v>
      </c>
      <c r="C191" s="41">
        <v>0.09</v>
      </c>
      <c r="E191" s="2"/>
      <c r="F191" s="2"/>
      <c r="G191" s="2"/>
      <c r="H191" s="2"/>
      <c r="I191" s="2"/>
      <c r="J191" s="2"/>
      <c r="K191" s="2"/>
      <c r="L191" s="2"/>
      <c r="M191" s="2"/>
      <c r="N191" s="2"/>
      <c r="O191" s="7">
        <v>45113</v>
      </c>
      <c r="P191" s="8">
        <v>5.0599999999999999E-2</v>
      </c>
      <c r="Q191" s="9"/>
      <c r="R191" s="7">
        <v>45024</v>
      </c>
      <c r="S191" s="8">
        <v>4.8099999999999997E-2</v>
      </c>
      <c r="T191" s="10">
        <v>1.0001336111111112</v>
      </c>
      <c r="U191" s="2"/>
      <c r="V191" s="2"/>
    </row>
    <row r="192" spans="2:22" x14ac:dyDescent="0.2">
      <c r="B192" s="40">
        <v>44008</v>
      </c>
      <c r="C192" s="41">
        <v>0.08</v>
      </c>
      <c r="E192" s="2"/>
      <c r="F192" s="2"/>
      <c r="G192" s="2"/>
      <c r="H192" s="2"/>
      <c r="I192" s="2"/>
      <c r="J192" s="2"/>
      <c r="K192" s="2"/>
      <c r="L192" s="2"/>
      <c r="M192" s="2"/>
      <c r="N192" s="2"/>
      <c r="O192" s="7">
        <v>45114</v>
      </c>
      <c r="P192" s="8">
        <v>5.0599999999999999E-2</v>
      </c>
      <c r="Q192" s="9"/>
      <c r="R192" s="7">
        <v>45025</v>
      </c>
      <c r="S192" s="8">
        <v>4.8099999999999997E-2</v>
      </c>
      <c r="T192" s="10">
        <v>1.0001336111111112</v>
      </c>
      <c r="U192" s="2"/>
      <c r="V192" s="2"/>
    </row>
    <row r="193" spans="2:22" x14ac:dyDescent="0.2">
      <c r="B193" s="40">
        <v>44011</v>
      </c>
      <c r="C193" s="41">
        <v>0.08</v>
      </c>
      <c r="E193" s="2"/>
      <c r="F193" s="2"/>
      <c r="G193" s="2"/>
      <c r="H193" s="2"/>
      <c r="I193" s="2"/>
      <c r="J193" s="2"/>
      <c r="K193" s="2"/>
      <c r="L193" s="2"/>
      <c r="M193" s="2"/>
      <c r="N193" s="2"/>
      <c r="O193" s="7">
        <v>45117</v>
      </c>
      <c r="P193" s="8">
        <v>5.0599999999999999E-2</v>
      </c>
      <c r="Q193" s="9"/>
      <c r="R193" s="7">
        <v>45026</v>
      </c>
      <c r="S193" s="8">
        <v>4.8099999999999997E-2</v>
      </c>
      <c r="T193" s="10">
        <v>1.0001336111111112</v>
      </c>
      <c r="U193" s="2"/>
      <c r="V193" s="2"/>
    </row>
    <row r="194" spans="2:22" x14ac:dyDescent="0.2">
      <c r="B194" s="40">
        <v>44012</v>
      </c>
      <c r="C194" s="41">
        <v>0.1</v>
      </c>
      <c r="E194" s="2"/>
      <c r="F194" s="2"/>
      <c r="G194" s="2"/>
      <c r="H194" s="2"/>
      <c r="I194" s="2"/>
      <c r="J194" s="2"/>
      <c r="K194" s="2"/>
      <c r="L194" s="2"/>
      <c r="M194" s="2"/>
      <c r="N194" s="2"/>
      <c r="O194" s="7">
        <v>45118</v>
      </c>
      <c r="P194" s="8">
        <v>5.0599999999999999E-2</v>
      </c>
      <c r="Q194" s="9"/>
      <c r="R194" s="7">
        <v>45027</v>
      </c>
      <c r="S194" s="8">
        <v>4.8000000000000001E-2</v>
      </c>
      <c r="T194" s="10">
        <v>1.0001333333333333</v>
      </c>
      <c r="U194" s="2"/>
      <c r="V194" s="2"/>
    </row>
    <row r="195" spans="2:22" x14ac:dyDescent="0.2">
      <c r="B195" s="40">
        <v>44013</v>
      </c>
      <c r="C195" s="41">
        <v>0.11</v>
      </c>
      <c r="E195" s="2"/>
      <c r="F195" s="2"/>
      <c r="G195" s="2"/>
      <c r="H195" s="2"/>
      <c r="I195" s="2"/>
      <c r="J195" s="2"/>
      <c r="K195" s="2"/>
      <c r="L195" s="2"/>
      <c r="M195" s="2"/>
      <c r="N195" s="2"/>
      <c r="O195" s="7">
        <v>45119</v>
      </c>
      <c r="P195" s="8">
        <v>5.0499999999999996E-2</v>
      </c>
      <c r="Q195" s="9"/>
      <c r="R195" s="7">
        <v>45028</v>
      </c>
      <c r="S195" s="8">
        <v>4.8000000000000001E-2</v>
      </c>
      <c r="T195" s="10">
        <v>1.0001333333333333</v>
      </c>
      <c r="U195" s="2"/>
      <c r="V195" s="2"/>
    </row>
    <row r="196" spans="2:22" x14ac:dyDescent="0.2">
      <c r="B196" s="40">
        <v>44014</v>
      </c>
      <c r="C196" s="41">
        <v>0.11</v>
      </c>
      <c r="E196" s="2"/>
      <c r="F196" s="2"/>
      <c r="G196" s="2"/>
      <c r="H196" s="2"/>
      <c r="I196" s="2"/>
      <c r="J196" s="2"/>
      <c r="K196" s="2"/>
      <c r="L196" s="2"/>
      <c r="M196" s="2"/>
      <c r="N196" s="2"/>
      <c r="O196" s="7">
        <v>45120</v>
      </c>
      <c r="P196" s="8">
        <v>5.0599999999999999E-2</v>
      </c>
      <c r="Q196" s="9"/>
      <c r="R196" s="7">
        <v>45029</v>
      </c>
      <c r="S196" s="8">
        <v>4.8000000000000001E-2</v>
      </c>
      <c r="T196" s="10">
        <v>1.0001333333333333</v>
      </c>
      <c r="U196" s="2"/>
      <c r="V196" s="2"/>
    </row>
    <row r="197" spans="2:22" x14ac:dyDescent="0.2">
      <c r="B197" s="40">
        <v>44018</v>
      </c>
      <c r="C197" s="41">
        <v>0.1</v>
      </c>
      <c r="E197" s="2"/>
      <c r="F197" s="2"/>
      <c r="G197" s="2"/>
      <c r="H197" s="2"/>
      <c r="I197" s="2"/>
      <c r="J197" s="2"/>
      <c r="K197" s="2"/>
      <c r="L197" s="2"/>
      <c r="M197" s="2"/>
      <c r="N197" s="2"/>
      <c r="O197" s="7">
        <v>45121</v>
      </c>
      <c r="P197" s="8">
        <v>5.0499999999999996E-2</v>
      </c>
      <c r="Q197" s="9"/>
      <c r="R197" s="7">
        <v>45030</v>
      </c>
      <c r="S197" s="8">
        <v>4.8000000000000001E-2</v>
      </c>
      <c r="T197" s="10">
        <v>1.0001333333333333</v>
      </c>
      <c r="U197" s="2"/>
      <c r="V197" s="2"/>
    </row>
    <row r="198" spans="2:22" x14ac:dyDescent="0.2">
      <c r="B198" s="40">
        <v>44019</v>
      </c>
      <c r="C198" s="41">
        <v>0.1</v>
      </c>
      <c r="E198" s="2"/>
      <c r="F198" s="2"/>
      <c r="G198" s="2"/>
      <c r="H198" s="2"/>
      <c r="I198" s="2"/>
      <c r="J198" s="2"/>
      <c r="K198" s="2"/>
      <c r="L198" s="2"/>
      <c r="M198" s="2"/>
      <c r="N198" s="2"/>
      <c r="O198" s="7">
        <v>45124</v>
      </c>
      <c r="P198" s="8">
        <v>5.0599999999999999E-2</v>
      </c>
      <c r="Q198" s="9"/>
      <c r="R198" s="7">
        <v>45031</v>
      </c>
      <c r="S198" s="8">
        <v>4.8000000000000001E-2</v>
      </c>
      <c r="T198" s="10">
        <v>1.0001333333333333</v>
      </c>
      <c r="U198" s="2"/>
      <c r="V198" s="2"/>
    </row>
    <row r="199" spans="2:22" x14ac:dyDescent="0.2">
      <c r="B199" s="40">
        <v>44020</v>
      </c>
      <c r="C199" s="41">
        <v>0.1</v>
      </c>
      <c r="E199" s="2"/>
      <c r="F199" s="2"/>
      <c r="G199" s="2"/>
      <c r="H199" s="2"/>
      <c r="I199" s="2"/>
      <c r="J199" s="2"/>
      <c r="K199" s="2"/>
      <c r="L199" s="2"/>
      <c r="M199" s="2"/>
      <c r="N199" s="2"/>
      <c r="O199" s="7">
        <v>45125</v>
      </c>
      <c r="P199" s="8">
        <v>5.0599999999999999E-2</v>
      </c>
      <c r="Q199" s="9"/>
      <c r="R199" s="7">
        <v>45032</v>
      </c>
      <c r="S199" s="8">
        <v>4.8000000000000001E-2</v>
      </c>
      <c r="T199" s="10">
        <v>1.0001333333333333</v>
      </c>
      <c r="U199" s="2"/>
      <c r="V199" s="2"/>
    </row>
    <row r="200" spans="2:22" x14ac:dyDescent="0.2">
      <c r="B200" s="40">
        <v>44021</v>
      </c>
      <c r="C200" s="41">
        <v>0.1</v>
      </c>
      <c r="E200" s="2"/>
      <c r="F200" s="2"/>
      <c r="G200" s="2"/>
      <c r="H200" s="2"/>
      <c r="I200" s="2"/>
      <c r="J200" s="2"/>
      <c r="K200" s="2"/>
      <c r="L200" s="2"/>
      <c r="M200" s="2"/>
      <c r="N200" s="2"/>
      <c r="O200" s="7">
        <v>45126</v>
      </c>
      <c r="P200" s="8">
        <v>5.0499999999999996E-2</v>
      </c>
      <c r="Q200" s="9"/>
      <c r="R200" s="7">
        <v>45033</v>
      </c>
      <c r="S200" s="8">
        <v>4.8000000000000001E-2</v>
      </c>
      <c r="T200" s="10">
        <v>1.0001333333333333</v>
      </c>
      <c r="U200" s="2"/>
      <c r="V200" s="2"/>
    </row>
    <row r="201" spans="2:22" x14ac:dyDescent="0.2">
      <c r="B201" s="40">
        <v>44022</v>
      </c>
      <c r="C201" s="41">
        <v>0.1</v>
      </c>
      <c r="E201" s="2"/>
      <c r="F201" s="2"/>
      <c r="G201" s="2"/>
      <c r="H201" s="2"/>
      <c r="I201" s="2"/>
      <c r="J201" s="2"/>
      <c r="K201" s="2"/>
      <c r="L201" s="2"/>
      <c r="M201" s="2"/>
      <c r="N201" s="2"/>
      <c r="O201" s="7">
        <v>45127</v>
      </c>
      <c r="P201" s="8">
        <v>5.0599999999999999E-2</v>
      </c>
      <c r="Q201" s="9"/>
      <c r="R201" s="7">
        <v>45034</v>
      </c>
      <c r="S201" s="8">
        <v>4.8000000000000001E-2</v>
      </c>
      <c r="T201" s="10">
        <v>1.0001333333333333</v>
      </c>
      <c r="U201" s="2"/>
      <c r="V201" s="2"/>
    </row>
    <row r="202" spans="2:22" x14ac:dyDescent="0.2">
      <c r="B202" s="40">
        <v>44025</v>
      </c>
      <c r="C202" s="41">
        <v>0.1</v>
      </c>
      <c r="E202" s="2"/>
      <c r="F202" s="2"/>
      <c r="G202" s="2"/>
      <c r="H202" s="2"/>
      <c r="I202" s="2"/>
      <c r="J202" s="2"/>
      <c r="K202" s="2"/>
      <c r="L202" s="2"/>
      <c r="M202" s="2"/>
      <c r="N202" s="2"/>
      <c r="O202" s="7">
        <v>45128</v>
      </c>
      <c r="P202" s="8">
        <v>5.0499999999999996E-2</v>
      </c>
      <c r="Q202" s="9"/>
      <c r="R202" s="7">
        <v>45035</v>
      </c>
      <c r="S202" s="8">
        <v>4.8000000000000001E-2</v>
      </c>
      <c r="T202" s="10">
        <v>1.0001333333333333</v>
      </c>
      <c r="U202" s="2"/>
      <c r="V202" s="2"/>
    </row>
    <row r="203" spans="2:22" x14ac:dyDescent="0.2">
      <c r="B203" s="40">
        <v>44026</v>
      </c>
      <c r="C203" s="41">
        <v>0.11</v>
      </c>
      <c r="E203" s="2"/>
      <c r="F203" s="2"/>
      <c r="G203" s="2"/>
      <c r="H203" s="2"/>
      <c r="I203" s="2"/>
      <c r="J203" s="2"/>
      <c r="K203" s="2"/>
      <c r="L203" s="2"/>
      <c r="M203" s="2"/>
      <c r="N203" s="2"/>
      <c r="O203" s="7">
        <v>45131</v>
      </c>
      <c r="P203" s="8">
        <v>5.0499999999999996E-2</v>
      </c>
      <c r="Q203" s="9"/>
      <c r="R203" s="7">
        <v>45036</v>
      </c>
      <c r="S203" s="8">
        <v>4.8000000000000001E-2</v>
      </c>
      <c r="T203" s="10">
        <v>1.0001333333333333</v>
      </c>
      <c r="U203" s="2"/>
      <c r="V203" s="2"/>
    </row>
    <row r="204" spans="2:22" x14ac:dyDescent="0.2">
      <c r="B204" s="40">
        <v>44027</v>
      </c>
      <c r="C204" s="41">
        <v>0.13</v>
      </c>
      <c r="E204" s="2"/>
      <c r="F204" s="2"/>
      <c r="G204" s="2"/>
      <c r="H204" s="2"/>
      <c r="I204" s="2"/>
      <c r="J204" s="2"/>
      <c r="K204" s="2"/>
      <c r="L204" s="2"/>
      <c r="M204" s="2"/>
      <c r="N204" s="2"/>
      <c r="O204" s="7">
        <v>45132</v>
      </c>
      <c r="P204" s="8">
        <v>5.0599999999999999E-2</v>
      </c>
      <c r="Q204" s="9"/>
      <c r="R204" s="7">
        <v>45037</v>
      </c>
      <c r="S204" s="8">
        <v>4.8000000000000001E-2</v>
      </c>
      <c r="T204" s="10">
        <v>1.0001333333333333</v>
      </c>
      <c r="U204" s="2"/>
      <c r="V204" s="2"/>
    </row>
    <row r="205" spans="2:22" x14ac:dyDescent="0.2">
      <c r="B205" s="40">
        <v>44028</v>
      </c>
      <c r="C205" s="41">
        <v>0.12</v>
      </c>
      <c r="E205" s="2"/>
      <c r="F205" s="2"/>
      <c r="G205" s="2"/>
      <c r="H205" s="2"/>
      <c r="I205" s="2"/>
      <c r="J205" s="2"/>
      <c r="K205" s="2"/>
      <c r="L205" s="2"/>
      <c r="M205" s="2"/>
      <c r="N205" s="2"/>
      <c r="O205" s="7">
        <v>45133</v>
      </c>
      <c r="P205" s="8">
        <v>5.0599999999999999E-2</v>
      </c>
      <c r="Q205" s="9"/>
      <c r="R205" s="7">
        <v>45038</v>
      </c>
      <c r="S205" s="8">
        <v>4.8000000000000001E-2</v>
      </c>
      <c r="T205" s="10">
        <v>1.0001333333333333</v>
      </c>
      <c r="U205" s="2"/>
      <c r="V205" s="2"/>
    </row>
    <row r="206" spans="2:22" x14ac:dyDescent="0.2">
      <c r="B206" s="40">
        <v>44029</v>
      </c>
      <c r="C206" s="41">
        <v>0.12</v>
      </c>
      <c r="E206" s="2"/>
      <c r="F206" s="2"/>
      <c r="G206" s="2"/>
      <c r="H206" s="2"/>
      <c r="I206" s="2"/>
      <c r="J206" s="2"/>
      <c r="K206" s="2"/>
      <c r="L206" s="2"/>
      <c r="M206" s="2"/>
      <c r="N206" s="2"/>
      <c r="O206" s="7">
        <v>45134</v>
      </c>
      <c r="P206" s="8">
        <v>5.3099999999999994E-2</v>
      </c>
      <c r="Q206" s="9"/>
      <c r="R206" s="7">
        <v>45039</v>
      </c>
      <c r="S206" s="8">
        <v>4.8000000000000001E-2</v>
      </c>
      <c r="T206" s="10">
        <v>1.0001333333333333</v>
      </c>
      <c r="U206" s="2"/>
      <c r="V206" s="2"/>
    </row>
    <row r="207" spans="2:22" x14ac:dyDescent="0.2">
      <c r="B207" s="40">
        <v>44032</v>
      </c>
      <c r="C207" s="41">
        <v>0.12</v>
      </c>
      <c r="E207" s="2"/>
      <c r="F207" s="2"/>
      <c r="G207" s="2"/>
      <c r="H207" s="2"/>
      <c r="I207" s="2"/>
      <c r="J207" s="2"/>
      <c r="K207" s="2"/>
      <c r="L207" s="2"/>
      <c r="M207" s="2"/>
      <c r="N207" s="2"/>
      <c r="O207" s="7">
        <v>45135</v>
      </c>
      <c r="P207" s="8">
        <v>5.2999999999999999E-2</v>
      </c>
      <c r="Q207" s="9"/>
      <c r="R207" s="7">
        <v>45040</v>
      </c>
      <c r="S207" s="8">
        <v>4.8000000000000001E-2</v>
      </c>
      <c r="T207" s="10">
        <v>1.0001333333333333</v>
      </c>
      <c r="U207" s="2"/>
      <c r="V207" s="2"/>
    </row>
    <row r="208" spans="2:22" x14ac:dyDescent="0.2">
      <c r="B208" s="40">
        <v>44033</v>
      </c>
      <c r="C208" s="41">
        <v>0.11</v>
      </c>
      <c r="E208" s="2"/>
      <c r="F208" s="2"/>
      <c r="G208" s="2"/>
      <c r="H208" s="2"/>
      <c r="I208" s="2"/>
      <c r="J208" s="2"/>
      <c r="K208" s="2"/>
      <c r="L208" s="2"/>
      <c r="M208" s="2"/>
      <c r="N208" s="2"/>
      <c r="O208" s="7">
        <v>45138</v>
      </c>
      <c r="P208" s="8">
        <v>5.3099999999999994E-2</v>
      </c>
      <c r="Q208" s="9"/>
      <c r="R208" s="7">
        <v>45041</v>
      </c>
      <c r="S208" s="8">
        <v>4.8000000000000001E-2</v>
      </c>
      <c r="T208" s="10">
        <v>1.0001333333333333</v>
      </c>
      <c r="U208" s="2"/>
      <c r="V208" s="2"/>
    </row>
    <row r="209" spans="2:22" x14ac:dyDescent="0.2">
      <c r="B209" s="40">
        <v>44034</v>
      </c>
      <c r="C209" s="41">
        <v>0.1</v>
      </c>
      <c r="E209" s="2"/>
      <c r="F209" s="2"/>
      <c r="G209" s="2"/>
      <c r="H209" s="2"/>
      <c r="I209" s="2"/>
      <c r="J209" s="2"/>
      <c r="K209" s="2"/>
      <c r="L209" s="2"/>
      <c r="M209" s="2"/>
      <c r="N209" s="2"/>
      <c r="O209" s="7">
        <v>45139</v>
      </c>
      <c r="P209" s="8">
        <v>5.3099999999999994E-2</v>
      </c>
      <c r="Q209" s="9"/>
      <c r="R209" s="7">
        <v>45042</v>
      </c>
      <c r="S209" s="8">
        <v>4.8000000000000001E-2</v>
      </c>
      <c r="T209" s="10">
        <v>1.0001333333333333</v>
      </c>
      <c r="U209" s="2"/>
      <c r="V209" s="2"/>
    </row>
    <row r="210" spans="2:22" x14ac:dyDescent="0.2">
      <c r="B210" s="40">
        <v>44035</v>
      </c>
      <c r="C210" s="41">
        <v>0.1</v>
      </c>
      <c r="E210" s="2"/>
      <c r="F210" s="2"/>
      <c r="G210" s="2"/>
      <c r="H210" s="2"/>
      <c r="I210" s="2"/>
      <c r="J210" s="2"/>
      <c r="K210" s="2"/>
      <c r="L210" s="2"/>
      <c r="M210" s="2"/>
      <c r="N210" s="2"/>
      <c r="O210" s="7">
        <v>45140</v>
      </c>
      <c r="P210" s="8">
        <v>5.2999999999999999E-2</v>
      </c>
      <c r="Q210" s="9"/>
      <c r="R210" s="7">
        <v>45043</v>
      </c>
      <c r="S210" s="8">
        <v>4.8099999999999997E-2</v>
      </c>
      <c r="T210" s="10">
        <v>1.0001336111111112</v>
      </c>
      <c r="U210" s="2"/>
      <c r="V210" s="2"/>
    </row>
    <row r="211" spans="2:22" x14ac:dyDescent="0.2">
      <c r="B211" s="40">
        <v>44036</v>
      </c>
      <c r="C211" s="41">
        <v>0.1</v>
      </c>
      <c r="E211" s="2"/>
      <c r="F211" s="2"/>
      <c r="G211" s="2"/>
      <c r="H211" s="2"/>
      <c r="I211" s="2"/>
      <c r="J211" s="2"/>
      <c r="K211" s="2"/>
      <c r="L211" s="2"/>
      <c r="M211" s="2"/>
      <c r="N211" s="2"/>
      <c r="O211" s="7">
        <v>45141</v>
      </c>
      <c r="P211" s="8">
        <v>5.2999999999999999E-2</v>
      </c>
      <c r="Q211" s="9"/>
      <c r="R211" s="7">
        <v>45044</v>
      </c>
      <c r="S211" s="8">
        <v>4.8099999999999997E-2</v>
      </c>
      <c r="T211" s="10">
        <v>1.0001336111111112</v>
      </c>
      <c r="U211" s="2"/>
      <c r="V211" s="2"/>
    </row>
    <row r="212" spans="2:22" x14ac:dyDescent="0.2">
      <c r="B212" s="40">
        <v>44039</v>
      </c>
      <c r="C212" s="41">
        <v>0.1</v>
      </c>
      <c r="E212" s="2"/>
      <c r="F212" s="2"/>
      <c r="G212" s="2"/>
      <c r="H212" s="2"/>
      <c r="I212" s="2"/>
      <c r="J212" s="2"/>
      <c r="K212" s="2"/>
      <c r="L212" s="2"/>
      <c r="M212" s="2"/>
      <c r="N212" s="2"/>
      <c r="O212" s="7">
        <v>45142</v>
      </c>
      <c r="P212" s="8">
        <v>5.2999999999999999E-2</v>
      </c>
      <c r="Q212" s="9"/>
      <c r="R212" s="7">
        <v>45045</v>
      </c>
      <c r="S212" s="8">
        <v>4.8099999999999997E-2</v>
      </c>
      <c r="T212" s="10">
        <v>1.0001336111111112</v>
      </c>
      <c r="U212" s="2"/>
      <c r="V212" s="2"/>
    </row>
    <row r="213" spans="2:22" x14ac:dyDescent="0.2">
      <c r="B213" s="40">
        <v>44040</v>
      </c>
      <c r="C213" s="41">
        <v>0.1</v>
      </c>
      <c r="E213" s="2"/>
      <c r="F213" s="2"/>
      <c r="G213" s="2"/>
      <c r="H213" s="2"/>
      <c r="I213" s="2"/>
      <c r="J213" s="2"/>
      <c r="K213" s="2"/>
      <c r="L213" s="2"/>
      <c r="M213" s="2"/>
      <c r="N213" s="2"/>
      <c r="O213" s="7">
        <v>45145</v>
      </c>
      <c r="P213" s="8">
        <v>5.2999999999999999E-2</v>
      </c>
      <c r="Q213" s="9"/>
      <c r="R213" s="7">
        <v>45046</v>
      </c>
      <c r="S213" s="8">
        <v>4.8099999999999997E-2</v>
      </c>
      <c r="T213" s="10">
        <v>1.0001336111111112</v>
      </c>
      <c r="U213" s="2"/>
      <c r="V213" s="2"/>
    </row>
    <row r="214" spans="2:22" x14ac:dyDescent="0.2">
      <c r="B214" s="40">
        <v>44041</v>
      </c>
      <c r="C214" s="41">
        <v>0.09</v>
      </c>
      <c r="E214" s="2"/>
      <c r="F214" s="2"/>
      <c r="G214" s="2"/>
      <c r="H214" s="2"/>
      <c r="I214" s="2"/>
      <c r="J214" s="2"/>
      <c r="K214" s="2"/>
      <c r="L214" s="2"/>
      <c r="M214" s="2"/>
      <c r="N214" s="2"/>
      <c r="O214" s="7">
        <v>45146</v>
      </c>
      <c r="P214" s="8">
        <v>5.2999999999999999E-2</v>
      </c>
      <c r="Q214" s="9"/>
      <c r="R214" s="7">
        <v>45047</v>
      </c>
      <c r="S214" s="8">
        <v>4.8099999999999997E-2</v>
      </c>
      <c r="T214" s="10">
        <v>1.0001336111111112</v>
      </c>
      <c r="U214" s="2"/>
      <c r="V214" s="2"/>
    </row>
    <row r="215" spans="2:22" x14ac:dyDescent="0.2">
      <c r="B215" s="40">
        <v>44042</v>
      </c>
      <c r="C215" s="41">
        <v>0.1</v>
      </c>
      <c r="E215" s="2"/>
      <c r="F215" s="2"/>
      <c r="G215" s="2"/>
      <c r="H215" s="2"/>
      <c r="I215" s="2"/>
      <c r="J215" s="2"/>
      <c r="K215" s="2"/>
      <c r="L215" s="2"/>
      <c r="M215" s="2"/>
      <c r="N215" s="2"/>
      <c r="O215" s="7">
        <v>45147</v>
      </c>
      <c r="P215" s="8">
        <v>5.2999999999999999E-2</v>
      </c>
      <c r="Q215" s="9"/>
      <c r="R215" s="7">
        <v>45048</v>
      </c>
      <c r="S215" s="8">
        <v>4.8099999999999997E-2</v>
      </c>
      <c r="T215" s="10">
        <v>1.0001336111111112</v>
      </c>
      <c r="U215" s="2"/>
      <c r="V215" s="2"/>
    </row>
    <row r="216" spans="2:22" x14ac:dyDescent="0.2">
      <c r="B216" s="40">
        <v>44043</v>
      </c>
      <c r="C216" s="41">
        <v>0.1</v>
      </c>
      <c r="E216" s="2"/>
      <c r="F216" s="2"/>
      <c r="G216" s="2"/>
      <c r="H216" s="2"/>
      <c r="I216" s="2"/>
      <c r="J216" s="2"/>
      <c r="K216" s="2"/>
      <c r="L216" s="2"/>
      <c r="M216" s="2"/>
      <c r="N216" s="2"/>
      <c r="O216" s="7">
        <v>45148</v>
      </c>
      <c r="P216" s="8">
        <v>5.2999999999999999E-2</v>
      </c>
      <c r="Q216" s="9"/>
      <c r="R216" s="7">
        <v>45049</v>
      </c>
      <c r="S216" s="8">
        <v>4.8099999999999997E-2</v>
      </c>
      <c r="T216" s="10">
        <v>1.0001336111111112</v>
      </c>
      <c r="U216" s="2"/>
      <c r="V216" s="2"/>
    </row>
    <row r="217" spans="2:22" x14ac:dyDescent="0.2">
      <c r="B217" s="40">
        <v>44046</v>
      </c>
      <c r="C217" s="41">
        <v>0.1</v>
      </c>
      <c r="E217" s="2"/>
      <c r="F217" s="2"/>
      <c r="G217" s="2"/>
      <c r="H217" s="2"/>
      <c r="I217" s="2"/>
      <c r="J217" s="2"/>
      <c r="K217" s="2"/>
      <c r="L217" s="2"/>
      <c r="M217" s="2"/>
      <c r="N217" s="2"/>
      <c r="O217" s="7">
        <v>45149</v>
      </c>
      <c r="P217" s="8">
        <v>5.2999999999999999E-2</v>
      </c>
      <c r="Q217" s="9"/>
      <c r="R217" s="7">
        <v>45050</v>
      </c>
      <c r="S217" s="8">
        <v>5.0599999999999999E-2</v>
      </c>
      <c r="T217" s="10">
        <v>1.0001405555555556</v>
      </c>
      <c r="U217" s="2"/>
      <c r="V217" s="2"/>
    </row>
    <row r="218" spans="2:22" x14ac:dyDescent="0.2">
      <c r="B218" s="40">
        <v>44047</v>
      </c>
      <c r="C218" s="41">
        <v>0.09</v>
      </c>
      <c r="E218" s="2"/>
      <c r="F218" s="2"/>
      <c r="G218" s="2"/>
      <c r="H218" s="2"/>
      <c r="I218" s="2"/>
      <c r="J218" s="2"/>
      <c r="K218" s="2"/>
      <c r="L218" s="2"/>
      <c r="M218" s="2"/>
      <c r="N218" s="2"/>
      <c r="O218" s="7">
        <v>45152</v>
      </c>
      <c r="P218" s="8">
        <v>5.2999999999999999E-2</v>
      </c>
      <c r="Q218" s="9"/>
      <c r="R218" s="7">
        <v>45051</v>
      </c>
      <c r="S218" s="8">
        <v>5.0599999999999999E-2</v>
      </c>
      <c r="T218" s="10">
        <v>1.0001405555555556</v>
      </c>
      <c r="U218" s="2"/>
      <c r="V218" s="2"/>
    </row>
    <row r="219" spans="2:22" x14ac:dyDescent="0.2">
      <c r="B219" s="40">
        <v>44048</v>
      </c>
      <c r="C219" s="41">
        <v>0.09</v>
      </c>
      <c r="E219" s="2"/>
      <c r="F219" s="2"/>
      <c r="G219" s="2"/>
      <c r="H219" s="2"/>
      <c r="I219" s="2"/>
      <c r="J219" s="2"/>
      <c r="K219" s="2"/>
      <c r="L219" s="2"/>
      <c r="M219" s="2"/>
      <c r="N219" s="2"/>
      <c r="O219" s="7">
        <v>45153</v>
      </c>
      <c r="P219" s="8">
        <v>5.2999999999999999E-2</v>
      </c>
      <c r="Q219" s="9"/>
      <c r="R219" s="7">
        <v>45052</v>
      </c>
      <c r="S219" s="8">
        <v>5.0599999999999999E-2</v>
      </c>
      <c r="T219" s="10">
        <v>1.0001405555555556</v>
      </c>
      <c r="U219" s="2"/>
      <c r="V219" s="2"/>
    </row>
    <row r="220" spans="2:22" x14ac:dyDescent="0.2">
      <c r="B220" s="40">
        <v>44049</v>
      </c>
      <c r="C220" s="41">
        <v>0.09</v>
      </c>
      <c r="E220" s="2"/>
      <c r="F220" s="2"/>
      <c r="G220" s="2"/>
      <c r="H220" s="2"/>
      <c r="I220" s="2"/>
      <c r="J220" s="2"/>
      <c r="K220" s="2"/>
      <c r="L220" s="2"/>
      <c r="M220" s="2"/>
      <c r="N220" s="2"/>
      <c r="O220" s="7">
        <v>45154</v>
      </c>
      <c r="P220" s="8">
        <v>5.2999999999999999E-2</v>
      </c>
      <c r="Q220" s="9"/>
      <c r="R220" s="7">
        <v>45053</v>
      </c>
      <c r="S220" s="8">
        <v>5.0599999999999999E-2</v>
      </c>
      <c r="T220" s="10">
        <v>1.0001405555555556</v>
      </c>
      <c r="U220" s="2"/>
      <c r="V220" s="2"/>
    </row>
    <row r="221" spans="2:22" x14ac:dyDescent="0.2">
      <c r="B221" s="40">
        <v>44050</v>
      </c>
      <c r="C221" s="41">
        <v>0.09</v>
      </c>
      <c r="E221" s="2"/>
      <c r="F221" s="2"/>
      <c r="G221" s="2"/>
      <c r="H221" s="2"/>
      <c r="I221" s="2"/>
      <c r="J221" s="2"/>
      <c r="K221" s="2"/>
      <c r="L221" s="2"/>
      <c r="M221" s="2"/>
      <c r="N221" s="2"/>
      <c r="O221" s="7">
        <v>45155</v>
      </c>
      <c r="P221" s="8">
        <v>5.2999999999999999E-2</v>
      </c>
      <c r="Q221" s="9"/>
      <c r="R221" s="7">
        <v>45054</v>
      </c>
      <c r="S221" s="8">
        <v>5.0599999999999999E-2</v>
      </c>
      <c r="T221" s="10">
        <v>1.0001405555555556</v>
      </c>
      <c r="U221" s="2"/>
      <c r="V221" s="2"/>
    </row>
    <row r="222" spans="2:22" x14ac:dyDescent="0.2">
      <c r="B222" s="40">
        <v>44053</v>
      </c>
      <c r="C222" s="41">
        <v>0.09</v>
      </c>
      <c r="E222" s="2"/>
      <c r="F222" s="2"/>
      <c r="G222" s="2"/>
      <c r="H222" s="2"/>
      <c r="I222" s="2"/>
      <c r="J222" s="2"/>
      <c r="K222" s="2"/>
      <c r="L222" s="2"/>
      <c r="M222" s="2"/>
      <c r="N222" s="2"/>
      <c r="O222" s="7">
        <v>45156</v>
      </c>
      <c r="P222" s="8">
        <v>5.2999999999999999E-2</v>
      </c>
      <c r="Q222" s="9"/>
      <c r="R222" s="7">
        <v>45055</v>
      </c>
      <c r="S222" s="8">
        <v>5.0599999999999999E-2</v>
      </c>
      <c r="T222" s="10">
        <v>1.0001405555555556</v>
      </c>
      <c r="U222" s="2"/>
      <c r="V222" s="2"/>
    </row>
    <row r="223" spans="2:22" x14ac:dyDescent="0.2">
      <c r="B223" s="40">
        <v>44054</v>
      </c>
      <c r="C223" s="41">
        <v>0.1</v>
      </c>
      <c r="E223" s="2"/>
      <c r="F223" s="2"/>
      <c r="G223" s="2"/>
      <c r="H223" s="2"/>
      <c r="I223" s="2"/>
      <c r="J223" s="2"/>
      <c r="K223" s="2"/>
      <c r="L223" s="2"/>
      <c r="M223" s="2"/>
      <c r="N223" s="2"/>
      <c r="O223" s="7">
        <v>45159</v>
      </c>
      <c r="P223" s="8">
        <v>5.2999999999999999E-2</v>
      </c>
      <c r="Q223" s="9"/>
      <c r="R223" s="7">
        <v>45056</v>
      </c>
      <c r="S223" s="8">
        <v>5.0599999999999999E-2</v>
      </c>
      <c r="T223" s="10">
        <v>1.0001405555555556</v>
      </c>
      <c r="U223" s="2"/>
      <c r="V223" s="2"/>
    </row>
    <row r="224" spans="2:22" x14ac:dyDescent="0.2">
      <c r="B224" s="40">
        <v>44055</v>
      </c>
      <c r="C224" s="41">
        <v>0.09</v>
      </c>
      <c r="E224" s="2"/>
      <c r="F224" s="2"/>
      <c r="G224" s="2"/>
      <c r="H224" s="2"/>
      <c r="I224" s="2"/>
      <c r="J224" s="2"/>
      <c r="K224" s="2"/>
      <c r="L224" s="2"/>
      <c r="M224" s="2"/>
      <c r="N224" s="2"/>
      <c r="O224" s="7">
        <v>45160</v>
      </c>
      <c r="P224" s="8">
        <v>5.2999999999999999E-2</v>
      </c>
      <c r="Q224" s="9"/>
      <c r="R224" s="7">
        <v>45057</v>
      </c>
      <c r="S224" s="8">
        <v>5.0499999999999996E-2</v>
      </c>
      <c r="T224" s="10">
        <v>1.0001402777777777</v>
      </c>
      <c r="U224" s="2"/>
      <c r="V224" s="2"/>
    </row>
    <row r="225" spans="2:22" x14ac:dyDescent="0.2">
      <c r="B225" s="40">
        <v>44056</v>
      </c>
      <c r="C225" s="41">
        <v>0.09</v>
      </c>
      <c r="E225" s="2"/>
      <c r="F225" s="2"/>
      <c r="G225" s="2"/>
      <c r="H225" s="2"/>
      <c r="I225" s="2"/>
      <c r="J225" s="2"/>
      <c r="K225" s="2"/>
      <c r="L225" s="2"/>
      <c r="M225" s="2"/>
      <c r="N225" s="2"/>
      <c r="O225" s="7">
        <v>45161</v>
      </c>
      <c r="P225" s="8">
        <v>5.2999999999999999E-2</v>
      </c>
      <c r="Q225" s="9"/>
      <c r="R225" s="7">
        <v>45058</v>
      </c>
      <c r="S225" s="8">
        <v>5.0499999999999996E-2</v>
      </c>
      <c r="T225" s="10">
        <v>1.0001402777777777</v>
      </c>
      <c r="U225" s="2"/>
      <c r="V225" s="2"/>
    </row>
    <row r="226" spans="2:22" x14ac:dyDescent="0.2">
      <c r="B226" s="40">
        <v>44057</v>
      </c>
      <c r="C226" s="41">
        <v>0.09</v>
      </c>
      <c r="E226" s="2"/>
      <c r="F226" s="2"/>
      <c r="G226" s="2"/>
      <c r="H226" s="2"/>
      <c r="I226" s="2"/>
      <c r="J226" s="2"/>
      <c r="K226" s="2"/>
      <c r="L226" s="2"/>
      <c r="M226" s="2"/>
      <c r="N226" s="2"/>
      <c r="O226" s="7">
        <v>45162</v>
      </c>
      <c r="P226" s="8">
        <v>5.2999999999999999E-2</v>
      </c>
      <c r="Q226" s="9"/>
      <c r="R226" s="7">
        <v>45059</v>
      </c>
      <c r="S226" s="8">
        <v>5.0499999999999996E-2</v>
      </c>
      <c r="T226" s="10">
        <v>1.0001402777777777</v>
      </c>
      <c r="U226" s="2"/>
      <c r="V226" s="2"/>
    </row>
    <row r="227" spans="2:22" x14ac:dyDescent="0.2">
      <c r="B227" s="40">
        <v>44060</v>
      </c>
      <c r="C227" s="41">
        <v>0.1</v>
      </c>
      <c r="E227" s="2"/>
      <c r="F227" s="2"/>
      <c r="G227" s="2"/>
      <c r="H227" s="2"/>
      <c r="I227" s="2"/>
      <c r="J227" s="2"/>
      <c r="K227" s="2"/>
      <c r="L227" s="2"/>
      <c r="M227" s="2"/>
      <c r="N227" s="2"/>
      <c r="O227" s="7">
        <v>45163</v>
      </c>
      <c r="P227" s="8">
        <v>5.2999999999999999E-2</v>
      </c>
      <c r="Q227" s="9"/>
      <c r="R227" s="7">
        <v>45060</v>
      </c>
      <c r="S227" s="8">
        <v>5.0499999999999996E-2</v>
      </c>
      <c r="T227" s="10">
        <v>1.0001402777777777</v>
      </c>
      <c r="U227" s="2"/>
      <c r="V227" s="2"/>
    </row>
    <row r="228" spans="2:22" x14ac:dyDescent="0.2">
      <c r="B228" s="40">
        <v>44061</v>
      </c>
      <c r="C228" s="41">
        <v>0.09</v>
      </c>
      <c r="E228" s="2"/>
      <c r="F228" s="2"/>
      <c r="G228" s="2"/>
      <c r="H228" s="2"/>
      <c r="I228" s="2"/>
      <c r="J228" s="2"/>
      <c r="K228" s="2"/>
      <c r="L228" s="2"/>
      <c r="M228" s="2"/>
      <c r="N228" s="2"/>
      <c r="O228" s="7">
        <v>45166</v>
      </c>
      <c r="P228" s="8">
        <v>5.2999999999999999E-2</v>
      </c>
      <c r="Q228" s="9"/>
      <c r="R228" s="7">
        <v>45061</v>
      </c>
      <c r="S228" s="8">
        <v>5.0599999999999999E-2</v>
      </c>
      <c r="T228" s="10">
        <v>1.0001405555555556</v>
      </c>
      <c r="U228" s="2"/>
      <c r="V228" s="2"/>
    </row>
    <row r="229" spans="2:22" x14ac:dyDescent="0.2">
      <c r="B229" s="40">
        <v>44062</v>
      </c>
      <c r="C229" s="41">
        <v>0.09</v>
      </c>
      <c r="E229" s="2"/>
      <c r="F229" s="2"/>
      <c r="G229" s="2"/>
      <c r="H229" s="2"/>
      <c r="I229" s="2"/>
      <c r="J229" s="2"/>
      <c r="K229" s="2"/>
      <c r="L229" s="2"/>
      <c r="M229" s="2"/>
      <c r="N229" s="2"/>
      <c r="O229" s="7">
        <v>45167</v>
      </c>
      <c r="P229" s="8">
        <v>5.2999999999999999E-2</v>
      </c>
      <c r="Q229" s="9"/>
      <c r="R229" s="7">
        <v>45062</v>
      </c>
      <c r="S229" s="8">
        <v>5.0499999999999996E-2</v>
      </c>
      <c r="T229" s="10">
        <v>1.0001402777777777</v>
      </c>
      <c r="U229" s="2"/>
      <c r="V229" s="2"/>
    </row>
    <row r="230" spans="2:22" x14ac:dyDescent="0.2">
      <c r="B230" s="40">
        <v>44063</v>
      </c>
      <c r="C230" s="41">
        <v>7.0000000000000007E-2</v>
      </c>
      <c r="E230" s="2"/>
      <c r="F230" s="2"/>
      <c r="G230" s="2"/>
      <c r="H230" s="2"/>
      <c r="I230" s="2"/>
      <c r="J230" s="2"/>
      <c r="K230" s="2"/>
      <c r="L230" s="2"/>
      <c r="M230" s="2"/>
      <c r="N230" s="2"/>
      <c r="O230" s="7">
        <v>45168</v>
      </c>
      <c r="P230" s="8">
        <v>5.2999999999999999E-2</v>
      </c>
      <c r="Q230" s="9"/>
      <c r="R230" s="7">
        <v>45063</v>
      </c>
      <c r="S230" s="8">
        <v>5.0499999999999996E-2</v>
      </c>
      <c r="T230" s="10">
        <v>1.0001402777777777</v>
      </c>
      <c r="U230" s="2"/>
      <c r="V230" s="2"/>
    </row>
    <row r="231" spans="2:22" x14ac:dyDescent="0.2">
      <c r="B231" s="40">
        <v>44064</v>
      </c>
      <c r="C231" s="41">
        <v>7.0000000000000007E-2</v>
      </c>
      <c r="E231" s="2"/>
      <c r="F231" s="2"/>
      <c r="G231" s="2"/>
      <c r="H231" s="2"/>
      <c r="I231" s="2"/>
      <c r="J231" s="2"/>
      <c r="K231" s="2"/>
      <c r="L231" s="2"/>
      <c r="M231" s="2"/>
      <c r="N231" s="2"/>
      <c r="O231" s="7">
        <v>45169</v>
      </c>
      <c r="P231" s="8">
        <v>5.3099999999999994E-2</v>
      </c>
      <c r="Q231" s="9"/>
      <c r="R231" s="7">
        <v>45064</v>
      </c>
      <c r="S231" s="8">
        <v>5.0499999999999996E-2</v>
      </c>
      <c r="T231" s="10">
        <v>1.0001402777777777</v>
      </c>
      <c r="U231" s="2"/>
      <c r="V231" s="2"/>
    </row>
    <row r="232" spans="2:22" x14ac:dyDescent="0.2">
      <c r="B232" s="40">
        <v>44067</v>
      </c>
      <c r="C232" s="41">
        <v>0.08</v>
      </c>
      <c r="E232" s="2"/>
      <c r="F232" s="2"/>
      <c r="G232" s="2"/>
      <c r="H232" s="2"/>
      <c r="I232" s="2"/>
      <c r="J232" s="2"/>
      <c r="K232" s="2"/>
      <c r="L232" s="2"/>
      <c r="M232" s="2"/>
      <c r="N232" s="2"/>
      <c r="O232" s="7">
        <v>45170</v>
      </c>
      <c r="P232" s="8">
        <v>5.3099999999999994E-2</v>
      </c>
      <c r="Q232" s="9"/>
      <c r="R232" s="7">
        <v>45065</v>
      </c>
      <c r="S232" s="8">
        <v>5.0499999999999996E-2</v>
      </c>
      <c r="T232" s="10">
        <v>1.0001402777777777</v>
      </c>
      <c r="U232" s="2"/>
      <c r="V232" s="2"/>
    </row>
    <row r="233" spans="2:22" x14ac:dyDescent="0.2">
      <c r="B233" s="40">
        <v>44068</v>
      </c>
      <c r="C233" s="41">
        <v>0.08</v>
      </c>
      <c r="E233" s="2"/>
      <c r="F233" s="2"/>
      <c r="G233" s="2"/>
      <c r="H233" s="2"/>
      <c r="I233" s="2"/>
      <c r="J233" s="2"/>
      <c r="K233" s="2"/>
      <c r="L233" s="2"/>
      <c r="M233" s="2"/>
      <c r="N233" s="2"/>
      <c r="O233" s="7">
        <v>45174</v>
      </c>
      <c r="P233" s="8">
        <v>5.3099999999999994E-2</v>
      </c>
      <c r="Q233" s="9"/>
      <c r="R233" s="7">
        <v>45066</v>
      </c>
      <c r="S233" s="8">
        <v>5.0499999999999996E-2</v>
      </c>
      <c r="T233" s="10">
        <v>1.0001402777777777</v>
      </c>
      <c r="U233" s="2"/>
      <c r="V233" s="2"/>
    </row>
    <row r="234" spans="2:22" x14ac:dyDescent="0.2">
      <c r="B234" s="40">
        <v>44069</v>
      </c>
      <c r="C234" s="41">
        <v>7.0000000000000007E-2</v>
      </c>
      <c r="E234" s="2"/>
      <c r="F234" s="2"/>
      <c r="G234" s="2"/>
      <c r="H234" s="2"/>
      <c r="I234" s="2"/>
      <c r="J234" s="2"/>
      <c r="K234" s="2"/>
      <c r="L234" s="2"/>
      <c r="M234" s="2"/>
      <c r="N234" s="2"/>
      <c r="O234" s="7">
        <v>45175</v>
      </c>
      <c r="P234" s="8">
        <v>5.2999999999999999E-2</v>
      </c>
      <c r="Q234" s="9"/>
      <c r="R234" s="7">
        <v>45067</v>
      </c>
      <c r="S234" s="8">
        <v>5.0499999999999996E-2</v>
      </c>
      <c r="T234" s="10">
        <v>1.0001402777777777</v>
      </c>
      <c r="U234" s="2"/>
      <c r="V234" s="2"/>
    </row>
    <row r="235" spans="2:22" x14ac:dyDescent="0.2">
      <c r="B235" s="40">
        <v>44070</v>
      </c>
      <c r="C235" s="41">
        <v>7.0000000000000007E-2</v>
      </c>
      <c r="E235" s="2"/>
      <c r="F235" s="2"/>
      <c r="G235" s="2"/>
      <c r="H235" s="2"/>
      <c r="I235" s="2"/>
      <c r="J235" s="2"/>
      <c r="K235" s="2"/>
      <c r="L235" s="2"/>
      <c r="M235" s="2"/>
      <c r="N235" s="2"/>
      <c r="O235" s="7">
        <v>45176</v>
      </c>
      <c r="P235" s="8">
        <v>5.3099999999999994E-2</v>
      </c>
      <c r="Q235" s="9"/>
      <c r="R235" s="7">
        <v>45068</v>
      </c>
      <c r="S235" s="8">
        <v>5.0499999999999996E-2</v>
      </c>
      <c r="T235" s="10">
        <v>1.0001402777777777</v>
      </c>
      <c r="U235" s="2"/>
      <c r="V235" s="2"/>
    </row>
    <row r="236" spans="2:22" x14ac:dyDescent="0.2">
      <c r="B236" s="40">
        <v>44071</v>
      </c>
      <c r="C236" s="41">
        <v>7.0000000000000007E-2</v>
      </c>
      <c r="E236" s="2"/>
      <c r="F236" s="2"/>
      <c r="G236" s="2"/>
      <c r="H236" s="2"/>
      <c r="I236" s="2"/>
      <c r="J236" s="2"/>
      <c r="K236" s="2"/>
      <c r="L236" s="2"/>
      <c r="M236" s="2"/>
      <c r="N236" s="2"/>
      <c r="O236" s="7">
        <v>45177</v>
      </c>
      <c r="P236" s="8">
        <v>5.2999999999999999E-2</v>
      </c>
      <c r="Q236" s="9"/>
      <c r="R236" s="7">
        <v>45069</v>
      </c>
      <c r="S236" s="8">
        <v>5.0499999999999996E-2</v>
      </c>
      <c r="T236" s="10">
        <v>1.0001402777777777</v>
      </c>
      <c r="U236" s="2"/>
      <c r="V236" s="2"/>
    </row>
    <row r="237" spans="2:22" x14ac:dyDescent="0.2">
      <c r="B237" s="40">
        <v>44074</v>
      </c>
      <c r="C237" s="41">
        <v>0.09</v>
      </c>
      <c r="E237" s="2"/>
      <c r="F237" s="2"/>
      <c r="G237" s="2"/>
      <c r="H237" s="2"/>
      <c r="I237" s="2"/>
      <c r="J237" s="2"/>
      <c r="K237" s="2"/>
      <c r="L237" s="2"/>
      <c r="M237" s="2"/>
      <c r="N237" s="2"/>
      <c r="O237" s="7">
        <v>45180</v>
      </c>
      <c r="P237" s="8">
        <v>5.2999999999999999E-2</v>
      </c>
      <c r="Q237" s="9"/>
      <c r="R237" s="7">
        <v>45070</v>
      </c>
      <c r="S237" s="8">
        <v>5.0499999999999996E-2</v>
      </c>
      <c r="T237" s="10">
        <v>1.0001402777777777</v>
      </c>
      <c r="U237" s="2"/>
      <c r="V237" s="2"/>
    </row>
    <row r="238" spans="2:22" x14ac:dyDescent="0.2">
      <c r="B238" s="40">
        <v>44075</v>
      </c>
      <c r="C238" s="41">
        <v>0.09</v>
      </c>
      <c r="E238" s="2"/>
      <c r="F238" s="2"/>
      <c r="G238" s="2"/>
      <c r="H238" s="2"/>
      <c r="I238" s="2"/>
      <c r="J238" s="2"/>
      <c r="K238" s="2"/>
      <c r="L238" s="2"/>
      <c r="M238" s="2"/>
      <c r="N238" s="2"/>
      <c r="O238" s="7">
        <v>45181</v>
      </c>
      <c r="P238" s="8">
        <v>5.2999999999999999E-2</v>
      </c>
      <c r="Q238" s="9"/>
      <c r="R238" s="7">
        <v>45071</v>
      </c>
      <c r="S238" s="8">
        <v>5.0599999999999999E-2</v>
      </c>
      <c r="T238" s="10">
        <v>1.0001405555555556</v>
      </c>
      <c r="U238" s="2"/>
      <c r="V238" s="2"/>
    </row>
    <row r="239" spans="2:22" x14ac:dyDescent="0.2">
      <c r="B239" s="40">
        <v>44076</v>
      </c>
      <c r="C239" s="41">
        <v>0.09</v>
      </c>
      <c r="E239" s="2"/>
      <c r="F239" s="2"/>
      <c r="G239" s="2"/>
      <c r="H239" s="2"/>
      <c r="I239" s="2"/>
      <c r="J239" s="2"/>
      <c r="K239" s="2"/>
      <c r="L239" s="2"/>
      <c r="M239" s="2"/>
      <c r="N239" s="2"/>
      <c r="O239" s="7">
        <v>45182</v>
      </c>
      <c r="P239" s="8">
        <v>5.2999999999999999E-2</v>
      </c>
      <c r="Q239" s="9"/>
      <c r="R239" s="7">
        <v>45072</v>
      </c>
      <c r="S239" s="8">
        <v>5.0599999999999999E-2</v>
      </c>
      <c r="T239" s="10">
        <v>1.0001405555555556</v>
      </c>
      <c r="U239" s="2"/>
      <c r="V239" s="2"/>
    </row>
    <row r="240" spans="2:22" x14ac:dyDescent="0.2">
      <c r="B240" s="40">
        <v>44077</v>
      </c>
      <c r="C240" s="41">
        <v>0.1</v>
      </c>
      <c r="E240" s="2"/>
      <c r="F240" s="2"/>
      <c r="G240" s="2"/>
      <c r="H240" s="2"/>
      <c r="I240" s="2"/>
      <c r="J240" s="2"/>
      <c r="K240" s="2"/>
      <c r="L240" s="2"/>
      <c r="M240" s="2"/>
      <c r="N240" s="2"/>
      <c r="O240" s="7">
        <v>45183</v>
      </c>
      <c r="P240" s="8">
        <v>5.2999999999999999E-2</v>
      </c>
      <c r="Q240" s="9"/>
      <c r="R240" s="7">
        <v>45073</v>
      </c>
      <c r="S240" s="8">
        <v>5.0599999999999999E-2</v>
      </c>
      <c r="T240" s="10">
        <v>1.0001405555555556</v>
      </c>
      <c r="U240" s="2"/>
      <c r="V240" s="2"/>
    </row>
    <row r="241" spans="2:22" x14ac:dyDescent="0.2">
      <c r="B241" s="40">
        <v>44078</v>
      </c>
      <c r="C241" s="41">
        <v>0.09</v>
      </c>
      <c r="E241" s="2"/>
      <c r="F241" s="2"/>
      <c r="G241" s="2"/>
      <c r="H241" s="2"/>
      <c r="I241" s="2"/>
      <c r="J241" s="2"/>
      <c r="K241" s="2"/>
      <c r="L241" s="2"/>
      <c r="M241" s="2"/>
      <c r="N241" s="2"/>
      <c r="O241" s="7">
        <v>45184</v>
      </c>
      <c r="P241" s="8">
        <v>5.3099999999999994E-2</v>
      </c>
      <c r="Q241" s="9"/>
      <c r="R241" s="7">
        <v>45074</v>
      </c>
      <c r="S241" s="8">
        <v>5.0599999999999999E-2</v>
      </c>
      <c r="T241" s="10">
        <v>1.0001405555555556</v>
      </c>
      <c r="U241" s="2"/>
      <c r="V241" s="2"/>
    </row>
    <row r="242" spans="2:22" x14ac:dyDescent="0.2">
      <c r="B242" s="40">
        <v>44082</v>
      </c>
      <c r="C242" s="41">
        <v>0.09</v>
      </c>
      <c r="E242" s="2"/>
      <c r="F242" s="2"/>
      <c r="G242" s="2"/>
      <c r="H242" s="2"/>
      <c r="I242" s="2"/>
      <c r="J242" s="2"/>
      <c r="K242" s="2"/>
      <c r="L242" s="2"/>
      <c r="M242" s="2"/>
      <c r="N242" s="2"/>
      <c r="O242" s="7">
        <v>45187</v>
      </c>
      <c r="P242" s="8">
        <v>5.3099999999999994E-2</v>
      </c>
      <c r="Q242" s="9"/>
      <c r="R242" s="7">
        <v>45075</v>
      </c>
      <c r="S242" s="8">
        <v>5.0599999999999999E-2</v>
      </c>
      <c r="T242" s="10">
        <v>1.0001405555555556</v>
      </c>
      <c r="U242" s="2"/>
      <c r="V242" s="2"/>
    </row>
    <row r="243" spans="2:22" x14ac:dyDescent="0.2">
      <c r="B243" s="40">
        <v>44083</v>
      </c>
      <c r="C243" s="41">
        <v>0.09</v>
      </c>
      <c r="E243" s="2"/>
      <c r="F243" s="2"/>
      <c r="G243" s="2"/>
      <c r="H243" s="2"/>
      <c r="I243" s="2"/>
      <c r="J243" s="2"/>
      <c r="K243" s="2"/>
      <c r="L243" s="2"/>
      <c r="M243" s="2"/>
      <c r="N243" s="2"/>
      <c r="O243" s="7">
        <v>45188</v>
      </c>
      <c r="P243" s="8">
        <v>5.3099999999999994E-2</v>
      </c>
      <c r="Q243" s="9"/>
      <c r="R243" s="7">
        <v>45076</v>
      </c>
      <c r="S243" s="8">
        <v>5.0599999999999999E-2</v>
      </c>
      <c r="T243" s="10">
        <v>1.0001405555555556</v>
      </c>
      <c r="U243" s="2"/>
      <c r="V243" s="2"/>
    </row>
    <row r="244" spans="2:22" x14ac:dyDescent="0.2">
      <c r="B244" s="40">
        <v>44084</v>
      </c>
      <c r="C244" s="41">
        <v>0.09</v>
      </c>
      <c r="E244" s="2"/>
      <c r="F244" s="2"/>
      <c r="G244" s="2"/>
      <c r="H244" s="2"/>
      <c r="I244" s="2"/>
      <c r="J244" s="2"/>
      <c r="K244" s="2"/>
      <c r="L244" s="2"/>
      <c r="M244" s="2"/>
      <c r="N244" s="2"/>
      <c r="O244" s="7">
        <v>45189</v>
      </c>
      <c r="P244" s="8">
        <v>5.2999999999999999E-2</v>
      </c>
      <c r="Q244" s="9"/>
      <c r="R244" s="7">
        <v>45077</v>
      </c>
      <c r="S244" s="8">
        <v>5.0799999999999998E-2</v>
      </c>
      <c r="T244" s="10">
        <v>1.0001411111111111</v>
      </c>
      <c r="U244" s="2"/>
      <c r="V244" s="2"/>
    </row>
    <row r="245" spans="2:22" x14ac:dyDescent="0.2">
      <c r="B245" s="40">
        <v>44085</v>
      </c>
      <c r="C245" s="41">
        <v>0.09</v>
      </c>
      <c r="E245" s="2"/>
      <c r="F245" s="2"/>
      <c r="G245" s="2"/>
      <c r="H245" s="2"/>
      <c r="I245" s="2"/>
      <c r="J245" s="2"/>
      <c r="K245" s="2"/>
      <c r="L245" s="2"/>
      <c r="M245" s="2"/>
      <c r="N245" s="2"/>
      <c r="O245" s="7">
        <v>45190</v>
      </c>
      <c r="P245" s="8">
        <v>5.2999999999999999E-2</v>
      </c>
      <c r="Q245" s="9"/>
      <c r="R245" s="7">
        <v>45078</v>
      </c>
      <c r="S245" s="8">
        <v>5.0799999999999998E-2</v>
      </c>
      <c r="T245" s="10">
        <v>1.0001411111111111</v>
      </c>
      <c r="U245" s="2"/>
      <c r="V245" s="2"/>
    </row>
    <row r="246" spans="2:22" x14ac:dyDescent="0.2">
      <c r="B246" s="40">
        <v>44088</v>
      </c>
      <c r="C246" s="41">
        <v>0.09</v>
      </c>
      <c r="E246" s="2"/>
      <c r="F246" s="2"/>
      <c r="G246" s="2"/>
      <c r="H246" s="2"/>
      <c r="I246" s="2"/>
      <c r="J246" s="2"/>
      <c r="K246" s="2"/>
      <c r="L246" s="2"/>
      <c r="M246" s="2"/>
      <c r="N246" s="2"/>
      <c r="O246" s="7">
        <v>45191</v>
      </c>
      <c r="P246" s="8">
        <v>5.2999999999999999E-2</v>
      </c>
      <c r="Q246" s="9"/>
      <c r="R246" s="7">
        <v>45079</v>
      </c>
      <c r="S246" s="8">
        <v>5.0700000000000002E-2</v>
      </c>
      <c r="T246" s="10">
        <v>1.0001408333333333</v>
      </c>
      <c r="U246" s="2"/>
      <c r="V246" s="2"/>
    </row>
    <row r="247" spans="2:22" x14ac:dyDescent="0.2">
      <c r="B247" s="40">
        <v>44089</v>
      </c>
      <c r="C247" s="41">
        <v>0.1</v>
      </c>
      <c r="E247" s="2"/>
      <c r="F247" s="2"/>
      <c r="G247" s="2"/>
      <c r="H247" s="2"/>
      <c r="I247" s="2"/>
      <c r="J247" s="2"/>
      <c r="K247" s="2"/>
      <c r="L247" s="2"/>
      <c r="M247" s="2"/>
      <c r="N247" s="2"/>
      <c r="O247" s="7">
        <v>45194</v>
      </c>
      <c r="P247" s="8">
        <v>5.3099999999999994E-2</v>
      </c>
      <c r="Q247" s="9"/>
      <c r="R247" s="7">
        <v>45080</v>
      </c>
      <c r="S247" s="8">
        <v>5.0700000000000002E-2</v>
      </c>
      <c r="T247" s="10">
        <v>1.0001408333333333</v>
      </c>
      <c r="U247" s="2"/>
      <c r="V247" s="2"/>
    </row>
    <row r="248" spans="2:22" x14ac:dyDescent="0.2">
      <c r="B248" s="40">
        <v>44090</v>
      </c>
      <c r="C248" s="41">
        <v>0.1</v>
      </c>
      <c r="E248" s="2"/>
      <c r="F248" s="2"/>
      <c r="G248" s="2"/>
      <c r="H248" s="2"/>
      <c r="I248" s="2"/>
      <c r="J248" s="2"/>
      <c r="K248" s="2"/>
      <c r="L248" s="2"/>
      <c r="M248" s="2"/>
      <c r="N248" s="2"/>
      <c r="O248" s="7">
        <v>45195</v>
      </c>
      <c r="P248" s="8">
        <v>5.3099999999999994E-2</v>
      </c>
      <c r="Q248" s="9"/>
      <c r="R248" s="7">
        <v>45081</v>
      </c>
      <c r="S248" s="8">
        <v>5.0700000000000002E-2</v>
      </c>
      <c r="T248" s="10">
        <v>1.0001408333333333</v>
      </c>
      <c r="U248" s="2"/>
      <c r="V248" s="2"/>
    </row>
    <row r="249" spans="2:22" x14ac:dyDescent="0.2">
      <c r="B249" s="40">
        <v>44091</v>
      </c>
      <c r="C249" s="41">
        <v>0.1</v>
      </c>
      <c r="E249" s="2"/>
      <c r="F249" s="2"/>
      <c r="G249" s="2"/>
      <c r="H249" s="2"/>
      <c r="I249" s="2"/>
      <c r="J249" s="2"/>
      <c r="K249" s="2"/>
      <c r="L249" s="2"/>
      <c r="M249" s="2"/>
      <c r="N249" s="2"/>
      <c r="O249" s="7">
        <v>45196</v>
      </c>
      <c r="P249" s="8">
        <v>5.3200000000000004E-2</v>
      </c>
      <c r="Q249" s="9"/>
      <c r="R249" s="7">
        <v>45082</v>
      </c>
      <c r="S249" s="8">
        <v>5.0599999999999999E-2</v>
      </c>
      <c r="T249" s="10">
        <v>1.0001405555555556</v>
      </c>
      <c r="U249" s="2"/>
      <c r="V249" s="2"/>
    </row>
    <row r="250" spans="2:22" x14ac:dyDescent="0.2">
      <c r="B250" s="40">
        <v>44092</v>
      </c>
      <c r="C250" s="41">
        <v>0.09</v>
      </c>
      <c r="E250" s="2"/>
      <c r="F250" s="2"/>
      <c r="G250" s="2"/>
      <c r="H250" s="2"/>
      <c r="I250" s="2"/>
      <c r="J250" s="2"/>
      <c r="K250" s="2"/>
      <c r="L250" s="2"/>
      <c r="M250" s="2"/>
      <c r="N250" s="2"/>
      <c r="O250" s="7">
        <v>45197</v>
      </c>
      <c r="P250" s="8">
        <v>5.3099999999999994E-2</v>
      </c>
      <c r="Q250" s="9"/>
      <c r="R250" s="7">
        <v>45083</v>
      </c>
      <c r="S250" s="8">
        <v>5.0499999999999996E-2</v>
      </c>
      <c r="T250" s="10">
        <v>1.0001402777777777</v>
      </c>
      <c r="U250" s="2"/>
      <c r="V250" s="2"/>
    </row>
    <row r="251" spans="2:22" x14ac:dyDescent="0.2">
      <c r="B251" s="40">
        <v>44095</v>
      </c>
      <c r="C251" s="41">
        <v>0.08</v>
      </c>
      <c r="E251" s="2"/>
      <c r="F251" s="2"/>
      <c r="G251" s="2"/>
      <c r="H251" s="2"/>
      <c r="I251" s="2"/>
      <c r="J251" s="2"/>
      <c r="K251" s="2"/>
      <c r="L251" s="2"/>
      <c r="M251" s="2"/>
      <c r="N251" s="2"/>
      <c r="O251" s="7">
        <v>45198</v>
      </c>
      <c r="P251" s="8">
        <v>5.3099999999999994E-2</v>
      </c>
      <c r="Q251" s="9"/>
      <c r="R251" s="7">
        <v>45084</v>
      </c>
      <c r="S251" s="8">
        <v>5.0499999999999996E-2</v>
      </c>
      <c r="T251" s="10">
        <v>1.0001402777777777</v>
      </c>
      <c r="U251" s="2"/>
      <c r="V251" s="2"/>
    </row>
    <row r="252" spans="2:22" x14ac:dyDescent="0.2">
      <c r="B252" s="40">
        <v>44096</v>
      </c>
      <c r="C252" s="41">
        <v>7.0000000000000007E-2</v>
      </c>
      <c r="E252" s="2"/>
      <c r="F252" s="2"/>
      <c r="G252" s="2"/>
      <c r="H252" s="2"/>
      <c r="I252" s="2"/>
      <c r="J252" s="2"/>
      <c r="K252" s="2"/>
      <c r="L252" s="2"/>
      <c r="M252" s="2"/>
      <c r="N252" s="2"/>
      <c r="O252" s="7">
        <v>45201</v>
      </c>
      <c r="P252" s="8">
        <v>5.3200000000000004E-2</v>
      </c>
      <c r="Q252" s="9"/>
      <c r="R252" s="7">
        <v>45085</v>
      </c>
      <c r="S252" s="8">
        <v>5.0499999999999996E-2</v>
      </c>
      <c r="T252" s="10">
        <v>1.0001402777777777</v>
      </c>
      <c r="U252" s="2"/>
      <c r="V252" s="2"/>
    </row>
    <row r="253" spans="2:22" x14ac:dyDescent="0.2">
      <c r="B253" s="40">
        <v>44097</v>
      </c>
      <c r="C253" s="41">
        <v>0.06</v>
      </c>
      <c r="E253" s="2"/>
      <c r="F253" s="2"/>
      <c r="G253" s="2"/>
      <c r="H253" s="2"/>
      <c r="I253" s="2"/>
      <c r="J253" s="2"/>
      <c r="K253" s="2"/>
      <c r="L253" s="2"/>
      <c r="M253" s="2"/>
      <c r="N253" s="2"/>
      <c r="O253" s="7"/>
      <c r="P253" s="8"/>
      <c r="Q253" s="9"/>
      <c r="R253" s="7">
        <v>45086</v>
      </c>
      <c r="S253" s="8">
        <v>5.0499999999999996E-2</v>
      </c>
      <c r="T253" s="10">
        <v>1.0001402777777777</v>
      </c>
      <c r="U253" s="2"/>
      <c r="V253" s="2"/>
    </row>
    <row r="254" spans="2:22" x14ac:dyDescent="0.2">
      <c r="B254" s="40">
        <v>44098</v>
      </c>
      <c r="C254" s="41">
        <v>7.0000000000000007E-2</v>
      </c>
      <c r="E254" s="2"/>
      <c r="F254" s="2"/>
      <c r="G254" s="2"/>
      <c r="H254" s="2"/>
      <c r="I254" s="2"/>
      <c r="J254" s="2"/>
      <c r="K254" s="2"/>
      <c r="L254" s="2"/>
      <c r="M254" s="2"/>
      <c r="N254" s="2"/>
      <c r="O254" s="7"/>
      <c r="P254" s="8"/>
      <c r="Q254" s="9"/>
      <c r="R254" s="7">
        <v>45087</v>
      </c>
      <c r="S254" s="8">
        <v>5.0499999999999996E-2</v>
      </c>
      <c r="T254" s="10">
        <v>1.0001402777777777</v>
      </c>
      <c r="U254" s="2"/>
      <c r="V254" s="2"/>
    </row>
    <row r="255" spans="2:22" x14ac:dyDescent="0.2">
      <c r="B255" s="40">
        <v>44099</v>
      </c>
      <c r="C255" s="41">
        <v>0.08</v>
      </c>
      <c r="E255" s="2"/>
      <c r="F255" s="2"/>
      <c r="G255" s="2"/>
      <c r="H255" s="2"/>
      <c r="I255" s="2"/>
      <c r="J255" s="2"/>
      <c r="K255" s="2"/>
      <c r="L255" s="2"/>
      <c r="M255" s="2"/>
      <c r="N255" s="2"/>
      <c r="O255" s="7"/>
      <c r="P255" s="8"/>
      <c r="Q255" s="9"/>
      <c r="R255" s="7">
        <v>45088</v>
      </c>
      <c r="S255" s="8">
        <v>5.0499999999999996E-2</v>
      </c>
      <c r="T255" s="10">
        <v>1.0001402777777777</v>
      </c>
      <c r="U255" s="2"/>
      <c r="V255" s="2"/>
    </row>
    <row r="256" spans="2:22" x14ac:dyDescent="0.2">
      <c r="B256" s="40">
        <v>44102</v>
      </c>
      <c r="C256" s="41">
        <v>0.08</v>
      </c>
      <c r="E256" s="2"/>
      <c r="F256" s="2"/>
      <c r="G256" s="2"/>
      <c r="H256" s="2"/>
      <c r="I256" s="2"/>
      <c r="J256" s="2"/>
      <c r="K256" s="2"/>
      <c r="L256" s="2"/>
      <c r="M256" s="2"/>
      <c r="N256" s="2"/>
      <c r="O256" s="7"/>
      <c r="P256" s="8"/>
      <c r="Q256" s="9"/>
      <c r="R256" s="7">
        <v>45089</v>
      </c>
      <c r="S256" s="8">
        <v>5.0499999999999996E-2</v>
      </c>
      <c r="T256" s="10">
        <v>1.0001402777777777</v>
      </c>
      <c r="U256" s="2"/>
      <c r="V256" s="2"/>
    </row>
    <row r="257" spans="2:22" x14ac:dyDescent="0.2">
      <c r="B257" s="40">
        <v>44103</v>
      </c>
      <c r="C257" s="41">
        <v>7.0000000000000007E-2</v>
      </c>
      <c r="E257" s="2"/>
      <c r="F257" s="2"/>
      <c r="G257" s="2"/>
      <c r="H257" s="2"/>
      <c r="I257" s="2"/>
      <c r="J257" s="2"/>
      <c r="K257" s="2"/>
      <c r="L257" s="2"/>
      <c r="M257" s="2"/>
      <c r="N257" s="2"/>
      <c r="O257" s="7"/>
      <c r="P257" s="8"/>
      <c r="Q257" s="9"/>
      <c r="R257" s="7">
        <v>45090</v>
      </c>
      <c r="S257" s="8">
        <v>5.0499999999999996E-2</v>
      </c>
      <c r="T257" s="10">
        <v>1.0001402777777777</v>
      </c>
      <c r="U257" s="2"/>
      <c r="V257" s="2"/>
    </row>
    <row r="258" spans="2:22" x14ac:dyDescent="0.2">
      <c r="B258" s="40">
        <v>44104</v>
      </c>
      <c r="C258" s="41">
        <v>0.08</v>
      </c>
      <c r="E258" s="2"/>
      <c r="F258" s="2"/>
      <c r="G258" s="2"/>
      <c r="H258" s="2"/>
      <c r="I258" s="2"/>
      <c r="J258" s="2"/>
      <c r="K258" s="2"/>
      <c r="L258" s="2"/>
      <c r="M258" s="2"/>
      <c r="N258" s="2"/>
      <c r="O258" s="7"/>
      <c r="P258" s="8"/>
      <c r="Q258" s="9"/>
      <c r="R258" s="7">
        <v>45091</v>
      </c>
      <c r="S258" s="8">
        <v>5.0499999999999996E-2</v>
      </c>
      <c r="T258" s="10">
        <v>1.0001402777777777</v>
      </c>
      <c r="U258" s="2"/>
      <c r="V258" s="2"/>
    </row>
    <row r="259" spans="2:22" x14ac:dyDescent="0.2">
      <c r="B259" s="40">
        <v>44105</v>
      </c>
      <c r="C259" s="41">
        <v>0.08</v>
      </c>
      <c r="E259" s="2"/>
      <c r="F259" s="2"/>
      <c r="G259" s="2"/>
      <c r="H259" s="2"/>
      <c r="I259" s="2"/>
      <c r="J259" s="2"/>
      <c r="K259" s="2"/>
      <c r="L259" s="2"/>
      <c r="M259" s="2"/>
      <c r="N259" s="2"/>
      <c r="O259" s="7"/>
      <c r="P259" s="8"/>
      <c r="Q259" s="9"/>
      <c r="R259" s="7">
        <v>45092</v>
      </c>
      <c r="S259" s="8">
        <v>5.0599999999999999E-2</v>
      </c>
      <c r="T259" s="10">
        <v>1.0001405555555556</v>
      </c>
      <c r="U259" s="2"/>
      <c r="V259" s="2"/>
    </row>
    <row r="260" spans="2:22" x14ac:dyDescent="0.2">
      <c r="B260" s="40">
        <v>44106</v>
      </c>
      <c r="C260" s="41">
        <v>0.1</v>
      </c>
      <c r="E260" s="2"/>
      <c r="F260" s="2"/>
      <c r="G260" s="2"/>
      <c r="H260" s="2"/>
      <c r="I260" s="2"/>
      <c r="J260" s="2"/>
      <c r="K260" s="2"/>
      <c r="L260" s="2"/>
      <c r="M260" s="2"/>
      <c r="N260" s="2"/>
      <c r="O260" s="7"/>
      <c r="P260" s="8"/>
      <c r="Q260" s="9"/>
      <c r="R260" s="7">
        <v>45093</v>
      </c>
      <c r="S260" s="8">
        <v>5.0499999999999996E-2</v>
      </c>
      <c r="T260" s="10">
        <v>1.0001402777777777</v>
      </c>
      <c r="U260" s="2"/>
      <c r="V260" s="2"/>
    </row>
    <row r="261" spans="2:22" x14ac:dyDescent="0.2">
      <c r="B261" s="40">
        <v>44109</v>
      </c>
      <c r="C261" s="41">
        <v>0.09</v>
      </c>
      <c r="E261" s="2"/>
      <c r="F261" s="2"/>
      <c r="G261" s="2"/>
      <c r="H261" s="2"/>
      <c r="I261" s="2"/>
      <c r="J261" s="2"/>
      <c r="K261" s="2"/>
      <c r="L261" s="2"/>
      <c r="M261" s="2"/>
      <c r="N261" s="2"/>
      <c r="O261" s="7"/>
      <c r="P261" s="8"/>
      <c r="Q261" s="9"/>
      <c r="R261" s="7">
        <v>45094</v>
      </c>
      <c r="S261" s="8">
        <v>5.0499999999999996E-2</v>
      </c>
      <c r="T261" s="10">
        <v>1.0001402777777777</v>
      </c>
      <c r="U261" s="2"/>
      <c r="V261" s="2"/>
    </row>
    <row r="262" spans="2:22" x14ac:dyDescent="0.2">
      <c r="B262" s="40">
        <v>44110</v>
      </c>
      <c r="C262" s="41">
        <v>0.1</v>
      </c>
      <c r="E262" s="2"/>
      <c r="F262" s="2"/>
      <c r="G262" s="2"/>
      <c r="H262" s="2"/>
      <c r="I262" s="2"/>
      <c r="J262" s="2"/>
      <c r="K262" s="2"/>
      <c r="L262" s="2"/>
      <c r="M262" s="2"/>
      <c r="N262" s="2"/>
      <c r="O262" s="7"/>
      <c r="P262" s="8"/>
      <c r="Q262" s="9"/>
      <c r="R262" s="7">
        <v>45095</v>
      </c>
      <c r="S262" s="8">
        <v>5.0499999999999996E-2</v>
      </c>
      <c r="T262" s="10">
        <v>1.0001402777777777</v>
      </c>
      <c r="U262" s="2"/>
      <c r="V262" s="2"/>
    </row>
    <row r="263" spans="2:22" x14ac:dyDescent="0.2">
      <c r="B263" s="40">
        <v>44111</v>
      </c>
      <c r="C263" s="41">
        <v>0.09</v>
      </c>
      <c r="E263" s="2"/>
      <c r="F263" s="2"/>
      <c r="G263" s="2"/>
      <c r="H263" s="2"/>
      <c r="I263" s="2"/>
      <c r="J263" s="2"/>
      <c r="K263" s="2"/>
      <c r="L263" s="2"/>
      <c r="M263" s="2"/>
      <c r="N263" s="2"/>
      <c r="O263" s="7"/>
      <c r="P263" s="8"/>
      <c r="Q263" s="9"/>
      <c r="R263" s="7">
        <v>45096</v>
      </c>
      <c r="S263" s="8">
        <v>5.0499999999999996E-2</v>
      </c>
      <c r="T263" s="10">
        <v>1.0001402777777777</v>
      </c>
      <c r="U263" s="2"/>
      <c r="V263" s="2"/>
    </row>
    <row r="264" spans="2:22" x14ac:dyDescent="0.2">
      <c r="B264" s="40">
        <v>44112</v>
      </c>
      <c r="C264" s="41">
        <v>0.08</v>
      </c>
      <c r="E264" s="2"/>
      <c r="F264" s="2"/>
      <c r="G264" s="2"/>
      <c r="H264" s="2"/>
      <c r="I264" s="2"/>
      <c r="J264" s="2"/>
      <c r="K264" s="2"/>
      <c r="L264" s="2"/>
      <c r="M264" s="2"/>
      <c r="N264" s="2"/>
      <c r="O264" s="7"/>
      <c r="P264" s="8"/>
      <c r="Q264" s="9"/>
      <c r="R264" s="7">
        <v>45097</v>
      </c>
      <c r="S264" s="8">
        <v>5.0499999999999996E-2</v>
      </c>
      <c r="T264" s="10">
        <v>1.0001402777777777</v>
      </c>
      <c r="U264" s="2"/>
      <c r="V264" s="2"/>
    </row>
    <row r="265" spans="2:22" x14ac:dyDescent="0.2">
      <c r="B265" s="40">
        <v>44113</v>
      </c>
      <c r="C265" s="41">
        <v>0.09</v>
      </c>
      <c r="E265" s="2"/>
      <c r="F265" s="2"/>
      <c r="G265" s="2"/>
      <c r="H265" s="2"/>
      <c r="I265" s="2"/>
      <c r="J265" s="2"/>
      <c r="K265" s="2"/>
      <c r="L265" s="2"/>
      <c r="M265" s="2"/>
      <c r="N265" s="2"/>
      <c r="O265" s="7"/>
      <c r="P265" s="8"/>
      <c r="Q265" s="9"/>
      <c r="R265" s="7">
        <v>45098</v>
      </c>
      <c r="S265" s="8">
        <v>5.0499999999999996E-2</v>
      </c>
      <c r="T265" s="10">
        <v>1.0001402777777777</v>
      </c>
      <c r="U265" s="2"/>
      <c r="V265" s="2"/>
    </row>
    <row r="266" spans="2:22" x14ac:dyDescent="0.2">
      <c r="B266" s="40">
        <v>44117</v>
      </c>
      <c r="C266" s="41">
        <v>0.09</v>
      </c>
      <c r="E266" s="2"/>
      <c r="F266" s="2"/>
      <c r="G266" s="2"/>
      <c r="H266" s="2"/>
      <c r="I266" s="2"/>
      <c r="J266" s="2"/>
      <c r="K266" s="2"/>
      <c r="L266" s="2"/>
      <c r="M266" s="2"/>
      <c r="N266" s="2"/>
      <c r="O266" s="7"/>
      <c r="P266" s="8"/>
      <c r="Q266" s="9"/>
      <c r="R266" s="7">
        <v>45099</v>
      </c>
      <c r="S266" s="8">
        <v>5.0499999999999996E-2</v>
      </c>
      <c r="T266" s="10">
        <v>1.0001402777777777</v>
      </c>
      <c r="U266" s="2"/>
      <c r="V266" s="2"/>
    </row>
    <row r="267" spans="2:22" x14ac:dyDescent="0.2">
      <c r="B267" s="40">
        <v>44118</v>
      </c>
      <c r="C267" s="41">
        <v>0.09</v>
      </c>
      <c r="E267" s="2"/>
      <c r="F267" s="2"/>
      <c r="G267" s="2"/>
      <c r="H267" s="2"/>
      <c r="I267" s="2"/>
      <c r="J267" s="2"/>
      <c r="K267" s="2"/>
      <c r="L267" s="2"/>
      <c r="M267" s="2"/>
      <c r="N267" s="2"/>
      <c r="O267" s="7"/>
      <c r="P267" s="8"/>
      <c r="Q267" s="9"/>
      <c r="R267" s="7">
        <v>45100</v>
      </c>
      <c r="S267" s="8">
        <v>5.0499999999999996E-2</v>
      </c>
      <c r="T267" s="10">
        <v>1.0001402777777777</v>
      </c>
      <c r="U267" s="2"/>
      <c r="V267" s="2"/>
    </row>
    <row r="268" spans="2:22" x14ac:dyDescent="0.2">
      <c r="B268" s="40">
        <v>44119</v>
      </c>
      <c r="C268" s="41">
        <v>0.1</v>
      </c>
      <c r="E268" s="2"/>
      <c r="F268" s="2"/>
      <c r="G268" s="2"/>
      <c r="H268" s="2"/>
      <c r="I268" s="2"/>
      <c r="J268" s="2"/>
      <c r="K268" s="2"/>
      <c r="L268" s="2"/>
      <c r="M268" s="2"/>
      <c r="N268" s="2"/>
      <c r="O268" s="7"/>
      <c r="P268" s="8"/>
      <c r="Q268" s="9"/>
      <c r="R268" s="7">
        <v>45101</v>
      </c>
      <c r="S268" s="8">
        <v>5.0499999999999996E-2</v>
      </c>
      <c r="T268" s="10">
        <v>1.0001402777777777</v>
      </c>
      <c r="U268" s="2"/>
      <c r="V268" s="2"/>
    </row>
    <row r="269" spans="2:22" x14ac:dyDescent="0.2">
      <c r="B269" s="40">
        <v>44120</v>
      </c>
      <c r="C269" s="41">
        <v>0.09</v>
      </c>
      <c r="E269" s="2"/>
      <c r="F269" s="2"/>
      <c r="G269" s="2"/>
      <c r="H269" s="2"/>
      <c r="I269" s="2"/>
      <c r="J269" s="2"/>
      <c r="K269" s="2"/>
      <c r="L269" s="2"/>
      <c r="M269" s="2"/>
      <c r="N269" s="2"/>
      <c r="O269" s="7"/>
      <c r="P269" s="8"/>
      <c r="Q269" s="9"/>
      <c r="R269" s="7">
        <v>45102</v>
      </c>
      <c r="S269" s="8">
        <v>5.0499999999999996E-2</v>
      </c>
      <c r="T269" s="10">
        <v>1.0001402777777777</v>
      </c>
      <c r="U269" s="2"/>
      <c r="V269" s="2"/>
    </row>
    <row r="270" spans="2:22" x14ac:dyDescent="0.2">
      <c r="B270" s="40">
        <v>44123</v>
      </c>
      <c r="C270" s="41">
        <v>0.09</v>
      </c>
      <c r="E270" s="2"/>
      <c r="F270" s="2"/>
      <c r="G270" s="2"/>
      <c r="H270" s="2"/>
      <c r="I270" s="2"/>
      <c r="J270" s="2"/>
      <c r="K270" s="2"/>
      <c r="L270" s="2"/>
      <c r="M270" s="2"/>
      <c r="N270" s="2"/>
      <c r="O270" s="7"/>
      <c r="P270" s="8"/>
      <c r="Q270" s="9"/>
      <c r="R270" s="7">
        <v>45103</v>
      </c>
      <c r="S270" s="8">
        <v>5.0499999999999996E-2</v>
      </c>
      <c r="T270" s="10">
        <v>1.0001402777777777</v>
      </c>
      <c r="U270" s="2"/>
      <c r="V270" s="2"/>
    </row>
    <row r="271" spans="2:22" x14ac:dyDescent="0.2">
      <c r="B271" s="40">
        <v>44124</v>
      </c>
      <c r="C271" s="41">
        <v>0.08</v>
      </c>
      <c r="E271" s="2"/>
      <c r="F271" s="2"/>
      <c r="G271" s="2"/>
      <c r="H271" s="2"/>
      <c r="I271" s="2"/>
      <c r="J271" s="2"/>
      <c r="K271" s="2"/>
      <c r="L271" s="2"/>
      <c r="M271" s="2"/>
      <c r="N271" s="2"/>
      <c r="O271" s="7"/>
      <c r="P271" s="8"/>
      <c r="Q271" s="9"/>
      <c r="R271" s="7">
        <v>45104</v>
      </c>
      <c r="S271" s="8">
        <v>5.0499999999999996E-2</v>
      </c>
      <c r="T271" s="10">
        <v>1.0001402777777777</v>
      </c>
      <c r="U271" s="2"/>
      <c r="V271" s="2"/>
    </row>
    <row r="272" spans="2:22" x14ac:dyDescent="0.2">
      <c r="B272" s="40">
        <v>44125</v>
      </c>
      <c r="C272" s="41">
        <v>7.0000000000000007E-2</v>
      </c>
      <c r="E272" s="2"/>
      <c r="F272" s="2"/>
      <c r="G272" s="2"/>
      <c r="H272" s="2"/>
      <c r="I272" s="2"/>
      <c r="J272" s="2"/>
      <c r="K272" s="2"/>
      <c r="L272" s="2"/>
      <c r="M272" s="2"/>
      <c r="N272" s="2"/>
      <c r="O272" s="7"/>
      <c r="P272" s="8"/>
      <c r="Q272" s="9"/>
      <c r="R272" s="7">
        <v>45105</v>
      </c>
      <c r="S272" s="8">
        <v>5.0599999999999999E-2</v>
      </c>
      <c r="T272" s="10">
        <v>1.0001405555555556</v>
      </c>
      <c r="U272" s="2"/>
      <c r="V272" s="2"/>
    </row>
    <row r="273" spans="2:22" x14ac:dyDescent="0.2">
      <c r="B273" s="40">
        <v>44126</v>
      </c>
      <c r="C273" s="41">
        <v>7.0000000000000007E-2</v>
      </c>
      <c r="E273" s="2"/>
      <c r="F273" s="2"/>
      <c r="G273" s="2"/>
      <c r="H273" s="2"/>
      <c r="I273" s="2"/>
      <c r="J273" s="2"/>
      <c r="K273" s="2"/>
      <c r="L273" s="2"/>
      <c r="M273" s="2"/>
      <c r="N273" s="2"/>
      <c r="O273" s="7"/>
      <c r="P273" s="8"/>
      <c r="Q273" s="9"/>
      <c r="R273" s="7">
        <v>45106</v>
      </c>
      <c r="S273" s="8">
        <v>5.0599999999999999E-2</v>
      </c>
      <c r="T273" s="10">
        <v>1.0001405555555556</v>
      </c>
      <c r="U273" s="2"/>
      <c r="V273" s="2"/>
    </row>
    <row r="274" spans="2:22" x14ac:dyDescent="0.2">
      <c r="B274" s="40">
        <v>44127</v>
      </c>
      <c r="C274" s="41">
        <v>0.08</v>
      </c>
      <c r="E274" s="2"/>
      <c r="F274" s="2"/>
      <c r="G274" s="2"/>
      <c r="H274" s="2"/>
      <c r="I274" s="2"/>
      <c r="J274" s="2"/>
      <c r="K274" s="2"/>
      <c r="L274" s="2"/>
      <c r="M274" s="2"/>
      <c r="N274" s="2"/>
      <c r="O274" s="7"/>
      <c r="P274" s="8"/>
      <c r="Q274" s="9"/>
      <c r="R274" s="7">
        <v>45107</v>
      </c>
      <c r="S274" s="8">
        <v>5.0900000000000001E-2</v>
      </c>
      <c r="T274" s="10">
        <v>1.0001413888888888</v>
      </c>
      <c r="U274" s="2"/>
      <c r="V274" s="2"/>
    </row>
    <row r="275" spans="2:22" x14ac:dyDescent="0.2">
      <c r="B275" s="40">
        <v>44130</v>
      </c>
      <c r="C275" s="41">
        <v>0.09</v>
      </c>
      <c r="E275" s="2"/>
      <c r="F275" s="2"/>
      <c r="G275" s="2"/>
      <c r="H275" s="2"/>
      <c r="I275" s="2"/>
      <c r="J275" s="2"/>
      <c r="K275" s="2"/>
      <c r="L275" s="2"/>
      <c r="M275" s="2"/>
      <c r="N275" s="2"/>
      <c r="O275" s="7"/>
      <c r="P275" s="8"/>
      <c r="Q275" s="9"/>
      <c r="R275" s="7">
        <v>45108</v>
      </c>
      <c r="S275" s="8">
        <v>5.0900000000000001E-2</v>
      </c>
      <c r="T275" s="10">
        <v>1.0001413888888888</v>
      </c>
      <c r="U275" s="2"/>
      <c r="V275" s="2"/>
    </row>
    <row r="276" spans="2:22" x14ac:dyDescent="0.2">
      <c r="B276" s="40">
        <v>44131</v>
      </c>
      <c r="C276" s="41">
        <v>0.09</v>
      </c>
      <c r="E276" s="2"/>
      <c r="F276" s="2"/>
      <c r="G276" s="2"/>
      <c r="H276" s="2"/>
      <c r="I276" s="2"/>
      <c r="J276" s="2"/>
      <c r="K276" s="2"/>
      <c r="L276" s="2"/>
      <c r="M276" s="2"/>
      <c r="N276" s="2"/>
      <c r="O276" s="7"/>
      <c r="P276" s="8"/>
      <c r="Q276" s="9"/>
      <c r="R276" s="7">
        <v>45109</v>
      </c>
      <c r="S276" s="8">
        <v>5.0900000000000001E-2</v>
      </c>
      <c r="T276" s="10">
        <v>1.0001413888888888</v>
      </c>
      <c r="U276" s="2"/>
      <c r="V276" s="2"/>
    </row>
    <row r="277" spans="2:22" x14ac:dyDescent="0.2">
      <c r="B277" s="40">
        <v>44132</v>
      </c>
      <c r="C277" s="41">
        <v>0.08</v>
      </c>
      <c r="E277" s="2"/>
      <c r="F277" s="2"/>
      <c r="G277" s="2"/>
      <c r="H277" s="2"/>
      <c r="I277" s="2"/>
      <c r="J277" s="2"/>
      <c r="K277" s="2"/>
      <c r="L277" s="2"/>
      <c r="M277" s="2"/>
      <c r="N277" s="2"/>
      <c r="O277" s="7"/>
      <c r="P277" s="8"/>
      <c r="Q277" s="9"/>
      <c r="R277" s="7">
        <v>45110</v>
      </c>
      <c r="S277" s="8">
        <v>5.0599999999999999E-2</v>
      </c>
      <c r="T277" s="10">
        <v>1.0001405555555556</v>
      </c>
      <c r="U277" s="2"/>
      <c r="V277" s="2"/>
    </row>
    <row r="278" spans="2:22" x14ac:dyDescent="0.2">
      <c r="B278" s="40">
        <v>44133</v>
      </c>
      <c r="C278" s="41">
        <v>0.09</v>
      </c>
      <c r="E278" s="2"/>
      <c r="F278" s="2"/>
      <c r="G278" s="2"/>
      <c r="H278" s="2"/>
      <c r="I278" s="2"/>
      <c r="J278" s="2"/>
      <c r="K278" s="2"/>
      <c r="L278" s="2"/>
      <c r="M278" s="2"/>
      <c r="N278" s="2"/>
      <c r="O278" s="7"/>
      <c r="P278" s="8"/>
      <c r="Q278" s="9"/>
      <c r="R278" s="7">
        <v>45111</v>
      </c>
      <c r="S278" s="8">
        <v>5.0599999999999999E-2</v>
      </c>
      <c r="T278" s="10">
        <v>1.0001405555555556</v>
      </c>
      <c r="U278" s="2"/>
      <c r="V278" s="2"/>
    </row>
    <row r="279" spans="2:22" x14ac:dyDescent="0.2">
      <c r="B279" s="40">
        <v>44134</v>
      </c>
      <c r="C279" s="41">
        <v>0.09</v>
      </c>
      <c r="E279" s="2"/>
      <c r="F279" s="2"/>
      <c r="G279" s="2"/>
      <c r="H279" s="2"/>
      <c r="I279" s="2"/>
      <c r="J279" s="2"/>
      <c r="K279" s="2"/>
      <c r="L279" s="2"/>
      <c r="M279" s="2"/>
      <c r="N279" s="2"/>
      <c r="O279" s="7"/>
      <c r="P279" s="8"/>
      <c r="Q279" s="9"/>
      <c r="R279" s="7">
        <v>45112</v>
      </c>
      <c r="S279" s="8">
        <v>5.0599999999999999E-2</v>
      </c>
      <c r="T279" s="10">
        <v>1.0001405555555556</v>
      </c>
      <c r="U279" s="2"/>
      <c r="V279" s="2"/>
    </row>
    <row r="280" spans="2:22" x14ac:dyDescent="0.2">
      <c r="B280" s="40">
        <v>44137</v>
      </c>
      <c r="C280" s="41">
        <v>0.11</v>
      </c>
      <c r="E280" s="2"/>
      <c r="F280" s="2"/>
      <c r="G280" s="2"/>
      <c r="H280" s="2"/>
      <c r="I280" s="2"/>
      <c r="J280" s="2"/>
      <c r="K280" s="2"/>
      <c r="L280" s="2"/>
      <c r="M280" s="2"/>
      <c r="N280" s="2"/>
      <c r="O280" s="7"/>
      <c r="P280" s="8"/>
      <c r="Q280" s="9"/>
      <c r="R280" s="7">
        <v>45113</v>
      </c>
      <c r="S280" s="8">
        <v>5.0599999999999999E-2</v>
      </c>
      <c r="T280" s="10">
        <v>1.0001405555555556</v>
      </c>
      <c r="U280" s="2"/>
      <c r="V280" s="2"/>
    </row>
    <row r="281" spans="2:22" x14ac:dyDescent="0.2">
      <c r="B281" s="40">
        <v>44138</v>
      </c>
      <c r="C281" s="41">
        <v>0.1</v>
      </c>
      <c r="E281" s="2"/>
      <c r="F281" s="2"/>
      <c r="G281" s="2"/>
      <c r="H281" s="2"/>
      <c r="I281" s="2"/>
      <c r="J281" s="2"/>
      <c r="K281" s="2"/>
      <c r="L281" s="2"/>
      <c r="M281" s="2"/>
      <c r="N281" s="2"/>
      <c r="O281" s="7"/>
      <c r="P281" s="8"/>
      <c r="Q281" s="9"/>
      <c r="R281" s="7">
        <v>45114</v>
      </c>
      <c r="S281" s="8">
        <v>5.0599999999999999E-2</v>
      </c>
      <c r="T281" s="10">
        <v>1.0001405555555556</v>
      </c>
      <c r="U281" s="2"/>
      <c r="V281" s="2"/>
    </row>
    <row r="282" spans="2:22" x14ac:dyDescent="0.2">
      <c r="B282" s="40">
        <v>44139</v>
      </c>
      <c r="C282" s="41">
        <v>0.1</v>
      </c>
      <c r="E282" s="2"/>
      <c r="F282" s="2"/>
      <c r="G282" s="2"/>
      <c r="H282" s="2"/>
      <c r="I282" s="2"/>
      <c r="J282" s="2"/>
      <c r="K282" s="2"/>
      <c r="L282" s="2"/>
      <c r="M282" s="2"/>
      <c r="N282" s="2"/>
      <c r="O282" s="7"/>
      <c r="P282" s="8"/>
      <c r="Q282" s="9"/>
      <c r="R282" s="7">
        <v>45115</v>
      </c>
      <c r="S282" s="8">
        <v>5.0599999999999999E-2</v>
      </c>
      <c r="T282" s="10">
        <v>1.0001405555555556</v>
      </c>
      <c r="U282" s="2"/>
      <c r="V282" s="2"/>
    </row>
    <row r="283" spans="2:22" x14ac:dyDescent="0.2">
      <c r="B283" s="40">
        <v>44140</v>
      </c>
      <c r="C283" s="41">
        <v>0.11</v>
      </c>
      <c r="E283" s="2"/>
      <c r="F283" s="2"/>
      <c r="G283" s="2"/>
      <c r="H283" s="2"/>
      <c r="I283" s="2"/>
      <c r="J283" s="2"/>
      <c r="K283" s="2"/>
      <c r="L283" s="2"/>
      <c r="M283" s="2"/>
      <c r="N283" s="2"/>
      <c r="O283" s="7"/>
      <c r="P283" s="8"/>
      <c r="Q283" s="9"/>
      <c r="R283" s="7">
        <v>45116</v>
      </c>
      <c r="S283" s="8">
        <v>5.0599999999999999E-2</v>
      </c>
      <c r="T283" s="10">
        <v>1.0001405555555556</v>
      </c>
      <c r="U283" s="2"/>
      <c r="V283" s="2"/>
    </row>
    <row r="284" spans="2:22" x14ac:dyDescent="0.2">
      <c r="B284" s="40">
        <v>44141</v>
      </c>
      <c r="C284" s="41">
        <v>0.1</v>
      </c>
      <c r="E284" s="2"/>
      <c r="F284" s="2"/>
      <c r="G284" s="2"/>
      <c r="H284" s="2"/>
      <c r="I284" s="2"/>
      <c r="J284" s="2"/>
      <c r="K284" s="2"/>
      <c r="L284" s="2"/>
      <c r="M284" s="2"/>
      <c r="N284" s="2"/>
      <c r="O284" s="7"/>
      <c r="P284" s="8"/>
      <c r="Q284" s="9"/>
      <c r="R284" s="7">
        <v>45117</v>
      </c>
      <c r="S284" s="8">
        <v>5.0599999999999999E-2</v>
      </c>
      <c r="T284" s="10">
        <v>1.0001405555555556</v>
      </c>
      <c r="U284" s="2"/>
      <c r="V284" s="2"/>
    </row>
    <row r="285" spans="2:22" x14ac:dyDescent="0.2">
      <c r="B285" s="40">
        <v>44144</v>
      </c>
      <c r="C285" s="41">
        <v>0.1</v>
      </c>
      <c r="E285" s="2"/>
      <c r="F285" s="2"/>
      <c r="G285" s="2"/>
      <c r="H285" s="2"/>
      <c r="I285" s="2"/>
      <c r="J285" s="2"/>
      <c r="K285" s="2"/>
      <c r="L285" s="2"/>
      <c r="M285" s="2"/>
      <c r="N285" s="2"/>
      <c r="O285" s="7"/>
      <c r="P285" s="8"/>
      <c r="Q285" s="9"/>
      <c r="R285" s="7">
        <v>45118</v>
      </c>
      <c r="S285" s="8">
        <v>5.0599999999999999E-2</v>
      </c>
      <c r="T285" s="10">
        <v>1.0001405555555556</v>
      </c>
      <c r="U285" s="2"/>
      <c r="V285" s="2"/>
    </row>
    <row r="286" spans="2:22" x14ac:dyDescent="0.2">
      <c r="B286" s="40">
        <v>44145</v>
      </c>
      <c r="C286" s="41">
        <v>0.1</v>
      </c>
      <c r="E286" s="2"/>
      <c r="F286" s="2"/>
      <c r="G286" s="2"/>
      <c r="H286" s="2"/>
      <c r="I286" s="2"/>
      <c r="J286" s="2"/>
      <c r="K286" s="2"/>
      <c r="L286" s="2"/>
      <c r="M286" s="2"/>
      <c r="N286" s="2"/>
      <c r="O286" s="7"/>
      <c r="P286" s="8"/>
      <c r="Q286" s="9"/>
      <c r="R286" s="7">
        <v>45119</v>
      </c>
      <c r="S286" s="8">
        <v>5.0499999999999996E-2</v>
      </c>
      <c r="T286" s="10">
        <v>1.0001402777777777</v>
      </c>
      <c r="U286" s="2"/>
      <c r="V286" s="2"/>
    </row>
    <row r="287" spans="2:22" x14ac:dyDescent="0.2">
      <c r="B287" s="40">
        <v>44147</v>
      </c>
      <c r="C287" s="41">
        <v>0.09</v>
      </c>
      <c r="E287" s="2"/>
      <c r="F287" s="2"/>
      <c r="G287" s="2"/>
      <c r="H287" s="2"/>
      <c r="I287" s="2"/>
      <c r="J287" s="2"/>
      <c r="K287" s="2"/>
      <c r="L287" s="2"/>
      <c r="M287" s="2"/>
      <c r="N287" s="2"/>
      <c r="O287" s="7"/>
      <c r="P287" s="8"/>
      <c r="Q287" s="9"/>
      <c r="R287" s="7">
        <v>45120</v>
      </c>
      <c r="S287" s="8">
        <v>5.0599999999999999E-2</v>
      </c>
      <c r="T287" s="10">
        <v>1.0001405555555556</v>
      </c>
      <c r="U287" s="2"/>
      <c r="V287" s="2"/>
    </row>
    <row r="288" spans="2:22" x14ac:dyDescent="0.2">
      <c r="B288" s="40">
        <v>44148</v>
      </c>
      <c r="C288" s="41">
        <v>0.09</v>
      </c>
      <c r="E288" s="2"/>
      <c r="F288" s="2"/>
      <c r="G288" s="2"/>
      <c r="H288" s="2"/>
      <c r="I288" s="2"/>
      <c r="J288" s="2"/>
      <c r="K288" s="2"/>
      <c r="L288" s="2"/>
      <c r="M288" s="2"/>
      <c r="N288" s="2"/>
      <c r="O288" s="7"/>
      <c r="P288" s="8"/>
      <c r="Q288" s="9"/>
      <c r="R288" s="7">
        <v>45121</v>
      </c>
      <c r="S288" s="8">
        <v>5.0499999999999996E-2</v>
      </c>
      <c r="T288" s="10">
        <v>1.0001402777777777</v>
      </c>
      <c r="U288" s="2"/>
      <c r="V288" s="2"/>
    </row>
    <row r="289" spans="2:22" x14ac:dyDescent="0.2">
      <c r="B289" s="40">
        <v>44151</v>
      </c>
      <c r="C289" s="41">
        <v>0.1</v>
      </c>
      <c r="E289" s="2"/>
      <c r="F289" s="2"/>
      <c r="G289" s="2"/>
      <c r="H289" s="2"/>
      <c r="I289" s="2"/>
      <c r="J289" s="2"/>
      <c r="K289" s="2"/>
      <c r="L289" s="2"/>
      <c r="M289" s="2"/>
      <c r="N289" s="2"/>
      <c r="O289" s="7"/>
      <c r="P289" s="8"/>
      <c r="Q289" s="9"/>
      <c r="R289" s="7">
        <v>45122</v>
      </c>
      <c r="S289" s="8">
        <v>5.0499999999999996E-2</v>
      </c>
      <c r="T289" s="10">
        <v>1.0001402777777777</v>
      </c>
      <c r="U289" s="2"/>
      <c r="V289" s="2"/>
    </row>
    <row r="290" spans="2:22" x14ac:dyDescent="0.2">
      <c r="B290" s="40">
        <v>44152</v>
      </c>
      <c r="C290" s="41">
        <v>0.09</v>
      </c>
      <c r="E290" s="2"/>
      <c r="F290" s="2"/>
      <c r="G290" s="2"/>
      <c r="H290" s="2"/>
      <c r="I290" s="2"/>
      <c r="J290" s="2"/>
      <c r="K290" s="2"/>
      <c r="L290" s="2"/>
      <c r="M290" s="2"/>
      <c r="N290" s="2"/>
      <c r="O290" s="7"/>
      <c r="P290" s="8"/>
      <c r="Q290" s="9"/>
      <c r="R290" s="7">
        <v>45123</v>
      </c>
      <c r="S290" s="8">
        <v>5.0499999999999996E-2</v>
      </c>
      <c r="T290" s="10">
        <v>1.0001402777777777</v>
      </c>
      <c r="U290" s="2"/>
      <c r="V290" s="2"/>
    </row>
    <row r="291" spans="2:22" x14ac:dyDescent="0.2">
      <c r="B291" s="40">
        <v>44153</v>
      </c>
      <c r="C291" s="41">
        <v>7.0000000000000007E-2</v>
      </c>
      <c r="E291" s="2"/>
      <c r="F291" s="2"/>
      <c r="G291" s="2"/>
      <c r="H291" s="2"/>
      <c r="I291" s="2"/>
      <c r="J291" s="2"/>
      <c r="K291" s="2"/>
      <c r="L291" s="2"/>
      <c r="M291" s="2"/>
      <c r="N291" s="2"/>
      <c r="O291" s="7"/>
      <c r="P291" s="8"/>
      <c r="Q291" s="9"/>
      <c r="R291" s="7">
        <v>45124</v>
      </c>
      <c r="S291" s="8">
        <v>5.0599999999999999E-2</v>
      </c>
      <c r="T291" s="10">
        <v>1.0001405555555556</v>
      </c>
      <c r="U291" s="2"/>
      <c r="V291" s="2"/>
    </row>
    <row r="292" spans="2:22" x14ac:dyDescent="0.2">
      <c r="B292" s="40">
        <v>44154</v>
      </c>
      <c r="C292" s="41">
        <v>0.06</v>
      </c>
      <c r="E292" s="2"/>
      <c r="F292" s="2"/>
      <c r="G292" s="2"/>
      <c r="H292" s="2"/>
      <c r="I292" s="2"/>
      <c r="J292" s="2"/>
      <c r="K292" s="2"/>
      <c r="L292" s="2"/>
      <c r="M292" s="2"/>
      <c r="N292" s="2"/>
      <c r="O292" s="7"/>
      <c r="P292" s="8"/>
      <c r="Q292" s="9"/>
      <c r="R292" s="7">
        <v>45125</v>
      </c>
      <c r="S292" s="8">
        <v>5.0599999999999999E-2</v>
      </c>
      <c r="T292" s="10">
        <v>1.0001405555555556</v>
      </c>
      <c r="U292" s="2"/>
      <c r="V292" s="2"/>
    </row>
    <row r="293" spans="2:22" x14ac:dyDescent="0.2">
      <c r="B293" s="40">
        <v>44155</v>
      </c>
      <c r="C293" s="41">
        <v>0.05</v>
      </c>
      <c r="E293" s="2"/>
      <c r="F293" s="2"/>
      <c r="G293" s="2"/>
      <c r="H293" s="2"/>
      <c r="I293" s="2"/>
      <c r="J293" s="2"/>
      <c r="K293" s="2"/>
      <c r="L293" s="2"/>
      <c r="M293" s="2"/>
      <c r="N293" s="2"/>
      <c r="O293" s="7"/>
      <c r="P293" s="8"/>
      <c r="Q293" s="9"/>
      <c r="R293" s="7">
        <v>45126</v>
      </c>
      <c r="S293" s="8">
        <v>5.0499999999999996E-2</v>
      </c>
      <c r="T293" s="10">
        <v>1.0001402777777777</v>
      </c>
      <c r="U293" s="2"/>
      <c r="V293" s="2"/>
    </row>
    <row r="294" spans="2:22" x14ac:dyDescent="0.2">
      <c r="B294" s="40">
        <v>44158</v>
      </c>
      <c r="C294" s="41">
        <v>0.05</v>
      </c>
      <c r="E294" s="2"/>
      <c r="F294" s="2"/>
      <c r="G294" s="2"/>
      <c r="H294" s="2"/>
      <c r="I294" s="2"/>
      <c r="J294" s="2"/>
      <c r="K294" s="2"/>
      <c r="L294" s="2"/>
      <c r="M294" s="2"/>
      <c r="N294" s="2"/>
      <c r="O294" s="7"/>
      <c r="P294" s="8"/>
      <c r="Q294" s="9"/>
      <c r="R294" s="7">
        <v>45127</v>
      </c>
      <c r="S294" s="8">
        <v>5.0599999999999999E-2</v>
      </c>
      <c r="T294" s="10">
        <v>1.0001405555555556</v>
      </c>
      <c r="U294" s="2"/>
      <c r="V294" s="2"/>
    </row>
    <row r="295" spans="2:22" x14ac:dyDescent="0.2">
      <c r="B295" s="40">
        <v>44159</v>
      </c>
      <c r="C295" s="41">
        <v>7.0000000000000007E-2</v>
      </c>
      <c r="E295" s="2"/>
      <c r="F295" s="2"/>
      <c r="G295" s="2"/>
      <c r="H295" s="2"/>
      <c r="I295" s="2"/>
      <c r="J295" s="2"/>
      <c r="K295" s="2"/>
      <c r="L295" s="2"/>
      <c r="M295" s="2"/>
      <c r="N295" s="2"/>
      <c r="O295" s="7"/>
      <c r="P295" s="8"/>
      <c r="Q295" s="9"/>
      <c r="R295" s="7">
        <v>45128</v>
      </c>
      <c r="S295" s="8">
        <v>5.0499999999999996E-2</v>
      </c>
      <c r="T295" s="10">
        <v>1.0001402777777777</v>
      </c>
      <c r="U295" s="2"/>
      <c r="V295" s="2"/>
    </row>
    <row r="296" spans="2:22" x14ac:dyDescent="0.2">
      <c r="B296" s="40">
        <v>44160</v>
      </c>
      <c r="C296" s="41">
        <v>0.08</v>
      </c>
      <c r="E296" s="2"/>
      <c r="F296" s="2"/>
      <c r="G296" s="2"/>
      <c r="H296" s="2"/>
      <c r="I296" s="2"/>
      <c r="J296" s="2"/>
      <c r="K296" s="2"/>
      <c r="L296" s="2"/>
      <c r="M296" s="2"/>
      <c r="N296" s="2"/>
      <c r="O296" s="7"/>
      <c r="P296" s="8"/>
      <c r="Q296" s="9"/>
      <c r="R296" s="7">
        <v>45129</v>
      </c>
      <c r="S296" s="8">
        <v>5.0499999999999996E-2</v>
      </c>
      <c r="T296" s="10">
        <v>1.0001402777777777</v>
      </c>
      <c r="U296" s="2"/>
      <c r="V296" s="2"/>
    </row>
    <row r="297" spans="2:22" x14ac:dyDescent="0.2">
      <c r="B297" s="40">
        <v>44162</v>
      </c>
      <c r="C297" s="41">
        <v>0.08</v>
      </c>
      <c r="E297" s="2"/>
      <c r="F297" s="2"/>
      <c r="G297" s="2"/>
      <c r="H297" s="2"/>
      <c r="I297" s="2"/>
      <c r="J297" s="2"/>
      <c r="K297" s="2"/>
      <c r="L297" s="2"/>
      <c r="M297" s="2"/>
      <c r="N297" s="2"/>
      <c r="O297" s="7"/>
      <c r="P297" s="8"/>
      <c r="Q297" s="9"/>
      <c r="R297" s="7">
        <v>45130</v>
      </c>
      <c r="S297" s="8">
        <v>5.0499999999999996E-2</v>
      </c>
      <c r="T297" s="10">
        <v>1.0001402777777777</v>
      </c>
      <c r="U297" s="2"/>
      <c r="V297" s="2"/>
    </row>
    <row r="298" spans="2:22" x14ac:dyDescent="0.2">
      <c r="B298" s="40">
        <v>44165</v>
      </c>
      <c r="C298" s="41">
        <v>0.09</v>
      </c>
      <c r="E298" s="2"/>
      <c r="F298" s="2"/>
      <c r="G298" s="2"/>
      <c r="H298" s="2"/>
      <c r="I298" s="2"/>
      <c r="J298" s="2"/>
      <c r="K298" s="2"/>
      <c r="L298" s="2"/>
      <c r="M298" s="2"/>
      <c r="N298" s="2"/>
      <c r="O298" s="7"/>
      <c r="P298" s="8"/>
      <c r="Q298" s="9"/>
      <c r="R298" s="7">
        <v>45131</v>
      </c>
      <c r="S298" s="8">
        <v>5.0499999999999996E-2</v>
      </c>
      <c r="T298" s="10">
        <v>1.0001402777777777</v>
      </c>
      <c r="U298" s="2"/>
      <c r="V298" s="2"/>
    </row>
    <row r="299" spans="2:22" x14ac:dyDescent="0.2">
      <c r="B299" s="40">
        <v>44166</v>
      </c>
      <c r="C299" s="41">
        <v>0.08</v>
      </c>
      <c r="E299" s="2"/>
      <c r="F299" s="2"/>
      <c r="G299" s="2"/>
      <c r="H299" s="2"/>
      <c r="I299" s="2"/>
      <c r="J299" s="2"/>
      <c r="K299" s="2"/>
      <c r="L299" s="2"/>
      <c r="M299" s="2"/>
      <c r="N299" s="2"/>
      <c r="O299" s="7"/>
      <c r="P299" s="8"/>
      <c r="Q299" s="9"/>
      <c r="R299" s="7">
        <v>45132</v>
      </c>
      <c r="S299" s="8">
        <v>5.0599999999999999E-2</v>
      </c>
      <c r="T299" s="10">
        <v>1.0001405555555556</v>
      </c>
      <c r="U299" s="2"/>
      <c r="V299" s="2"/>
    </row>
    <row r="300" spans="2:22" x14ac:dyDescent="0.2">
      <c r="B300" s="40">
        <v>44167</v>
      </c>
      <c r="C300" s="41">
        <v>0.08</v>
      </c>
      <c r="E300" s="2"/>
      <c r="F300" s="2"/>
      <c r="G300" s="2"/>
      <c r="H300" s="2"/>
      <c r="I300" s="2"/>
      <c r="J300" s="2"/>
      <c r="K300" s="2"/>
      <c r="L300" s="2"/>
      <c r="M300" s="2"/>
      <c r="N300" s="2"/>
      <c r="O300" s="7"/>
      <c r="P300" s="8"/>
      <c r="Q300" s="9"/>
      <c r="R300" s="7">
        <v>45133</v>
      </c>
      <c r="S300" s="8">
        <v>5.0599999999999999E-2</v>
      </c>
      <c r="T300" s="10">
        <v>1.0001405555555556</v>
      </c>
      <c r="U300" s="2"/>
      <c r="V300" s="2"/>
    </row>
    <row r="301" spans="2:22" x14ac:dyDescent="0.2">
      <c r="B301" s="40">
        <v>44168</v>
      </c>
      <c r="C301" s="41">
        <v>0.08</v>
      </c>
      <c r="E301" s="2"/>
      <c r="F301" s="2"/>
      <c r="G301" s="2"/>
      <c r="H301" s="2"/>
      <c r="I301" s="2"/>
      <c r="J301" s="2"/>
      <c r="K301" s="2"/>
      <c r="L301" s="2"/>
      <c r="M301" s="2"/>
      <c r="N301" s="2"/>
      <c r="O301" s="7"/>
      <c r="P301" s="8"/>
      <c r="Q301" s="9"/>
      <c r="R301" s="7">
        <v>45134</v>
      </c>
      <c r="S301" s="8">
        <v>5.3099999999999994E-2</v>
      </c>
      <c r="T301" s="10">
        <v>1.0001475</v>
      </c>
      <c r="U301" s="2"/>
      <c r="V301" s="2"/>
    </row>
    <row r="302" spans="2:22" x14ac:dyDescent="0.2">
      <c r="B302" s="40">
        <v>44169</v>
      </c>
      <c r="C302" s="41">
        <v>0.09</v>
      </c>
      <c r="E302" s="2"/>
      <c r="F302" s="2"/>
      <c r="G302" s="2"/>
      <c r="H302" s="2"/>
      <c r="I302" s="2"/>
      <c r="J302" s="2"/>
      <c r="K302" s="2"/>
      <c r="L302" s="2"/>
      <c r="M302" s="2"/>
      <c r="N302" s="2"/>
      <c r="O302" s="7"/>
      <c r="P302" s="8"/>
      <c r="Q302" s="9"/>
      <c r="R302" s="7">
        <v>45135</v>
      </c>
      <c r="S302" s="8">
        <v>5.2999999999999999E-2</v>
      </c>
      <c r="T302" s="10">
        <v>1.0001472222222223</v>
      </c>
      <c r="U302" s="2"/>
      <c r="V302" s="2"/>
    </row>
    <row r="303" spans="2:22" x14ac:dyDescent="0.2">
      <c r="B303" s="40">
        <v>44172</v>
      </c>
      <c r="C303" s="41">
        <v>0.08</v>
      </c>
      <c r="E303" s="2"/>
      <c r="F303" s="2"/>
      <c r="G303" s="2"/>
      <c r="H303" s="2"/>
      <c r="I303" s="2"/>
      <c r="J303" s="2"/>
      <c r="K303" s="2"/>
      <c r="L303" s="2"/>
      <c r="M303" s="2"/>
      <c r="N303" s="2"/>
      <c r="O303" s="7"/>
      <c r="P303" s="8"/>
      <c r="Q303" s="9"/>
      <c r="R303" s="7">
        <v>45136</v>
      </c>
      <c r="S303" s="8">
        <v>5.2999999999999999E-2</v>
      </c>
      <c r="T303" s="10">
        <v>1.0001472222222223</v>
      </c>
      <c r="U303" s="2"/>
      <c r="V303" s="2"/>
    </row>
    <row r="304" spans="2:22" x14ac:dyDescent="0.2">
      <c r="B304" s="40">
        <v>44173</v>
      </c>
      <c r="C304" s="41">
        <v>7.0000000000000007E-2</v>
      </c>
      <c r="E304" s="2"/>
      <c r="F304" s="2"/>
      <c r="G304" s="2"/>
      <c r="H304" s="2"/>
      <c r="I304" s="2"/>
      <c r="J304" s="2"/>
      <c r="K304" s="2"/>
      <c r="L304" s="2"/>
      <c r="M304" s="2"/>
      <c r="N304" s="2"/>
      <c r="O304" s="7"/>
      <c r="P304" s="8"/>
      <c r="Q304" s="9"/>
      <c r="R304" s="7">
        <v>45137</v>
      </c>
      <c r="S304" s="8">
        <v>5.2999999999999999E-2</v>
      </c>
      <c r="T304" s="10">
        <v>1.0001472222222223</v>
      </c>
      <c r="U304" s="2"/>
      <c r="V304" s="2"/>
    </row>
    <row r="305" spans="2:22" x14ac:dyDescent="0.2">
      <c r="B305" s="40">
        <v>44174</v>
      </c>
      <c r="C305" s="41">
        <v>0.08</v>
      </c>
      <c r="E305" s="2"/>
      <c r="F305" s="2"/>
      <c r="G305" s="2"/>
      <c r="H305" s="2"/>
      <c r="I305" s="2"/>
      <c r="J305" s="2"/>
      <c r="K305" s="2"/>
      <c r="L305" s="2"/>
      <c r="M305" s="2"/>
      <c r="N305" s="2"/>
      <c r="O305" s="7"/>
      <c r="P305" s="8"/>
      <c r="Q305" s="9"/>
      <c r="R305" s="7">
        <v>45138</v>
      </c>
      <c r="S305" s="8">
        <v>5.3099999999999994E-2</v>
      </c>
      <c r="T305" s="10">
        <v>1.0001475</v>
      </c>
      <c r="U305" s="2"/>
      <c r="V305" s="2"/>
    </row>
    <row r="306" spans="2:22" x14ac:dyDescent="0.2">
      <c r="B306" s="40">
        <v>44175</v>
      </c>
      <c r="C306" s="41">
        <v>0.08</v>
      </c>
      <c r="E306" s="2"/>
      <c r="F306" s="2"/>
      <c r="G306" s="2"/>
      <c r="H306" s="2"/>
      <c r="I306" s="2"/>
      <c r="J306" s="2"/>
      <c r="K306" s="2"/>
      <c r="L306" s="2"/>
      <c r="M306" s="2"/>
      <c r="N306" s="2"/>
      <c r="O306" s="7"/>
      <c r="P306" s="8"/>
      <c r="Q306" s="9"/>
      <c r="R306" s="7">
        <v>45139</v>
      </c>
      <c r="S306" s="8">
        <v>5.3099999999999994E-2</v>
      </c>
      <c r="T306" s="10">
        <v>1.0001475</v>
      </c>
      <c r="U306" s="2"/>
      <c r="V306" s="2"/>
    </row>
    <row r="307" spans="2:22" x14ac:dyDescent="0.2">
      <c r="B307" s="40">
        <v>44176</v>
      </c>
      <c r="C307" s="41">
        <v>0.08</v>
      </c>
      <c r="E307" s="2"/>
      <c r="F307" s="2"/>
      <c r="G307" s="2"/>
      <c r="H307" s="2"/>
      <c r="I307" s="2"/>
      <c r="J307" s="2"/>
      <c r="K307" s="2"/>
      <c r="L307" s="2"/>
      <c r="M307" s="2"/>
      <c r="N307" s="2"/>
      <c r="O307" s="7"/>
      <c r="P307" s="8"/>
      <c r="Q307" s="9"/>
      <c r="R307" s="7">
        <v>45140</v>
      </c>
      <c r="S307" s="8">
        <v>5.2999999999999999E-2</v>
      </c>
      <c r="T307" s="10">
        <v>1.0001472222222223</v>
      </c>
      <c r="U307" s="2"/>
      <c r="V307" s="2"/>
    </row>
    <row r="308" spans="2:22" x14ac:dyDescent="0.2">
      <c r="B308" s="40">
        <v>44179</v>
      </c>
      <c r="C308" s="41">
        <v>0.08</v>
      </c>
      <c r="E308" s="2"/>
      <c r="F308" s="2"/>
      <c r="G308" s="2"/>
      <c r="H308" s="2"/>
      <c r="I308" s="2"/>
      <c r="J308" s="2"/>
      <c r="K308" s="2"/>
      <c r="L308" s="2"/>
      <c r="M308" s="2"/>
      <c r="N308" s="2"/>
      <c r="O308" s="7"/>
      <c r="P308" s="8"/>
      <c r="Q308" s="9"/>
      <c r="R308" s="7">
        <v>45141</v>
      </c>
      <c r="S308" s="8">
        <v>5.2999999999999999E-2</v>
      </c>
      <c r="T308" s="10">
        <v>1.0001472222222223</v>
      </c>
      <c r="U308" s="2"/>
      <c r="V308" s="2"/>
    </row>
    <row r="309" spans="2:22" x14ac:dyDescent="0.2">
      <c r="B309" s="40">
        <v>44180</v>
      </c>
      <c r="C309" s="41">
        <v>0.09</v>
      </c>
      <c r="E309" s="2"/>
      <c r="F309" s="2"/>
      <c r="G309" s="2"/>
      <c r="H309" s="2"/>
      <c r="I309" s="2"/>
      <c r="J309" s="2"/>
      <c r="K309" s="2"/>
      <c r="L309" s="2"/>
      <c r="M309" s="2"/>
      <c r="N309" s="2"/>
      <c r="O309" s="7"/>
      <c r="P309" s="8"/>
      <c r="Q309" s="9"/>
      <c r="R309" s="7">
        <v>45142</v>
      </c>
      <c r="S309" s="8">
        <v>5.2999999999999999E-2</v>
      </c>
      <c r="T309" s="10">
        <v>1.0001472222222223</v>
      </c>
      <c r="U309" s="2"/>
      <c r="V309" s="2"/>
    </row>
    <row r="310" spans="2:22" x14ac:dyDescent="0.2">
      <c r="B310" s="40">
        <v>44181</v>
      </c>
      <c r="C310" s="41">
        <v>0.09</v>
      </c>
      <c r="E310" s="2"/>
      <c r="F310" s="2"/>
      <c r="G310" s="2"/>
      <c r="H310" s="2"/>
      <c r="I310" s="2"/>
      <c r="J310" s="2"/>
      <c r="K310" s="2"/>
      <c r="L310" s="2"/>
      <c r="M310" s="2"/>
      <c r="N310" s="2"/>
      <c r="O310" s="7"/>
      <c r="P310" s="8"/>
      <c r="Q310" s="9"/>
      <c r="R310" s="7">
        <v>45143</v>
      </c>
      <c r="S310" s="8">
        <v>5.2999999999999999E-2</v>
      </c>
      <c r="T310" s="10">
        <v>1.0001472222222223</v>
      </c>
      <c r="U310" s="2"/>
      <c r="V310" s="2"/>
    </row>
    <row r="311" spans="2:22" x14ac:dyDescent="0.2">
      <c r="B311" s="40">
        <v>44182</v>
      </c>
      <c r="C311" s="41">
        <v>0.09</v>
      </c>
      <c r="E311" s="2"/>
      <c r="F311" s="2"/>
      <c r="G311" s="2"/>
      <c r="H311" s="2"/>
      <c r="I311" s="2"/>
      <c r="J311" s="2"/>
      <c r="K311" s="2"/>
      <c r="L311" s="2"/>
      <c r="M311" s="2"/>
      <c r="N311" s="2"/>
      <c r="O311" s="7"/>
      <c r="P311" s="8"/>
      <c r="Q311" s="9"/>
      <c r="R311" s="7">
        <v>45144</v>
      </c>
      <c r="S311" s="8">
        <v>5.2999999999999999E-2</v>
      </c>
      <c r="T311" s="10">
        <v>1.0001472222222223</v>
      </c>
      <c r="U311" s="2"/>
      <c r="V311" s="2"/>
    </row>
    <row r="312" spans="2:22" x14ac:dyDescent="0.2">
      <c r="B312" s="40">
        <v>44183</v>
      </c>
      <c r="C312" s="41">
        <v>0.09</v>
      </c>
      <c r="E312" s="2"/>
      <c r="F312" s="2"/>
      <c r="G312" s="2"/>
      <c r="H312" s="2"/>
      <c r="I312" s="2"/>
      <c r="J312" s="2"/>
      <c r="K312" s="2"/>
      <c r="L312" s="2"/>
      <c r="M312" s="2"/>
      <c r="N312" s="2"/>
      <c r="O312" s="7"/>
      <c r="P312" s="8"/>
      <c r="Q312" s="9"/>
      <c r="R312" s="7">
        <v>45145</v>
      </c>
      <c r="S312" s="8">
        <v>5.2999999999999999E-2</v>
      </c>
      <c r="T312" s="10">
        <v>1.0001472222222223</v>
      </c>
      <c r="U312" s="2"/>
      <c r="V312" s="2"/>
    </row>
    <row r="313" spans="2:22" x14ac:dyDescent="0.2">
      <c r="B313" s="40">
        <v>44186</v>
      </c>
      <c r="C313" s="41">
        <v>0.09</v>
      </c>
      <c r="E313" s="2"/>
      <c r="F313" s="2"/>
      <c r="G313" s="2"/>
      <c r="H313" s="2"/>
      <c r="I313" s="2"/>
      <c r="J313" s="2"/>
      <c r="K313" s="2"/>
      <c r="L313" s="2"/>
      <c r="M313" s="2"/>
      <c r="N313" s="2"/>
      <c r="O313" s="7"/>
      <c r="P313" s="8"/>
      <c r="Q313" s="9"/>
      <c r="R313" s="7">
        <v>45146</v>
      </c>
      <c r="S313" s="8">
        <v>5.2999999999999999E-2</v>
      </c>
      <c r="T313" s="10">
        <v>1.0001472222222223</v>
      </c>
      <c r="U313" s="2"/>
      <c r="V313" s="2"/>
    </row>
    <row r="314" spans="2:22" x14ac:dyDescent="0.2">
      <c r="B314" s="40">
        <v>44187</v>
      </c>
      <c r="C314" s="41">
        <v>7.0000000000000007E-2</v>
      </c>
      <c r="E314" s="2"/>
      <c r="F314" s="2"/>
      <c r="G314" s="2"/>
      <c r="H314" s="2"/>
      <c r="I314" s="2"/>
      <c r="J314" s="2"/>
      <c r="K314" s="2"/>
      <c r="L314" s="2"/>
      <c r="M314" s="2"/>
      <c r="N314" s="2"/>
      <c r="O314" s="7"/>
      <c r="P314" s="8"/>
      <c r="Q314" s="9"/>
      <c r="R314" s="7">
        <v>45147</v>
      </c>
      <c r="S314" s="8">
        <v>5.2999999999999999E-2</v>
      </c>
      <c r="T314" s="10">
        <v>1.0001472222222223</v>
      </c>
      <c r="U314" s="2"/>
      <c r="V314" s="2"/>
    </row>
    <row r="315" spans="2:22" x14ac:dyDescent="0.2">
      <c r="B315" s="40">
        <v>44188</v>
      </c>
      <c r="C315" s="41">
        <v>0.06</v>
      </c>
      <c r="E315" s="2"/>
      <c r="F315" s="2"/>
      <c r="G315" s="2"/>
      <c r="H315" s="2"/>
      <c r="I315" s="2"/>
      <c r="J315" s="2"/>
      <c r="K315" s="2"/>
      <c r="L315" s="2"/>
      <c r="M315" s="2"/>
      <c r="N315" s="2"/>
      <c r="O315" s="7"/>
      <c r="P315" s="8"/>
      <c r="Q315" s="9"/>
      <c r="R315" s="7">
        <v>45148</v>
      </c>
      <c r="S315" s="8">
        <v>5.2999999999999999E-2</v>
      </c>
      <c r="T315" s="10">
        <v>1.0001472222222223</v>
      </c>
      <c r="U315" s="2"/>
      <c r="V315" s="2"/>
    </row>
    <row r="316" spans="2:22" x14ac:dyDescent="0.2">
      <c r="B316" s="40">
        <v>44189</v>
      </c>
      <c r="C316" s="41">
        <v>0.08</v>
      </c>
      <c r="E316" s="2"/>
      <c r="F316" s="2"/>
      <c r="G316" s="2"/>
      <c r="H316" s="2"/>
      <c r="I316" s="2"/>
      <c r="J316" s="2"/>
      <c r="K316" s="2"/>
      <c r="L316" s="2"/>
      <c r="M316" s="2"/>
      <c r="N316" s="2"/>
      <c r="O316" s="7"/>
      <c r="P316" s="8"/>
      <c r="Q316" s="9"/>
      <c r="R316" s="7">
        <v>45149</v>
      </c>
      <c r="S316" s="8">
        <v>5.2999999999999999E-2</v>
      </c>
      <c r="T316" s="10">
        <v>1.0001472222222223</v>
      </c>
      <c r="U316" s="2"/>
      <c r="V316" s="2"/>
    </row>
    <row r="317" spans="2:22" x14ac:dyDescent="0.2">
      <c r="B317" s="40">
        <v>44193</v>
      </c>
      <c r="C317" s="41">
        <v>0.09</v>
      </c>
      <c r="E317" s="2"/>
      <c r="F317" s="2"/>
      <c r="G317" s="2"/>
      <c r="H317" s="2"/>
      <c r="I317" s="2"/>
      <c r="J317" s="2"/>
      <c r="K317" s="2"/>
      <c r="L317" s="2"/>
      <c r="M317" s="2"/>
      <c r="N317" s="2"/>
      <c r="O317" s="7"/>
      <c r="P317" s="8"/>
      <c r="Q317" s="9"/>
      <c r="R317" s="7">
        <v>45150</v>
      </c>
      <c r="S317" s="8">
        <v>5.2999999999999999E-2</v>
      </c>
      <c r="T317" s="10">
        <v>1.0001472222222223</v>
      </c>
      <c r="U317" s="2"/>
      <c r="V317" s="2"/>
    </row>
    <row r="318" spans="2:22" x14ac:dyDescent="0.2">
      <c r="B318" s="40">
        <v>44194</v>
      </c>
      <c r="C318" s="41">
        <v>0.1</v>
      </c>
      <c r="E318" s="2"/>
      <c r="F318" s="2"/>
      <c r="G318" s="2"/>
      <c r="H318" s="2"/>
      <c r="I318" s="2"/>
      <c r="J318" s="2"/>
      <c r="K318" s="2"/>
      <c r="L318" s="2"/>
      <c r="M318" s="2"/>
      <c r="N318" s="2"/>
      <c r="O318" s="7"/>
      <c r="P318" s="8"/>
      <c r="Q318" s="9"/>
      <c r="R318" s="7">
        <v>45151</v>
      </c>
      <c r="S318" s="8">
        <v>5.2999999999999999E-2</v>
      </c>
      <c r="T318" s="10">
        <v>1.0001472222222223</v>
      </c>
      <c r="U318" s="2"/>
      <c r="V318" s="2"/>
    </row>
    <row r="319" spans="2:22" x14ac:dyDescent="0.2">
      <c r="B319" s="40">
        <v>44195</v>
      </c>
      <c r="C319" s="41">
        <v>0.09</v>
      </c>
      <c r="E319" s="2"/>
      <c r="F319" s="2"/>
      <c r="G319" s="2"/>
      <c r="H319" s="2"/>
      <c r="I319" s="2"/>
      <c r="J319" s="2"/>
      <c r="K319" s="2"/>
      <c r="L319" s="2"/>
      <c r="M319" s="2"/>
      <c r="N319" s="2"/>
      <c r="O319" s="7"/>
      <c r="P319" s="8"/>
      <c r="Q319" s="9"/>
      <c r="R319" s="7">
        <v>45152</v>
      </c>
      <c r="S319" s="8">
        <v>5.2999999999999999E-2</v>
      </c>
      <c r="T319" s="10">
        <v>1.0001472222222223</v>
      </c>
      <c r="U319" s="2"/>
      <c r="V319" s="2"/>
    </row>
    <row r="320" spans="2:22" x14ac:dyDescent="0.2">
      <c r="B320" s="40">
        <v>44196</v>
      </c>
      <c r="C320" s="41">
        <v>7.0000000000000007E-2</v>
      </c>
      <c r="E320" s="2"/>
      <c r="F320" s="2"/>
      <c r="G320" s="2"/>
      <c r="H320" s="2"/>
      <c r="I320" s="2"/>
      <c r="J320" s="2"/>
      <c r="K320" s="2"/>
      <c r="L320" s="2"/>
      <c r="M320" s="2"/>
      <c r="N320" s="2"/>
      <c r="O320" s="7"/>
      <c r="P320" s="8"/>
      <c r="Q320" s="9"/>
      <c r="R320" s="7">
        <v>45153</v>
      </c>
      <c r="S320" s="8">
        <v>5.2999999999999999E-2</v>
      </c>
      <c r="T320" s="10">
        <v>1.0001472222222223</v>
      </c>
      <c r="U320" s="2"/>
      <c r="V320" s="2"/>
    </row>
    <row r="321" spans="2:22" x14ac:dyDescent="0.2">
      <c r="B321" s="40">
        <v>44200</v>
      </c>
      <c r="C321" s="41">
        <v>0.1</v>
      </c>
      <c r="E321" s="2"/>
      <c r="F321" s="2"/>
      <c r="G321" s="2"/>
      <c r="H321" s="2"/>
      <c r="I321" s="2"/>
      <c r="J321" s="2"/>
      <c r="K321" s="2"/>
      <c r="L321" s="2"/>
      <c r="M321" s="2"/>
      <c r="N321" s="2"/>
      <c r="O321" s="7"/>
      <c r="P321" s="8"/>
      <c r="Q321" s="9"/>
      <c r="R321" s="7">
        <v>45154</v>
      </c>
      <c r="S321" s="8">
        <v>5.2999999999999999E-2</v>
      </c>
      <c r="T321" s="10">
        <v>1.0001472222222223</v>
      </c>
      <c r="U321" s="2"/>
      <c r="V321" s="2"/>
    </row>
    <row r="322" spans="2:22" x14ac:dyDescent="0.2">
      <c r="B322" s="40">
        <v>44201</v>
      </c>
      <c r="C322" s="41">
        <v>0.11</v>
      </c>
      <c r="E322" s="2"/>
      <c r="F322" s="2"/>
      <c r="G322" s="2"/>
      <c r="H322" s="2"/>
      <c r="I322" s="2"/>
      <c r="J322" s="2"/>
      <c r="K322" s="2"/>
      <c r="L322" s="2"/>
      <c r="M322" s="2"/>
      <c r="N322" s="2"/>
      <c r="O322" s="7"/>
      <c r="P322" s="8"/>
      <c r="Q322" s="9"/>
      <c r="R322" s="7">
        <v>45155</v>
      </c>
      <c r="S322" s="8">
        <v>5.2999999999999999E-2</v>
      </c>
      <c r="T322" s="10">
        <v>1.0001472222222223</v>
      </c>
      <c r="U322" s="2"/>
      <c r="V322" s="2"/>
    </row>
    <row r="323" spans="2:22" x14ac:dyDescent="0.2">
      <c r="B323" s="40">
        <v>44202</v>
      </c>
      <c r="C323" s="41">
        <v>0.1</v>
      </c>
      <c r="E323" s="2"/>
      <c r="F323" s="2"/>
      <c r="G323" s="2"/>
      <c r="H323" s="2"/>
      <c r="I323" s="2"/>
      <c r="J323" s="2"/>
      <c r="K323" s="2"/>
      <c r="L323" s="2"/>
      <c r="M323" s="2"/>
      <c r="N323" s="2"/>
      <c r="O323" s="7"/>
      <c r="P323" s="8"/>
      <c r="Q323" s="9"/>
      <c r="R323" s="7">
        <v>45156</v>
      </c>
      <c r="S323" s="8">
        <v>5.2999999999999999E-2</v>
      </c>
      <c r="T323" s="10">
        <v>1.0001472222222223</v>
      </c>
      <c r="U323" s="2"/>
      <c r="V323" s="2"/>
    </row>
    <row r="324" spans="2:22" x14ac:dyDescent="0.2">
      <c r="B324" s="40">
        <v>44203</v>
      </c>
      <c r="C324" s="41">
        <v>0.1</v>
      </c>
      <c r="E324" s="2"/>
      <c r="F324" s="2"/>
      <c r="G324" s="2"/>
      <c r="H324" s="2"/>
      <c r="I324" s="2"/>
      <c r="J324" s="2"/>
      <c r="K324" s="2"/>
      <c r="L324" s="2"/>
      <c r="M324" s="2"/>
      <c r="N324" s="2"/>
      <c r="O324" s="7"/>
      <c r="P324" s="8"/>
      <c r="Q324" s="9"/>
      <c r="R324" s="7">
        <v>45157</v>
      </c>
      <c r="S324" s="8">
        <v>5.2999999999999999E-2</v>
      </c>
      <c r="T324" s="10">
        <v>1.0001472222222223</v>
      </c>
      <c r="U324" s="2"/>
      <c r="V324" s="2"/>
    </row>
    <row r="325" spans="2:22" x14ac:dyDescent="0.2">
      <c r="B325" s="40">
        <v>44204</v>
      </c>
      <c r="C325" s="41">
        <v>0.09</v>
      </c>
      <c r="E325" s="2"/>
      <c r="F325" s="2"/>
      <c r="G325" s="2"/>
      <c r="H325" s="2"/>
      <c r="I325" s="2"/>
      <c r="J325" s="2"/>
      <c r="K325" s="2"/>
      <c r="L325" s="2"/>
      <c r="M325" s="2"/>
      <c r="N325" s="2"/>
      <c r="O325" s="7"/>
      <c r="P325" s="8"/>
      <c r="Q325" s="9"/>
      <c r="R325" s="7">
        <v>45158</v>
      </c>
      <c r="S325" s="8">
        <v>5.2999999999999999E-2</v>
      </c>
      <c r="T325" s="10">
        <v>1.0001472222222223</v>
      </c>
      <c r="U325" s="2"/>
      <c r="V325" s="2"/>
    </row>
    <row r="326" spans="2:22" x14ac:dyDescent="0.2">
      <c r="B326" s="40">
        <v>44207</v>
      </c>
      <c r="C326" s="41">
        <v>0.09</v>
      </c>
      <c r="E326" s="2"/>
      <c r="F326" s="2"/>
      <c r="G326" s="2"/>
      <c r="H326" s="2"/>
      <c r="I326" s="2"/>
      <c r="J326" s="2"/>
      <c r="K326" s="2"/>
      <c r="L326" s="2"/>
      <c r="M326" s="2"/>
      <c r="N326" s="2"/>
      <c r="O326" s="7"/>
      <c r="P326" s="8"/>
      <c r="Q326" s="9"/>
      <c r="R326" s="7">
        <v>45159</v>
      </c>
      <c r="S326" s="8">
        <v>5.2999999999999999E-2</v>
      </c>
      <c r="T326" s="10">
        <v>1.0001472222222223</v>
      </c>
      <c r="U326" s="2"/>
      <c r="V326" s="2"/>
    </row>
    <row r="327" spans="2:22" x14ac:dyDescent="0.2">
      <c r="B327" s="40">
        <v>44208</v>
      </c>
      <c r="C327" s="41">
        <v>0.08</v>
      </c>
      <c r="E327" s="2"/>
      <c r="F327" s="2"/>
      <c r="G327" s="2"/>
      <c r="H327" s="2"/>
      <c r="I327" s="2"/>
      <c r="J327" s="2"/>
      <c r="K327" s="2"/>
      <c r="L327" s="2"/>
      <c r="M327" s="2"/>
      <c r="N327" s="2"/>
      <c r="O327" s="7"/>
      <c r="P327" s="8"/>
      <c r="Q327" s="9"/>
      <c r="R327" s="7">
        <v>45160</v>
      </c>
      <c r="S327" s="8">
        <v>5.2999999999999999E-2</v>
      </c>
      <c r="T327" s="10">
        <v>1.0001472222222223</v>
      </c>
      <c r="U327" s="2"/>
      <c r="V327" s="2"/>
    </row>
    <row r="328" spans="2:22" x14ac:dyDescent="0.2">
      <c r="B328" s="40">
        <v>44209</v>
      </c>
      <c r="C328" s="41">
        <v>0.08</v>
      </c>
      <c r="E328" s="2"/>
      <c r="F328" s="2"/>
      <c r="G328" s="2"/>
      <c r="H328" s="2"/>
      <c r="I328" s="2"/>
      <c r="J328" s="2"/>
      <c r="K328" s="2"/>
      <c r="L328" s="2"/>
      <c r="M328" s="2"/>
      <c r="N328" s="2"/>
      <c r="O328" s="7"/>
      <c r="P328" s="8"/>
      <c r="Q328" s="9"/>
      <c r="R328" s="7">
        <v>45161</v>
      </c>
      <c r="S328" s="8">
        <v>5.2999999999999999E-2</v>
      </c>
      <c r="T328" s="10">
        <v>1.0001472222222223</v>
      </c>
      <c r="U328" s="2"/>
      <c r="V328" s="2"/>
    </row>
    <row r="329" spans="2:22" x14ac:dyDescent="0.2">
      <c r="B329" s="40">
        <v>44210</v>
      </c>
      <c r="C329" s="41">
        <v>0.08</v>
      </c>
      <c r="E329" s="2"/>
      <c r="F329" s="2"/>
      <c r="G329" s="2"/>
      <c r="H329" s="2"/>
      <c r="I329" s="2"/>
      <c r="J329" s="2"/>
      <c r="K329" s="2"/>
      <c r="L329" s="2"/>
      <c r="M329" s="2"/>
      <c r="N329" s="2"/>
      <c r="O329" s="7"/>
      <c r="P329" s="8"/>
      <c r="Q329" s="9"/>
      <c r="R329" s="7">
        <v>45162</v>
      </c>
      <c r="S329" s="8">
        <v>5.2999999999999999E-2</v>
      </c>
      <c r="T329" s="10">
        <v>1.0001472222222223</v>
      </c>
      <c r="U329" s="2"/>
      <c r="V329" s="2"/>
    </row>
    <row r="330" spans="2:22" x14ac:dyDescent="0.2">
      <c r="B330" s="40">
        <v>44211</v>
      </c>
      <c r="C330" s="41">
        <v>0.08</v>
      </c>
      <c r="E330" s="2"/>
      <c r="F330" s="2"/>
      <c r="G330" s="2"/>
      <c r="H330" s="2"/>
      <c r="I330" s="2"/>
      <c r="J330" s="2"/>
      <c r="K330" s="2"/>
      <c r="L330" s="2"/>
      <c r="M330" s="2"/>
      <c r="N330" s="2"/>
      <c r="O330" s="7"/>
      <c r="P330" s="8"/>
      <c r="Q330" s="9"/>
      <c r="R330" s="7">
        <v>45163</v>
      </c>
      <c r="S330" s="8">
        <v>5.2999999999999999E-2</v>
      </c>
      <c r="T330" s="10">
        <v>1.0001472222222223</v>
      </c>
      <c r="U330" s="2"/>
      <c r="V330" s="2"/>
    </row>
    <row r="331" spans="2:22" x14ac:dyDescent="0.2">
      <c r="B331" s="40">
        <v>44215</v>
      </c>
      <c r="C331" s="41">
        <v>7.0000000000000007E-2</v>
      </c>
      <c r="E331" s="2"/>
      <c r="F331" s="2"/>
      <c r="G331" s="2"/>
      <c r="H331" s="2"/>
      <c r="I331" s="2"/>
      <c r="J331" s="2"/>
      <c r="K331" s="2"/>
      <c r="L331" s="2"/>
      <c r="M331" s="2"/>
      <c r="N331" s="2"/>
      <c r="O331" s="7"/>
      <c r="P331" s="8"/>
      <c r="Q331" s="9"/>
      <c r="R331" s="7">
        <v>45164</v>
      </c>
      <c r="S331" s="8">
        <v>5.2999999999999999E-2</v>
      </c>
      <c r="T331" s="10">
        <v>1.0001472222222223</v>
      </c>
      <c r="U331" s="2"/>
      <c r="V331" s="2"/>
    </row>
    <row r="332" spans="2:22" x14ac:dyDescent="0.2">
      <c r="B332" s="40">
        <v>44216</v>
      </c>
      <c r="C332" s="41">
        <v>0.06</v>
      </c>
      <c r="E332" s="2"/>
      <c r="F332" s="2"/>
      <c r="G332" s="2"/>
      <c r="H332" s="2"/>
      <c r="I332" s="2"/>
      <c r="J332" s="2"/>
      <c r="K332" s="2"/>
      <c r="L332" s="2"/>
      <c r="M332" s="2"/>
      <c r="N332" s="2"/>
      <c r="O332" s="7"/>
      <c r="P332" s="8"/>
      <c r="Q332" s="9"/>
      <c r="R332" s="7">
        <v>45165</v>
      </c>
      <c r="S332" s="8">
        <v>5.2999999999999999E-2</v>
      </c>
      <c r="T332" s="10">
        <v>1.0001472222222223</v>
      </c>
      <c r="U332" s="2"/>
      <c r="V332" s="2"/>
    </row>
    <row r="333" spans="2:22" x14ac:dyDescent="0.2">
      <c r="B333" s="40">
        <v>44217</v>
      </c>
      <c r="C333" s="41">
        <v>0.04</v>
      </c>
      <c r="E333" s="2"/>
      <c r="F333" s="2"/>
      <c r="G333" s="2"/>
      <c r="H333" s="2"/>
      <c r="I333" s="2"/>
      <c r="J333" s="2"/>
      <c r="K333" s="2"/>
      <c r="L333" s="2"/>
      <c r="M333" s="2"/>
      <c r="N333" s="2"/>
      <c r="O333" s="7"/>
      <c r="P333" s="8"/>
      <c r="Q333" s="9"/>
      <c r="R333" s="7">
        <v>45166</v>
      </c>
      <c r="S333" s="8">
        <v>5.2999999999999999E-2</v>
      </c>
      <c r="T333" s="10">
        <v>1.0001472222222223</v>
      </c>
      <c r="U333" s="2"/>
      <c r="V333" s="2"/>
    </row>
    <row r="334" spans="2:22" x14ac:dyDescent="0.2">
      <c r="B334" s="40">
        <v>44218</v>
      </c>
      <c r="C334" s="41">
        <v>0.05</v>
      </c>
      <c r="E334" s="2"/>
      <c r="F334" s="2"/>
      <c r="G334" s="2"/>
      <c r="H334" s="2"/>
      <c r="I334" s="2"/>
      <c r="J334" s="2"/>
      <c r="K334" s="2"/>
      <c r="L334" s="2"/>
      <c r="M334" s="2"/>
      <c r="N334" s="2"/>
      <c r="O334" s="7"/>
      <c r="P334" s="8"/>
      <c r="Q334" s="9"/>
      <c r="R334" s="7">
        <v>45167</v>
      </c>
      <c r="S334" s="8">
        <v>5.2999999999999999E-2</v>
      </c>
      <c r="T334" s="10">
        <v>1.0001472222222223</v>
      </c>
      <c r="U334" s="2"/>
      <c r="V334" s="2"/>
    </row>
    <row r="335" spans="2:22" x14ac:dyDescent="0.2">
      <c r="B335" s="40">
        <v>44221</v>
      </c>
      <c r="C335" s="41">
        <v>0.06</v>
      </c>
      <c r="E335" s="2"/>
      <c r="F335" s="2"/>
      <c r="G335" s="2"/>
      <c r="H335" s="2"/>
      <c r="I335" s="2"/>
      <c r="J335" s="2"/>
      <c r="K335" s="2"/>
      <c r="L335" s="2"/>
      <c r="M335" s="2"/>
      <c r="N335" s="2"/>
      <c r="O335" s="7"/>
      <c r="P335" s="8"/>
      <c r="Q335" s="9"/>
      <c r="R335" s="7">
        <v>45168</v>
      </c>
      <c r="S335" s="8">
        <v>5.2999999999999999E-2</v>
      </c>
      <c r="T335" s="10">
        <v>1.0001472222222223</v>
      </c>
      <c r="U335" s="2"/>
      <c r="V335" s="2"/>
    </row>
    <row r="336" spans="2:22" x14ac:dyDescent="0.2">
      <c r="B336" s="40">
        <v>44222</v>
      </c>
      <c r="C336" s="41">
        <v>0.03</v>
      </c>
      <c r="E336" s="2"/>
      <c r="F336" s="2"/>
      <c r="G336" s="2"/>
      <c r="H336" s="2"/>
      <c r="I336" s="2"/>
      <c r="J336" s="2"/>
      <c r="K336" s="2"/>
      <c r="L336" s="2"/>
      <c r="M336" s="2"/>
      <c r="N336" s="2"/>
      <c r="O336" s="7"/>
      <c r="P336" s="8"/>
      <c r="Q336" s="9"/>
      <c r="R336" s="7">
        <v>45169</v>
      </c>
      <c r="S336" s="8">
        <v>5.3099999999999994E-2</v>
      </c>
      <c r="T336" s="10">
        <v>1.0001475</v>
      </c>
      <c r="U336" s="2"/>
      <c r="V336" s="2"/>
    </row>
    <row r="337" spans="2:22" x14ac:dyDescent="0.2">
      <c r="B337" s="40">
        <v>44223</v>
      </c>
      <c r="C337" s="41">
        <v>0.03</v>
      </c>
      <c r="E337" s="2"/>
      <c r="F337" s="2"/>
      <c r="G337" s="2"/>
      <c r="H337" s="2"/>
      <c r="I337" s="2"/>
      <c r="J337" s="2"/>
      <c r="K337" s="2"/>
      <c r="L337" s="2"/>
      <c r="M337" s="2"/>
      <c r="N337" s="2"/>
      <c r="O337" s="7"/>
      <c r="P337" s="8"/>
      <c r="Q337" s="9"/>
      <c r="R337" s="7">
        <v>45170</v>
      </c>
      <c r="S337" s="8">
        <v>5.3099999999999994E-2</v>
      </c>
      <c r="T337" s="10">
        <v>1.0001475</v>
      </c>
      <c r="U337" s="2"/>
      <c r="V337" s="2"/>
    </row>
    <row r="338" spans="2:22" x14ac:dyDescent="0.2">
      <c r="B338" s="40">
        <v>44224</v>
      </c>
      <c r="C338" s="41">
        <v>0.04</v>
      </c>
      <c r="E338" s="2"/>
      <c r="F338" s="2"/>
      <c r="G338" s="2"/>
      <c r="H338" s="2"/>
      <c r="I338" s="2"/>
      <c r="J338" s="2"/>
      <c r="K338" s="2"/>
      <c r="L338" s="2"/>
      <c r="M338" s="2"/>
      <c r="N338" s="2"/>
      <c r="O338" s="7"/>
      <c r="P338" s="8"/>
      <c r="Q338" s="9"/>
      <c r="R338" s="7">
        <v>45171</v>
      </c>
      <c r="S338" s="8">
        <v>5.3099999999999994E-2</v>
      </c>
      <c r="T338" s="10">
        <v>1.0001475</v>
      </c>
      <c r="U338" s="2"/>
      <c r="V338" s="2"/>
    </row>
    <row r="339" spans="2:22" x14ac:dyDescent="0.2">
      <c r="B339" s="40">
        <v>44225</v>
      </c>
      <c r="C339" s="41">
        <v>0.06</v>
      </c>
      <c r="E339" s="2"/>
      <c r="F339" s="2"/>
      <c r="G339" s="2"/>
      <c r="H339" s="2"/>
      <c r="I339" s="2"/>
      <c r="J339" s="2"/>
      <c r="K339" s="2"/>
      <c r="L339" s="2"/>
      <c r="M339" s="2"/>
      <c r="N339" s="2"/>
      <c r="O339" s="7"/>
      <c r="P339" s="8"/>
      <c r="Q339" s="9"/>
      <c r="R339" s="7">
        <v>45172</v>
      </c>
      <c r="S339" s="8">
        <v>5.3099999999999994E-2</v>
      </c>
      <c r="T339" s="10">
        <v>1.0001475</v>
      </c>
      <c r="U339" s="2"/>
      <c r="V339" s="2"/>
    </row>
    <row r="340" spans="2:22" x14ac:dyDescent="0.2">
      <c r="B340" s="40">
        <v>44228</v>
      </c>
      <c r="C340" s="41">
        <v>7.0000000000000007E-2</v>
      </c>
      <c r="E340" s="2"/>
      <c r="F340" s="2"/>
      <c r="G340" s="2"/>
      <c r="H340" s="2"/>
      <c r="I340" s="2"/>
      <c r="J340" s="2"/>
      <c r="K340" s="2"/>
      <c r="L340" s="2"/>
      <c r="M340" s="2"/>
      <c r="N340" s="2"/>
      <c r="O340" s="7"/>
      <c r="P340" s="8"/>
      <c r="Q340" s="9"/>
      <c r="R340" s="7">
        <v>45173</v>
      </c>
      <c r="S340" s="8">
        <v>5.3099999999999994E-2</v>
      </c>
      <c r="T340" s="10">
        <v>1.0001475</v>
      </c>
      <c r="U340" s="2"/>
      <c r="V340" s="2"/>
    </row>
    <row r="341" spans="2:22" x14ac:dyDescent="0.2">
      <c r="B341" s="40">
        <v>44229</v>
      </c>
      <c r="C341" s="41">
        <v>7.0000000000000007E-2</v>
      </c>
      <c r="E341" s="2"/>
      <c r="F341" s="2"/>
      <c r="G341" s="2"/>
      <c r="H341" s="2"/>
      <c r="I341" s="2"/>
      <c r="J341" s="2"/>
      <c r="K341" s="2"/>
      <c r="L341" s="2"/>
      <c r="M341" s="2"/>
      <c r="N341" s="2"/>
      <c r="O341" s="7"/>
      <c r="P341" s="8"/>
      <c r="Q341" s="9"/>
      <c r="R341" s="7">
        <v>45174</v>
      </c>
      <c r="S341" s="8">
        <v>5.3099999999999994E-2</v>
      </c>
      <c r="T341" s="10">
        <v>1.0001475</v>
      </c>
      <c r="U341" s="2"/>
      <c r="V341" s="2"/>
    </row>
    <row r="342" spans="2:22" x14ac:dyDescent="0.2">
      <c r="B342" s="40">
        <v>44230</v>
      </c>
      <c r="C342" s="41">
        <v>7.0000000000000007E-2</v>
      </c>
      <c r="E342" s="2"/>
      <c r="F342" s="2"/>
      <c r="G342" s="2"/>
      <c r="H342" s="2"/>
      <c r="I342" s="2"/>
      <c r="J342" s="2"/>
      <c r="K342" s="2"/>
      <c r="L342" s="2"/>
      <c r="M342" s="2"/>
      <c r="N342" s="2"/>
      <c r="O342" s="7"/>
      <c r="P342" s="8"/>
      <c r="Q342" s="9"/>
      <c r="R342" s="7">
        <v>45175</v>
      </c>
      <c r="S342" s="8">
        <v>5.2999999999999999E-2</v>
      </c>
      <c r="T342" s="10">
        <v>1.0001472222222223</v>
      </c>
      <c r="U342" s="2"/>
      <c r="V342" s="2"/>
    </row>
    <row r="343" spans="2:22" x14ac:dyDescent="0.2">
      <c r="B343" s="40">
        <v>44231</v>
      </c>
      <c r="C343" s="41">
        <v>0.05</v>
      </c>
      <c r="E343" s="2"/>
      <c r="F343" s="2"/>
      <c r="G343" s="2"/>
      <c r="H343" s="2"/>
      <c r="I343" s="2"/>
      <c r="J343" s="2"/>
      <c r="K343" s="2"/>
      <c r="L343" s="2"/>
      <c r="M343" s="2"/>
      <c r="N343" s="2"/>
      <c r="O343" s="7"/>
      <c r="P343" s="8"/>
      <c r="Q343" s="9"/>
      <c r="R343" s="7">
        <v>45176</v>
      </c>
      <c r="S343" s="8">
        <v>5.3099999999999994E-2</v>
      </c>
      <c r="T343" s="10">
        <v>1.0001475</v>
      </c>
      <c r="U343" s="2"/>
      <c r="V343" s="2"/>
    </row>
    <row r="344" spans="2:22" x14ac:dyDescent="0.2">
      <c r="B344" s="40">
        <v>44232</v>
      </c>
      <c r="C344" s="41">
        <v>0.02</v>
      </c>
      <c r="E344" s="2"/>
      <c r="F344" s="2"/>
      <c r="G344" s="2"/>
      <c r="H344" s="2"/>
      <c r="I344" s="2"/>
      <c r="J344" s="2"/>
      <c r="K344" s="2"/>
      <c r="L344" s="2"/>
      <c r="M344" s="2"/>
      <c r="N344" s="2"/>
      <c r="O344" s="7"/>
      <c r="P344" s="8"/>
      <c r="Q344" s="9"/>
      <c r="R344" s="7">
        <v>45177</v>
      </c>
      <c r="S344" s="8">
        <v>5.2999999999999999E-2</v>
      </c>
      <c r="T344" s="10">
        <v>1.0001472222222223</v>
      </c>
      <c r="U344" s="2"/>
      <c r="V344" s="2"/>
    </row>
    <row r="345" spans="2:22" x14ac:dyDescent="0.2">
      <c r="B345" s="40">
        <v>44235</v>
      </c>
      <c r="C345" s="41">
        <v>0.02</v>
      </c>
      <c r="E345" s="2"/>
      <c r="F345" s="2"/>
      <c r="G345" s="2"/>
      <c r="H345" s="2"/>
      <c r="I345" s="2"/>
      <c r="J345" s="2"/>
      <c r="K345" s="2"/>
      <c r="L345" s="2"/>
      <c r="M345" s="2"/>
      <c r="N345" s="2"/>
      <c r="O345" s="7"/>
      <c r="P345" s="8"/>
      <c r="Q345" s="9"/>
      <c r="R345" s="7">
        <v>45178</v>
      </c>
      <c r="S345" s="8">
        <v>5.2999999999999999E-2</v>
      </c>
      <c r="T345" s="10">
        <v>1.0001472222222223</v>
      </c>
      <c r="U345" s="2"/>
      <c r="V345" s="2"/>
    </row>
    <row r="346" spans="2:22" x14ac:dyDescent="0.2">
      <c r="B346" s="40">
        <v>44236</v>
      </c>
      <c r="C346" s="41">
        <v>0.05</v>
      </c>
      <c r="E346" s="2"/>
      <c r="F346" s="2"/>
      <c r="G346" s="2"/>
      <c r="H346" s="2"/>
      <c r="I346" s="2"/>
      <c r="J346" s="2"/>
      <c r="K346" s="2"/>
      <c r="L346" s="2"/>
      <c r="M346" s="2"/>
      <c r="N346" s="2"/>
      <c r="O346" s="7"/>
      <c r="P346" s="8"/>
      <c r="Q346" s="9"/>
      <c r="R346" s="7">
        <v>45179</v>
      </c>
      <c r="S346" s="8">
        <v>5.2999999999999999E-2</v>
      </c>
      <c r="T346" s="10">
        <v>1.0001472222222223</v>
      </c>
      <c r="U346" s="2"/>
      <c r="V346" s="2"/>
    </row>
    <row r="347" spans="2:22" x14ac:dyDescent="0.2">
      <c r="B347" s="40">
        <v>44237</v>
      </c>
      <c r="C347" s="41">
        <v>0.06</v>
      </c>
      <c r="E347" s="2"/>
      <c r="F347" s="2"/>
      <c r="G347" s="2"/>
      <c r="H347" s="2"/>
      <c r="I347" s="2"/>
      <c r="J347" s="2"/>
      <c r="K347" s="2"/>
      <c r="L347" s="2"/>
      <c r="M347" s="2"/>
      <c r="N347" s="2"/>
      <c r="O347" s="7"/>
      <c r="P347" s="8"/>
      <c r="Q347" s="9"/>
      <c r="R347" s="7">
        <v>45180</v>
      </c>
      <c r="S347" s="8">
        <v>5.2999999999999999E-2</v>
      </c>
      <c r="T347" s="10">
        <v>1.0001472222222223</v>
      </c>
      <c r="U347" s="2"/>
      <c r="V347" s="2"/>
    </row>
    <row r="348" spans="2:22" x14ac:dyDescent="0.2">
      <c r="B348" s="40">
        <v>44238</v>
      </c>
      <c r="C348" s="41">
        <v>0.06</v>
      </c>
      <c r="E348" s="2"/>
      <c r="F348" s="2"/>
      <c r="G348" s="2"/>
      <c r="H348" s="2"/>
      <c r="I348" s="2"/>
      <c r="J348" s="2"/>
      <c r="K348" s="2"/>
      <c r="L348" s="2"/>
      <c r="M348" s="2"/>
      <c r="N348" s="2"/>
      <c r="O348" s="7"/>
      <c r="P348" s="8"/>
      <c r="Q348" s="9"/>
      <c r="R348" s="7">
        <v>45181</v>
      </c>
      <c r="S348" s="8">
        <v>5.2999999999999999E-2</v>
      </c>
      <c r="T348" s="10">
        <v>1.0001472222222223</v>
      </c>
      <c r="U348" s="2"/>
      <c r="V348" s="2"/>
    </row>
    <row r="349" spans="2:22" x14ac:dyDescent="0.2">
      <c r="B349" s="40">
        <v>44239</v>
      </c>
      <c r="C349" s="41">
        <v>0.05</v>
      </c>
      <c r="E349" s="2"/>
      <c r="F349" s="2"/>
      <c r="G349" s="2"/>
      <c r="H349" s="2"/>
      <c r="I349" s="2"/>
      <c r="J349" s="2"/>
      <c r="K349" s="2"/>
      <c r="L349" s="2"/>
      <c r="M349" s="2"/>
      <c r="N349" s="2"/>
      <c r="O349" s="7"/>
      <c r="P349" s="8"/>
      <c r="Q349" s="9"/>
      <c r="R349" s="7">
        <v>45182</v>
      </c>
      <c r="S349" s="8">
        <v>5.2999999999999999E-2</v>
      </c>
      <c r="T349" s="10">
        <v>1.0001472222222223</v>
      </c>
      <c r="U349" s="2"/>
      <c r="V349" s="2"/>
    </row>
    <row r="350" spans="2:22" x14ac:dyDescent="0.2">
      <c r="B350" s="40">
        <v>44243</v>
      </c>
      <c r="C350" s="41">
        <v>0.06</v>
      </c>
      <c r="E350" s="2"/>
      <c r="F350" s="2"/>
      <c r="G350" s="2"/>
      <c r="H350" s="2"/>
      <c r="I350" s="2"/>
      <c r="J350" s="2"/>
      <c r="K350" s="2"/>
      <c r="L350" s="2"/>
      <c r="M350" s="2"/>
      <c r="N350" s="2"/>
      <c r="O350" s="7"/>
      <c r="P350" s="8"/>
      <c r="Q350" s="9"/>
      <c r="R350" s="7">
        <v>45183</v>
      </c>
      <c r="S350" s="8">
        <v>5.2999999999999999E-2</v>
      </c>
      <c r="T350" s="10">
        <v>1.0001472222222223</v>
      </c>
      <c r="U350" s="2"/>
      <c r="V350" s="2"/>
    </row>
    <row r="351" spans="2:22" x14ac:dyDescent="0.2">
      <c r="B351" s="40">
        <v>44244</v>
      </c>
      <c r="C351" s="41">
        <v>0.06</v>
      </c>
      <c r="E351" s="2"/>
      <c r="F351" s="2"/>
      <c r="G351" s="2"/>
      <c r="H351" s="2"/>
      <c r="I351" s="2"/>
      <c r="J351" s="2"/>
      <c r="K351" s="2"/>
      <c r="L351" s="2"/>
      <c r="M351" s="2"/>
      <c r="N351" s="2"/>
      <c r="O351" s="7"/>
      <c r="P351" s="8"/>
      <c r="Q351" s="9"/>
      <c r="R351" s="7">
        <v>45184</v>
      </c>
      <c r="S351" s="8">
        <v>5.3099999999999994E-2</v>
      </c>
      <c r="T351" s="10">
        <v>1.0001475</v>
      </c>
      <c r="U351" s="2"/>
      <c r="V351" s="2"/>
    </row>
    <row r="352" spans="2:22" x14ac:dyDescent="0.2">
      <c r="B352" s="40">
        <v>44245</v>
      </c>
      <c r="C352" s="41">
        <v>0.03</v>
      </c>
      <c r="E352" s="2"/>
      <c r="F352" s="2"/>
      <c r="G352" s="2"/>
      <c r="H352" s="2"/>
      <c r="I352" s="2"/>
      <c r="J352" s="2"/>
      <c r="K352" s="2"/>
      <c r="L352" s="2"/>
      <c r="M352" s="2"/>
      <c r="N352" s="2"/>
      <c r="O352" s="7"/>
      <c r="P352" s="8"/>
      <c r="Q352" s="9"/>
      <c r="R352" s="7">
        <v>45185</v>
      </c>
      <c r="S352" s="8">
        <v>5.3099999999999994E-2</v>
      </c>
      <c r="T352" s="10">
        <v>1.0001475</v>
      </c>
      <c r="U352" s="2"/>
      <c r="V352" s="2"/>
    </row>
    <row r="353" spans="2:22" x14ac:dyDescent="0.2">
      <c r="B353" s="40">
        <v>44246</v>
      </c>
      <c r="C353" s="41">
        <v>0.02</v>
      </c>
      <c r="E353" s="2"/>
      <c r="F353" s="2"/>
      <c r="G353" s="2"/>
      <c r="H353" s="2"/>
      <c r="I353" s="2"/>
      <c r="J353" s="2"/>
      <c r="K353" s="2"/>
      <c r="L353" s="2"/>
      <c r="M353" s="2"/>
      <c r="N353" s="2"/>
      <c r="O353" s="7"/>
      <c r="P353" s="8"/>
      <c r="Q353" s="9"/>
      <c r="R353" s="7">
        <v>45186</v>
      </c>
      <c r="S353" s="8">
        <v>5.3099999999999994E-2</v>
      </c>
      <c r="T353" s="10">
        <v>1.0001475</v>
      </c>
      <c r="U353" s="2"/>
      <c r="V353" s="2"/>
    </row>
    <row r="354" spans="2:22" x14ac:dyDescent="0.2">
      <c r="B354" s="40">
        <v>44249</v>
      </c>
      <c r="C354" s="41">
        <v>0.03</v>
      </c>
      <c r="E354" s="2"/>
      <c r="F354" s="2"/>
      <c r="G354" s="2"/>
      <c r="H354" s="2"/>
      <c r="I354" s="2"/>
      <c r="J354" s="2"/>
      <c r="K354" s="2"/>
      <c r="L354" s="2"/>
      <c r="M354" s="2"/>
      <c r="N354" s="2"/>
      <c r="O354" s="7"/>
      <c r="P354" s="8"/>
      <c r="Q354" s="9"/>
      <c r="R354" s="7">
        <v>45187</v>
      </c>
      <c r="S354" s="8">
        <v>5.3099999999999994E-2</v>
      </c>
      <c r="T354" s="10">
        <v>1.0001475</v>
      </c>
      <c r="U354" s="2"/>
      <c r="V354" s="2"/>
    </row>
    <row r="355" spans="2:22" x14ac:dyDescent="0.2">
      <c r="B355" s="40">
        <v>44250</v>
      </c>
      <c r="C355" s="41">
        <v>0.01</v>
      </c>
      <c r="E355" s="2"/>
      <c r="F355" s="2"/>
      <c r="G355" s="2"/>
      <c r="H355" s="2"/>
      <c r="I355" s="2"/>
      <c r="J355" s="2"/>
      <c r="K355" s="2"/>
      <c r="L355" s="2"/>
      <c r="M355" s="2"/>
      <c r="N355" s="2"/>
      <c r="O355" s="7"/>
      <c r="P355" s="8"/>
      <c r="Q355" s="9"/>
      <c r="R355" s="7">
        <v>45188</v>
      </c>
      <c r="S355" s="8">
        <v>5.3099999999999994E-2</v>
      </c>
      <c r="T355" s="10">
        <v>1.0001475</v>
      </c>
      <c r="U355" s="2"/>
      <c r="V355" s="2"/>
    </row>
    <row r="356" spans="2:22" x14ac:dyDescent="0.2">
      <c r="B356" s="40">
        <v>44251</v>
      </c>
      <c r="C356" s="41">
        <v>0.02</v>
      </c>
      <c r="E356" s="2"/>
      <c r="F356" s="2"/>
      <c r="G356" s="2"/>
      <c r="H356" s="2"/>
      <c r="I356" s="2"/>
      <c r="J356" s="2"/>
      <c r="K356" s="2"/>
      <c r="L356" s="2"/>
      <c r="M356" s="2"/>
      <c r="N356" s="2"/>
      <c r="O356" s="7"/>
      <c r="P356" s="8"/>
      <c r="Q356" s="9"/>
      <c r="R356" s="7">
        <v>45189</v>
      </c>
      <c r="S356" s="8">
        <v>5.2999999999999999E-2</v>
      </c>
      <c r="T356" s="10">
        <v>1.0001472222222223</v>
      </c>
      <c r="U356" s="2"/>
      <c r="V356" s="2"/>
    </row>
    <row r="357" spans="2:22" x14ac:dyDescent="0.2">
      <c r="B357" s="40">
        <v>44252</v>
      </c>
      <c r="C357" s="41">
        <v>0.03</v>
      </c>
      <c r="E357" s="2"/>
      <c r="F357" s="2"/>
      <c r="G357" s="2"/>
      <c r="H357" s="2"/>
      <c r="I357" s="2"/>
      <c r="J357" s="2"/>
      <c r="K357" s="2"/>
      <c r="L357" s="2"/>
      <c r="M357" s="2"/>
      <c r="N357" s="2"/>
      <c r="O357" s="7"/>
      <c r="P357" s="8"/>
      <c r="Q357" s="9"/>
      <c r="R357" s="7">
        <v>45190</v>
      </c>
      <c r="S357" s="8">
        <v>5.2999999999999999E-2</v>
      </c>
      <c r="T357" s="10">
        <v>1.0001472222222223</v>
      </c>
      <c r="U357" s="2"/>
      <c r="V357" s="2"/>
    </row>
    <row r="358" spans="2:22" x14ac:dyDescent="0.2">
      <c r="B358" s="40">
        <v>44253</v>
      </c>
      <c r="C358" s="41">
        <v>0.01</v>
      </c>
      <c r="E358" s="2"/>
      <c r="F358" s="2"/>
      <c r="G358" s="2"/>
      <c r="H358" s="2"/>
      <c r="I358" s="2"/>
      <c r="J358" s="2"/>
      <c r="K358" s="2"/>
      <c r="L358" s="2"/>
      <c r="M358" s="2"/>
      <c r="N358" s="2"/>
      <c r="O358" s="7"/>
      <c r="P358" s="8"/>
      <c r="Q358" s="9"/>
      <c r="R358" s="7">
        <v>45191</v>
      </c>
      <c r="S358" s="8">
        <v>5.2999999999999999E-2</v>
      </c>
      <c r="T358" s="10">
        <v>1.0001472222222223</v>
      </c>
      <c r="U358" s="2"/>
      <c r="V358" s="2"/>
    </row>
    <row r="359" spans="2:22" x14ac:dyDescent="0.2">
      <c r="B359" s="40">
        <v>44256</v>
      </c>
      <c r="C359" s="41">
        <v>0.02</v>
      </c>
      <c r="E359" s="2"/>
      <c r="F359" s="2"/>
      <c r="G359" s="2"/>
      <c r="H359" s="2"/>
      <c r="I359" s="2"/>
      <c r="J359" s="2"/>
      <c r="K359" s="2"/>
      <c r="L359" s="2"/>
      <c r="M359" s="2"/>
      <c r="N359" s="2"/>
      <c r="O359" s="7"/>
      <c r="P359" s="8"/>
      <c r="Q359" s="9"/>
      <c r="R359" s="7">
        <v>45192</v>
      </c>
      <c r="S359" s="8">
        <v>5.2999999999999999E-2</v>
      </c>
      <c r="T359" s="10">
        <v>1.0001472222222223</v>
      </c>
      <c r="U359" s="2"/>
      <c r="V359" s="2"/>
    </row>
    <row r="360" spans="2:22" x14ac:dyDescent="0.2">
      <c r="B360" s="40">
        <v>44257</v>
      </c>
      <c r="C360" s="41">
        <v>0.04</v>
      </c>
      <c r="E360" s="2"/>
      <c r="F360" s="2"/>
      <c r="G360" s="2"/>
      <c r="H360" s="2"/>
      <c r="I360" s="2"/>
      <c r="J360" s="2"/>
      <c r="K360" s="2"/>
      <c r="L360" s="2"/>
      <c r="M360" s="2"/>
      <c r="N360" s="2"/>
      <c r="O360" s="7"/>
      <c r="P360" s="8"/>
      <c r="Q360" s="9"/>
      <c r="R360" s="7">
        <v>45193</v>
      </c>
      <c r="S360" s="8">
        <v>5.2999999999999999E-2</v>
      </c>
      <c r="T360" s="10">
        <v>1.0001472222222223</v>
      </c>
      <c r="U360" s="2"/>
      <c r="V360" s="2"/>
    </row>
    <row r="361" spans="2:22" x14ac:dyDescent="0.2">
      <c r="B361" s="40">
        <v>44258</v>
      </c>
      <c r="C361" s="41">
        <v>0.04</v>
      </c>
      <c r="E361" s="2"/>
      <c r="F361" s="2"/>
      <c r="G361" s="2"/>
      <c r="H361" s="2"/>
      <c r="I361" s="2"/>
      <c r="J361" s="2"/>
      <c r="K361" s="2"/>
      <c r="L361" s="2"/>
      <c r="M361" s="2"/>
      <c r="N361" s="2"/>
      <c r="O361" s="7"/>
      <c r="P361" s="8"/>
      <c r="Q361" s="9"/>
      <c r="R361" s="7">
        <v>45194</v>
      </c>
      <c r="S361" s="8">
        <v>5.3099999999999994E-2</v>
      </c>
      <c r="T361" s="10">
        <v>1.0001475</v>
      </c>
      <c r="U361" s="2"/>
      <c r="V361" s="2"/>
    </row>
    <row r="362" spans="2:22" x14ac:dyDescent="0.2">
      <c r="B362" s="40">
        <v>44259</v>
      </c>
      <c r="C362" s="41">
        <v>0.02</v>
      </c>
      <c r="E362" s="2"/>
      <c r="F362" s="2"/>
      <c r="G362" s="2"/>
      <c r="H362" s="2"/>
      <c r="I362" s="2"/>
      <c r="J362" s="2"/>
      <c r="K362" s="2"/>
      <c r="L362" s="2"/>
      <c r="M362" s="2"/>
      <c r="N362" s="2"/>
      <c r="O362" s="7"/>
      <c r="P362" s="8"/>
      <c r="Q362" s="9"/>
      <c r="R362" s="7">
        <v>45195</v>
      </c>
      <c r="S362" s="8">
        <v>5.3099999999999994E-2</v>
      </c>
      <c r="T362" s="10">
        <v>1.0001475</v>
      </c>
      <c r="U362" s="2"/>
      <c r="V362" s="2"/>
    </row>
    <row r="363" spans="2:22" x14ac:dyDescent="0.2">
      <c r="B363" s="40">
        <v>44260</v>
      </c>
      <c r="C363" s="41">
        <v>0.02</v>
      </c>
      <c r="E363" s="2"/>
      <c r="F363" s="2"/>
      <c r="G363" s="2"/>
      <c r="H363" s="2"/>
      <c r="I363" s="2"/>
      <c r="J363" s="2"/>
      <c r="K363" s="2"/>
      <c r="L363" s="2"/>
      <c r="M363" s="2"/>
      <c r="N363" s="2"/>
      <c r="O363" s="7"/>
      <c r="P363" s="8"/>
      <c r="Q363" s="9"/>
      <c r="R363" s="7">
        <v>45196</v>
      </c>
      <c r="S363" s="8">
        <v>5.3200000000000004E-2</v>
      </c>
      <c r="T363" s="10">
        <v>1.0001477777777779</v>
      </c>
      <c r="U363" s="2"/>
      <c r="V363" s="2"/>
    </row>
    <row r="364" spans="2:22" x14ac:dyDescent="0.2">
      <c r="B364" s="40">
        <v>44263</v>
      </c>
      <c r="C364" s="41">
        <v>0.02</v>
      </c>
      <c r="E364" s="2"/>
      <c r="F364" s="2"/>
      <c r="G364" s="2"/>
      <c r="H364" s="2"/>
      <c r="I364" s="2"/>
      <c r="J364" s="2"/>
      <c r="K364" s="2"/>
      <c r="L364" s="2"/>
      <c r="M364" s="2"/>
      <c r="N364" s="2"/>
      <c r="O364" s="7"/>
      <c r="P364" s="8"/>
      <c r="Q364" s="9"/>
      <c r="R364" s="7">
        <v>45197</v>
      </c>
      <c r="S364" s="8">
        <v>5.3099999999999994E-2</v>
      </c>
      <c r="T364" s="10">
        <v>1.0001475</v>
      </c>
      <c r="U364" s="2"/>
      <c r="V364" s="2"/>
    </row>
    <row r="365" spans="2:22" x14ac:dyDescent="0.2">
      <c r="B365" s="40">
        <v>44264</v>
      </c>
      <c r="C365" s="41">
        <v>0.02</v>
      </c>
      <c r="E365" s="2"/>
      <c r="F365" s="2"/>
      <c r="G365" s="2"/>
      <c r="H365" s="2"/>
      <c r="I365" s="2"/>
      <c r="J365" s="2"/>
      <c r="K365" s="2"/>
      <c r="L365" s="2"/>
      <c r="M365" s="2"/>
      <c r="N365" s="2"/>
      <c r="O365" s="7"/>
      <c r="P365" s="8"/>
      <c r="Q365" s="9"/>
      <c r="R365" s="7">
        <v>45198</v>
      </c>
      <c r="S365" s="8">
        <v>5.3099999999999994E-2</v>
      </c>
      <c r="T365" s="10">
        <v>1.0001475</v>
      </c>
      <c r="U365" s="2"/>
      <c r="V365" s="2"/>
    </row>
    <row r="366" spans="2:22" x14ac:dyDescent="0.2">
      <c r="B366" s="40">
        <v>44265</v>
      </c>
      <c r="C366" s="41">
        <v>0.02</v>
      </c>
      <c r="E366" s="2"/>
      <c r="F366" s="2"/>
      <c r="G366" s="2"/>
      <c r="H366" s="2"/>
      <c r="I366" s="2"/>
      <c r="J366" s="2"/>
      <c r="K366" s="2"/>
      <c r="L366" s="2"/>
      <c r="M366" s="2"/>
      <c r="N366" s="2"/>
      <c r="O366" s="7"/>
      <c r="P366" s="8"/>
      <c r="Q366" s="9"/>
      <c r="R366" s="7">
        <v>45199</v>
      </c>
      <c r="S366" s="8">
        <v>5.3099999999999994E-2</v>
      </c>
      <c r="T366" s="10">
        <v>1.0001475</v>
      </c>
      <c r="U366" s="2"/>
      <c r="V366" s="2"/>
    </row>
    <row r="367" spans="2:22" x14ac:dyDescent="0.2">
      <c r="B367" s="40">
        <v>44266</v>
      </c>
      <c r="C367" s="41">
        <v>0.01</v>
      </c>
      <c r="E367" s="2"/>
      <c r="F367" s="2"/>
      <c r="G367" s="2"/>
      <c r="H367" s="2"/>
      <c r="I367" s="2"/>
      <c r="J367" s="2"/>
      <c r="K367" s="2"/>
      <c r="L367" s="2"/>
      <c r="M367" s="2"/>
      <c r="N367" s="2"/>
      <c r="O367" s="7"/>
      <c r="P367" s="8"/>
      <c r="Q367" s="9"/>
      <c r="R367" s="7">
        <v>45200</v>
      </c>
      <c r="S367" s="8">
        <v>5.3099999999999994E-2</v>
      </c>
      <c r="T367" s="10">
        <v>1.0001475</v>
      </c>
      <c r="U367" s="2"/>
      <c r="V367" s="2"/>
    </row>
    <row r="368" spans="2:22" x14ac:dyDescent="0.2">
      <c r="B368" s="40">
        <v>44267</v>
      </c>
      <c r="C368" s="41">
        <v>0.01</v>
      </c>
      <c r="E368" s="2"/>
      <c r="F368" s="2"/>
      <c r="G368" s="2"/>
      <c r="H368" s="2"/>
      <c r="I368" s="2"/>
      <c r="J368" s="2"/>
      <c r="K368" s="2"/>
      <c r="L368" s="2"/>
      <c r="M368" s="2"/>
      <c r="N368" s="2"/>
      <c r="O368" s="7"/>
      <c r="P368" s="8"/>
      <c r="Q368" s="9"/>
      <c r="R368" s="7">
        <v>45201</v>
      </c>
      <c r="S368" s="8">
        <v>5.3200000000000004E-2</v>
      </c>
      <c r="T368" s="10">
        <v>1.0001477777777779</v>
      </c>
      <c r="U368" s="2"/>
      <c r="V368" s="2"/>
    </row>
    <row r="369" spans="2:22" x14ac:dyDescent="0.2">
      <c r="B369" s="40">
        <v>44270</v>
      </c>
      <c r="C369" s="41">
        <v>0.01</v>
      </c>
      <c r="E369" s="2"/>
      <c r="F369" s="2"/>
      <c r="G369" s="2"/>
      <c r="H369" s="2"/>
      <c r="I369" s="2"/>
      <c r="J369" s="2"/>
      <c r="K369" s="2"/>
      <c r="L369" s="2"/>
      <c r="M369" s="2"/>
      <c r="N369" s="2"/>
      <c r="O369" s="7"/>
      <c r="P369" s="8"/>
      <c r="Q369" s="9"/>
      <c r="R369" s="7"/>
      <c r="S369" s="8"/>
      <c r="T369" s="10"/>
      <c r="U369" s="2"/>
      <c r="V369" s="2"/>
    </row>
    <row r="370" spans="2:22" x14ac:dyDescent="0.2">
      <c r="B370" s="40">
        <v>44271</v>
      </c>
      <c r="C370" s="41">
        <v>0.01</v>
      </c>
      <c r="E370" s="2"/>
      <c r="F370" s="2"/>
      <c r="G370" s="2"/>
      <c r="H370" s="2"/>
      <c r="I370" s="2"/>
      <c r="J370" s="2"/>
      <c r="K370" s="2"/>
      <c r="L370" s="2"/>
      <c r="M370" s="2"/>
      <c r="N370" s="2"/>
      <c r="O370" s="7"/>
      <c r="P370" s="8"/>
      <c r="Q370" s="9"/>
      <c r="R370" s="7"/>
      <c r="S370" s="8"/>
      <c r="T370" s="10"/>
      <c r="U370" s="2"/>
      <c r="V370" s="2"/>
    </row>
    <row r="371" spans="2:22" x14ac:dyDescent="0.2">
      <c r="B371" s="40">
        <v>44272</v>
      </c>
      <c r="C371" s="41">
        <v>0.01</v>
      </c>
      <c r="E371" s="2"/>
      <c r="F371" s="2"/>
      <c r="G371" s="2"/>
      <c r="H371" s="2"/>
      <c r="I371" s="2"/>
      <c r="J371" s="2"/>
      <c r="K371" s="2"/>
      <c r="L371" s="2"/>
      <c r="M371" s="2"/>
      <c r="N371" s="2"/>
      <c r="O371" s="7"/>
      <c r="P371" s="8"/>
      <c r="Q371" s="9"/>
      <c r="R371" s="7"/>
      <c r="S371" s="8"/>
      <c r="T371" s="10"/>
      <c r="U371" s="2"/>
      <c r="V371" s="2"/>
    </row>
    <row r="372" spans="2:22" x14ac:dyDescent="0.2">
      <c r="B372" s="40">
        <v>44273</v>
      </c>
      <c r="C372" s="41">
        <v>0.01</v>
      </c>
      <c r="E372" s="2"/>
      <c r="F372" s="2"/>
      <c r="G372" s="2"/>
      <c r="H372" s="2"/>
      <c r="I372" s="2"/>
      <c r="J372" s="2"/>
      <c r="K372" s="2"/>
      <c r="L372" s="2"/>
      <c r="M372" s="2"/>
      <c r="N372" s="2"/>
      <c r="O372" s="7"/>
      <c r="P372" s="8"/>
      <c r="Q372" s="9"/>
      <c r="R372" s="7"/>
      <c r="S372" s="8"/>
      <c r="T372" s="10"/>
      <c r="U372" s="2"/>
      <c r="V372" s="2"/>
    </row>
    <row r="373" spans="2:22" x14ac:dyDescent="0.2">
      <c r="B373" s="40">
        <v>44274</v>
      </c>
      <c r="C373" s="41">
        <v>0.01</v>
      </c>
      <c r="E373" s="2"/>
      <c r="F373" s="2"/>
      <c r="G373" s="2"/>
      <c r="H373" s="2"/>
      <c r="I373" s="2"/>
      <c r="J373" s="2"/>
      <c r="K373" s="2"/>
      <c r="L373" s="2"/>
      <c r="M373" s="2"/>
      <c r="N373" s="2"/>
      <c r="O373" s="7"/>
      <c r="P373" s="8"/>
      <c r="Q373" s="9"/>
      <c r="R373" s="7"/>
      <c r="S373" s="8"/>
      <c r="T373" s="10"/>
      <c r="U373" s="2"/>
      <c r="V373" s="2"/>
    </row>
    <row r="374" spans="2:22" x14ac:dyDescent="0.2">
      <c r="B374" s="40">
        <v>44277</v>
      </c>
      <c r="C374" s="41">
        <v>0.01</v>
      </c>
      <c r="E374" s="2"/>
      <c r="F374" s="2"/>
      <c r="G374" s="2"/>
      <c r="H374" s="2"/>
      <c r="I374" s="2"/>
      <c r="J374" s="2"/>
      <c r="K374" s="2"/>
      <c r="L374" s="2"/>
      <c r="M374" s="2"/>
      <c r="N374" s="2"/>
      <c r="O374" s="7"/>
      <c r="P374" s="8"/>
      <c r="Q374" s="9"/>
      <c r="R374" s="7"/>
      <c r="S374" s="8"/>
      <c r="T374" s="10"/>
      <c r="U374" s="2"/>
      <c r="V374" s="2"/>
    </row>
    <row r="375" spans="2:22" x14ac:dyDescent="0.2">
      <c r="B375" s="40">
        <v>44278</v>
      </c>
      <c r="C375" s="41">
        <v>0.01</v>
      </c>
      <c r="E375" s="2"/>
      <c r="F375" s="2"/>
      <c r="G375" s="2"/>
      <c r="H375" s="2"/>
      <c r="I375" s="2"/>
      <c r="J375" s="2"/>
      <c r="K375" s="2"/>
      <c r="L375" s="2"/>
      <c r="M375" s="2"/>
      <c r="N375" s="2"/>
      <c r="O375" s="7"/>
      <c r="P375" s="8"/>
      <c r="Q375" s="9"/>
      <c r="R375" s="7"/>
      <c r="S375" s="8"/>
      <c r="T375" s="10"/>
      <c r="U375" s="2"/>
      <c r="V375" s="2"/>
    </row>
    <row r="376" spans="2:22" x14ac:dyDescent="0.2">
      <c r="B376" s="40">
        <v>44279</v>
      </c>
      <c r="C376" s="41">
        <v>0.01</v>
      </c>
      <c r="E376" s="2"/>
      <c r="F376" s="2"/>
      <c r="G376" s="2"/>
      <c r="H376" s="2"/>
      <c r="I376" s="2"/>
      <c r="J376" s="2"/>
      <c r="K376" s="2"/>
      <c r="L376" s="2"/>
      <c r="M376" s="2"/>
      <c r="N376" s="2"/>
      <c r="O376" s="7"/>
      <c r="P376" s="8"/>
      <c r="Q376" s="9"/>
      <c r="R376" s="7"/>
      <c r="S376" s="8"/>
      <c r="T376" s="10"/>
      <c r="U376" s="2"/>
      <c r="V376" s="2"/>
    </row>
    <row r="377" spans="2:22" x14ac:dyDescent="0.2">
      <c r="B377" s="40">
        <v>44280</v>
      </c>
      <c r="C377" s="41">
        <v>0.01</v>
      </c>
      <c r="E377" s="2"/>
      <c r="F377" s="2"/>
      <c r="G377" s="2"/>
      <c r="H377" s="2"/>
      <c r="I377" s="2"/>
      <c r="J377" s="2"/>
      <c r="K377" s="2"/>
      <c r="L377" s="2"/>
      <c r="M377" s="2"/>
      <c r="N377" s="2"/>
      <c r="O377" s="7"/>
      <c r="P377" s="8"/>
      <c r="Q377" s="9"/>
      <c r="R377" s="7"/>
      <c r="S377" s="8"/>
      <c r="T377" s="10"/>
      <c r="U377" s="2"/>
      <c r="V377" s="2"/>
    </row>
    <row r="378" spans="2:22" x14ac:dyDescent="0.2">
      <c r="B378" s="40">
        <v>44281</v>
      </c>
      <c r="C378" s="41">
        <v>0.01</v>
      </c>
      <c r="E378" s="2"/>
      <c r="F378" s="2"/>
      <c r="G378" s="2"/>
      <c r="H378" s="2"/>
      <c r="I378" s="2"/>
      <c r="J378" s="2"/>
      <c r="K378" s="2"/>
      <c r="L378" s="2"/>
      <c r="M378" s="2"/>
      <c r="N378" s="2"/>
      <c r="O378" s="7"/>
      <c r="P378" s="8"/>
      <c r="Q378" s="9"/>
      <c r="R378" s="7"/>
      <c r="S378" s="8"/>
      <c r="T378" s="10"/>
      <c r="U378" s="2"/>
      <c r="V378" s="2"/>
    </row>
    <row r="379" spans="2:22" x14ac:dyDescent="0.2">
      <c r="B379" s="40">
        <v>44284</v>
      </c>
      <c r="C379" s="41">
        <v>0.01</v>
      </c>
      <c r="E379" s="2"/>
      <c r="F379" s="2"/>
      <c r="G379" s="2"/>
      <c r="H379" s="2"/>
      <c r="I379" s="2"/>
      <c r="J379" s="2"/>
      <c r="K379" s="2"/>
      <c r="L379" s="2"/>
      <c r="M379" s="2"/>
      <c r="N379" s="2"/>
      <c r="O379" s="7"/>
      <c r="P379" s="8"/>
      <c r="Q379" s="9"/>
      <c r="R379" s="7"/>
      <c r="S379" s="8"/>
      <c r="T379" s="10"/>
      <c r="U379" s="2"/>
      <c r="V379" s="2"/>
    </row>
    <row r="380" spans="2:22" x14ac:dyDescent="0.2">
      <c r="B380" s="40">
        <v>44285</v>
      </c>
      <c r="C380" s="41">
        <v>0.01</v>
      </c>
      <c r="E380" s="2"/>
      <c r="F380" s="2"/>
      <c r="G380" s="2"/>
      <c r="H380" s="2"/>
      <c r="I380" s="2"/>
      <c r="J380" s="2"/>
      <c r="K380" s="2"/>
      <c r="L380" s="2"/>
      <c r="M380" s="2"/>
      <c r="N380" s="2"/>
      <c r="O380" s="7"/>
      <c r="P380" s="8"/>
      <c r="Q380" s="9"/>
      <c r="R380" s="7"/>
      <c r="S380" s="8"/>
      <c r="T380" s="10"/>
      <c r="U380" s="2"/>
      <c r="V380" s="2"/>
    </row>
    <row r="381" spans="2:22" x14ac:dyDescent="0.2">
      <c r="B381" s="40">
        <v>44286</v>
      </c>
      <c r="C381" s="41">
        <v>0.01</v>
      </c>
      <c r="E381" s="2"/>
      <c r="F381" s="2"/>
      <c r="G381" s="2"/>
      <c r="H381" s="2"/>
      <c r="I381" s="2"/>
      <c r="J381" s="2"/>
      <c r="K381" s="2"/>
      <c r="L381" s="2"/>
      <c r="M381" s="2"/>
      <c r="N381" s="2"/>
      <c r="O381" s="7"/>
      <c r="P381" s="8"/>
      <c r="Q381" s="9"/>
      <c r="R381" s="7"/>
      <c r="S381" s="8"/>
      <c r="T381" s="10"/>
      <c r="U381" s="2"/>
      <c r="V381" s="2"/>
    </row>
    <row r="382" spans="2:22" x14ac:dyDescent="0.2">
      <c r="B382" s="40">
        <v>44287</v>
      </c>
      <c r="C382" s="41">
        <v>0.01</v>
      </c>
      <c r="E382" s="2"/>
      <c r="F382" s="2"/>
      <c r="G382" s="2"/>
      <c r="H382" s="2"/>
      <c r="I382" s="2"/>
      <c r="J382" s="2"/>
      <c r="K382" s="2"/>
      <c r="L382" s="2"/>
      <c r="M382" s="2"/>
      <c r="N382" s="2"/>
      <c r="O382" s="7"/>
      <c r="P382" s="8"/>
      <c r="Q382" s="9"/>
      <c r="R382" s="7"/>
      <c r="S382" s="8"/>
      <c r="T382" s="10"/>
      <c r="U382" s="2"/>
      <c r="V382" s="2"/>
    </row>
    <row r="383" spans="2:22" x14ac:dyDescent="0.2">
      <c r="B383" s="40">
        <v>44291</v>
      </c>
      <c r="C383" s="41">
        <v>0.01</v>
      </c>
      <c r="E383" s="2"/>
      <c r="F383" s="2"/>
      <c r="G383" s="2"/>
      <c r="H383" s="2"/>
      <c r="I383" s="2"/>
      <c r="J383" s="2"/>
      <c r="K383" s="2"/>
      <c r="L383" s="2"/>
      <c r="M383" s="2"/>
      <c r="N383" s="2"/>
      <c r="O383" s="7"/>
      <c r="P383" s="8"/>
      <c r="Q383" s="9"/>
      <c r="R383" s="7"/>
      <c r="S383" s="8"/>
      <c r="T383" s="10"/>
      <c r="U383" s="2"/>
      <c r="V383" s="2"/>
    </row>
    <row r="384" spans="2:22" x14ac:dyDescent="0.2">
      <c r="B384" s="40">
        <v>44292</v>
      </c>
      <c r="C384" s="41">
        <v>0.01</v>
      </c>
      <c r="E384" s="2"/>
      <c r="F384" s="2"/>
      <c r="G384" s="2"/>
      <c r="H384" s="2"/>
      <c r="I384" s="2"/>
      <c r="J384" s="2"/>
      <c r="K384" s="2"/>
      <c r="L384" s="2"/>
      <c r="M384" s="2"/>
      <c r="N384" s="2"/>
      <c r="O384" s="7"/>
      <c r="P384" s="8"/>
      <c r="Q384" s="9"/>
      <c r="R384" s="7"/>
      <c r="S384" s="8"/>
      <c r="T384" s="10"/>
      <c r="U384" s="2"/>
      <c r="V384" s="2"/>
    </row>
    <row r="385" spans="2:22" x14ac:dyDescent="0.2">
      <c r="B385" s="40">
        <v>44293</v>
      </c>
      <c r="C385" s="41">
        <v>0.01</v>
      </c>
      <c r="E385" s="2"/>
      <c r="F385" s="2"/>
      <c r="G385" s="2"/>
      <c r="H385" s="2"/>
      <c r="I385" s="2"/>
      <c r="J385" s="2"/>
      <c r="K385" s="2"/>
      <c r="L385" s="2"/>
      <c r="M385" s="2"/>
      <c r="N385" s="2"/>
      <c r="O385" s="7"/>
      <c r="P385" s="8"/>
      <c r="Q385" s="9"/>
      <c r="R385" s="7"/>
      <c r="S385" s="8"/>
      <c r="T385" s="10"/>
      <c r="U385" s="2"/>
      <c r="V385" s="2"/>
    </row>
    <row r="386" spans="2:22" x14ac:dyDescent="0.2">
      <c r="B386" s="40">
        <v>44294</v>
      </c>
      <c r="C386" s="41">
        <v>0.01</v>
      </c>
      <c r="E386" s="2"/>
      <c r="F386" s="2"/>
      <c r="G386" s="2"/>
      <c r="H386" s="2"/>
      <c r="I386" s="2"/>
      <c r="J386" s="2"/>
      <c r="K386" s="2"/>
      <c r="L386" s="2"/>
      <c r="M386" s="2"/>
      <c r="N386" s="2"/>
      <c r="O386" s="7"/>
      <c r="P386" s="8"/>
      <c r="Q386" s="9"/>
      <c r="R386" s="7"/>
      <c r="S386" s="8"/>
      <c r="T386" s="10"/>
      <c r="U386" s="2"/>
      <c r="V386" s="2"/>
    </row>
    <row r="387" spans="2:22" x14ac:dyDescent="0.2">
      <c r="B387" s="40">
        <v>44295</v>
      </c>
      <c r="C387" s="41">
        <v>0.01</v>
      </c>
      <c r="E387" s="2"/>
      <c r="F387" s="2"/>
      <c r="G387" s="2"/>
      <c r="H387" s="2"/>
      <c r="I387" s="2"/>
      <c r="J387" s="2"/>
      <c r="K387" s="2"/>
      <c r="L387" s="2"/>
      <c r="M387" s="2"/>
      <c r="N387" s="2"/>
      <c r="O387" s="7"/>
      <c r="P387" s="8"/>
      <c r="Q387" s="9"/>
      <c r="R387" s="7"/>
      <c r="S387" s="8"/>
      <c r="T387" s="10"/>
      <c r="U387" s="2"/>
      <c r="V387" s="2"/>
    </row>
    <row r="388" spans="2:22" x14ac:dyDescent="0.2">
      <c r="B388" s="40">
        <v>44298</v>
      </c>
      <c r="C388" s="41">
        <v>0.01</v>
      </c>
      <c r="E388" s="2"/>
      <c r="F388" s="2"/>
      <c r="G388" s="2"/>
      <c r="H388" s="2"/>
      <c r="I388" s="2"/>
      <c r="J388" s="2"/>
      <c r="K388" s="2"/>
      <c r="L388" s="2"/>
      <c r="M388" s="2"/>
      <c r="N388" s="2"/>
      <c r="O388" s="7"/>
      <c r="P388" s="8"/>
      <c r="Q388" s="9"/>
      <c r="R388" s="7"/>
      <c r="S388" s="8"/>
      <c r="T388" s="10"/>
      <c r="U388" s="2"/>
      <c r="V388" s="2"/>
    </row>
    <row r="389" spans="2:22" x14ac:dyDescent="0.2">
      <c r="B389" s="40">
        <v>44299</v>
      </c>
      <c r="C389" s="41">
        <v>0.01</v>
      </c>
      <c r="E389" s="2"/>
      <c r="F389" s="2"/>
      <c r="G389" s="2"/>
      <c r="H389" s="2"/>
      <c r="I389" s="2"/>
      <c r="J389" s="2"/>
      <c r="K389" s="2"/>
      <c r="L389" s="2"/>
      <c r="M389" s="2"/>
      <c r="N389" s="2"/>
      <c r="O389" s="7"/>
      <c r="P389" s="8"/>
      <c r="Q389" s="9"/>
      <c r="R389" s="7"/>
      <c r="S389" s="8"/>
      <c r="T389" s="10"/>
      <c r="U389" s="2"/>
      <c r="V389" s="2"/>
    </row>
    <row r="390" spans="2:22" x14ac:dyDescent="0.2">
      <c r="B390" s="40">
        <v>44300</v>
      </c>
      <c r="C390" s="41">
        <v>0.01</v>
      </c>
      <c r="E390" s="2"/>
      <c r="F390" s="2"/>
      <c r="G390" s="2"/>
      <c r="H390" s="2"/>
      <c r="I390" s="2"/>
      <c r="J390" s="2"/>
      <c r="K390" s="2"/>
      <c r="L390" s="2"/>
      <c r="M390" s="2"/>
      <c r="N390" s="2"/>
      <c r="O390" s="7"/>
      <c r="P390" s="8"/>
      <c r="Q390" s="9"/>
      <c r="R390" s="7"/>
      <c r="S390" s="8"/>
      <c r="T390" s="10"/>
      <c r="U390" s="2"/>
      <c r="V390" s="2"/>
    </row>
    <row r="391" spans="2:22" x14ac:dyDescent="0.2">
      <c r="B391" s="40">
        <v>44301</v>
      </c>
      <c r="C391" s="41">
        <v>0.01</v>
      </c>
      <c r="E391" s="2"/>
      <c r="F391" s="2"/>
      <c r="G391" s="2"/>
      <c r="H391" s="2"/>
      <c r="I391" s="2"/>
      <c r="J391" s="2"/>
      <c r="K391" s="2"/>
      <c r="L391" s="2"/>
      <c r="M391" s="2"/>
      <c r="N391" s="2"/>
      <c r="O391" s="7"/>
      <c r="P391" s="8"/>
      <c r="Q391" s="9"/>
      <c r="R391" s="7"/>
      <c r="S391" s="8"/>
      <c r="T391" s="10"/>
      <c r="U391" s="2"/>
      <c r="V391" s="2"/>
    </row>
    <row r="392" spans="2:22" x14ac:dyDescent="0.2">
      <c r="B392" s="40">
        <v>44302</v>
      </c>
      <c r="C392" s="41">
        <v>0.01</v>
      </c>
      <c r="E392" s="2"/>
      <c r="F392" s="2"/>
      <c r="G392" s="2"/>
      <c r="H392" s="2"/>
      <c r="I392" s="2"/>
      <c r="J392" s="2"/>
      <c r="K392" s="2"/>
      <c r="L392" s="2"/>
      <c r="M392" s="2"/>
      <c r="N392" s="2"/>
      <c r="O392" s="7"/>
      <c r="P392" s="8"/>
      <c r="Q392" s="9"/>
      <c r="R392" s="7"/>
      <c r="S392" s="8"/>
      <c r="T392" s="10"/>
      <c r="U392" s="2"/>
      <c r="V392" s="2"/>
    </row>
    <row r="393" spans="2:22" x14ac:dyDescent="0.2">
      <c r="B393" s="40">
        <v>44305</v>
      </c>
      <c r="C393" s="41">
        <v>0.01</v>
      </c>
      <c r="E393" s="2"/>
      <c r="F393" s="2"/>
      <c r="G393" s="2"/>
      <c r="H393" s="2"/>
      <c r="I393" s="2"/>
      <c r="J393" s="2"/>
      <c r="K393" s="2"/>
      <c r="L393" s="2"/>
      <c r="M393" s="2"/>
      <c r="N393" s="2"/>
      <c r="O393" s="7"/>
      <c r="P393" s="8"/>
      <c r="Q393" s="9"/>
      <c r="R393" s="7"/>
      <c r="S393" s="8"/>
      <c r="T393" s="10"/>
      <c r="U393" s="2"/>
      <c r="V393" s="2"/>
    </row>
    <row r="394" spans="2:22" x14ac:dyDescent="0.2">
      <c r="B394" s="40">
        <v>44306</v>
      </c>
      <c r="C394" s="41">
        <v>0.01</v>
      </c>
      <c r="E394" s="2"/>
      <c r="F394" s="2"/>
      <c r="G394" s="2"/>
      <c r="H394" s="2"/>
      <c r="I394" s="2"/>
      <c r="J394" s="2"/>
      <c r="K394" s="2"/>
      <c r="L394" s="2"/>
      <c r="M394" s="2"/>
      <c r="N394" s="2"/>
      <c r="O394" s="7"/>
      <c r="P394" s="8"/>
      <c r="Q394" s="9"/>
      <c r="R394" s="7"/>
      <c r="S394" s="8"/>
      <c r="T394" s="10"/>
      <c r="U394" s="2"/>
      <c r="V394" s="2"/>
    </row>
    <row r="395" spans="2:22" x14ac:dyDescent="0.2">
      <c r="B395" s="40">
        <v>44307</v>
      </c>
      <c r="C395" s="41">
        <v>0.01</v>
      </c>
      <c r="E395" s="2"/>
      <c r="F395" s="2"/>
      <c r="G395" s="2"/>
      <c r="H395" s="2"/>
      <c r="I395" s="2"/>
      <c r="J395" s="2"/>
      <c r="K395" s="2"/>
      <c r="L395" s="2"/>
      <c r="M395" s="2"/>
      <c r="N395" s="2"/>
      <c r="O395" s="7"/>
      <c r="P395" s="8"/>
      <c r="Q395" s="9"/>
      <c r="R395" s="7"/>
      <c r="S395" s="8"/>
      <c r="T395" s="10"/>
      <c r="U395" s="2"/>
      <c r="V395" s="2"/>
    </row>
    <row r="396" spans="2:22" x14ac:dyDescent="0.2">
      <c r="B396" s="40">
        <v>44308</v>
      </c>
      <c r="C396" s="41">
        <v>0.01</v>
      </c>
      <c r="E396" s="2"/>
      <c r="F396" s="2"/>
      <c r="G396" s="2"/>
      <c r="H396" s="2"/>
      <c r="I396" s="2"/>
      <c r="J396" s="2"/>
      <c r="K396" s="2"/>
      <c r="L396" s="2"/>
      <c r="M396" s="2"/>
      <c r="N396" s="2"/>
      <c r="O396" s="7"/>
      <c r="P396" s="8"/>
      <c r="Q396" s="9"/>
      <c r="R396" s="7"/>
      <c r="S396" s="8"/>
      <c r="T396" s="10"/>
      <c r="U396" s="2"/>
      <c r="V396" s="2"/>
    </row>
    <row r="397" spans="2:22" x14ac:dyDescent="0.2">
      <c r="B397" s="40">
        <v>44309</v>
      </c>
      <c r="C397" s="41">
        <v>0.01</v>
      </c>
      <c r="E397" s="2"/>
      <c r="F397" s="2"/>
      <c r="G397" s="2"/>
      <c r="H397" s="2"/>
      <c r="I397" s="2"/>
      <c r="J397" s="2"/>
      <c r="K397" s="2"/>
      <c r="L397" s="2"/>
      <c r="M397" s="2"/>
      <c r="N397" s="2"/>
      <c r="O397" s="7"/>
      <c r="P397" s="8"/>
      <c r="Q397" s="9"/>
      <c r="R397" s="7"/>
      <c r="S397" s="8"/>
      <c r="T397" s="10"/>
      <c r="U397" s="2"/>
      <c r="V397" s="2"/>
    </row>
    <row r="398" spans="2:22" x14ac:dyDescent="0.2">
      <c r="B398" s="40">
        <v>44312</v>
      </c>
      <c r="C398" s="41">
        <v>0.01</v>
      </c>
      <c r="E398" s="2"/>
      <c r="F398" s="2"/>
      <c r="G398" s="2"/>
      <c r="H398" s="2"/>
      <c r="I398" s="2"/>
      <c r="J398" s="2"/>
      <c r="K398" s="2"/>
      <c r="L398" s="2"/>
      <c r="M398" s="2"/>
      <c r="N398" s="2"/>
      <c r="O398" s="7"/>
      <c r="P398" s="8"/>
      <c r="Q398" s="9"/>
      <c r="R398" s="7"/>
      <c r="S398" s="8"/>
      <c r="T398" s="10"/>
      <c r="U398" s="2"/>
      <c r="V398" s="2"/>
    </row>
    <row r="399" spans="2:22" x14ac:dyDescent="0.2">
      <c r="B399" s="40">
        <v>44313</v>
      </c>
      <c r="C399" s="41">
        <v>0.01</v>
      </c>
      <c r="E399" s="2"/>
      <c r="F399" s="2"/>
      <c r="G399" s="2"/>
      <c r="H399" s="2"/>
      <c r="I399" s="2"/>
      <c r="J399" s="2"/>
      <c r="K399" s="2"/>
      <c r="L399" s="2"/>
      <c r="M399" s="2"/>
      <c r="N399" s="2"/>
      <c r="O399" s="7"/>
      <c r="P399" s="8"/>
      <c r="Q399" s="9"/>
      <c r="R399" s="7"/>
      <c r="S399" s="8"/>
      <c r="T399" s="10"/>
      <c r="U399" s="2"/>
      <c r="V399" s="2"/>
    </row>
    <row r="400" spans="2:22" x14ac:dyDescent="0.2">
      <c r="B400" s="40">
        <v>44314</v>
      </c>
      <c r="C400" s="41">
        <v>0.01</v>
      </c>
      <c r="E400" s="2"/>
      <c r="F400" s="2"/>
      <c r="G400" s="2"/>
      <c r="H400" s="2"/>
      <c r="I400" s="2"/>
      <c r="J400" s="2"/>
      <c r="K400" s="2"/>
      <c r="L400" s="2"/>
      <c r="M400" s="2"/>
      <c r="N400" s="2"/>
      <c r="O400" s="7"/>
      <c r="P400" s="8"/>
      <c r="Q400" s="9"/>
      <c r="R400" s="7"/>
      <c r="S400" s="8"/>
      <c r="T400" s="10"/>
      <c r="U400" s="2"/>
      <c r="V400" s="2"/>
    </row>
    <row r="401" spans="2:22" x14ac:dyDescent="0.2">
      <c r="B401" s="40">
        <v>44315</v>
      </c>
      <c r="C401" s="41">
        <v>0.01</v>
      </c>
      <c r="E401" s="2"/>
      <c r="F401" s="2"/>
      <c r="G401" s="2"/>
      <c r="H401" s="2"/>
      <c r="I401" s="2"/>
      <c r="J401" s="2"/>
      <c r="K401" s="2"/>
      <c r="L401" s="2"/>
      <c r="M401" s="2"/>
      <c r="N401" s="2"/>
      <c r="O401" s="7"/>
      <c r="P401" s="8"/>
      <c r="Q401" s="9"/>
      <c r="R401" s="7"/>
      <c r="S401" s="8"/>
      <c r="T401" s="10"/>
      <c r="U401" s="2"/>
      <c r="V401" s="2"/>
    </row>
    <row r="402" spans="2:22" x14ac:dyDescent="0.2">
      <c r="B402" s="40">
        <v>44316</v>
      </c>
      <c r="C402" s="41">
        <v>0.01</v>
      </c>
      <c r="E402" s="2"/>
      <c r="F402" s="2"/>
      <c r="G402" s="2"/>
      <c r="H402" s="2"/>
      <c r="I402" s="2"/>
      <c r="J402" s="2"/>
      <c r="K402" s="2"/>
      <c r="L402" s="2"/>
      <c r="M402" s="2"/>
      <c r="N402" s="2"/>
      <c r="O402" s="7"/>
      <c r="P402" s="8"/>
      <c r="Q402" s="9"/>
      <c r="R402" s="7"/>
      <c r="S402" s="8"/>
      <c r="T402" s="10"/>
      <c r="U402" s="2"/>
      <c r="V402" s="2"/>
    </row>
    <row r="403" spans="2:22" x14ac:dyDescent="0.2">
      <c r="B403" s="40">
        <v>44319</v>
      </c>
      <c r="C403" s="41">
        <v>0.01</v>
      </c>
      <c r="E403" s="2"/>
      <c r="F403" s="2"/>
      <c r="G403" s="2"/>
      <c r="H403" s="2"/>
      <c r="I403" s="2"/>
      <c r="J403" s="2"/>
      <c r="K403" s="2"/>
      <c r="L403" s="2"/>
      <c r="M403" s="2"/>
      <c r="N403" s="2"/>
      <c r="O403" s="7"/>
      <c r="P403" s="8"/>
      <c r="Q403" s="9"/>
      <c r="R403" s="7"/>
      <c r="S403" s="8"/>
      <c r="T403" s="10"/>
      <c r="U403" s="2"/>
      <c r="V403" s="2"/>
    </row>
    <row r="404" spans="2:22" x14ac:dyDescent="0.2">
      <c r="B404" s="40">
        <v>44320</v>
      </c>
      <c r="C404" s="41">
        <v>0.01</v>
      </c>
      <c r="E404" s="2"/>
      <c r="F404" s="2"/>
      <c r="G404" s="2"/>
      <c r="H404" s="2"/>
      <c r="I404" s="2"/>
      <c r="J404" s="2"/>
      <c r="K404" s="2"/>
      <c r="L404" s="2"/>
      <c r="M404" s="2"/>
      <c r="N404" s="2"/>
      <c r="O404" s="7"/>
      <c r="P404" s="8"/>
      <c r="Q404" s="9"/>
      <c r="R404" s="7"/>
      <c r="S404" s="8"/>
      <c r="T404" s="10"/>
      <c r="U404" s="2"/>
      <c r="V404" s="2"/>
    </row>
    <row r="405" spans="2:22" x14ac:dyDescent="0.2">
      <c r="B405" s="40">
        <v>44321</v>
      </c>
      <c r="C405" s="41">
        <v>0.01</v>
      </c>
      <c r="E405" s="2"/>
      <c r="F405" s="2"/>
      <c r="G405" s="2"/>
      <c r="H405" s="2"/>
      <c r="I405" s="2"/>
      <c r="J405" s="2"/>
      <c r="K405" s="2"/>
      <c r="L405" s="2"/>
      <c r="M405" s="2"/>
      <c r="N405" s="2"/>
      <c r="O405" s="7"/>
      <c r="P405" s="8"/>
      <c r="Q405" s="9"/>
      <c r="R405" s="7"/>
      <c r="S405" s="8"/>
      <c r="T405" s="10"/>
      <c r="U405" s="2"/>
      <c r="V405" s="2"/>
    </row>
    <row r="406" spans="2:22" x14ac:dyDescent="0.2">
      <c r="B406" s="40">
        <v>44322</v>
      </c>
      <c r="C406" s="41">
        <v>0.01</v>
      </c>
      <c r="E406" s="2"/>
      <c r="F406" s="2"/>
      <c r="G406" s="2"/>
      <c r="H406" s="2"/>
      <c r="I406" s="2"/>
      <c r="J406" s="2"/>
      <c r="K406" s="2"/>
      <c r="L406" s="2"/>
      <c r="M406" s="2"/>
      <c r="N406" s="2"/>
      <c r="O406" s="7"/>
      <c r="P406" s="8"/>
      <c r="Q406" s="9"/>
      <c r="R406" s="7"/>
      <c r="S406" s="8"/>
      <c r="T406" s="10"/>
      <c r="U406" s="2"/>
      <c r="V406" s="2"/>
    </row>
    <row r="407" spans="2:22" x14ac:dyDescent="0.2">
      <c r="B407" s="40">
        <v>44323</v>
      </c>
      <c r="C407" s="41">
        <v>0.01</v>
      </c>
      <c r="E407" s="2"/>
      <c r="F407" s="2"/>
      <c r="G407" s="2"/>
      <c r="H407" s="2"/>
      <c r="I407" s="2"/>
      <c r="J407" s="2"/>
      <c r="K407" s="2"/>
      <c r="L407" s="2"/>
      <c r="M407" s="2"/>
      <c r="N407" s="2"/>
      <c r="O407" s="7"/>
      <c r="P407" s="8"/>
      <c r="Q407" s="9"/>
      <c r="R407" s="7"/>
      <c r="S407" s="8"/>
      <c r="T407" s="10"/>
      <c r="U407" s="2"/>
      <c r="V407" s="2"/>
    </row>
    <row r="408" spans="2:22" x14ac:dyDescent="0.2">
      <c r="B408" s="40">
        <v>44326</v>
      </c>
      <c r="C408" s="41">
        <v>0.01</v>
      </c>
      <c r="E408" s="2"/>
      <c r="F408" s="2"/>
      <c r="G408" s="2"/>
      <c r="H408" s="2"/>
      <c r="I408" s="2"/>
      <c r="J408" s="2"/>
      <c r="K408" s="2"/>
      <c r="L408" s="2"/>
      <c r="M408" s="2"/>
      <c r="N408" s="2"/>
      <c r="O408" s="7"/>
      <c r="P408" s="8"/>
      <c r="Q408" s="9"/>
      <c r="R408" s="7"/>
      <c r="S408" s="8"/>
      <c r="T408" s="10"/>
      <c r="U408" s="2"/>
      <c r="V408" s="2"/>
    </row>
    <row r="409" spans="2:22" x14ac:dyDescent="0.2">
      <c r="B409" s="40">
        <v>44327</v>
      </c>
      <c r="C409" s="41">
        <v>0.01</v>
      </c>
      <c r="E409" s="2"/>
      <c r="F409" s="2"/>
      <c r="G409" s="2"/>
      <c r="H409" s="2"/>
      <c r="I409" s="2"/>
      <c r="J409" s="2"/>
      <c r="K409" s="2"/>
      <c r="L409" s="2"/>
      <c r="M409" s="2"/>
      <c r="N409" s="2"/>
      <c r="O409" s="7"/>
      <c r="P409" s="8"/>
      <c r="Q409" s="9"/>
      <c r="R409" s="7"/>
      <c r="S409" s="8"/>
      <c r="T409" s="10"/>
      <c r="U409" s="2"/>
      <c r="V409" s="2"/>
    </row>
    <row r="410" spans="2:22" x14ac:dyDescent="0.2">
      <c r="B410" s="40">
        <v>44328</v>
      </c>
      <c r="C410" s="41">
        <v>0.01</v>
      </c>
      <c r="E410" s="2"/>
      <c r="F410" s="2"/>
      <c r="G410" s="2"/>
      <c r="H410" s="2"/>
      <c r="I410" s="2"/>
      <c r="J410" s="2"/>
      <c r="K410" s="2"/>
      <c r="L410" s="2"/>
      <c r="M410" s="2"/>
      <c r="N410" s="2"/>
      <c r="O410" s="7"/>
      <c r="P410" s="8"/>
      <c r="Q410" s="9"/>
      <c r="R410" s="7"/>
      <c r="S410" s="8"/>
      <c r="T410" s="10"/>
      <c r="U410" s="2"/>
      <c r="V410" s="2"/>
    </row>
    <row r="411" spans="2:22" x14ac:dyDescent="0.2">
      <c r="B411" s="40">
        <v>44329</v>
      </c>
      <c r="C411" s="41">
        <v>0.01</v>
      </c>
      <c r="E411" s="2"/>
      <c r="F411" s="2"/>
      <c r="G411" s="2"/>
      <c r="H411" s="2"/>
      <c r="I411" s="2"/>
      <c r="J411" s="2"/>
      <c r="K411" s="2"/>
      <c r="L411" s="2"/>
      <c r="M411" s="2"/>
      <c r="N411" s="2"/>
      <c r="O411" s="7"/>
      <c r="P411" s="8"/>
      <c r="Q411" s="9"/>
      <c r="R411" s="7"/>
      <c r="S411" s="8"/>
      <c r="T411" s="10"/>
      <c r="U411" s="2"/>
      <c r="V411" s="2"/>
    </row>
    <row r="412" spans="2:22" x14ac:dyDescent="0.2">
      <c r="B412" s="40">
        <v>44330</v>
      </c>
      <c r="C412" s="41">
        <v>0.01</v>
      </c>
      <c r="E412" s="2"/>
      <c r="F412" s="2"/>
      <c r="G412" s="2"/>
      <c r="H412" s="2"/>
      <c r="I412" s="2"/>
      <c r="J412" s="2"/>
      <c r="K412" s="2"/>
      <c r="L412" s="2"/>
      <c r="M412" s="2"/>
      <c r="N412" s="2"/>
      <c r="O412" s="7"/>
      <c r="P412" s="8"/>
      <c r="Q412" s="9"/>
      <c r="R412" s="7"/>
      <c r="S412" s="8"/>
      <c r="T412" s="10"/>
      <c r="U412" s="2"/>
      <c r="V412" s="2"/>
    </row>
    <row r="413" spans="2:22" x14ac:dyDescent="0.2">
      <c r="B413" s="40">
        <v>44333</v>
      </c>
      <c r="C413" s="41">
        <v>0.01</v>
      </c>
      <c r="E413" s="2"/>
      <c r="F413" s="2"/>
      <c r="G413" s="2"/>
      <c r="H413" s="2"/>
      <c r="I413" s="2"/>
      <c r="J413" s="2"/>
      <c r="K413" s="2"/>
      <c r="L413" s="2"/>
      <c r="M413" s="2"/>
      <c r="N413" s="2"/>
      <c r="O413" s="7"/>
      <c r="P413" s="8"/>
      <c r="Q413" s="9"/>
      <c r="R413" s="7"/>
      <c r="S413" s="8"/>
      <c r="T413" s="10"/>
      <c r="U413" s="2"/>
      <c r="V413" s="2"/>
    </row>
    <row r="414" spans="2:22" x14ac:dyDescent="0.2">
      <c r="B414" s="40">
        <v>44334</v>
      </c>
      <c r="C414" s="41">
        <v>0.01</v>
      </c>
      <c r="E414" s="2"/>
      <c r="F414" s="2"/>
      <c r="G414" s="2"/>
      <c r="H414" s="2"/>
      <c r="I414" s="2"/>
      <c r="J414" s="2"/>
      <c r="K414" s="2"/>
      <c r="L414" s="2"/>
      <c r="M414" s="2"/>
      <c r="N414" s="2"/>
      <c r="O414" s="7"/>
      <c r="P414" s="8"/>
      <c r="Q414" s="9"/>
      <c r="R414" s="7"/>
      <c r="S414" s="8"/>
      <c r="T414" s="10"/>
      <c r="U414" s="2"/>
      <c r="V414" s="2"/>
    </row>
    <row r="415" spans="2:22" x14ac:dyDescent="0.2">
      <c r="B415" s="40">
        <v>44335</v>
      </c>
      <c r="C415" s="41">
        <v>0.01</v>
      </c>
      <c r="E415" s="2"/>
      <c r="F415" s="2"/>
      <c r="G415" s="2"/>
      <c r="H415" s="2"/>
      <c r="I415" s="2"/>
      <c r="J415" s="2"/>
      <c r="K415" s="2"/>
      <c r="L415" s="2"/>
      <c r="M415" s="2"/>
      <c r="N415" s="2"/>
      <c r="O415" s="7"/>
      <c r="P415" s="8"/>
      <c r="Q415" s="9"/>
      <c r="R415" s="7"/>
      <c r="S415" s="8"/>
      <c r="T415" s="10"/>
      <c r="U415" s="2"/>
      <c r="V415" s="2"/>
    </row>
    <row r="416" spans="2:22" x14ac:dyDescent="0.2">
      <c r="B416" s="40">
        <v>44336</v>
      </c>
      <c r="C416" s="41">
        <v>0.01</v>
      </c>
      <c r="E416" s="2"/>
      <c r="F416" s="2"/>
      <c r="G416" s="2"/>
      <c r="H416" s="2"/>
      <c r="I416" s="2"/>
      <c r="J416" s="2"/>
      <c r="K416" s="2"/>
      <c r="L416" s="2"/>
      <c r="M416" s="2"/>
      <c r="N416" s="2"/>
      <c r="O416" s="7"/>
      <c r="P416" s="8"/>
      <c r="Q416" s="9"/>
      <c r="R416" s="7"/>
      <c r="S416" s="8"/>
      <c r="T416" s="10"/>
      <c r="U416" s="2"/>
      <c r="V416" s="2"/>
    </row>
    <row r="417" spans="2:22" x14ac:dyDescent="0.2">
      <c r="B417" s="40">
        <v>44337</v>
      </c>
      <c r="C417" s="41">
        <v>0.01</v>
      </c>
      <c r="E417" s="2"/>
      <c r="F417" s="2"/>
      <c r="G417" s="2"/>
      <c r="H417" s="2"/>
      <c r="I417" s="2"/>
      <c r="J417" s="2"/>
      <c r="K417" s="2"/>
      <c r="L417" s="2"/>
      <c r="M417" s="2"/>
      <c r="N417" s="2"/>
      <c r="O417" s="7"/>
      <c r="P417" s="8"/>
      <c r="Q417" s="9"/>
      <c r="R417" s="7"/>
      <c r="S417" s="8"/>
      <c r="T417" s="10"/>
      <c r="U417" s="2"/>
      <c r="V417" s="2"/>
    </row>
    <row r="418" spans="2:22" x14ac:dyDescent="0.2">
      <c r="B418" s="40">
        <v>44340</v>
      </c>
      <c r="C418" s="41">
        <v>0.01</v>
      </c>
      <c r="E418" s="2"/>
      <c r="F418" s="2"/>
      <c r="G418" s="2"/>
      <c r="H418" s="2"/>
      <c r="I418" s="2"/>
      <c r="J418" s="2"/>
      <c r="K418" s="2"/>
      <c r="L418" s="2"/>
      <c r="M418" s="2"/>
      <c r="N418" s="2"/>
      <c r="O418" s="7"/>
      <c r="P418" s="8"/>
      <c r="Q418" s="9"/>
      <c r="R418" s="7"/>
      <c r="S418" s="8"/>
      <c r="T418" s="10"/>
      <c r="U418" s="2"/>
      <c r="V418" s="2"/>
    </row>
    <row r="419" spans="2:22" x14ac:dyDescent="0.2">
      <c r="B419" s="40">
        <v>44341</v>
      </c>
      <c r="C419" s="41">
        <v>0.01</v>
      </c>
      <c r="E419" s="2"/>
      <c r="F419" s="2"/>
      <c r="G419" s="2"/>
      <c r="H419" s="2"/>
      <c r="I419" s="2"/>
      <c r="J419" s="2"/>
      <c r="K419" s="2"/>
      <c r="L419" s="2"/>
      <c r="M419" s="2"/>
      <c r="N419" s="2"/>
      <c r="O419" s="7"/>
      <c r="P419" s="8"/>
      <c r="Q419" s="9"/>
      <c r="R419" s="7"/>
      <c r="S419" s="8"/>
      <c r="T419" s="10"/>
      <c r="U419" s="2"/>
      <c r="V419" s="2"/>
    </row>
    <row r="420" spans="2:22" x14ac:dyDescent="0.2">
      <c r="B420" s="40">
        <v>44342</v>
      </c>
      <c r="C420" s="41">
        <v>0.01</v>
      </c>
      <c r="E420" s="2"/>
      <c r="F420" s="2"/>
      <c r="G420" s="2"/>
      <c r="H420" s="2"/>
      <c r="I420" s="2"/>
      <c r="J420" s="2"/>
      <c r="K420" s="2"/>
      <c r="L420" s="2"/>
      <c r="M420" s="2"/>
      <c r="N420" s="2"/>
      <c r="O420" s="7"/>
      <c r="P420" s="8"/>
      <c r="Q420" s="9"/>
      <c r="R420" s="7"/>
      <c r="S420" s="8"/>
      <c r="T420" s="10"/>
      <c r="U420" s="2"/>
      <c r="V420" s="2"/>
    </row>
    <row r="421" spans="2:22" x14ac:dyDescent="0.2">
      <c r="B421" s="40">
        <v>44343</v>
      </c>
      <c r="C421" s="41">
        <v>0.01</v>
      </c>
      <c r="E421" s="2"/>
      <c r="F421" s="2"/>
      <c r="G421" s="2"/>
      <c r="H421" s="2"/>
      <c r="I421" s="2"/>
      <c r="J421" s="2"/>
      <c r="K421" s="2"/>
      <c r="L421" s="2"/>
      <c r="M421" s="2"/>
      <c r="N421" s="2"/>
      <c r="O421" s="7"/>
      <c r="P421" s="8"/>
      <c r="Q421" s="9"/>
      <c r="R421" s="7"/>
      <c r="S421" s="8"/>
      <c r="T421" s="10"/>
      <c r="U421" s="2"/>
      <c r="V421" s="2"/>
    </row>
    <row r="422" spans="2:22" x14ac:dyDescent="0.2">
      <c r="B422" s="40">
        <v>44344</v>
      </c>
      <c r="C422" s="41">
        <v>0.01</v>
      </c>
      <c r="E422" s="2"/>
      <c r="F422" s="2"/>
      <c r="G422" s="2"/>
      <c r="H422" s="2"/>
      <c r="I422" s="2"/>
      <c r="J422" s="2"/>
      <c r="K422" s="2"/>
      <c r="L422" s="2"/>
      <c r="M422" s="2"/>
      <c r="N422" s="2"/>
      <c r="O422" s="7"/>
      <c r="P422" s="8"/>
      <c r="Q422" s="9"/>
      <c r="R422" s="7"/>
      <c r="S422" s="8"/>
      <c r="T422" s="10"/>
      <c r="U422" s="2"/>
      <c r="V422" s="2"/>
    </row>
    <row r="423" spans="2:22" x14ac:dyDescent="0.2">
      <c r="B423" s="40">
        <v>44348</v>
      </c>
      <c r="C423" s="41">
        <v>0.01</v>
      </c>
      <c r="E423" s="2"/>
      <c r="F423" s="2"/>
      <c r="G423" s="2"/>
      <c r="H423" s="2"/>
      <c r="I423" s="2"/>
      <c r="J423" s="2"/>
      <c r="K423" s="2"/>
      <c r="L423" s="2"/>
      <c r="M423" s="2"/>
      <c r="N423" s="2"/>
      <c r="O423" s="7"/>
      <c r="P423" s="8"/>
      <c r="Q423" s="9"/>
      <c r="R423" s="7"/>
      <c r="S423" s="8"/>
      <c r="T423" s="10"/>
      <c r="U423" s="2"/>
      <c r="V423" s="2"/>
    </row>
    <row r="424" spans="2:22" x14ac:dyDescent="0.2">
      <c r="B424" s="40">
        <v>44349</v>
      </c>
      <c r="C424" s="41">
        <v>0.01</v>
      </c>
      <c r="E424" s="2"/>
      <c r="F424" s="2"/>
      <c r="G424" s="2"/>
      <c r="H424" s="2"/>
      <c r="I424" s="2"/>
      <c r="J424" s="2"/>
      <c r="K424" s="2"/>
      <c r="L424" s="2"/>
      <c r="M424" s="2"/>
      <c r="N424" s="2"/>
      <c r="O424" s="7"/>
      <c r="P424" s="8"/>
      <c r="Q424" s="9"/>
      <c r="R424" s="7"/>
      <c r="S424" s="8"/>
      <c r="T424" s="10"/>
      <c r="U424" s="2"/>
      <c r="V424" s="2"/>
    </row>
    <row r="425" spans="2:22" x14ac:dyDescent="0.2">
      <c r="B425" s="40">
        <v>44350</v>
      </c>
      <c r="C425" s="41">
        <v>0.01</v>
      </c>
      <c r="E425" s="2"/>
      <c r="F425" s="2"/>
      <c r="G425" s="2"/>
      <c r="H425" s="2"/>
      <c r="I425" s="2"/>
      <c r="J425" s="2"/>
      <c r="K425" s="2"/>
      <c r="L425" s="2"/>
      <c r="M425" s="2"/>
      <c r="N425" s="2"/>
      <c r="O425" s="7"/>
      <c r="P425" s="8"/>
      <c r="Q425" s="9"/>
      <c r="R425" s="7"/>
      <c r="S425" s="8"/>
      <c r="T425" s="10"/>
      <c r="U425" s="2"/>
      <c r="V425" s="2"/>
    </row>
    <row r="426" spans="2:22" x14ac:dyDescent="0.2">
      <c r="B426" s="40">
        <v>44351</v>
      </c>
      <c r="C426" s="41">
        <v>0.01</v>
      </c>
      <c r="E426" s="2"/>
      <c r="F426" s="2"/>
      <c r="G426" s="2"/>
      <c r="H426" s="2"/>
      <c r="I426" s="2"/>
      <c r="J426" s="2"/>
      <c r="K426" s="2"/>
      <c r="L426" s="2"/>
      <c r="M426" s="2"/>
      <c r="N426" s="2"/>
      <c r="O426" s="7"/>
      <c r="P426" s="8"/>
      <c r="Q426" s="9"/>
      <c r="R426" s="7"/>
      <c r="S426" s="8"/>
      <c r="T426" s="10"/>
      <c r="U426" s="2"/>
      <c r="V426" s="2"/>
    </row>
    <row r="427" spans="2:22" x14ac:dyDescent="0.2">
      <c r="B427" s="40">
        <v>44354</v>
      </c>
      <c r="C427" s="41">
        <v>0.01</v>
      </c>
      <c r="E427" s="2"/>
      <c r="F427" s="2"/>
      <c r="G427" s="2"/>
      <c r="H427" s="2"/>
      <c r="I427" s="2"/>
      <c r="J427" s="2"/>
      <c r="K427" s="2"/>
      <c r="L427" s="2"/>
      <c r="M427" s="2"/>
      <c r="N427" s="2"/>
      <c r="O427" s="7"/>
      <c r="P427" s="8"/>
      <c r="Q427" s="9"/>
      <c r="R427" s="7"/>
      <c r="S427" s="8"/>
      <c r="T427" s="10"/>
      <c r="U427" s="2"/>
      <c r="V427" s="2"/>
    </row>
    <row r="428" spans="2:22" x14ac:dyDescent="0.2">
      <c r="B428" s="40">
        <v>44355</v>
      </c>
      <c r="C428" s="41">
        <v>0.01</v>
      </c>
      <c r="E428" s="2"/>
      <c r="F428" s="2"/>
      <c r="G428" s="2"/>
      <c r="H428" s="2"/>
      <c r="I428" s="2"/>
      <c r="J428" s="2"/>
      <c r="K428" s="2"/>
      <c r="L428" s="2"/>
      <c r="M428" s="2"/>
      <c r="N428" s="2"/>
      <c r="O428" s="7"/>
      <c r="P428" s="8"/>
      <c r="Q428" s="9"/>
      <c r="R428" s="7"/>
      <c r="S428" s="8"/>
      <c r="T428" s="10"/>
      <c r="U428" s="2"/>
      <c r="V428" s="2"/>
    </row>
    <row r="429" spans="2:22" x14ac:dyDescent="0.2">
      <c r="B429" s="40">
        <v>44356</v>
      </c>
      <c r="C429" s="41">
        <v>0.01</v>
      </c>
      <c r="E429" s="2"/>
      <c r="F429" s="2"/>
      <c r="G429" s="2"/>
      <c r="H429" s="2"/>
      <c r="I429" s="2"/>
      <c r="J429" s="2"/>
      <c r="K429" s="2"/>
      <c r="L429" s="2"/>
      <c r="M429" s="2"/>
      <c r="N429" s="2"/>
      <c r="O429" s="7"/>
      <c r="P429" s="8"/>
      <c r="Q429" s="9"/>
      <c r="R429" s="7"/>
      <c r="S429" s="8"/>
      <c r="T429" s="10"/>
      <c r="U429" s="2"/>
      <c r="V429" s="2"/>
    </row>
    <row r="430" spans="2:22" x14ac:dyDescent="0.2">
      <c r="B430" s="40">
        <v>44357</v>
      </c>
      <c r="C430" s="41">
        <v>0.01</v>
      </c>
      <c r="E430" s="2"/>
      <c r="F430" s="2"/>
      <c r="G430" s="2"/>
      <c r="H430" s="2"/>
      <c r="I430" s="2"/>
      <c r="J430" s="2"/>
      <c r="K430" s="2"/>
      <c r="L430" s="2"/>
      <c r="M430" s="2"/>
      <c r="N430" s="2"/>
      <c r="O430" s="7"/>
      <c r="P430" s="8"/>
      <c r="Q430" s="9"/>
      <c r="R430" s="7"/>
      <c r="S430" s="8"/>
      <c r="T430" s="10"/>
      <c r="U430" s="2"/>
      <c r="V430" s="2"/>
    </row>
    <row r="431" spans="2:22" x14ac:dyDescent="0.2">
      <c r="B431" s="40">
        <v>44358</v>
      </c>
      <c r="C431" s="41">
        <v>0.01</v>
      </c>
      <c r="E431" s="2"/>
      <c r="F431" s="2"/>
      <c r="G431" s="2"/>
      <c r="H431" s="2"/>
      <c r="I431" s="2"/>
      <c r="J431" s="2"/>
      <c r="K431" s="2"/>
      <c r="L431" s="2"/>
      <c r="M431" s="2"/>
      <c r="N431" s="2"/>
      <c r="O431" s="7"/>
      <c r="P431" s="8"/>
      <c r="Q431" s="9"/>
      <c r="R431" s="7"/>
      <c r="S431" s="8"/>
      <c r="T431" s="10"/>
      <c r="U431" s="2"/>
      <c r="V431" s="2"/>
    </row>
    <row r="432" spans="2:22" x14ac:dyDescent="0.2">
      <c r="B432" s="40">
        <v>44361</v>
      </c>
      <c r="C432" s="41">
        <v>0.01</v>
      </c>
      <c r="E432" s="2"/>
      <c r="F432" s="2"/>
      <c r="G432" s="2"/>
      <c r="H432" s="2"/>
      <c r="I432" s="2"/>
      <c r="J432" s="2"/>
      <c r="K432" s="2"/>
      <c r="L432" s="2"/>
      <c r="M432" s="2"/>
      <c r="N432" s="2"/>
      <c r="O432" s="7"/>
      <c r="P432" s="8"/>
      <c r="Q432" s="9"/>
      <c r="R432" s="7"/>
      <c r="S432" s="8"/>
      <c r="T432" s="10"/>
      <c r="U432" s="2"/>
      <c r="V432" s="2"/>
    </row>
    <row r="433" spans="2:22" x14ac:dyDescent="0.2">
      <c r="B433" s="40">
        <v>44362</v>
      </c>
      <c r="C433" s="41">
        <v>0.01</v>
      </c>
      <c r="E433" s="2"/>
      <c r="F433" s="2"/>
      <c r="G433" s="2"/>
      <c r="H433" s="2"/>
      <c r="I433" s="2"/>
      <c r="J433" s="2"/>
      <c r="K433" s="2"/>
      <c r="L433" s="2"/>
      <c r="M433" s="2"/>
      <c r="N433" s="2"/>
      <c r="O433" s="7"/>
      <c r="P433" s="8"/>
      <c r="Q433" s="9"/>
      <c r="R433" s="7"/>
      <c r="S433" s="8"/>
      <c r="T433" s="10"/>
      <c r="U433" s="2"/>
      <c r="V433" s="2"/>
    </row>
    <row r="434" spans="2:22" x14ac:dyDescent="0.2">
      <c r="B434" s="40">
        <v>44363</v>
      </c>
      <c r="C434" s="41">
        <v>0.01</v>
      </c>
      <c r="E434" s="2"/>
      <c r="F434" s="2"/>
      <c r="G434" s="2"/>
      <c r="H434" s="2"/>
      <c r="I434" s="2"/>
      <c r="J434" s="2"/>
      <c r="K434" s="2"/>
      <c r="L434" s="2"/>
      <c r="M434" s="2"/>
      <c r="N434" s="2"/>
      <c r="O434" s="7"/>
      <c r="P434" s="8"/>
      <c r="Q434" s="9"/>
      <c r="R434" s="7"/>
      <c r="S434" s="8"/>
      <c r="T434" s="10"/>
      <c r="U434" s="2"/>
      <c r="V434" s="2"/>
    </row>
    <row r="435" spans="2:22" x14ac:dyDescent="0.2">
      <c r="B435" s="40">
        <v>44364</v>
      </c>
      <c r="C435" s="41">
        <v>0.05</v>
      </c>
      <c r="E435" s="2"/>
      <c r="F435" s="2"/>
      <c r="G435" s="2"/>
      <c r="H435" s="2"/>
      <c r="I435" s="2"/>
      <c r="J435" s="2"/>
      <c r="K435" s="2"/>
      <c r="L435" s="2"/>
      <c r="M435" s="2"/>
      <c r="N435" s="2"/>
      <c r="O435" s="7"/>
      <c r="P435" s="8"/>
      <c r="Q435" s="9"/>
      <c r="R435" s="7"/>
      <c r="S435" s="8"/>
      <c r="T435" s="10"/>
      <c r="U435" s="2"/>
      <c r="V435" s="2"/>
    </row>
    <row r="436" spans="2:22" x14ac:dyDescent="0.2">
      <c r="B436" s="40">
        <v>44365</v>
      </c>
      <c r="C436" s="41">
        <v>0.05</v>
      </c>
      <c r="E436" s="2"/>
      <c r="F436" s="2"/>
      <c r="G436" s="2"/>
      <c r="H436" s="2"/>
      <c r="I436" s="2"/>
      <c r="J436" s="2"/>
      <c r="K436" s="2"/>
      <c r="L436" s="2"/>
      <c r="M436" s="2"/>
      <c r="N436" s="2"/>
      <c r="O436" s="7"/>
      <c r="P436" s="8"/>
      <c r="Q436" s="9"/>
      <c r="R436" s="7"/>
      <c r="S436" s="8"/>
      <c r="T436" s="10"/>
      <c r="U436" s="2"/>
      <c r="V436" s="2"/>
    </row>
    <row r="437" spans="2:22" x14ac:dyDescent="0.2">
      <c r="B437" s="40">
        <v>44368</v>
      </c>
      <c r="C437" s="41">
        <v>0.05</v>
      </c>
      <c r="E437" s="2"/>
      <c r="F437" s="2"/>
      <c r="G437" s="2"/>
      <c r="H437" s="2"/>
      <c r="I437" s="2"/>
      <c r="J437" s="2"/>
      <c r="K437" s="2"/>
      <c r="L437" s="2"/>
      <c r="M437" s="2"/>
      <c r="N437" s="2"/>
      <c r="O437" s="7"/>
      <c r="P437" s="8"/>
      <c r="Q437" s="9"/>
      <c r="R437" s="7"/>
      <c r="S437" s="8"/>
      <c r="T437" s="10"/>
      <c r="U437" s="2"/>
      <c r="V437" s="2"/>
    </row>
    <row r="438" spans="2:22" x14ac:dyDescent="0.2">
      <c r="B438" s="40">
        <v>44369</v>
      </c>
      <c r="C438" s="41">
        <v>0.05</v>
      </c>
      <c r="E438" s="2"/>
      <c r="F438" s="2"/>
      <c r="G438" s="2"/>
      <c r="H438" s="2"/>
      <c r="I438" s="2"/>
      <c r="J438" s="2"/>
      <c r="K438" s="2"/>
      <c r="L438" s="2"/>
      <c r="M438" s="2"/>
      <c r="N438" s="2"/>
      <c r="O438" s="7"/>
      <c r="P438" s="8"/>
      <c r="Q438" s="9"/>
      <c r="R438" s="7"/>
      <c r="S438" s="8"/>
      <c r="T438" s="10"/>
      <c r="U438" s="2"/>
      <c r="V438" s="2"/>
    </row>
    <row r="439" spans="2:22" x14ac:dyDescent="0.2">
      <c r="B439" s="40">
        <v>44370</v>
      </c>
      <c r="C439" s="41">
        <v>0.05</v>
      </c>
      <c r="E439" s="2"/>
      <c r="F439" s="2"/>
      <c r="G439" s="2"/>
      <c r="H439" s="2"/>
      <c r="I439" s="2"/>
      <c r="J439" s="2"/>
      <c r="K439" s="2"/>
      <c r="L439" s="2"/>
      <c r="M439" s="2"/>
      <c r="N439" s="2"/>
      <c r="O439" s="7"/>
      <c r="P439" s="8"/>
      <c r="Q439" s="9"/>
      <c r="R439" s="7"/>
      <c r="S439" s="8"/>
      <c r="T439" s="10"/>
      <c r="U439" s="2"/>
      <c r="V439" s="2"/>
    </row>
    <row r="440" spans="2:22" x14ac:dyDescent="0.2">
      <c r="B440" s="40">
        <v>44371</v>
      </c>
      <c r="C440" s="41">
        <v>0.05</v>
      </c>
      <c r="E440" s="2"/>
      <c r="F440" s="2"/>
      <c r="G440" s="2"/>
      <c r="H440" s="2"/>
      <c r="I440" s="2"/>
      <c r="J440" s="2"/>
      <c r="K440" s="2"/>
      <c r="L440" s="2"/>
      <c r="M440" s="2"/>
      <c r="N440" s="2"/>
      <c r="O440" s="7"/>
      <c r="P440" s="8"/>
      <c r="Q440" s="9"/>
      <c r="R440" s="7"/>
      <c r="S440" s="8"/>
      <c r="T440" s="10"/>
      <c r="U440" s="2"/>
      <c r="V440" s="2"/>
    </row>
    <row r="441" spans="2:22" x14ac:dyDescent="0.2">
      <c r="B441" s="40">
        <v>44372</v>
      </c>
      <c r="C441" s="41">
        <v>0.05</v>
      </c>
      <c r="E441" s="2"/>
      <c r="F441" s="2"/>
      <c r="G441" s="2"/>
      <c r="H441" s="2"/>
      <c r="I441" s="2"/>
      <c r="J441" s="2"/>
      <c r="K441" s="2"/>
      <c r="L441" s="2"/>
      <c r="M441" s="2"/>
      <c r="N441" s="2"/>
      <c r="O441" s="7"/>
      <c r="P441" s="8"/>
      <c r="Q441" s="9"/>
      <c r="R441" s="7"/>
      <c r="S441" s="8"/>
      <c r="T441" s="10"/>
      <c r="U441" s="2"/>
      <c r="V441" s="2"/>
    </row>
    <row r="442" spans="2:22" x14ac:dyDescent="0.2">
      <c r="B442" s="40">
        <v>44375</v>
      </c>
      <c r="C442" s="41">
        <v>0.05</v>
      </c>
      <c r="E442" s="2"/>
      <c r="F442" s="2"/>
      <c r="G442" s="2"/>
      <c r="H442" s="2"/>
      <c r="I442" s="2"/>
      <c r="J442" s="2"/>
      <c r="K442" s="2"/>
      <c r="L442" s="2"/>
      <c r="M442" s="2"/>
      <c r="N442" s="2"/>
      <c r="O442" s="7"/>
      <c r="P442" s="8"/>
      <c r="Q442" s="9"/>
      <c r="R442" s="7"/>
      <c r="S442" s="8"/>
      <c r="T442" s="10"/>
      <c r="U442" s="2"/>
      <c r="V442" s="2"/>
    </row>
    <row r="443" spans="2:22" x14ac:dyDescent="0.2">
      <c r="B443" s="40">
        <v>44376</v>
      </c>
      <c r="C443" s="41">
        <v>0.05</v>
      </c>
      <c r="E443" s="2"/>
      <c r="F443" s="2"/>
      <c r="G443" s="2"/>
      <c r="H443" s="2"/>
      <c r="I443" s="2"/>
      <c r="J443" s="2"/>
      <c r="K443" s="2"/>
      <c r="L443" s="2"/>
      <c r="M443" s="2"/>
      <c r="N443" s="2"/>
      <c r="O443" s="7"/>
      <c r="P443" s="8"/>
      <c r="Q443" s="9"/>
      <c r="R443" s="7"/>
      <c r="S443" s="8"/>
      <c r="T443" s="10"/>
      <c r="U443" s="2"/>
      <c r="V443" s="2"/>
    </row>
    <row r="444" spans="2:22" x14ac:dyDescent="0.2">
      <c r="B444" s="40">
        <v>44377</v>
      </c>
      <c r="C444" s="41">
        <v>0.05</v>
      </c>
      <c r="E444" s="2"/>
      <c r="F444" s="2"/>
      <c r="G444" s="2"/>
      <c r="H444" s="2"/>
      <c r="I444" s="2"/>
      <c r="J444" s="2"/>
      <c r="K444" s="2"/>
      <c r="L444" s="2"/>
      <c r="M444" s="2"/>
      <c r="N444" s="2"/>
      <c r="O444" s="7"/>
      <c r="P444" s="8"/>
      <c r="Q444" s="9"/>
      <c r="R444" s="7"/>
      <c r="S444" s="8"/>
      <c r="T444" s="10"/>
      <c r="U444" s="2"/>
      <c r="V444" s="2"/>
    </row>
    <row r="445" spans="2:22" x14ac:dyDescent="0.2">
      <c r="B445" s="40">
        <v>44378</v>
      </c>
      <c r="C445" s="41">
        <v>0.05</v>
      </c>
      <c r="E445" s="2"/>
      <c r="F445" s="2"/>
      <c r="G445" s="2"/>
      <c r="H445" s="2"/>
      <c r="I445" s="2"/>
      <c r="J445" s="2"/>
      <c r="K445" s="2"/>
      <c r="L445" s="2"/>
      <c r="M445" s="2"/>
      <c r="N445" s="2"/>
      <c r="O445" s="7"/>
      <c r="P445" s="8"/>
      <c r="Q445" s="9"/>
      <c r="R445" s="7"/>
      <c r="S445" s="8"/>
      <c r="T445" s="10"/>
      <c r="U445" s="2"/>
      <c r="V445" s="2"/>
    </row>
    <row r="446" spans="2:22" x14ac:dyDescent="0.2">
      <c r="B446" s="40">
        <v>44379</v>
      </c>
      <c r="C446" s="41">
        <v>0.05</v>
      </c>
      <c r="E446" s="2"/>
      <c r="F446" s="2"/>
      <c r="G446" s="2"/>
      <c r="H446" s="2"/>
      <c r="I446" s="2"/>
      <c r="J446" s="2"/>
      <c r="K446" s="2"/>
      <c r="L446" s="2"/>
      <c r="M446" s="2"/>
      <c r="N446" s="2"/>
      <c r="O446" s="7"/>
      <c r="P446" s="8"/>
      <c r="Q446" s="9"/>
      <c r="R446" s="7"/>
      <c r="S446" s="8"/>
      <c r="T446" s="10"/>
      <c r="U446" s="2"/>
      <c r="V446" s="2"/>
    </row>
    <row r="447" spans="2:22" x14ac:dyDescent="0.2">
      <c r="B447" s="40">
        <v>44383</v>
      </c>
      <c r="C447" s="41">
        <v>0.05</v>
      </c>
      <c r="E447" s="2"/>
      <c r="F447" s="2"/>
      <c r="G447" s="2"/>
      <c r="H447" s="2"/>
      <c r="I447" s="2"/>
      <c r="J447" s="2"/>
      <c r="K447" s="2"/>
      <c r="L447" s="2"/>
      <c r="M447" s="2"/>
      <c r="N447" s="2"/>
      <c r="O447" s="7"/>
      <c r="P447" s="8"/>
      <c r="Q447" s="9"/>
      <c r="R447" s="7"/>
      <c r="S447" s="8"/>
      <c r="T447" s="10"/>
      <c r="U447" s="2"/>
      <c r="V447" s="2"/>
    </row>
    <row r="448" spans="2:22" x14ac:dyDescent="0.2">
      <c r="B448" s="40">
        <v>44384</v>
      </c>
      <c r="C448" s="41">
        <v>0.05</v>
      </c>
      <c r="E448" s="2"/>
      <c r="F448" s="2"/>
      <c r="G448" s="2"/>
      <c r="H448" s="2"/>
      <c r="I448" s="2"/>
      <c r="J448" s="2"/>
      <c r="K448" s="2"/>
      <c r="L448" s="2"/>
      <c r="M448" s="2"/>
      <c r="N448" s="2"/>
      <c r="O448" s="7"/>
      <c r="P448" s="8"/>
      <c r="Q448" s="9"/>
      <c r="R448" s="7"/>
      <c r="S448" s="8"/>
      <c r="T448" s="10"/>
      <c r="U448" s="2"/>
      <c r="V448" s="2"/>
    </row>
    <row r="449" spans="2:22" x14ac:dyDescent="0.2">
      <c r="B449" s="40">
        <v>44385</v>
      </c>
      <c r="C449" s="41">
        <v>0.05</v>
      </c>
      <c r="E449" s="2"/>
      <c r="F449" s="2"/>
      <c r="G449" s="2"/>
      <c r="H449" s="2"/>
      <c r="I449" s="2"/>
      <c r="J449" s="2"/>
      <c r="K449" s="2"/>
      <c r="L449" s="2"/>
      <c r="M449" s="2"/>
      <c r="N449" s="2"/>
      <c r="O449" s="7"/>
      <c r="P449" s="8"/>
      <c r="Q449" s="9"/>
      <c r="R449" s="7"/>
      <c r="S449" s="8"/>
      <c r="T449" s="10"/>
      <c r="U449" s="2"/>
      <c r="V449" s="2"/>
    </row>
    <row r="450" spans="2:22" x14ac:dyDescent="0.2">
      <c r="B450" s="40">
        <v>44386</v>
      </c>
      <c r="C450" s="41">
        <v>0.05</v>
      </c>
      <c r="E450" s="2"/>
      <c r="F450" s="2"/>
      <c r="G450" s="2"/>
      <c r="H450" s="2"/>
      <c r="I450" s="2"/>
      <c r="J450" s="2"/>
      <c r="K450" s="2"/>
      <c r="L450" s="2"/>
      <c r="M450" s="2"/>
      <c r="N450" s="2"/>
      <c r="O450" s="7"/>
      <c r="P450" s="8"/>
      <c r="Q450" s="9"/>
      <c r="R450" s="7"/>
      <c r="S450" s="8"/>
      <c r="T450" s="10"/>
      <c r="U450" s="2"/>
      <c r="V450" s="2"/>
    </row>
    <row r="451" spans="2:22" x14ac:dyDescent="0.2">
      <c r="B451" s="40">
        <v>44389</v>
      </c>
      <c r="C451" s="41">
        <v>0.05</v>
      </c>
      <c r="E451" s="2"/>
      <c r="F451" s="2"/>
      <c r="G451" s="2"/>
      <c r="H451" s="2"/>
      <c r="I451" s="2"/>
      <c r="J451" s="2"/>
      <c r="K451" s="2"/>
      <c r="L451" s="2"/>
      <c r="M451" s="2"/>
      <c r="N451" s="2"/>
      <c r="O451" s="7"/>
      <c r="P451" s="8"/>
      <c r="Q451" s="9"/>
      <c r="R451" s="7"/>
      <c r="S451" s="8"/>
      <c r="T451" s="10"/>
      <c r="U451" s="2"/>
      <c r="V451" s="2"/>
    </row>
    <row r="452" spans="2:22" x14ac:dyDescent="0.2">
      <c r="B452" s="40">
        <v>44390</v>
      </c>
      <c r="C452" s="41">
        <v>0.05</v>
      </c>
      <c r="E452" s="2"/>
      <c r="F452" s="2"/>
      <c r="G452" s="2"/>
      <c r="H452" s="2"/>
      <c r="I452" s="2"/>
      <c r="J452" s="2"/>
      <c r="K452" s="2"/>
      <c r="L452" s="2"/>
      <c r="M452" s="2"/>
      <c r="N452" s="2"/>
      <c r="O452" s="7"/>
      <c r="P452" s="8"/>
      <c r="Q452" s="9"/>
      <c r="R452" s="7"/>
      <c r="S452" s="8"/>
      <c r="T452" s="10"/>
      <c r="U452" s="2"/>
      <c r="V452" s="2"/>
    </row>
    <row r="453" spans="2:22" x14ac:dyDescent="0.2">
      <c r="B453" s="40">
        <v>44391</v>
      </c>
      <c r="C453" s="41">
        <v>0.05</v>
      </c>
      <c r="E453" s="2"/>
      <c r="F453" s="2"/>
      <c r="G453" s="2"/>
      <c r="H453" s="2"/>
      <c r="I453" s="2"/>
      <c r="J453" s="2"/>
      <c r="K453" s="2"/>
      <c r="L453" s="2"/>
      <c r="M453" s="2"/>
      <c r="N453" s="2"/>
      <c r="O453" s="7"/>
      <c r="P453" s="8"/>
      <c r="Q453" s="9"/>
      <c r="R453" s="7"/>
      <c r="S453" s="8"/>
      <c r="T453" s="10"/>
      <c r="U453" s="2"/>
      <c r="V453" s="2"/>
    </row>
    <row r="454" spans="2:22" x14ac:dyDescent="0.2">
      <c r="B454" s="40">
        <v>44392</v>
      </c>
      <c r="C454" s="41">
        <v>0.05</v>
      </c>
      <c r="E454" s="2"/>
      <c r="F454" s="2"/>
      <c r="G454" s="2"/>
      <c r="H454" s="2"/>
      <c r="I454" s="2"/>
      <c r="J454" s="2"/>
      <c r="K454" s="2"/>
      <c r="L454" s="2"/>
      <c r="M454" s="2"/>
      <c r="N454" s="2"/>
      <c r="O454" s="7"/>
      <c r="P454" s="8"/>
      <c r="Q454" s="9"/>
      <c r="R454" s="7"/>
      <c r="S454" s="8"/>
      <c r="T454" s="10"/>
      <c r="U454" s="2"/>
      <c r="V454" s="2"/>
    </row>
    <row r="455" spans="2:22" x14ac:dyDescent="0.2">
      <c r="B455" s="40">
        <v>44393</v>
      </c>
      <c r="C455" s="41">
        <v>0.05</v>
      </c>
      <c r="E455" s="2"/>
      <c r="F455" s="2"/>
      <c r="G455" s="2"/>
      <c r="H455" s="2"/>
      <c r="I455" s="2"/>
      <c r="J455" s="2"/>
      <c r="K455" s="2"/>
      <c r="L455" s="2"/>
      <c r="M455" s="2"/>
      <c r="N455" s="2"/>
      <c r="O455" s="7"/>
      <c r="P455" s="8"/>
      <c r="Q455" s="9"/>
      <c r="R455" s="7"/>
      <c r="S455" s="8"/>
      <c r="T455" s="10"/>
      <c r="U455" s="2"/>
      <c r="V455" s="2"/>
    </row>
    <row r="456" spans="2:22" x14ac:dyDescent="0.2">
      <c r="B456" s="40">
        <v>44396</v>
      </c>
      <c r="C456" s="41">
        <v>0.05</v>
      </c>
      <c r="E456" s="2"/>
      <c r="F456" s="2"/>
      <c r="G456" s="2"/>
      <c r="H456" s="2"/>
      <c r="I456" s="2"/>
      <c r="J456" s="2"/>
      <c r="K456" s="2"/>
      <c r="L456" s="2"/>
      <c r="M456" s="2"/>
      <c r="N456" s="2"/>
      <c r="O456" s="7"/>
      <c r="P456" s="8"/>
      <c r="Q456" s="9"/>
      <c r="R456" s="7"/>
      <c r="S456" s="8"/>
      <c r="T456" s="10"/>
      <c r="U456" s="2"/>
      <c r="V456" s="2"/>
    </row>
    <row r="457" spans="2:22" x14ac:dyDescent="0.2">
      <c r="B457" s="40">
        <v>44397</v>
      </c>
      <c r="C457" s="41">
        <v>0.05</v>
      </c>
      <c r="E457" s="2"/>
      <c r="F457" s="2"/>
      <c r="G457" s="2"/>
      <c r="H457" s="2"/>
      <c r="I457" s="2"/>
      <c r="J457" s="2"/>
      <c r="K457" s="2"/>
      <c r="L457" s="2"/>
      <c r="M457" s="2"/>
      <c r="N457" s="2"/>
      <c r="O457" s="7"/>
      <c r="P457" s="8"/>
      <c r="Q457" s="9"/>
      <c r="R457" s="7"/>
      <c r="S457" s="8"/>
      <c r="T457" s="10"/>
      <c r="U457" s="2"/>
      <c r="V457" s="2"/>
    </row>
    <row r="458" spans="2:22" x14ac:dyDescent="0.2">
      <c r="B458" s="40">
        <v>44398</v>
      </c>
      <c r="C458" s="41">
        <v>0.05</v>
      </c>
      <c r="E458" s="2"/>
      <c r="F458" s="2"/>
      <c r="G458" s="2"/>
      <c r="H458" s="2"/>
      <c r="I458" s="2"/>
      <c r="J458" s="2"/>
      <c r="K458" s="2"/>
      <c r="L458" s="2"/>
      <c r="M458" s="2"/>
      <c r="N458" s="2"/>
      <c r="O458" s="7"/>
      <c r="P458" s="8"/>
      <c r="Q458" s="9"/>
      <c r="R458" s="7"/>
      <c r="S458" s="8"/>
      <c r="T458" s="10"/>
      <c r="U458" s="2"/>
      <c r="V458" s="2"/>
    </row>
    <row r="459" spans="2:22" x14ac:dyDescent="0.2">
      <c r="B459" s="40">
        <v>44399</v>
      </c>
      <c r="C459" s="41">
        <v>0.05</v>
      </c>
      <c r="E459" s="2"/>
      <c r="F459" s="2"/>
      <c r="G459" s="2"/>
      <c r="H459" s="2"/>
      <c r="I459" s="2"/>
      <c r="J459" s="2"/>
      <c r="K459" s="2"/>
      <c r="L459" s="2"/>
      <c r="M459" s="2"/>
      <c r="N459" s="2"/>
      <c r="O459" s="7"/>
      <c r="P459" s="8"/>
      <c r="Q459" s="9"/>
      <c r="R459" s="7"/>
      <c r="S459" s="8"/>
      <c r="T459" s="10"/>
      <c r="U459" s="2"/>
      <c r="V459" s="2"/>
    </row>
    <row r="460" spans="2:22" x14ac:dyDescent="0.2">
      <c r="B460" s="40">
        <v>44400</v>
      </c>
      <c r="C460" s="41">
        <v>0.05</v>
      </c>
      <c r="E460" s="2"/>
      <c r="F460" s="2"/>
      <c r="G460" s="2"/>
      <c r="H460" s="2"/>
      <c r="I460" s="2"/>
      <c r="J460" s="2"/>
      <c r="K460" s="2"/>
      <c r="L460" s="2"/>
      <c r="M460" s="2"/>
      <c r="N460" s="2"/>
      <c r="O460" s="7"/>
      <c r="P460" s="8"/>
      <c r="Q460" s="9"/>
      <c r="R460" s="7"/>
      <c r="S460" s="8"/>
      <c r="T460" s="10"/>
      <c r="U460" s="2"/>
      <c r="V460" s="2"/>
    </row>
    <row r="461" spans="2:22" x14ac:dyDescent="0.2">
      <c r="B461" s="40">
        <v>44403</v>
      </c>
      <c r="C461" s="41">
        <v>0.05</v>
      </c>
      <c r="E461" s="2"/>
      <c r="F461" s="2"/>
      <c r="G461" s="2"/>
      <c r="H461" s="2"/>
      <c r="I461" s="2"/>
      <c r="J461" s="2"/>
      <c r="K461" s="2"/>
      <c r="L461" s="2"/>
      <c r="M461" s="2"/>
      <c r="N461" s="2"/>
      <c r="O461" s="7"/>
      <c r="P461" s="8"/>
      <c r="Q461" s="9"/>
      <c r="R461" s="7"/>
      <c r="S461" s="8"/>
      <c r="T461" s="10"/>
      <c r="U461" s="2"/>
      <c r="V461" s="2"/>
    </row>
    <row r="462" spans="2:22" x14ac:dyDescent="0.2">
      <c r="B462" s="40">
        <v>44404</v>
      </c>
      <c r="C462" s="41">
        <v>0.05</v>
      </c>
      <c r="E462" s="2"/>
      <c r="F462" s="2"/>
      <c r="G462" s="2"/>
      <c r="H462" s="2"/>
      <c r="I462" s="2"/>
      <c r="J462" s="2"/>
      <c r="K462" s="2"/>
      <c r="L462" s="2"/>
      <c r="M462" s="2"/>
      <c r="N462" s="2"/>
      <c r="O462" s="7"/>
      <c r="P462" s="8"/>
      <c r="Q462" s="9"/>
      <c r="R462" s="7"/>
      <c r="S462" s="8"/>
      <c r="T462" s="10"/>
      <c r="U462" s="2"/>
      <c r="V462" s="2"/>
    </row>
    <row r="463" spans="2:22" x14ac:dyDescent="0.2">
      <c r="B463" s="40">
        <v>44405</v>
      </c>
      <c r="C463" s="41">
        <v>0.05</v>
      </c>
      <c r="E463" s="2"/>
      <c r="F463" s="2"/>
      <c r="G463" s="2"/>
      <c r="H463" s="2"/>
      <c r="I463" s="2"/>
      <c r="J463" s="2"/>
      <c r="K463" s="2"/>
      <c r="L463" s="2"/>
      <c r="M463" s="2"/>
      <c r="N463" s="2"/>
      <c r="O463" s="7"/>
      <c r="P463" s="8"/>
      <c r="Q463" s="9"/>
      <c r="R463" s="7"/>
      <c r="S463" s="8"/>
      <c r="T463" s="10"/>
      <c r="U463" s="2"/>
      <c r="V463" s="2"/>
    </row>
    <row r="464" spans="2:22" x14ac:dyDescent="0.2">
      <c r="B464" s="40">
        <v>44406</v>
      </c>
      <c r="C464" s="41">
        <v>0.05</v>
      </c>
      <c r="E464" s="2"/>
      <c r="F464" s="2"/>
      <c r="G464" s="2"/>
      <c r="H464" s="2"/>
      <c r="I464" s="2"/>
      <c r="J464" s="2"/>
      <c r="K464" s="2"/>
      <c r="L464" s="2"/>
      <c r="M464" s="2"/>
      <c r="N464" s="2"/>
      <c r="O464" s="7"/>
      <c r="P464" s="8"/>
      <c r="Q464" s="9"/>
      <c r="R464" s="7"/>
      <c r="S464" s="8"/>
      <c r="T464" s="10"/>
      <c r="U464" s="2"/>
      <c r="V464" s="2"/>
    </row>
    <row r="465" spans="2:22" x14ac:dyDescent="0.2">
      <c r="B465" s="40">
        <v>44407</v>
      </c>
      <c r="C465" s="41">
        <v>0.05</v>
      </c>
      <c r="E465" s="2"/>
      <c r="F465" s="2"/>
      <c r="G465" s="2"/>
      <c r="H465" s="2"/>
      <c r="I465" s="2"/>
      <c r="J465" s="2"/>
      <c r="K465" s="2"/>
      <c r="L465" s="2"/>
      <c r="M465" s="2"/>
      <c r="N465" s="2"/>
      <c r="O465" s="7"/>
      <c r="P465" s="8"/>
      <c r="Q465" s="9"/>
      <c r="R465" s="7"/>
      <c r="S465" s="8"/>
      <c r="T465" s="10"/>
      <c r="U465" s="2"/>
      <c r="V465" s="2"/>
    </row>
    <row r="466" spans="2:22" x14ac:dyDescent="0.2">
      <c r="B466" s="40">
        <v>44410</v>
      </c>
      <c r="C466" s="41">
        <v>0.05</v>
      </c>
      <c r="E466" s="2"/>
      <c r="F466" s="2"/>
      <c r="G466" s="2"/>
      <c r="H466" s="2"/>
      <c r="I466" s="2"/>
      <c r="J466" s="2"/>
      <c r="K466" s="2"/>
      <c r="L466" s="2"/>
      <c r="M466" s="2"/>
      <c r="N466" s="2"/>
      <c r="O466" s="7"/>
      <c r="P466" s="8"/>
      <c r="Q466" s="9"/>
      <c r="R466" s="7"/>
      <c r="S466" s="8"/>
      <c r="T466" s="10"/>
      <c r="U466" s="2"/>
      <c r="V466" s="2"/>
    </row>
    <row r="467" spans="2:22" x14ac:dyDescent="0.2">
      <c r="B467" s="40">
        <v>44411</v>
      </c>
      <c r="C467" s="41">
        <v>0.05</v>
      </c>
      <c r="E467" s="2"/>
      <c r="F467" s="2"/>
      <c r="G467" s="2"/>
      <c r="H467" s="2"/>
      <c r="I467" s="2"/>
      <c r="J467" s="2"/>
      <c r="K467" s="2"/>
      <c r="L467" s="2"/>
      <c r="M467" s="2"/>
      <c r="N467" s="2"/>
      <c r="O467" s="7"/>
      <c r="P467" s="8"/>
      <c r="Q467" s="9"/>
      <c r="R467" s="7"/>
      <c r="S467" s="8"/>
      <c r="T467" s="10"/>
      <c r="U467" s="2"/>
      <c r="V467" s="2"/>
    </row>
    <row r="468" spans="2:22" x14ac:dyDescent="0.2">
      <c r="B468" s="40">
        <v>44412</v>
      </c>
      <c r="C468" s="41">
        <v>0.05</v>
      </c>
      <c r="E468" s="2"/>
      <c r="F468" s="2"/>
      <c r="G468" s="2"/>
      <c r="H468" s="2"/>
      <c r="I468" s="2"/>
      <c r="J468" s="2"/>
      <c r="K468" s="2"/>
      <c r="L468" s="2"/>
      <c r="M468" s="2"/>
      <c r="N468" s="2"/>
      <c r="O468" s="7"/>
      <c r="P468" s="8"/>
      <c r="Q468" s="9"/>
      <c r="R468" s="7"/>
      <c r="S468" s="8"/>
      <c r="T468" s="10"/>
      <c r="U468" s="2"/>
      <c r="V468" s="2"/>
    </row>
    <row r="469" spans="2:22" x14ac:dyDescent="0.2">
      <c r="B469" s="40">
        <v>44413</v>
      </c>
      <c r="C469" s="41">
        <v>0.05</v>
      </c>
      <c r="E469" s="2"/>
      <c r="F469" s="2"/>
      <c r="G469" s="2"/>
      <c r="H469" s="2"/>
      <c r="I469" s="2"/>
      <c r="J469" s="2"/>
      <c r="K469" s="2"/>
      <c r="L469" s="2"/>
      <c r="M469" s="2"/>
      <c r="N469" s="2"/>
      <c r="O469" s="7"/>
      <c r="P469" s="8"/>
      <c r="Q469" s="9"/>
      <c r="R469" s="7"/>
      <c r="S469" s="8"/>
      <c r="T469" s="10"/>
      <c r="U469" s="2"/>
      <c r="V469" s="2"/>
    </row>
    <row r="470" spans="2:22" x14ac:dyDescent="0.2">
      <c r="B470" s="40">
        <v>44414</v>
      </c>
      <c r="C470" s="41">
        <v>0.05</v>
      </c>
      <c r="E470" s="2"/>
      <c r="F470" s="2"/>
      <c r="G470" s="2"/>
      <c r="H470" s="2"/>
      <c r="I470" s="2"/>
      <c r="J470" s="2"/>
      <c r="K470" s="2"/>
      <c r="L470" s="2"/>
      <c r="M470" s="2"/>
      <c r="N470" s="2"/>
      <c r="O470" s="7"/>
      <c r="P470" s="8"/>
      <c r="Q470" s="9"/>
      <c r="R470" s="7"/>
      <c r="S470" s="8"/>
      <c r="T470" s="10"/>
      <c r="U470" s="2"/>
      <c r="V470" s="2"/>
    </row>
    <row r="471" spans="2:22" x14ac:dyDescent="0.2">
      <c r="B471" s="40">
        <v>44417</v>
      </c>
      <c r="C471" s="41">
        <v>0.05</v>
      </c>
      <c r="E471" s="2"/>
      <c r="F471" s="2"/>
      <c r="G471" s="2"/>
      <c r="H471" s="2"/>
      <c r="I471" s="2"/>
      <c r="J471" s="2"/>
      <c r="K471" s="2"/>
      <c r="L471" s="2"/>
      <c r="M471" s="2"/>
      <c r="N471" s="2"/>
      <c r="O471" s="7"/>
      <c r="P471" s="8"/>
      <c r="Q471" s="9"/>
      <c r="R471" s="7"/>
      <c r="S471" s="8"/>
      <c r="T471" s="10"/>
      <c r="U471" s="2"/>
      <c r="V471" s="2"/>
    </row>
    <row r="472" spans="2:22" x14ac:dyDescent="0.2">
      <c r="B472" s="40">
        <v>44418</v>
      </c>
      <c r="C472" s="41">
        <v>0.05</v>
      </c>
      <c r="E472" s="2"/>
      <c r="F472" s="2"/>
      <c r="G472" s="2"/>
      <c r="H472" s="2"/>
      <c r="I472" s="2"/>
      <c r="J472" s="2"/>
      <c r="K472" s="2"/>
      <c r="L472" s="2"/>
      <c r="M472" s="2"/>
      <c r="N472" s="2"/>
      <c r="O472" s="7"/>
      <c r="P472" s="8"/>
      <c r="Q472" s="9"/>
      <c r="R472" s="7"/>
      <c r="S472" s="8"/>
      <c r="T472" s="10"/>
      <c r="U472" s="2"/>
      <c r="V472" s="2"/>
    </row>
    <row r="473" spans="2:22" x14ac:dyDescent="0.2">
      <c r="B473" s="40">
        <v>44419</v>
      </c>
      <c r="C473" s="41">
        <v>0.05</v>
      </c>
      <c r="E473" s="2"/>
      <c r="F473" s="2"/>
      <c r="G473" s="2"/>
      <c r="H473" s="2"/>
      <c r="I473" s="2"/>
      <c r="J473" s="2"/>
      <c r="K473" s="2"/>
      <c r="L473" s="2"/>
      <c r="M473" s="2"/>
      <c r="N473" s="2"/>
      <c r="O473" s="7"/>
      <c r="P473" s="8"/>
      <c r="Q473" s="9"/>
      <c r="R473" s="7"/>
      <c r="S473" s="8"/>
      <c r="T473" s="10"/>
      <c r="U473" s="2"/>
      <c r="V473" s="2"/>
    </row>
    <row r="474" spans="2:22" x14ac:dyDescent="0.2">
      <c r="B474" s="40">
        <v>44420</v>
      </c>
      <c r="C474" s="41">
        <v>0.05</v>
      </c>
      <c r="E474" s="2"/>
      <c r="F474" s="2"/>
      <c r="G474" s="2"/>
      <c r="H474" s="2"/>
      <c r="I474" s="2"/>
      <c r="J474" s="2"/>
      <c r="K474" s="2"/>
      <c r="L474" s="2"/>
      <c r="M474" s="2"/>
      <c r="N474" s="2"/>
      <c r="O474" s="7"/>
      <c r="P474" s="8"/>
      <c r="Q474" s="9"/>
      <c r="R474" s="7"/>
      <c r="S474" s="8"/>
      <c r="T474" s="10"/>
      <c r="U474" s="2"/>
      <c r="V474" s="2"/>
    </row>
    <row r="475" spans="2:22" x14ac:dyDescent="0.2">
      <c r="B475" s="40">
        <v>44421</v>
      </c>
      <c r="C475" s="41">
        <v>0.05</v>
      </c>
      <c r="E475" s="2"/>
      <c r="F475" s="2"/>
      <c r="G475" s="2"/>
      <c r="H475" s="2"/>
      <c r="I475" s="2"/>
      <c r="J475" s="2"/>
      <c r="K475" s="2"/>
      <c r="L475" s="2"/>
      <c r="M475" s="2"/>
      <c r="N475" s="2"/>
      <c r="O475" s="7"/>
      <c r="P475" s="8"/>
      <c r="Q475" s="9"/>
      <c r="R475" s="7"/>
      <c r="S475" s="8"/>
      <c r="T475" s="10"/>
      <c r="U475" s="2"/>
      <c r="V475" s="2"/>
    </row>
    <row r="476" spans="2:22" x14ac:dyDescent="0.2">
      <c r="B476" s="40">
        <v>44424</v>
      </c>
      <c r="C476" s="41">
        <v>0.05</v>
      </c>
      <c r="E476" s="2"/>
      <c r="F476" s="2"/>
      <c r="G476" s="2"/>
      <c r="H476" s="2"/>
      <c r="I476" s="2"/>
      <c r="J476" s="2"/>
      <c r="K476" s="2"/>
      <c r="L476" s="2"/>
      <c r="M476" s="2"/>
      <c r="N476" s="2"/>
      <c r="O476" s="7"/>
      <c r="P476" s="8"/>
      <c r="Q476" s="9"/>
      <c r="R476" s="7"/>
      <c r="S476" s="8"/>
      <c r="T476" s="10"/>
      <c r="U476" s="2"/>
      <c r="V476" s="2"/>
    </row>
    <row r="477" spans="2:22" x14ac:dyDescent="0.2">
      <c r="B477" s="40">
        <v>44425</v>
      </c>
      <c r="C477" s="41">
        <v>0.05</v>
      </c>
      <c r="E477" s="2"/>
      <c r="F477" s="2"/>
      <c r="G477" s="2"/>
      <c r="H477" s="2"/>
      <c r="I477" s="2"/>
      <c r="J477" s="2"/>
      <c r="K477" s="2"/>
      <c r="L477" s="2"/>
      <c r="M477" s="2"/>
      <c r="N477" s="2"/>
      <c r="O477" s="7"/>
      <c r="P477" s="8"/>
      <c r="Q477" s="9"/>
      <c r="R477" s="7"/>
      <c r="S477" s="8"/>
      <c r="T477" s="10"/>
      <c r="U477" s="2"/>
      <c r="V477" s="2"/>
    </row>
    <row r="478" spans="2:22" x14ac:dyDescent="0.2">
      <c r="B478" s="40">
        <v>44426</v>
      </c>
      <c r="C478" s="41">
        <v>0.05</v>
      </c>
      <c r="E478" s="2"/>
      <c r="F478" s="2"/>
      <c r="G478" s="2"/>
      <c r="H478" s="2"/>
      <c r="I478" s="2"/>
      <c r="J478" s="2"/>
      <c r="K478" s="2"/>
      <c r="L478" s="2"/>
      <c r="M478" s="2"/>
      <c r="N478" s="2"/>
      <c r="O478" s="7"/>
      <c r="P478" s="8"/>
      <c r="Q478" s="9"/>
      <c r="R478" s="7"/>
      <c r="S478" s="8"/>
      <c r="T478" s="10"/>
      <c r="U478" s="2"/>
      <c r="V478" s="2"/>
    </row>
    <row r="479" spans="2:22" x14ac:dyDescent="0.2">
      <c r="B479" s="40">
        <v>44427</v>
      </c>
      <c r="C479" s="41">
        <v>0.05</v>
      </c>
      <c r="E479" s="2"/>
      <c r="F479" s="2"/>
      <c r="G479" s="2"/>
      <c r="H479" s="2"/>
      <c r="I479" s="2"/>
      <c r="J479" s="2"/>
      <c r="K479" s="2"/>
      <c r="L479" s="2"/>
      <c r="M479" s="2"/>
      <c r="N479" s="2"/>
      <c r="O479" s="7"/>
      <c r="P479" s="8"/>
      <c r="Q479" s="9"/>
      <c r="R479" s="7"/>
      <c r="S479" s="8"/>
      <c r="T479" s="10"/>
      <c r="U479" s="2"/>
      <c r="V479" s="2"/>
    </row>
    <row r="480" spans="2:22" x14ac:dyDescent="0.2">
      <c r="B480" s="40">
        <v>44428</v>
      </c>
      <c r="C480" s="41">
        <v>0.05</v>
      </c>
      <c r="E480" s="2"/>
      <c r="F480" s="2"/>
      <c r="G480" s="2"/>
      <c r="H480" s="2"/>
      <c r="I480" s="2"/>
      <c r="J480" s="2"/>
      <c r="K480" s="2"/>
      <c r="L480" s="2"/>
      <c r="M480" s="2"/>
      <c r="N480" s="2"/>
      <c r="O480" s="7"/>
      <c r="P480" s="8"/>
      <c r="Q480" s="9"/>
      <c r="R480" s="7"/>
      <c r="S480" s="8"/>
      <c r="T480" s="10"/>
      <c r="U480" s="2"/>
      <c r="V480" s="2"/>
    </row>
    <row r="481" spans="2:22" x14ac:dyDescent="0.2">
      <c r="B481" s="40">
        <v>44431</v>
      </c>
      <c r="C481" s="41">
        <v>0.05</v>
      </c>
      <c r="E481" s="2"/>
      <c r="F481" s="2"/>
      <c r="G481" s="2"/>
      <c r="H481" s="2"/>
      <c r="I481" s="2"/>
      <c r="J481" s="2"/>
      <c r="K481" s="2"/>
      <c r="L481" s="2"/>
      <c r="M481" s="2"/>
      <c r="N481" s="2"/>
      <c r="O481" s="7"/>
      <c r="P481" s="8"/>
      <c r="Q481" s="9"/>
      <c r="R481" s="7"/>
      <c r="S481" s="8"/>
      <c r="T481" s="10"/>
      <c r="U481" s="2"/>
      <c r="V481" s="2"/>
    </row>
    <row r="482" spans="2:22" x14ac:dyDescent="0.2">
      <c r="B482" s="40">
        <v>44432</v>
      </c>
      <c r="C482" s="41">
        <v>0.05</v>
      </c>
      <c r="E482" s="2"/>
      <c r="F482" s="2"/>
      <c r="G482" s="2"/>
      <c r="H482" s="2"/>
      <c r="I482" s="2"/>
      <c r="J482" s="2"/>
      <c r="K482" s="2"/>
      <c r="L482" s="2"/>
      <c r="M482" s="2"/>
      <c r="N482" s="2"/>
      <c r="O482" s="7"/>
      <c r="P482" s="8"/>
      <c r="Q482" s="9"/>
      <c r="R482" s="7"/>
      <c r="S482" s="8"/>
      <c r="T482" s="10"/>
      <c r="U482" s="2"/>
      <c r="V482" s="2"/>
    </row>
    <row r="483" spans="2:22" x14ac:dyDescent="0.2">
      <c r="B483" s="40">
        <v>44433</v>
      </c>
      <c r="C483" s="41">
        <v>0.05</v>
      </c>
      <c r="E483" s="2"/>
      <c r="F483" s="2"/>
      <c r="G483" s="2"/>
      <c r="H483" s="2"/>
      <c r="I483" s="2"/>
      <c r="J483" s="2"/>
      <c r="K483" s="2"/>
      <c r="L483" s="2"/>
      <c r="M483" s="2"/>
      <c r="N483" s="2"/>
      <c r="O483" s="7"/>
      <c r="P483" s="8"/>
      <c r="Q483" s="9"/>
      <c r="R483" s="7"/>
      <c r="S483" s="8"/>
      <c r="T483" s="10"/>
      <c r="U483" s="2"/>
      <c r="V483" s="2"/>
    </row>
    <row r="484" spans="2:22" x14ac:dyDescent="0.2">
      <c r="B484" s="40">
        <v>44434</v>
      </c>
      <c r="C484" s="41">
        <v>0.05</v>
      </c>
      <c r="E484" s="2"/>
      <c r="F484" s="2"/>
      <c r="G484" s="2"/>
      <c r="H484" s="2"/>
      <c r="I484" s="2"/>
      <c r="J484" s="2"/>
      <c r="K484" s="2"/>
      <c r="L484" s="2"/>
      <c r="M484" s="2"/>
      <c r="N484" s="2"/>
      <c r="O484" s="7"/>
      <c r="P484" s="8"/>
      <c r="Q484" s="9"/>
      <c r="R484" s="7"/>
      <c r="S484" s="8"/>
      <c r="T484" s="10"/>
      <c r="U484" s="2"/>
      <c r="V484" s="2"/>
    </row>
    <row r="485" spans="2:22" x14ac:dyDescent="0.2">
      <c r="B485" s="40">
        <v>44435</v>
      </c>
      <c r="C485" s="41">
        <v>0.05</v>
      </c>
      <c r="E485" s="2"/>
      <c r="F485" s="2"/>
      <c r="G485" s="2"/>
      <c r="H485" s="2"/>
      <c r="I485" s="2"/>
      <c r="J485" s="2"/>
      <c r="K485" s="2"/>
      <c r="L485" s="2"/>
      <c r="M485" s="2"/>
      <c r="N485" s="2"/>
      <c r="O485" s="7"/>
      <c r="P485" s="8"/>
      <c r="Q485" s="9"/>
      <c r="R485" s="7"/>
      <c r="S485" s="8"/>
      <c r="T485" s="10"/>
      <c r="U485" s="2"/>
      <c r="V485" s="2"/>
    </row>
    <row r="486" spans="2:22" x14ac:dyDescent="0.2">
      <c r="B486" s="40">
        <v>44438</v>
      </c>
      <c r="C486" s="41">
        <v>0.05</v>
      </c>
      <c r="E486" s="2"/>
      <c r="F486" s="2"/>
      <c r="G486" s="2"/>
      <c r="H486" s="2"/>
      <c r="I486" s="2"/>
      <c r="J486" s="2"/>
      <c r="K486" s="2"/>
      <c r="L486" s="2"/>
      <c r="M486" s="2"/>
      <c r="N486" s="2"/>
      <c r="O486" s="7"/>
      <c r="P486" s="8"/>
      <c r="Q486" s="9"/>
      <c r="R486" s="7"/>
      <c r="S486" s="8"/>
      <c r="T486" s="10"/>
      <c r="U486" s="2"/>
      <c r="V486" s="2"/>
    </row>
    <row r="487" spans="2:22" x14ac:dyDescent="0.2">
      <c r="B487" s="40">
        <v>44439</v>
      </c>
      <c r="C487" s="41">
        <v>0.05</v>
      </c>
      <c r="E487" s="2"/>
      <c r="F487" s="2"/>
      <c r="G487" s="2"/>
      <c r="H487" s="2"/>
      <c r="I487" s="2"/>
      <c r="J487" s="2"/>
      <c r="K487" s="2"/>
      <c r="L487" s="2"/>
      <c r="M487" s="2"/>
      <c r="N487" s="2"/>
      <c r="O487" s="7"/>
      <c r="P487" s="8"/>
      <c r="Q487" s="9"/>
      <c r="R487" s="7"/>
      <c r="S487" s="8"/>
      <c r="T487" s="10"/>
      <c r="U487" s="2"/>
      <c r="V487" s="2"/>
    </row>
    <row r="488" spans="2:22" x14ac:dyDescent="0.2">
      <c r="B488" s="40">
        <v>44440</v>
      </c>
      <c r="C488" s="41">
        <v>0.05</v>
      </c>
      <c r="E488" s="2"/>
      <c r="F488" s="2"/>
      <c r="G488" s="2"/>
      <c r="H488" s="2"/>
      <c r="I488" s="2"/>
      <c r="J488" s="2"/>
      <c r="K488" s="2"/>
      <c r="L488" s="2"/>
      <c r="M488" s="2"/>
      <c r="N488" s="2"/>
      <c r="O488" s="7"/>
      <c r="P488" s="8"/>
      <c r="Q488" s="9"/>
      <c r="R488" s="7"/>
      <c r="S488" s="8"/>
      <c r="T488" s="10"/>
      <c r="U488" s="2"/>
      <c r="V488" s="2"/>
    </row>
    <row r="489" spans="2:22" x14ac:dyDescent="0.2">
      <c r="B489" s="40">
        <v>44441</v>
      </c>
      <c r="C489" s="41">
        <v>0.05</v>
      </c>
      <c r="E489" s="2"/>
      <c r="F489" s="2"/>
      <c r="G489" s="2"/>
      <c r="H489" s="2"/>
      <c r="I489" s="2"/>
      <c r="J489" s="2"/>
      <c r="K489" s="2"/>
      <c r="L489" s="2"/>
      <c r="M489" s="2"/>
      <c r="N489" s="2"/>
      <c r="O489" s="7"/>
      <c r="P489" s="8"/>
      <c r="Q489" s="9"/>
      <c r="R489" s="7"/>
      <c r="S489" s="8"/>
      <c r="T489" s="10"/>
      <c r="U489" s="2"/>
      <c r="V489" s="2"/>
    </row>
    <row r="490" spans="2:22" x14ac:dyDescent="0.2">
      <c r="B490" s="40">
        <v>44442</v>
      </c>
      <c r="C490" s="41">
        <v>0.05</v>
      </c>
      <c r="E490" s="2"/>
      <c r="F490" s="2"/>
      <c r="G490" s="2"/>
      <c r="H490" s="2"/>
      <c r="I490" s="2"/>
      <c r="J490" s="2"/>
      <c r="K490" s="2"/>
      <c r="L490" s="2"/>
      <c r="M490" s="2"/>
      <c r="N490" s="2"/>
      <c r="O490" s="7"/>
      <c r="P490" s="8"/>
      <c r="Q490" s="9"/>
      <c r="R490" s="7"/>
      <c r="S490" s="8"/>
      <c r="T490" s="10"/>
      <c r="U490" s="2"/>
      <c r="V490" s="2"/>
    </row>
    <row r="491" spans="2:22" x14ac:dyDescent="0.2">
      <c r="B491" s="40">
        <v>44446</v>
      </c>
      <c r="C491" s="41">
        <v>0.05</v>
      </c>
      <c r="E491" s="2"/>
      <c r="F491" s="2"/>
      <c r="G491" s="2"/>
      <c r="H491" s="2"/>
      <c r="I491" s="2"/>
      <c r="J491" s="2"/>
      <c r="K491" s="2"/>
      <c r="L491" s="2"/>
      <c r="M491" s="2"/>
      <c r="N491" s="2"/>
      <c r="O491" s="7"/>
      <c r="P491" s="8"/>
      <c r="Q491" s="9"/>
      <c r="R491" s="7"/>
      <c r="S491" s="8"/>
      <c r="T491" s="10"/>
      <c r="U491" s="2"/>
      <c r="V491" s="2"/>
    </row>
    <row r="492" spans="2:22" x14ac:dyDescent="0.2">
      <c r="B492" s="40">
        <v>44447</v>
      </c>
      <c r="C492" s="41">
        <v>0.05</v>
      </c>
      <c r="E492" s="2"/>
      <c r="F492" s="2"/>
      <c r="G492" s="2"/>
      <c r="H492" s="2"/>
      <c r="I492" s="2"/>
      <c r="J492" s="2"/>
      <c r="K492" s="2"/>
      <c r="L492" s="2"/>
      <c r="M492" s="2"/>
      <c r="N492" s="2"/>
      <c r="O492" s="7"/>
      <c r="P492" s="8"/>
      <c r="Q492" s="9"/>
      <c r="R492" s="7"/>
      <c r="S492" s="8"/>
      <c r="T492" s="10"/>
      <c r="U492" s="2"/>
      <c r="V492" s="2"/>
    </row>
    <row r="493" spans="2:22" x14ac:dyDescent="0.2">
      <c r="B493" s="40">
        <v>44448</v>
      </c>
      <c r="C493" s="41">
        <v>0.05</v>
      </c>
      <c r="E493" s="2"/>
      <c r="F493" s="2"/>
      <c r="G493" s="2"/>
      <c r="H493" s="2"/>
      <c r="I493" s="2"/>
      <c r="J493" s="2"/>
      <c r="K493" s="2"/>
      <c r="L493" s="2"/>
      <c r="M493" s="2"/>
      <c r="N493" s="2"/>
      <c r="O493" s="7"/>
      <c r="P493" s="8"/>
      <c r="Q493" s="9"/>
      <c r="R493" s="7"/>
      <c r="S493" s="8"/>
      <c r="T493" s="10"/>
      <c r="U493" s="2"/>
      <c r="V493" s="2"/>
    </row>
    <row r="494" spans="2:22" x14ac:dyDescent="0.2">
      <c r="B494" s="40">
        <v>44449</v>
      </c>
      <c r="C494" s="41">
        <v>0.05</v>
      </c>
      <c r="E494" s="2"/>
      <c r="F494" s="2"/>
      <c r="G494" s="2"/>
      <c r="H494" s="2"/>
      <c r="I494" s="2"/>
      <c r="J494" s="2"/>
      <c r="K494" s="2"/>
      <c r="L494" s="2"/>
      <c r="M494" s="2"/>
      <c r="N494" s="2"/>
      <c r="O494" s="7"/>
      <c r="P494" s="8"/>
      <c r="Q494" s="9"/>
      <c r="R494" s="7"/>
      <c r="S494" s="8"/>
      <c r="T494" s="10"/>
      <c r="U494" s="2"/>
      <c r="V494" s="2"/>
    </row>
    <row r="495" spans="2:22" x14ac:dyDescent="0.2">
      <c r="B495" s="40">
        <v>44452</v>
      </c>
      <c r="C495" s="41">
        <v>0.05</v>
      </c>
      <c r="E495" s="2"/>
      <c r="F495" s="2"/>
      <c r="G495" s="2"/>
      <c r="H495" s="2"/>
      <c r="I495" s="2"/>
      <c r="J495" s="2"/>
      <c r="K495" s="2"/>
      <c r="L495" s="2"/>
      <c r="M495" s="2"/>
      <c r="N495" s="2"/>
      <c r="O495" s="7"/>
      <c r="P495" s="8"/>
      <c r="Q495" s="9"/>
      <c r="R495" s="7"/>
      <c r="S495" s="8"/>
      <c r="T495" s="10"/>
      <c r="U495" s="2"/>
      <c r="V495" s="2"/>
    </row>
    <row r="496" spans="2:22" x14ac:dyDescent="0.2">
      <c r="B496" s="40">
        <v>44453</v>
      </c>
      <c r="C496" s="41">
        <v>0.05</v>
      </c>
      <c r="E496" s="2"/>
      <c r="F496" s="2"/>
      <c r="G496" s="2"/>
      <c r="H496" s="2"/>
      <c r="I496" s="2"/>
      <c r="J496" s="2"/>
      <c r="K496" s="2"/>
      <c r="L496" s="2"/>
      <c r="M496" s="2"/>
      <c r="N496" s="2"/>
      <c r="O496" s="7"/>
      <c r="P496" s="8"/>
      <c r="Q496" s="9"/>
      <c r="R496" s="7"/>
      <c r="S496" s="8"/>
      <c r="T496" s="10"/>
      <c r="U496" s="2"/>
      <c r="V496" s="2"/>
    </row>
    <row r="497" spans="2:22" x14ac:dyDescent="0.2">
      <c r="B497" s="40">
        <v>44454</v>
      </c>
      <c r="C497" s="41">
        <v>0.05</v>
      </c>
      <c r="E497" s="2"/>
      <c r="F497" s="2"/>
      <c r="G497" s="2"/>
      <c r="H497" s="2"/>
      <c r="I497" s="2"/>
      <c r="J497" s="2"/>
      <c r="K497" s="2"/>
      <c r="L497" s="2"/>
      <c r="M497" s="2"/>
      <c r="N497" s="2"/>
      <c r="O497" s="7"/>
      <c r="P497" s="8"/>
      <c r="Q497" s="9"/>
      <c r="R497" s="7"/>
      <c r="S497" s="8"/>
      <c r="T497" s="10"/>
      <c r="U497" s="2"/>
      <c r="V497" s="2"/>
    </row>
    <row r="498" spans="2:22" x14ac:dyDescent="0.2">
      <c r="B498" s="40">
        <v>44455</v>
      </c>
      <c r="C498" s="41">
        <v>0.05</v>
      </c>
      <c r="E498" s="2"/>
      <c r="F498" s="2"/>
      <c r="G498" s="2"/>
      <c r="H498" s="2"/>
      <c r="I498" s="2"/>
      <c r="J498" s="2"/>
      <c r="K498" s="2"/>
      <c r="L498" s="2"/>
      <c r="M498" s="2"/>
      <c r="N498" s="2"/>
      <c r="O498" s="7"/>
      <c r="P498" s="8"/>
      <c r="Q498" s="9"/>
      <c r="R498" s="7"/>
      <c r="S498" s="8"/>
      <c r="T498" s="10"/>
      <c r="U498" s="2"/>
      <c r="V498" s="2"/>
    </row>
    <row r="499" spans="2:22" x14ac:dyDescent="0.2">
      <c r="B499" s="40">
        <v>44456</v>
      </c>
      <c r="C499" s="41">
        <v>0.05</v>
      </c>
      <c r="E499" s="2"/>
      <c r="F499" s="2"/>
      <c r="G499" s="2"/>
      <c r="H499" s="2"/>
      <c r="I499" s="2"/>
      <c r="J499" s="2"/>
      <c r="K499" s="2"/>
      <c r="L499" s="2"/>
      <c r="M499" s="2"/>
      <c r="N499" s="2"/>
      <c r="O499" s="7"/>
      <c r="P499" s="8"/>
      <c r="Q499" s="9"/>
      <c r="R499" s="7"/>
      <c r="S499" s="8"/>
      <c r="T499" s="10"/>
      <c r="U499" s="2"/>
      <c r="V499" s="2"/>
    </row>
    <row r="500" spans="2:22" x14ac:dyDescent="0.2">
      <c r="B500" s="40">
        <v>44459</v>
      </c>
      <c r="C500" s="41">
        <v>0.05</v>
      </c>
      <c r="E500" s="2"/>
      <c r="F500" s="2"/>
      <c r="G500" s="2"/>
      <c r="H500" s="2"/>
      <c r="I500" s="2"/>
      <c r="J500" s="2"/>
      <c r="K500" s="2"/>
      <c r="L500" s="2"/>
      <c r="M500" s="2"/>
      <c r="N500" s="2"/>
      <c r="O500" s="7"/>
      <c r="P500" s="8"/>
      <c r="Q500" s="9"/>
      <c r="R500" s="7"/>
      <c r="S500" s="8"/>
      <c r="T500" s="10"/>
      <c r="U500" s="2"/>
      <c r="V500" s="2"/>
    </row>
    <row r="501" spans="2:22" x14ac:dyDescent="0.2">
      <c r="B501" s="40">
        <v>44460</v>
      </c>
      <c r="C501" s="41">
        <v>0.05</v>
      </c>
      <c r="E501" s="2"/>
      <c r="F501" s="2"/>
      <c r="G501" s="2"/>
      <c r="H501" s="2"/>
      <c r="I501" s="2"/>
      <c r="J501" s="2"/>
      <c r="K501" s="2"/>
      <c r="L501" s="2"/>
      <c r="M501" s="2"/>
      <c r="N501" s="2"/>
      <c r="O501" s="7"/>
      <c r="P501" s="8"/>
      <c r="Q501" s="9"/>
      <c r="R501" s="7"/>
      <c r="S501" s="8"/>
      <c r="T501" s="10"/>
      <c r="U501" s="2"/>
      <c r="V501" s="2"/>
    </row>
    <row r="502" spans="2:22" x14ac:dyDescent="0.2">
      <c r="B502" s="40">
        <v>44461</v>
      </c>
      <c r="C502" s="41">
        <v>0.05</v>
      </c>
      <c r="E502" s="2"/>
      <c r="F502" s="2"/>
      <c r="G502" s="2"/>
      <c r="H502" s="2"/>
      <c r="I502" s="2"/>
      <c r="J502" s="2"/>
      <c r="K502" s="2"/>
      <c r="L502" s="2"/>
      <c r="M502" s="2"/>
      <c r="N502" s="2"/>
      <c r="O502" s="7"/>
      <c r="P502" s="8"/>
      <c r="Q502" s="9"/>
      <c r="R502" s="7"/>
      <c r="S502" s="8"/>
      <c r="T502" s="10"/>
      <c r="U502" s="2"/>
      <c r="V502" s="2"/>
    </row>
    <row r="503" spans="2:22" x14ac:dyDescent="0.2">
      <c r="B503" s="40">
        <v>44462</v>
      </c>
      <c r="C503" s="41">
        <v>0.05</v>
      </c>
      <c r="E503" s="2"/>
      <c r="F503" s="2"/>
      <c r="G503" s="2"/>
      <c r="H503" s="2"/>
      <c r="I503" s="2"/>
      <c r="J503" s="2"/>
      <c r="K503" s="2"/>
      <c r="L503" s="2"/>
      <c r="M503" s="2"/>
      <c r="N503" s="2"/>
      <c r="O503" s="7"/>
      <c r="P503" s="8"/>
      <c r="Q503" s="9"/>
      <c r="R503" s="7"/>
      <c r="S503" s="8"/>
      <c r="T503" s="10"/>
      <c r="U503" s="2"/>
      <c r="V503" s="2"/>
    </row>
    <row r="504" spans="2:22" x14ac:dyDescent="0.2">
      <c r="B504" s="40">
        <v>44463</v>
      </c>
      <c r="C504" s="41">
        <v>0.05</v>
      </c>
      <c r="E504" s="2"/>
      <c r="F504" s="2"/>
      <c r="G504" s="2"/>
      <c r="H504" s="2"/>
      <c r="I504" s="2"/>
      <c r="J504" s="2"/>
      <c r="K504" s="2"/>
      <c r="L504" s="2"/>
      <c r="M504" s="2"/>
      <c r="N504" s="2"/>
      <c r="O504" s="7"/>
      <c r="P504" s="8"/>
      <c r="Q504" s="9"/>
      <c r="R504" s="7"/>
      <c r="S504" s="8"/>
      <c r="T504" s="10"/>
      <c r="U504" s="2"/>
      <c r="V504" s="2"/>
    </row>
    <row r="505" spans="2:22" x14ac:dyDescent="0.2">
      <c r="B505" s="40">
        <v>44466</v>
      </c>
      <c r="C505" s="41">
        <v>0.05</v>
      </c>
      <c r="E505" s="2"/>
      <c r="F505" s="2"/>
      <c r="G505" s="2"/>
      <c r="H505" s="2"/>
      <c r="I505" s="2"/>
      <c r="J505" s="2"/>
      <c r="K505" s="2"/>
      <c r="L505" s="2"/>
      <c r="M505" s="2"/>
      <c r="N505" s="2"/>
      <c r="O505" s="7"/>
      <c r="P505" s="8"/>
      <c r="Q505" s="9"/>
      <c r="R505" s="7"/>
      <c r="S505" s="8"/>
      <c r="T505" s="10"/>
      <c r="U505" s="2"/>
      <c r="V505" s="2"/>
    </row>
    <row r="506" spans="2:22" x14ac:dyDescent="0.2">
      <c r="B506" s="40">
        <v>44467</v>
      </c>
      <c r="C506" s="41">
        <v>0.05</v>
      </c>
      <c r="E506" s="2"/>
      <c r="F506" s="2"/>
      <c r="G506" s="2"/>
      <c r="H506" s="2"/>
      <c r="I506" s="2"/>
      <c r="J506" s="2"/>
      <c r="K506" s="2"/>
      <c r="L506" s="2"/>
      <c r="M506" s="2"/>
      <c r="N506" s="2"/>
      <c r="O506" s="7"/>
      <c r="P506" s="8"/>
      <c r="Q506" s="9"/>
      <c r="R506" s="7"/>
      <c r="S506" s="8"/>
      <c r="T506" s="10"/>
      <c r="U506" s="2"/>
      <c r="V506" s="2"/>
    </row>
    <row r="507" spans="2:22" x14ac:dyDescent="0.2">
      <c r="B507" s="40">
        <v>44468</v>
      </c>
      <c r="C507" s="41">
        <v>0.05</v>
      </c>
      <c r="E507" s="2"/>
      <c r="F507" s="2"/>
      <c r="G507" s="2"/>
      <c r="H507" s="2"/>
      <c r="I507" s="2"/>
      <c r="J507" s="2"/>
      <c r="K507" s="2"/>
      <c r="L507" s="2"/>
      <c r="M507" s="2"/>
      <c r="N507" s="2"/>
      <c r="O507" s="7"/>
      <c r="P507" s="8"/>
      <c r="Q507" s="9"/>
      <c r="R507" s="7"/>
      <c r="S507" s="8"/>
      <c r="T507" s="10"/>
      <c r="U507" s="2"/>
      <c r="V507" s="2"/>
    </row>
    <row r="508" spans="2:22" x14ac:dyDescent="0.2">
      <c r="B508" s="40">
        <v>44469</v>
      </c>
      <c r="C508" s="41">
        <v>0.05</v>
      </c>
      <c r="E508" s="2"/>
      <c r="F508" s="2"/>
      <c r="G508" s="2"/>
      <c r="H508" s="2"/>
      <c r="I508" s="2"/>
      <c r="J508" s="2"/>
      <c r="K508" s="2"/>
      <c r="L508" s="2"/>
      <c r="M508" s="2"/>
      <c r="N508" s="2"/>
      <c r="O508" s="7"/>
      <c r="P508" s="8"/>
      <c r="Q508" s="9"/>
      <c r="R508" s="7"/>
      <c r="S508" s="8"/>
      <c r="T508" s="10"/>
      <c r="U508" s="2"/>
      <c r="V508" s="2"/>
    </row>
    <row r="509" spans="2:22" x14ac:dyDescent="0.2">
      <c r="B509" s="40">
        <v>44470</v>
      </c>
      <c r="C509" s="41">
        <v>0.05</v>
      </c>
      <c r="E509" s="2"/>
      <c r="F509" s="2"/>
      <c r="G509" s="2"/>
      <c r="H509" s="2"/>
      <c r="I509" s="2"/>
      <c r="J509" s="2"/>
      <c r="K509" s="2"/>
      <c r="L509" s="2"/>
      <c r="M509" s="2"/>
      <c r="N509" s="2"/>
      <c r="O509" s="7"/>
      <c r="P509" s="8"/>
      <c r="Q509" s="9"/>
      <c r="R509" s="7"/>
      <c r="S509" s="8"/>
      <c r="T509" s="10"/>
      <c r="U509" s="2"/>
      <c r="V509" s="2"/>
    </row>
    <row r="510" spans="2:22" x14ac:dyDescent="0.2">
      <c r="B510" s="40">
        <v>44473</v>
      </c>
      <c r="C510" s="41">
        <v>0.05</v>
      </c>
      <c r="E510" s="2"/>
      <c r="F510" s="2"/>
      <c r="G510" s="2"/>
      <c r="H510" s="2"/>
      <c r="I510" s="2"/>
      <c r="J510" s="2"/>
      <c r="K510" s="2"/>
      <c r="L510" s="2"/>
      <c r="M510" s="2"/>
      <c r="N510" s="2"/>
      <c r="O510" s="7"/>
      <c r="P510" s="8"/>
      <c r="Q510" s="9"/>
      <c r="R510" s="7"/>
      <c r="S510" s="8"/>
      <c r="T510" s="10"/>
      <c r="U510" s="2"/>
      <c r="V510" s="2"/>
    </row>
    <row r="511" spans="2:22" x14ac:dyDescent="0.2">
      <c r="B511" s="40">
        <v>44474</v>
      </c>
      <c r="C511" s="41">
        <v>0.05</v>
      </c>
      <c r="E511" s="2"/>
      <c r="F511" s="2"/>
      <c r="G511" s="2"/>
      <c r="H511" s="2"/>
      <c r="I511" s="2"/>
      <c r="J511" s="2"/>
      <c r="K511" s="2"/>
      <c r="L511" s="2"/>
      <c r="M511" s="2"/>
      <c r="N511" s="2"/>
      <c r="O511" s="7"/>
      <c r="P511" s="8"/>
      <c r="Q511" s="9"/>
      <c r="R511" s="7"/>
      <c r="S511" s="8"/>
      <c r="T511" s="10"/>
      <c r="U511" s="2"/>
      <c r="V511" s="2"/>
    </row>
    <row r="512" spans="2:22" x14ac:dyDescent="0.2">
      <c r="B512" s="40">
        <v>44475</v>
      </c>
      <c r="C512" s="41">
        <v>0.05</v>
      </c>
      <c r="E512" s="2"/>
      <c r="F512" s="2"/>
      <c r="G512" s="2"/>
      <c r="H512" s="2"/>
      <c r="I512" s="2"/>
      <c r="J512" s="2"/>
      <c r="K512" s="2"/>
      <c r="L512" s="2"/>
      <c r="M512" s="2"/>
      <c r="N512" s="2"/>
      <c r="O512" s="7"/>
      <c r="P512" s="8"/>
      <c r="Q512" s="9"/>
      <c r="R512" s="7"/>
      <c r="S512" s="8"/>
      <c r="T512" s="10"/>
      <c r="U512" s="2"/>
      <c r="V512" s="2"/>
    </row>
    <row r="513" spans="2:22" x14ac:dyDescent="0.2">
      <c r="B513" s="40">
        <v>44476</v>
      </c>
      <c r="C513" s="41">
        <v>0.05</v>
      </c>
      <c r="E513" s="2"/>
      <c r="F513" s="2"/>
      <c r="G513" s="2"/>
      <c r="H513" s="2"/>
      <c r="I513" s="2"/>
      <c r="J513" s="2"/>
      <c r="K513" s="2"/>
      <c r="L513" s="2"/>
      <c r="M513" s="2"/>
      <c r="N513" s="2"/>
      <c r="O513" s="7"/>
      <c r="P513" s="8"/>
      <c r="Q513" s="9"/>
      <c r="R513" s="7"/>
      <c r="S513" s="8"/>
      <c r="T513" s="10"/>
      <c r="U513" s="2"/>
      <c r="V513" s="2"/>
    </row>
    <row r="514" spans="2:22" x14ac:dyDescent="0.2">
      <c r="B514" s="40">
        <v>44477</v>
      </c>
      <c r="C514" s="41">
        <v>0.05</v>
      </c>
      <c r="E514" s="2"/>
      <c r="F514" s="2"/>
      <c r="G514" s="2"/>
      <c r="H514" s="2"/>
      <c r="I514" s="2"/>
      <c r="J514" s="2"/>
      <c r="K514" s="2"/>
      <c r="L514" s="2"/>
      <c r="M514" s="2"/>
      <c r="N514" s="2"/>
      <c r="O514" s="7"/>
      <c r="P514" s="8"/>
      <c r="Q514" s="9"/>
      <c r="R514" s="7"/>
      <c r="S514" s="8"/>
      <c r="T514" s="10"/>
      <c r="U514" s="2"/>
      <c r="V514" s="2"/>
    </row>
    <row r="515" spans="2:22" x14ac:dyDescent="0.2">
      <c r="B515" s="40">
        <v>44481</v>
      </c>
      <c r="C515" s="41">
        <v>0.05</v>
      </c>
      <c r="E515" s="2"/>
      <c r="F515" s="2"/>
      <c r="G515" s="2"/>
      <c r="H515" s="2"/>
      <c r="I515" s="2"/>
      <c r="J515" s="2"/>
      <c r="K515" s="2"/>
      <c r="L515" s="2"/>
      <c r="M515" s="2"/>
      <c r="N515" s="2"/>
      <c r="O515" s="7"/>
      <c r="P515" s="8"/>
      <c r="Q515" s="9"/>
      <c r="R515" s="7"/>
      <c r="S515" s="8"/>
      <c r="T515" s="10"/>
      <c r="U515" s="2"/>
      <c r="V515" s="2"/>
    </row>
    <row r="516" spans="2:22" x14ac:dyDescent="0.2">
      <c r="B516" s="40">
        <v>44482</v>
      </c>
      <c r="C516" s="41">
        <v>0.05</v>
      </c>
      <c r="E516" s="2"/>
      <c r="F516" s="2"/>
      <c r="G516" s="2"/>
      <c r="H516" s="2"/>
      <c r="I516" s="2"/>
      <c r="J516" s="2"/>
      <c r="K516" s="2"/>
      <c r="L516" s="2"/>
      <c r="M516" s="2"/>
      <c r="N516" s="2"/>
      <c r="O516" s="7"/>
      <c r="P516" s="8"/>
      <c r="Q516" s="9"/>
      <c r="R516" s="7"/>
      <c r="S516" s="8"/>
      <c r="T516" s="10"/>
      <c r="U516" s="2"/>
      <c r="V516" s="2"/>
    </row>
    <row r="517" spans="2:22" x14ac:dyDescent="0.2">
      <c r="B517" s="40">
        <v>44483</v>
      </c>
      <c r="C517" s="41">
        <v>0.05</v>
      </c>
      <c r="E517" s="2"/>
      <c r="F517" s="2"/>
      <c r="G517" s="2"/>
      <c r="H517" s="2"/>
      <c r="I517" s="2"/>
      <c r="J517" s="2"/>
      <c r="K517" s="2"/>
      <c r="L517" s="2"/>
      <c r="M517" s="2"/>
      <c r="N517" s="2"/>
      <c r="O517" s="7"/>
      <c r="P517" s="8"/>
      <c r="Q517" s="9"/>
      <c r="R517" s="7"/>
      <c r="S517" s="8"/>
      <c r="T517" s="10"/>
      <c r="U517" s="2"/>
      <c r="V517" s="2"/>
    </row>
    <row r="518" spans="2:22" x14ac:dyDescent="0.2">
      <c r="B518" s="40">
        <v>44484</v>
      </c>
      <c r="C518" s="41">
        <v>0.05</v>
      </c>
      <c r="E518" s="2"/>
      <c r="F518" s="2"/>
      <c r="G518" s="2"/>
      <c r="H518" s="2"/>
      <c r="I518" s="2"/>
      <c r="J518" s="2"/>
      <c r="K518" s="2"/>
      <c r="L518" s="2"/>
      <c r="M518" s="2"/>
      <c r="N518" s="2"/>
      <c r="O518" s="7"/>
      <c r="P518" s="8"/>
      <c r="Q518" s="9"/>
      <c r="R518" s="7"/>
      <c r="S518" s="8"/>
      <c r="T518" s="10"/>
      <c r="U518" s="2"/>
      <c r="V518" s="2"/>
    </row>
    <row r="519" spans="2:22" x14ac:dyDescent="0.2">
      <c r="B519" s="40">
        <v>44487</v>
      </c>
      <c r="C519" s="41">
        <v>0.05</v>
      </c>
      <c r="E519" s="2"/>
      <c r="F519" s="2"/>
      <c r="G519" s="2"/>
      <c r="H519" s="2"/>
      <c r="I519" s="2"/>
      <c r="J519" s="2"/>
      <c r="K519" s="2"/>
      <c r="L519" s="2"/>
      <c r="M519" s="2"/>
      <c r="N519" s="2"/>
      <c r="O519" s="7"/>
      <c r="P519" s="8"/>
      <c r="Q519" s="9"/>
      <c r="R519" s="7"/>
      <c r="S519" s="8"/>
      <c r="T519" s="10"/>
      <c r="U519" s="2"/>
      <c r="V519" s="2"/>
    </row>
    <row r="520" spans="2:22" x14ac:dyDescent="0.2">
      <c r="B520" s="40">
        <v>44488</v>
      </c>
      <c r="C520" s="41">
        <v>0.03</v>
      </c>
      <c r="E520" s="2"/>
      <c r="F520" s="2"/>
      <c r="G520" s="2"/>
      <c r="H520" s="2"/>
      <c r="I520" s="2"/>
      <c r="J520" s="2"/>
      <c r="K520" s="2"/>
      <c r="L520" s="2"/>
      <c r="M520" s="2"/>
      <c r="N520" s="2"/>
      <c r="O520" s="7"/>
      <c r="P520" s="8"/>
      <c r="Q520" s="9"/>
      <c r="R520" s="7"/>
      <c r="S520" s="8"/>
      <c r="T520" s="10"/>
      <c r="U520" s="2"/>
      <c r="V520" s="2"/>
    </row>
    <row r="521" spans="2:22" x14ac:dyDescent="0.2">
      <c r="B521" s="40">
        <v>44489</v>
      </c>
      <c r="C521" s="41">
        <v>0.03</v>
      </c>
      <c r="E521" s="2"/>
      <c r="F521" s="2"/>
      <c r="G521" s="2"/>
      <c r="H521" s="2"/>
      <c r="I521" s="2"/>
      <c r="J521" s="2"/>
      <c r="K521" s="2"/>
      <c r="L521" s="2"/>
      <c r="M521" s="2"/>
      <c r="N521" s="2"/>
      <c r="O521" s="7"/>
      <c r="P521" s="8"/>
      <c r="Q521" s="9"/>
      <c r="R521" s="7"/>
      <c r="S521" s="8"/>
      <c r="T521" s="10"/>
      <c r="U521" s="2"/>
      <c r="V521" s="2"/>
    </row>
    <row r="522" spans="2:22" x14ac:dyDescent="0.2">
      <c r="B522" s="40">
        <v>44490</v>
      </c>
      <c r="C522" s="41">
        <v>0.03</v>
      </c>
      <c r="E522" s="2"/>
      <c r="F522" s="2"/>
      <c r="G522" s="2"/>
      <c r="H522" s="2"/>
      <c r="I522" s="2"/>
      <c r="J522" s="2"/>
      <c r="K522" s="2"/>
      <c r="L522" s="2"/>
      <c r="M522" s="2"/>
      <c r="N522" s="2"/>
      <c r="O522" s="7"/>
      <c r="P522" s="8"/>
      <c r="Q522" s="9"/>
      <c r="R522" s="7"/>
      <c r="S522" s="8"/>
      <c r="T522" s="10"/>
      <c r="U522" s="2"/>
      <c r="V522" s="2"/>
    </row>
    <row r="523" spans="2:22" x14ac:dyDescent="0.2">
      <c r="B523" s="40">
        <v>44491</v>
      </c>
      <c r="C523" s="41">
        <v>0.05</v>
      </c>
      <c r="E523" s="2"/>
      <c r="F523" s="2"/>
      <c r="G523" s="2"/>
      <c r="H523" s="2"/>
      <c r="I523" s="2"/>
      <c r="J523" s="2"/>
      <c r="K523" s="2"/>
      <c r="L523" s="2"/>
      <c r="M523" s="2"/>
      <c r="N523" s="2"/>
      <c r="O523" s="7"/>
      <c r="P523" s="8"/>
      <c r="Q523" s="9"/>
      <c r="R523" s="7"/>
      <c r="S523" s="8"/>
      <c r="T523" s="10"/>
      <c r="U523" s="2"/>
      <c r="V523" s="2"/>
    </row>
    <row r="524" spans="2:22" x14ac:dyDescent="0.2">
      <c r="B524" s="40">
        <v>44494</v>
      </c>
      <c r="C524" s="41">
        <v>0.04</v>
      </c>
      <c r="E524" s="2"/>
      <c r="F524" s="2"/>
      <c r="G524" s="2"/>
      <c r="H524" s="2"/>
      <c r="I524" s="2"/>
      <c r="J524" s="2"/>
      <c r="K524" s="2"/>
      <c r="L524" s="2"/>
      <c r="M524" s="2"/>
      <c r="N524" s="2"/>
      <c r="O524" s="7"/>
      <c r="P524" s="8"/>
      <c r="Q524" s="9"/>
      <c r="R524" s="7"/>
      <c r="S524" s="8"/>
      <c r="T524" s="10"/>
      <c r="U524" s="2"/>
      <c r="V524" s="2"/>
    </row>
    <row r="525" spans="2:22" x14ac:dyDescent="0.2">
      <c r="B525" s="40">
        <v>44495</v>
      </c>
      <c r="C525" s="41">
        <v>0.05</v>
      </c>
      <c r="E525" s="2"/>
      <c r="F525" s="2"/>
      <c r="G525" s="2"/>
      <c r="H525" s="2"/>
      <c r="I525" s="2"/>
      <c r="J525" s="2"/>
      <c r="K525" s="2"/>
      <c r="L525" s="2"/>
      <c r="M525" s="2"/>
      <c r="N525" s="2"/>
      <c r="O525" s="7"/>
      <c r="P525" s="8"/>
      <c r="Q525" s="9"/>
      <c r="R525" s="7"/>
      <c r="S525" s="8"/>
      <c r="T525" s="10"/>
      <c r="U525" s="2"/>
      <c r="V525" s="2"/>
    </row>
    <row r="526" spans="2:22" x14ac:dyDescent="0.2">
      <c r="B526" s="40">
        <v>44496</v>
      </c>
      <c r="C526" s="41">
        <v>0.05</v>
      </c>
      <c r="E526" s="2"/>
      <c r="F526" s="2"/>
      <c r="G526" s="2"/>
      <c r="H526" s="2"/>
      <c r="I526" s="2"/>
      <c r="J526" s="2"/>
      <c r="K526" s="2"/>
      <c r="L526" s="2"/>
      <c r="M526" s="2"/>
      <c r="N526" s="2"/>
      <c r="O526" s="7"/>
      <c r="P526" s="8"/>
      <c r="Q526" s="9"/>
      <c r="R526" s="7"/>
      <c r="S526" s="8"/>
      <c r="T526" s="10"/>
      <c r="U526" s="2"/>
      <c r="V526" s="2"/>
    </row>
    <row r="527" spans="2:22" x14ac:dyDescent="0.2">
      <c r="B527" s="40">
        <v>44497</v>
      </c>
      <c r="C527" s="41">
        <v>0.05</v>
      </c>
      <c r="E527" s="2"/>
      <c r="F527" s="2"/>
      <c r="G527" s="2"/>
      <c r="H527" s="2"/>
      <c r="I527" s="2"/>
      <c r="J527" s="2"/>
      <c r="K527" s="2"/>
      <c r="L527" s="2"/>
      <c r="M527" s="2"/>
      <c r="N527" s="2"/>
      <c r="O527" s="7"/>
      <c r="P527" s="8"/>
      <c r="Q527" s="9"/>
      <c r="R527" s="7"/>
      <c r="S527" s="8"/>
      <c r="T527" s="10"/>
      <c r="U527" s="2"/>
      <c r="V527" s="2"/>
    </row>
    <row r="528" spans="2:22" x14ac:dyDescent="0.2">
      <c r="B528" s="40">
        <v>44498</v>
      </c>
      <c r="C528" s="41">
        <v>0.05</v>
      </c>
      <c r="E528" s="2"/>
      <c r="F528" s="2"/>
      <c r="G528" s="2"/>
      <c r="H528" s="2"/>
      <c r="I528" s="2"/>
      <c r="J528" s="2"/>
      <c r="K528" s="2"/>
      <c r="L528" s="2"/>
      <c r="M528" s="2"/>
      <c r="N528" s="2"/>
      <c r="O528" s="7"/>
      <c r="P528" s="8"/>
      <c r="Q528" s="9"/>
      <c r="R528" s="7"/>
      <c r="S528" s="8"/>
      <c r="T528" s="10"/>
      <c r="U528" s="2"/>
      <c r="V528" s="2"/>
    </row>
    <row r="529" spans="2:22" x14ac:dyDescent="0.2">
      <c r="B529" s="40">
        <v>44501</v>
      </c>
      <c r="C529" s="41">
        <v>0.05</v>
      </c>
      <c r="E529" s="2"/>
      <c r="F529" s="2"/>
      <c r="G529" s="2"/>
      <c r="H529" s="2"/>
      <c r="I529" s="2"/>
      <c r="J529" s="2"/>
      <c r="K529" s="2"/>
      <c r="L529" s="2"/>
      <c r="M529" s="2"/>
      <c r="N529" s="2"/>
      <c r="O529" s="7"/>
      <c r="P529" s="8"/>
      <c r="Q529" s="9"/>
      <c r="R529" s="7"/>
      <c r="S529" s="8"/>
      <c r="T529" s="10"/>
      <c r="U529" s="2"/>
      <c r="V529" s="2"/>
    </row>
    <row r="530" spans="2:22" x14ac:dyDescent="0.2">
      <c r="B530" s="40">
        <v>44502</v>
      </c>
      <c r="C530" s="41">
        <v>0.05</v>
      </c>
      <c r="E530" s="2"/>
      <c r="F530" s="2"/>
      <c r="G530" s="2"/>
      <c r="H530" s="2"/>
      <c r="I530" s="2"/>
      <c r="J530" s="2"/>
      <c r="K530" s="2"/>
      <c r="L530" s="2"/>
      <c r="M530" s="2"/>
      <c r="N530" s="2"/>
      <c r="O530" s="7"/>
      <c r="P530" s="8"/>
      <c r="Q530" s="9"/>
      <c r="R530" s="7"/>
      <c r="S530" s="8"/>
      <c r="T530" s="10"/>
      <c r="U530" s="2"/>
      <c r="V530" s="2"/>
    </row>
    <row r="531" spans="2:22" x14ac:dyDescent="0.2">
      <c r="B531" s="40">
        <v>44503</v>
      </c>
      <c r="C531" s="41">
        <v>0.05</v>
      </c>
      <c r="E531" s="2"/>
      <c r="F531" s="2"/>
      <c r="G531" s="2"/>
      <c r="H531" s="2"/>
      <c r="I531" s="2"/>
      <c r="J531" s="2"/>
      <c r="K531" s="2"/>
      <c r="L531" s="2"/>
      <c r="M531" s="2"/>
      <c r="N531" s="2"/>
      <c r="O531" s="7"/>
      <c r="P531" s="8"/>
      <c r="Q531" s="9"/>
      <c r="R531" s="7"/>
      <c r="S531" s="8"/>
      <c r="T531" s="10"/>
      <c r="U531" s="2"/>
      <c r="V531" s="2"/>
    </row>
    <row r="532" spans="2:22" x14ac:dyDescent="0.2">
      <c r="B532" s="40">
        <v>44504</v>
      </c>
      <c r="C532" s="41">
        <v>0.05</v>
      </c>
      <c r="E532" s="2"/>
      <c r="F532" s="2"/>
      <c r="G532" s="2"/>
      <c r="H532" s="2"/>
      <c r="I532" s="2"/>
      <c r="J532" s="2"/>
      <c r="K532" s="2"/>
      <c r="L532" s="2"/>
      <c r="M532" s="2"/>
      <c r="N532" s="2"/>
      <c r="O532" s="7"/>
      <c r="P532" s="8"/>
      <c r="Q532" s="9"/>
      <c r="R532" s="7"/>
      <c r="S532" s="8"/>
      <c r="T532" s="10"/>
      <c r="U532" s="2"/>
      <c r="V532" s="2"/>
    </row>
    <row r="533" spans="2:22" x14ac:dyDescent="0.2">
      <c r="B533" s="40">
        <v>44505</v>
      </c>
      <c r="C533" s="41">
        <v>0.05</v>
      </c>
      <c r="E533" s="2"/>
      <c r="F533" s="2"/>
      <c r="G533" s="2"/>
      <c r="H533" s="2"/>
      <c r="I533" s="2"/>
      <c r="J533" s="2"/>
      <c r="K533" s="2"/>
      <c r="L533" s="2"/>
      <c r="M533" s="2"/>
      <c r="N533" s="2"/>
      <c r="O533" s="7"/>
      <c r="P533" s="8"/>
      <c r="Q533" s="9"/>
      <c r="R533" s="7"/>
      <c r="S533" s="8"/>
      <c r="T533" s="10"/>
      <c r="U533" s="2"/>
      <c r="V533" s="2"/>
    </row>
    <row r="534" spans="2:22" x14ac:dyDescent="0.2">
      <c r="B534" s="40">
        <v>44508</v>
      </c>
      <c r="C534" s="41">
        <v>0.05</v>
      </c>
      <c r="E534" s="2"/>
      <c r="F534" s="2"/>
      <c r="G534" s="2"/>
      <c r="H534" s="2"/>
      <c r="I534" s="2"/>
      <c r="J534" s="2"/>
      <c r="K534" s="2"/>
      <c r="L534" s="2"/>
      <c r="M534" s="2"/>
      <c r="N534" s="2"/>
      <c r="O534" s="7"/>
      <c r="P534" s="8"/>
      <c r="Q534" s="9"/>
      <c r="R534" s="7"/>
      <c r="S534" s="8"/>
      <c r="T534" s="10"/>
      <c r="U534" s="2"/>
      <c r="V534" s="2"/>
    </row>
    <row r="535" spans="2:22" x14ac:dyDescent="0.2">
      <c r="B535" s="40">
        <v>44509</v>
      </c>
      <c r="C535" s="41">
        <v>0.05</v>
      </c>
      <c r="E535" s="2"/>
      <c r="F535" s="2"/>
      <c r="G535" s="2"/>
      <c r="H535" s="2"/>
      <c r="I535" s="2"/>
      <c r="J535" s="2"/>
      <c r="K535" s="2"/>
      <c r="L535" s="2"/>
      <c r="M535" s="2"/>
      <c r="N535" s="2"/>
      <c r="O535" s="7"/>
      <c r="P535" s="8"/>
      <c r="Q535" s="9"/>
      <c r="R535" s="7"/>
      <c r="S535" s="8"/>
      <c r="T535" s="10"/>
      <c r="U535" s="2"/>
      <c r="V535" s="2"/>
    </row>
    <row r="536" spans="2:22" x14ac:dyDescent="0.2">
      <c r="B536" s="40">
        <v>44510</v>
      </c>
      <c r="C536" s="41">
        <v>0.05</v>
      </c>
      <c r="E536" s="2"/>
      <c r="F536" s="2"/>
      <c r="G536" s="2"/>
      <c r="H536" s="2"/>
      <c r="I536" s="2"/>
      <c r="J536" s="2"/>
      <c r="K536" s="2"/>
      <c r="L536" s="2"/>
      <c r="M536" s="2"/>
      <c r="N536" s="2"/>
      <c r="O536" s="7"/>
      <c r="P536" s="8"/>
      <c r="Q536" s="9"/>
      <c r="R536" s="7"/>
      <c r="S536" s="8"/>
      <c r="T536" s="10"/>
      <c r="U536" s="2"/>
      <c r="V536" s="2"/>
    </row>
    <row r="537" spans="2:22" x14ac:dyDescent="0.2">
      <c r="B537" s="40">
        <v>44512</v>
      </c>
      <c r="C537" s="41">
        <v>0.05</v>
      </c>
      <c r="E537" s="2"/>
      <c r="F537" s="2"/>
      <c r="G537" s="2"/>
      <c r="H537" s="2"/>
      <c r="I537" s="2"/>
      <c r="J537" s="2"/>
      <c r="K537" s="2"/>
      <c r="L537" s="2"/>
      <c r="M537" s="2"/>
      <c r="N537" s="2"/>
      <c r="O537" s="7"/>
      <c r="P537" s="8"/>
      <c r="Q537" s="9"/>
      <c r="R537" s="7"/>
      <c r="S537" s="8"/>
      <c r="T537" s="10"/>
      <c r="U537" s="2"/>
      <c r="V537" s="2"/>
    </row>
    <row r="538" spans="2:22" x14ac:dyDescent="0.2">
      <c r="B538" s="40">
        <v>44515</v>
      </c>
      <c r="C538" s="41">
        <v>0.05</v>
      </c>
      <c r="E538" s="2"/>
      <c r="F538" s="2"/>
      <c r="G538" s="2"/>
      <c r="H538" s="2"/>
      <c r="I538" s="2"/>
      <c r="J538" s="2"/>
      <c r="K538" s="2"/>
      <c r="L538" s="2"/>
      <c r="M538" s="2"/>
      <c r="N538" s="2"/>
      <c r="O538" s="7"/>
      <c r="P538" s="8"/>
      <c r="Q538" s="9"/>
      <c r="R538" s="7"/>
      <c r="S538" s="8"/>
      <c r="T538" s="10"/>
      <c r="U538" s="2"/>
      <c r="V538" s="2"/>
    </row>
    <row r="539" spans="2:22" x14ac:dyDescent="0.2">
      <c r="B539" s="40">
        <v>44516</v>
      </c>
      <c r="C539" s="41">
        <v>0.05</v>
      </c>
      <c r="E539" s="2"/>
      <c r="F539" s="2"/>
      <c r="G539" s="2"/>
      <c r="H539" s="2"/>
      <c r="I539" s="2"/>
      <c r="J539" s="2"/>
      <c r="K539" s="2"/>
      <c r="L539" s="2"/>
      <c r="M539" s="2"/>
      <c r="N539" s="2"/>
      <c r="O539" s="7"/>
      <c r="P539" s="8"/>
      <c r="Q539" s="9"/>
      <c r="R539" s="7"/>
      <c r="S539" s="8"/>
      <c r="T539" s="10"/>
      <c r="U539" s="2"/>
      <c r="V539" s="2"/>
    </row>
    <row r="540" spans="2:22" x14ac:dyDescent="0.2">
      <c r="B540" s="40">
        <v>44517</v>
      </c>
      <c r="C540" s="41">
        <v>0.05</v>
      </c>
      <c r="E540" s="2"/>
      <c r="F540" s="2"/>
      <c r="G540" s="2"/>
      <c r="H540" s="2"/>
      <c r="I540" s="2"/>
      <c r="J540" s="2"/>
      <c r="K540" s="2"/>
      <c r="L540" s="2"/>
      <c r="M540" s="2"/>
      <c r="N540" s="2"/>
      <c r="O540" s="7"/>
      <c r="P540" s="8"/>
      <c r="Q540" s="9"/>
      <c r="R540" s="7"/>
      <c r="S540" s="8"/>
      <c r="T540" s="10"/>
      <c r="U540" s="2"/>
      <c r="V540" s="2"/>
    </row>
    <row r="541" spans="2:22" x14ac:dyDescent="0.2">
      <c r="B541" s="40">
        <v>44518</v>
      </c>
      <c r="C541" s="41">
        <v>0.05</v>
      </c>
      <c r="E541" s="2"/>
      <c r="F541" s="2"/>
      <c r="G541" s="2"/>
      <c r="H541" s="2"/>
      <c r="I541" s="2"/>
      <c r="J541" s="2"/>
      <c r="K541" s="2"/>
      <c r="L541" s="2"/>
      <c r="M541" s="2"/>
      <c r="N541" s="2"/>
      <c r="O541" s="7"/>
      <c r="P541" s="8"/>
      <c r="Q541" s="9"/>
      <c r="R541" s="7"/>
      <c r="S541" s="8"/>
      <c r="T541" s="10"/>
      <c r="U541" s="2"/>
      <c r="V541" s="2"/>
    </row>
    <row r="542" spans="2:22" x14ac:dyDescent="0.2">
      <c r="B542" s="40">
        <v>44519</v>
      </c>
      <c r="C542" s="41">
        <v>0.05</v>
      </c>
      <c r="E542" s="2"/>
      <c r="F542" s="2"/>
      <c r="G542" s="2"/>
      <c r="H542" s="2"/>
      <c r="I542" s="2"/>
      <c r="J542" s="2"/>
      <c r="K542" s="2"/>
      <c r="L542" s="2"/>
      <c r="M542" s="2"/>
      <c r="N542" s="2"/>
      <c r="O542" s="7"/>
      <c r="P542" s="8"/>
      <c r="Q542" s="9"/>
      <c r="R542" s="7"/>
      <c r="S542" s="8"/>
      <c r="T542" s="10"/>
      <c r="U542" s="2"/>
      <c r="V542" s="2"/>
    </row>
    <row r="543" spans="2:22" x14ac:dyDescent="0.2">
      <c r="B543" s="40">
        <v>44522</v>
      </c>
      <c r="C543" s="41">
        <v>0.05</v>
      </c>
      <c r="E543" s="2"/>
      <c r="F543" s="2"/>
      <c r="G543" s="2"/>
      <c r="H543" s="2"/>
      <c r="I543" s="2"/>
      <c r="J543" s="2"/>
      <c r="K543" s="2"/>
      <c r="L543" s="2"/>
      <c r="M543" s="2"/>
      <c r="N543" s="2"/>
      <c r="O543" s="7"/>
      <c r="P543" s="8"/>
      <c r="Q543" s="9"/>
      <c r="R543" s="7"/>
      <c r="S543" s="8"/>
      <c r="T543" s="10"/>
      <c r="U543" s="2"/>
      <c r="V543" s="2"/>
    </row>
    <row r="544" spans="2:22" x14ac:dyDescent="0.2">
      <c r="B544" s="40">
        <v>44523</v>
      </c>
      <c r="C544" s="41">
        <v>0.05</v>
      </c>
      <c r="E544" s="2"/>
      <c r="F544" s="2"/>
      <c r="G544" s="2"/>
      <c r="H544" s="2"/>
      <c r="I544" s="2"/>
      <c r="J544" s="2"/>
      <c r="K544" s="2"/>
      <c r="L544" s="2"/>
      <c r="M544" s="2"/>
      <c r="N544" s="2"/>
      <c r="O544" s="7"/>
      <c r="P544" s="8"/>
      <c r="Q544" s="9"/>
      <c r="R544" s="7"/>
      <c r="S544" s="8"/>
      <c r="T544" s="10"/>
      <c r="U544" s="2"/>
      <c r="V544" s="2"/>
    </row>
    <row r="545" spans="2:22" x14ac:dyDescent="0.2">
      <c r="B545" s="40">
        <v>44524</v>
      </c>
      <c r="C545" s="41">
        <v>0.05</v>
      </c>
      <c r="E545" s="2"/>
      <c r="F545" s="2"/>
      <c r="G545" s="2"/>
      <c r="H545" s="2"/>
      <c r="I545" s="2"/>
      <c r="J545" s="2"/>
      <c r="K545" s="2"/>
      <c r="L545" s="2"/>
      <c r="M545" s="2"/>
      <c r="N545" s="2"/>
      <c r="O545" s="7"/>
      <c r="P545" s="8"/>
      <c r="Q545" s="9"/>
      <c r="R545" s="7"/>
      <c r="S545" s="8"/>
      <c r="T545" s="10"/>
      <c r="U545" s="2"/>
      <c r="V545" s="2"/>
    </row>
    <row r="546" spans="2:22" x14ac:dyDescent="0.2">
      <c r="B546" s="40">
        <v>44526</v>
      </c>
      <c r="C546" s="41">
        <v>0.05</v>
      </c>
      <c r="E546" s="2"/>
      <c r="F546" s="2"/>
      <c r="G546" s="2"/>
      <c r="H546" s="2"/>
      <c r="I546" s="2"/>
      <c r="J546" s="2"/>
      <c r="K546" s="2"/>
      <c r="L546" s="2"/>
      <c r="M546" s="2"/>
      <c r="N546" s="2"/>
      <c r="O546" s="7"/>
      <c r="P546" s="8"/>
      <c r="Q546" s="9"/>
      <c r="R546" s="7"/>
      <c r="S546" s="8"/>
      <c r="T546" s="10"/>
      <c r="U546" s="2"/>
      <c r="V546" s="2"/>
    </row>
    <row r="547" spans="2:22" x14ac:dyDescent="0.2">
      <c r="B547" s="40">
        <v>44529</v>
      </c>
      <c r="C547" s="41">
        <v>0.05</v>
      </c>
      <c r="E547" s="2"/>
      <c r="F547" s="2"/>
      <c r="G547" s="2"/>
      <c r="H547" s="2"/>
      <c r="I547" s="2"/>
      <c r="J547" s="2"/>
      <c r="K547" s="2"/>
      <c r="L547" s="2"/>
      <c r="M547" s="2"/>
      <c r="N547" s="2"/>
      <c r="O547" s="7"/>
      <c r="P547" s="8"/>
      <c r="Q547" s="9"/>
      <c r="R547" s="7"/>
      <c r="S547" s="8"/>
      <c r="T547" s="10"/>
      <c r="U547" s="2"/>
      <c r="V547" s="2"/>
    </row>
    <row r="548" spans="2:22" x14ac:dyDescent="0.2">
      <c r="B548" s="40">
        <v>44530</v>
      </c>
      <c r="C548" s="41">
        <v>0.05</v>
      </c>
      <c r="E548" s="2"/>
      <c r="F548" s="2"/>
      <c r="G548" s="2"/>
      <c r="H548" s="2"/>
      <c r="I548" s="2"/>
      <c r="J548" s="2"/>
      <c r="K548" s="2"/>
      <c r="L548" s="2"/>
      <c r="M548" s="2"/>
      <c r="N548" s="2"/>
      <c r="O548" s="7"/>
      <c r="P548" s="8"/>
      <c r="Q548" s="9"/>
      <c r="R548" s="7"/>
      <c r="S548" s="8"/>
      <c r="T548" s="10"/>
      <c r="U548" s="2"/>
      <c r="V548" s="2"/>
    </row>
    <row r="549" spans="2:22" x14ac:dyDescent="0.2">
      <c r="B549" s="40">
        <v>44531</v>
      </c>
      <c r="C549" s="41">
        <v>0.05</v>
      </c>
      <c r="E549" s="2"/>
      <c r="F549" s="2"/>
      <c r="G549" s="2"/>
      <c r="H549" s="2"/>
      <c r="I549" s="2"/>
      <c r="J549" s="2"/>
      <c r="K549" s="2"/>
      <c r="L549" s="2"/>
      <c r="M549" s="2"/>
      <c r="N549" s="2"/>
      <c r="O549" s="7"/>
      <c r="P549" s="8"/>
      <c r="Q549" s="9"/>
      <c r="R549" s="7"/>
      <c r="S549" s="8"/>
      <c r="T549" s="10"/>
      <c r="U549" s="2"/>
      <c r="V549" s="2"/>
    </row>
    <row r="550" spans="2:22" x14ac:dyDescent="0.2">
      <c r="B550" s="40">
        <v>44532</v>
      </c>
      <c r="C550" s="41">
        <v>0.05</v>
      </c>
      <c r="E550" s="2"/>
      <c r="F550" s="2"/>
      <c r="G550" s="2"/>
      <c r="H550" s="2"/>
      <c r="I550" s="2"/>
      <c r="J550" s="2"/>
      <c r="K550" s="2"/>
      <c r="L550" s="2"/>
      <c r="M550" s="2"/>
      <c r="N550" s="2"/>
      <c r="O550" s="7"/>
      <c r="P550" s="8"/>
      <c r="Q550" s="9"/>
      <c r="R550" s="7"/>
      <c r="S550" s="8"/>
      <c r="T550" s="10"/>
      <c r="U550" s="2"/>
      <c r="V550" s="2"/>
    </row>
    <row r="551" spans="2:22" x14ac:dyDescent="0.2">
      <c r="B551" s="40">
        <v>44533</v>
      </c>
      <c r="C551" s="41">
        <v>0.05</v>
      </c>
      <c r="E551" s="2"/>
      <c r="F551" s="2"/>
      <c r="G551" s="2"/>
      <c r="H551" s="2"/>
      <c r="I551" s="2"/>
      <c r="J551" s="2"/>
      <c r="K551" s="2"/>
      <c r="L551" s="2"/>
      <c r="M551" s="2"/>
      <c r="N551" s="2"/>
      <c r="O551" s="7"/>
      <c r="P551" s="8"/>
      <c r="Q551" s="9"/>
      <c r="R551" s="7"/>
      <c r="S551" s="8"/>
      <c r="T551" s="10"/>
      <c r="U551" s="2"/>
      <c r="V551" s="2"/>
    </row>
    <row r="552" spans="2:22" x14ac:dyDescent="0.2">
      <c r="B552" s="40">
        <v>44536</v>
      </c>
      <c r="C552" s="41">
        <v>0.05</v>
      </c>
      <c r="E552" s="2"/>
      <c r="F552" s="2"/>
      <c r="G552" s="2"/>
      <c r="H552" s="2"/>
      <c r="I552" s="2"/>
      <c r="J552" s="2"/>
      <c r="K552" s="2"/>
      <c r="L552" s="2"/>
      <c r="M552" s="2"/>
      <c r="N552" s="2"/>
      <c r="O552" s="7"/>
      <c r="P552" s="8"/>
      <c r="Q552" s="9"/>
      <c r="R552" s="7"/>
      <c r="S552" s="8"/>
      <c r="T552" s="10"/>
      <c r="U552" s="2"/>
      <c r="V552" s="2"/>
    </row>
    <row r="553" spans="2:22" x14ac:dyDescent="0.2">
      <c r="B553" s="40">
        <v>44537</v>
      </c>
      <c r="C553" s="41">
        <v>0.05</v>
      </c>
      <c r="E553" s="2"/>
      <c r="F553" s="2"/>
      <c r="G553" s="2"/>
      <c r="H553" s="2"/>
      <c r="I553" s="2"/>
      <c r="J553" s="2"/>
      <c r="K553" s="2"/>
      <c r="L553" s="2"/>
      <c r="M553" s="2"/>
      <c r="N553" s="2"/>
      <c r="O553" s="7"/>
      <c r="P553" s="8"/>
      <c r="Q553" s="9"/>
      <c r="R553" s="7"/>
      <c r="S553" s="8"/>
      <c r="T553" s="10"/>
      <c r="U553" s="2"/>
      <c r="V553" s="2"/>
    </row>
    <row r="554" spans="2:22" x14ac:dyDescent="0.2">
      <c r="B554" s="40">
        <v>44538</v>
      </c>
      <c r="C554" s="41">
        <v>0.05</v>
      </c>
      <c r="E554" s="2"/>
      <c r="F554" s="2"/>
      <c r="G554" s="2"/>
      <c r="H554" s="2"/>
      <c r="I554" s="2"/>
      <c r="J554" s="2"/>
      <c r="K554" s="2"/>
      <c r="L554" s="2"/>
      <c r="M554" s="2"/>
      <c r="N554" s="2"/>
      <c r="O554" s="7"/>
      <c r="P554" s="8"/>
      <c r="Q554" s="9"/>
      <c r="R554" s="7"/>
      <c r="S554" s="8"/>
      <c r="T554" s="10"/>
      <c r="U554" s="2"/>
      <c r="V554" s="2"/>
    </row>
    <row r="555" spans="2:22" x14ac:dyDescent="0.2">
      <c r="B555" s="40">
        <v>44539</v>
      </c>
      <c r="C555" s="41">
        <v>0.05</v>
      </c>
      <c r="E555" s="2"/>
      <c r="F555" s="2"/>
      <c r="G555" s="2"/>
      <c r="H555" s="2"/>
      <c r="I555" s="2"/>
      <c r="J555" s="2"/>
      <c r="K555" s="2"/>
      <c r="L555" s="2"/>
      <c r="M555" s="2"/>
      <c r="N555" s="2"/>
      <c r="O555" s="7"/>
      <c r="P555" s="8"/>
      <c r="Q555" s="9"/>
      <c r="R555" s="7"/>
      <c r="S555" s="8"/>
      <c r="T555" s="10"/>
      <c r="U555" s="2"/>
      <c r="V555" s="2"/>
    </row>
    <row r="556" spans="2:22" x14ac:dyDescent="0.2">
      <c r="B556" s="40">
        <v>44540</v>
      </c>
      <c r="C556" s="41">
        <v>0.05</v>
      </c>
      <c r="E556" s="2"/>
      <c r="F556" s="2"/>
      <c r="G556" s="2"/>
      <c r="H556" s="2"/>
      <c r="I556" s="2"/>
      <c r="J556" s="2"/>
      <c r="K556" s="2"/>
      <c r="L556" s="2"/>
      <c r="M556" s="2"/>
      <c r="N556" s="2"/>
      <c r="O556" s="7"/>
      <c r="P556" s="8"/>
      <c r="Q556" s="9"/>
      <c r="R556" s="7"/>
      <c r="S556" s="8"/>
      <c r="T556" s="10"/>
      <c r="U556" s="2"/>
      <c r="V556" s="2"/>
    </row>
    <row r="557" spans="2:22" x14ac:dyDescent="0.2">
      <c r="B557" s="40">
        <v>44543</v>
      </c>
      <c r="C557" s="41">
        <v>0.05</v>
      </c>
      <c r="E557" s="2"/>
      <c r="F557" s="2"/>
      <c r="G557" s="2"/>
      <c r="H557" s="2"/>
      <c r="I557" s="2"/>
      <c r="J557" s="2"/>
      <c r="K557" s="2"/>
      <c r="L557" s="2"/>
      <c r="M557" s="2"/>
      <c r="N557" s="2"/>
      <c r="O557" s="7"/>
      <c r="P557" s="8"/>
      <c r="Q557" s="9"/>
      <c r="R557" s="7"/>
      <c r="S557" s="8"/>
      <c r="T557" s="10"/>
      <c r="U557" s="2"/>
      <c r="V557" s="2"/>
    </row>
    <row r="558" spans="2:22" x14ac:dyDescent="0.2">
      <c r="B558" s="40">
        <v>44544</v>
      </c>
      <c r="C558" s="41">
        <v>0.05</v>
      </c>
      <c r="E558" s="2"/>
      <c r="F558" s="2"/>
      <c r="G558" s="2"/>
      <c r="H558" s="2"/>
      <c r="I558" s="2"/>
      <c r="J558" s="2"/>
      <c r="K558" s="2"/>
      <c r="L558" s="2"/>
      <c r="M558" s="2"/>
      <c r="N558" s="2"/>
      <c r="O558" s="7"/>
      <c r="P558" s="8"/>
      <c r="Q558" s="9"/>
      <c r="R558" s="7"/>
      <c r="S558" s="8"/>
      <c r="T558" s="10"/>
      <c r="U558" s="2"/>
      <c r="V558" s="2"/>
    </row>
    <row r="559" spans="2:22" x14ac:dyDescent="0.2">
      <c r="B559" s="40">
        <v>44545</v>
      </c>
      <c r="C559" s="41">
        <v>0.05</v>
      </c>
      <c r="E559" s="2"/>
      <c r="F559" s="2"/>
      <c r="G559" s="2"/>
      <c r="H559" s="2"/>
      <c r="I559" s="2"/>
      <c r="J559" s="2"/>
      <c r="K559" s="2"/>
      <c r="L559" s="2"/>
      <c r="M559" s="2"/>
      <c r="N559" s="2"/>
      <c r="O559" s="7"/>
      <c r="P559" s="8"/>
      <c r="Q559" s="9"/>
      <c r="R559" s="7"/>
      <c r="S559" s="8"/>
      <c r="T559" s="10"/>
      <c r="U559" s="2"/>
      <c r="V559" s="2"/>
    </row>
    <row r="560" spans="2:22" x14ac:dyDescent="0.2">
      <c r="B560" s="40">
        <v>44546</v>
      </c>
      <c r="C560" s="41">
        <v>0.05</v>
      </c>
      <c r="E560" s="2"/>
      <c r="F560" s="2"/>
      <c r="G560" s="2"/>
      <c r="H560" s="2"/>
      <c r="I560" s="2"/>
      <c r="J560" s="2"/>
      <c r="K560" s="2"/>
      <c r="L560" s="2"/>
      <c r="M560" s="2"/>
      <c r="N560" s="2"/>
      <c r="O560" s="7"/>
      <c r="P560" s="8"/>
      <c r="Q560" s="9"/>
      <c r="R560" s="7"/>
      <c r="S560" s="8"/>
      <c r="T560" s="10"/>
      <c r="U560" s="2"/>
      <c r="V560" s="2"/>
    </row>
    <row r="561" spans="2:22" x14ac:dyDescent="0.2">
      <c r="B561" s="40">
        <v>44547</v>
      </c>
      <c r="C561" s="41">
        <v>0.05</v>
      </c>
      <c r="E561" s="2"/>
      <c r="F561" s="2"/>
      <c r="G561" s="2"/>
      <c r="H561" s="2"/>
      <c r="I561" s="2"/>
      <c r="J561" s="2"/>
      <c r="K561" s="2"/>
      <c r="L561" s="2"/>
      <c r="M561" s="2"/>
      <c r="N561" s="2"/>
      <c r="O561" s="7"/>
      <c r="P561" s="8"/>
      <c r="Q561" s="9"/>
      <c r="R561" s="7"/>
      <c r="S561" s="8"/>
      <c r="T561" s="10"/>
      <c r="U561" s="2"/>
      <c r="V561" s="2"/>
    </row>
    <row r="562" spans="2:22" x14ac:dyDescent="0.2">
      <c r="B562" s="40">
        <v>44550</v>
      </c>
      <c r="C562" s="41">
        <v>0.04</v>
      </c>
      <c r="E562" s="2"/>
      <c r="F562" s="2"/>
      <c r="G562" s="2"/>
      <c r="H562" s="2"/>
      <c r="I562" s="2"/>
      <c r="J562" s="2"/>
      <c r="K562" s="2"/>
      <c r="L562" s="2"/>
      <c r="M562" s="2"/>
      <c r="N562" s="2"/>
      <c r="O562" s="7"/>
      <c r="P562" s="8"/>
      <c r="Q562" s="9"/>
      <c r="R562" s="7"/>
      <c r="S562" s="8"/>
      <c r="T562" s="10"/>
      <c r="U562" s="2"/>
      <c r="V562" s="2"/>
    </row>
    <row r="563" spans="2:22" x14ac:dyDescent="0.2">
      <c r="B563" s="40">
        <v>44551</v>
      </c>
      <c r="C563" s="41">
        <v>0.05</v>
      </c>
      <c r="E563" s="2"/>
      <c r="F563" s="2"/>
      <c r="G563" s="2"/>
      <c r="H563" s="2"/>
      <c r="I563" s="2"/>
      <c r="J563" s="2"/>
      <c r="K563" s="2"/>
      <c r="L563" s="2"/>
      <c r="M563" s="2"/>
      <c r="N563" s="2"/>
      <c r="O563" s="7"/>
      <c r="P563" s="8"/>
      <c r="Q563" s="9"/>
      <c r="R563" s="7"/>
      <c r="S563" s="8"/>
      <c r="T563" s="10"/>
      <c r="U563" s="2"/>
      <c r="V563" s="2"/>
    </row>
    <row r="564" spans="2:22" x14ac:dyDescent="0.2">
      <c r="B564" s="40">
        <v>44552</v>
      </c>
      <c r="C564" s="41">
        <v>0.05</v>
      </c>
      <c r="E564" s="2"/>
      <c r="F564" s="2"/>
      <c r="G564" s="2"/>
      <c r="H564" s="2"/>
      <c r="I564" s="2"/>
      <c r="J564" s="2"/>
      <c r="K564" s="2"/>
      <c r="L564" s="2"/>
      <c r="M564" s="2"/>
      <c r="N564" s="2"/>
      <c r="O564" s="7"/>
      <c r="P564" s="8"/>
      <c r="Q564" s="9"/>
      <c r="R564" s="7"/>
      <c r="S564" s="8"/>
      <c r="T564" s="10"/>
      <c r="U564" s="2"/>
      <c r="V564" s="2"/>
    </row>
    <row r="565" spans="2:22" x14ac:dyDescent="0.2">
      <c r="B565" s="40">
        <v>44553</v>
      </c>
      <c r="C565" s="41">
        <v>0.05</v>
      </c>
      <c r="E565" s="2"/>
      <c r="F565" s="2"/>
      <c r="G565" s="2"/>
      <c r="H565" s="2"/>
      <c r="I565" s="2"/>
      <c r="J565" s="2"/>
      <c r="K565" s="2"/>
      <c r="L565" s="2"/>
      <c r="M565" s="2"/>
      <c r="N565" s="2"/>
      <c r="O565" s="7"/>
      <c r="P565" s="8"/>
      <c r="Q565" s="9"/>
      <c r="R565" s="7"/>
      <c r="S565" s="8"/>
      <c r="T565" s="10"/>
      <c r="U565" s="2"/>
      <c r="V565" s="2"/>
    </row>
    <row r="566" spans="2:22" x14ac:dyDescent="0.2">
      <c r="B566" s="40">
        <v>44557</v>
      </c>
      <c r="C566" s="41">
        <v>0.05</v>
      </c>
      <c r="E566" s="2"/>
      <c r="F566" s="2"/>
      <c r="G566" s="2"/>
      <c r="H566" s="2"/>
      <c r="I566" s="2"/>
      <c r="J566" s="2"/>
      <c r="K566" s="2"/>
      <c r="L566" s="2"/>
      <c r="M566" s="2"/>
      <c r="N566" s="2"/>
      <c r="O566" s="7"/>
      <c r="P566" s="8"/>
      <c r="Q566" s="9"/>
      <c r="R566" s="7"/>
      <c r="S566" s="8"/>
      <c r="T566" s="10"/>
      <c r="U566" s="2"/>
      <c r="V566" s="2"/>
    </row>
    <row r="567" spans="2:22" x14ac:dyDescent="0.2">
      <c r="B567" s="40">
        <v>44558</v>
      </c>
      <c r="C567" s="41">
        <v>0.05</v>
      </c>
      <c r="E567" s="2"/>
      <c r="F567" s="2"/>
      <c r="G567" s="2"/>
      <c r="H567" s="2"/>
      <c r="I567" s="2"/>
      <c r="J567" s="2"/>
      <c r="K567" s="2"/>
      <c r="L567" s="2"/>
      <c r="M567" s="2"/>
      <c r="N567" s="2"/>
      <c r="O567" s="7"/>
      <c r="P567" s="8"/>
      <c r="Q567" s="9"/>
      <c r="R567" s="7"/>
      <c r="S567" s="8"/>
      <c r="T567" s="10"/>
      <c r="U567" s="2"/>
      <c r="V567" s="2"/>
    </row>
    <row r="568" spans="2:22" x14ac:dyDescent="0.2">
      <c r="B568" s="40">
        <v>44559</v>
      </c>
      <c r="C568" s="41">
        <v>0.05</v>
      </c>
      <c r="E568" s="2"/>
      <c r="F568" s="2"/>
      <c r="G568" s="2"/>
      <c r="H568" s="2"/>
      <c r="I568" s="2"/>
      <c r="J568" s="2"/>
      <c r="K568" s="2"/>
      <c r="L568" s="2"/>
      <c r="M568" s="2"/>
      <c r="N568" s="2"/>
      <c r="O568" s="7"/>
      <c r="P568" s="8"/>
      <c r="Q568" s="9"/>
      <c r="R568" s="7"/>
      <c r="S568" s="8"/>
      <c r="T568" s="10"/>
      <c r="U568" s="2"/>
      <c r="V568" s="2"/>
    </row>
    <row r="569" spans="2:22" x14ac:dyDescent="0.2">
      <c r="B569" s="40">
        <v>44560</v>
      </c>
      <c r="C569" s="41">
        <v>0.05</v>
      </c>
      <c r="E569" s="2"/>
      <c r="F569" s="2"/>
      <c r="G569" s="2"/>
      <c r="H569" s="2"/>
      <c r="I569" s="2"/>
      <c r="J569" s="2"/>
      <c r="K569" s="2"/>
      <c r="L569" s="2"/>
      <c r="M569" s="2"/>
      <c r="N569" s="2"/>
      <c r="O569" s="7"/>
      <c r="P569" s="8"/>
      <c r="Q569" s="9"/>
      <c r="R569" s="7"/>
      <c r="S569" s="8"/>
      <c r="T569" s="10"/>
      <c r="U569" s="2"/>
      <c r="V569" s="2"/>
    </row>
    <row r="570" spans="2:22" x14ac:dyDescent="0.2">
      <c r="B570" s="40">
        <v>44561</v>
      </c>
      <c r="C570" s="41">
        <v>0.05</v>
      </c>
      <c r="E570" s="2"/>
      <c r="F570" s="2"/>
      <c r="G570" s="2"/>
      <c r="H570" s="2"/>
      <c r="I570" s="2"/>
      <c r="J570" s="2"/>
      <c r="K570" s="2"/>
      <c r="L570" s="2"/>
      <c r="M570" s="2"/>
      <c r="N570" s="2"/>
      <c r="O570" s="7"/>
      <c r="P570" s="8"/>
      <c r="Q570" s="9"/>
      <c r="R570" s="7"/>
      <c r="S570" s="8"/>
      <c r="T570" s="10"/>
      <c r="U570" s="2"/>
      <c r="V570" s="2"/>
    </row>
    <row r="571" spans="2:22" x14ac:dyDescent="0.2">
      <c r="B571" s="40">
        <v>44564</v>
      </c>
      <c r="C571" s="41">
        <v>0.05</v>
      </c>
      <c r="E571" s="2"/>
      <c r="F571" s="2"/>
      <c r="G571" s="2"/>
      <c r="H571" s="2"/>
      <c r="I571" s="2"/>
      <c r="J571" s="2"/>
      <c r="K571" s="2"/>
      <c r="L571" s="2"/>
      <c r="M571" s="2"/>
      <c r="N571" s="2"/>
      <c r="O571" s="7"/>
      <c r="P571" s="8"/>
      <c r="Q571" s="9"/>
      <c r="R571" s="7"/>
      <c r="S571" s="8"/>
      <c r="T571" s="10"/>
      <c r="U571" s="2"/>
      <c r="V571" s="2"/>
    </row>
    <row r="572" spans="2:22" x14ac:dyDescent="0.2">
      <c r="B572" s="40">
        <v>44565</v>
      </c>
      <c r="C572" s="41">
        <v>0.05</v>
      </c>
      <c r="E572" s="2"/>
      <c r="F572" s="2"/>
      <c r="G572" s="2"/>
      <c r="H572" s="2"/>
      <c r="I572" s="2"/>
      <c r="J572" s="2"/>
      <c r="K572" s="2"/>
      <c r="L572" s="2"/>
      <c r="M572" s="2"/>
      <c r="N572" s="2"/>
      <c r="O572" s="7"/>
      <c r="P572" s="8"/>
      <c r="Q572" s="9"/>
      <c r="R572" s="7"/>
      <c r="S572" s="8"/>
      <c r="T572" s="10"/>
      <c r="U572" s="2"/>
      <c r="V572" s="2"/>
    </row>
    <row r="573" spans="2:22" x14ac:dyDescent="0.2">
      <c r="B573" s="40">
        <v>44566</v>
      </c>
      <c r="C573" s="41">
        <v>0.05</v>
      </c>
      <c r="E573" s="2"/>
      <c r="F573" s="2"/>
      <c r="G573" s="2"/>
      <c r="H573" s="2"/>
      <c r="I573" s="2"/>
      <c r="J573" s="2"/>
      <c r="K573" s="2"/>
      <c r="L573" s="2"/>
      <c r="M573" s="2"/>
      <c r="N573" s="2"/>
      <c r="O573" s="7"/>
      <c r="P573" s="8"/>
      <c r="Q573" s="9"/>
      <c r="R573" s="7"/>
      <c r="S573" s="8"/>
      <c r="T573" s="10"/>
      <c r="U573" s="2"/>
      <c r="V573" s="2"/>
    </row>
    <row r="574" spans="2:22" x14ac:dyDescent="0.2">
      <c r="B574" s="40">
        <v>44567</v>
      </c>
      <c r="C574" s="41">
        <v>0.05</v>
      </c>
      <c r="E574" s="2"/>
      <c r="F574" s="2"/>
      <c r="G574" s="2"/>
      <c r="H574" s="2"/>
      <c r="I574" s="2"/>
      <c r="J574" s="2"/>
      <c r="K574" s="2"/>
      <c r="L574" s="2"/>
      <c r="M574" s="2"/>
      <c r="N574" s="2"/>
      <c r="O574" s="7"/>
      <c r="P574" s="8"/>
      <c r="Q574" s="9"/>
      <c r="R574" s="7"/>
      <c r="S574" s="8"/>
      <c r="T574" s="10"/>
      <c r="U574" s="2"/>
      <c r="V574" s="2"/>
    </row>
    <row r="575" spans="2:22" x14ac:dyDescent="0.2">
      <c r="B575" s="40">
        <v>44568</v>
      </c>
      <c r="C575" s="41">
        <v>0.05</v>
      </c>
      <c r="E575" s="2"/>
      <c r="F575" s="2"/>
      <c r="G575" s="2"/>
      <c r="H575" s="2"/>
      <c r="I575" s="2"/>
      <c r="J575" s="2"/>
      <c r="K575" s="2"/>
      <c r="L575" s="2"/>
      <c r="M575" s="2"/>
      <c r="N575" s="2"/>
      <c r="O575" s="7"/>
      <c r="P575" s="8"/>
      <c r="Q575" s="9"/>
      <c r="R575" s="7"/>
      <c r="S575" s="8"/>
      <c r="T575" s="10"/>
      <c r="U575" s="2"/>
      <c r="V575" s="2"/>
    </row>
    <row r="576" spans="2:22" x14ac:dyDescent="0.2">
      <c r="B576" s="40">
        <v>44571</v>
      </c>
      <c r="C576" s="41">
        <v>0.05</v>
      </c>
      <c r="E576" s="2"/>
      <c r="F576" s="2"/>
      <c r="G576" s="2"/>
      <c r="H576" s="2"/>
      <c r="I576" s="2"/>
      <c r="J576" s="2"/>
      <c r="K576" s="2"/>
      <c r="L576" s="2"/>
      <c r="M576" s="2"/>
      <c r="N576" s="2"/>
      <c r="O576" s="7"/>
      <c r="P576" s="8"/>
      <c r="Q576" s="9"/>
      <c r="R576" s="7"/>
      <c r="S576" s="8"/>
      <c r="T576" s="10"/>
      <c r="U576" s="2"/>
      <c r="V576" s="2"/>
    </row>
    <row r="577" spans="2:22" x14ac:dyDescent="0.2">
      <c r="B577" s="40">
        <v>44572</v>
      </c>
      <c r="C577" s="41">
        <v>0.05</v>
      </c>
      <c r="E577" s="2"/>
      <c r="F577" s="2"/>
      <c r="G577" s="2"/>
      <c r="H577" s="2"/>
      <c r="I577" s="2"/>
      <c r="J577" s="2"/>
      <c r="K577" s="2"/>
      <c r="L577" s="2"/>
      <c r="M577" s="2"/>
      <c r="N577" s="2"/>
      <c r="O577" s="7"/>
      <c r="P577" s="8"/>
      <c r="Q577" s="9"/>
      <c r="R577" s="7"/>
      <c r="S577" s="8"/>
      <c r="T577" s="10"/>
      <c r="U577" s="2"/>
      <c r="V577" s="2"/>
    </row>
    <row r="578" spans="2:22" x14ac:dyDescent="0.2">
      <c r="B578" s="40">
        <v>44573</v>
      </c>
      <c r="C578" s="41">
        <v>0.05</v>
      </c>
      <c r="E578" s="2"/>
      <c r="F578" s="2"/>
      <c r="G578" s="2"/>
      <c r="H578" s="2"/>
      <c r="I578" s="2"/>
      <c r="J578" s="2"/>
      <c r="K578" s="2"/>
      <c r="L578" s="2"/>
      <c r="M578" s="2"/>
      <c r="N578" s="2"/>
      <c r="O578" s="7"/>
      <c r="P578" s="8"/>
      <c r="Q578" s="9"/>
      <c r="R578" s="7"/>
      <c r="S578" s="8"/>
      <c r="T578" s="10"/>
      <c r="U578" s="2"/>
      <c r="V578" s="2"/>
    </row>
    <row r="579" spans="2:22" x14ac:dyDescent="0.2">
      <c r="B579" s="40">
        <v>44574</v>
      </c>
      <c r="C579" s="41">
        <v>0.05</v>
      </c>
      <c r="E579" s="2"/>
      <c r="F579" s="2"/>
      <c r="G579" s="2"/>
      <c r="H579" s="2"/>
      <c r="I579" s="2"/>
      <c r="J579" s="2"/>
      <c r="K579" s="2"/>
      <c r="L579" s="2"/>
      <c r="M579" s="2"/>
      <c r="N579" s="2"/>
      <c r="O579" s="7"/>
      <c r="P579" s="8"/>
      <c r="Q579" s="9"/>
      <c r="R579" s="7"/>
      <c r="S579" s="8"/>
      <c r="T579" s="10"/>
      <c r="U579" s="2"/>
      <c r="V579" s="2"/>
    </row>
    <row r="580" spans="2:22" x14ac:dyDescent="0.2">
      <c r="B580" s="40">
        <v>44575</v>
      </c>
      <c r="C580" s="41">
        <v>0.05</v>
      </c>
      <c r="E580" s="2"/>
      <c r="F580" s="2"/>
      <c r="G580" s="2"/>
      <c r="H580" s="2"/>
      <c r="I580" s="2"/>
      <c r="J580" s="2"/>
      <c r="K580" s="2"/>
      <c r="L580" s="2"/>
      <c r="M580" s="2"/>
      <c r="N580" s="2"/>
      <c r="O580" s="7"/>
      <c r="P580" s="8"/>
      <c r="Q580" s="9"/>
      <c r="R580" s="7"/>
      <c r="S580" s="8"/>
      <c r="T580" s="10"/>
      <c r="U580" s="2"/>
      <c r="V580" s="2"/>
    </row>
    <row r="581" spans="2:22" x14ac:dyDescent="0.2">
      <c r="B581" s="40">
        <v>44579</v>
      </c>
      <c r="C581" s="41">
        <v>0.05</v>
      </c>
      <c r="E581" s="2"/>
      <c r="F581" s="2"/>
      <c r="G581" s="2"/>
      <c r="H581" s="2"/>
      <c r="I581" s="2"/>
      <c r="J581" s="2"/>
      <c r="K581" s="2"/>
      <c r="L581" s="2"/>
      <c r="M581" s="2"/>
      <c r="N581" s="2"/>
      <c r="O581" s="7"/>
      <c r="P581" s="8"/>
      <c r="Q581" s="9"/>
      <c r="R581" s="7"/>
      <c r="S581" s="8"/>
      <c r="T581" s="10"/>
      <c r="U581" s="2"/>
      <c r="V581" s="2"/>
    </row>
    <row r="582" spans="2:22" x14ac:dyDescent="0.2">
      <c r="B582" s="40">
        <v>44580</v>
      </c>
      <c r="C582" s="41">
        <v>0.05</v>
      </c>
      <c r="E582" s="2"/>
      <c r="F582" s="2"/>
      <c r="G582" s="2"/>
      <c r="H582" s="2"/>
      <c r="I582" s="2"/>
      <c r="J582" s="2"/>
      <c r="K582" s="2"/>
      <c r="L582" s="2"/>
      <c r="M582" s="2"/>
      <c r="N582" s="2"/>
      <c r="O582" s="7"/>
      <c r="P582" s="8"/>
      <c r="Q582" s="9"/>
      <c r="R582" s="7"/>
      <c r="S582" s="8"/>
      <c r="T582" s="10"/>
      <c r="U582" s="2"/>
      <c r="V582" s="2"/>
    </row>
    <row r="583" spans="2:22" x14ac:dyDescent="0.2">
      <c r="B583" s="40">
        <v>44581</v>
      </c>
      <c r="C583" s="41">
        <v>0.04</v>
      </c>
      <c r="E583" s="2"/>
      <c r="F583" s="2"/>
      <c r="G583" s="2"/>
      <c r="H583" s="2"/>
      <c r="I583" s="2"/>
      <c r="J583" s="2"/>
      <c r="K583" s="2"/>
      <c r="L583" s="2"/>
      <c r="M583" s="2"/>
      <c r="N583" s="2"/>
      <c r="O583" s="7"/>
      <c r="P583" s="8"/>
      <c r="Q583" s="9"/>
      <c r="R583" s="7"/>
      <c r="S583" s="8"/>
      <c r="T583" s="10"/>
      <c r="U583" s="2"/>
      <c r="V583" s="2"/>
    </row>
    <row r="584" spans="2:22" x14ac:dyDescent="0.2">
      <c r="B584" s="40">
        <v>44582</v>
      </c>
      <c r="C584" s="41">
        <v>0.05</v>
      </c>
      <c r="E584" s="2"/>
      <c r="F584" s="2"/>
      <c r="G584" s="2"/>
      <c r="H584" s="2"/>
      <c r="I584" s="2"/>
      <c r="J584" s="2"/>
      <c r="K584" s="2"/>
      <c r="L584" s="2"/>
      <c r="M584" s="2"/>
      <c r="N584" s="2"/>
      <c r="O584" s="7"/>
      <c r="P584" s="8"/>
      <c r="Q584" s="9"/>
      <c r="R584" s="7"/>
      <c r="S584" s="8"/>
      <c r="T584" s="10"/>
      <c r="U584" s="2"/>
      <c r="V584" s="2"/>
    </row>
    <row r="585" spans="2:22" x14ac:dyDescent="0.2">
      <c r="B585" s="40">
        <v>44585</v>
      </c>
      <c r="C585" s="41">
        <v>0.04</v>
      </c>
      <c r="E585" s="2"/>
      <c r="F585" s="2"/>
      <c r="G585" s="2"/>
      <c r="H585" s="2"/>
      <c r="I585" s="2"/>
      <c r="J585" s="2"/>
      <c r="K585" s="2"/>
      <c r="L585" s="2"/>
      <c r="M585" s="2"/>
      <c r="N585" s="2"/>
      <c r="O585" s="7"/>
      <c r="P585" s="8"/>
      <c r="Q585" s="9"/>
      <c r="R585" s="7"/>
      <c r="S585" s="8"/>
      <c r="T585" s="10"/>
      <c r="U585" s="2"/>
      <c r="V585" s="2"/>
    </row>
    <row r="586" spans="2:22" x14ac:dyDescent="0.2">
      <c r="B586" s="40">
        <v>44586</v>
      </c>
      <c r="C586" s="41">
        <v>0.05</v>
      </c>
      <c r="E586" s="2"/>
      <c r="F586" s="2"/>
      <c r="G586" s="2"/>
      <c r="H586" s="2"/>
      <c r="I586" s="2"/>
      <c r="J586" s="2"/>
      <c r="K586" s="2"/>
      <c r="L586" s="2"/>
      <c r="M586" s="2"/>
      <c r="N586" s="2"/>
      <c r="O586" s="7"/>
      <c r="P586" s="8"/>
      <c r="Q586" s="9"/>
      <c r="R586" s="7"/>
      <c r="S586" s="8"/>
      <c r="T586" s="10"/>
      <c r="U586" s="2"/>
      <c r="V586" s="2"/>
    </row>
    <row r="587" spans="2:22" x14ac:dyDescent="0.2">
      <c r="B587" s="40">
        <v>44587</v>
      </c>
      <c r="C587" s="41">
        <v>0.04</v>
      </c>
      <c r="E587" s="2"/>
      <c r="F587" s="2"/>
      <c r="G587" s="2"/>
      <c r="H587" s="2"/>
      <c r="I587" s="2"/>
      <c r="J587" s="2"/>
      <c r="K587" s="2"/>
      <c r="L587" s="2"/>
      <c r="M587" s="2"/>
      <c r="N587" s="2"/>
      <c r="O587" s="7"/>
      <c r="P587" s="8"/>
      <c r="Q587" s="9"/>
      <c r="R587" s="7"/>
      <c r="S587" s="8"/>
      <c r="T587" s="10"/>
      <c r="U587" s="2"/>
      <c r="V587" s="2"/>
    </row>
    <row r="588" spans="2:22" x14ac:dyDescent="0.2">
      <c r="B588" s="40">
        <v>44588</v>
      </c>
      <c r="C588" s="41">
        <v>0.04</v>
      </c>
      <c r="E588" s="2"/>
      <c r="F588" s="2"/>
      <c r="G588" s="2"/>
      <c r="H588" s="2"/>
      <c r="I588" s="2"/>
      <c r="J588" s="2"/>
      <c r="K588" s="2"/>
      <c r="L588" s="2"/>
      <c r="M588" s="2"/>
      <c r="N588" s="2"/>
      <c r="O588" s="7"/>
      <c r="P588" s="8"/>
      <c r="Q588" s="9"/>
      <c r="R588" s="7"/>
      <c r="S588" s="8"/>
      <c r="T588" s="10"/>
      <c r="U588" s="2"/>
      <c r="V588" s="2"/>
    </row>
    <row r="589" spans="2:22" x14ac:dyDescent="0.2">
      <c r="B589" s="40">
        <v>44589</v>
      </c>
      <c r="C589" s="41">
        <v>0.05</v>
      </c>
      <c r="E589" s="2"/>
      <c r="F589" s="2"/>
      <c r="G589" s="2"/>
      <c r="H589" s="2"/>
      <c r="I589" s="2"/>
      <c r="J589" s="2"/>
      <c r="K589" s="2"/>
      <c r="L589" s="2"/>
      <c r="M589" s="2"/>
      <c r="N589" s="2"/>
      <c r="O589" s="7"/>
      <c r="P589" s="8"/>
      <c r="Q589" s="9"/>
      <c r="R589" s="7"/>
      <c r="S589" s="8"/>
      <c r="T589" s="10"/>
      <c r="U589" s="2"/>
      <c r="V589" s="2"/>
    </row>
    <row r="590" spans="2:22" x14ac:dyDescent="0.2">
      <c r="B590" s="40">
        <v>44592</v>
      </c>
      <c r="C590" s="41">
        <v>0.05</v>
      </c>
      <c r="E590" s="2"/>
      <c r="F590" s="2"/>
      <c r="G590" s="2"/>
      <c r="H590" s="2"/>
      <c r="I590" s="2"/>
      <c r="J590" s="2"/>
      <c r="K590" s="2"/>
      <c r="L590" s="2"/>
      <c r="M590" s="2"/>
      <c r="N590" s="2"/>
      <c r="O590" s="7"/>
      <c r="P590" s="8"/>
      <c r="Q590" s="9"/>
      <c r="R590" s="7"/>
      <c r="S590" s="8"/>
      <c r="T590" s="10"/>
      <c r="U590" s="2"/>
      <c r="V590" s="2"/>
    </row>
    <row r="591" spans="2:22" x14ac:dyDescent="0.2">
      <c r="B591" s="40">
        <v>44593</v>
      </c>
      <c r="C591" s="41">
        <v>0.05</v>
      </c>
      <c r="E591" s="2"/>
      <c r="F591" s="2"/>
      <c r="G591" s="2"/>
      <c r="H591" s="2"/>
      <c r="I591" s="2"/>
      <c r="J591" s="2"/>
      <c r="K591" s="2"/>
      <c r="L591" s="2"/>
      <c r="M591" s="2"/>
      <c r="N591" s="2"/>
      <c r="O591" s="7"/>
      <c r="P591" s="8"/>
      <c r="Q591" s="9"/>
      <c r="R591" s="7"/>
      <c r="S591" s="8"/>
      <c r="T591" s="10"/>
      <c r="U591" s="2"/>
      <c r="V591" s="2"/>
    </row>
    <row r="592" spans="2:22" x14ac:dyDescent="0.2">
      <c r="B592" s="40">
        <v>44594</v>
      </c>
      <c r="C592" s="41">
        <v>0.05</v>
      </c>
      <c r="E592" s="2"/>
      <c r="F592" s="2"/>
      <c r="G592" s="2"/>
      <c r="H592" s="2"/>
      <c r="I592" s="2"/>
      <c r="J592" s="2"/>
      <c r="K592" s="2"/>
      <c r="L592" s="2"/>
      <c r="M592" s="2"/>
      <c r="N592" s="2"/>
      <c r="O592" s="7"/>
      <c r="P592" s="8"/>
      <c r="Q592" s="9"/>
      <c r="R592" s="7"/>
      <c r="S592" s="8"/>
      <c r="T592" s="10"/>
      <c r="U592" s="2"/>
      <c r="V592" s="2"/>
    </row>
    <row r="593" spans="2:22" x14ac:dyDescent="0.2">
      <c r="B593" s="40">
        <v>44595</v>
      </c>
      <c r="C593" s="41">
        <v>0.05</v>
      </c>
      <c r="E593" s="2"/>
      <c r="F593" s="2"/>
      <c r="G593" s="2"/>
      <c r="H593" s="2"/>
      <c r="I593" s="2"/>
      <c r="J593" s="2"/>
      <c r="K593" s="2"/>
      <c r="L593" s="2"/>
      <c r="M593" s="2"/>
      <c r="N593" s="2"/>
      <c r="O593" s="7"/>
      <c r="P593" s="8"/>
      <c r="Q593" s="9"/>
      <c r="R593" s="7"/>
      <c r="S593" s="8"/>
      <c r="T593" s="10"/>
      <c r="U593" s="2"/>
      <c r="V593" s="2"/>
    </row>
    <row r="594" spans="2:22" x14ac:dyDescent="0.2">
      <c r="B594" s="40">
        <v>44596</v>
      </c>
      <c r="C594" s="41">
        <v>0.05</v>
      </c>
      <c r="E594" s="2"/>
      <c r="F594" s="2"/>
      <c r="G594" s="2"/>
      <c r="H594" s="2"/>
      <c r="I594" s="2"/>
      <c r="J594" s="2"/>
      <c r="K594" s="2"/>
      <c r="L594" s="2"/>
      <c r="M594" s="2"/>
      <c r="N594" s="2"/>
      <c r="O594" s="7"/>
      <c r="P594" s="8"/>
      <c r="Q594" s="9"/>
      <c r="R594" s="7"/>
      <c r="S594" s="8"/>
      <c r="T594" s="10"/>
      <c r="U594" s="2"/>
      <c r="V594" s="2"/>
    </row>
    <row r="595" spans="2:22" x14ac:dyDescent="0.2">
      <c r="B595" s="40">
        <v>44599</v>
      </c>
      <c r="C595" s="41">
        <v>0.05</v>
      </c>
      <c r="E595" s="2"/>
      <c r="F595" s="2"/>
      <c r="G595" s="2"/>
      <c r="H595" s="2"/>
      <c r="I595" s="2"/>
      <c r="J595" s="2"/>
      <c r="K595" s="2"/>
      <c r="L595" s="2"/>
      <c r="M595" s="2"/>
      <c r="N595" s="2"/>
      <c r="O595" s="7"/>
      <c r="P595" s="8"/>
      <c r="Q595" s="9"/>
      <c r="R595" s="7"/>
      <c r="S595" s="8"/>
      <c r="T595" s="10"/>
      <c r="U595" s="2"/>
      <c r="V595" s="2"/>
    </row>
    <row r="596" spans="2:22" x14ac:dyDescent="0.2">
      <c r="B596" s="40">
        <v>44600</v>
      </c>
      <c r="C596" s="41">
        <v>0.05</v>
      </c>
      <c r="E596" s="2"/>
      <c r="F596" s="2"/>
      <c r="G596" s="2"/>
      <c r="H596" s="2"/>
      <c r="I596" s="2"/>
      <c r="J596" s="2"/>
      <c r="K596" s="2"/>
      <c r="L596" s="2"/>
      <c r="M596" s="2"/>
      <c r="N596" s="2"/>
      <c r="O596" s="7"/>
      <c r="P596" s="8"/>
      <c r="Q596" s="9"/>
      <c r="R596" s="7"/>
      <c r="S596" s="8"/>
      <c r="T596" s="10"/>
      <c r="U596" s="2"/>
      <c r="V596" s="2"/>
    </row>
    <row r="597" spans="2:22" x14ac:dyDescent="0.2">
      <c r="B597" s="40">
        <v>44601</v>
      </c>
      <c r="C597" s="41">
        <v>0.04</v>
      </c>
      <c r="E597" s="2"/>
      <c r="F597" s="2"/>
      <c r="G597" s="2"/>
      <c r="H597" s="2"/>
      <c r="I597" s="2"/>
      <c r="J597" s="2"/>
      <c r="K597" s="2"/>
      <c r="L597" s="2"/>
      <c r="M597" s="2"/>
      <c r="N597" s="2"/>
      <c r="O597" s="7"/>
      <c r="P597" s="8"/>
      <c r="Q597" s="9"/>
      <c r="R597" s="7"/>
      <c r="S597" s="8"/>
      <c r="T597" s="10"/>
      <c r="U597" s="2"/>
      <c r="V597" s="2"/>
    </row>
    <row r="598" spans="2:22" x14ac:dyDescent="0.2">
      <c r="B598" s="40">
        <v>44602</v>
      </c>
      <c r="C598" s="41">
        <v>0.05</v>
      </c>
      <c r="E598" s="2"/>
      <c r="F598" s="2"/>
      <c r="G598" s="2"/>
      <c r="H598" s="2"/>
      <c r="I598" s="2"/>
      <c r="J598" s="2"/>
      <c r="K598" s="2"/>
      <c r="L598" s="2"/>
      <c r="M598" s="2"/>
      <c r="N598" s="2"/>
      <c r="O598" s="7"/>
      <c r="P598" s="8"/>
      <c r="Q598" s="9"/>
      <c r="R598" s="7"/>
      <c r="S598" s="8"/>
      <c r="T598" s="10"/>
      <c r="U598" s="2"/>
      <c r="V598" s="2"/>
    </row>
    <row r="599" spans="2:22" x14ac:dyDescent="0.2">
      <c r="B599" s="40">
        <v>44603</v>
      </c>
      <c r="C599" s="41">
        <v>0.05</v>
      </c>
      <c r="E599" s="2"/>
      <c r="F599" s="2"/>
      <c r="G599" s="2"/>
      <c r="H599" s="2"/>
      <c r="I599" s="2"/>
      <c r="J599" s="2"/>
      <c r="K599" s="2"/>
      <c r="L599" s="2"/>
      <c r="M599" s="2"/>
      <c r="N599" s="2"/>
      <c r="O599" s="7"/>
      <c r="P599" s="8"/>
      <c r="Q599" s="9"/>
      <c r="R599" s="7"/>
      <c r="S599" s="8"/>
      <c r="T599" s="10"/>
      <c r="U599" s="2"/>
      <c r="V599" s="2"/>
    </row>
    <row r="600" spans="2:22" x14ac:dyDescent="0.2">
      <c r="B600" s="40">
        <v>44606</v>
      </c>
      <c r="C600" s="41">
        <v>0.05</v>
      </c>
      <c r="E600" s="2"/>
      <c r="F600" s="2"/>
      <c r="G600" s="2"/>
      <c r="H600" s="2"/>
      <c r="I600" s="2"/>
      <c r="J600" s="2"/>
      <c r="K600" s="2"/>
      <c r="L600" s="2"/>
      <c r="M600" s="2"/>
      <c r="N600" s="2"/>
      <c r="O600" s="7"/>
      <c r="P600" s="8"/>
      <c r="Q600" s="9"/>
      <c r="R600" s="7"/>
      <c r="S600" s="8"/>
      <c r="T600" s="10"/>
      <c r="U600" s="2"/>
      <c r="V600" s="2"/>
    </row>
    <row r="601" spans="2:22" x14ac:dyDescent="0.2">
      <c r="B601" s="40">
        <v>44607</v>
      </c>
      <c r="C601" s="41">
        <v>0.05</v>
      </c>
      <c r="E601" s="2"/>
      <c r="F601" s="2"/>
      <c r="G601" s="2"/>
      <c r="H601" s="2"/>
      <c r="I601" s="2"/>
      <c r="J601" s="2"/>
      <c r="K601" s="2"/>
      <c r="L601" s="2"/>
      <c r="M601" s="2"/>
      <c r="N601" s="2"/>
      <c r="O601" s="7"/>
      <c r="P601" s="8"/>
      <c r="Q601" s="9"/>
      <c r="R601" s="7"/>
      <c r="S601" s="8"/>
      <c r="T601" s="10"/>
      <c r="U601" s="2"/>
      <c r="V601" s="2"/>
    </row>
    <row r="602" spans="2:22" x14ac:dyDescent="0.2">
      <c r="B602" s="40">
        <v>44608</v>
      </c>
      <c r="C602" s="41">
        <v>0.05</v>
      </c>
      <c r="E602" s="2"/>
      <c r="F602" s="2"/>
      <c r="G602" s="2"/>
      <c r="H602" s="2"/>
      <c r="I602" s="2"/>
      <c r="J602" s="2"/>
      <c r="K602" s="2"/>
      <c r="L602" s="2"/>
      <c r="M602" s="2"/>
      <c r="N602" s="2"/>
      <c r="O602" s="7"/>
      <c r="P602" s="8"/>
      <c r="Q602" s="9"/>
      <c r="R602" s="7"/>
      <c r="S602" s="8"/>
      <c r="T602" s="10"/>
      <c r="U602" s="2"/>
      <c r="V602" s="2"/>
    </row>
    <row r="603" spans="2:22" x14ac:dyDescent="0.2">
      <c r="B603" s="40">
        <v>44609</v>
      </c>
      <c r="C603" s="41">
        <v>0.05</v>
      </c>
      <c r="E603" s="2"/>
      <c r="F603" s="2"/>
      <c r="G603" s="2"/>
      <c r="H603" s="2"/>
      <c r="I603" s="2"/>
      <c r="J603" s="2"/>
      <c r="K603" s="2"/>
      <c r="L603" s="2"/>
      <c r="M603" s="2"/>
      <c r="N603" s="2"/>
      <c r="O603" s="7"/>
      <c r="P603" s="8"/>
      <c r="Q603" s="9"/>
      <c r="R603" s="7"/>
      <c r="S603" s="8"/>
      <c r="T603" s="10"/>
      <c r="U603" s="2"/>
      <c r="V603" s="2"/>
    </row>
    <row r="604" spans="2:22" x14ac:dyDescent="0.2">
      <c r="B604" s="40">
        <v>44610</v>
      </c>
      <c r="C604" s="41">
        <v>0.05</v>
      </c>
      <c r="E604" s="2"/>
      <c r="F604" s="2"/>
      <c r="G604" s="2"/>
      <c r="H604" s="2"/>
      <c r="I604" s="2"/>
      <c r="J604" s="2"/>
      <c r="K604" s="2"/>
      <c r="L604" s="2"/>
      <c r="M604" s="2"/>
      <c r="N604" s="2"/>
      <c r="O604" s="7"/>
      <c r="P604" s="8"/>
      <c r="Q604" s="9"/>
      <c r="R604" s="7"/>
      <c r="S604" s="8"/>
      <c r="T604" s="10"/>
      <c r="U604" s="2"/>
      <c r="V604" s="2"/>
    </row>
    <row r="605" spans="2:22" x14ac:dyDescent="0.2">
      <c r="B605" s="40">
        <v>44614</v>
      </c>
      <c r="C605" s="41">
        <v>0.05</v>
      </c>
      <c r="E605" s="2"/>
      <c r="F605" s="2"/>
      <c r="G605" s="2"/>
      <c r="H605" s="2"/>
      <c r="I605" s="2"/>
      <c r="J605" s="2"/>
      <c r="K605" s="2"/>
      <c r="L605" s="2"/>
      <c r="M605" s="2"/>
      <c r="N605" s="2"/>
      <c r="O605" s="7"/>
      <c r="P605" s="8"/>
      <c r="Q605" s="9"/>
      <c r="R605" s="7"/>
      <c r="S605" s="8"/>
      <c r="T605" s="10"/>
      <c r="U605" s="2"/>
      <c r="V605" s="2"/>
    </row>
    <row r="606" spans="2:22" x14ac:dyDescent="0.2">
      <c r="B606" s="40">
        <v>44615</v>
      </c>
      <c r="C606" s="41">
        <v>0.05</v>
      </c>
      <c r="E606" s="2"/>
      <c r="F606" s="2"/>
      <c r="G606" s="2"/>
      <c r="H606" s="2"/>
      <c r="I606" s="2"/>
      <c r="J606" s="2"/>
      <c r="K606" s="2"/>
      <c r="L606" s="2"/>
      <c r="M606" s="2"/>
      <c r="N606" s="2"/>
      <c r="O606" s="7"/>
      <c r="P606" s="8"/>
      <c r="Q606" s="9"/>
      <c r="R606" s="7"/>
      <c r="S606" s="8"/>
      <c r="T606" s="10"/>
      <c r="U606" s="2"/>
      <c r="V606" s="2"/>
    </row>
    <row r="607" spans="2:22" x14ac:dyDescent="0.2">
      <c r="B607" s="40">
        <v>44616</v>
      </c>
      <c r="C607" s="41">
        <v>0.05</v>
      </c>
      <c r="E607" s="2"/>
      <c r="F607" s="2"/>
      <c r="G607" s="2"/>
      <c r="H607" s="2"/>
      <c r="I607" s="2"/>
      <c r="J607" s="2"/>
      <c r="K607" s="2"/>
      <c r="L607" s="2"/>
      <c r="M607" s="2"/>
      <c r="N607" s="2"/>
      <c r="O607" s="7"/>
      <c r="P607" s="8"/>
      <c r="Q607" s="9"/>
      <c r="R607" s="7"/>
      <c r="S607" s="8"/>
      <c r="T607" s="10"/>
      <c r="U607" s="2"/>
      <c r="V607" s="2"/>
    </row>
    <row r="608" spans="2:22" x14ac:dyDescent="0.2">
      <c r="B608" s="40">
        <v>44617</v>
      </c>
      <c r="C608" s="41">
        <v>0.05</v>
      </c>
      <c r="E608" s="2"/>
      <c r="F608" s="2"/>
      <c r="G608" s="2"/>
      <c r="H608" s="2"/>
      <c r="I608" s="2"/>
      <c r="J608" s="2"/>
      <c r="K608" s="2"/>
      <c r="L608" s="2"/>
      <c r="M608" s="2"/>
      <c r="N608" s="2"/>
      <c r="O608" s="7"/>
      <c r="P608" s="8"/>
      <c r="Q608" s="9"/>
      <c r="R608" s="7"/>
      <c r="S608" s="8"/>
      <c r="T608" s="10"/>
      <c r="U608" s="2"/>
      <c r="V608" s="2"/>
    </row>
    <row r="609" spans="2:22" x14ac:dyDescent="0.2">
      <c r="B609" s="40">
        <v>44620</v>
      </c>
      <c r="C609" s="41">
        <v>0.05</v>
      </c>
      <c r="E609" s="2"/>
      <c r="F609" s="2"/>
      <c r="G609" s="2"/>
      <c r="H609" s="2"/>
      <c r="I609" s="2"/>
      <c r="J609" s="2"/>
      <c r="K609" s="2"/>
      <c r="L609" s="2"/>
      <c r="M609" s="2"/>
      <c r="N609" s="2"/>
      <c r="O609" s="7"/>
      <c r="P609" s="8"/>
      <c r="Q609" s="9"/>
      <c r="R609" s="7"/>
      <c r="S609" s="8"/>
      <c r="T609" s="10"/>
      <c r="U609" s="2"/>
      <c r="V609" s="2"/>
    </row>
    <row r="610" spans="2:22" x14ac:dyDescent="0.2">
      <c r="B610" s="40">
        <v>44621</v>
      </c>
      <c r="C610" s="41">
        <v>0.05</v>
      </c>
      <c r="E610" s="2"/>
      <c r="F610" s="2"/>
      <c r="G610" s="2"/>
      <c r="H610" s="2"/>
      <c r="I610" s="2"/>
      <c r="J610" s="2"/>
      <c r="K610" s="2"/>
      <c r="L610" s="2"/>
      <c r="M610" s="2"/>
      <c r="N610" s="2"/>
      <c r="O610" s="7"/>
      <c r="P610" s="8"/>
      <c r="Q610" s="9"/>
      <c r="R610" s="7"/>
      <c r="S610" s="8"/>
      <c r="T610" s="10"/>
      <c r="U610" s="2"/>
      <c r="V610" s="2"/>
    </row>
    <row r="611" spans="2:22" x14ac:dyDescent="0.2">
      <c r="B611" s="40">
        <v>44622</v>
      </c>
      <c r="C611" s="41">
        <v>0.05</v>
      </c>
      <c r="E611" s="2"/>
      <c r="F611" s="2"/>
      <c r="G611" s="2"/>
      <c r="H611" s="2"/>
      <c r="I611" s="2"/>
      <c r="J611" s="2"/>
      <c r="K611" s="2"/>
      <c r="L611" s="2"/>
      <c r="M611" s="2"/>
      <c r="N611" s="2"/>
      <c r="O611" s="7"/>
      <c r="P611" s="8"/>
      <c r="Q611" s="9"/>
      <c r="R611" s="7"/>
      <c r="S611" s="8"/>
      <c r="T611" s="10"/>
      <c r="U611" s="2"/>
      <c r="V611" s="2"/>
    </row>
    <row r="612" spans="2:22" x14ac:dyDescent="0.2">
      <c r="B612" s="40">
        <v>44623</v>
      </c>
      <c r="C612" s="41">
        <v>0.05</v>
      </c>
      <c r="E612" s="2"/>
      <c r="F612" s="2"/>
      <c r="G612" s="2"/>
      <c r="H612" s="2"/>
      <c r="I612" s="2"/>
      <c r="J612" s="2"/>
      <c r="K612" s="2"/>
      <c r="L612" s="2"/>
      <c r="M612" s="2"/>
      <c r="N612" s="2"/>
      <c r="O612" s="7"/>
      <c r="P612" s="8"/>
      <c r="Q612" s="9"/>
      <c r="R612" s="7"/>
      <c r="S612" s="8"/>
      <c r="T612" s="10"/>
      <c r="U612" s="2"/>
      <c r="V612" s="2"/>
    </row>
    <row r="613" spans="2:22" x14ac:dyDescent="0.2">
      <c r="B613" s="40">
        <v>44624</v>
      </c>
      <c r="C613" s="41">
        <v>0.05</v>
      </c>
      <c r="E613" s="2"/>
      <c r="F613" s="2"/>
      <c r="G613" s="2"/>
      <c r="H613" s="2"/>
      <c r="I613" s="2"/>
      <c r="J613" s="2"/>
      <c r="K613" s="2"/>
      <c r="L613" s="2"/>
      <c r="M613" s="2"/>
      <c r="N613" s="2"/>
      <c r="O613" s="7"/>
      <c r="P613" s="8"/>
      <c r="Q613" s="9"/>
      <c r="R613" s="7"/>
      <c r="S613" s="8"/>
      <c r="T613" s="10"/>
      <c r="U613" s="2"/>
      <c r="V613" s="2"/>
    </row>
    <row r="614" spans="2:22" x14ac:dyDescent="0.2">
      <c r="B614" s="40">
        <v>44627</v>
      </c>
      <c r="C614" s="41">
        <v>0.05</v>
      </c>
      <c r="E614" s="2"/>
      <c r="F614" s="2"/>
      <c r="G614" s="2"/>
      <c r="H614" s="2"/>
      <c r="I614" s="2"/>
      <c r="J614" s="2"/>
      <c r="K614" s="2"/>
      <c r="L614" s="2"/>
      <c r="M614" s="2"/>
      <c r="N614" s="2"/>
      <c r="O614" s="7"/>
      <c r="P614" s="8"/>
      <c r="Q614" s="9"/>
      <c r="R614" s="7"/>
      <c r="S614" s="8"/>
      <c r="T614" s="10"/>
      <c r="U614" s="2"/>
      <c r="V614" s="2"/>
    </row>
    <row r="615" spans="2:22" x14ac:dyDescent="0.2">
      <c r="B615" s="40">
        <v>44628</v>
      </c>
      <c r="C615" s="41">
        <v>0.05</v>
      </c>
      <c r="E615" s="2"/>
      <c r="F615" s="2"/>
      <c r="G615" s="2"/>
      <c r="H615" s="2"/>
      <c r="I615" s="2"/>
      <c r="J615" s="2"/>
      <c r="K615" s="2"/>
      <c r="L615" s="2"/>
      <c r="M615" s="2"/>
      <c r="N615" s="2"/>
      <c r="O615" s="7"/>
      <c r="P615" s="8"/>
      <c r="Q615" s="9"/>
      <c r="R615" s="7"/>
      <c r="S615" s="8"/>
      <c r="T615" s="10"/>
      <c r="U615" s="2"/>
      <c r="V615" s="2"/>
    </row>
    <row r="616" spans="2:22" x14ac:dyDescent="0.2">
      <c r="B616" s="40">
        <v>44629</v>
      </c>
      <c r="C616" s="41">
        <v>0.05</v>
      </c>
      <c r="E616" s="2"/>
      <c r="F616" s="2"/>
      <c r="G616" s="2"/>
      <c r="H616" s="2"/>
      <c r="I616" s="2"/>
      <c r="J616" s="2"/>
      <c r="K616" s="2"/>
      <c r="L616" s="2"/>
      <c r="M616" s="2"/>
      <c r="N616" s="2"/>
      <c r="O616" s="7"/>
      <c r="P616" s="8"/>
      <c r="Q616" s="9"/>
      <c r="R616" s="7"/>
      <c r="S616" s="8"/>
      <c r="T616" s="10"/>
      <c r="U616" s="2"/>
      <c r="V616" s="2"/>
    </row>
    <row r="617" spans="2:22" x14ac:dyDescent="0.2">
      <c r="B617" s="40">
        <v>44630</v>
      </c>
      <c r="C617" s="41">
        <v>0.05</v>
      </c>
      <c r="E617" s="2"/>
      <c r="F617" s="2"/>
      <c r="G617" s="2"/>
      <c r="H617" s="2"/>
      <c r="I617" s="2"/>
      <c r="J617" s="2"/>
      <c r="K617" s="2"/>
      <c r="L617" s="2"/>
      <c r="M617" s="2"/>
      <c r="N617" s="2"/>
      <c r="O617" s="7"/>
      <c r="P617" s="8"/>
      <c r="Q617" s="9"/>
      <c r="R617" s="7"/>
      <c r="S617" s="8"/>
      <c r="T617" s="10"/>
      <c r="U617" s="2"/>
      <c r="V617" s="2"/>
    </row>
    <row r="618" spans="2:22" x14ac:dyDescent="0.2">
      <c r="B618" s="40">
        <v>44631</v>
      </c>
      <c r="C618" s="41">
        <v>0.05</v>
      </c>
      <c r="E618" s="2"/>
      <c r="F618" s="2"/>
      <c r="G618" s="2"/>
      <c r="H618" s="2"/>
      <c r="I618" s="2"/>
      <c r="J618" s="2"/>
      <c r="K618" s="2"/>
      <c r="L618" s="2"/>
      <c r="M618" s="2"/>
      <c r="N618" s="2"/>
      <c r="O618" s="7"/>
      <c r="P618" s="8"/>
      <c r="Q618" s="9"/>
      <c r="R618" s="7"/>
      <c r="S618" s="8"/>
      <c r="T618" s="10"/>
      <c r="U618" s="2"/>
      <c r="V618" s="2"/>
    </row>
    <row r="619" spans="2:22" x14ac:dyDescent="0.2">
      <c r="B619" s="40">
        <v>44634</v>
      </c>
      <c r="C619" s="41">
        <v>0.05</v>
      </c>
      <c r="E619" s="2"/>
      <c r="F619" s="2"/>
      <c r="G619" s="2"/>
      <c r="H619" s="2"/>
      <c r="I619" s="2"/>
      <c r="J619" s="2"/>
      <c r="K619" s="2"/>
      <c r="L619" s="2"/>
      <c r="M619" s="2"/>
      <c r="N619" s="2"/>
      <c r="O619" s="7"/>
      <c r="P619" s="8"/>
      <c r="Q619" s="9"/>
      <c r="R619" s="7"/>
      <c r="S619" s="8"/>
      <c r="T619" s="10"/>
      <c r="U619" s="2"/>
      <c r="V619" s="2"/>
    </row>
    <row r="620" spans="2:22" x14ac:dyDescent="0.2">
      <c r="B620" s="40">
        <v>44635</v>
      </c>
      <c r="C620" s="41">
        <v>0.05</v>
      </c>
      <c r="E620" s="2"/>
      <c r="F620" s="2"/>
      <c r="G620" s="2"/>
      <c r="H620" s="2"/>
      <c r="I620" s="2"/>
      <c r="J620" s="2"/>
      <c r="K620" s="2"/>
      <c r="L620" s="2"/>
      <c r="M620" s="2"/>
      <c r="N620" s="2"/>
      <c r="O620" s="7"/>
      <c r="P620" s="8"/>
      <c r="Q620" s="9"/>
      <c r="R620" s="7"/>
      <c r="S620" s="8"/>
      <c r="T620" s="10"/>
      <c r="U620" s="2"/>
      <c r="V620" s="2"/>
    </row>
    <row r="621" spans="2:22" x14ac:dyDescent="0.2">
      <c r="B621" s="40">
        <v>44636</v>
      </c>
      <c r="C621" s="41">
        <v>0.05</v>
      </c>
      <c r="E621" s="2"/>
      <c r="F621" s="2"/>
      <c r="G621" s="2"/>
      <c r="H621" s="2"/>
      <c r="I621" s="2"/>
      <c r="J621" s="2"/>
      <c r="K621" s="2"/>
      <c r="L621" s="2"/>
      <c r="M621" s="2"/>
      <c r="N621" s="2"/>
      <c r="O621" s="7"/>
      <c r="P621" s="8"/>
      <c r="Q621" s="9"/>
      <c r="R621" s="7"/>
      <c r="S621" s="8"/>
      <c r="T621" s="10"/>
      <c r="U621" s="2"/>
      <c r="V621" s="2"/>
    </row>
    <row r="622" spans="2:22" x14ac:dyDescent="0.2">
      <c r="B622" s="40">
        <v>44637</v>
      </c>
      <c r="C622" s="41">
        <v>0.3</v>
      </c>
      <c r="E622" s="2"/>
      <c r="F622" s="2"/>
      <c r="G622" s="2"/>
      <c r="H622" s="2"/>
      <c r="I622" s="2"/>
      <c r="J622" s="2"/>
      <c r="K622" s="2"/>
      <c r="L622" s="2"/>
      <c r="M622" s="2"/>
      <c r="N622" s="2"/>
      <c r="O622" s="7"/>
      <c r="P622" s="8"/>
      <c r="Q622" s="9"/>
      <c r="R622" s="7"/>
      <c r="S622" s="8"/>
      <c r="T622" s="10"/>
      <c r="U622" s="2"/>
      <c r="V622" s="2"/>
    </row>
    <row r="623" spans="2:22" x14ac:dyDescent="0.2">
      <c r="B623" s="40">
        <v>44638</v>
      </c>
      <c r="C623" s="41">
        <v>0.3</v>
      </c>
      <c r="E623" s="2"/>
      <c r="F623" s="2"/>
      <c r="G623" s="2"/>
      <c r="H623" s="2"/>
      <c r="I623" s="2"/>
      <c r="J623" s="2"/>
      <c r="K623" s="2"/>
      <c r="L623" s="2"/>
      <c r="M623" s="2"/>
      <c r="N623" s="2"/>
      <c r="O623" s="7"/>
      <c r="P623" s="8"/>
      <c r="Q623" s="9"/>
      <c r="R623" s="7"/>
      <c r="S623" s="8"/>
      <c r="T623" s="10"/>
      <c r="U623" s="2"/>
      <c r="V623" s="2"/>
    </row>
    <row r="624" spans="2:22" x14ac:dyDescent="0.2">
      <c r="B624" s="40">
        <v>44641</v>
      </c>
      <c r="C624" s="41">
        <v>0.28999999999999998</v>
      </c>
      <c r="E624" s="2"/>
      <c r="F624" s="2"/>
      <c r="G624" s="2"/>
      <c r="H624" s="2"/>
      <c r="I624" s="2"/>
      <c r="J624" s="2"/>
      <c r="K624" s="2"/>
      <c r="L624" s="2"/>
      <c r="M624" s="2"/>
      <c r="N624" s="2"/>
      <c r="O624" s="7"/>
      <c r="P624" s="8"/>
      <c r="Q624" s="9"/>
      <c r="R624" s="7"/>
      <c r="S624" s="8"/>
      <c r="T624" s="10"/>
      <c r="U624" s="2"/>
      <c r="V624" s="2"/>
    </row>
    <row r="625" spans="2:22" x14ac:dyDescent="0.2">
      <c r="B625" s="40">
        <v>44642</v>
      </c>
      <c r="C625" s="41">
        <v>0.28000000000000003</v>
      </c>
      <c r="E625" s="2"/>
      <c r="F625" s="2"/>
      <c r="G625" s="2"/>
      <c r="H625" s="2"/>
      <c r="I625" s="2"/>
      <c r="J625" s="2"/>
      <c r="K625" s="2"/>
      <c r="L625" s="2"/>
      <c r="M625" s="2"/>
      <c r="N625" s="2"/>
      <c r="O625" s="7"/>
      <c r="P625" s="8"/>
      <c r="Q625" s="9"/>
      <c r="R625" s="7"/>
      <c r="S625" s="8"/>
      <c r="T625" s="10"/>
      <c r="U625" s="2"/>
      <c r="V625" s="2"/>
    </row>
    <row r="626" spans="2:22" x14ac:dyDescent="0.2">
      <c r="B626" s="40">
        <v>44643</v>
      </c>
      <c r="C626" s="41">
        <v>0.27</v>
      </c>
      <c r="E626" s="2"/>
      <c r="F626" s="2"/>
      <c r="G626" s="2"/>
      <c r="H626" s="2"/>
      <c r="I626" s="2"/>
      <c r="J626" s="2"/>
      <c r="K626" s="2"/>
      <c r="L626" s="2"/>
      <c r="M626" s="2"/>
      <c r="N626" s="2"/>
      <c r="O626" s="7"/>
      <c r="P626" s="8"/>
      <c r="Q626" s="9"/>
      <c r="R626" s="7"/>
      <c r="S626" s="8"/>
      <c r="T626" s="10"/>
      <c r="U626" s="2"/>
      <c r="V626" s="2"/>
    </row>
    <row r="627" spans="2:22" x14ac:dyDescent="0.2">
      <c r="B627" s="40">
        <v>44644</v>
      </c>
      <c r="C627" s="41">
        <v>0.27</v>
      </c>
      <c r="E627" s="2"/>
      <c r="F627" s="2"/>
      <c r="G627" s="2"/>
      <c r="H627" s="2"/>
      <c r="I627" s="2"/>
      <c r="J627" s="2"/>
      <c r="K627" s="2"/>
      <c r="L627" s="2"/>
      <c r="M627" s="2"/>
      <c r="N627" s="2"/>
      <c r="O627" s="7"/>
      <c r="P627" s="8"/>
      <c r="Q627" s="9"/>
      <c r="R627" s="7"/>
      <c r="S627" s="8"/>
      <c r="T627" s="10"/>
      <c r="U627" s="2"/>
      <c r="V627" s="2"/>
    </row>
    <row r="628" spans="2:22" x14ac:dyDescent="0.2">
      <c r="B628" s="40">
        <v>44645</v>
      </c>
      <c r="C628" s="41">
        <v>0.28000000000000003</v>
      </c>
      <c r="E628" s="2"/>
      <c r="F628" s="2"/>
      <c r="G628" s="2"/>
      <c r="H628" s="2"/>
      <c r="I628" s="2"/>
      <c r="J628" s="2"/>
      <c r="K628" s="2"/>
      <c r="L628" s="2"/>
      <c r="M628" s="2"/>
      <c r="N628" s="2"/>
      <c r="O628" s="7"/>
      <c r="P628" s="8"/>
      <c r="Q628" s="9"/>
      <c r="R628" s="7"/>
      <c r="S628" s="8"/>
      <c r="T628" s="10"/>
      <c r="U628" s="2"/>
      <c r="V628" s="2"/>
    </row>
    <row r="629" spans="2:22" x14ac:dyDescent="0.2">
      <c r="B629" s="40">
        <v>44648</v>
      </c>
      <c r="C629" s="41">
        <v>0.28000000000000003</v>
      </c>
      <c r="E629" s="2"/>
      <c r="F629" s="2"/>
      <c r="G629" s="2"/>
      <c r="H629" s="2"/>
      <c r="I629" s="2"/>
      <c r="J629" s="2"/>
      <c r="K629" s="2"/>
      <c r="L629" s="2"/>
      <c r="M629" s="2"/>
      <c r="N629" s="2"/>
      <c r="O629" s="7"/>
      <c r="P629" s="8"/>
      <c r="Q629" s="9"/>
      <c r="R629" s="7"/>
      <c r="S629" s="8"/>
      <c r="T629" s="10"/>
      <c r="U629" s="2"/>
      <c r="V629" s="2"/>
    </row>
    <row r="630" spans="2:22" x14ac:dyDescent="0.2">
      <c r="B630" s="40">
        <v>44649</v>
      </c>
      <c r="C630" s="41">
        <v>0.28000000000000003</v>
      </c>
      <c r="E630" s="2"/>
      <c r="F630" s="2"/>
      <c r="G630" s="2"/>
      <c r="H630" s="2"/>
      <c r="I630" s="2"/>
      <c r="J630" s="2"/>
      <c r="K630" s="2"/>
      <c r="L630" s="2"/>
      <c r="M630" s="2"/>
      <c r="N630" s="2"/>
      <c r="O630" s="7"/>
      <c r="P630" s="8"/>
      <c r="Q630" s="9"/>
      <c r="R630" s="7"/>
      <c r="S630" s="8"/>
      <c r="T630" s="10"/>
      <c r="U630" s="2"/>
      <c r="V630" s="2"/>
    </row>
    <row r="631" spans="2:22" x14ac:dyDescent="0.2">
      <c r="B631" s="40">
        <v>44650</v>
      </c>
      <c r="C631" s="41">
        <v>0.27</v>
      </c>
      <c r="E631" s="2"/>
      <c r="F631" s="2"/>
      <c r="G631" s="2"/>
      <c r="H631" s="2"/>
      <c r="I631" s="2"/>
      <c r="J631" s="2"/>
      <c r="K631" s="2"/>
      <c r="L631" s="2"/>
      <c r="M631" s="2"/>
      <c r="N631" s="2"/>
      <c r="O631" s="7"/>
      <c r="P631" s="8"/>
      <c r="Q631" s="9"/>
      <c r="R631" s="7"/>
      <c r="S631" s="8"/>
      <c r="T631" s="10"/>
      <c r="U631" s="2"/>
      <c r="V631" s="2"/>
    </row>
    <row r="632" spans="2:22" x14ac:dyDescent="0.2">
      <c r="B632" s="40">
        <v>44651</v>
      </c>
      <c r="C632" s="41">
        <v>0.28999999999999998</v>
      </c>
      <c r="E632" s="2"/>
      <c r="F632" s="2"/>
      <c r="G632" s="2"/>
      <c r="H632" s="2"/>
      <c r="I632" s="2"/>
      <c r="J632" s="2"/>
      <c r="K632" s="2"/>
      <c r="L632" s="2"/>
      <c r="M632" s="2"/>
      <c r="N632" s="2"/>
      <c r="O632" s="7"/>
      <c r="P632" s="8"/>
      <c r="Q632" s="9"/>
      <c r="R632" s="7"/>
      <c r="S632" s="8"/>
      <c r="T632" s="10"/>
      <c r="U632" s="2"/>
      <c r="V632" s="2"/>
    </row>
    <row r="633" spans="2:22" x14ac:dyDescent="0.2">
      <c r="B633" s="40">
        <v>44652</v>
      </c>
      <c r="C633" s="41">
        <v>0.3</v>
      </c>
      <c r="E633" s="2"/>
      <c r="F633" s="2"/>
      <c r="G633" s="2"/>
      <c r="H633" s="2"/>
      <c r="I633" s="2"/>
      <c r="J633" s="2"/>
      <c r="K633" s="2"/>
      <c r="L633" s="2"/>
      <c r="M633" s="2"/>
      <c r="N633" s="2"/>
      <c r="O633" s="7"/>
      <c r="P633" s="8"/>
      <c r="Q633" s="9"/>
      <c r="R633" s="7"/>
      <c r="S633" s="8"/>
      <c r="T633" s="10"/>
      <c r="U633" s="2"/>
      <c r="V633" s="2"/>
    </row>
    <row r="634" spans="2:22" x14ac:dyDescent="0.2">
      <c r="B634" s="40">
        <v>44655</v>
      </c>
      <c r="C634" s="41">
        <v>0.3</v>
      </c>
      <c r="E634" s="2"/>
      <c r="F634" s="2"/>
      <c r="G634" s="2"/>
      <c r="H634" s="2"/>
      <c r="I634" s="2"/>
      <c r="J634" s="2"/>
      <c r="K634" s="2"/>
      <c r="L634" s="2"/>
      <c r="M634" s="2"/>
      <c r="N634" s="2"/>
      <c r="O634" s="7"/>
      <c r="P634" s="8"/>
      <c r="Q634" s="9"/>
      <c r="R634" s="7"/>
      <c r="S634" s="8"/>
      <c r="T634" s="10"/>
      <c r="U634" s="2"/>
      <c r="V634" s="2"/>
    </row>
    <row r="635" spans="2:22" x14ac:dyDescent="0.2">
      <c r="B635" s="40">
        <v>44656</v>
      </c>
      <c r="C635" s="41">
        <v>0.3</v>
      </c>
      <c r="E635" s="2"/>
      <c r="F635" s="2"/>
      <c r="G635" s="2"/>
      <c r="H635" s="2"/>
      <c r="I635" s="2"/>
      <c r="J635" s="2"/>
      <c r="K635" s="2"/>
      <c r="L635" s="2"/>
      <c r="M635" s="2"/>
      <c r="N635" s="2"/>
      <c r="O635" s="7"/>
      <c r="P635" s="8"/>
      <c r="Q635" s="9"/>
      <c r="R635" s="7"/>
      <c r="S635" s="8"/>
      <c r="T635" s="10"/>
      <c r="U635" s="2"/>
      <c r="V635" s="2"/>
    </row>
    <row r="636" spans="2:22" x14ac:dyDescent="0.2">
      <c r="B636" s="40">
        <v>44657</v>
      </c>
      <c r="C636" s="41">
        <v>0.3</v>
      </c>
      <c r="E636" s="2"/>
      <c r="F636" s="2"/>
      <c r="G636" s="2"/>
      <c r="H636" s="2"/>
      <c r="I636" s="2"/>
      <c r="J636" s="2"/>
      <c r="K636" s="2"/>
      <c r="L636" s="2"/>
      <c r="M636" s="2"/>
      <c r="N636" s="2"/>
      <c r="O636" s="7"/>
      <c r="P636" s="8"/>
      <c r="Q636" s="9"/>
      <c r="R636" s="7"/>
      <c r="S636" s="8"/>
      <c r="T636" s="10"/>
      <c r="U636" s="2"/>
      <c r="V636" s="2"/>
    </row>
    <row r="637" spans="2:22" x14ac:dyDescent="0.2">
      <c r="B637" s="40">
        <v>44658</v>
      </c>
      <c r="C637" s="41">
        <v>0.3</v>
      </c>
      <c r="E637" s="2"/>
      <c r="F637" s="2"/>
      <c r="G637" s="2"/>
      <c r="H637" s="2"/>
      <c r="I637" s="2"/>
      <c r="J637" s="2"/>
      <c r="K637" s="2"/>
      <c r="L637" s="2"/>
      <c r="M637" s="2"/>
      <c r="N637" s="2"/>
      <c r="O637" s="7"/>
      <c r="P637" s="8"/>
      <c r="Q637" s="9"/>
      <c r="R637" s="7"/>
      <c r="S637" s="8"/>
      <c r="T637" s="10"/>
      <c r="U637" s="2"/>
      <c r="V637" s="2"/>
    </row>
    <row r="638" spans="2:22" x14ac:dyDescent="0.2">
      <c r="B638" s="40">
        <v>44659</v>
      </c>
      <c r="C638" s="41">
        <v>0.3</v>
      </c>
      <c r="E638" s="2"/>
      <c r="F638" s="2"/>
      <c r="G638" s="2"/>
      <c r="H638" s="2"/>
      <c r="I638" s="2"/>
      <c r="J638" s="2"/>
      <c r="K638" s="2"/>
      <c r="L638" s="2"/>
      <c r="M638" s="2"/>
      <c r="N638" s="2"/>
      <c r="O638" s="7"/>
      <c r="P638" s="8"/>
      <c r="Q638" s="9"/>
      <c r="R638" s="7"/>
      <c r="S638" s="8"/>
      <c r="T638" s="10"/>
      <c r="U638" s="2"/>
      <c r="V638" s="2"/>
    </row>
    <row r="639" spans="2:22" x14ac:dyDescent="0.2">
      <c r="B639" s="40">
        <v>44662</v>
      </c>
      <c r="C639" s="41">
        <v>0.3</v>
      </c>
      <c r="E639" s="2"/>
      <c r="F639" s="2"/>
      <c r="G639" s="2"/>
      <c r="H639" s="2"/>
      <c r="I639" s="2"/>
      <c r="J639" s="2"/>
      <c r="K639" s="2"/>
      <c r="L639" s="2"/>
      <c r="M639" s="2"/>
      <c r="N639" s="2"/>
      <c r="O639" s="7"/>
      <c r="P639" s="8"/>
      <c r="Q639" s="9"/>
      <c r="R639" s="7"/>
      <c r="S639" s="8"/>
      <c r="T639" s="10"/>
      <c r="U639" s="2"/>
      <c r="V639" s="2"/>
    </row>
    <row r="640" spans="2:22" x14ac:dyDescent="0.2">
      <c r="B640" s="40">
        <v>44663</v>
      </c>
      <c r="C640" s="41">
        <v>0.28999999999999998</v>
      </c>
      <c r="E640" s="2"/>
      <c r="F640" s="2"/>
      <c r="G640" s="2"/>
      <c r="H640" s="2"/>
      <c r="I640" s="2"/>
      <c r="J640" s="2"/>
      <c r="K640" s="2"/>
      <c r="L640" s="2"/>
      <c r="M640" s="2"/>
      <c r="N640" s="2"/>
      <c r="O640" s="7"/>
      <c r="P640" s="8"/>
      <c r="Q640" s="9"/>
      <c r="R640" s="7"/>
      <c r="S640" s="8"/>
      <c r="T640" s="10"/>
      <c r="U640" s="2"/>
      <c r="V640" s="2"/>
    </row>
    <row r="641" spans="2:22" x14ac:dyDescent="0.2">
      <c r="B641" s="40">
        <v>44664</v>
      </c>
      <c r="C641" s="41">
        <v>0.28999999999999998</v>
      </c>
      <c r="E641" s="2"/>
      <c r="F641" s="2"/>
      <c r="G641" s="2"/>
      <c r="H641" s="2"/>
      <c r="I641" s="2"/>
      <c r="J641" s="2"/>
      <c r="K641" s="2"/>
      <c r="L641" s="2"/>
      <c r="M641" s="2"/>
      <c r="N641" s="2"/>
      <c r="O641" s="7"/>
      <c r="P641" s="8"/>
      <c r="Q641" s="9"/>
      <c r="R641" s="7"/>
      <c r="S641" s="8"/>
      <c r="T641" s="10"/>
      <c r="U641" s="2"/>
      <c r="V641" s="2"/>
    </row>
    <row r="642" spans="2:22" x14ac:dyDescent="0.2">
      <c r="B642" s="40">
        <v>44665</v>
      </c>
      <c r="C642" s="41">
        <v>0.28999999999999998</v>
      </c>
      <c r="E642" s="2"/>
      <c r="F642" s="2"/>
      <c r="G642" s="2"/>
      <c r="H642" s="2"/>
      <c r="I642" s="2"/>
      <c r="J642" s="2"/>
      <c r="K642" s="2"/>
      <c r="L642" s="2"/>
      <c r="M642" s="2"/>
      <c r="N642" s="2"/>
      <c r="O642" s="7"/>
      <c r="P642" s="8"/>
      <c r="Q642" s="9"/>
      <c r="R642" s="7"/>
      <c r="S642" s="8"/>
      <c r="T642" s="10"/>
      <c r="U642" s="2"/>
      <c r="V642" s="2"/>
    </row>
    <row r="643" spans="2:22" x14ac:dyDescent="0.2">
      <c r="B643" s="40">
        <v>44669</v>
      </c>
      <c r="C643" s="41">
        <v>0.28999999999999998</v>
      </c>
      <c r="E643" s="2"/>
      <c r="F643" s="2"/>
      <c r="G643" s="2"/>
      <c r="H643" s="2"/>
      <c r="I643" s="2"/>
      <c r="J643" s="2"/>
      <c r="K643" s="2"/>
      <c r="L643" s="2"/>
      <c r="M643" s="2"/>
      <c r="N643" s="2"/>
      <c r="O643" s="7"/>
      <c r="P643" s="8"/>
      <c r="Q643" s="9"/>
      <c r="R643" s="7"/>
      <c r="S643" s="8"/>
      <c r="T643" s="10"/>
      <c r="U643" s="2"/>
      <c r="V643" s="2"/>
    </row>
    <row r="644" spans="2:22" x14ac:dyDescent="0.2">
      <c r="B644" s="40">
        <v>44670</v>
      </c>
      <c r="C644" s="41">
        <v>0.28000000000000003</v>
      </c>
      <c r="E644" s="2"/>
      <c r="F644" s="2"/>
      <c r="G644" s="2"/>
      <c r="H644" s="2"/>
      <c r="I644" s="2"/>
      <c r="J644" s="2"/>
      <c r="K644" s="2"/>
      <c r="L644" s="2"/>
      <c r="M644" s="2"/>
      <c r="N644" s="2"/>
      <c r="O644" s="7"/>
      <c r="P644" s="8"/>
      <c r="Q644" s="9"/>
      <c r="R644" s="7"/>
      <c r="S644" s="8"/>
      <c r="T644" s="10"/>
      <c r="U644" s="2"/>
      <c r="V644" s="2"/>
    </row>
    <row r="645" spans="2:22" x14ac:dyDescent="0.2">
      <c r="B645" s="40">
        <v>44671</v>
      </c>
      <c r="C645" s="41">
        <v>0.27</v>
      </c>
      <c r="E645" s="2"/>
      <c r="F645" s="2"/>
      <c r="G645" s="2"/>
      <c r="H645" s="2"/>
      <c r="I645" s="2"/>
      <c r="J645" s="2"/>
      <c r="K645" s="2"/>
      <c r="L645" s="2"/>
      <c r="M645" s="2"/>
      <c r="N645" s="2"/>
      <c r="O645" s="7"/>
      <c r="P645" s="8"/>
      <c r="Q645" s="9"/>
      <c r="R645" s="7"/>
      <c r="S645" s="8"/>
      <c r="T645" s="10"/>
      <c r="U645" s="2"/>
      <c r="V645" s="2"/>
    </row>
    <row r="646" spans="2:22" x14ac:dyDescent="0.2">
      <c r="B646" s="40">
        <v>44672</v>
      </c>
      <c r="C646" s="41">
        <v>0.26</v>
      </c>
      <c r="E646" s="2"/>
      <c r="F646" s="2"/>
      <c r="G646" s="2"/>
      <c r="H646" s="2"/>
      <c r="I646" s="2"/>
      <c r="J646" s="2"/>
      <c r="K646" s="2"/>
      <c r="L646" s="2"/>
      <c r="M646" s="2"/>
      <c r="N646" s="2"/>
      <c r="O646" s="7"/>
      <c r="P646" s="8"/>
      <c r="Q646" s="9"/>
      <c r="R646" s="7"/>
      <c r="S646" s="8"/>
      <c r="T646" s="10"/>
      <c r="U646" s="2"/>
      <c r="V646" s="2"/>
    </row>
    <row r="647" spans="2:22" x14ac:dyDescent="0.2">
      <c r="B647" s="40">
        <v>44673</v>
      </c>
      <c r="C647" s="41">
        <v>0.27</v>
      </c>
      <c r="E647" s="2"/>
      <c r="F647" s="2"/>
      <c r="G647" s="2"/>
      <c r="H647" s="2"/>
      <c r="I647" s="2"/>
      <c r="J647" s="2"/>
      <c r="K647" s="2"/>
      <c r="L647" s="2"/>
      <c r="M647" s="2"/>
      <c r="N647" s="2"/>
      <c r="O647" s="7"/>
      <c r="P647" s="8"/>
      <c r="Q647" s="9"/>
      <c r="R647" s="7"/>
      <c r="S647" s="8"/>
      <c r="T647" s="10"/>
      <c r="U647" s="2"/>
      <c r="V647" s="2"/>
    </row>
    <row r="648" spans="2:22" x14ac:dyDescent="0.2">
      <c r="B648" s="40">
        <v>44676</v>
      </c>
      <c r="C648" s="41">
        <v>0.27</v>
      </c>
      <c r="E648" s="2"/>
      <c r="F648" s="2"/>
      <c r="G648" s="2"/>
      <c r="H648" s="2"/>
      <c r="I648" s="2"/>
      <c r="J648" s="2"/>
      <c r="K648" s="2"/>
      <c r="L648" s="2"/>
      <c r="M648" s="2"/>
      <c r="N648" s="2"/>
      <c r="O648" s="7"/>
      <c r="P648" s="8"/>
      <c r="Q648" s="9"/>
      <c r="R648" s="7"/>
      <c r="S648" s="8"/>
      <c r="T648" s="10"/>
      <c r="U648" s="2"/>
      <c r="V648" s="2"/>
    </row>
    <row r="649" spans="2:22" x14ac:dyDescent="0.2">
      <c r="B649" s="40">
        <v>44677</v>
      </c>
      <c r="C649" s="41">
        <v>0.27</v>
      </c>
      <c r="E649" s="2"/>
      <c r="F649" s="2"/>
      <c r="G649" s="2"/>
      <c r="H649" s="2"/>
      <c r="I649" s="2"/>
      <c r="J649" s="2"/>
      <c r="K649" s="2"/>
      <c r="L649" s="2"/>
      <c r="M649" s="2"/>
      <c r="N649" s="2"/>
      <c r="O649" s="7"/>
      <c r="P649" s="8"/>
      <c r="Q649" s="9"/>
      <c r="R649" s="7"/>
      <c r="S649" s="8"/>
      <c r="T649" s="10"/>
      <c r="U649" s="2"/>
      <c r="V649" s="2"/>
    </row>
    <row r="650" spans="2:22" x14ac:dyDescent="0.2">
      <c r="B650" s="40">
        <v>44678</v>
      </c>
      <c r="C650" s="41">
        <v>0.28000000000000003</v>
      </c>
      <c r="E650" s="2"/>
      <c r="F650" s="2"/>
      <c r="G650" s="2"/>
      <c r="H650" s="2"/>
      <c r="I650" s="2"/>
      <c r="J650" s="2"/>
      <c r="K650" s="2"/>
      <c r="L650" s="2"/>
      <c r="M650" s="2"/>
      <c r="N650" s="2"/>
      <c r="O650" s="7"/>
      <c r="P650" s="8"/>
      <c r="Q650" s="9"/>
      <c r="R650" s="7"/>
      <c r="S650" s="8"/>
      <c r="T650" s="10"/>
      <c r="U650" s="2"/>
      <c r="V650" s="2"/>
    </row>
    <row r="651" spans="2:22" x14ac:dyDescent="0.2">
      <c r="B651" s="40">
        <v>44679</v>
      </c>
      <c r="C651" s="41">
        <v>0.28000000000000003</v>
      </c>
      <c r="E651" s="2"/>
      <c r="F651" s="2"/>
      <c r="G651" s="2"/>
      <c r="H651" s="2"/>
      <c r="I651" s="2"/>
      <c r="J651" s="2"/>
      <c r="K651" s="2"/>
      <c r="L651" s="2"/>
      <c r="M651" s="2"/>
      <c r="N651" s="2"/>
      <c r="O651" s="7"/>
      <c r="P651" s="8"/>
      <c r="Q651" s="9"/>
      <c r="R651" s="7"/>
      <c r="S651" s="8"/>
      <c r="T651" s="10"/>
      <c r="U651" s="2"/>
      <c r="V651" s="2"/>
    </row>
    <row r="652" spans="2:22" x14ac:dyDescent="0.2">
      <c r="B652" s="40">
        <v>44680</v>
      </c>
      <c r="C652" s="41">
        <v>0.28000000000000003</v>
      </c>
      <c r="E652" s="2"/>
      <c r="F652" s="2"/>
      <c r="G652" s="2"/>
      <c r="H652" s="2"/>
      <c r="I652" s="2"/>
      <c r="J652" s="2"/>
      <c r="K652" s="2"/>
      <c r="L652" s="2"/>
      <c r="M652" s="2"/>
      <c r="N652" s="2"/>
      <c r="O652" s="7"/>
      <c r="P652" s="8"/>
      <c r="Q652" s="9"/>
      <c r="R652" s="7"/>
      <c r="S652" s="8"/>
      <c r="T652" s="10"/>
      <c r="U652" s="2"/>
      <c r="V652" s="2"/>
    </row>
    <row r="653" spans="2:22" x14ac:dyDescent="0.2">
      <c r="B653" s="40">
        <v>44683</v>
      </c>
      <c r="C653" s="41">
        <v>0.3</v>
      </c>
      <c r="E653" s="2"/>
      <c r="F653" s="2"/>
      <c r="G653" s="2"/>
      <c r="H653" s="2"/>
      <c r="I653" s="2"/>
      <c r="J653" s="2"/>
      <c r="K653" s="2"/>
      <c r="L653" s="2"/>
      <c r="M653" s="2"/>
      <c r="N653" s="2"/>
      <c r="O653" s="7"/>
      <c r="P653" s="8"/>
      <c r="Q653" s="9"/>
      <c r="R653" s="7"/>
      <c r="S653" s="8"/>
      <c r="T653" s="10"/>
      <c r="U653" s="2"/>
      <c r="V653" s="2"/>
    </row>
    <row r="654" spans="2:22" x14ac:dyDescent="0.2">
      <c r="B654" s="40">
        <v>44684</v>
      </c>
      <c r="C654" s="41">
        <v>0.3</v>
      </c>
      <c r="E654" s="2"/>
      <c r="F654" s="2"/>
      <c r="G654" s="2"/>
      <c r="H654" s="2"/>
      <c r="I654" s="2"/>
      <c r="J654" s="2"/>
      <c r="K654" s="2"/>
      <c r="L654" s="2"/>
      <c r="M654" s="2"/>
      <c r="N654" s="2"/>
      <c r="O654" s="7"/>
      <c r="P654" s="8"/>
      <c r="Q654" s="9"/>
      <c r="R654" s="7"/>
      <c r="S654" s="8"/>
      <c r="T654" s="10"/>
      <c r="U654" s="2"/>
      <c r="V654" s="2"/>
    </row>
    <row r="655" spans="2:22" x14ac:dyDescent="0.2">
      <c r="B655" s="40">
        <v>44685</v>
      </c>
      <c r="C655" s="41">
        <v>0.3</v>
      </c>
      <c r="E655" s="2"/>
      <c r="F655" s="2"/>
      <c r="G655" s="2"/>
      <c r="H655" s="2"/>
      <c r="I655" s="2"/>
      <c r="J655" s="2"/>
      <c r="K655" s="2"/>
      <c r="L655" s="2"/>
      <c r="M655" s="2"/>
      <c r="N655" s="2"/>
      <c r="O655" s="7"/>
      <c r="P655" s="8"/>
      <c r="Q655" s="9"/>
      <c r="R655" s="7"/>
      <c r="S655" s="8"/>
      <c r="T655" s="10"/>
      <c r="U655" s="2"/>
      <c r="V655" s="2"/>
    </row>
    <row r="656" spans="2:22" x14ac:dyDescent="0.2">
      <c r="B656" s="40">
        <v>44686</v>
      </c>
      <c r="C656" s="41">
        <v>0.79</v>
      </c>
      <c r="E656" s="2"/>
      <c r="F656" s="2"/>
      <c r="G656" s="2"/>
      <c r="H656" s="2"/>
      <c r="I656" s="2"/>
      <c r="J656" s="2"/>
      <c r="K656" s="2"/>
      <c r="L656" s="2"/>
      <c r="M656" s="2"/>
      <c r="N656" s="2"/>
      <c r="O656" s="7"/>
      <c r="P656" s="8"/>
      <c r="Q656" s="9"/>
      <c r="R656" s="7"/>
      <c r="S656" s="8"/>
      <c r="T656" s="10"/>
      <c r="U656" s="2"/>
      <c r="V656" s="2"/>
    </row>
    <row r="657" spans="2:22" x14ac:dyDescent="0.2">
      <c r="B657" s="40">
        <v>44687</v>
      </c>
      <c r="C657" s="41">
        <v>0.78</v>
      </c>
      <c r="E657" s="2"/>
      <c r="F657" s="2"/>
      <c r="G657" s="2"/>
      <c r="H657" s="2"/>
      <c r="I657" s="2"/>
      <c r="J657" s="2"/>
      <c r="K657" s="2"/>
      <c r="L657" s="2"/>
      <c r="M657" s="2"/>
      <c r="N657" s="2"/>
      <c r="O657" s="7"/>
      <c r="P657" s="8"/>
      <c r="Q657" s="9"/>
      <c r="R657" s="7"/>
      <c r="S657" s="8"/>
      <c r="T657" s="10"/>
      <c r="U657" s="2"/>
      <c r="V657" s="2"/>
    </row>
    <row r="658" spans="2:22" x14ac:dyDescent="0.2">
      <c r="B658" s="40">
        <v>44690</v>
      </c>
      <c r="C658" s="41">
        <v>0.78</v>
      </c>
      <c r="E658" s="2"/>
      <c r="F658" s="2"/>
      <c r="G658" s="2"/>
      <c r="H658" s="2"/>
      <c r="I658" s="2"/>
      <c r="J658" s="2"/>
      <c r="K658" s="2"/>
      <c r="L658" s="2"/>
      <c r="M658" s="2"/>
      <c r="N658" s="2"/>
      <c r="O658" s="7"/>
      <c r="P658" s="8"/>
      <c r="Q658" s="9"/>
      <c r="R658" s="7"/>
      <c r="S658" s="8"/>
      <c r="T658" s="10"/>
      <c r="U658" s="2"/>
      <c r="V658" s="2"/>
    </row>
    <row r="659" spans="2:22" x14ac:dyDescent="0.2">
      <c r="B659" s="40">
        <v>44691</v>
      </c>
      <c r="C659" s="41">
        <v>0.78</v>
      </c>
      <c r="E659" s="2"/>
      <c r="F659" s="2"/>
      <c r="G659" s="2"/>
      <c r="H659" s="2"/>
      <c r="I659" s="2"/>
      <c r="J659" s="2"/>
      <c r="K659" s="2"/>
      <c r="L659" s="2"/>
      <c r="M659" s="2"/>
      <c r="N659" s="2"/>
      <c r="O659" s="7"/>
      <c r="P659" s="8"/>
      <c r="Q659" s="9"/>
      <c r="R659" s="7"/>
      <c r="S659" s="8"/>
      <c r="T659" s="10"/>
      <c r="U659" s="2"/>
      <c r="V659" s="2"/>
    </row>
    <row r="660" spans="2:22" x14ac:dyDescent="0.2">
      <c r="B660" s="40">
        <v>44692</v>
      </c>
      <c r="C660" s="41">
        <v>0.78</v>
      </c>
      <c r="E660" s="2"/>
      <c r="F660" s="2"/>
      <c r="G660" s="2"/>
      <c r="H660" s="2"/>
      <c r="I660" s="2"/>
      <c r="J660" s="2"/>
      <c r="K660" s="2"/>
      <c r="L660" s="2"/>
      <c r="M660" s="2"/>
      <c r="N660" s="2"/>
      <c r="O660" s="7"/>
      <c r="P660" s="8"/>
      <c r="Q660" s="9"/>
      <c r="R660" s="7"/>
      <c r="S660" s="8"/>
      <c r="T660" s="10"/>
      <c r="U660" s="2"/>
      <c r="V660" s="2"/>
    </row>
    <row r="661" spans="2:22" x14ac:dyDescent="0.2">
      <c r="B661" s="40">
        <v>44693</v>
      </c>
      <c r="C661" s="41">
        <v>0.79</v>
      </c>
      <c r="E661" s="2"/>
      <c r="F661" s="2"/>
      <c r="G661" s="2"/>
      <c r="H661" s="2"/>
      <c r="I661" s="2"/>
      <c r="J661" s="2"/>
      <c r="K661" s="2"/>
      <c r="L661" s="2"/>
      <c r="M661" s="2"/>
      <c r="N661" s="2"/>
      <c r="O661" s="7"/>
      <c r="P661" s="8"/>
      <c r="Q661" s="9"/>
      <c r="R661" s="7"/>
      <c r="S661" s="8"/>
      <c r="T661" s="10"/>
      <c r="U661" s="2"/>
      <c r="V661" s="2"/>
    </row>
    <row r="662" spans="2:22" x14ac:dyDescent="0.2">
      <c r="B662" s="40">
        <v>44694</v>
      </c>
      <c r="C662" s="41">
        <v>0.79</v>
      </c>
      <c r="E662" s="2"/>
      <c r="F662" s="2"/>
      <c r="G662" s="2"/>
      <c r="H662" s="2"/>
      <c r="I662" s="2"/>
      <c r="J662" s="2"/>
      <c r="K662" s="2"/>
      <c r="L662" s="2"/>
      <c r="M662" s="2"/>
      <c r="N662" s="2"/>
      <c r="O662" s="7"/>
      <c r="P662" s="8"/>
      <c r="Q662" s="9"/>
      <c r="R662" s="7"/>
      <c r="S662" s="8"/>
      <c r="T662" s="10"/>
      <c r="U662" s="2"/>
      <c r="V662" s="2"/>
    </row>
    <row r="663" spans="2:22" x14ac:dyDescent="0.2">
      <c r="B663" s="40">
        <v>44697</v>
      </c>
      <c r="C663" s="41">
        <v>0.8</v>
      </c>
      <c r="E663" s="2"/>
      <c r="F663" s="2"/>
      <c r="G663" s="2"/>
      <c r="H663" s="2"/>
      <c r="I663" s="2"/>
      <c r="J663" s="2"/>
      <c r="K663" s="2"/>
      <c r="L663" s="2"/>
      <c r="M663" s="2"/>
      <c r="N663" s="2"/>
      <c r="O663" s="7"/>
      <c r="P663" s="8"/>
      <c r="Q663" s="9"/>
      <c r="R663" s="7"/>
      <c r="S663" s="8"/>
      <c r="T663" s="10"/>
      <c r="U663" s="2"/>
      <c r="V663" s="2"/>
    </row>
    <row r="664" spans="2:22" x14ac:dyDescent="0.2">
      <c r="B664" s="40">
        <v>44698</v>
      </c>
      <c r="C664" s="41">
        <v>0.8</v>
      </c>
      <c r="E664" s="2"/>
      <c r="F664" s="2"/>
      <c r="G664" s="2"/>
      <c r="H664" s="2"/>
      <c r="I664" s="2"/>
      <c r="J664" s="2"/>
      <c r="K664" s="2"/>
      <c r="L664" s="2"/>
      <c r="M664" s="2"/>
      <c r="N664" s="2"/>
      <c r="O664" s="7"/>
      <c r="P664" s="8"/>
      <c r="Q664" s="9"/>
      <c r="R664" s="7"/>
      <c r="S664" s="8"/>
      <c r="T664" s="10"/>
      <c r="U664" s="2"/>
      <c r="V664" s="2"/>
    </row>
    <row r="665" spans="2:22" x14ac:dyDescent="0.2">
      <c r="B665" s="40">
        <v>44699</v>
      </c>
      <c r="C665" s="41">
        <v>0.79</v>
      </c>
      <c r="E665" s="2"/>
      <c r="F665" s="2"/>
      <c r="G665" s="2"/>
      <c r="H665" s="2"/>
      <c r="I665" s="2"/>
      <c r="J665" s="2"/>
      <c r="K665" s="2"/>
      <c r="L665" s="2"/>
      <c r="M665" s="2"/>
      <c r="N665" s="2"/>
      <c r="O665" s="7"/>
      <c r="P665" s="8"/>
      <c r="Q665" s="9"/>
      <c r="R665" s="7"/>
      <c r="S665" s="8"/>
      <c r="T665" s="10"/>
      <c r="U665" s="2"/>
      <c r="V665" s="2"/>
    </row>
    <row r="666" spans="2:22" x14ac:dyDescent="0.2">
      <c r="B666" s="40">
        <v>44700</v>
      </c>
      <c r="C666" s="41">
        <v>0.79</v>
      </c>
      <c r="E666" s="2"/>
      <c r="F666" s="2"/>
      <c r="G666" s="2"/>
      <c r="H666" s="2"/>
      <c r="I666" s="2"/>
      <c r="J666" s="2"/>
      <c r="K666" s="2"/>
      <c r="L666" s="2"/>
      <c r="M666" s="2"/>
      <c r="N666" s="2"/>
      <c r="O666" s="7"/>
      <c r="P666" s="8"/>
      <c r="Q666" s="9"/>
      <c r="R666" s="7"/>
      <c r="S666" s="8"/>
      <c r="T666" s="10"/>
      <c r="U666" s="2"/>
      <c r="V666" s="2"/>
    </row>
    <row r="667" spans="2:22" x14ac:dyDescent="0.2">
      <c r="B667" s="40">
        <v>44701</v>
      </c>
      <c r="C667" s="41">
        <v>0.78</v>
      </c>
      <c r="E667" s="2"/>
      <c r="F667" s="2"/>
      <c r="G667" s="2"/>
      <c r="H667" s="2"/>
      <c r="I667" s="2"/>
      <c r="J667" s="2"/>
      <c r="K667" s="2"/>
      <c r="L667" s="2"/>
      <c r="M667" s="2"/>
      <c r="N667" s="2"/>
      <c r="O667" s="7"/>
      <c r="P667" s="8"/>
      <c r="Q667" s="9"/>
      <c r="R667" s="7"/>
      <c r="S667" s="8"/>
      <c r="T667" s="10"/>
      <c r="U667" s="2"/>
      <c r="V667" s="2"/>
    </row>
    <row r="668" spans="2:22" x14ac:dyDescent="0.2">
      <c r="B668" s="40">
        <v>44704</v>
      </c>
      <c r="C668" s="41">
        <v>0.78</v>
      </c>
      <c r="E668" s="2"/>
      <c r="F668" s="2"/>
      <c r="G668" s="2"/>
      <c r="H668" s="2"/>
      <c r="I668" s="2"/>
      <c r="J668" s="2"/>
      <c r="K668" s="2"/>
      <c r="L668" s="2"/>
      <c r="M668" s="2"/>
      <c r="N668" s="2"/>
      <c r="O668" s="7"/>
      <c r="P668" s="8"/>
      <c r="Q668" s="9"/>
      <c r="R668" s="7"/>
      <c r="S668" s="8"/>
      <c r="T668" s="10"/>
      <c r="U668" s="2"/>
      <c r="V668" s="2"/>
    </row>
    <row r="669" spans="2:22" x14ac:dyDescent="0.2">
      <c r="B669" s="40">
        <v>44705</v>
      </c>
      <c r="C669" s="41">
        <v>0.78</v>
      </c>
      <c r="E669" s="2"/>
      <c r="F669" s="2"/>
      <c r="G669" s="2"/>
      <c r="H669" s="2"/>
      <c r="I669" s="2"/>
      <c r="J669" s="2"/>
      <c r="K669" s="2"/>
      <c r="L669" s="2"/>
      <c r="M669" s="2"/>
      <c r="N669" s="2"/>
      <c r="O669" s="7"/>
      <c r="P669" s="8"/>
      <c r="Q669" s="9"/>
      <c r="R669" s="7"/>
      <c r="S669" s="8"/>
      <c r="T669" s="10"/>
      <c r="U669" s="2"/>
      <c r="V669" s="2"/>
    </row>
    <row r="670" spans="2:22" x14ac:dyDescent="0.2">
      <c r="B670" s="40">
        <v>44706</v>
      </c>
      <c r="C670" s="41">
        <v>0.78</v>
      </c>
      <c r="E670" s="2"/>
      <c r="F670" s="2"/>
      <c r="G670" s="2"/>
      <c r="H670" s="2"/>
      <c r="I670" s="2"/>
      <c r="J670" s="2"/>
      <c r="K670" s="2"/>
      <c r="L670" s="2"/>
      <c r="M670" s="2"/>
      <c r="N670" s="2"/>
      <c r="O670" s="7"/>
      <c r="P670" s="8"/>
      <c r="Q670" s="9"/>
      <c r="R670" s="7"/>
      <c r="S670" s="8"/>
      <c r="T670" s="10"/>
      <c r="U670" s="2"/>
      <c r="V670" s="2"/>
    </row>
    <row r="671" spans="2:22" x14ac:dyDescent="0.2">
      <c r="B671" s="40">
        <v>44707</v>
      </c>
      <c r="C671" s="41">
        <v>0.78</v>
      </c>
      <c r="E671" s="2"/>
      <c r="F671" s="2"/>
      <c r="G671" s="2"/>
      <c r="H671" s="2"/>
      <c r="I671" s="2"/>
      <c r="J671" s="2"/>
      <c r="K671" s="2"/>
      <c r="L671" s="2"/>
      <c r="M671" s="2"/>
      <c r="N671" s="2"/>
      <c r="O671" s="7"/>
      <c r="P671" s="8"/>
      <c r="Q671" s="9"/>
      <c r="R671" s="7"/>
      <c r="S671" s="8"/>
      <c r="T671" s="10"/>
      <c r="U671" s="2"/>
      <c r="V671" s="2"/>
    </row>
    <row r="672" spans="2:22" x14ac:dyDescent="0.2">
      <c r="B672" s="40">
        <v>44708</v>
      </c>
      <c r="C672" s="41">
        <v>0.78</v>
      </c>
      <c r="E672" s="2"/>
      <c r="F672" s="2"/>
      <c r="G672" s="2"/>
      <c r="H672" s="2"/>
      <c r="I672" s="2"/>
      <c r="J672" s="2"/>
      <c r="K672" s="2"/>
      <c r="L672" s="2"/>
      <c r="M672" s="2"/>
      <c r="N672" s="2"/>
      <c r="O672" s="7"/>
      <c r="P672" s="8"/>
      <c r="Q672" s="9"/>
      <c r="R672" s="7"/>
      <c r="S672" s="8"/>
      <c r="T672" s="10"/>
      <c r="U672" s="2"/>
      <c r="V672" s="2"/>
    </row>
    <row r="673" spans="2:22" x14ac:dyDescent="0.2">
      <c r="B673" s="40">
        <v>44712</v>
      </c>
      <c r="C673" s="41">
        <v>0.79</v>
      </c>
      <c r="E673" s="2"/>
      <c r="F673" s="2"/>
      <c r="G673" s="2"/>
      <c r="H673" s="2"/>
      <c r="I673" s="2"/>
      <c r="J673" s="2"/>
      <c r="K673" s="2"/>
      <c r="L673" s="2"/>
      <c r="M673" s="2"/>
      <c r="N673" s="2"/>
      <c r="O673" s="7"/>
      <c r="P673" s="8"/>
      <c r="Q673" s="9"/>
      <c r="R673" s="7"/>
      <c r="S673" s="8"/>
      <c r="T673" s="10"/>
      <c r="U673" s="2"/>
      <c r="V673" s="2"/>
    </row>
    <row r="674" spans="2:22" x14ac:dyDescent="0.2">
      <c r="B674" s="40">
        <v>44713</v>
      </c>
      <c r="C674" s="41">
        <v>0.8</v>
      </c>
      <c r="E674" s="2"/>
      <c r="F674" s="2"/>
      <c r="G674" s="2"/>
      <c r="H674" s="2"/>
      <c r="I674" s="2"/>
      <c r="J674" s="2"/>
      <c r="K674" s="2"/>
      <c r="L674" s="2"/>
      <c r="M674" s="2"/>
      <c r="N674" s="2"/>
      <c r="O674" s="7"/>
      <c r="P674" s="8"/>
      <c r="Q674" s="9"/>
      <c r="R674" s="7"/>
      <c r="S674" s="8"/>
      <c r="T674" s="10"/>
      <c r="U674" s="2"/>
      <c r="V674" s="2"/>
    </row>
    <row r="675" spans="2:22" x14ac:dyDescent="0.2">
      <c r="B675" s="40">
        <v>44714</v>
      </c>
      <c r="C675" s="41">
        <v>0.79</v>
      </c>
      <c r="E675" s="2"/>
      <c r="F675" s="2"/>
      <c r="G675" s="2"/>
      <c r="H675" s="2"/>
      <c r="I675" s="2"/>
      <c r="J675" s="2"/>
      <c r="K675" s="2"/>
      <c r="L675" s="2"/>
      <c r="M675" s="2"/>
      <c r="N675" s="2"/>
      <c r="O675" s="7"/>
      <c r="P675" s="8"/>
      <c r="Q675" s="9"/>
      <c r="R675" s="7"/>
      <c r="S675" s="8"/>
      <c r="T675" s="10"/>
      <c r="U675" s="2"/>
      <c r="V675" s="2"/>
    </row>
    <row r="676" spans="2:22" x14ac:dyDescent="0.2">
      <c r="B676" s="40">
        <v>44715</v>
      </c>
      <c r="C676" s="41">
        <v>0.78</v>
      </c>
      <c r="E676" s="2"/>
      <c r="F676" s="2"/>
      <c r="G676" s="2"/>
      <c r="H676" s="2"/>
      <c r="I676" s="2"/>
      <c r="J676" s="2"/>
      <c r="K676" s="2"/>
      <c r="L676" s="2"/>
      <c r="M676" s="2"/>
      <c r="N676" s="2"/>
      <c r="O676" s="7"/>
      <c r="P676" s="8"/>
      <c r="Q676" s="9"/>
      <c r="R676" s="7"/>
      <c r="S676" s="8"/>
      <c r="T676" s="10"/>
      <c r="U676" s="2"/>
      <c r="V676" s="2"/>
    </row>
    <row r="677" spans="2:22" x14ac:dyDescent="0.2">
      <c r="B677" s="40">
        <v>44718</v>
      </c>
      <c r="C677" s="41">
        <v>0.78</v>
      </c>
      <c r="E677" s="2"/>
      <c r="F677" s="2"/>
      <c r="G677" s="2"/>
      <c r="H677" s="2"/>
      <c r="I677" s="2"/>
      <c r="J677" s="2"/>
      <c r="K677" s="2"/>
      <c r="L677" s="2"/>
      <c r="M677" s="2"/>
      <c r="N677" s="2"/>
      <c r="O677" s="7"/>
      <c r="P677" s="8"/>
      <c r="Q677" s="9"/>
      <c r="R677" s="7"/>
      <c r="S677" s="8"/>
      <c r="T677" s="10"/>
      <c r="U677" s="2"/>
      <c r="V677" s="2"/>
    </row>
    <row r="678" spans="2:22" x14ac:dyDescent="0.2">
      <c r="B678" s="40">
        <v>44719</v>
      </c>
      <c r="C678" s="41">
        <v>0.77</v>
      </c>
      <c r="E678" s="2"/>
      <c r="F678" s="2"/>
      <c r="G678" s="2"/>
      <c r="H678" s="2"/>
      <c r="I678" s="2"/>
      <c r="J678" s="2"/>
      <c r="K678" s="2"/>
      <c r="L678" s="2"/>
      <c r="M678" s="2"/>
      <c r="N678" s="2"/>
      <c r="O678" s="7"/>
      <c r="P678" s="8"/>
      <c r="Q678" s="9"/>
      <c r="R678" s="7"/>
      <c r="S678" s="8"/>
      <c r="T678" s="10"/>
      <c r="U678" s="2"/>
      <c r="V678" s="2"/>
    </row>
    <row r="679" spans="2:22" x14ac:dyDescent="0.2">
      <c r="B679" s="40">
        <v>44720</v>
      </c>
      <c r="C679" s="41">
        <v>0.76</v>
      </c>
      <c r="E679" s="2"/>
      <c r="F679" s="2"/>
      <c r="G679" s="2"/>
      <c r="H679" s="2"/>
      <c r="I679" s="2"/>
      <c r="J679" s="2"/>
      <c r="K679" s="2"/>
      <c r="L679" s="2"/>
      <c r="M679" s="2"/>
      <c r="N679" s="2"/>
      <c r="O679" s="7"/>
      <c r="P679" s="8"/>
      <c r="Q679" s="9"/>
      <c r="R679" s="7"/>
      <c r="S679" s="8"/>
      <c r="T679" s="10"/>
      <c r="U679" s="2"/>
      <c r="V679" s="2"/>
    </row>
    <row r="680" spans="2:22" x14ac:dyDescent="0.2">
      <c r="B680" s="40">
        <v>44721</v>
      </c>
      <c r="C680" s="41">
        <v>0.75</v>
      </c>
      <c r="E680" s="2"/>
      <c r="F680" s="2"/>
      <c r="G680" s="2"/>
      <c r="H680" s="2"/>
      <c r="I680" s="2"/>
      <c r="J680" s="2"/>
      <c r="K680" s="2"/>
      <c r="L680" s="2"/>
      <c r="M680" s="2"/>
      <c r="N680" s="2"/>
      <c r="O680" s="7"/>
      <c r="P680" s="8"/>
      <c r="Q680" s="9"/>
      <c r="R680" s="7"/>
      <c r="S680" s="8"/>
      <c r="T680" s="10"/>
      <c r="U680" s="2"/>
      <c r="V680" s="2"/>
    </row>
    <row r="681" spans="2:22" x14ac:dyDescent="0.2">
      <c r="B681" s="40">
        <v>44722</v>
      </c>
      <c r="C681" s="41">
        <v>0.75</v>
      </c>
      <c r="E681" s="2"/>
      <c r="F681" s="2"/>
      <c r="G681" s="2"/>
      <c r="H681" s="2"/>
      <c r="I681" s="2"/>
      <c r="J681" s="2"/>
      <c r="K681" s="2"/>
      <c r="L681" s="2"/>
      <c r="M681" s="2"/>
      <c r="N681" s="2"/>
      <c r="O681" s="7"/>
      <c r="P681" s="8"/>
      <c r="Q681" s="9"/>
      <c r="R681" s="7"/>
      <c r="S681" s="8"/>
      <c r="T681" s="10"/>
      <c r="U681" s="2"/>
      <c r="V681" s="2"/>
    </row>
    <row r="682" spans="2:22" x14ac:dyDescent="0.2">
      <c r="B682" s="40">
        <v>44725</v>
      </c>
      <c r="C682" s="41">
        <v>0.73</v>
      </c>
      <c r="E682" s="2"/>
      <c r="F682" s="2"/>
      <c r="G682" s="2"/>
      <c r="H682" s="2"/>
      <c r="I682" s="2"/>
      <c r="J682" s="2"/>
      <c r="K682" s="2"/>
      <c r="L682" s="2"/>
      <c r="M682" s="2"/>
      <c r="N682" s="2"/>
      <c r="O682" s="7"/>
      <c r="P682" s="8"/>
      <c r="Q682" s="9"/>
      <c r="R682" s="7"/>
      <c r="S682" s="8"/>
      <c r="T682" s="10"/>
      <c r="U682" s="2"/>
      <c r="V682" s="2"/>
    </row>
    <row r="683" spans="2:22" x14ac:dyDescent="0.2">
      <c r="B683" s="40">
        <v>44726</v>
      </c>
      <c r="C683" s="41">
        <v>0.69</v>
      </c>
      <c r="E683" s="2"/>
      <c r="F683" s="2"/>
      <c r="G683" s="2"/>
      <c r="H683" s="2"/>
      <c r="I683" s="2"/>
      <c r="J683" s="2"/>
      <c r="K683" s="2"/>
      <c r="L683" s="2"/>
      <c r="M683" s="2"/>
      <c r="N683" s="2"/>
      <c r="O683" s="7"/>
      <c r="P683" s="8"/>
      <c r="Q683" s="9"/>
      <c r="R683" s="7"/>
      <c r="S683" s="8"/>
      <c r="T683" s="10"/>
      <c r="U683" s="2"/>
      <c r="V683" s="2"/>
    </row>
    <row r="684" spans="2:22" x14ac:dyDescent="0.2">
      <c r="B684" s="40">
        <v>44727</v>
      </c>
      <c r="C684" s="41">
        <v>0.7</v>
      </c>
      <c r="E684" s="2"/>
      <c r="F684" s="2"/>
      <c r="G684" s="2"/>
      <c r="H684" s="2"/>
      <c r="I684" s="2"/>
      <c r="J684" s="2"/>
      <c r="K684" s="2"/>
      <c r="L684" s="2"/>
      <c r="M684" s="2"/>
      <c r="N684" s="2"/>
      <c r="O684" s="7"/>
      <c r="P684" s="8"/>
      <c r="Q684" s="9"/>
      <c r="R684" s="7"/>
      <c r="S684" s="8"/>
      <c r="T684" s="10"/>
      <c r="U684" s="2"/>
      <c r="V684" s="2"/>
    </row>
    <row r="685" spans="2:22" x14ac:dyDescent="0.2">
      <c r="B685" s="40">
        <v>44728</v>
      </c>
      <c r="C685" s="41">
        <v>1.45</v>
      </c>
      <c r="E685" s="2"/>
      <c r="F685" s="2"/>
      <c r="G685" s="2"/>
      <c r="H685" s="2"/>
      <c r="I685" s="2"/>
      <c r="J685" s="2"/>
      <c r="K685" s="2"/>
      <c r="L685" s="2"/>
      <c r="M685" s="2"/>
      <c r="N685" s="2"/>
      <c r="O685" s="7"/>
      <c r="P685" s="8"/>
      <c r="Q685" s="9"/>
      <c r="R685" s="7"/>
      <c r="S685" s="8"/>
      <c r="T685" s="10"/>
      <c r="U685" s="2"/>
      <c r="V685" s="2"/>
    </row>
    <row r="686" spans="2:22" x14ac:dyDescent="0.2">
      <c r="B686" s="40">
        <v>44729</v>
      </c>
      <c r="C686" s="41">
        <v>1.45</v>
      </c>
      <c r="E686" s="2"/>
      <c r="F686" s="2"/>
      <c r="G686" s="2"/>
      <c r="H686" s="2"/>
      <c r="I686" s="2"/>
      <c r="J686" s="2"/>
      <c r="K686" s="2"/>
      <c r="L686" s="2"/>
      <c r="M686" s="2"/>
      <c r="N686" s="2"/>
      <c r="O686" s="7"/>
      <c r="P686" s="8"/>
      <c r="Q686" s="9"/>
      <c r="R686" s="7"/>
      <c r="S686" s="8"/>
      <c r="T686" s="10"/>
      <c r="U686" s="2"/>
      <c r="V686" s="2"/>
    </row>
    <row r="687" spans="2:22" x14ac:dyDescent="0.2">
      <c r="B687" s="40">
        <v>44733</v>
      </c>
      <c r="C687" s="41">
        <v>1.45</v>
      </c>
      <c r="E687" s="2"/>
      <c r="F687" s="2"/>
      <c r="G687" s="2"/>
      <c r="H687" s="2"/>
      <c r="I687" s="2"/>
      <c r="J687" s="2"/>
      <c r="K687" s="2"/>
      <c r="L687" s="2"/>
      <c r="M687" s="2"/>
      <c r="N687" s="2"/>
      <c r="O687" s="7"/>
      <c r="P687" s="8"/>
      <c r="Q687" s="9"/>
      <c r="R687" s="7"/>
      <c r="S687" s="8"/>
      <c r="T687" s="10"/>
      <c r="U687" s="2"/>
      <c r="V687" s="2"/>
    </row>
    <row r="688" spans="2:22" x14ac:dyDescent="0.2">
      <c r="B688" s="40">
        <v>44734</v>
      </c>
      <c r="C688" s="41">
        <v>1.45</v>
      </c>
      <c r="E688" s="2"/>
      <c r="F688" s="2"/>
      <c r="G688" s="2"/>
      <c r="H688" s="2"/>
      <c r="I688" s="2"/>
      <c r="J688" s="2"/>
      <c r="K688" s="2"/>
      <c r="L688" s="2"/>
      <c r="M688" s="2"/>
      <c r="N688" s="2"/>
      <c r="O688" s="7"/>
      <c r="P688" s="8"/>
      <c r="Q688" s="9"/>
      <c r="R688" s="7"/>
      <c r="S688" s="8"/>
      <c r="T688" s="10"/>
      <c r="U688" s="2"/>
      <c r="V688" s="2"/>
    </row>
    <row r="689" spans="2:22" x14ac:dyDescent="0.2">
      <c r="B689" s="40">
        <v>44735</v>
      </c>
      <c r="C689" s="41">
        <v>1.44</v>
      </c>
      <c r="E689" s="2"/>
      <c r="F689" s="2"/>
      <c r="G689" s="2"/>
      <c r="H689" s="2"/>
      <c r="I689" s="2"/>
      <c r="J689" s="2"/>
      <c r="K689" s="2"/>
      <c r="L689" s="2"/>
      <c r="M689" s="2"/>
      <c r="N689" s="2"/>
      <c r="O689" s="7"/>
      <c r="P689" s="8"/>
      <c r="Q689" s="9"/>
      <c r="R689" s="7"/>
      <c r="S689" s="8"/>
      <c r="T689" s="10"/>
      <c r="U689" s="2"/>
      <c r="V689" s="2"/>
    </row>
    <row r="690" spans="2:22" x14ac:dyDescent="0.2">
      <c r="B690" s="40">
        <v>44736</v>
      </c>
      <c r="C690" s="41">
        <v>1.46</v>
      </c>
      <c r="E690" s="2"/>
      <c r="F690" s="2"/>
      <c r="G690" s="2"/>
      <c r="H690" s="2"/>
      <c r="I690" s="2"/>
      <c r="J690" s="2"/>
      <c r="K690" s="2"/>
      <c r="L690" s="2"/>
      <c r="M690" s="2"/>
      <c r="N690" s="2"/>
      <c r="O690" s="7"/>
      <c r="P690" s="8"/>
      <c r="Q690" s="9"/>
      <c r="R690" s="7"/>
      <c r="S690" s="8"/>
      <c r="T690" s="10"/>
      <c r="U690" s="2"/>
      <c r="V690" s="2"/>
    </row>
    <row r="691" spans="2:22" x14ac:dyDescent="0.2">
      <c r="B691" s="40">
        <v>44739</v>
      </c>
      <c r="C691" s="41">
        <v>1.5</v>
      </c>
      <c r="E691" s="2"/>
      <c r="F691" s="2"/>
      <c r="G691" s="2"/>
      <c r="H691" s="2"/>
      <c r="I691" s="2"/>
      <c r="J691" s="2"/>
      <c r="K691" s="2"/>
      <c r="L691" s="2"/>
      <c r="M691" s="2"/>
      <c r="N691" s="2"/>
      <c r="O691" s="7"/>
      <c r="P691" s="8"/>
      <c r="Q691" s="9"/>
      <c r="R691" s="7"/>
      <c r="S691" s="8"/>
      <c r="T691" s="10"/>
      <c r="U691" s="2"/>
      <c r="V691" s="2"/>
    </row>
    <row r="692" spans="2:22" x14ac:dyDescent="0.2">
      <c r="B692" s="40">
        <v>44740</v>
      </c>
      <c r="C692" s="41">
        <v>1.52</v>
      </c>
      <c r="E692" s="2"/>
      <c r="F692" s="2"/>
      <c r="G692" s="2"/>
      <c r="H692" s="2"/>
      <c r="I692" s="2"/>
      <c r="J692" s="2"/>
      <c r="K692" s="2"/>
      <c r="L692" s="2"/>
      <c r="M692" s="2"/>
      <c r="N692" s="2"/>
      <c r="O692" s="7"/>
      <c r="P692" s="8"/>
      <c r="Q692" s="9"/>
      <c r="R692" s="7"/>
      <c r="S692" s="8"/>
      <c r="T692" s="10"/>
      <c r="U692" s="2"/>
      <c r="V692" s="2"/>
    </row>
    <row r="693" spans="2:22" x14ac:dyDescent="0.2">
      <c r="B693" s="40">
        <v>44741</v>
      </c>
      <c r="C693" s="41">
        <v>1.51</v>
      </c>
      <c r="E693" s="2"/>
      <c r="F693" s="2"/>
      <c r="G693" s="2"/>
      <c r="H693" s="2"/>
      <c r="I693" s="2"/>
      <c r="J693" s="2"/>
      <c r="K693" s="2"/>
      <c r="L693" s="2"/>
      <c r="M693" s="2"/>
      <c r="N693" s="2"/>
      <c r="O693" s="7"/>
      <c r="P693" s="8"/>
      <c r="Q693" s="9"/>
      <c r="R693" s="7"/>
      <c r="S693" s="8"/>
      <c r="T693" s="10"/>
      <c r="U693" s="2"/>
      <c r="V693" s="2"/>
    </row>
    <row r="694" spans="2:22" x14ac:dyDescent="0.2">
      <c r="B694" s="40">
        <v>44742</v>
      </c>
      <c r="C694" s="41">
        <v>1.5</v>
      </c>
      <c r="E694" s="2"/>
      <c r="F694" s="2"/>
      <c r="G694" s="2"/>
      <c r="H694" s="2"/>
      <c r="I694" s="2"/>
      <c r="J694" s="2"/>
      <c r="K694" s="2"/>
      <c r="L694" s="2"/>
      <c r="M694" s="2"/>
      <c r="N694" s="2"/>
      <c r="O694" s="7"/>
      <c r="P694" s="8"/>
      <c r="Q694" s="9"/>
      <c r="R694" s="7"/>
      <c r="S694" s="8"/>
      <c r="T694" s="10"/>
      <c r="U694" s="2"/>
      <c r="V694" s="2"/>
    </row>
    <row r="695" spans="2:22" x14ac:dyDescent="0.2">
      <c r="B695" s="40">
        <v>44743</v>
      </c>
      <c r="C695" s="41">
        <v>1.52</v>
      </c>
      <c r="E695" s="2"/>
      <c r="F695" s="2"/>
      <c r="G695" s="2"/>
      <c r="H695" s="2"/>
      <c r="I695" s="2"/>
      <c r="J695" s="2"/>
      <c r="K695" s="2"/>
      <c r="L695" s="2"/>
      <c r="M695" s="2"/>
      <c r="N695" s="2"/>
      <c r="O695" s="7"/>
      <c r="P695" s="8"/>
      <c r="Q695" s="9"/>
      <c r="R695" s="7"/>
      <c r="S695" s="8"/>
      <c r="T695" s="10"/>
      <c r="U695" s="2"/>
      <c r="V695" s="2"/>
    </row>
    <row r="696" spans="2:22" x14ac:dyDescent="0.2">
      <c r="B696" s="40">
        <v>44747</v>
      </c>
      <c r="C696" s="41">
        <v>1.54</v>
      </c>
      <c r="E696" s="2"/>
      <c r="F696" s="2"/>
      <c r="G696" s="2"/>
      <c r="H696" s="2"/>
      <c r="I696" s="2"/>
      <c r="J696" s="2"/>
      <c r="K696" s="2"/>
      <c r="L696" s="2"/>
      <c r="M696" s="2"/>
      <c r="N696" s="2"/>
      <c r="O696" s="7"/>
      <c r="P696" s="8"/>
      <c r="Q696" s="9"/>
      <c r="R696" s="7"/>
      <c r="S696" s="8"/>
      <c r="T696" s="10"/>
      <c r="U696" s="2"/>
      <c r="V696" s="2"/>
    </row>
    <row r="697" spans="2:22" x14ac:dyDescent="0.2">
      <c r="B697" s="40">
        <v>44748</v>
      </c>
      <c r="C697" s="41">
        <v>1.54</v>
      </c>
      <c r="E697" s="2"/>
      <c r="F697" s="2"/>
      <c r="G697" s="2"/>
      <c r="H697" s="2"/>
      <c r="I697" s="2"/>
      <c r="J697" s="2"/>
      <c r="K697" s="2"/>
      <c r="L697" s="2"/>
      <c r="M697" s="2"/>
      <c r="N697" s="2"/>
      <c r="O697" s="7"/>
      <c r="P697" s="8"/>
      <c r="Q697" s="9"/>
      <c r="R697" s="7"/>
      <c r="S697" s="8"/>
      <c r="T697" s="10"/>
      <c r="U697" s="2"/>
      <c r="V697" s="2"/>
    </row>
    <row r="698" spans="2:22" x14ac:dyDescent="0.2">
      <c r="B698" s="40">
        <v>44749</v>
      </c>
      <c r="C698" s="41">
        <v>1.54</v>
      </c>
      <c r="E698" s="2"/>
      <c r="F698" s="2"/>
      <c r="G698" s="2"/>
      <c r="H698" s="2"/>
      <c r="I698" s="2"/>
      <c r="J698" s="2"/>
      <c r="K698" s="2"/>
      <c r="L698" s="2"/>
      <c r="M698" s="2"/>
      <c r="N698" s="2"/>
      <c r="O698" s="7"/>
      <c r="P698" s="8"/>
      <c r="Q698" s="9"/>
      <c r="R698" s="7"/>
      <c r="S698" s="8"/>
      <c r="T698" s="10"/>
      <c r="U698" s="2"/>
      <c r="V698" s="2"/>
    </row>
    <row r="699" spans="2:22" x14ac:dyDescent="0.2">
      <c r="B699" s="40">
        <v>44750</v>
      </c>
      <c r="C699" s="41">
        <v>1.53</v>
      </c>
      <c r="E699" s="2"/>
      <c r="F699" s="2"/>
      <c r="G699" s="2"/>
      <c r="H699" s="2"/>
      <c r="I699" s="2"/>
      <c r="J699" s="2"/>
      <c r="K699" s="2"/>
      <c r="L699" s="2"/>
      <c r="M699" s="2"/>
      <c r="N699" s="2"/>
      <c r="O699" s="7"/>
      <c r="P699" s="8"/>
      <c r="Q699" s="9"/>
      <c r="R699" s="7"/>
      <c r="S699" s="8"/>
      <c r="T699" s="10"/>
      <c r="U699" s="2"/>
      <c r="V699" s="2"/>
    </row>
    <row r="700" spans="2:22" x14ac:dyDescent="0.2">
      <c r="B700" s="40">
        <v>44753</v>
      </c>
      <c r="C700" s="41">
        <v>1.53</v>
      </c>
      <c r="E700" s="2"/>
      <c r="F700" s="2"/>
      <c r="G700" s="2"/>
      <c r="H700" s="2"/>
      <c r="I700" s="2"/>
      <c r="J700" s="2"/>
      <c r="K700" s="2"/>
      <c r="L700" s="2"/>
      <c r="M700" s="2"/>
      <c r="N700" s="2"/>
      <c r="O700" s="7"/>
      <c r="P700" s="8"/>
      <c r="Q700" s="9"/>
      <c r="R700" s="7"/>
      <c r="S700" s="8"/>
      <c r="T700" s="10"/>
      <c r="U700" s="2"/>
      <c r="V700" s="2"/>
    </row>
    <row r="701" spans="2:22" x14ac:dyDescent="0.2">
      <c r="B701" s="40">
        <v>44754</v>
      </c>
      <c r="C701" s="41">
        <v>1.54</v>
      </c>
      <c r="E701" s="2"/>
      <c r="F701" s="2"/>
      <c r="G701" s="2"/>
      <c r="H701" s="2"/>
      <c r="I701" s="2"/>
      <c r="J701" s="2"/>
      <c r="K701" s="2"/>
      <c r="L701" s="2"/>
      <c r="M701" s="2"/>
      <c r="N701" s="2"/>
      <c r="O701" s="7"/>
      <c r="P701" s="8"/>
      <c r="Q701" s="9"/>
      <c r="R701" s="7"/>
      <c r="S701" s="8"/>
      <c r="T701" s="10"/>
      <c r="U701" s="2"/>
      <c r="V701" s="2"/>
    </row>
    <row r="702" spans="2:22" x14ac:dyDescent="0.2">
      <c r="B702" s="40">
        <v>44755</v>
      </c>
      <c r="C702" s="41">
        <v>1.53</v>
      </c>
      <c r="E702" s="2"/>
      <c r="F702" s="2"/>
      <c r="G702" s="2"/>
      <c r="H702" s="2"/>
      <c r="I702" s="2"/>
      <c r="J702" s="2"/>
      <c r="K702" s="2"/>
      <c r="L702" s="2"/>
      <c r="M702" s="2"/>
      <c r="N702" s="2"/>
      <c r="O702" s="7"/>
      <c r="P702" s="8"/>
      <c r="Q702" s="9"/>
      <c r="R702" s="7"/>
      <c r="S702" s="8"/>
      <c r="T702" s="10"/>
      <c r="U702" s="2"/>
      <c r="V702" s="2"/>
    </row>
    <row r="703" spans="2:22" x14ac:dyDescent="0.2">
      <c r="B703" s="40">
        <v>44756</v>
      </c>
      <c r="C703" s="41">
        <v>1.53</v>
      </c>
      <c r="E703" s="2"/>
      <c r="F703" s="2"/>
      <c r="G703" s="2"/>
      <c r="H703" s="2"/>
      <c r="I703" s="2"/>
      <c r="J703" s="2"/>
      <c r="K703" s="2"/>
      <c r="L703" s="2"/>
      <c r="M703" s="2"/>
      <c r="N703" s="2"/>
      <c r="O703" s="7"/>
      <c r="P703" s="8"/>
      <c r="Q703" s="9"/>
      <c r="R703" s="7"/>
      <c r="S703" s="8"/>
      <c r="T703" s="10"/>
      <c r="U703" s="2"/>
      <c r="V703" s="2"/>
    </row>
    <row r="704" spans="2:22" x14ac:dyDescent="0.2">
      <c r="B704" s="40">
        <v>44757</v>
      </c>
      <c r="C704" s="41">
        <v>1.54</v>
      </c>
      <c r="E704" s="2"/>
      <c r="F704" s="2"/>
      <c r="G704" s="2"/>
      <c r="H704" s="2"/>
      <c r="I704" s="2"/>
      <c r="J704" s="2"/>
      <c r="K704" s="2"/>
      <c r="L704" s="2"/>
      <c r="M704" s="2"/>
      <c r="N704" s="2"/>
      <c r="O704" s="7"/>
      <c r="P704" s="8"/>
      <c r="Q704" s="9"/>
      <c r="R704" s="7"/>
      <c r="S704" s="8"/>
      <c r="T704" s="10"/>
      <c r="U704" s="2"/>
      <c r="V704" s="2"/>
    </row>
    <row r="705" spans="2:22" x14ac:dyDescent="0.2">
      <c r="B705" s="40">
        <v>44760</v>
      </c>
      <c r="C705" s="41">
        <v>1.54</v>
      </c>
      <c r="E705" s="2"/>
      <c r="F705" s="2"/>
      <c r="G705" s="2"/>
      <c r="H705" s="2"/>
      <c r="I705" s="2"/>
      <c r="J705" s="2"/>
      <c r="K705" s="2"/>
      <c r="L705" s="2"/>
      <c r="M705" s="2"/>
      <c r="N705" s="2"/>
      <c r="O705" s="7"/>
      <c r="P705" s="8"/>
      <c r="Q705" s="9"/>
      <c r="R705" s="7"/>
      <c r="S705" s="8"/>
      <c r="T705" s="10"/>
      <c r="U705" s="2"/>
      <c r="V705" s="2"/>
    </row>
    <row r="706" spans="2:22" x14ac:dyDescent="0.2">
      <c r="B706" s="40">
        <v>44761</v>
      </c>
      <c r="C706" s="41">
        <v>1.54</v>
      </c>
      <c r="E706" s="2"/>
      <c r="F706" s="2"/>
      <c r="G706" s="2"/>
      <c r="H706" s="2"/>
      <c r="I706" s="2"/>
      <c r="J706" s="2"/>
      <c r="K706" s="2"/>
      <c r="L706" s="2"/>
      <c r="M706" s="2"/>
      <c r="N706" s="2"/>
      <c r="O706" s="7"/>
      <c r="P706" s="8"/>
      <c r="Q706" s="9"/>
      <c r="R706" s="7"/>
      <c r="S706" s="8"/>
      <c r="T706" s="10"/>
      <c r="U706" s="2"/>
      <c r="V706" s="2"/>
    </row>
    <row r="707" spans="2:22" x14ac:dyDescent="0.2">
      <c r="B707" s="40">
        <v>44762</v>
      </c>
      <c r="C707" s="41">
        <v>1.53</v>
      </c>
      <c r="E707" s="2"/>
      <c r="F707" s="2"/>
      <c r="G707" s="2"/>
      <c r="H707" s="2"/>
      <c r="I707" s="2"/>
      <c r="J707" s="2"/>
      <c r="K707" s="2"/>
      <c r="L707" s="2"/>
      <c r="M707" s="2"/>
      <c r="N707" s="2"/>
      <c r="O707" s="7"/>
      <c r="P707" s="8"/>
      <c r="Q707" s="9"/>
      <c r="R707" s="7"/>
      <c r="S707" s="8"/>
      <c r="T707" s="10"/>
      <c r="U707" s="2"/>
      <c r="V707" s="2"/>
    </row>
    <row r="708" spans="2:22" x14ac:dyDescent="0.2">
      <c r="B708" s="40">
        <v>44763</v>
      </c>
      <c r="C708" s="41">
        <v>1.53</v>
      </c>
      <c r="E708" s="2"/>
      <c r="F708" s="2"/>
      <c r="G708" s="2"/>
      <c r="H708" s="2"/>
      <c r="I708" s="2"/>
      <c r="J708" s="2"/>
      <c r="K708" s="2"/>
      <c r="L708" s="2"/>
      <c r="M708" s="2"/>
      <c r="N708" s="2"/>
      <c r="O708" s="7"/>
      <c r="P708" s="8"/>
      <c r="Q708" s="9"/>
      <c r="R708" s="7"/>
      <c r="S708" s="8"/>
      <c r="T708" s="10"/>
      <c r="U708" s="2"/>
      <c r="V708" s="2"/>
    </row>
    <row r="709" spans="2:22" x14ac:dyDescent="0.2">
      <c r="B709" s="40">
        <v>44764</v>
      </c>
      <c r="C709" s="41">
        <v>1.52</v>
      </c>
      <c r="E709" s="2"/>
      <c r="F709" s="2"/>
      <c r="G709" s="2"/>
      <c r="H709" s="2"/>
      <c r="I709" s="2"/>
      <c r="J709" s="2"/>
      <c r="K709" s="2"/>
      <c r="L709" s="2"/>
      <c r="M709" s="2"/>
      <c r="N709" s="2"/>
      <c r="O709" s="7"/>
      <c r="P709" s="8"/>
      <c r="Q709" s="9"/>
      <c r="R709" s="7"/>
      <c r="S709" s="8"/>
      <c r="T709" s="10"/>
      <c r="U709" s="2"/>
      <c r="V709" s="2"/>
    </row>
    <row r="710" spans="2:22" x14ac:dyDescent="0.2">
      <c r="B710" s="40">
        <v>44767</v>
      </c>
      <c r="C710" s="41">
        <v>1.53</v>
      </c>
      <c r="E710" s="2"/>
      <c r="F710" s="2"/>
      <c r="G710" s="2"/>
      <c r="H710" s="2"/>
      <c r="I710" s="2"/>
      <c r="J710" s="2"/>
      <c r="K710" s="2"/>
      <c r="L710" s="2"/>
      <c r="M710" s="2"/>
      <c r="N710" s="2"/>
      <c r="O710" s="7"/>
      <c r="P710" s="8"/>
      <c r="Q710" s="9"/>
      <c r="R710" s="7"/>
      <c r="S710" s="8"/>
      <c r="T710" s="10"/>
      <c r="U710" s="2"/>
      <c r="V710" s="2"/>
    </row>
    <row r="711" spans="2:22" x14ac:dyDescent="0.2">
      <c r="B711" s="40">
        <v>44768</v>
      </c>
      <c r="C711" s="41">
        <v>1.53</v>
      </c>
      <c r="E711" s="2"/>
      <c r="F711" s="2"/>
      <c r="G711" s="2"/>
      <c r="H711" s="2"/>
      <c r="I711" s="2"/>
      <c r="J711" s="2"/>
      <c r="K711" s="2"/>
      <c r="L711" s="2"/>
      <c r="M711" s="2"/>
      <c r="N711" s="2"/>
      <c r="O711" s="7"/>
      <c r="P711" s="8"/>
      <c r="Q711" s="9"/>
      <c r="R711" s="7"/>
      <c r="S711" s="8"/>
      <c r="T711" s="10"/>
      <c r="U711" s="2"/>
      <c r="V711" s="2"/>
    </row>
    <row r="712" spans="2:22" x14ac:dyDescent="0.2">
      <c r="B712" s="40">
        <v>44769</v>
      </c>
      <c r="C712" s="41">
        <v>1.53</v>
      </c>
      <c r="E712" s="2"/>
      <c r="F712" s="2"/>
      <c r="G712" s="2"/>
      <c r="H712" s="2"/>
      <c r="I712" s="2"/>
      <c r="J712" s="2"/>
      <c r="K712" s="2"/>
      <c r="L712" s="2"/>
      <c r="M712" s="2"/>
      <c r="N712" s="2"/>
      <c r="O712" s="7"/>
      <c r="P712" s="8"/>
      <c r="Q712" s="9"/>
      <c r="R712" s="7"/>
      <c r="S712" s="8"/>
      <c r="T712" s="10"/>
      <c r="U712" s="2"/>
      <c r="V712" s="2"/>
    </row>
    <row r="713" spans="2:22" x14ac:dyDescent="0.2">
      <c r="B713" s="40">
        <v>44770</v>
      </c>
      <c r="C713" s="41">
        <v>2.2799999999999998</v>
      </c>
      <c r="E713" s="2"/>
      <c r="F713" s="2"/>
      <c r="G713" s="2"/>
      <c r="H713" s="2"/>
      <c r="I713" s="2"/>
      <c r="J713" s="2"/>
      <c r="K713" s="2"/>
      <c r="L713" s="2"/>
      <c r="M713" s="2"/>
      <c r="N713" s="2"/>
      <c r="O713" s="7"/>
      <c r="P713" s="8"/>
      <c r="Q713" s="9"/>
      <c r="R713" s="7"/>
      <c r="S713" s="8"/>
      <c r="T713" s="10"/>
      <c r="U713" s="2"/>
      <c r="V713" s="2"/>
    </row>
    <row r="714" spans="2:22" x14ac:dyDescent="0.2">
      <c r="B714" s="40">
        <v>44771</v>
      </c>
      <c r="C714" s="41">
        <v>2.27</v>
      </c>
      <c r="E714" s="2"/>
      <c r="F714" s="2"/>
      <c r="G714" s="2"/>
      <c r="H714" s="2"/>
      <c r="I714" s="2"/>
      <c r="J714" s="2"/>
      <c r="K714" s="2"/>
      <c r="L714" s="2"/>
      <c r="M714" s="2"/>
      <c r="N714" s="2"/>
      <c r="O714" s="7"/>
      <c r="P714" s="8"/>
      <c r="Q714" s="9"/>
      <c r="R714" s="7"/>
      <c r="S714" s="8"/>
      <c r="T714" s="10"/>
      <c r="U714" s="2"/>
      <c r="V714" s="2"/>
    </row>
    <row r="715" spans="2:22" x14ac:dyDescent="0.2">
      <c r="B715" s="40">
        <v>44774</v>
      </c>
      <c r="C715" s="41">
        <v>2.2799999999999998</v>
      </c>
      <c r="E715" s="2"/>
      <c r="F715" s="2"/>
      <c r="G715" s="2"/>
      <c r="H715" s="2"/>
      <c r="I715" s="2"/>
      <c r="J715" s="2"/>
      <c r="K715" s="2"/>
      <c r="L715" s="2"/>
      <c r="M715" s="2"/>
      <c r="N715" s="2"/>
      <c r="O715" s="7"/>
      <c r="P715" s="8"/>
      <c r="Q715" s="9"/>
      <c r="R715" s="7"/>
      <c r="S715" s="8"/>
      <c r="T715" s="10"/>
      <c r="U715" s="2"/>
      <c r="V715" s="2"/>
    </row>
    <row r="716" spans="2:22" x14ac:dyDescent="0.2">
      <c r="B716" s="40">
        <v>44775</v>
      </c>
      <c r="C716" s="41">
        <v>2.2999999999999998</v>
      </c>
      <c r="E716" s="2"/>
      <c r="F716" s="2"/>
      <c r="G716" s="2"/>
      <c r="H716" s="2"/>
      <c r="I716" s="2"/>
      <c r="J716" s="2"/>
      <c r="K716" s="2"/>
      <c r="L716" s="2"/>
      <c r="M716" s="2"/>
      <c r="N716" s="2"/>
      <c r="O716" s="7"/>
      <c r="P716" s="8"/>
      <c r="Q716" s="9"/>
      <c r="R716" s="7"/>
      <c r="S716" s="8"/>
      <c r="T716" s="10"/>
      <c r="U716" s="2"/>
      <c r="V716" s="2"/>
    </row>
    <row r="717" spans="2:22" x14ac:dyDescent="0.2">
      <c r="B717" s="40">
        <v>44776</v>
      </c>
      <c r="C717" s="41">
        <v>2.29</v>
      </c>
      <c r="E717" s="2"/>
      <c r="F717" s="2"/>
      <c r="G717" s="2"/>
      <c r="H717" s="2"/>
      <c r="I717" s="2"/>
      <c r="J717" s="2"/>
      <c r="K717" s="2"/>
      <c r="L717" s="2"/>
      <c r="M717" s="2"/>
      <c r="N717" s="2"/>
      <c r="O717" s="7"/>
      <c r="P717" s="8"/>
      <c r="Q717" s="9"/>
      <c r="R717" s="7"/>
      <c r="S717" s="8"/>
      <c r="T717" s="10"/>
      <c r="U717" s="2"/>
      <c r="V717" s="2"/>
    </row>
    <row r="718" spans="2:22" x14ac:dyDescent="0.2">
      <c r="B718" s="40">
        <v>44777</v>
      </c>
      <c r="C718" s="41">
        <v>2.29</v>
      </c>
      <c r="E718" s="2"/>
      <c r="F718" s="2"/>
      <c r="G718" s="2"/>
      <c r="H718" s="2"/>
      <c r="I718" s="2"/>
      <c r="J718" s="2"/>
      <c r="K718" s="2"/>
      <c r="L718" s="2"/>
      <c r="M718" s="2"/>
      <c r="N718" s="2"/>
      <c r="O718" s="7"/>
      <c r="P718" s="8"/>
      <c r="Q718" s="9"/>
      <c r="R718" s="7"/>
      <c r="S718" s="8"/>
      <c r="T718" s="10"/>
      <c r="U718" s="2"/>
      <c r="V718" s="2"/>
    </row>
    <row r="719" spans="2:22" x14ac:dyDescent="0.2">
      <c r="B719" s="40">
        <v>44778</v>
      </c>
      <c r="C719" s="41">
        <v>2.2799999999999998</v>
      </c>
      <c r="E719" s="2"/>
      <c r="F719" s="2"/>
      <c r="G719" s="2"/>
      <c r="H719" s="2"/>
      <c r="I719" s="2"/>
      <c r="J719" s="2"/>
      <c r="K719" s="2"/>
      <c r="L719" s="2"/>
      <c r="M719" s="2"/>
      <c r="N719" s="2"/>
      <c r="O719" s="7"/>
      <c r="P719" s="8"/>
      <c r="Q719" s="9"/>
      <c r="R719" s="7"/>
      <c r="S719" s="8"/>
      <c r="T719" s="10"/>
      <c r="U719" s="2"/>
      <c r="V719" s="2"/>
    </row>
    <row r="720" spans="2:22" x14ac:dyDescent="0.2">
      <c r="B720" s="40">
        <v>44781</v>
      </c>
      <c r="C720" s="41">
        <v>2.2799999999999998</v>
      </c>
      <c r="E720" s="2"/>
      <c r="F720" s="2"/>
      <c r="G720" s="2"/>
      <c r="H720" s="2"/>
      <c r="I720" s="2"/>
      <c r="J720" s="2"/>
      <c r="K720" s="2"/>
      <c r="L720" s="2"/>
      <c r="M720" s="2"/>
      <c r="N720" s="2"/>
      <c r="O720" s="7"/>
      <c r="P720" s="8"/>
      <c r="Q720" s="9"/>
      <c r="R720" s="7"/>
      <c r="S720" s="8"/>
      <c r="T720" s="10"/>
      <c r="U720" s="2"/>
      <c r="V720" s="2"/>
    </row>
    <row r="721" spans="2:22" x14ac:dyDescent="0.2">
      <c r="B721" s="40">
        <v>44782</v>
      </c>
      <c r="C721" s="41">
        <v>2.29</v>
      </c>
      <c r="E721" s="2"/>
      <c r="F721" s="2"/>
      <c r="G721" s="2"/>
      <c r="H721" s="2"/>
      <c r="I721" s="2"/>
      <c r="J721" s="2"/>
      <c r="K721" s="2"/>
      <c r="L721" s="2"/>
      <c r="M721" s="2"/>
      <c r="N721" s="2"/>
      <c r="O721" s="7"/>
      <c r="P721" s="8"/>
      <c r="Q721" s="9"/>
      <c r="R721" s="7"/>
      <c r="S721" s="8"/>
      <c r="T721" s="10"/>
      <c r="U721" s="2"/>
      <c r="V721" s="2"/>
    </row>
    <row r="722" spans="2:22" x14ac:dyDescent="0.2">
      <c r="B722" s="40">
        <v>44783</v>
      </c>
      <c r="C722" s="41">
        <v>2.2799999999999998</v>
      </c>
      <c r="E722" s="2"/>
      <c r="F722" s="2"/>
      <c r="G722" s="2"/>
      <c r="H722" s="2"/>
      <c r="I722" s="2"/>
      <c r="J722" s="2"/>
      <c r="K722" s="2"/>
      <c r="L722" s="2"/>
      <c r="M722" s="2"/>
      <c r="N722" s="2"/>
      <c r="O722" s="7"/>
      <c r="P722" s="8"/>
      <c r="Q722" s="9"/>
      <c r="R722" s="7"/>
      <c r="S722" s="8"/>
      <c r="T722" s="10"/>
      <c r="U722" s="2"/>
      <c r="V722" s="2"/>
    </row>
    <row r="723" spans="2:22" x14ac:dyDescent="0.2">
      <c r="B723" s="40">
        <v>44784</v>
      </c>
      <c r="C723" s="41">
        <v>2.2799999999999998</v>
      </c>
      <c r="E723" s="2"/>
      <c r="F723" s="2"/>
      <c r="G723" s="2"/>
      <c r="H723" s="2"/>
      <c r="I723" s="2"/>
      <c r="J723" s="2"/>
      <c r="K723" s="2"/>
      <c r="L723" s="2"/>
      <c r="M723" s="2"/>
      <c r="N723" s="2"/>
      <c r="O723" s="7"/>
      <c r="P723" s="8"/>
      <c r="Q723" s="9"/>
      <c r="R723" s="7"/>
      <c r="S723" s="8"/>
      <c r="T723" s="10"/>
      <c r="U723" s="2"/>
      <c r="V723" s="2"/>
    </row>
    <row r="724" spans="2:22" x14ac:dyDescent="0.2">
      <c r="B724" s="40">
        <v>44785</v>
      </c>
      <c r="C724" s="41">
        <v>2.2799999999999998</v>
      </c>
      <c r="E724" s="2"/>
      <c r="F724" s="2"/>
      <c r="G724" s="2"/>
      <c r="H724" s="2"/>
      <c r="I724" s="2"/>
      <c r="J724" s="2"/>
      <c r="K724" s="2"/>
      <c r="L724" s="2"/>
      <c r="M724" s="2"/>
      <c r="N724" s="2"/>
      <c r="O724" s="7"/>
      <c r="P724" s="8"/>
      <c r="Q724" s="9"/>
      <c r="R724" s="7"/>
      <c r="S724" s="8"/>
      <c r="T724" s="10"/>
      <c r="U724" s="2"/>
      <c r="V724" s="2"/>
    </row>
    <row r="725" spans="2:22" x14ac:dyDescent="0.2">
      <c r="B725" s="40">
        <v>44788</v>
      </c>
      <c r="C725" s="41">
        <v>2.29</v>
      </c>
      <c r="E725" s="2"/>
      <c r="F725" s="2"/>
      <c r="G725" s="2"/>
      <c r="H725" s="2"/>
      <c r="I725" s="2"/>
      <c r="J725" s="2"/>
      <c r="K725" s="2"/>
      <c r="L725" s="2"/>
      <c r="M725" s="2"/>
      <c r="N725" s="2"/>
      <c r="O725" s="7"/>
      <c r="P725" s="8"/>
      <c r="Q725" s="9"/>
      <c r="R725" s="7"/>
      <c r="S725" s="8"/>
      <c r="T725" s="10"/>
      <c r="U725" s="2"/>
      <c r="V725" s="2"/>
    </row>
    <row r="726" spans="2:22" x14ac:dyDescent="0.2">
      <c r="B726" s="40">
        <v>44789</v>
      </c>
      <c r="C726" s="41">
        <v>2.29</v>
      </c>
      <c r="E726" s="2"/>
      <c r="F726" s="2"/>
      <c r="G726" s="2"/>
      <c r="H726" s="2"/>
      <c r="I726" s="2"/>
      <c r="J726" s="2"/>
      <c r="K726" s="2"/>
      <c r="L726" s="2"/>
      <c r="M726" s="2"/>
      <c r="N726" s="2"/>
      <c r="O726" s="7"/>
      <c r="P726" s="8"/>
      <c r="Q726" s="9"/>
      <c r="R726" s="7"/>
      <c r="S726" s="8"/>
      <c r="T726" s="10"/>
      <c r="U726" s="2"/>
      <c r="V726" s="2"/>
    </row>
    <row r="727" spans="2:22" x14ac:dyDescent="0.2">
      <c r="B727" s="40">
        <v>44790</v>
      </c>
      <c r="C727" s="41">
        <v>2.29</v>
      </c>
      <c r="E727" s="2"/>
      <c r="F727" s="2"/>
      <c r="G727" s="2"/>
      <c r="H727" s="2"/>
      <c r="I727" s="2"/>
      <c r="J727" s="2"/>
      <c r="K727" s="2"/>
      <c r="L727" s="2"/>
      <c r="M727" s="2"/>
      <c r="N727" s="2"/>
      <c r="O727" s="7"/>
      <c r="P727" s="8"/>
      <c r="Q727" s="9"/>
      <c r="R727" s="7"/>
      <c r="S727" s="8"/>
      <c r="T727" s="10"/>
      <c r="U727" s="2"/>
      <c r="V727" s="2"/>
    </row>
    <row r="728" spans="2:22" x14ac:dyDescent="0.2">
      <c r="B728" s="40">
        <v>44791</v>
      </c>
      <c r="C728" s="41">
        <v>2.2799999999999998</v>
      </c>
      <c r="E728" s="2"/>
      <c r="F728" s="2"/>
      <c r="G728" s="2"/>
      <c r="H728" s="2"/>
      <c r="I728" s="2"/>
      <c r="J728" s="2"/>
      <c r="K728" s="2"/>
      <c r="L728" s="2"/>
      <c r="M728" s="2"/>
      <c r="N728" s="2"/>
      <c r="O728" s="7"/>
      <c r="P728" s="8"/>
      <c r="Q728" s="9"/>
      <c r="R728" s="7"/>
      <c r="S728" s="8"/>
      <c r="T728" s="10"/>
      <c r="U728" s="2"/>
      <c r="V728" s="2"/>
    </row>
    <row r="729" spans="2:22" x14ac:dyDescent="0.2">
      <c r="B729" s="40">
        <v>44792</v>
      </c>
      <c r="C729" s="41">
        <v>2.2799999999999998</v>
      </c>
      <c r="E729" s="2"/>
      <c r="F729" s="2"/>
      <c r="G729" s="2"/>
      <c r="H729" s="2"/>
      <c r="I729" s="2"/>
      <c r="J729" s="2"/>
      <c r="K729" s="2"/>
      <c r="L729" s="2"/>
      <c r="M729" s="2"/>
      <c r="N729" s="2"/>
      <c r="O729" s="7"/>
      <c r="P729" s="8"/>
      <c r="Q729" s="9"/>
      <c r="R729" s="7"/>
      <c r="S729" s="8"/>
      <c r="T729" s="10"/>
      <c r="U729" s="2"/>
      <c r="V729" s="2"/>
    </row>
    <row r="730" spans="2:22" x14ac:dyDescent="0.2">
      <c r="B730" s="40">
        <v>44795</v>
      </c>
      <c r="C730" s="41">
        <v>2.2799999999999998</v>
      </c>
      <c r="E730" s="2"/>
      <c r="F730" s="2"/>
      <c r="G730" s="2"/>
      <c r="H730" s="2"/>
      <c r="I730" s="2"/>
      <c r="J730" s="2"/>
      <c r="K730" s="2"/>
      <c r="L730" s="2"/>
      <c r="M730" s="2"/>
      <c r="N730" s="2"/>
      <c r="O730" s="7"/>
      <c r="P730" s="8"/>
      <c r="Q730" s="9"/>
      <c r="R730" s="7"/>
      <c r="S730" s="8"/>
      <c r="T730" s="10"/>
      <c r="U730" s="2"/>
      <c r="V730" s="2"/>
    </row>
    <row r="731" spans="2:22" x14ac:dyDescent="0.2">
      <c r="B731" s="40">
        <v>44796</v>
      </c>
      <c r="C731" s="41">
        <v>2.27</v>
      </c>
      <c r="E731" s="2"/>
      <c r="F731" s="2"/>
      <c r="G731" s="2"/>
      <c r="H731" s="2"/>
      <c r="I731" s="2"/>
      <c r="J731" s="2"/>
      <c r="K731" s="2"/>
      <c r="L731" s="2"/>
      <c r="M731" s="2"/>
      <c r="N731" s="2"/>
      <c r="O731" s="7"/>
      <c r="P731" s="8"/>
      <c r="Q731" s="9"/>
      <c r="R731" s="7"/>
      <c r="S731" s="8"/>
      <c r="T731" s="10"/>
      <c r="U731" s="2"/>
      <c r="V731" s="2"/>
    </row>
    <row r="732" spans="2:22" x14ac:dyDescent="0.2">
      <c r="B732" s="40">
        <v>44797</v>
      </c>
      <c r="C732" s="41">
        <v>2.27</v>
      </c>
      <c r="E732" s="2"/>
      <c r="F732" s="2"/>
      <c r="G732" s="2"/>
      <c r="H732" s="2"/>
      <c r="I732" s="2"/>
      <c r="J732" s="2"/>
      <c r="K732" s="2"/>
      <c r="L732" s="2"/>
      <c r="M732" s="2"/>
      <c r="N732" s="2"/>
      <c r="O732" s="7"/>
      <c r="P732" s="8"/>
      <c r="Q732" s="9"/>
      <c r="R732" s="7"/>
      <c r="S732" s="8"/>
      <c r="T732" s="10"/>
      <c r="U732" s="2"/>
      <c r="V732" s="2"/>
    </row>
    <row r="733" spans="2:22" x14ac:dyDescent="0.2">
      <c r="B733" s="40">
        <v>44798</v>
      </c>
      <c r="C733" s="41">
        <v>2.2799999999999998</v>
      </c>
      <c r="E733" s="2"/>
      <c r="F733" s="2"/>
      <c r="G733" s="2"/>
      <c r="H733" s="2"/>
      <c r="I733" s="2"/>
      <c r="J733" s="2"/>
      <c r="K733" s="2"/>
      <c r="L733" s="2"/>
      <c r="M733" s="2"/>
      <c r="N733" s="2"/>
      <c r="O733" s="7"/>
      <c r="P733" s="8"/>
      <c r="Q733" s="9"/>
      <c r="R733" s="7"/>
      <c r="S733" s="8"/>
      <c r="T733" s="10"/>
      <c r="U733" s="2"/>
      <c r="V733" s="2"/>
    </row>
    <row r="734" spans="2:22" x14ac:dyDescent="0.2">
      <c r="B734" s="40">
        <v>44799</v>
      </c>
      <c r="C734" s="41">
        <v>2.2799999999999998</v>
      </c>
      <c r="E734" s="2"/>
      <c r="F734" s="2"/>
      <c r="G734" s="2"/>
      <c r="H734" s="2"/>
      <c r="I734" s="2"/>
      <c r="J734" s="2"/>
      <c r="K734" s="2"/>
      <c r="L734" s="2"/>
      <c r="M734" s="2"/>
      <c r="N734" s="2"/>
      <c r="O734" s="7"/>
      <c r="P734" s="8"/>
      <c r="Q734" s="9"/>
      <c r="R734" s="7"/>
      <c r="S734" s="8"/>
      <c r="T734" s="10"/>
      <c r="U734" s="2"/>
      <c r="V734" s="2"/>
    </row>
    <row r="735" spans="2:22" x14ac:dyDescent="0.2">
      <c r="B735" s="40">
        <v>44802</v>
      </c>
      <c r="C735" s="41">
        <v>2.2799999999999998</v>
      </c>
      <c r="E735" s="2"/>
      <c r="F735" s="2"/>
      <c r="G735" s="2"/>
      <c r="H735" s="2"/>
      <c r="I735" s="2"/>
      <c r="J735" s="2"/>
      <c r="K735" s="2"/>
      <c r="L735" s="2"/>
      <c r="M735" s="2"/>
      <c r="N735" s="2"/>
      <c r="O735" s="7"/>
      <c r="P735" s="8"/>
      <c r="Q735" s="9"/>
      <c r="R735" s="7"/>
      <c r="S735" s="8"/>
      <c r="T735" s="10"/>
      <c r="U735" s="2"/>
      <c r="V735" s="2"/>
    </row>
    <row r="736" spans="2:22" x14ac:dyDescent="0.2">
      <c r="B736" s="40">
        <v>44803</v>
      </c>
      <c r="C736" s="41">
        <v>2.29</v>
      </c>
      <c r="E736" s="2"/>
      <c r="F736" s="2"/>
      <c r="G736" s="2"/>
      <c r="H736" s="2"/>
      <c r="I736" s="2"/>
      <c r="J736" s="2"/>
      <c r="K736" s="2"/>
      <c r="L736" s="2"/>
      <c r="M736" s="2"/>
      <c r="N736" s="2"/>
      <c r="O736" s="7"/>
      <c r="P736" s="8"/>
      <c r="Q736" s="9"/>
      <c r="R736" s="7"/>
      <c r="S736" s="8"/>
      <c r="T736" s="10"/>
      <c r="U736" s="2"/>
      <c r="V736" s="2"/>
    </row>
    <row r="737" spans="2:22" x14ac:dyDescent="0.2">
      <c r="B737" s="40">
        <v>44804</v>
      </c>
      <c r="C737" s="41">
        <v>2.29</v>
      </c>
      <c r="E737" s="2"/>
      <c r="F737" s="2"/>
      <c r="G737" s="2"/>
      <c r="H737" s="2"/>
      <c r="I737" s="2"/>
      <c r="J737" s="2"/>
      <c r="K737" s="2"/>
      <c r="L737" s="2"/>
      <c r="M737" s="2"/>
      <c r="N737" s="2"/>
      <c r="O737" s="7"/>
      <c r="P737" s="8"/>
      <c r="Q737" s="9"/>
      <c r="R737" s="7"/>
      <c r="S737" s="8"/>
      <c r="T737" s="10"/>
      <c r="U737" s="2"/>
      <c r="V737" s="2"/>
    </row>
    <row r="738" spans="2:22" x14ac:dyDescent="0.2">
      <c r="B738" s="40">
        <v>44805</v>
      </c>
      <c r="C738" s="41">
        <v>2.29</v>
      </c>
      <c r="E738" s="2"/>
      <c r="F738" s="2"/>
      <c r="G738" s="2"/>
      <c r="H738" s="2"/>
      <c r="I738" s="2"/>
      <c r="J738" s="2"/>
      <c r="K738" s="2"/>
      <c r="L738" s="2"/>
      <c r="M738" s="2"/>
      <c r="N738" s="2"/>
      <c r="O738" s="7"/>
      <c r="P738" s="8"/>
      <c r="Q738" s="9"/>
      <c r="R738" s="7"/>
      <c r="S738" s="8"/>
      <c r="T738" s="10"/>
      <c r="U738" s="2"/>
      <c r="V738" s="2"/>
    </row>
    <row r="739" spans="2:22" x14ac:dyDescent="0.2">
      <c r="B739" s="40">
        <v>44806</v>
      </c>
      <c r="C739" s="41">
        <v>2.29</v>
      </c>
      <c r="E739" s="2"/>
      <c r="F739" s="2"/>
      <c r="G739" s="2"/>
      <c r="H739" s="2"/>
      <c r="I739" s="2"/>
      <c r="J739" s="2"/>
      <c r="K739" s="2"/>
      <c r="L739" s="2"/>
      <c r="M739" s="2"/>
      <c r="N739" s="2"/>
      <c r="O739" s="7"/>
      <c r="P739" s="8"/>
      <c r="Q739" s="9"/>
      <c r="R739" s="7"/>
      <c r="S739" s="8"/>
      <c r="T739" s="10"/>
      <c r="U739" s="2"/>
      <c r="V739" s="2"/>
    </row>
    <row r="740" spans="2:22" x14ac:dyDescent="0.2">
      <c r="B740" s="40">
        <v>44810</v>
      </c>
      <c r="C740" s="41">
        <v>2.29</v>
      </c>
      <c r="E740" s="2"/>
      <c r="F740" s="2"/>
      <c r="G740" s="2"/>
      <c r="H740" s="2"/>
      <c r="I740" s="2"/>
      <c r="J740" s="2"/>
      <c r="K740" s="2"/>
      <c r="L740" s="2"/>
      <c r="M740" s="2"/>
      <c r="N740" s="2"/>
      <c r="O740" s="7"/>
      <c r="P740" s="8"/>
      <c r="Q740" s="9"/>
      <c r="R740" s="7"/>
      <c r="S740" s="8"/>
      <c r="T740" s="10"/>
      <c r="U740" s="2"/>
      <c r="V740" s="2"/>
    </row>
    <row r="741" spans="2:22" x14ac:dyDescent="0.2">
      <c r="B741" s="40">
        <v>44811</v>
      </c>
      <c r="C741" s="41">
        <v>2.2799999999999998</v>
      </c>
      <c r="E741" s="2"/>
      <c r="F741" s="2"/>
      <c r="G741" s="2"/>
      <c r="H741" s="2"/>
      <c r="I741" s="2"/>
      <c r="J741" s="2"/>
      <c r="K741" s="2"/>
      <c r="L741" s="2"/>
      <c r="M741" s="2"/>
      <c r="N741" s="2"/>
      <c r="O741" s="7"/>
      <c r="P741" s="8"/>
      <c r="Q741" s="9"/>
      <c r="R741" s="7"/>
      <c r="S741" s="8"/>
      <c r="T741" s="10"/>
      <c r="U741" s="2"/>
      <c r="V741" s="2"/>
    </row>
    <row r="742" spans="2:22" x14ac:dyDescent="0.2">
      <c r="B742" s="40">
        <v>44812</v>
      </c>
      <c r="C742" s="41">
        <v>2.2799999999999998</v>
      </c>
      <c r="E742" s="2"/>
      <c r="F742" s="2"/>
      <c r="G742" s="2"/>
      <c r="H742" s="2"/>
      <c r="I742" s="2"/>
      <c r="J742" s="2"/>
      <c r="K742" s="2"/>
      <c r="L742" s="2"/>
      <c r="M742" s="2"/>
      <c r="N742" s="2"/>
      <c r="O742" s="7"/>
      <c r="P742" s="8"/>
      <c r="Q742" s="9"/>
      <c r="R742" s="7"/>
      <c r="S742" s="8"/>
      <c r="T742" s="10"/>
      <c r="U742" s="2"/>
      <c r="V742" s="2"/>
    </row>
    <row r="743" spans="2:22" x14ac:dyDescent="0.2">
      <c r="B743" s="40">
        <v>44813</v>
      </c>
      <c r="C743" s="41">
        <v>2.2799999999999998</v>
      </c>
      <c r="E743" s="2"/>
      <c r="F743" s="2"/>
      <c r="G743" s="2"/>
      <c r="H743" s="2"/>
      <c r="I743" s="2"/>
      <c r="J743" s="2"/>
      <c r="K743" s="2"/>
      <c r="L743" s="2"/>
      <c r="M743" s="2"/>
      <c r="N743" s="2"/>
      <c r="O743" s="7"/>
      <c r="P743" s="8"/>
      <c r="Q743" s="9"/>
      <c r="R743" s="7"/>
      <c r="S743" s="8"/>
      <c r="T743" s="10"/>
      <c r="U743" s="2"/>
      <c r="V743" s="2"/>
    </row>
    <row r="744" spans="2:22" x14ac:dyDescent="0.2">
      <c r="B744" s="40">
        <v>44816</v>
      </c>
      <c r="C744" s="41">
        <v>2.2799999999999998</v>
      </c>
      <c r="E744" s="2"/>
      <c r="F744" s="2"/>
      <c r="G744" s="2"/>
      <c r="H744" s="2"/>
      <c r="I744" s="2"/>
      <c r="J744" s="2"/>
      <c r="K744" s="2"/>
      <c r="L744" s="2"/>
      <c r="M744" s="2"/>
      <c r="N744" s="2"/>
      <c r="O744" s="7"/>
      <c r="P744" s="8"/>
      <c r="Q744" s="9"/>
      <c r="R744" s="7"/>
      <c r="S744" s="8"/>
      <c r="T744" s="10"/>
      <c r="U744" s="2"/>
      <c r="V744" s="2"/>
    </row>
    <row r="745" spans="2:22" x14ac:dyDescent="0.2">
      <c r="B745" s="40">
        <v>44817</v>
      </c>
      <c r="C745" s="41">
        <v>2.2799999999999998</v>
      </c>
      <c r="E745" s="2"/>
      <c r="F745" s="2"/>
      <c r="G745" s="2"/>
      <c r="H745" s="2"/>
      <c r="I745" s="2"/>
      <c r="J745" s="2"/>
      <c r="K745" s="2"/>
      <c r="L745" s="2"/>
      <c r="M745" s="2"/>
      <c r="N745" s="2"/>
      <c r="O745" s="7"/>
      <c r="P745" s="8"/>
      <c r="Q745" s="9"/>
      <c r="R745" s="7"/>
      <c r="S745" s="8"/>
      <c r="T745" s="10"/>
      <c r="U745" s="2"/>
      <c r="V745" s="2"/>
    </row>
    <row r="746" spans="2:22" x14ac:dyDescent="0.2">
      <c r="B746" s="40">
        <v>44818</v>
      </c>
      <c r="C746" s="41">
        <v>2.27</v>
      </c>
      <c r="E746" s="2"/>
      <c r="F746" s="2"/>
      <c r="G746" s="2"/>
      <c r="H746" s="2"/>
      <c r="I746" s="2"/>
      <c r="J746" s="2"/>
      <c r="K746" s="2"/>
      <c r="L746" s="2"/>
      <c r="M746" s="2"/>
      <c r="N746" s="2"/>
      <c r="O746" s="7"/>
      <c r="P746" s="8"/>
      <c r="Q746" s="9"/>
      <c r="R746" s="7"/>
      <c r="S746" s="8"/>
      <c r="T746" s="10"/>
      <c r="U746" s="2"/>
      <c r="V746" s="2"/>
    </row>
    <row r="747" spans="2:22" x14ac:dyDescent="0.2">
      <c r="B747" s="40">
        <v>44819</v>
      </c>
      <c r="C747" s="41">
        <v>2.2799999999999998</v>
      </c>
      <c r="E747" s="2"/>
      <c r="F747" s="2"/>
      <c r="G747" s="2"/>
      <c r="H747" s="2"/>
      <c r="I747" s="2"/>
      <c r="J747" s="2"/>
      <c r="K747" s="2"/>
      <c r="L747" s="2"/>
      <c r="M747" s="2"/>
      <c r="N747" s="2"/>
      <c r="O747" s="7"/>
      <c r="P747" s="8"/>
      <c r="Q747" s="9"/>
      <c r="R747" s="7"/>
      <c r="S747" s="8"/>
      <c r="T747" s="10"/>
      <c r="U747" s="2"/>
      <c r="V747" s="2"/>
    </row>
    <row r="748" spans="2:22" x14ac:dyDescent="0.2">
      <c r="B748" s="40">
        <v>44820</v>
      </c>
      <c r="C748" s="41">
        <v>2.27</v>
      </c>
      <c r="E748" s="2"/>
      <c r="F748" s="2"/>
      <c r="G748" s="2"/>
      <c r="H748" s="2"/>
      <c r="I748" s="2"/>
      <c r="J748" s="2"/>
      <c r="K748" s="2"/>
      <c r="L748" s="2"/>
      <c r="M748" s="2"/>
      <c r="N748" s="2"/>
      <c r="O748" s="7"/>
      <c r="P748" s="8"/>
      <c r="Q748" s="9"/>
      <c r="R748" s="7"/>
      <c r="S748" s="8"/>
      <c r="T748" s="10"/>
      <c r="U748" s="2"/>
      <c r="V748" s="2"/>
    </row>
    <row r="749" spans="2:22" x14ac:dyDescent="0.2">
      <c r="B749" s="40">
        <v>44823</v>
      </c>
      <c r="C749" s="41">
        <v>2.27</v>
      </c>
      <c r="E749" s="2"/>
      <c r="F749" s="2"/>
      <c r="G749" s="2"/>
      <c r="H749" s="2"/>
      <c r="I749" s="2"/>
      <c r="J749" s="2"/>
      <c r="K749" s="2"/>
      <c r="L749" s="2"/>
      <c r="M749" s="2"/>
      <c r="N749" s="2"/>
      <c r="O749" s="7"/>
      <c r="P749" s="8"/>
      <c r="Q749" s="9"/>
      <c r="R749" s="7"/>
      <c r="S749" s="8"/>
      <c r="T749" s="10"/>
      <c r="U749" s="2"/>
      <c r="V749" s="2"/>
    </row>
    <row r="750" spans="2:22" x14ac:dyDescent="0.2">
      <c r="B750" s="40">
        <v>44824</v>
      </c>
      <c r="C750" s="41">
        <v>2.2599999999999998</v>
      </c>
      <c r="E750" s="2"/>
      <c r="F750" s="2"/>
      <c r="G750" s="2"/>
      <c r="H750" s="2"/>
      <c r="I750" s="2"/>
      <c r="J750" s="2"/>
      <c r="K750" s="2"/>
      <c r="L750" s="2"/>
      <c r="M750" s="2"/>
      <c r="N750" s="2"/>
      <c r="O750" s="7"/>
      <c r="P750" s="8"/>
      <c r="Q750" s="9"/>
      <c r="R750" s="7"/>
      <c r="S750" s="8"/>
      <c r="T750" s="10"/>
      <c r="U750" s="2"/>
      <c r="V750" s="2"/>
    </row>
    <row r="751" spans="2:22" x14ac:dyDescent="0.2">
      <c r="B751" s="40">
        <v>44825</v>
      </c>
      <c r="C751" s="41">
        <v>2.25</v>
      </c>
      <c r="E751" s="2"/>
      <c r="F751" s="2"/>
      <c r="G751" s="2"/>
      <c r="H751" s="2"/>
      <c r="I751" s="2"/>
      <c r="J751" s="2"/>
      <c r="K751" s="2"/>
      <c r="L751" s="2"/>
      <c r="M751" s="2"/>
      <c r="N751" s="2"/>
      <c r="O751" s="7"/>
      <c r="P751" s="8"/>
      <c r="Q751" s="9"/>
      <c r="R751" s="7"/>
      <c r="S751" s="8"/>
      <c r="T751" s="10"/>
      <c r="U751" s="2"/>
      <c r="V751" s="2"/>
    </row>
    <row r="752" spans="2:22" x14ac:dyDescent="0.2">
      <c r="B752" s="40">
        <v>44826</v>
      </c>
      <c r="C752" s="41">
        <v>2.99</v>
      </c>
      <c r="E752" s="2"/>
      <c r="F752" s="2"/>
      <c r="G752" s="2"/>
      <c r="H752" s="2"/>
      <c r="I752" s="2"/>
      <c r="J752" s="2"/>
      <c r="K752" s="2"/>
      <c r="L752" s="2"/>
      <c r="M752" s="2"/>
      <c r="N752" s="2"/>
      <c r="O752" s="7"/>
      <c r="P752" s="8"/>
      <c r="Q752" s="9"/>
      <c r="R752" s="7"/>
      <c r="S752" s="8"/>
      <c r="T752" s="10"/>
      <c r="U752" s="2"/>
      <c r="V752" s="2"/>
    </row>
    <row r="753" spans="2:22" x14ac:dyDescent="0.2">
      <c r="B753" s="40">
        <v>44827</v>
      </c>
      <c r="C753" s="41">
        <v>2.99</v>
      </c>
      <c r="E753" s="2"/>
      <c r="F753" s="2"/>
      <c r="G753" s="2"/>
      <c r="H753" s="2"/>
      <c r="I753" s="2"/>
      <c r="J753" s="2"/>
      <c r="K753" s="2"/>
      <c r="L753" s="2"/>
      <c r="M753" s="2"/>
      <c r="N753" s="2"/>
      <c r="O753" s="7"/>
      <c r="P753" s="8"/>
      <c r="Q753" s="9"/>
      <c r="R753" s="7"/>
      <c r="S753" s="8"/>
      <c r="T753" s="10"/>
      <c r="U753" s="2"/>
      <c r="V753" s="2"/>
    </row>
    <row r="754" spans="2:22" x14ac:dyDescent="0.2">
      <c r="B754" s="40">
        <v>44830</v>
      </c>
      <c r="C754" s="41">
        <v>2.99</v>
      </c>
      <c r="E754" s="2"/>
      <c r="F754" s="2"/>
      <c r="G754" s="2"/>
      <c r="H754" s="2"/>
      <c r="I754" s="2"/>
      <c r="J754" s="2"/>
      <c r="K754" s="2"/>
      <c r="L754" s="2"/>
      <c r="M754" s="2"/>
      <c r="N754" s="2"/>
      <c r="O754" s="7"/>
      <c r="P754" s="8"/>
      <c r="Q754" s="9"/>
      <c r="R754" s="7"/>
      <c r="S754" s="8"/>
      <c r="T754" s="10"/>
      <c r="U754" s="2"/>
      <c r="V754" s="2"/>
    </row>
    <row r="755" spans="2:22" x14ac:dyDescent="0.2">
      <c r="B755" s="40">
        <v>44831</v>
      </c>
      <c r="C755" s="41">
        <v>2.98</v>
      </c>
      <c r="E755" s="2"/>
      <c r="F755" s="2"/>
      <c r="G755" s="2"/>
      <c r="H755" s="2"/>
      <c r="I755" s="2"/>
      <c r="J755" s="2"/>
      <c r="K755" s="2"/>
      <c r="L755" s="2"/>
      <c r="M755" s="2"/>
      <c r="N755" s="2"/>
      <c r="O755" s="7"/>
      <c r="P755" s="8"/>
      <c r="Q755" s="9"/>
      <c r="R755" s="7"/>
      <c r="S755" s="8"/>
      <c r="T755" s="10"/>
      <c r="U755" s="2"/>
      <c r="V755" s="2"/>
    </row>
    <row r="756" spans="2:22" x14ac:dyDescent="0.2">
      <c r="B756" s="40">
        <v>44832</v>
      </c>
      <c r="C756" s="41">
        <v>2.98</v>
      </c>
      <c r="E756" s="2"/>
      <c r="F756" s="2"/>
      <c r="G756" s="2"/>
      <c r="H756" s="2"/>
      <c r="I756" s="2"/>
      <c r="J756" s="2"/>
      <c r="K756" s="2"/>
      <c r="L756" s="2"/>
      <c r="M756" s="2"/>
      <c r="N756" s="2"/>
      <c r="O756" s="7"/>
      <c r="P756" s="8"/>
      <c r="Q756" s="9"/>
      <c r="R756" s="7"/>
      <c r="S756" s="8"/>
      <c r="T756" s="10"/>
      <c r="U756" s="2"/>
      <c r="V756" s="2"/>
    </row>
    <row r="757" spans="2:22" x14ac:dyDescent="0.2">
      <c r="B757" s="40">
        <v>44833</v>
      </c>
      <c r="C757" s="41">
        <v>2.96</v>
      </c>
      <c r="E757" s="2"/>
      <c r="F757" s="2"/>
      <c r="G757" s="2"/>
      <c r="H757" s="2"/>
      <c r="I757" s="2"/>
      <c r="J757" s="2"/>
      <c r="K757" s="2"/>
      <c r="L757" s="2"/>
      <c r="M757" s="2"/>
      <c r="N757" s="2"/>
      <c r="O757" s="7"/>
      <c r="P757" s="8"/>
      <c r="Q757" s="9"/>
      <c r="R757" s="7"/>
      <c r="S757" s="8"/>
      <c r="T757" s="10"/>
      <c r="U757" s="2"/>
      <c r="V757" s="2"/>
    </row>
    <row r="758" spans="2:22" x14ac:dyDescent="0.2">
      <c r="B758" s="40">
        <v>44834</v>
      </c>
      <c r="C758" s="41">
        <v>2.98</v>
      </c>
      <c r="E758" s="2"/>
      <c r="F758" s="2"/>
      <c r="G758" s="2"/>
      <c r="H758" s="2"/>
      <c r="I758" s="2"/>
      <c r="J758" s="2"/>
      <c r="K758" s="2"/>
      <c r="L758" s="2"/>
      <c r="M758" s="2"/>
      <c r="N758" s="2"/>
      <c r="O758" s="7"/>
      <c r="P758" s="8"/>
      <c r="Q758" s="9"/>
      <c r="R758" s="7"/>
      <c r="S758" s="8"/>
      <c r="T758" s="10"/>
      <c r="U758" s="2"/>
      <c r="V758" s="2"/>
    </row>
    <row r="759" spans="2:22" x14ac:dyDescent="0.2">
      <c r="B759" s="40">
        <v>44837</v>
      </c>
      <c r="C759" s="41">
        <v>3</v>
      </c>
      <c r="E759" s="2"/>
      <c r="F759" s="2"/>
      <c r="G759" s="2"/>
      <c r="H759" s="2"/>
      <c r="I759" s="2"/>
      <c r="J759" s="2"/>
      <c r="K759" s="2"/>
      <c r="L759" s="2"/>
      <c r="M759" s="2"/>
      <c r="N759" s="2"/>
      <c r="O759" s="7"/>
      <c r="P759" s="8"/>
      <c r="Q759" s="9"/>
      <c r="R759" s="7"/>
      <c r="S759" s="8"/>
      <c r="T759" s="10"/>
      <c r="U759" s="2"/>
      <c r="V759" s="2"/>
    </row>
    <row r="760" spans="2:22" x14ac:dyDescent="0.2">
      <c r="B760" s="40">
        <v>44838</v>
      </c>
      <c r="C760" s="41">
        <v>3.04</v>
      </c>
      <c r="E760" s="2"/>
      <c r="F760" s="2"/>
      <c r="G760" s="2"/>
      <c r="H760" s="2"/>
      <c r="I760" s="2"/>
      <c r="J760" s="2"/>
      <c r="K760" s="2"/>
      <c r="L760" s="2"/>
      <c r="M760" s="2"/>
      <c r="N760" s="2"/>
      <c r="O760" s="7"/>
      <c r="P760" s="8"/>
      <c r="Q760" s="9"/>
      <c r="R760" s="7"/>
      <c r="S760" s="8"/>
      <c r="T760" s="10"/>
      <c r="U760" s="2"/>
      <c r="V760" s="2"/>
    </row>
    <row r="761" spans="2:22" x14ac:dyDescent="0.2">
      <c r="B761" s="40">
        <v>44839</v>
      </c>
      <c r="C761" s="41">
        <v>3.04</v>
      </c>
      <c r="E761" s="2"/>
      <c r="F761" s="2"/>
      <c r="G761" s="2"/>
      <c r="H761" s="2"/>
      <c r="I761" s="2"/>
      <c r="J761" s="2"/>
      <c r="K761" s="2"/>
      <c r="L761" s="2"/>
      <c r="M761" s="2"/>
      <c r="N761" s="2"/>
      <c r="O761" s="7"/>
      <c r="P761" s="8"/>
      <c r="Q761" s="9"/>
      <c r="R761" s="7"/>
      <c r="S761" s="8"/>
      <c r="T761" s="10"/>
      <c r="U761" s="2"/>
      <c r="V761" s="2"/>
    </row>
    <row r="762" spans="2:22" x14ac:dyDescent="0.2">
      <c r="B762" s="40">
        <v>44840</v>
      </c>
      <c r="C762" s="41">
        <v>3.05</v>
      </c>
      <c r="E762" s="2"/>
      <c r="F762" s="2"/>
      <c r="G762" s="2"/>
      <c r="H762" s="2"/>
      <c r="I762" s="2"/>
      <c r="J762" s="2"/>
      <c r="K762" s="2"/>
      <c r="L762" s="2"/>
      <c r="M762" s="2"/>
      <c r="N762" s="2"/>
      <c r="O762" s="7"/>
      <c r="P762" s="8"/>
      <c r="Q762" s="9"/>
      <c r="R762" s="7"/>
      <c r="S762" s="8"/>
      <c r="T762" s="10"/>
      <c r="U762" s="2"/>
      <c r="V762" s="2"/>
    </row>
    <row r="763" spans="2:22" x14ac:dyDescent="0.2">
      <c r="B763" s="40">
        <v>44841</v>
      </c>
      <c r="C763" s="41">
        <v>3.05</v>
      </c>
      <c r="E763" s="2"/>
      <c r="F763" s="2"/>
      <c r="G763" s="2"/>
      <c r="H763" s="2"/>
      <c r="I763" s="2"/>
      <c r="J763" s="2"/>
      <c r="K763" s="2"/>
      <c r="L763" s="2"/>
      <c r="M763" s="2"/>
      <c r="N763" s="2"/>
      <c r="O763" s="7"/>
      <c r="P763" s="8"/>
      <c r="Q763" s="9"/>
      <c r="R763" s="7"/>
      <c r="S763" s="8"/>
      <c r="T763" s="10"/>
      <c r="U763" s="2"/>
      <c r="V763" s="2"/>
    </row>
    <row r="764" spans="2:22" x14ac:dyDescent="0.2">
      <c r="B764" s="40">
        <v>44845</v>
      </c>
      <c r="C764" s="41">
        <v>3.05</v>
      </c>
      <c r="E764" s="2"/>
      <c r="F764" s="2"/>
      <c r="G764" s="2"/>
      <c r="H764" s="2"/>
      <c r="I764" s="2"/>
      <c r="J764" s="2"/>
      <c r="K764" s="2"/>
      <c r="L764" s="2"/>
      <c r="M764" s="2"/>
      <c r="N764" s="2"/>
      <c r="O764" s="7"/>
      <c r="P764" s="8"/>
      <c r="Q764" s="9"/>
      <c r="R764" s="7"/>
      <c r="S764" s="8"/>
      <c r="T764" s="10"/>
      <c r="U764" s="2"/>
      <c r="V764" s="2"/>
    </row>
    <row r="765" spans="2:22" x14ac:dyDescent="0.2">
      <c r="B765" s="40">
        <v>44846</v>
      </c>
      <c r="C765" s="41">
        <v>3.04</v>
      </c>
      <c r="E765" s="2"/>
      <c r="F765" s="2"/>
      <c r="G765" s="2"/>
      <c r="H765" s="2"/>
      <c r="I765" s="2"/>
      <c r="J765" s="2"/>
      <c r="K765" s="2"/>
      <c r="L765" s="2"/>
      <c r="M765" s="2"/>
      <c r="N765" s="2"/>
      <c r="O765" s="7"/>
      <c r="P765" s="8"/>
      <c r="Q765" s="9"/>
      <c r="R765" s="7"/>
      <c r="S765" s="8"/>
      <c r="T765" s="10"/>
      <c r="U765" s="2"/>
      <c r="V765" s="2"/>
    </row>
    <row r="766" spans="2:22" x14ac:dyDescent="0.2">
      <c r="B766" s="40">
        <v>44847</v>
      </c>
      <c r="C766" s="41">
        <v>3.04</v>
      </c>
      <c r="E766" s="2"/>
      <c r="F766" s="2"/>
      <c r="G766" s="2"/>
      <c r="H766" s="2"/>
      <c r="I766" s="2"/>
      <c r="J766" s="2"/>
      <c r="K766" s="2"/>
      <c r="L766" s="2"/>
      <c r="M766" s="2"/>
      <c r="N766" s="2"/>
      <c r="O766" s="7"/>
      <c r="P766" s="8"/>
      <c r="Q766" s="9"/>
      <c r="R766" s="7"/>
      <c r="S766" s="8"/>
      <c r="T766" s="10"/>
      <c r="U766" s="2"/>
      <c r="V766" s="2"/>
    </row>
    <row r="767" spans="2:22" x14ac:dyDescent="0.2">
      <c r="B767" s="40">
        <v>44848</v>
      </c>
      <c r="C767" s="41">
        <v>3.04</v>
      </c>
      <c r="E767" s="2"/>
      <c r="F767" s="2"/>
      <c r="G767" s="2"/>
      <c r="H767" s="2"/>
      <c r="I767" s="2"/>
      <c r="J767" s="2"/>
      <c r="K767" s="2"/>
      <c r="L767" s="2"/>
      <c r="M767" s="2"/>
      <c r="N767" s="2"/>
      <c r="O767" s="7"/>
      <c r="P767" s="8"/>
      <c r="Q767" s="9"/>
      <c r="R767" s="7"/>
      <c r="S767" s="8"/>
      <c r="T767" s="10"/>
      <c r="U767" s="2"/>
      <c r="V767" s="2"/>
    </row>
    <row r="768" spans="2:22" x14ac:dyDescent="0.2">
      <c r="B768" s="40">
        <v>44851</v>
      </c>
      <c r="C768" s="41">
        <v>3.05</v>
      </c>
      <c r="E768" s="2"/>
      <c r="F768" s="2"/>
      <c r="G768" s="2"/>
      <c r="H768" s="2"/>
      <c r="I768" s="2"/>
      <c r="J768" s="2"/>
      <c r="K768" s="2"/>
      <c r="L768" s="2"/>
      <c r="M768" s="2"/>
      <c r="N768" s="2"/>
      <c r="O768" s="7"/>
      <c r="P768" s="8"/>
      <c r="Q768" s="9"/>
      <c r="R768" s="7"/>
      <c r="S768" s="8"/>
      <c r="T768" s="10"/>
      <c r="U768" s="2"/>
      <c r="V768" s="2"/>
    </row>
    <row r="769" spans="2:22" x14ac:dyDescent="0.2">
      <c r="B769" s="40">
        <v>44852</v>
      </c>
      <c r="C769" s="41">
        <v>3.04</v>
      </c>
      <c r="E769" s="2"/>
      <c r="F769" s="2"/>
      <c r="G769" s="2"/>
      <c r="H769" s="2"/>
      <c r="I769" s="2"/>
      <c r="J769" s="2"/>
      <c r="K769" s="2"/>
      <c r="L769" s="2"/>
      <c r="M769" s="2"/>
      <c r="N769" s="2"/>
      <c r="O769" s="7"/>
      <c r="P769" s="8"/>
      <c r="Q769" s="9"/>
      <c r="R769" s="7"/>
      <c r="S769" s="8"/>
      <c r="T769" s="10"/>
      <c r="U769" s="2"/>
      <c r="V769" s="2"/>
    </row>
    <row r="770" spans="2:22" x14ac:dyDescent="0.2">
      <c r="B770" s="40">
        <v>44853</v>
      </c>
      <c r="C770" s="41">
        <v>3.04</v>
      </c>
      <c r="E770" s="2"/>
      <c r="F770" s="2"/>
      <c r="G770" s="2"/>
      <c r="H770" s="2"/>
      <c r="I770" s="2"/>
      <c r="J770" s="2"/>
      <c r="K770" s="2"/>
      <c r="L770" s="2"/>
      <c r="M770" s="2"/>
      <c r="N770" s="2"/>
      <c r="O770" s="7"/>
      <c r="P770" s="8"/>
      <c r="Q770" s="9"/>
      <c r="R770" s="7"/>
      <c r="S770" s="8"/>
      <c r="T770" s="10"/>
      <c r="U770" s="2"/>
      <c r="V770" s="2"/>
    </row>
    <row r="771" spans="2:22" x14ac:dyDescent="0.2">
      <c r="B771" s="40">
        <v>44854</v>
      </c>
      <c r="C771" s="41">
        <v>3.03</v>
      </c>
      <c r="E771" s="2"/>
      <c r="F771" s="2"/>
      <c r="G771" s="2"/>
      <c r="H771" s="2"/>
      <c r="I771" s="2"/>
      <c r="J771" s="2"/>
      <c r="K771" s="2"/>
      <c r="L771" s="2"/>
      <c r="M771" s="2"/>
      <c r="N771" s="2"/>
      <c r="O771" s="7"/>
      <c r="P771" s="8"/>
      <c r="Q771" s="9"/>
      <c r="R771" s="7"/>
      <c r="S771" s="8"/>
      <c r="T771" s="10"/>
      <c r="U771" s="2"/>
      <c r="V771" s="2"/>
    </row>
    <row r="772" spans="2:22" x14ac:dyDescent="0.2">
      <c r="B772" s="40">
        <v>44855</v>
      </c>
      <c r="C772" s="41">
        <v>3.02</v>
      </c>
      <c r="E772" s="2"/>
      <c r="F772" s="2"/>
      <c r="G772" s="2"/>
      <c r="H772" s="2"/>
      <c r="I772" s="2"/>
      <c r="J772" s="2"/>
      <c r="K772" s="2"/>
      <c r="L772" s="2"/>
      <c r="M772" s="2"/>
      <c r="N772" s="2"/>
      <c r="O772" s="7"/>
      <c r="P772" s="8"/>
      <c r="Q772" s="9"/>
      <c r="R772" s="7"/>
      <c r="S772" s="8"/>
      <c r="T772" s="10"/>
      <c r="U772" s="2"/>
      <c r="V772" s="2"/>
    </row>
    <row r="773" spans="2:22" x14ac:dyDescent="0.2">
      <c r="B773" s="40">
        <v>44858</v>
      </c>
      <c r="C773" s="41">
        <v>3.01</v>
      </c>
      <c r="E773" s="2"/>
      <c r="F773" s="2"/>
      <c r="G773" s="2"/>
      <c r="H773" s="2"/>
      <c r="I773" s="2"/>
      <c r="J773" s="2"/>
      <c r="K773" s="2"/>
      <c r="L773" s="2"/>
      <c r="M773" s="2"/>
      <c r="N773" s="2"/>
      <c r="O773" s="7"/>
      <c r="P773" s="8"/>
      <c r="Q773" s="9"/>
      <c r="R773" s="7"/>
      <c r="S773" s="8"/>
      <c r="T773" s="10"/>
      <c r="U773" s="2"/>
      <c r="V773" s="2"/>
    </row>
    <row r="774" spans="2:22" x14ac:dyDescent="0.2">
      <c r="B774" s="40">
        <v>44859</v>
      </c>
      <c r="C774" s="41">
        <v>3.02</v>
      </c>
      <c r="E774" s="2"/>
      <c r="F774" s="2"/>
      <c r="G774" s="2"/>
      <c r="H774" s="2"/>
      <c r="I774" s="2"/>
      <c r="J774" s="2"/>
      <c r="K774" s="2"/>
      <c r="L774" s="2"/>
      <c r="M774" s="2"/>
      <c r="N774" s="2"/>
      <c r="O774" s="7"/>
      <c r="P774" s="8"/>
      <c r="Q774" s="9"/>
      <c r="R774" s="7"/>
      <c r="S774" s="8"/>
      <c r="T774" s="10"/>
      <c r="U774" s="2"/>
      <c r="V774" s="2"/>
    </row>
    <row r="775" spans="2:22" x14ac:dyDescent="0.2">
      <c r="B775" s="40">
        <v>44860</v>
      </c>
      <c r="C775" s="41">
        <v>3.03</v>
      </c>
      <c r="E775" s="2"/>
      <c r="F775" s="2"/>
      <c r="G775" s="2"/>
      <c r="H775" s="2"/>
      <c r="I775" s="2"/>
      <c r="J775" s="2"/>
      <c r="K775" s="2"/>
      <c r="L775" s="2"/>
      <c r="M775" s="2"/>
      <c r="N775" s="2"/>
      <c r="O775" s="7"/>
      <c r="P775" s="8"/>
      <c r="Q775" s="9"/>
      <c r="R775" s="7"/>
      <c r="S775" s="8"/>
      <c r="T775" s="10"/>
      <c r="U775" s="2"/>
      <c r="V775" s="2"/>
    </row>
    <row r="776" spans="2:22" x14ac:dyDescent="0.2">
      <c r="B776" s="40">
        <v>44861</v>
      </c>
      <c r="C776" s="41">
        <v>3.04</v>
      </c>
      <c r="E776" s="2"/>
      <c r="F776" s="2"/>
      <c r="G776" s="2"/>
      <c r="H776" s="2"/>
      <c r="I776" s="2"/>
      <c r="J776" s="2"/>
      <c r="K776" s="2"/>
      <c r="L776" s="2"/>
      <c r="M776" s="2"/>
      <c r="N776" s="2"/>
      <c r="O776" s="7"/>
      <c r="P776" s="8"/>
      <c r="Q776" s="9"/>
      <c r="R776" s="7"/>
      <c r="S776" s="8"/>
      <c r="T776" s="10"/>
      <c r="U776" s="2"/>
      <c r="V776" s="2"/>
    </row>
    <row r="777" spans="2:22" x14ac:dyDescent="0.2">
      <c r="B777" s="40">
        <v>44862</v>
      </c>
      <c r="C777" s="41">
        <v>3.05</v>
      </c>
      <c r="E777" s="2"/>
      <c r="F777" s="2"/>
      <c r="G777" s="2"/>
      <c r="H777" s="2"/>
      <c r="I777" s="2"/>
      <c r="J777" s="2"/>
      <c r="K777" s="2"/>
      <c r="L777" s="2"/>
      <c r="M777" s="2"/>
      <c r="N777" s="2"/>
      <c r="O777" s="7"/>
      <c r="P777" s="8"/>
      <c r="Q777" s="9"/>
      <c r="R777" s="7"/>
      <c r="S777" s="8"/>
      <c r="T777" s="10"/>
      <c r="U777" s="2"/>
      <c r="V777" s="2"/>
    </row>
    <row r="778" spans="2:22" x14ac:dyDescent="0.2">
      <c r="B778" s="40">
        <v>44865</v>
      </c>
      <c r="C778" s="41">
        <v>3.05</v>
      </c>
      <c r="E778" s="2"/>
      <c r="F778" s="2"/>
      <c r="G778" s="2"/>
      <c r="H778" s="2"/>
      <c r="I778" s="2"/>
      <c r="J778" s="2"/>
      <c r="K778" s="2"/>
      <c r="L778" s="2"/>
      <c r="M778" s="2"/>
      <c r="N778" s="2"/>
      <c r="O778" s="7"/>
      <c r="P778" s="8"/>
      <c r="Q778" s="9"/>
      <c r="R778" s="7"/>
      <c r="S778" s="8"/>
      <c r="T778" s="10"/>
      <c r="U778" s="2"/>
      <c r="V778" s="2"/>
    </row>
    <row r="779" spans="2:22" x14ac:dyDescent="0.2">
      <c r="B779" s="40">
        <v>44866</v>
      </c>
      <c r="C779" s="41">
        <v>3.05</v>
      </c>
      <c r="E779" s="2"/>
      <c r="F779" s="2"/>
      <c r="G779" s="2"/>
      <c r="H779" s="2"/>
      <c r="I779" s="2"/>
      <c r="J779" s="2"/>
      <c r="K779" s="2"/>
      <c r="L779" s="2"/>
      <c r="M779" s="2"/>
      <c r="N779" s="2"/>
      <c r="O779" s="7"/>
      <c r="P779" s="8"/>
      <c r="Q779" s="9"/>
      <c r="R779" s="7"/>
      <c r="S779" s="8"/>
      <c r="T779" s="10"/>
      <c r="U779" s="2"/>
      <c r="V779" s="2"/>
    </row>
    <row r="780" spans="2:22" x14ac:dyDescent="0.2">
      <c r="B780" s="40">
        <v>44867</v>
      </c>
      <c r="C780" s="41">
        <v>3.05</v>
      </c>
      <c r="E780" s="2"/>
      <c r="F780" s="2"/>
      <c r="G780" s="2"/>
      <c r="H780" s="2"/>
      <c r="I780" s="2"/>
      <c r="J780" s="2"/>
      <c r="K780" s="2"/>
      <c r="L780" s="2"/>
      <c r="M780" s="2"/>
      <c r="N780" s="2"/>
      <c r="O780" s="7"/>
      <c r="P780" s="8"/>
      <c r="Q780" s="9"/>
      <c r="R780" s="7"/>
      <c r="S780" s="8"/>
      <c r="T780" s="10"/>
      <c r="U780" s="2"/>
      <c r="V780" s="2"/>
    </row>
    <row r="781" spans="2:22" x14ac:dyDescent="0.2">
      <c r="B781" s="40">
        <v>44868</v>
      </c>
      <c r="C781" s="41">
        <v>3.8</v>
      </c>
      <c r="E781" s="2"/>
      <c r="F781" s="2"/>
      <c r="G781" s="2"/>
      <c r="H781" s="2"/>
      <c r="I781" s="2"/>
      <c r="J781" s="2"/>
      <c r="K781" s="2"/>
      <c r="L781" s="2"/>
      <c r="M781" s="2"/>
      <c r="N781" s="2"/>
      <c r="O781" s="7"/>
      <c r="P781" s="8"/>
      <c r="Q781" s="9"/>
      <c r="R781" s="7"/>
      <c r="S781" s="8"/>
      <c r="T781" s="10"/>
      <c r="U781" s="2"/>
      <c r="V781" s="2"/>
    </row>
    <row r="782" spans="2:22" x14ac:dyDescent="0.2">
      <c r="B782" s="40">
        <v>44869</v>
      </c>
      <c r="C782" s="41">
        <v>3.8</v>
      </c>
      <c r="E782" s="2"/>
      <c r="F782" s="2"/>
      <c r="G782" s="2"/>
      <c r="H782" s="2"/>
      <c r="I782" s="2"/>
      <c r="J782" s="2"/>
      <c r="K782" s="2"/>
      <c r="L782" s="2"/>
      <c r="M782" s="2"/>
      <c r="N782" s="2"/>
      <c r="O782" s="7"/>
      <c r="P782" s="8"/>
      <c r="Q782" s="9"/>
      <c r="R782" s="7"/>
      <c r="S782" s="8"/>
      <c r="T782" s="10"/>
      <c r="U782" s="2"/>
      <c r="V782" s="2"/>
    </row>
    <row r="783" spans="2:22" x14ac:dyDescent="0.2">
      <c r="B783" s="40">
        <v>44872</v>
      </c>
      <c r="C783" s="41">
        <v>3.78</v>
      </c>
      <c r="E783" s="2"/>
      <c r="F783" s="2"/>
      <c r="G783" s="2"/>
      <c r="H783" s="2"/>
      <c r="I783" s="2"/>
      <c r="J783" s="2"/>
      <c r="K783" s="2"/>
      <c r="L783" s="2"/>
      <c r="M783" s="2"/>
      <c r="N783" s="2"/>
      <c r="O783" s="7"/>
      <c r="P783" s="8"/>
      <c r="Q783" s="9"/>
      <c r="R783" s="7"/>
      <c r="S783" s="8"/>
      <c r="T783" s="10"/>
      <c r="U783" s="2"/>
      <c r="V783" s="2"/>
    </row>
    <row r="784" spans="2:22" x14ac:dyDescent="0.2">
      <c r="B784" s="40">
        <v>44873</v>
      </c>
      <c r="C784" s="41">
        <v>3.78</v>
      </c>
      <c r="E784" s="2"/>
      <c r="F784" s="2"/>
      <c r="G784" s="2"/>
      <c r="H784" s="2"/>
      <c r="I784" s="2"/>
      <c r="J784" s="2"/>
      <c r="K784" s="2"/>
      <c r="L784" s="2"/>
      <c r="M784" s="2"/>
      <c r="N784" s="2"/>
      <c r="O784" s="7"/>
      <c r="P784" s="8"/>
      <c r="Q784" s="9"/>
      <c r="R784" s="7"/>
      <c r="S784" s="8"/>
      <c r="T784" s="10"/>
      <c r="U784" s="2"/>
      <c r="V784" s="2"/>
    </row>
    <row r="785" spans="2:22" x14ac:dyDescent="0.2">
      <c r="B785" s="40">
        <v>44874</v>
      </c>
      <c r="C785" s="41">
        <v>3.78</v>
      </c>
      <c r="E785" s="2"/>
      <c r="F785" s="2"/>
      <c r="G785" s="2"/>
      <c r="H785" s="2"/>
      <c r="I785" s="2"/>
      <c r="J785" s="2"/>
      <c r="K785" s="2"/>
      <c r="L785" s="2"/>
      <c r="M785" s="2"/>
      <c r="N785" s="2"/>
      <c r="O785" s="7"/>
      <c r="P785" s="8"/>
      <c r="Q785" s="9"/>
      <c r="R785" s="7"/>
      <c r="S785" s="8"/>
      <c r="T785" s="10"/>
      <c r="U785" s="2"/>
      <c r="V785" s="2"/>
    </row>
    <row r="786" spans="2:22" x14ac:dyDescent="0.2">
      <c r="B786" s="40">
        <v>44875</v>
      </c>
      <c r="C786" s="41">
        <v>3.78</v>
      </c>
      <c r="E786" s="2"/>
      <c r="F786" s="2"/>
      <c r="G786" s="2"/>
      <c r="H786" s="2"/>
      <c r="I786" s="2"/>
      <c r="J786" s="2"/>
      <c r="K786" s="2"/>
      <c r="L786" s="2"/>
      <c r="M786" s="2"/>
      <c r="N786" s="2"/>
      <c r="O786" s="7"/>
      <c r="P786" s="8"/>
      <c r="Q786" s="9"/>
      <c r="R786" s="7"/>
      <c r="S786" s="8"/>
      <c r="T786" s="10"/>
      <c r="U786" s="2"/>
      <c r="V786" s="2"/>
    </row>
    <row r="787" spans="2:22" x14ac:dyDescent="0.2">
      <c r="B787" s="40">
        <v>44879</v>
      </c>
      <c r="C787" s="41">
        <v>3.79</v>
      </c>
      <c r="E787" s="2"/>
      <c r="F787" s="2"/>
      <c r="G787" s="2"/>
      <c r="H787" s="2"/>
      <c r="I787" s="2"/>
      <c r="J787" s="2"/>
      <c r="K787" s="2"/>
      <c r="L787" s="2"/>
      <c r="M787" s="2"/>
      <c r="N787" s="2"/>
      <c r="O787" s="7"/>
      <c r="P787" s="8"/>
      <c r="Q787" s="9"/>
      <c r="R787" s="7"/>
      <c r="S787" s="8"/>
      <c r="T787" s="10"/>
      <c r="U787" s="2"/>
      <c r="V787" s="2"/>
    </row>
    <row r="788" spans="2:22" x14ac:dyDescent="0.2">
      <c r="B788" s="40">
        <v>44880</v>
      </c>
      <c r="C788" s="41">
        <v>3.8</v>
      </c>
      <c r="E788" s="2"/>
      <c r="F788" s="2"/>
      <c r="G788" s="2"/>
      <c r="H788" s="2"/>
      <c r="I788" s="2"/>
      <c r="J788" s="2"/>
      <c r="K788" s="2"/>
      <c r="L788" s="2"/>
      <c r="M788" s="2"/>
      <c r="N788" s="2"/>
      <c r="O788" s="7"/>
      <c r="P788" s="8"/>
      <c r="Q788" s="9"/>
      <c r="R788" s="7"/>
      <c r="S788" s="8"/>
      <c r="T788" s="10"/>
      <c r="U788" s="2"/>
      <c r="V788" s="2"/>
    </row>
    <row r="789" spans="2:22" x14ac:dyDescent="0.2">
      <c r="B789" s="40">
        <v>44881</v>
      </c>
      <c r="C789" s="41">
        <v>3.81</v>
      </c>
      <c r="E789" s="2"/>
      <c r="F789" s="2"/>
      <c r="G789" s="2"/>
      <c r="H789" s="2"/>
      <c r="I789" s="2"/>
      <c r="J789" s="2"/>
      <c r="K789" s="2"/>
      <c r="L789" s="2"/>
      <c r="M789" s="2"/>
      <c r="N789" s="2"/>
      <c r="O789" s="7"/>
      <c r="P789" s="8"/>
      <c r="Q789" s="9"/>
      <c r="R789" s="7"/>
      <c r="S789" s="8"/>
      <c r="T789" s="10"/>
      <c r="U789" s="2"/>
      <c r="V789" s="2"/>
    </row>
    <row r="790" spans="2:22" x14ac:dyDescent="0.2">
      <c r="B790" s="40">
        <v>44882</v>
      </c>
      <c r="C790" s="41">
        <v>3.8</v>
      </c>
      <c r="E790" s="2"/>
      <c r="F790" s="2"/>
      <c r="G790" s="2"/>
      <c r="H790" s="2"/>
      <c r="I790" s="2"/>
      <c r="J790" s="2"/>
      <c r="K790" s="2"/>
      <c r="L790" s="2"/>
      <c r="M790" s="2"/>
      <c r="N790" s="2"/>
      <c r="O790" s="7"/>
      <c r="P790" s="8"/>
      <c r="Q790" s="9"/>
      <c r="R790" s="7"/>
      <c r="S790" s="8"/>
      <c r="T790" s="10"/>
      <c r="U790" s="2"/>
      <c r="V790" s="2"/>
    </row>
    <row r="791" spans="2:22" x14ac:dyDescent="0.2">
      <c r="B791" s="40">
        <v>44883</v>
      </c>
      <c r="C791" s="41">
        <v>3.8</v>
      </c>
      <c r="E791" s="2"/>
      <c r="F791" s="2"/>
      <c r="G791" s="2"/>
      <c r="H791" s="2"/>
      <c r="I791" s="2"/>
      <c r="J791" s="2"/>
      <c r="K791" s="2"/>
      <c r="L791" s="2"/>
      <c r="M791" s="2"/>
      <c r="N791" s="2"/>
      <c r="O791" s="7"/>
      <c r="P791" s="8"/>
      <c r="Q791" s="9"/>
      <c r="R791" s="7"/>
      <c r="S791" s="8"/>
      <c r="T791" s="10"/>
      <c r="U791" s="2"/>
      <c r="V791" s="2"/>
    </row>
    <row r="792" spans="2:22" x14ac:dyDescent="0.2">
      <c r="B792" s="40">
        <v>44886</v>
      </c>
      <c r="C792" s="41">
        <v>3.8</v>
      </c>
      <c r="E792" s="2"/>
      <c r="F792" s="2"/>
      <c r="G792" s="2"/>
      <c r="H792" s="2"/>
      <c r="I792" s="2"/>
      <c r="J792" s="2"/>
      <c r="K792" s="2"/>
      <c r="L792" s="2"/>
      <c r="M792" s="2"/>
      <c r="N792" s="2"/>
      <c r="O792" s="7"/>
      <c r="P792" s="8"/>
      <c r="Q792" s="9"/>
      <c r="R792" s="7"/>
      <c r="S792" s="8"/>
      <c r="T792" s="10"/>
      <c r="U792" s="2"/>
      <c r="V792" s="2"/>
    </row>
    <row r="793" spans="2:22" x14ac:dyDescent="0.2">
      <c r="B793" s="40">
        <v>44887</v>
      </c>
      <c r="C793" s="41">
        <v>3.8</v>
      </c>
      <c r="E793" s="2"/>
      <c r="F793" s="2"/>
      <c r="G793" s="2"/>
      <c r="H793" s="2"/>
      <c r="I793" s="2"/>
      <c r="J793" s="2"/>
      <c r="K793" s="2"/>
      <c r="L793" s="2"/>
      <c r="M793" s="2"/>
      <c r="N793" s="2"/>
      <c r="O793" s="7"/>
      <c r="P793" s="8"/>
      <c r="Q793" s="9"/>
      <c r="R793" s="7"/>
      <c r="S793" s="8"/>
      <c r="T793" s="10"/>
      <c r="U793" s="2"/>
      <c r="V793" s="2"/>
    </row>
    <row r="794" spans="2:22" x14ac:dyDescent="0.2">
      <c r="B794" s="40">
        <v>44888</v>
      </c>
      <c r="C794" s="41">
        <v>3.79</v>
      </c>
      <c r="E794" s="2"/>
      <c r="F794" s="2"/>
      <c r="G794" s="2"/>
      <c r="H794" s="2"/>
      <c r="I794" s="2"/>
      <c r="J794" s="2"/>
      <c r="K794" s="2"/>
      <c r="L794" s="2"/>
      <c r="M794" s="2"/>
      <c r="N794" s="2"/>
      <c r="O794" s="7"/>
      <c r="P794" s="8"/>
      <c r="Q794" s="9"/>
      <c r="R794" s="7"/>
      <c r="S794" s="8"/>
      <c r="T794" s="10"/>
      <c r="U794" s="2"/>
      <c r="V794" s="2"/>
    </row>
    <row r="795" spans="2:22" x14ac:dyDescent="0.2">
      <c r="B795" s="40">
        <v>44890</v>
      </c>
      <c r="C795" s="41">
        <v>3.8</v>
      </c>
      <c r="E795" s="2"/>
      <c r="F795" s="2"/>
      <c r="G795" s="2"/>
      <c r="H795" s="2"/>
      <c r="I795" s="2"/>
      <c r="J795" s="2"/>
      <c r="K795" s="2"/>
      <c r="L795" s="2"/>
      <c r="M795" s="2"/>
      <c r="N795" s="2"/>
      <c r="O795" s="7"/>
      <c r="P795" s="8"/>
      <c r="Q795" s="9"/>
      <c r="R795" s="7"/>
      <c r="S795" s="8"/>
      <c r="T795" s="10"/>
      <c r="U795" s="2"/>
      <c r="V795" s="2"/>
    </row>
    <row r="796" spans="2:22" x14ac:dyDescent="0.2">
      <c r="B796" s="40">
        <v>44893</v>
      </c>
      <c r="C796" s="41">
        <v>3.8</v>
      </c>
      <c r="E796" s="2"/>
      <c r="F796" s="2"/>
      <c r="G796" s="2"/>
      <c r="H796" s="2"/>
      <c r="I796" s="2"/>
      <c r="J796" s="2"/>
      <c r="K796" s="2"/>
      <c r="L796" s="2"/>
      <c r="M796" s="2"/>
      <c r="N796" s="2"/>
      <c r="O796" s="7"/>
      <c r="P796" s="8"/>
      <c r="Q796" s="9"/>
      <c r="R796" s="7"/>
      <c r="S796" s="8"/>
      <c r="T796" s="10"/>
      <c r="U796" s="2"/>
      <c r="V796" s="2"/>
    </row>
    <row r="797" spans="2:22" x14ac:dyDescent="0.2">
      <c r="B797" s="40">
        <v>44894</v>
      </c>
      <c r="C797" s="41">
        <v>3.81</v>
      </c>
      <c r="E797" s="2"/>
      <c r="F797" s="2"/>
      <c r="G797" s="2"/>
      <c r="H797" s="2"/>
      <c r="I797" s="2"/>
      <c r="J797" s="2"/>
      <c r="K797" s="2"/>
      <c r="L797" s="2"/>
      <c r="M797" s="2"/>
      <c r="N797" s="2"/>
      <c r="O797" s="7"/>
      <c r="P797" s="8"/>
      <c r="Q797" s="9"/>
      <c r="R797" s="7"/>
      <c r="S797" s="8"/>
      <c r="T797" s="10"/>
      <c r="U797" s="2"/>
      <c r="V797" s="2"/>
    </row>
    <row r="798" spans="2:22" x14ac:dyDescent="0.2">
      <c r="B798" s="40">
        <v>44895</v>
      </c>
      <c r="C798" s="41">
        <v>3.82</v>
      </c>
      <c r="E798" s="2"/>
      <c r="F798" s="2"/>
      <c r="G798" s="2"/>
      <c r="H798" s="2"/>
      <c r="I798" s="2"/>
      <c r="J798" s="2"/>
      <c r="K798" s="2"/>
      <c r="L798" s="2"/>
      <c r="M798" s="2"/>
      <c r="N798" s="2"/>
      <c r="O798" s="7"/>
      <c r="P798" s="8"/>
      <c r="Q798" s="9"/>
      <c r="R798" s="7"/>
      <c r="S798" s="8"/>
      <c r="T798" s="10"/>
      <c r="U798" s="2"/>
      <c r="V798" s="2"/>
    </row>
    <row r="799" spans="2:22" x14ac:dyDescent="0.2">
      <c r="B799" s="40">
        <v>44896</v>
      </c>
      <c r="C799" s="41">
        <v>3.82</v>
      </c>
      <c r="E799" s="2"/>
      <c r="F799" s="2"/>
      <c r="G799" s="2"/>
      <c r="H799" s="2"/>
      <c r="I799" s="2"/>
      <c r="J799" s="2"/>
      <c r="K799" s="2"/>
      <c r="L799" s="2"/>
      <c r="M799" s="2"/>
      <c r="N799" s="2"/>
      <c r="O799" s="7"/>
      <c r="P799" s="8"/>
      <c r="Q799" s="9"/>
      <c r="R799" s="7"/>
      <c r="S799" s="8"/>
      <c r="T799" s="10"/>
      <c r="U799" s="2"/>
      <c r="V799" s="2"/>
    </row>
    <row r="800" spans="2:22" x14ac:dyDescent="0.2">
      <c r="B800" s="40">
        <v>44897</v>
      </c>
      <c r="C800" s="41">
        <v>3.81</v>
      </c>
      <c r="E800" s="2"/>
      <c r="F800" s="2"/>
      <c r="G800" s="2"/>
      <c r="H800" s="2"/>
      <c r="I800" s="2"/>
      <c r="J800" s="2"/>
      <c r="K800" s="2"/>
      <c r="L800" s="2"/>
      <c r="M800" s="2"/>
      <c r="N800" s="2"/>
      <c r="O800" s="7"/>
      <c r="P800" s="8"/>
      <c r="Q800" s="9"/>
      <c r="R800" s="7"/>
      <c r="S800" s="8"/>
      <c r="T800" s="10"/>
      <c r="U800" s="2"/>
      <c r="V800" s="2"/>
    </row>
    <row r="801" spans="2:22" x14ac:dyDescent="0.2">
      <c r="B801" s="40">
        <v>44900</v>
      </c>
      <c r="C801" s="41">
        <v>3.81</v>
      </c>
      <c r="E801" s="2"/>
      <c r="F801" s="2"/>
      <c r="G801" s="2"/>
      <c r="H801" s="2"/>
      <c r="I801" s="2"/>
      <c r="J801" s="2"/>
      <c r="K801" s="2"/>
      <c r="L801" s="2"/>
      <c r="M801" s="2"/>
      <c r="N801" s="2"/>
      <c r="O801" s="7"/>
      <c r="P801" s="8"/>
      <c r="Q801" s="9"/>
      <c r="R801" s="7"/>
      <c r="S801" s="8"/>
      <c r="T801" s="10"/>
      <c r="U801" s="2"/>
      <c r="V801" s="2"/>
    </row>
    <row r="802" spans="2:22" x14ac:dyDescent="0.2">
      <c r="B802" s="40">
        <v>44901</v>
      </c>
      <c r="C802" s="41">
        <v>3.8</v>
      </c>
      <c r="E802" s="2"/>
      <c r="F802" s="2"/>
      <c r="G802" s="2"/>
      <c r="H802" s="2"/>
      <c r="I802" s="2"/>
      <c r="J802" s="2"/>
      <c r="K802" s="2"/>
      <c r="L802" s="2"/>
      <c r="M802" s="2"/>
      <c r="N802" s="2"/>
      <c r="O802" s="7"/>
      <c r="P802" s="8"/>
      <c r="Q802" s="9"/>
      <c r="R802" s="7"/>
      <c r="S802" s="8"/>
      <c r="T802" s="10"/>
      <c r="U802" s="2"/>
      <c r="V802" s="2"/>
    </row>
    <row r="803" spans="2:22" x14ac:dyDescent="0.2">
      <c r="B803" s="40">
        <v>44902</v>
      </c>
      <c r="C803" s="41">
        <v>3.8</v>
      </c>
      <c r="E803" s="2"/>
      <c r="F803" s="2"/>
      <c r="G803" s="2"/>
      <c r="H803" s="2"/>
      <c r="I803" s="2"/>
      <c r="J803" s="2"/>
      <c r="K803" s="2"/>
      <c r="L803" s="2"/>
      <c r="M803" s="2"/>
      <c r="N803" s="2"/>
      <c r="O803" s="7"/>
      <c r="P803" s="8"/>
      <c r="Q803" s="9"/>
      <c r="R803" s="7"/>
      <c r="S803" s="8"/>
      <c r="T803" s="10"/>
      <c r="U803" s="2"/>
      <c r="V803" s="2"/>
    </row>
    <row r="804" spans="2:22" x14ac:dyDescent="0.2">
      <c r="B804" s="40">
        <v>44903</v>
      </c>
      <c r="C804" s="41">
        <v>3.8</v>
      </c>
      <c r="E804" s="2"/>
      <c r="F804" s="2"/>
      <c r="G804" s="2"/>
      <c r="H804" s="2"/>
      <c r="I804" s="2"/>
      <c r="J804" s="2"/>
      <c r="K804" s="2"/>
      <c r="L804" s="2"/>
      <c r="M804" s="2"/>
      <c r="N804" s="2"/>
      <c r="O804" s="7"/>
      <c r="P804" s="8"/>
      <c r="Q804" s="9"/>
      <c r="R804" s="7"/>
      <c r="S804" s="8"/>
      <c r="T804" s="10"/>
      <c r="U804" s="2"/>
      <c r="V804" s="2"/>
    </row>
    <row r="805" spans="2:22" x14ac:dyDescent="0.2">
      <c r="B805" s="40">
        <v>44904</v>
      </c>
      <c r="C805" s="41">
        <v>3.8</v>
      </c>
      <c r="E805" s="2"/>
      <c r="F805" s="2"/>
      <c r="G805" s="2"/>
      <c r="H805" s="2"/>
      <c r="I805" s="2"/>
      <c r="J805" s="2"/>
      <c r="K805" s="2"/>
      <c r="L805" s="2"/>
      <c r="M805" s="2"/>
      <c r="N805" s="2"/>
      <c r="O805" s="7"/>
      <c r="P805" s="8"/>
      <c r="Q805" s="9"/>
      <c r="R805" s="7"/>
      <c r="S805" s="8"/>
      <c r="T805" s="10"/>
      <c r="U805" s="2"/>
      <c r="V805" s="2"/>
    </row>
    <row r="806" spans="2:22" x14ac:dyDescent="0.2">
      <c r="B806" s="40">
        <v>44907</v>
      </c>
      <c r="C806" s="41">
        <v>3.8</v>
      </c>
      <c r="E806" s="2"/>
      <c r="F806" s="2"/>
      <c r="G806" s="2"/>
      <c r="H806" s="2"/>
      <c r="I806" s="2"/>
      <c r="J806" s="2"/>
      <c r="K806" s="2"/>
      <c r="L806" s="2"/>
      <c r="M806" s="2"/>
      <c r="N806" s="2"/>
      <c r="O806" s="7"/>
      <c r="P806" s="8"/>
      <c r="Q806" s="9"/>
      <c r="R806" s="7"/>
      <c r="S806" s="8"/>
      <c r="T806" s="10"/>
      <c r="U806" s="2"/>
      <c r="V806" s="2"/>
    </row>
    <row r="807" spans="2:22" x14ac:dyDescent="0.2">
      <c r="B807" s="40">
        <v>44908</v>
      </c>
      <c r="C807" s="41">
        <v>3.8</v>
      </c>
      <c r="E807" s="2"/>
      <c r="F807" s="2"/>
      <c r="G807" s="2"/>
      <c r="H807" s="2"/>
      <c r="I807" s="2"/>
      <c r="J807" s="2"/>
      <c r="K807" s="2"/>
      <c r="L807" s="2"/>
      <c r="M807" s="2"/>
      <c r="N807" s="2"/>
      <c r="O807" s="7"/>
      <c r="P807" s="8"/>
      <c r="Q807" s="9"/>
      <c r="R807" s="7"/>
      <c r="S807" s="8"/>
      <c r="T807" s="10"/>
      <c r="U807" s="2"/>
      <c r="V807" s="2"/>
    </row>
    <row r="808" spans="2:22" x14ac:dyDescent="0.2">
      <c r="B808" s="40">
        <v>44909</v>
      </c>
      <c r="C808" s="41">
        <v>3.8</v>
      </c>
      <c r="E808" s="2"/>
      <c r="F808" s="2"/>
      <c r="G808" s="2"/>
      <c r="H808" s="2"/>
      <c r="I808" s="2"/>
      <c r="J808" s="2"/>
      <c r="K808" s="2"/>
      <c r="L808" s="2"/>
      <c r="M808" s="2"/>
      <c r="N808" s="2"/>
      <c r="O808" s="7"/>
      <c r="P808" s="8"/>
      <c r="Q808" s="9"/>
      <c r="R808" s="7"/>
      <c r="S808" s="8"/>
      <c r="T808" s="10"/>
      <c r="U808" s="2"/>
      <c r="V808" s="2"/>
    </row>
    <row r="809" spans="2:22" x14ac:dyDescent="0.2">
      <c r="B809" s="40">
        <v>44910</v>
      </c>
      <c r="C809" s="41">
        <v>4.32</v>
      </c>
      <c r="E809" s="2"/>
      <c r="F809" s="2"/>
      <c r="G809" s="2"/>
      <c r="H809" s="2"/>
      <c r="I809" s="2"/>
      <c r="J809" s="2"/>
      <c r="K809" s="2"/>
      <c r="L809" s="2"/>
      <c r="M809" s="2"/>
      <c r="N809" s="2"/>
      <c r="O809" s="7"/>
      <c r="P809" s="8"/>
      <c r="Q809" s="9"/>
      <c r="R809" s="7"/>
      <c r="S809" s="8"/>
      <c r="T809" s="10"/>
      <c r="U809" s="2"/>
      <c r="V809" s="2"/>
    </row>
    <row r="810" spans="2:22" x14ac:dyDescent="0.2">
      <c r="B810" s="40">
        <v>44911</v>
      </c>
      <c r="C810" s="41">
        <v>4.32</v>
      </c>
      <c r="E810" s="2"/>
      <c r="F810" s="2"/>
      <c r="G810" s="2"/>
      <c r="H810" s="2"/>
      <c r="I810" s="2"/>
      <c r="J810" s="2"/>
      <c r="K810" s="2"/>
      <c r="L810" s="2"/>
      <c r="M810" s="2"/>
      <c r="N810" s="2"/>
      <c r="O810" s="7"/>
      <c r="P810" s="8"/>
      <c r="Q810" s="9"/>
      <c r="R810" s="7"/>
      <c r="S810" s="8"/>
      <c r="T810" s="10"/>
      <c r="U810" s="2"/>
      <c r="V810" s="2"/>
    </row>
    <row r="811" spans="2:22" x14ac:dyDescent="0.2">
      <c r="B811" s="40">
        <v>44914</v>
      </c>
      <c r="C811" s="41">
        <v>4.3</v>
      </c>
      <c r="E811" s="2"/>
      <c r="F811" s="2"/>
      <c r="G811" s="2"/>
      <c r="H811" s="2"/>
      <c r="I811" s="2"/>
      <c r="J811" s="2"/>
      <c r="K811" s="2"/>
      <c r="L811" s="2"/>
      <c r="M811" s="2"/>
      <c r="N811" s="2"/>
      <c r="O811" s="7"/>
      <c r="P811" s="8"/>
      <c r="Q811" s="9"/>
      <c r="R811" s="7"/>
      <c r="S811" s="8"/>
      <c r="T811" s="10"/>
      <c r="U811" s="2"/>
      <c r="V811" s="2"/>
    </row>
    <row r="812" spans="2:22" x14ac:dyDescent="0.2">
      <c r="B812" s="40">
        <v>44915</v>
      </c>
      <c r="C812" s="41">
        <v>4.3</v>
      </c>
      <c r="E812" s="2"/>
      <c r="F812" s="2"/>
      <c r="G812" s="2"/>
      <c r="H812" s="2"/>
      <c r="I812" s="2"/>
      <c r="J812" s="2"/>
      <c r="K812" s="2"/>
      <c r="L812" s="2"/>
      <c r="M812" s="2"/>
      <c r="N812" s="2"/>
      <c r="O812" s="7"/>
      <c r="P812" s="8"/>
      <c r="Q812" s="9"/>
      <c r="R812" s="7"/>
      <c r="S812" s="8"/>
      <c r="T812" s="10"/>
      <c r="U812" s="2"/>
      <c r="V812" s="2"/>
    </row>
    <row r="813" spans="2:22" x14ac:dyDescent="0.2">
      <c r="B813" s="40">
        <v>44916</v>
      </c>
      <c r="C813" s="41">
        <v>4.3</v>
      </c>
      <c r="E813" s="2"/>
      <c r="F813" s="2"/>
      <c r="G813" s="2"/>
      <c r="H813" s="2"/>
      <c r="I813" s="2"/>
      <c r="J813" s="2"/>
      <c r="K813" s="2"/>
      <c r="L813" s="2"/>
      <c r="M813" s="2"/>
      <c r="N813" s="2"/>
      <c r="O813" s="7"/>
      <c r="P813" s="8"/>
      <c r="Q813" s="9"/>
      <c r="R813" s="7"/>
      <c r="S813" s="8"/>
      <c r="T813" s="10"/>
      <c r="U813" s="2"/>
      <c r="V813" s="2"/>
    </row>
    <row r="814" spans="2:22" x14ac:dyDescent="0.2">
      <c r="B814" s="40">
        <v>44917</v>
      </c>
      <c r="C814" s="41">
        <v>4.3</v>
      </c>
      <c r="E814" s="2"/>
      <c r="F814" s="2"/>
      <c r="G814" s="2"/>
      <c r="H814" s="2"/>
      <c r="I814" s="2"/>
      <c r="J814" s="2"/>
      <c r="K814" s="2"/>
      <c r="L814" s="2"/>
      <c r="M814" s="2"/>
      <c r="N814" s="2"/>
      <c r="O814" s="7"/>
      <c r="P814" s="8"/>
      <c r="Q814" s="9"/>
      <c r="R814" s="7"/>
      <c r="S814" s="8"/>
      <c r="T814" s="10"/>
      <c r="U814" s="2"/>
      <c r="V814" s="2"/>
    </row>
    <row r="815" spans="2:22" x14ac:dyDescent="0.2">
      <c r="B815" s="40">
        <v>44918</v>
      </c>
      <c r="C815" s="41">
        <v>4.3</v>
      </c>
      <c r="E815" s="2"/>
      <c r="F815" s="2"/>
      <c r="G815" s="2"/>
      <c r="H815" s="2"/>
      <c r="I815" s="2"/>
      <c r="J815" s="2"/>
      <c r="K815" s="2"/>
      <c r="L815" s="2"/>
      <c r="M815" s="2"/>
      <c r="N815" s="2"/>
      <c r="O815" s="7"/>
      <c r="P815" s="8"/>
      <c r="Q815" s="9"/>
      <c r="R815" s="7"/>
      <c r="S815" s="8"/>
      <c r="T815" s="10"/>
      <c r="U815" s="2"/>
      <c r="V815" s="2"/>
    </row>
    <row r="816" spans="2:22" x14ac:dyDescent="0.2">
      <c r="B816" s="40">
        <v>44922</v>
      </c>
      <c r="C816" s="41">
        <v>4.3</v>
      </c>
      <c r="E816" s="2"/>
      <c r="F816" s="2"/>
      <c r="G816" s="2"/>
      <c r="H816" s="2"/>
      <c r="I816" s="2"/>
      <c r="J816" s="2"/>
      <c r="K816" s="2"/>
      <c r="L816" s="2"/>
      <c r="M816" s="2"/>
      <c r="N816" s="2"/>
      <c r="O816" s="7"/>
      <c r="P816" s="8"/>
      <c r="Q816" s="9"/>
      <c r="R816" s="7"/>
      <c r="S816" s="8"/>
      <c r="T816" s="10"/>
      <c r="U816" s="2"/>
      <c r="V816" s="2"/>
    </row>
    <row r="817" spans="2:22" x14ac:dyDescent="0.2">
      <c r="B817" s="40">
        <v>44923</v>
      </c>
      <c r="C817" s="41">
        <v>4.3</v>
      </c>
      <c r="E817" s="2"/>
      <c r="F817" s="2"/>
      <c r="G817" s="2"/>
      <c r="H817" s="2"/>
      <c r="I817" s="2"/>
      <c r="J817" s="2"/>
      <c r="K817" s="2"/>
      <c r="L817" s="2"/>
      <c r="M817" s="2"/>
      <c r="N817" s="2"/>
      <c r="O817" s="7"/>
      <c r="P817" s="8"/>
      <c r="Q817" s="9"/>
      <c r="R817" s="7"/>
      <c r="S817" s="8"/>
      <c r="T817" s="10"/>
      <c r="U817" s="2"/>
      <c r="V817" s="2"/>
    </row>
    <row r="818" spans="2:22" x14ac:dyDescent="0.2">
      <c r="B818" s="40">
        <v>44924</v>
      </c>
      <c r="C818" s="41">
        <v>4.3</v>
      </c>
      <c r="E818" s="2"/>
      <c r="F818" s="2"/>
      <c r="G818" s="2"/>
      <c r="H818" s="2"/>
      <c r="I818" s="2"/>
      <c r="J818" s="2"/>
      <c r="K818" s="2"/>
      <c r="L818" s="2"/>
      <c r="M818" s="2"/>
      <c r="N818" s="2"/>
      <c r="O818" s="7"/>
      <c r="P818" s="8"/>
      <c r="Q818" s="9"/>
      <c r="R818" s="7"/>
      <c r="S818" s="8"/>
      <c r="T818" s="10"/>
      <c r="U818" s="2"/>
      <c r="V818" s="2"/>
    </row>
    <row r="819" spans="2:22" x14ac:dyDescent="0.2">
      <c r="B819" s="40">
        <v>44925</v>
      </c>
      <c r="C819" s="41">
        <v>4.3</v>
      </c>
      <c r="E819" s="2"/>
      <c r="F819" s="2"/>
      <c r="G819" s="2"/>
      <c r="H819" s="2"/>
      <c r="I819" s="2"/>
      <c r="J819" s="2"/>
      <c r="K819" s="2"/>
      <c r="L819" s="2"/>
      <c r="M819" s="2"/>
      <c r="N819" s="2"/>
      <c r="O819" s="7"/>
      <c r="P819" s="8"/>
      <c r="Q819" s="9"/>
      <c r="R819" s="7"/>
      <c r="S819" s="8"/>
      <c r="T819" s="10"/>
      <c r="U819" s="2"/>
      <c r="V819" s="2"/>
    </row>
    <row r="820" spans="2:22" x14ac:dyDescent="0.2">
      <c r="B820" s="40">
        <v>44929</v>
      </c>
      <c r="C820" s="41">
        <v>4.3099999999999996</v>
      </c>
      <c r="E820" s="2"/>
      <c r="F820" s="2"/>
      <c r="G820" s="2"/>
      <c r="H820" s="2"/>
      <c r="I820" s="2"/>
      <c r="J820" s="2"/>
      <c r="K820" s="2"/>
      <c r="L820" s="2"/>
      <c r="M820" s="2"/>
      <c r="N820" s="2"/>
      <c r="O820" s="7"/>
      <c r="P820" s="8"/>
      <c r="Q820" s="9"/>
      <c r="R820" s="7"/>
      <c r="S820" s="8"/>
      <c r="T820" s="10"/>
      <c r="U820" s="2"/>
      <c r="V820" s="2"/>
    </row>
    <row r="821" spans="2:22" x14ac:dyDescent="0.2">
      <c r="B821" s="40">
        <v>44930</v>
      </c>
      <c r="C821" s="41">
        <v>4.3</v>
      </c>
      <c r="E821" s="2"/>
      <c r="F821" s="2"/>
      <c r="G821" s="2"/>
      <c r="H821" s="2"/>
      <c r="I821" s="2"/>
      <c r="J821" s="2"/>
      <c r="K821" s="2"/>
      <c r="L821" s="2"/>
      <c r="M821" s="2"/>
      <c r="N821" s="2"/>
      <c r="O821" s="7"/>
      <c r="P821" s="8"/>
      <c r="Q821" s="9"/>
      <c r="R821" s="7"/>
      <c r="S821" s="8"/>
      <c r="T821" s="10"/>
      <c r="U821" s="2"/>
      <c r="V821" s="2"/>
    </row>
    <row r="822" spans="2:22" x14ac:dyDescent="0.2">
      <c r="B822" s="40">
        <v>44931</v>
      </c>
      <c r="C822" s="41">
        <v>4.3099999999999996</v>
      </c>
      <c r="E822" s="2"/>
      <c r="F822" s="2"/>
      <c r="G822" s="2"/>
      <c r="H822" s="2"/>
      <c r="I822" s="2"/>
      <c r="J822" s="2"/>
      <c r="K822" s="2"/>
      <c r="L822" s="2"/>
      <c r="M822" s="2"/>
      <c r="N822" s="2"/>
      <c r="O822" s="7"/>
      <c r="P822" s="8"/>
      <c r="Q822" s="9"/>
      <c r="R822" s="7"/>
      <c r="S822" s="8"/>
      <c r="T822" s="10"/>
      <c r="U822" s="2"/>
      <c r="V822" s="2"/>
    </row>
    <row r="823" spans="2:22" x14ac:dyDescent="0.2">
      <c r="B823" s="40">
        <v>44932</v>
      </c>
      <c r="C823" s="41">
        <v>4.3099999999999996</v>
      </c>
      <c r="E823" s="2"/>
      <c r="F823" s="2"/>
      <c r="G823" s="2"/>
      <c r="H823" s="2"/>
      <c r="I823" s="2"/>
      <c r="J823" s="2"/>
      <c r="K823" s="2"/>
      <c r="L823" s="2"/>
      <c r="M823" s="2"/>
      <c r="N823" s="2"/>
      <c r="O823" s="7"/>
      <c r="P823" s="8"/>
      <c r="Q823" s="9"/>
      <c r="R823" s="7"/>
      <c r="S823" s="8"/>
      <c r="T823" s="10"/>
      <c r="U823" s="2"/>
      <c r="V823" s="2"/>
    </row>
    <row r="824" spans="2:22" x14ac:dyDescent="0.2">
      <c r="B824" s="40">
        <v>44935</v>
      </c>
      <c r="C824" s="41">
        <v>4.3099999999999996</v>
      </c>
      <c r="E824" s="2"/>
      <c r="F824" s="2"/>
      <c r="G824" s="2"/>
      <c r="H824" s="2"/>
      <c r="I824" s="2"/>
      <c r="J824" s="2"/>
      <c r="K824" s="2"/>
      <c r="L824" s="2"/>
      <c r="M824" s="2"/>
      <c r="N824" s="2"/>
      <c r="O824" s="7"/>
      <c r="P824" s="8"/>
      <c r="Q824" s="9"/>
      <c r="R824" s="7"/>
      <c r="S824" s="8"/>
      <c r="T824" s="10"/>
      <c r="U824" s="2"/>
      <c r="V824" s="2"/>
    </row>
    <row r="825" spans="2:22" x14ac:dyDescent="0.2">
      <c r="B825" s="40">
        <v>44936</v>
      </c>
      <c r="C825" s="41">
        <v>4.3099999999999996</v>
      </c>
      <c r="E825" s="2"/>
      <c r="F825" s="2"/>
      <c r="G825" s="2"/>
      <c r="H825" s="2"/>
      <c r="I825" s="2"/>
      <c r="J825" s="2"/>
      <c r="K825" s="2"/>
      <c r="L825" s="2"/>
      <c r="M825" s="2"/>
      <c r="N825" s="2"/>
      <c r="O825" s="7"/>
      <c r="P825" s="8"/>
      <c r="Q825" s="9"/>
      <c r="R825" s="7"/>
      <c r="S825" s="8"/>
      <c r="T825" s="10"/>
      <c r="U825" s="2"/>
      <c r="V825" s="2"/>
    </row>
    <row r="826" spans="2:22" x14ac:dyDescent="0.2">
      <c r="B826" s="40">
        <v>44937</v>
      </c>
      <c r="C826" s="41">
        <v>4.3</v>
      </c>
      <c r="E826" s="2"/>
      <c r="F826" s="2"/>
      <c r="G826" s="2"/>
      <c r="H826" s="2"/>
      <c r="I826" s="2"/>
      <c r="J826" s="2"/>
      <c r="K826" s="2"/>
      <c r="L826" s="2"/>
      <c r="M826" s="2"/>
      <c r="N826" s="2"/>
      <c r="O826" s="7"/>
      <c r="P826" s="8"/>
      <c r="Q826" s="9"/>
      <c r="R826" s="7"/>
      <c r="S826" s="8"/>
      <c r="T826" s="10"/>
      <c r="U826" s="2"/>
      <c r="V826" s="2"/>
    </row>
    <row r="827" spans="2:22" x14ac:dyDescent="0.2">
      <c r="B827" s="40">
        <v>44938</v>
      </c>
      <c r="C827" s="41">
        <v>4.3</v>
      </c>
      <c r="E827" s="2"/>
      <c r="F827" s="2"/>
      <c r="G827" s="2"/>
      <c r="H827" s="2"/>
      <c r="I827" s="2"/>
      <c r="J827" s="2"/>
      <c r="K827" s="2"/>
      <c r="L827" s="2"/>
      <c r="M827" s="2"/>
      <c r="N827" s="2"/>
      <c r="O827" s="7"/>
      <c r="P827" s="8"/>
      <c r="Q827" s="9"/>
      <c r="R827" s="7"/>
      <c r="S827" s="8"/>
      <c r="T827" s="10"/>
      <c r="U827" s="2"/>
      <c r="V827" s="2"/>
    </row>
    <row r="828" spans="2:22" x14ac:dyDescent="0.2">
      <c r="B828" s="40">
        <v>44939</v>
      </c>
      <c r="C828" s="41">
        <v>4.3</v>
      </c>
      <c r="E828" s="2"/>
      <c r="F828" s="2"/>
      <c r="G828" s="2"/>
      <c r="H828" s="2"/>
      <c r="I828" s="2"/>
      <c r="J828" s="2"/>
      <c r="K828" s="2"/>
      <c r="L828" s="2"/>
      <c r="M828" s="2"/>
      <c r="N828" s="2"/>
      <c r="O828" s="7"/>
      <c r="P828" s="8"/>
      <c r="Q828" s="9"/>
      <c r="R828" s="7"/>
      <c r="S828" s="8"/>
      <c r="T828" s="10"/>
      <c r="U828" s="2"/>
      <c r="V828" s="2"/>
    </row>
    <row r="829" spans="2:22" x14ac:dyDescent="0.2">
      <c r="B829" s="40">
        <v>44943</v>
      </c>
      <c r="C829" s="41">
        <v>4.3099999999999996</v>
      </c>
      <c r="E829" s="2"/>
      <c r="F829" s="2"/>
      <c r="G829" s="2"/>
      <c r="H829" s="2"/>
      <c r="I829" s="2"/>
      <c r="J829" s="2"/>
      <c r="K829" s="2"/>
      <c r="L829" s="2"/>
      <c r="M829" s="2"/>
      <c r="N829" s="2"/>
      <c r="O829" s="7"/>
      <c r="P829" s="8"/>
      <c r="Q829" s="9"/>
      <c r="R829" s="7"/>
      <c r="S829" s="8"/>
      <c r="T829" s="10"/>
      <c r="U829" s="2"/>
      <c r="V829" s="2"/>
    </row>
    <row r="830" spans="2:22" x14ac:dyDescent="0.2">
      <c r="B830" s="40">
        <v>44944</v>
      </c>
      <c r="C830" s="41">
        <v>4.3</v>
      </c>
      <c r="E830" s="2"/>
      <c r="F830" s="2"/>
      <c r="G830" s="2"/>
      <c r="H830" s="2"/>
      <c r="I830" s="2"/>
      <c r="J830" s="2"/>
      <c r="K830" s="2"/>
      <c r="L830" s="2"/>
      <c r="M830" s="2"/>
      <c r="N830" s="2"/>
      <c r="O830" s="7"/>
      <c r="P830" s="8"/>
      <c r="Q830" s="9"/>
      <c r="R830" s="7"/>
      <c r="S830" s="8"/>
      <c r="T830" s="10"/>
      <c r="U830" s="2"/>
      <c r="V830" s="2"/>
    </row>
    <row r="831" spans="2:22" x14ac:dyDescent="0.2">
      <c r="B831" s="40">
        <v>44945</v>
      </c>
      <c r="C831" s="41">
        <v>4.3099999999999996</v>
      </c>
      <c r="E831" s="2"/>
      <c r="F831" s="2"/>
      <c r="G831" s="2"/>
      <c r="H831" s="2"/>
      <c r="I831" s="2"/>
      <c r="J831" s="2"/>
      <c r="K831" s="2"/>
      <c r="L831" s="2"/>
      <c r="M831" s="2"/>
      <c r="N831" s="2"/>
      <c r="O831" s="7"/>
      <c r="P831" s="8"/>
      <c r="Q831" s="9"/>
      <c r="R831" s="7"/>
      <c r="S831" s="8"/>
      <c r="T831" s="10"/>
      <c r="U831" s="2"/>
      <c r="V831" s="2"/>
    </row>
    <row r="832" spans="2:22" x14ac:dyDescent="0.2">
      <c r="B832" s="40">
        <v>44946</v>
      </c>
      <c r="C832" s="41">
        <v>4.3</v>
      </c>
      <c r="E832" s="2"/>
      <c r="F832" s="2"/>
      <c r="G832" s="2"/>
      <c r="H832" s="2"/>
      <c r="I832" s="2"/>
      <c r="J832" s="2"/>
      <c r="K832" s="2"/>
      <c r="L832" s="2"/>
      <c r="M832" s="2"/>
      <c r="N832" s="2"/>
      <c r="O832" s="7"/>
      <c r="P832" s="8"/>
      <c r="Q832" s="9"/>
      <c r="R832" s="7"/>
      <c r="S832" s="8"/>
      <c r="T832" s="10"/>
      <c r="U832" s="2"/>
      <c r="V832" s="2"/>
    </row>
    <row r="833" spans="2:22" x14ac:dyDescent="0.2">
      <c r="B833" s="40">
        <v>44949</v>
      </c>
      <c r="C833" s="41">
        <v>4.3</v>
      </c>
      <c r="E833" s="2"/>
      <c r="F833" s="2"/>
      <c r="G833" s="2"/>
      <c r="H833" s="2"/>
      <c r="I833" s="2"/>
      <c r="J833" s="2"/>
      <c r="K833" s="2"/>
      <c r="L833" s="2"/>
      <c r="M833" s="2"/>
      <c r="N833" s="2"/>
      <c r="O833" s="7"/>
      <c r="P833" s="8"/>
      <c r="Q833" s="9"/>
      <c r="R833" s="7"/>
      <c r="S833" s="8"/>
      <c r="T833" s="10"/>
      <c r="U833" s="2"/>
      <c r="V833" s="2"/>
    </row>
    <row r="834" spans="2:22" x14ac:dyDescent="0.2">
      <c r="B834" s="40">
        <v>44950</v>
      </c>
      <c r="C834" s="41">
        <v>4.3</v>
      </c>
      <c r="E834" s="2"/>
      <c r="F834" s="2"/>
      <c r="G834" s="2"/>
      <c r="H834" s="2"/>
      <c r="I834" s="2"/>
      <c r="J834" s="2"/>
      <c r="K834" s="2"/>
      <c r="L834" s="2"/>
      <c r="M834" s="2"/>
      <c r="N834" s="2"/>
      <c r="O834" s="7"/>
      <c r="P834" s="8"/>
      <c r="Q834" s="9"/>
      <c r="R834" s="7"/>
      <c r="S834" s="8"/>
      <c r="T834" s="10"/>
      <c r="U834" s="2"/>
      <c r="V834" s="2"/>
    </row>
    <row r="835" spans="2:22" x14ac:dyDescent="0.2">
      <c r="B835" s="40">
        <v>44951</v>
      </c>
      <c r="C835" s="41">
        <v>4.3099999999999996</v>
      </c>
      <c r="E835" s="2"/>
      <c r="F835" s="2"/>
      <c r="G835" s="2"/>
      <c r="H835" s="2"/>
      <c r="I835" s="2"/>
      <c r="J835" s="2"/>
      <c r="K835" s="2"/>
      <c r="L835" s="2"/>
      <c r="M835" s="2"/>
      <c r="N835" s="2"/>
      <c r="O835" s="7"/>
      <c r="P835" s="8"/>
      <c r="Q835" s="9"/>
      <c r="R835" s="7"/>
      <c r="S835" s="8"/>
      <c r="T835" s="10"/>
      <c r="U835" s="2"/>
      <c r="V835" s="2"/>
    </row>
    <row r="836" spans="2:22" x14ac:dyDescent="0.2">
      <c r="B836" s="40">
        <v>44952</v>
      </c>
      <c r="C836" s="41">
        <v>4.3</v>
      </c>
      <c r="E836" s="2"/>
      <c r="F836" s="2"/>
      <c r="G836" s="2"/>
      <c r="H836" s="2"/>
      <c r="I836" s="2"/>
      <c r="J836" s="2"/>
      <c r="K836" s="2"/>
      <c r="L836" s="2"/>
      <c r="M836" s="2"/>
      <c r="N836" s="2"/>
      <c r="O836" s="7"/>
      <c r="P836" s="8"/>
      <c r="Q836" s="9"/>
      <c r="R836" s="7"/>
      <c r="S836" s="8"/>
      <c r="T836" s="10"/>
      <c r="U836" s="2"/>
      <c r="V836" s="2"/>
    </row>
    <row r="837" spans="2:22" x14ac:dyDescent="0.2">
      <c r="B837" s="40">
        <v>44953</v>
      </c>
      <c r="C837" s="41">
        <v>4.3</v>
      </c>
      <c r="E837" s="2"/>
      <c r="F837" s="2"/>
      <c r="G837" s="2"/>
      <c r="H837" s="2"/>
      <c r="I837" s="2"/>
      <c r="J837" s="2"/>
      <c r="K837" s="2"/>
      <c r="L837" s="2"/>
      <c r="M837" s="2"/>
      <c r="N837" s="2"/>
      <c r="O837" s="7"/>
      <c r="P837" s="8"/>
      <c r="Q837" s="9"/>
      <c r="R837" s="7"/>
      <c r="S837" s="8"/>
      <c r="T837" s="10"/>
      <c r="U837" s="2"/>
      <c r="V837" s="2"/>
    </row>
    <row r="838" spans="2:22" x14ac:dyDescent="0.2">
      <c r="B838" s="40">
        <v>44956</v>
      </c>
      <c r="C838" s="41">
        <v>4.3</v>
      </c>
      <c r="E838" s="2"/>
      <c r="F838" s="2"/>
      <c r="G838" s="2"/>
      <c r="H838" s="2"/>
      <c r="I838" s="2"/>
      <c r="J838" s="2"/>
      <c r="K838" s="2"/>
      <c r="L838" s="2"/>
      <c r="M838" s="2"/>
      <c r="N838" s="2"/>
      <c r="O838" s="7"/>
      <c r="P838" s="8"/>
      <c r="Q838" s="9"/>
      <c r="R838" s="7"/>
      <c r="S838" s="8"/>
      <c r="T838" s="10"/>
      <c r="U838" s="2"/>
      <c r="V838" s="2"/>
    </row>
    <row r="839" spans="2:22" x14ac:dyDescent="0.2">
      <c r="B839" s="40">
        <v>44957</v>
      </c>
      <c r="C839" s="41">
        <v>4.3099999999999996</v>
      </c>
      <c r="E839" s="2"/>
      <c r="F839" s="2"/>
      <c r="G839" s="2"/>
      <c r="H839" s="2"/>
      <c r="I839" s="2"/>
      <c r="J839" s="2"/>
      <c r="K839" s="2"/>
      <c r="L839" s="2"/>
      <c r="M839" s="2"/>
      <c r="N839" s="2"/>
      <c r="O839" s="7"/>
      <c r="P839" s="8"/>
      <c r="Q839" s="9"/>
      <c r="R839" s="7"/>
      <c r="S839" s="8"/>
      <c r="T839" s="10"/>
      <c r="U839" s="2"/>
      <c r="V839" s="2"/>
    </row>
    <row r="840" spans="2:22" x14ac:dyDescent="0.2">
      <c r="B840" s="40">
        <v>44958</v>
      </c>
      <c r="C840" s="41">
        <v>4.3099999999999996</v>
      </c>
      <c r="E840" s="2"/>
      <c r="F840" s="2"/>
      <c r="G840" s="2"/>
      <c r="H840" s="2"/>
      <c r="I840" s="2"/>
      <c r="J840" s="2"/>
      <c r="K840" s="2"/>
      <c r="L840" s="2"/>
      <c r="M840" s="2"/>
      <c r="N840" s="2"/>
      <c r="O840" s="7"/>
      <c r="P840" s="8"/>
      <c r="Q840" s="9"/>
      <c r="R840" s="7"/>
      <c r="S840" s="8"/>
      <c r="T840" s="10"/>
      <c r="U840" s="2"/>
      <c r="V840" s="2"/>
    </row>
    <row r="841" spans="2:22" x14ac:dyDescent="0.2">
      <c r="B841" s="40">
        <v>44959</v>
      </c>
      <c r="C841" s="41">
        <v>4.5599999999999996</v>
      </c>
      <c r="E841" s="2"/>
      <c r="F841" s="2"/>
      <c r="G841" s="2"/>
      <c r="H841" s="2"/>
      <c r="I841" s="2"/>
      <c r="J841" s="2"/>
      <c r="K841" s="2"/>
      <c r="L841" s="2"/>
      <c r="M841" s="2"/>
      <c r="N841" s="2"/>
      <c r="O841" s="7"/>
      <c r="P841" s="8"/>
      <c r="Q841" s="9"/>
      <c r="R841" s="7"/>
      <c r="S841" s="8"/>
      <c r="T841" s="10"/>
      <c r="U841" s="2"/>
      <c r="V841" s="2"/>
    </row>
    <row r="842" spans="2:22" x14ac:dyDescent="0.2">
      <c r="B842" s="40">
        <v>44960</v>
      </c>
      <c r="C842" s="41">
        <v>4.55</v>
      </c>
      <c r="E842" s="2"/>
      <c r="F842" s="2"/>
      <c r="G842" s="2"/>
      <c r="H842" s="2"/>
      <c r="I842" s="2"/>
      <c r="J842" s="2"/>
      <c r="K842" s="2"/>
      <c r="L842" s="2"/>
      <c r="M842" s="2"/>
      <c r="N842" s="2"/>
      <c r="O842" s="7"/>
      <c r="P842" s="8"/>
      <c r="Q842" s="9"/>
      <c r="R842" s="7"/>
      <c r="S842" s="8"/>
      <c r="T842" s="10"/>
      <c r="U842" s="2"/>
      <c r="V842" s="2"/>
    </row>
    <row r="843" spans="2:22" x14ac:dyDescent="0.2">
      <c r="B843" s="40">
        <v>44963</v>
      </c>
      <c r="C843" s="41">
        <v>4.55</v>
      </c>
      <c r="E843" s="2"/>
      <c r="F843" s="2"/>
      <c r="G843" s="2"/>
      <c r="H843" s="2"/>
      <c r="I843" s="2"/>
      <c r="J843" s="2"/>
      <c r="K843" s="2"/>
      <c r="L843" s="2"/>
      <c r="M843" s="2"/>
      <c r="N843" s="2"/>
      <c r="O843" s="7"/>
      <c r="P843" s="8"/>
      <c r="Q843" s="9"/>
      <c r="R843" s="7"/>
      <c r="S843" s="8"/>
      <c r="T843" s="10"/>
      <c r="U843" s="2"/>
      <c r="V843" s="2"/>
    </row>
    <row r="844" spans="2:22" x14ac:dyDescent="0.2">
      <c r="B844" s="40">
        <v>44964</v>
      </c>
      <c r="C844" s="41">
        <v>4.55</v>
      </c>
      <c r="E844" s="2"/>
      <c r="F844" s="2"/>
      <c r="G844" s="2"/>
      <c r="H844" s="2"/>
      <c r="I844" s="2"/>
      <c r="J844" s="2"/>
      <c r="K844" s="2"/>
      <c r="L844" s="2"/>
      <c r="M844" s="2"/>
      <c r="N844" s="2"/>
      <c r="O844" s="7"/>
      <c r="P844" s="8"/>
      <c r="Q844" s="9"/>
      <c r="R844" s="7"/>
      <c r="S844" s="8"/>
      <c r="T844" s="10"/>
      <c r="U844" s="2"/>
      <c r="V844" s="2"/>
    </row>
    <row r="845" spans="2:22" x14ac:dyDescent="0.2">
      <c r="B845" s="40">
        <v>44965</v>
      </c>
      <c r="C845" s="41">
        <v>4.55</v>
      </c>
      <c r="E845" s="2"/>
      <c r="F845" s="2"/>
      <c r="G845" s="2"/>
      <c r="H845" s="2"/>
      <c r="I845" s="2"/>
      <c r="J845" s="2"/>
      <c r="K845" s="2"/>
      <c r="L845" s="2"/>
      <c r="M845" s="2"/>
      <c r="N845" s="2"/>
      <c r="O845" s="7"/>
      <c r="P845" s="8"/>
      <c r="Q845" s="9"/>
      <c r="R845" s="7"/>
      <c r="S845" s="8"/>
      <c r="T845" s="10"/>
      <c r="U845" s="2"/>
      <c r="V845" s="2"/>
    </row>
    <row r="846" spans="2:22" x14ac:dyDescent="0.2">
      <c r="B846" s="40">
        <v>44966</v>
      </c>
      <c r="C846" s="41">
        <v>4.55</v>
      </c>
      <c r="E846" s="2"/>
      <c r="F846" s="2"/>
      <c r="G846" s="2"/>
      <c r="H846" s="2"/>
      <c r="I846" s="2"/>
      <c r="J846" s="2"/>
      <c r="K846" s="2"/>
      <c r="L846" s="2"/>
      <c r="M846" s="2"/>
      <c r="N846" s="2"/>
      <c r="O846" s="7"/>
      <c r="P846" s="8"/>
      <c r="Q846" s="9"/>
      <c r="R846" s="7"/>
      <c r="S846" s="8"/>
      <c r="T846" s="10"/>
      <c r="U846" s="2"/>
      <c r="V846" s="2"/>
    </row>
    <row r="847" spans="2:22" x14ac:dyDescent="0.2">
      <c r="B847" s="40">
        <v>44967</v>
      </c>
      <c r="C847" s="41">
        <v>4.55</v>
      </c>
      <c r="E847" s="2"/>
      <c r="F847" s="2"/>
      <c r="G847" s="2"/>
      <c r="H847" s="2"/>
      <c r="I847" s="2"/>
      <c r="J847" s="2"/>
      <c r="K847" s="2"/>
      <c r="L847" s="2"/>
      <c r="M847" s="2"/>
      <c r="N847" s="2"/>
      <c r="O847" s="7"/>
      <c r="P847" s="8"/>
      <c r="Q847" s="9"/>
      <c r="R847" s="7"/>
      <c r="S847" s="8"/>
      <c r="T847" s="10"/>
      <c r="U847" s="2"/>
      <c r="V847" s="2"/>
    </row>
    <row r="848" spans="2:22" x14ac:dyDescent="0.2">
      <c r="B848" s="40">
        <v>44970</v>
      </c>
      <c r="C848" s="41">
        <v>4.55</v>
      </c>
      <c r="E848" s="2"/>
      <c r="F848" s="2"/>
      <c r="G848" s="2"/>
      <c r="H848" s="2"/>
      <c r="I848" s="2"/>
      <c r="J848" s="2"/>
      <c r="K848" s="2"/>
      <c r="L848" s="2"/>
      <c r="M848" s="2"/>
      <c r="N848" s="2"/>
      <c r="O848" s="7"/>
      <c r="P848" s="8"/>
      <c r="Q848" s="9"/>
      <c r="R848" s="7"/>
      <c r="S848" s="8"/>
      <c r="T848" s="10"/>
      <c r="U848" s="2"/>
      <c r="V848" s="2"/>
    </row>
    <row r="849" spans="2:22" x14ac:dyDescent="0.2">
      <c r="B849" s="40">
        <v>44971</v>
      </c>
      <c r="C849" s="41">
        <v>4.55</v>
      </c>
      <c r="E849" s="2"/>
      <c r="F849" s="2"/>
      <c r="G849" s="2"/>
      <c r="H849" s="2"/>
      <c r="I849" s="2"/>
      <c r="J849" s="2"/>
      <c r="K849" s="2"/>
      <c r="L849" s="2"/>
      <c r="M849" s="2"/>
      <c r="N849" s="2"/>
      <c r="O849" s="7"/>
      <c r="P849" s="8"/>
      <c r="Q849" s="9"/>
      <c r="R849" s="7"/>
      <c r="S849" s="8"/>
      <c r="T849" s="10"/>
      <c r="U849" s="2"/>
      <c r="V849" s="2"/>
    </row>
    <row r="850" spans="2:22" x14ac:dyDescent="0.2">
      <c r="B850" s="40">
        <v>44972</v>
      </c>
      <c r="C850" s="41">
        <v>4.55</v>
      </c>
      <c r="E850" s="2"/>
      <c r="F850" s="2"/>
      <c r="G850" s="2"/>
      <c r="H850" s="2"/>
      <c r="I850" s="2"/>
      <c r="J850" s="2"/>
      <c r="K850" s="2"/>
      <c r="L850" s="2"/>
      <c r="M850" s="2"/>
      <c r="N850" s="2"/>
      <c r="O850" s="7"/>
      <c r="P850" s="8"/>
      <c r="Q850" s="9"/>
      <c r="R850" s="7"/>
      <c r="S850" s="8"/>
      <c r="T850" s="10"/>
      <c r="U850" s="2"/>
      <c r="V850" s="2"/>
    </row>
    <row r="851" spans="2:22" x14ac:dyDescent="0.2">
      <c r="B851" s="40">
        <v>44973</v>
      </c>
      <c r="C851" s="41">
        <v>4.55</v>
      </c>
      <c r="E851" s="2"/>
      <c r="F851" s="2"/>
      <c r="G851" s="2"/>
      <c r="H851" s="2"/>
      <c r="I851" s="2"/>
      <c r="J851" s="2"/>
      <c r="K851" s="2"/>
      <c r="L851" s="2"/>
      <c r="M851" s="2"/>
      <c r="N851" s="2"/>
      <c r="O851" s="7"/>
      <c r="P851" s="8"/>
      <c r="Q851" s="9"/>
      <c r="R851" s="7"/>
      <c r="S851" s="8"/>
      <c r="T851" s="10"/>
      <c r="U851" s="2"/>
      <c r="V851" s="2"/>
    </row>
    <row r="852" spans="2:22" x14ac:dyDescent="0.2">
      <c r="B852" s="40">
        <v>44974</v>
      </c>
      <c r="C852" s="41">
        <v>4.55</v>
      </c>
      <c r="E852" s="2"/>
      <c r="F852" s="2"/>
      <c r="G852" s="2"/>
      <c r="H852" s="2"/>
      <c r="I852" s="2"/>
      <c r="J852" s="2"/>
      <c r="K852" s="2"/>
      <c r="L852" s="2"/>
      <c r="M852" s="2"/>
      <c r="N852" s="2"/>
      <c r="O852" s="7"/>
      <c r="P852" s="8"/>
      <c r="Q852" s="9"/>
      <c r="R852" s="7"/>
      <c r="S852" s="8"/>
      <c r="T852" s="10"/>
      <c r="U852" s="2"/>
      <c r="V852" s="2"/>
    </row>
    <row r="853" spans="2:22" x14ac:dyDescent="0.2">
      <c r="B853" s="40">
        <v>44978</v>
      </c>
      <c r="C853" s="41">
        <v>4.55</v>
      </c>
      <c r="E853" s="2"/>
      <c r="F853" s="2"/>
      <c r="G853" s="2"/>
      <c r="H853" s="2"/>
      <c r="I853" s="2"/>
      <c r="J853" s="2"/>
      <c r="K853" s="2"/>
      <c r="L853" s="2"/>
      <c r="M853" s="2"/>
      <c r="N853" s="2"/>
      <c r="O853" s="7"/>
      <c r="P853" s="8"/>
      <c r="Q853" s="9"/>
      <c r="R853" s="7"/>
      <c r="S853" s="8"/>
      <c r="T853" s="10"/>
      <c r="U853" s="2"/>
      <c r="V853" s="2"/>
    </row>
    <row r="854" spans="2:22" x14ac:dyDescent="0.2">
      <c r="B854" s="40">
        <v>44979</v>
      </c>
      <c r="C854" s="41">
        <v>4.55</v>
      </c>
      <c r="E854" s="2"/>
      <c r="F854" s="2"/>
      <c r="G854" s="2"/>
      <c r="H854" s="2"/>
      <c r="I854" s="2"/>
      <c r="J854" s="2"/>
      <c r="K854" s="2"/>
      <c r="L854" s="2"/>
      <c r="M854" s="2"/>
      <c r="N854" s="2"/>
      <c r="O854" s="7"/>
      <c r="P854" s="8"/>
      <c r="Q854" s="9"/>
      <c r="R854" s="7"/>
      <c r="S854" s="8"/>
      <c r="T854" s="10"/>
      <c r="U854" s="2"/>
      <c r="V854" s="2"/>
    </row>
    <row r="855" spans="2:22" x14ac:dyDescent="0.2">
      <c r="B855" s="40">
        <v>44980</v>
      </c>
      <c r="C855" s="41">
        <v>4.55</v>
      </c>
      <c r="E855" s="2"/>
      <c r="F855" s="2"/>
      <c r="G855" s="2"/>
      <c r="H855" s="2"/>
      <c r="I855" s="2"/>
      <c r="J855" s="2"/>
      <c r="K855" s="2"/>
      <c r="L855" s="2"/>
      <c r="M855" s="2"/>
      <c r="N855" s="2"/>
      <c r="O855" s="7"/>
      <c r="P855" s="8"/>
      <c r="Q855" s="9"/>
      <c r="R855" s="7"/>
      <c r="S855" s="8"/>
      <c r="T855" s="10"/>
      <c r="U855" s="2"/>
      <c r="V855" s="2"/>
    </row>
    <row r="856" spans="2:22" x14ac:dyDescent="0.2">
      <c r="B856" s="40">
        <v>44981</v>
      </c>
      <c r="C856" s="41">
        <v>4.55</v>
      </c>
      <c r="E856" s="2"/>
      <c r="F856" s="2"/>
      <c r="G856" s="2"/>
      <c r="H856" s="2"/>
      <c r="I856" s="2"/>
      <c r="J856" s="2"/>
      <c r="K856" s="2"/>
      <c r="L856" s="2"/>
      <c r="M856" s="2"/>
      <c r="N856" s="2"/>
      <c r="O856" s="7"/>
      <c r="P856" s="8"/>
      <c r="Q856" s="9"/>
      <c r="R856" s="7"/>
      <c r="S856" s="8"/>
      <c r="T856" s="10"/>
      <c r="U856" s="2"/>
      <c r="V856" s="2"/>
    </row>
    <row r="857" spans="2:22" x14ac:dyDescent="0.2">
      <c r="B857" s="40">
        <v>44984</v>
      </c>
      <c r="C857" s="41">
        <v>4.55</v>
      </c>
      <c r="E857" s="2"/>
      <c r="F857" s="2"/>
      <c r="G857" s="2"/>
      <c r="H857" s="2"/>
      <c r="I857" s="2"/>
      <c r="J857" s="2"/>
      <c r="K857" s="2"/>
      <c r="L857" s="2"/>
      <c r="M857" s="2"/>
      <c r="N857" s="2"/>
      <c r="O857" s="7"/>
      <c r="P857" s="8"/>
      <c r="Q857" s="9"/>
      <c r="R857" s="7"/>
      <c r="S857" s="8"/>
      <c r="T857" s="10"/>
      <c r="U857" s="2"/>
      <c r="V857" s="2"/>
    </row>
    <row r="858" spans="2:22" x14ac:dyDescent="0.2">
      <c r="B858" s="40">
        <v>44985</v>
      </c>
      <c r="C858" s="41">
        <v>4.55</v>
      </c>
      <c r="E858" s="2"/>
      <c r="F858" s="2"/>
      <c r="G858" s="2"/>
      <c r="H858" s="2"/>
      <c r="I858" s="2"/>
      <c r="J858" s="2"/>
      <c r="K858" s="2"/>
      <c r="L858" s="2"/>
      <c r="M858" s="2"/>
      <c r="N858" s="2"/>
      <c r="O858" s="7"/>
      <c r="P858" s="8"/>
      <c r="Q858" s="9"/>
      <c r="R858" s="7"/>
      <c r="S858" s="8"/>
      <c r="T858" s="10"/>
      <c r="U858" s="2"/>
      <c r="V858" s="2"/>
    </row>
    <row r="859" spans="2:22" x14ac:dyDescent="0.2">
      <c r="B859" s="40">
        <v>44986</v>
      </c>
      <c r="C859" s="41">
        <v>4.55</v>
      </c>
      <c r="E859" s="2"/>
      <c r="F859" s="2"/>
      <c r="G859" s="2"/>
      <c r="H859" s="2"/>
      <c r="I859" s="2"/>
      <c r="J859" s="2"/>
      <c r="K859" s="2"/>
      <c r="L859" s="2"/>
      <c r="M859" s="2"/>
      <c r="N859" s="2"/>
      <c r="O859" s="7"/>
      <c r="P859" s="8"/>
      <c r="Q859" s="9"/>
      <c r="R859" s="7"/>
      <c r="S859" s="8"/>
      <c r="T859" s="10"/>
      <c r="U859" s="2"/>
      <c r="V859" s="2"/>
    </row>
    <row r="860" spans="2:22" x14ac:dyDescent="0.2">
      <c r="B860" s="40">
        <v>44987</v>
      </c>
      <c r="C860" s="41">
        <v>4.55</v>
      </c>
      <c r="E860" s="2"/>
      <c r="F860" s="2"/>
      <c r="G860" s="2"/>
      <c r="H860" s="2"/>
      <c r="I860" s="2"/>
      <c r="J860" s="2"/>
      <c r="K860" s="2"/>
      <c r="L860" s="2"/>
      <c r="M860" s="2"/>
      <c r="N860" s="2"/>
      <c r="O860" s="7"/>
      <c r="P860" s="8"/>
      <c r="Q860" s="9"/>
      <c r="R860" s="7"/>
      <c r="S860" s="8"/>
      <c r="T860" s="10"/>
      <c r="U860" s="2"/>
      <c r="V860" s="2"/>
    </row>
    <row r="861" spans="2:22" x14ac:dyDescent="0.2">
      <c r="B861" s="40">
        <v>44988</v>
      </c>
      <c r="C861" s="41">
        <v>4.55</v>
      </c>
      <c r="E861" s="2"/>
      <c r="F861" s="2"/>
      <c r="G861" s="2"/>
      <c r="H861" s="2"/>
      <c r="I861" s="2"/>
      <c r="J861" s="2"/>
      <c r="K861" s="2"/>
      <c r="L861" s="2"/>
      <c r="M861" s="2"/>
      <c r="N861" s="2"/>
      <c r="O861" s="7"/>
      <c r="P861" s="8"/>
      <c r="Q861" s="9"/>
      <c r="R861" s="7"/>
      <c r="S861" s="8"/>
      <c r="T861" s="10"/>
      <c r="U861" s="2"/>
      <c r="V861" s="2"/>
    </row>
    <row r="862" spans="2:22" x14ac:dyDescent="0.2">
      <c r="B862" s="40">
        <v>44991</v>
      </c>
      <c r="C862" s="41">
        <v>4.55</v>
      </c>
      <c r="E862" s="2"/>
      <c r="F862" s="2"/>
      <c r="G862" s="2"/>
      <c r="H862" s="2"/>
      <c r="I862" s="2"/>
      <c r="J862" s="2"/>
      <c r="K862" s="2"/>
      <c r="L862" s="2"/>
      <c r="M862" s="2"/>
      <c r="N862" s="2"/>
      <c r="O862" s="7"/>
      <c r="P862" s="8"/>
      <c r="Q862" s="9"/>
      <c r="R862" s="7"/>
      <c r="S862" s="8"/>
      <c r="T862" s="10"/>
      <c r="U862" s="2"/>
      <c r="V862" s="2"/>
    </row>
    <row r="863" spans="2:22" x14ac:dyDescent="0.2">
      <c r="B863" s="40">
        <v>44992</v>
      </c>
      <c r="C863" s="41">
        <v>4.55</v>
      </c>
      <c r="E863" s="2"/>
      <c r="F863" s="2"/>
      <c r="G863" s="2"/>
      <c r="H863" s="2"/>
      <c r="I863" s="2"/>
      <c r="J863" s="2"/>
      <c r="K863" s="2"/>
      <c r="L863" s="2"/>
      <c r="M863" s="2"/>
      <c r="N863" s="2"/>
      <c r="O863" s="7"/>
      <c r="P863" s="8"/>
      <c r="Q863" s="9"/>
      <c r="R863" s="7"/>
      <c r="S863" s="8"/>
      <c r="T863" s="10"/>
      <c r="U863" s="2"/>
      <c r="V863" s="2"/>
    </row>
    <row r="864" spans="2:22" x14ac:dyDescent="0.2">
      <c r="B864" s="40">
        <v>44993</v>
      </c>
      <c r="C864" s="41">
        <v>4.55</v>
      </c>
      <c r="E864" s="2"/>
      <c r="F864" s="2"/>
      <c r="G864" s="2"/>
      <c r="H864" s="2"/>
      <c r="I864" s="2"/>
      <c r="J864" s="2"/>
      <c r="K864" s="2"/>
      <c r="L864" s="2"/>
      <c r="M864" s="2"/>
      <c r="N864" s="2"/>
      <c r="O864" s="7"/>
      <c r="P864" s="8"/>
      <c r="Q864" s="9"/>
      <c r="R864" s="7"/>
      <c r="S864" s="8"/>
      <c r="T864" s="10"/>
      <c r="U864" s="2"/>
      <c r="V864" s="2"/>
    </row>
    <row r="865" spans="2:22" x14ac:dyDescent="0.2">
      <c r="B865" s="40">
        <v>44994</v>
      </c>
      <c r="C865" s="41">
        <v>4.55</v>
      </c>
      <c r="E865" s="2"/>
      <c r="F865" s="2"/>
      <c r="G865" s="2"/>
      <c r="H865" s="2"/>
      <c r="I865" s="2"/>
      <c r="J865" s="2"/>
      <c r="K865" s="2"/>
      <c r="L865" s="2"/>
      <c r="M865" s="2"/>
      <c r="N865" s="2"/>
      <c r="O865" s="7"/>
      <c r="P865" s="8"/>
      <c r="Q865" s="9"/>
      <c r="R865" s="7"/>
      <c r="S865" s="8"/>
      <c r="T865" s="10"/>
      <c r="U865" s="2"/>
      <c r="V865" s="2"/>
    </row>
    <row r="866" spans="2:22" x14ac:dyDescent="0.2">
      <c r="B866" s="40">
        <v>44995</v>
      </c>
      <c r="C866" s="41">
        <v>4.55</v>
      </c>
      <c r="E866" s="2"/>
      <c r="F866" s="2"/>
      <c r="G866" s="2"/>
      <c r="H866" s="2"/>
      <c r="I866" s="2"/>
      <c r="J866" s="2"/>
      <c r="K866" s="2"/>
      <c r="L866" s="2"/>
      <c r="M866" s="2"/>
      <c r="N866" s="2"/>
      <c r="O866" s="7"/>
      <c r="P866" s="8"/>
      <c r="Q866" s="9"/>
      <c r="R866" s="7"/>
      <c r="S866" s="8"/>
      <c r="T866" s="10"/>
      <c r="U866" s="2"/>
      <c r="V866" s="2"/>
    </row>
    <row r="867" spans="2:22" x14ac:dyDescent="0.2">
      <c r="B867" s="40">
        <v>44998</v>
      </c>
      <c r="C867" s="41">
        <v>4.55</v>
      </c>
      <c r="E867" s="2"/>
      <c r="F867" s="2"/>
      <c r="G867" s="2"/>
      <c r="H867" s="2"/>
      <c r="I867" s="2"/>
      <c r="J867" s="2"/>
      <c r="K867" s="2"/>
      <c r="L867" s="2"/>
      <c r="M867" s="2"/>
      <c r="N867" s="2"/>
      <c r="O867" s="7"/>
      <c r="P867" s="8"/>
      <c r="Q867" s="9"/>
      <c r="R867" s="7"/>
      <c r="S867" s="8"/>
      <c r="T867" s="10"/>
      <c r="U867" s="2"/>
      <c r="V867" s="2"/>
    </row>
    <row r="868" spans="2:22" x14ac:dyDescent="0.2">
      <c r="B868" s="40">
        <v>44999</v>
      </c>
      <c r="C868" s="41">
        <v>4.55</v>
      </c>
      <c r="E868" s="2"/>
      <c r="F868" s="2"/>
      <c r="G868" s="2"/>
      <c r="H868" s="2"/>
      <c r="I868" s="2"/>
      <c r="J868" s="2"/>
      <c r="K868" s="2"/>
      <c r="L868" s="2"/>
      <c r="M868" s="2"/>
      <c r="N868" s="2"/>
      <c r="O868" s="7"/>
      <c r="P868" s="8"/>
      <c r="Q868" s="9"/>
      <c r="R868" s="7"/>
      <c r="S868" s="8"/>
      <c r="T868" s="10"/>
      <c r="U868" s="2"/>
      <c r="V868" s="2"/>
    </row>
    <row r="869" spans="2:22" x14ac:dyDescent="0.2">
      <c r="B869" s="40">
        <v>45000</v>
      </c>
      <c r="C869" s="41">
        <v>4.58</v>
      </c>
      <c r="E869" s="2"/>
      <c r="F869" s="2"/>
      <c r="G869" s="2"/>
      <c r="H869" s="2"/>
      <c r="I869" s="2"/>
      <c r="J869" s="2"/>
      <c r="K869" s="2"/>
      <c r="L869" s="2"/>
      <c r="M869" s="2"/>
      <c r="N869" s="2"/>
      <c r="O869" s="7"/>
      <c r="P869" s="8"/>
      <c r="Q869" s="9"/>
      <c r="R869" s="7"/>
      <c r="S869" s="8"/>
      <c r="T869" s="10"/>
      <c r="U869" s="2"/>
      <c r="V869" s="2"/>
    </row>
    <row r="870" spans="2:22" x14ac:dyDescent="0.2">
      <c r="B870" s="40">
        <v>45001</v>
      </c>
      <c r="C870" s="41">
        <v>4.57</v>
      </c>
      <c r="E870" s="2"/>
      <c r="F870" s="2"/>
      <c r="G870" s="2"/>
      <c r="H870" s="2"/>
      <c r="I870" s="2"/>
      <c r="J870" s="2"/>
      <c r="K870" s="2"/>
      <c r="L870" s="2"/>
      <c r="M870" s="2"/>
      <c r="N870" s="2"/>
      <c r="O870" s="7"/>
      <c r="P870" s="8"/>
      <c r="Q870" s="9"/>
      <c r="R870" s="7"/>
      <c r="S870" s="8"/>
      <c r="T870" s="10"/>
      <c r="U870" s="2"/>
      <c r="V870" s="2"/>
    </row>
    <row r="871" spans="2:22" x14ac:dyDescent="0.2">
      <c r="B871" s="40">
        <v>45002</v>
      </c>
      <c r="C871" s="41">
        <v>4.55</v>
      </c>
      <c r="E871" s="2"/>
      <c r="F871" s="2"/>
      <c r="G871" s="2"/>
      <c r="H871" s="2"/>
      <c r="I871" s="2"/>
      <c r="J871" s="2"/>
      <c r="K871" s="2"/>
      <c r="L871" s="2"/>
      <c r="M871" s="2"/>
      <c r="N871" s="2"/>
      <c r="O871" s="7"/>
      <c r="P871" s="8"/>
      <c r="Q871" s="9"/>
      <c r="R871" s="7"/>
      <c r="S871" s="8"/>
      <c r="T871" s="10"/>
      <c r="U871" s="2"/>
      <c r="V871" s="2"/>
    </row>
    <row r="872" spans="2:22" x14ac:dyDescent="0.2">
      <c r="B872" s="40">
        <v>45005</v>
      </c>
      <c r="C872" s="41">
        <v>4.55</v>
      </c>
      <c r="E872" s="2"/>
      <c r="F872" s="2"/>
      <c r="G872" s="2"/>
      <c r="H872" s="2"/>
      <c r="I872" s="2"/>
      <c r="J872" s="2"/>
      <c r="K872" s="2"/>
      <c r="L872" s="2"/>
      <c r="M872" s="2"/>
      <c r="N872" s="2"/>
      <c r="O872" s="7"/>
      <c r="P872" s="8"/>
      <c r="Q872" s="9"/>
      <c r="R872" s="7"/>
      <c r="S872" s="8"/>
      <c r="T872" s="10"/>
      <c r="U872" s="2"/>
      <c r="V872" s="2"/>
    </row>
    <row r="873" spans="2:22" x14ac:dyDescent="0.2">
      <c r="B873" s="40">
        <v>45006</v>
      </c>
      <c r="C873" s="41">
        <v>4.55</v>
      </c>
      <c r="E873" s="2"/>
      <c r="F873" s="2"/>
      <c r="G873" s="2"/>
      <c r="H873" s="2"/>
      <c r="I873" s="2"/>
      <c r="J873" s="2"/>
      <c r="K873" s="2"/>
      <c r="L873" s="2"/>
      <c r="M873" s="2"/>
      <c r="N873" s="2"/>
      <c r="O873" s="7"/>
      <c r="P873" s="8"/>
      <c r="Q873" s="9"/>
      <c r="R873" s="7"/>
      <c r="S873" s="8"/>
      <c r="T873" s="10"/>
      <c r="U873" s="2"/>
      <c r="V873" s="2"/>
    </row>
    <row r="874" spans="2:22" x14ac:dyDescent="0.2">
      <c r="B874" s="40">
        <v>45007</v>
      </c>
      <c r="C874" s="41">
        <v>4.55</v>
      </c>
      <c r="E874" s="2"/>
      <c r="F874" s="2"/>
      <c r="G874" s="2"/>
      <c r="H874" s="2"/>
      <c r="I874" s="2"/>
      <c r="J874" s="2"/>
      <c r="K874" s="2"/>
      <c r="L874" s="2"/>
      <c r="M874" s="2"/>
      <c r="N874" s="2"/>
      <c r="O874" s="7"/>
      <c r="P874" s="8"/>
      <c r="Q874" s="9"/>
      <c r="R874" s="7"/>
      <c r="S874" s="8"/>
      <c r="T874" s="10"/>
      <c r="U874" s="2"/>
      <c r="V874" s="2"/>
    </row>
    <row r="875" spans="2:22" x14ac:dyDescent="0.2">
      <c r="B875" s="40">
        <v>45008</v>
      </c>
      <c r="C875" s="41">
        <v>4.8</v>
      </c>
      <c r="E875" s="2"/>
      <c r="F875" s="2"/>
      <c r="G875" s="2"/>
      <c r="H875" s="2"/>
      <c r="I875" s="2"/>
      <c r="J875" s="2"/>
      <c r="K875" s="2"/>
      <c r="L875" s="2"/>
      <c r="M875" s="2"/>
      <c r="N875" s="2"/>
      <c r="O875" s="7"/>
      <c r="P875" s="8"/>
      <c r="Q875" s="9"/>
      <c r="R875" s="7"/>
      <c r="S875" s="8"/>
      <c r="T875" s="10"/>
      <c r="U875" s="2"/>
      <c r="V875" s="2"/>
    </row>
    <row r="876" spans="2:22" x14ac:dyDescent="0.2">
      <c r="B876" s="40">
        <v>45009</v>
      </c>
      <c r="C876" s="41">
        <v>4.8</v>
      </c>
      <c r="E876" s="2"/>
      <c r="F876" s="2"/>
      <c r="G876" s="2"/>
      <c r="H876" s="2"/>
      <c r="I876" s="2"/>
      <c r="J876" s="2"/>
      <c r="K876" s="2"/>
      <c r="L876" s="2"/>
      <c r="M876" s="2"/>
      <c r="N876" s="2"/>
      <c r="O876" s="7"/>
      <c r="P876" s="8"/>
      <c r="Q876" s="9"/>
      <c r="R876" s="7"/>
      <c r="S876" s="8"/>
      <c r="T876" s="10"/>
      <c r="U876" s="2"/>
      <c r="V876" s="2"/>
    </row>
    <row r="877" spans="2:22" x14ac:dyDescent="0.2">
      <c r="B877" s="40">
        <v>45012</v>
      </c>
      <c r="C877" s="41">
        <v>4.8099999999999996</v>
      </c>
      <c r="E877" s="2"/>
      <c r="F877" s="2"/>
      <c r="G877" s="2"/>
      <c r="H877" s="2"/>
      <c r="I877" s="2"/>
      <c r="J877" s="2"/>
      <c r="K877" s="2"/>
      <c r="L877" s="2"/>
      <c r="M877" s="2"/>
      <c r="N877" s="2"/>
      <c r="O877" s="7"/>
      <c r="P877" s="8"/>
      <c r="Q877" s="9"/>
      <c r="R877" s="7"/>
      <c r="S877" s="8"/>
      <c r="T877" s="10"/>
      <c r="U877" s="2"/>
      <c r="V877" s="2"/>
    </row>
    <row r="878" spans="2:22" x14ac:dyDescent="0.2">
      <c r="B878" s="40">
        <v>45013</v>
      </c>
      <c r="C878" s="41">
        <v>4.84</v>
      </c>
      <c r="E878" s="2"/>
      <c r="F878" s="2"/>
      <c r="G878" s="2"/>
      <c r="H878" s="2"/>
      <c r="I878" s="2"/>
      <c r="J878" s="2"/>
      <c r="K878" s="2"/>
      <c r="L878" s="2"/>
      <c r="M878" s="2"/>
      <c r="N878" s="2"/>
      <c r="O878" s="7"/>
      <c r="P878" s="8"/>
      <c r="Q878" s="9"/>
      <c r="R878" s="7"/>
      <c r="S878" s="8"/>
      <c r="T878" s="10"/>
      <c r="U878" s="2"/>
      <c r="V878" s="2"/>
    </row>
    <row r="879" spans="2:22" x14ac:dyDescent="0.2">
      <c r="B879" s="40">
        <v>45014</v>
      </c>
      <c r="C879" s="41">
        <v>4.83</v>
      </c>
      <c r="E879" s="2"/>
      <c r="F879" s="2"/>
      <c r="G879" s="2"/>
      <c r="H879" s="2"/>
      <c r="I879" s="2"/>
      <c r="J879" s="2"/>
      <c r="K879" s="2"/>
      <c r="L879" s="2"/>
      <c r="M879" s="2"/>
      <c r="N879" s="2"/>
      <c r="O879" s="7"/>
      <c r="P879" s="8"/>
      <c r="Q879" s="9"/>
      <c r="R879" s="7"/>
      <c r="S879" s="8"/>
      <c r="T879" s="10"/>
      <c r="U879" s="2"/>
      <c r="V879" s="2"/>
    </row>
    <row r="880" spans="2:22" x14ac:dyDescent="0.2">
      <c r="B880" s="40">
        <v>45015</v>
      </c>
      <c r="C880" s="41">
        <v>4.82</v>
      </c>
      <c r="E880" s="2"/>
      <c r="F880" s="2"/>
      <c r="G880" s="2"/>
      <c r="H880" s="2"/>
      <c r="I880" s="2"/>
      <c r="J880" s="2"/>
      <c r="K880" s="2"/>
      <c r="L880" s="2"/>
      <c r="M880" s="2"/>
      <c r="N880" s="2"/>
      <c r="O880" s="7"/>
      <c r="P880" s="8"/>
      <c r="Q880" s="9"/>
      <c r="R880" s="7"/>
      <c r="S880" s="8"/>
      <c r="T880" s="10"/>
      <c r="U880" s="2"/>
      <c r="V880" s="2"/>
    </row>
    <row r="881" spans="2:22" x14ac:dyDescent="0.2">
      <c r="B881" s="40">
        <v>45016</v>
      </c>
      <c r="C881" s="41">
        <v>4.87</v>
      </c>
      <c r="E881" s="2"/>
      <c r="F881" s="2"/>
      <c r="G881" s="2"/>
      <c r="H881" s="2"/>
      <c r="I881" s="2"/>
      <c r="J881" s="2"/>
      <c r="K881" s="2"/>
      <c r="L881" s="2"/>
      <c r="M881" s="2"/>
      <c r="N881" s="2"/>
      <c r="O881" s="7"/>
      <c r="P881" s="8"/>
      <c r="Q881" s="9"/>
      <c r="R881" s="7"/>
      <c r="S881" s="8"/>
      <c r="T881" s="10"/>
      <c r="U881" s="2"/>
      <c r="V881" s="2"/>
    </row>
    <row r="882" spans="2:22" x14ac:dyDescent="0.2">
      <c r="B882" s="40">
        <v>45019</v>
      </c>
      <c r="C882" s="41">
        <v>4.84</v>
      </c>
      <c r="E882" s="2"/>
      <c r="F882" s="2"/>
      <c r="G882" s="2"/>
      <c r="H882" s="2"/>
      <c r="I882" s="2"/>
      <c r="J882" s="2"/>
      <c r="K882" s="2"/>
      <c r="L882" s="2"/>
      <c r="M882" s="2"/>
      <c r="N882" s="2"/>
      <c r="O882" s="7"/>
      <c r="P882" s="8"/>
      <c r="Q882" s="9"/>
      <c r="R882" s="7"/>
      <c r="S882" s="8"/>
      <c r="T882" s="10"/>
      <c r="U882" s="2"/>
      <c r="V882" s="2"/>
    </row>
    <row r="883" spans="2:22" x14ac:dyDescent="0.2">
      <c r="B883" s="40">
        <v>45020</v>
      </c>
      <c r="C883" s="41">
        <v>4.83</v>
      </c>
      <c r="E883" s="2"/>
      <c r="F883" s="2"/>
      <c r="G883" s="2"/>
      <c r="H883" s="2"/>
      <c r="I883" s="2"/>
      <c r="J883" s="2"/>
      <c r="K883" s="2"/>
      <c r="L883" s="2"/>
      <c r="M883" s="2"/>
      <c r="N883" s="2"/>
      <c r="O883" s="7"/>
      <c r="P883" s="8"/>
      <c r="Q883" s="9"/>
      <c r="R883" s="7"/>
      <c r="S883" s="8"/>
      <c r="T883" s="10"/>
      <c r="U883" s="2"/>
      <c r="V883" s="2"/>
    </row>
    <row r="884" spans="2:22" x14ac:dyDescent="0.2">
      <c r="B884" s="40">
        <v>45021</v>
      </c>
      <c r="C884" s="41">
        <v>4.8099999999999996</v>
      </c>
      <c r="E884" s="2"/>
      <c r="F884" s="2"/>
      <c r="G884" s="2"/>
      <c r="H884" s="2"/>
      <c r="I884" s="2"/>
      <c r="J884" s="2"/>
      <c r="K884" s="2"/>
      <c r="L884" s="2"/>
      <c r="M884" s="2"/>
      <c r="N884" s="2"/>
      <c r="O884" s="7"/>
      <c r="P884" s="8"/>
      <c r="Q884" s="9"/>
      <c r="R884" s="7"/>
      <c r="S884" s="8"/>
      <c r="T884" s="10"/>
      <c r="U884" s="2"/>
      <c r="V884" s="2"/>
    </row>
    <row r="885" spans="2:22" x14ac:dyDescent="0.2">
      <c r="B885" s="40">
        <v>45022</v>
      </c>
      <c r="C885" s="41">
        <v>4.8099999999999996</v>
      </c>
      <c r="E885" s="2"/>
      <c r="F885" s="2"/>
      <c r="G885" s="2"/>
      <c r="H885" s="2"/>
      <c r="I885" s="2"/>
      <c r="J885" s="2"/>
      <c r="K885" s="2"/>
      <c r="L885" s="2"/>
      <c r="M885" s="2"/>
      <c r="N885" s="2"/>
      <c r="O885" s="7"/>
      <c r="P885" s="8"/>
      <c r="Q885" s="9"/>
      <c r="R885" s="7"/>
      <c r="S885" s="8"/>
      <c r="T885" s="10"/>
      <c r="U885" s="2"/>
      <c r="V885" s="2"/>
    </row>
    <row r="886" spans="2:22" x14ac:dyDescent="0.2">
      <c r="B886" s="40">
        <v>45026</v>
      </c>
      <c r="C886" s="41">
        <v>4.8099999999999996</v>
      </c>
      <c r="E886" s="2"/>
      <c r="F886" s="2"/>
      <c r="G886" s="2"/>
      <c r="H886" s="2"/>
      <c r="I886" s="2"/>
      <c r="J886" s="2"/>
      <c r="K886" s="2"/>
      <c r="L886" s="2"/>
      <c r="M886" s="2"/>
      <c r="N886" s="2"/>
      <c r="O886" s="7"/>
      <c r="P886" s="8"/>
      <c r="Q886" s="9"/>
      <c r="R886" s="7"/>
      <c r="S886" s="8"/>
      <c r="T886" s="10"/>
      <c r="U886" s="2"/>
      <c r="V886" s="2"/>
    </row>
    <row r="887" spans="2:22" x14ac:dyDescent="0.2">
      <c r="B887" s="40">
        <v>45027</v>
      </c>
      <c r="C887" s="41">
        <v>4.8</v>
      </c>
      <c r="E887" s="2"/>
      <c r="F887" s="2"/>
      <c r="G887" s="2"/>
      <c r="H887" s="2"/>
      <c r="I887" s="2"/>
      <c r="J887" s="2"/>
      <c r="K887" s="2"/>
      <c r="L887" s="2"/>
      <c r="M887" s="2"/>
      <c r="N887" s="2"/>
      <c r="O887" s="7"/>
      <c r="P887" s="8"/>
      <c r="Q887" s="9"/>
      <c r="R887" s="7"/>
      <c r="S887" s="8"/>
      <c r="T887" s="10"/>
      <c r="U887" s="2"/>
      <c r="V887" s="2"/>
    </row>
    <row r="888" spans="2:22" x14ac:dyDescent="0.2">
      <c r="B888" s="40">
        <v>45028</v>
      </c>
      <c r="C888" s="41">
        <v>4.8</v>
      </c>
      <c r="E888" s="2"/>
      <c r="F888" s="2"/>
      <c r="G888" s="2"/>
      <c r="H888" s="2"/>
      <c r="I888" s="2"/>
      <c r="J888" s="2"/>
      <c r="K888" s="2"/>
      <c r="L888" s="2"/>
      <c r="M888" s="2"/>
      <c r="N888" s="2"/>
      <c r="O888" s="7"/>
      <c r="P888" s="8"/>
      <c r="Q888" s="9"/>
      <c r="R888" s="7"/>
      <c r="S888" s="8"/>
      <c r="T888" s="10"/>
      <c r="U888" s="2"/>
      <c r="V888" s="2"/>
    </row>
    <row r="889" spans="2:22" x14ac:dyDescent="0.2">
      <c r="B889" s="40">
        <v>45029</v>
      </c>
      <c r="C889" s="41">
        <v>4.8</v>
      </c>
      <c r="E889" s="2"/>
      <c r="F889" s="2"/>
      <c r="G889" s="2"/>
      <c r="H889" s="2"/>
      <c r="I889" s="2"/>
      <c r="J889" s="2"/>
      <c r="K889" s="2"/>
      <c r="L889" s="2"/>
      <c r="M889" s="2"/>
      <c r="N889" s="2"/>
      <c r="O889" s="7"/>
      <c r="P889" s="8"/>
      <c r="Q889" s="9"/>
      <c r="R889" s="7"/>
      <c r="S889" s="8"/>
      <c r="T889" s="10"/>
      <c r="U889" s="2"/>
      <c r="V889" s="2"/>
    </row>
    <row r="890" spans="2:22" x14ac:dyDescent="0.2">
      <c r="B890" s="40">
        <v>45030</v>
      </c>
      <c r="C890" s="41">
        <v>4.8</v>
      </c>
      <c r="E890" s="2"/>
      <c r="F890" s="2"/>
      <c r="G890" s="2"/>
      <c r="H890" s="2"/>
      <c r="I890" s="2"/>
      <c r="J890" s="2"/>
      <c r="K890" s="2"/>
      <c r="L890" s="2"/>
      <c r="M890" s="2"/>
      <c r="N890" s="2"/>
      <c r="O890" s="7"/>
      <c r="P890" s="8"/>
      <c r="Q890" s="9"/>
      <c r="R890" s="7"/>
      <c r="S890" s="8"/>
      <c r="T890" s="10"/>
      <c r="U890" s="2"/>
      <c r="V890" s="2"/>
    </row>
    <row r="891" spans="2:22" x14ac:dyDescent="0.2">
      <c r="B891" s="40">
        <v>45033</v>
      </c>
      <c r="C891" s="41">
        <v>4.8</v>
      </c>
      <c r="E891" s="2"/>
      <c r="F891" s="2"/>
      <c r="G891" s="2"/>
      <c r="H891" s="2"/>
      <c r="I891" s="2"/>
      <c r="J891" s="2"/>
      <c r="K891" s="2"/>
      <c r="L891" s="2"/>
      <c r="M891" s="2"/>
      <c r="N891" s="2"/>
      <c r="O891" s="7"/>
      <c r="P891" s="8"/>
      <c r="Q891" s="9"/>
      <c r="R891" s="7"/>
      <c r="S891" s="8"/>
      <c r="T891" s="10"/>
      <c r="U891" s="2"/>
      <c r="V891" s="2"/>
    </row>
    <row r="892" spans="2:22" x14ac:dyDescent="0.2">
      <c r="B892" s="40">
        <v>45034</v>
      </c>
      <c r="C892" s="41">
        <v>4.8</v>
      </c>
      <c r="E892" s="2"/>
      <c r="F892" s="2"/>
      <c r="G892" s="2"/>
      <c r="H892" s="2"/>
      <c r="I892" s="2"/>
      <c r="J892" s="2"/>
      <c r="K892" s="2"/>
      <c r="L892" s="2"/>
      <c r="M892" s="2"/>
      <c r="N892" s="2"/>
      <c r="O892" s="7"/>
      <c r="P892" s="8"/>
      <c r="Q892" s="9"/>
      <c r="R892" s="7"/>
      <c r="S892" s="8"/>
      <c r="T892" s="10"/>
      <c r="U892" s="2"/>
      <c r="V892" s="2"/>
    </row>
    <row r="893" spans="2:22" x14ac:dyDescent="0.2">
      <c r="B893" s="40">
        <v>45035</v>
      </c>
      <c r="C893" s="41">
        <v>4.8</v>
      </c>
      <c r="E893" s="2"/>
      <c r="F893" s="2"/>
      <c r="G893" s="2"/>
      <c r="H893" s="2"/>
      <c r="I893" s="2"/>
      <c r="J893" s="2"/>
      <c r="K893" s="2"/>
      <c r="L893" s="2"/>
      <c r="M893" s="2"/>
      <c r="N893" s="2"/>
      <c r="O893" s="7"/>
      <c r="P893" s="8"/>
      <c r="Q893" s="9"/>
      <c r="R893" s="7"/>
      <c r="S893" s="8"/>
      <c r="T893" s="10"/>
      <c r="U893" s="2"/>
      <c r="V893" s="2"/>
    </row>
    <row r="894" spans="2:22" x14ac:dyDescent="0.2">
      <c r="B894" s="40">
        <v>45036</v>
      </c>
      <c r="C894" s="41">
        <v>4.8</v>
      </c>
      <c r="E894" s="2"/>
      <c r="F894" s="2"/>
      <c r="G894" s="2"/>
      <c r="H894" s="2"/>
      <c r="I894" s="2"/>
      <c r="J894" s="2"/>
      <c r="K894" s="2"/>
      <c r="L894" s="2"/>
      <c r="M894" s="2"/>
      <c r="N894" s="2"/>
      <c r="O894" s="7"/>
      <c r="P894" s="8"/>
      <c r="Q894" s="9"/>
      <c r="R894" s="7"/>
      <c r="S894" s="8"/>
      <c r="T894" s="10"/>
      <c r="U894" s="2"/>
      <c r="V894" s="2"/>
    </row>
    <row r="895" spans="2:22" x14ac:dyDescent="0.2">
      <c r="B895" s="40">
        <v>45037</v>
      </c>
      <c r="C895" s="41">
        <v>4.8</v>
      </c>
      <c r="E895" s="2"/>
      <c r="F895" s="2"/>
      <c r="G895" s="2"/>
      <c r="H895" s="2"/>
      <c r="I895" s="2"/>
      <c r="J895" s="2"/>
      <c r="K895" s="2"/>
      <c r="L895" s="2"/>
      <c r="M895" s="2"/>
      <c r="N895" s="2"/>
      <c r="O895" s="7"/>
      <c r="P895" s="8"/>
      <c r="Q895" s="9"/>
      <c r="R895" s="7"/>
      <c r="S895" s="8"/>
      <c r="T895" s="10"/>
      <c r="U895" s="2"/>
      <c r="V895" s="2"/>
    </row>
    <row r="896" spans="2:22" x14ac:dyDescent="0.2">
      <c r="B896" s="40">
        <v>45040</v>
      </c>
      <c r="C896" s="41">
        <v>4.8</v>
      </c>
      <c r="E896" s="2"/>
      <c r="F896" s="2"/>
      <c r="G896" s="2"/>
      <c r="H896" s="2"/>
      <c r="I896" s="2"/>
      <c r="J896" s="2"/>
      <c r="K896" s="2"/>
      <c r="L896" s="2"/>
      <c r="M896" s="2"/>
      <c r="N896" s="2"/>
      <c r="O896" s="7"/>
      <c r="P896" s="8"/>
      <c r="Q896" s="9"/>
      <c r="R896" s="7"/>
      <c r="S896" s="8"/>
      <c r="T896" s="10"/>
      <c r="U896" s="2"/>
      <c r="V896" s="2"/>
    </row>
    <row r="897" spans="2:22" x14ac:dyDescent="0.2">
      <c r="B897" s="40">
        <v>45041</v>
      </c>
      <c r="C897" s="41">
        <v>4.8</v>
      </c>
      <c r="E897" s="2"/>
      <c r="F897" s="2"/>
      <c r="G897" s="2"/>
      <c r="H897" s="2"/>
      <c r="I897" s="2"/>
      <c r="J897" s="2"/>
      <c r="K897" s="2"/>
      <c r="L897" s="2"/>
      <c r="M897" s="2"/>
      <c r="N897" s="2"/>
      <c r="O897" s="7"/>
      <c r="P897" s="8"/>
      <c r="Q897" s="9"/>
      <c r="R897" s="7"/>
      <c r="S897" s="8"/>
      <c r="T897" s="10"/>
      <c r="U897" s="2"/>
      <c r="V897" s="2"/>
    </row>
    <row r="898" spans="2:22" x14ac:dyDescent="0.2">
      <c r="B898" s="40">
        <v>45042</v>
      </c>
      <c r="C898" s="41">
        <v>4.8</v>
      </c>
      <c r="E898" s="2"/>
      <c r="F898" s="2"/>
      <c r="G898" s="2"/>
      <c r="H898" s="2"/>
      <c r="I898" s="2"/>
      <c r="J898" s="2"/>
      <c r="K898" s="2"/>
      <c r="L898" s="2"/>
      <c r="M898" s="2"/>
      <c r="N898" s="2"/>
      <c r="O898" s="7"/>
      <c r="P898" s="8"/>
      <c r="Q898" s="9"/>
      <c r="R898" s="7"/>
      <c r="S898" s="8"/>
      <c r="T898" s="10"/>
      <c r="U898" s="2"/>
      <c r="V898" s="2"/>
    </row>
    <row r="899" spans="2:22" x14ac:dyDescent="0.2">
      <c r="B899" s="40">
        <v>45043</v>
      </c>
      <c r="C899" s="41">
        <v>4.8099999999999996</v>
      </c>
      <c r="E899" s="2"/>
      <c r="F899" s="2"/>
      <c r="G899" s="2"/>
      <c r="H899" s="2"/>
      <c r="I899" s="2"/>
      <c r="J899" s="2"/>
      <c r="K899" s="2"/>
      <c r="L899" s="2"/>
      <c r="M899" s="2"/>
      <c r="N899" s="2"/>
      <c r="O899" s="7"/>
      <c r="P899" s="8"/>
      <c r="Q899" s="9"/>
      <c r="R899" s="7"/>
      <c r="S899" s="8"/>
      <c r="T899" s="10"/>
      <c r="U899" s="2"/>
      <c r="V899" s="2"/>
    </row>
    <row r="900" spans="2:22" x14ac:dyDescent="0.2">
      <c r="B900" s="40">
        <v>45044</v>
      </c>
      <c r="C900" s="41">
        <v>4.8099999999999996</v>
      </c>
      <c r="E900" s="2"/>
      <c r="F900" s="2"/>
      <c r="G900" s="2"/>
      <c r="H900" s="2"/>
      <c r="I900" s="2"/>
      <c r="J900" s="2"/>
      <c r="K900" s="2"/>
      <c r="L900" s="2"/>
      <c r="M900" s="2"/>
      <c r="N900" s="2"/>
      <c r="O900" s="7"/>
      <c r="P900" s="8"/>
      <c r="Q900" s="9"/>
      <c r="R900" s="7"/>
      <c r="S900" s="8"/>
      <c r="T900" s="10"/>
      <c r="U900" s="2"/>
      <c r="V900" s="2"/>
    </row>
    <row r="901" spans="2:22" x14ac:dyDescent="0.2">
      <c r="B901" s="40">
        <v>45047</v>
      </c>
      <c r="C901" s="41">
        <v>4.8099999999999996</v>
      </c>
      <c r="E901" s="2"/>
      <c r="F901" s="2"/>
      <c r="G901" s="2"/>
      <c r="H901" s="2"/>
      <c r="I901" s="2"/>
      <c r="J901" s="2"/>
      <c r="K901" s="2"/>
      <c r="L901" s="2"/>
      <c r="M901" s="2"/>
      <c r="N901" s="2"/>
      <c r="O901" s="7"/>
      <c r="P901" s="8"/>
      <c r="Q901" s="9"/>
      <c r="R901" s="7"/>
      <c r="S901" s="8"/>
      <c r="T901" s="10"/>
      <c r="U901" s="2"/>
      <c r="V901" s="2"/>
    </row>
    <row r="902" spans="2:22" x14ac:dyDescent="0.2">
      <c r="B902" s="40">
        <v>45048</v>
      </c>
      <c r="C902" s="41">
        <v>4.8099999999999996</v>
      </c>
      <c r="E902" s="2"/>
      <c r="F902" s="2"/>
      <c r="G902" s="2"/>
      <c r="H902" s="2"/>
      <c r="I902" s="2"/>
      <c r="J902" s="2"/>
      <c r="K902" s="2"/>
      <c r="L902" s="2"/>
      <c r="M902" s="2"/>
      <c r="N902" s="2"/>
      <c r="O902" s="7"/>
      <c r="P902" s="8"/>
      <c r="Q902" s="9"/>
      <c r="R902" s="7"/>
      <c r="S902" s="8"/>
      <c r="T902" s="10"/>
      <c r="U902" s="2"/>
      <c r="V902" s="2"/>
    </row>
    <row r="903" spans="2:22" x14ac:dyDescent="0.2">
      <c r="B903" s="40">
        <v>45049</v>
      </c>
      <c r="C903" s="41">
        <v>4.8099999999999996</v>
      </c>
      <c r="E903" s="2"/>
      <c r="F903" s="2"/>
      <c r="G903" s="2"/>
      <c r="H903" s="2"/>
      <c r="I903" s="2"/>
      <c r="J903" s="2"/>
      <c r="K903" s="2"/>
      <c r="L903" s="2"/>
      <c r="M903" s="2"/>
      <c r="N903" s="2"/>
      <c r="O903" s="7"/>
      <c r="P903" s="8"/>
      <c r="Q903" s="9"/>
      <c r="R903" s="7"/>
      <c r="S903" s="8"/>
      <c r="T903" s="10"/>
      <c r="U903" s="2"/>
      <c r="V903" s="2"/>
    </row>
    <row r="904" spans="2:22" x14ac:dyDescent="0.2">
      <c r="B904" s="40">
        <v>45050</v>
      </c>
      <c r="C904" s="41">
        <v>5.0599999999999996</v>
      </c>
      <c r="E904" s="2"/>
      <c r="F904" s="2"/>
      <c r="G904" s="2"/>
      <c r="H904" s="2"/>
      <c r="I904" s="2"/>
      <c r="J904" s="2"/>
      <c r="K904" s="2"/>
      <c r="L904" s="2"/>
      <c r="M904" s="2"/>
      <c r="N904" s="2"/>
      <c r="O904" s="7"/>
      <c r="P904" s="8"/>
      <c r="Q904" s="9"/>
      <c r="R904" s="7"/>
      <c r="S904" s="8"/>
      <c r="T904" s="10"/>
      <c r="U904" s="2"/>
      <c r="V904" s="2"/>
    </row>
    <row r="905" spans="2:22" x14ac:dyDescent="0.2">
      <c r="B905" s="40">
        <v>45051</v>
      </c>
      <c r="C905" s="41">
        <v>5.0599999999999996</v>
      </c>
      <c r="E905" s="2"/>
      <c r="F905" s="2"/>
      <c r="G905" s="2"/>
      <c r="H905" s="2"/>
      <c r="I905" s="2"/>
      <c r="J905" s="2"/>
      <c r="K905" s="2"/>
      <c r="L905" s="2"/>
      <c r="M905" s="2"/>
      <c r="N905" s="2"/>
      <c r="O905" s="7"/>
      <c r="P905" s="8"/>
      <c r="Q905" s="9"/>
      <c r="R905" s="7"/>
      <c r="S905" s="8"/>
      <c r="T905" s="10"/>
      <c r="U905" s="2"/>
      <c r="V905" s="2"/>
    </row>
    <row r="906" spans="2:22" x14ac:dyDescent="0.2">
      <c r="B906" s="40">
        <v>45054</v>
      </c>
      <c r="C906" s="41">
        <v>5.0599999999999996</v>
      </c>
      <c r="E906" s="2"/>
      <c r="F906" s="2"/>
      <c r="G906" s="2"/>
      <c r="H906" s="2"/>
      <c r="I906" s="2"/>
      <c r="J906" s="2"/>
      <c r="K906" s="2"/>
      <c r="L906" s="2"/>
      <c r="M906" s="2"/>
      <c r="N906" s="2"/>
      <c r="O906" s="7"/>
      <c r="P906" s="8"/>
      <c r="Q906" s="9"/>
      <c r="R906" s="7"/>
      <c r="S906" s="8"/>
      <c r="T906" s="10"/>
      <c r="U906" s="2"/>
      <c r="V906" s="2"/>
    </row>
    <row r="907" spans="2:22" x14ac:dyDescent="0.2">
      <c r="B907" s="40">
        <v>45055</v>
      </c>
      <c r="C907" s="41">
        <v>5.0599999999999996</v>
      </c>
      <c r="E907" s="2"/>
      <c r="F907" s="2"/>
      <c r="G907" s="2"/>
      <c r="H907" s="2"/>
      <c r="I907" s="2"/>
      <c r="J907" s="2"/>
      <c r="K907" s="2"/>
      <c r="L907" s="2"/>
      <c r="M907" s="2"/>
      <c r="N907" s="2"/>
      <c r="O907" s="7"/>
      <c r="P907" s="8"/>
      <c r="Q907" s="9"/>
      <c r="R907" s="7"/>
      <c r="S907" s="8"/>
      <c r="T907" s="10"/>
      <c r="U907" s="2"/>
      <c r="V907" s="2"/>
    </row>
    <row r="908" spans="2:22" x14ac:dyDescent="0.2">
      <c r="B908" s="40">
        <v>45056</v>
      </c>
      <c r="C908" s="41">
        <v>5.0599999999999996</v>
      </c>
      <c r="E908" s="2"/>
      <c r="F908" s="2"/>
      <c r="G908" s="2"/>
      <c r="H908" s="2"/>
      <c r="I908" s="2"/>
      <c r="J908" s="2"/>
      <c r="K908" s="2"/>
      <c r="L908" s="2"/>
      <c r="M908" s="2"/>
      <c r="N908" s="2"/>
      <c r="O908" s="7"/>
      <c r="P908" s="8"/>
      <c r="Q908" s="9"/>
      <c r="R908" s="7"/>
      <c r="S908" s="8"/>
      <c r="T908" s="10"/>
      <c r="U908" s="2"/>
      <c r="V908" s="2"/>
    </row>
    <row r="909" spans="2:22" x14ac:dyDescent="0.2">
      <c r="B909" s="40">
        <v>45057</v>
      </c>
      <c r="C909" s="41">
        <v>5.05</v>
      </c>
      <c r="E909" s="2"/>
      <c r="F909" s="2"/>
      <c r="G909" s="2"/>
      <c r="H909" s="2"/>
      <c r="I909" s="2"/>
      <c r="J909" s="2"/>
      <c r="K909" s="2"/>
      <c r="L909" s="2"/>
      <c r="M909" s="2"/>
      <c r="N909" s="2"/>
      <c r="O909" s="7"/>
      <c r="P909" s="8"/>
      <c r="Q909" s="9"/>
      <c r="R909" s="7"/>
      <c r="S909" s="8"/>
      <c r="T909" s="10"/>
      <c r="U909" s="2"/>
      <c r="V909" s="2"/>
    </row>
    <row r="910" spans="2:22" x14ac:dyDescent="0.2">
      <c r="B910" s="40">
        <v>45058</v>
      </c>
      <c r="C910" s="41">
        <v>5.05</v>
      </c>
      <c r="E910" s="2"/>
      <c r="F910" s="2"/>
      <c r="G910" s="2"/>
      <c r="H910" s="2"/>
      <c r="I910" s="2"/>
      <c r="J910" s="2"/>
      <c r="K910" s="2"/>
      <c r="L910" s="2"/>
      <c r="M910" s="2"/>
      <c r="N910" s="2"/>
      <c r="O910" s="7"/>
      <c r="P910" s="8"/>
      <c r="Q910" s="9"/>
      <c r="R910" s="7"/>
      <c r="S910" s="8"/>
      <c r="T910" s="10"/>
      <c r="U910" s="2"/>
      <c r="V910" s="2"/>
    </row>
    <row r="911" spans="2:22" x14ac:dyDescent="0.2">
      <c r="B911" s="40">
        <v>45061</v>
      </c>
      <c r="C911" s="41">
        <v>5.0599999999999996</v>
      </c>
      <c r="E911" s="2"/>
      <c r="F911" s="2"/>
      <c r="G911" s="2"/>
      <c r="H911" s="2"/>
      <c r="I911" s="2"/>
      <c r="J911" s="2"/>
      <c r="K911" s="2"/>
      <c r="L911" s="2"/>
      <c r="M911" s="2"/>
      <c r="N911" s="2"/>
      <c r="O911" s="7"/>
      <c r="P911" s="8"/>
      <c r="Q911" s="9"/>
      <c r="R911" s="7"/>
      <c r="S911" s="8"/>
      <c r="T911" s="10"/>
      <c r="U911" s="2"/>
      <c r="V911" s="2"/>
    </row>
    <row r="912" spans="2:22" x14ac:dyDescent="0.2">
      <c r="B912" s="40">
        <v>45062</v>
      </c>
      <c r="C912" s="41">
        <v>5.05</v>
      </c>
      <c r="E912" s="2"/>
      <c r="F912" s="2"/>
      <c r="G912" s="2"/>
      <c r="H912" s="2"/>
      <c r="I912" s="2"/>
      <c r="J912" s="2"/>
      <c r="K912" s="2"/>
      <c r="L912" s="2"/>
      <c r="M912" s="2"/>
      <c r="N912" s="2"/>
      <c r="O912" s="7"/>
      <c r="P912" s="8"/>
      <c r="Q912" s="9"/>
      <c r="R912" s="7"/>
      <c r="S912" s="8"/>
      <c r="T912" s="10"/>
      <c r="U912" s="2"/>
      <c r="V912" s="2"/>
    </row>
    <row r="913" spans="2:22" x14ac:dyDescent="0.2">
      <c r="B913" s="40">
        <v>45063</v>
      </c>
      <c r="C913" s="41">
        <v>5.05</v>
      </c>
      <c r="E913" s="2"/>
      <c r="F913" s="2"/>
      <c r="G913" s="2"/>
      <c r="H913" s="2"/>
      <c r="I913" s="2"/>
      <c r="J913" s="2"/>
      <c r="K913" s="2"/>
      <c r="L913" s="2"/>
      <c r="M913" s="2"/>
      <c r="N913" s="2"/>
      <c r="O913" s="7"/>
      <c r="P913" s="8"/>
      <c r="Q913" s="9"/>
      <c r="R913" s="7"/>
      <c r="S913" s="8"/>
      <c r="T913" s="10"/>
      <c r="U913" s="2"/>
      <c r="V913" s="2"/>
    </row>
    <row r="914" spans="2:22" x14ac:dyDescent="0.2">
      <c r="B914" s="40">
        <v>45064</v>
      </c>
      <c r="C914" s="41">
        <v>5.05</v>
      </c>
      <c r="E914" s="2"/>
      <c r="F914" s="2"/>
      <c r="G914" s="2"/>
      <c r="H914" s="2"/>
      <c r="I914" s="2"/>
      <c r="J914" s="2"/>
      <c r="K914" s="2"/>
      <c r="L914" s="2"/>
      <c r="M914" s="2"/>
      <c r="N914" s="2"/>
      <c r="O914" s="7"/>
      <c r="P914" s="8"/>
      <c r="Q914" s="9"/>
      <c r="R914" s="7"/>
      <c r="S914" s="8"/>
      <c r="T914" s="10"/>
      <c r="U914" s="2"/>
      <c r="V914" s="2"/>
    </row>
    <row r="915" spans="2:22" x14ac:dyDescent="0.2">
      <c r="B915" s="40">
        <v>45065</v>
      </c>
      <c r="C915" s="41">
        <v>5.05</v>
      </c>
      <c r="E915" s="2"/>
      <c r="F915" s="2"/>
      <c r="G915" s="2"/>
      <c r="H915" s="2"/>
      <c r="I915" s="2"/>
      <c r="J915" s="2"/>
      <c r="K915" s="2"/>
      <c r="L915" s="2"/>
      <c r="M915" s="2"/>
      <c r="N915" s="2"/>
      <c r="O915" s="7"/>
      <c r="P915" s="8"/>
      <c r="Q915" s="9"/>
      <c r="R915" s="7"/>
      <c r="S915" s="8"/>
      <c r="T915" s="10"/>
      <c r="U915" s="2"/>
      <c r="V915" s="2"/>
    </row>
    <row r="916" spans="2:22" x14ac:dyDescent="0.2">
      <c r="B916" s="40">
        <v>45068</v>
      </c>
      <c r="C916" s="41">
        <v>5.05</v>
      </c>
      <c r="E916" s="2"/>
      <c r="F916" s="2"/>
      <c r="G916" s="2"/>
      <c r="H916" s="2"/>
      <c r="I916" s="2"/>
      <c r="J916" s="2"/>
      <c r="K916" s="2"/>
      <c r="L916" s="2"/>
      <c r="M916" s="2"/>
      <c r="N916" s="2"/>
      <c r="O916" s="7"/>
      <c r="P916" s="8"/>
      <c r="Q916" s="9"/>
      <c r="R916" s="7"/>
      <c r="S916" s="8"/>
      <c r="T916" s="10"/>
      <c r="U916" s="2"/>
      <c r="V916" s="2"/>
    </row>
    <row r="917" spans="2:22" x14ac:dyDescent="0.2">
      <c r="B917" s="40">
        <v>45069</v>
      </c>
      <c r="C917" s="41">
        <v>5.05</v>
      </c>
      <c r="E917" s="2"/>
      <c r="F917" s="2"/>
      <c r="G917" s="2"/>
      <c r="H917" s="2"/>
      <c r="I917" s="2"/>
      <c r="J917" s="2"/>
      <c r="K917" s="2"/>
      <c r="L917" s="2"/>
      <c r="M917" s="2"/>
      <c r="N917" s="2"/>
      <c r="O917" s="7"/>
      <c r="P917" s="8"/>
      <c r="Q917" s="9"/>
      <c r="R917" s="7"/>
      <c r="S917" s="8"/>
      <c r="T917" s="10"/>
      <c r="U917" s="2"/>
      <c r="V917" s="2"/>
    </row>
    <row r="918" spans="2:22" x14ac:dyDescent="0.2">
      <c r="B918" s="40">
        <v>45070</v>
      </c>
      <c r="C918" s="41">
        <v>5.05</v>
      </c>
      <c r="E918" s="2"/>
      <c r="F918" s="2"/>
      <c r="G918" s="2"/>
      <c r="H918" s="2"/>
      <c r="I918" s="2"/>
      <c r="J918" s="2"/>
      <c r="K918" s="2"/>
      <c r="L918" s="2"/>
      <c r="M918" s="2"/>
      <c r="N918" s="2"/>
      <c r="O918" s="7"/>
      <c r="P918" s="8"/>
      <c r="Q918" s="9"/>
      <c r="R918" s="7"/>
      <c r="S918" s="8"/>
      <c r="T918" s="10"/>
      <c r="U918" s="2"/>
      <c r="V918" s="2"/>
    </row>
    <row r="919" spans="2:22" x14ac:dyDescent="0.2">
      <c r="B919" s="40">
        <v>45071</v>
      </c>
      <c r="C919" s="41">
        <v>5.0599999999999996</v>
      </c>
      <c r="E919" s="2"/>
      <c r="F919" s="2"/>
      <c r="G919" s="2"/>
      <c r="H919" s="2"/>
      <c r="I919" s="2"/>
      <c r="J919" s="2"/>
      <c r="K919" s="2"/>
      <c r="L919" s="2"/>
      <c r="M919" s="2"/>
      <c r="N919" s="2"/>
      <c r="O919" s="7"/>
      <c r="P919" s="8"/>
      <c r="Q919" s="9"/>
      <c r="R919" s="7"/>
      <c r="S919" s="8"/>
      <c r="T919" s="10"/>
      <c r="U919" s="2"/>
      <c r="V919" s="2"/>
    </row>
    <row r="920" spans="2:22" x14ac:dyDescent="0.2">
      <c r="B920" s="40">
        <v>45072</v>
      </c>
      <c r="C920" s="41">
        <v>5.0599999999999996</v>
      </c>
      <c r="E920" s="2"/>
      <c r="F920" s="2"/>
      <c r="G920" s="2"/>
      <c r="H920" s="2"/>
      <c r="I920" s="2"/>
      <c r="J920" s="2"/>
      <c r="K920" s="2"/>
      <c r="L920" s="2"/>
      <c r="M920" s="2"/>
      <c r="N920" s="2"/>
      <c r="O920" s="7"/>
      <c r="P920" s="8"/>
      <c r="Q920" s="9"/>
      <c r="R920" s="7"/>
      <c r="S920" s="8"/>
      <c r="T920" s="10"/>
      <c r="U920" s="2"/>
      <c r="V920" s="2"/>
    </row>
    <row r="921" spans="2:22" x14ac:dyDescent="0.2">
      <c r="B921" s="40">
        <v>45076</v>
      </c>
      <c r="C921" s="41">
        <v>5.0599999999999996</v>
      </c>
      <c r="E921" s="2"/>
      <c r="F921" s="2"/>
      <c r="G921" s="2"/>
      <c r="H921" s="2"/>
      <c r="I921" s="2"/>
      <c r="J921" s="2"/>
      <c r="K921" s="2"/>
      <c r="L921" s="2"/>
      <c r="M921" s="2"/>
      <c r="N921" s="2"/>
      <c r="O921" s="7"/>
      <c r="P921" s="8"/>
      <c r="Q921" s="9"/>
      <c r="R921" s="7"/>
      <c r="S921" s="8"/>
      <c r="T921" s="10"/>
      <c r="U921" s="2"/>
      <c r="V921" s="2"/>
    </row>
    <row r="922" spans="2:22" x14ac:dyDescent="0.2">
      <c r="B922" s="40">
        <v>45077</v>
      </c>
      <c r="C922" s="41">
        <v>5.08</v>
      </c>
      <c r="E922" s="2"/>
      <c r="F922" s="2"/>
      <c r="G922" s="2"/>
      <c r="H922" s="2"/>
      <c r="I922" s="2"/>
      <c r="J922" s="2"/>
      <c r="K922" s="2"/>
      <c r="L922" s="2"/>
      <c r="M922" s="2"/>
      <c r="N922" s="2"/>
      <c r="O922" s="7"/>
      <c r="P922" s="8"/>
      <c r="Q922" s="9"/>
      <c r="R922" s="7"/>
      <c r="S922" s="8"/>
      <c r="T922" s="10"/>
      <c r="U922" s="2"/>
      <c r="V922" s="2"/>
    </row>
    <row r="923" spans="2:22" x14ac:dyDescent="0.2">
      <c r="B923" s="40">
        <v>45078</v>
      </c>
      <c r="C923" s="41">
        <v>5.08</v>
      </c>
      <c r="E923" s="2"/>
      <c r="F923" s="2"/>
      <c r="G923" s="2"/>
      <c r="H923" s="2"/>
      <c r="I923" s="2"/>
      <c r="J923" s="2"/>
      <c r="K923" s="2"/>
      <c r="L923" s="2"/>
      <c r="M923" s="2"/>
      <c r="N923" s="2"/>
      <c r="O923" s="7"/>
      <c r="P923" s="8"/>
      <c r="Q923" s="9"/>
      <c r="R923" s="7"/>
      <c r="S923" s="8"/>
      <c r="T923" s="10"/>
      <c r="U923" s="2"/>
      <c r="V923" s="2"/>
    </row>
    <row r="924" spans="2:22" x14ac:dyDescent="0.2">
      <c r="B924" s="40">
        <v>45079</v>
      </c>
      <c r="C924" s="41">
        <v>5.07</v>
      </c>
      <c r="E924" s="2"/>
      <c r="F924" s="2"/>
      <c r="G924" s="2"/>
      <c r="H924" s="2"/>
      <c r="I924" s="2"/>
      <c r="J924" s="2"/>
      <c r="K924" s="2"/>
      <c r="L924" s="2"/>
      <c r="M924" s="2"/>
      <c r="N924" s="2"/>
      <c r="O924" s="7"/>
      <c r="P924" s="8"/>
      <c r="Q924" s="9"/>
      <c r="R924" s="7"/>
      <c r="S924" s="8"/>
      <c r="T924" s="10"/>
      <c r="U924" s="2"/>
      <c r="V924" s="2"/>
    </row>
    <row r="925" spans="2:22" x14ac:dyDescent="0.2">
      <c r="B925" s="40">
        <v>45082</v>
      </c>
      <c r="C925" s="41">
        <v>5.0599999999999996</v>
      </c>
      <c r="E925" s="2"/>
      <c r="F925" s="2"/>
      <c r="G925" s="2"/>
      <c r="H925" s="2"/>
      <c r="I925" s="2"/>
      <c r="J925" s="2"/>
      <c r="K925" s="2"/>
      <c r="L925" s="2"/>
      <c r="M925" s="2"/>
      <c r="N925" s="2"/>
      <c r="O925" s="7"/>
      <c r="P925" s="8"/>
      <c r="Q925" s="9"/>
      <c r="R925" s="7"/>
      <c r="S925" s="8"/>
      <c r="T925" s="10"/>
      <c r="U925" s="2"/>
      <c r="V925" s="2"/>
    </row>
    <row r="926" spans="2:22" x14ac:dyDescent="0.2">
      <c r="B926" s="40">
        <v>45083</v>
      </c>
      <c r="C926" s="41">
        <v>5.05</v>
      </c>
      <c r="E926" s="2"/>
      <c r="F926" s="2"/>
      <c r="G926" s="2"/>
      <c r="H926" s="2"/>
      <c r="I926" s="2"/>
      <c r="J926" s="2"/>
      <c r="K926" s="2"/>
      <c r="L926" s="2"/>
      <c r="M926" s="2"/>
      <c r="N926" s="2"/>
      <c r="O926" s="7"/>
      <c r="P926" s="8"/>
      <c r="Q926" s="9"/>
      <c r="R926" s="7"/>
      <c r="S926" s="8"/>
      <c r="T926" s="10"/>
      <c r="U926" s="2"/>
      <c r="V926" s="2"/>
    </row>
    <row r="927" spans="2:22" x14ac:dyDescent="0.2">
      <c r="B927" s="40">
        <v>45084</v>
      </c>
      <c r="C927" s="41">
        <v>5.05</v>
      </c>
      <c r="E927" s="2"/>
      <c r="F927" s="2"/>
      <c r="G927" s="2"/>
      <c r="H927" s="2"/>
      <c r="I927" s="2"/>
      <c r="J927" s="2"/>
      <c r="K927" s="2"/>
      <c r="L927" s="2"/>
      <c r="M927" s="2"/>
      <c r="N927" s="2"/>
      <c r="O927" s="7"/>
      <c r="P927" s="8"/>
      <c r="Q927" s="9"/>
      <c r="R927" s="7"/>
      <c r="S927" s="8"/>
      <c r="T927" s="10"/>
      <c r="U927" s="2"/>
      <c r="V927" s="2"/>
    </row>
    <row r="928" spans="2:22" x14ac:dyDescent="0.2">
      <c r="B928" s="40">
        <v>45085</v>
      </c>
      <c r="C928" s="41">
        <v>5.05</v>
      </c>
      <c r="E928" s="2"/>
      <c r="F928" s="2"/>
      <c r="G928" s="2"/>
      <c r="H928" s="2"/>
      <c r="I928" s="2"/>
      <c r="J928" s="2"/>
      <c r="K928" s="2"/>
      <c r="L928" s="2"/>
      <c r="M928" s="2"/>
      <c r="N928" s="2"/>
      <c r="O928" s="7"/>
      <c r="P928" s="8"/>
      <c r="Q928" s="9"/>
      <c r="R928" s="7"/>
      <c r="S928" s="8"/>
      <c r="T928" s="10"/>
      <c r="U928" s="2"/>
      <c r="V928" s="2"/>
    </row>
    <row r="929" spans="2:22" x14ac:dyDescent="0.2">
      <c r="B929" s="40">
        <v>45086</v>
      </c>
      <c r="C929" s="41">
        <v>5.05</v>
      </c>
      <c r="E929" s="2"/>
      <c r="F929" s="2"/>
      <c r="G929" s="2"/>
      <c r="H929" s="2"/>
      <c r="I929" s="2"/>
      <c r="J929" s="2"/>
      <c r="K929" s="2"/>
      <c r="L929" s="2"/>
      <c r="M929" s="2"/>
      <c r="N929" s="2"/>
      <c r="O929" s="7"/>
      <c r="P929" s="8"/>
      <c r="Q929" s="9"/>
      <c r="R929" s="7"/>
      <c r="S929" s="8"/>
      <c r="T929" s="10"/>
      <c r="U929" s="2"/>
      <c r="V929" s="2"/>
    </row>
    <row r="930" spans="2:22" x14ac:dyDescent="0.2">
      <c r="B930" s="40">
        <v>45089</v>
      </c>
      <c r="C930" s="41">
        <v>5.05</v>
      </c>
      <c r="E930" s="2"/>
      <c r="F930" s="2"/>
      <c r="G930" s="2"/>
      <c r="H930" s="2"/>
      <c r="I930" s="2"/>
      <c r="J930" s="2"/>
      <c r="K930" s="2"/>
      <c r="L930" s="2"/>
      <c r="M930" s="2"/>
      <c r="N930" s="2"/>
      <c r="O930" s="7"/>
      <c r="P930" s="8"/>
      <c r="Q930" s="9"/>
      <c r="R930" s="7"/>
      <c r="S930" s="8"/>
      <c r="T930" s="10"/>
      <c r="U930" s="2"/>
      <c r="V930" s="2"/>
    </row>
    <row r="931" spans="2:22" x14ac:dyDescent="0.2">
      <c r="B931" s="40">
        <v>45090</v>
      </c>
      <c r="C931" s="41">
        <v>5.05</v>
      </c>
      <c r="E931" s="2"/>
      <c r="F931" s="2"/>
      <c r="G931" s="2"/>
      <c r="H931" s="2"/>
      <c r="I931" s="2"/>
      <c r="J931" s="2"/>
      <c r="K931" s="2"/>
      <c r="L931" s="2"/>
      <c r="M931" s="2"/>
      <c r="N931" s="2"/>
      <c r="O931" s="7"/>
      <c r="P931" s="8"/>
      <c r="Q931" s="9"/>
      <c r="R931" s="7"/>
      <c r="S931" s="8"/>
      <c r="T931" s="10"/>
      <c r="U931" s="2"/>
      <c r="V931" s="2"/>
    </row>
    <row r="932" spans="2:22" x14ac:dyDescent="0.2">
      <c r="B932" s="40">
        <v>45091</v>
      </c>
      <c r="C932" s="41">
        <v>5.05</v>
      </c>
      <c r="E932" s="2"/>
      <c r="F932" s="2"/>
      <c r="G932" s="2"/>
      <c r="H932" s="2"/>
      <c r="I932" s="2"/>
      <c r="J932" s="2"/>
      <c r="K932" s="2"/>
      <c r="L932" s="2"/>
      <c r="M932" s="2"/>
      <c r="N932" s="2"/>
      <c r="O932" s="7"/>
      <c r="P932" s="8"/>
      <c r="Q932" s="9"/>
      <c r="R932" s="7"/>
      <c r="S932" s="8"/>
      <c r="T932" s="10"/>
      <c r="U932" s="2"/>
      <c r="V932" s="2"/>
    </row>
    <row r="933" spans="2:22" x14ac:dyDescent="0.2">
      <c r="B933" s="40">
        <v>45092</v>
      </c>
      <c r="C933" s="41">
        <v>5.0599999999999996</v>
      </c>
      <c r="E933" s="2"/>
      <c r="F933" s="2"/>
      <c r="G933" s="2"/>
      <c r="H933" s="2"/>
      <c r="I933" s="2"/>
      <c r="J933" s="2"/>
      <c r="K933" s="2"/>
      <c r="L933" s="2"/>
      <c r="M933" s="2"/>
      <c r="N933" s="2"/>
      <c r="O933" s="7"/>
      <c r="P933" s="8"/>
      <c r="Q933" s="9"/>
      <c r="R933" s="7"/>
      <c r="S933" s="8"/>
      <c r="T933" s="10"/>
      <c r="U933" s="2"/>
      <c r="V933" s="2"/>
    </row>
    <row r="934" spans="2:22" x14ac:dyDescent="0.2">
      <c r="B934" s="40">
        <v>45093</v>
      </c>
      <c r="C934" s="41">
        <v>5.05</v>
      </c>
      <c r="E934" s="2"/>
      <c r="F934" s="2"/>
      <c r="G934" s="2"/>
      <c r="H934" s="2"/>
      <c r="I934" s="2"/>
      <c r="J934" s="2"/>
      <c r="K934" s="2"/>
      <c r="L934" s="2"/>
      <c r="M934" s="2"/>
      <c r="N934" s="2"/>
      <c r="O934" s="7"/>
      <c r="P934" s="8"/>
      <c r="Q934" s="9"/>
      <c r="R934" s="7"/>
      <c r="S934" s="8"/>
      <c r="T934" s="10"/>
      <c r="U934" s="2"/>
      <c r="V934" s="2"/>
    </row>
    <row r="935" spans="2:22" x14ac:dyDescent="0.2">
      <c r="B935" s="40">
        <v>45097</v>
      </c>
      <c r="C935" s="41">
        <v>5.05</v>
      </c>
      <c r="E935" s="2"/>
      <c r="F935" s="2"/>
      <c r="G935" s="2"/>
      <c r="H935" s="2"/>
      <c r="I935" s="2"/>
      <c r="J935" s="2"/>
      <c r="K935" s="2"/>
      <c r="L935" s="2"/>
      <c r="M935" s="2"/>
      <c r="N935" s="2"/>
      <c r="O935" s="7"/>
      <c r="P935" s="8"/>
      <c r="Q935" s="9"/>
      <c r="R935" s="7"/>
      <c r="S935" s="8"/>
      <c r="T935" s="10"/>
      <c r="U935" s="2"/>
      <c r="V935" s="2"/>
    </row>
    <row r="936" spans="2:22" x14ac:dyDescent="0.2">
      <c r="B936" s="40">
        <v>45098</v>
      </c>
      <c r="C936" s="41">
        <v>5.05</v>
      </c>
      <c r="E936" s="2"/>
      <c r="F936" s="2"/>
      <c r="G936" s="2"/>
      <c r="H936" s="2"/>
      <c r="I936" s="2"/>
      <c r="J936" s="2"/>
      <c r="K936" s="2"/>
      <c r="L936" s="2"/>
      <c r="M936" s="2"/>
      <c r="N936" s="2"/>
      <c r="O936" s="7"/>
      <c r="P936" s="8"/>
      <c r="Q936" s="9"/>
      <c r="R936" s="7"/>
      <c r="S936" s="8"/>
      <c r="T936" s="10"/>
      <c r="U936" s="2"/>
      <c r="V936" s="2"/>
    </row>
    <row r="937" spans="2:22" x14ac:dyDescent="0.2">
      <c r="B937" s="40">
        <v>45099</v>
      </c>
      <c r="C937" s="41">
        <v>5.05</v>
      </c>
      <c r="E937" s="2"/>
      <c r="F937" s="2"/>
      <c r="G937" s="2"/>
      <c r="H937" s="2"/>
      <c r="I937" s="2"/>
      <c r="J937" s="2"/>
      <c r="K937" s="2"/>
      <c r="L937" s="2"/>
      <c r="M937" s="2"/>
      <c r="N937" s="2"/>
      <c r="O937" s="7"/>
      <c r="P937" s="8"/>
      <c r="Q937" s="9"/>
      <c r="R937" s="7"/>
      <c r="S937" s="8"/>
      <c r="T937" s="10"/>
      <c r="U937" s="2"/>
      <c r="V937" s="2"/>
    </row>
    <row r="938" spans="2:22" x14ac:dyDescent="0.2">
      <c r="B938" s="40">
        <v>45100</v>
      </c>
      <c r="C938" s="41">
        <v>5.05</v>
      </c>
      <c r="E938" s="2"/>
      <c r="F938" s="2"/>
      <c r="G938" s="2"/>
      <c r="H938" s="2"/>
      <c r="I938" s="2"/>
      <c r="J938" s="2"/>
      <c r="K938" s="2"/>
      <c r="L938" s="2"/>
      <c r="M938" s="2"/>
      <c r="N938" s="2"/>
      <c r="O938" s="7"/>
      <c r="P938" s="8"/>
      <c r="Q938" s="9"/>
      <c r="R938" s="7"/>
      <c r="S938" s="8"/>
      <c r="T938" s="10"/>
      <c r="U938" s="2"/>
      <c r="V938" s="2"/>
    </row>
    <row r="939" spans="2:22" x14ac:dyDescent="0.2">
      <c r="B939" s="40">
        <v>45103</v>
      </c>
      <c r="C939" s="41">
        <v>5.05</v>
      </c>
      <c r="E939" s="2"/>
      <c r="F939" s="2"/>
      <c r="G939" s="2"/>
      <c r="H939" s="2"/>
      <c r="I939" s="2"/>
      <c r="J939" s="2"/>
      <c r="K939" s="2"/>
      <c r="L939" s="2"/>
      <c r="M939" s="2"/>
      <c r="N939" s="2"/>
      <c r="O939" s="7"/>
      <c r="P939" s="8"/>
      <c r="Q939" s="9"/>
      <c r="R939" s="7"/>
      <c r="S939" s="8"/>
      <c r="T939" s="10"/>
      <c r="U939" s="2"/>
      <c r="V939" s="2"/>
    </row>
    <row r="940" spans="2:22" x14ac:dyDescent="0.2">
      <c r="B940" s="40">
        <v>45104</v>
      </c>
      <c r="C940" s="41">
        <v>5.05</v>
      </c>
      <c r="E940" s="2"/>
      <c r="F940" s="2"/>
      <c r="G940" s="2"/>
      <c r="H940" s="2"/>
      <c r="I940" s="2"/>
      <c r="J940" s="2"/>
      <c r="K940" s="2"/>
      <c r="L940" s="2"/>
      <c r="M940" s="2"/>
      <c r="N940" s="2"/>
      <c r="O940" s="7"/>
      <c r="P940" s="8"/>
      <c r="Q940" s="9"/>
      <c r="R940" s="7"/>
      <c r="S940" s="8"/>
      <c r="T940" s="10"/>
      <c r="U940" s="2"/>
      <c r="V940" s="2"/>
    </row>
    <row r="941" spans="2:22" x14ac:dyDescent="0.2">
      <c r="B941" s="40">
        <v>45105</v>
      </c>
      <c r="C941" s="41">
        <v>5.0599999999999996</v>
      </c>
      <c r="E941" s="2"/>
      <c r="F941" s="2"/>
      <c r="G941" s="2"/>
      <c r="H941" s="2"/>
      <c r="I941" s="2"/>
      <c r="J941" s="2"/>
      <c r="K941" s="2"/>
      <c r="L941" s="2"/>
      <c r="M941" s="2"/>
      <c r="N941" s="2"/>
      <c r="O941" s="7"/>
      <c r="P941" s="8"/>
      <c r="Q941" s="9"/>
      <c r="R941" s="7"/>
      <c r="S941" s="8"/>
      <c r="T941" s="10"/>
      <c r="U941" s="2"/>
      <c r="V941" s="2"/>
    </row>
    <row r="942" spans="2:22" x14ac:dyDescent="0.2">
      <c r="B942" s="40">
        <v>45106</v>
      </c>
      <c r="C942" s="41">
        <v>5.0599999999999996</v>
      </c>
      <c r="E942" s="2"/>
      <c r="F942" s="2"/>
      <c r="G942" s="2"/>
      <c r="H942" s="2"/>
      <c r="I942" s="2"/>
      <c r="J942" s="2"/>
      <c r="K942" s="2"/>
      <c r="L942" s="2"/>
      <c r="M942" s="2"/>
      <c r="N942" s="2"/>
      <c r="O942" s="7"/>
      <c r="P942" s="8"/>
      <c r="Q942" s="9"/>
      <c r="R942" s="7"/>
      <c r="S942" s="8"/>
      <c r="T942" s="10"/>
      <c r="U942" s="2"/>
      <c r="V942" s="2"/>
    </row>
    <row r="943" spans="2:22" x14ac:dyDescent="0.2">
      <c r="B943" s="40">
        <v>45107</v>
      </c>
      <c r="C943" s="41">
        <v>5.09</v>
      </c>
      <c r="E943" s="2"/>
      <c r="F943" s="2"/>
      <c r="G943" s="2"/>
      <c r="H943" s="2"/>
      <c r="I943" s="2"/>
      <c r="J943" s="2"/>
      <c r="K943" s="2"/>
      <c r="L943" s="2"/>
      <c r="M943" s="2"/>
      <c r="N943" s="2"/>
      <c r="O943" s="7"/>
      <c r="P943" s="8"/>
      <c r="Q943" s="9"/>
      <c r="R943" s="7"/>
      <c r="S943" s="8"/>
      <c r="T943" s="10"/>
      <c r="U943" s="2"/>
      <c r="V943" s="2"/>
    </row>
    <row r="944" spans="2:22" x14ac:dyDescent="0.2">
      <c r="B944" s="40">
        <v>45110</v>
      </c>
      <c r="C944" s="41">
        <v>5.0599999999999996</v>
      </c>
      <c r="E944" s="2"/>
      <c r="F944" s="2"/>
      <c r="G944" s="2"/>
      <c r="H944" s="2"/>
      <c r="I944" s="2"/>
      <c r="J944" s="2"/>
      <c r="K944" s="2"/>
      <c r="L944" s="2"/>
      <c r="M944" s="2"/>
      <c r="N944" s="2"/>
      <c r="O944" s="7"/>
      <c r="P944" s="8"/>
      <c r="Q944" s="9"/>
      <c r="R944" s="7"/>
      <c r="S944" s="8"/>
      <c r="T944" s="10"/>
      <c r="U944" s="2"/>
      <c r="V944" s="2"/>
    </row>
    <row r="945" spans="2:22" x14ac:dyDescent="0.2">
      <c r="B945" s="40">
        <v>45112</v>
      </c>
      <c r="C945" s="41">
        <v>5.0599999999999996</v>
      </c>
      <c r="E945" s="2"/>
      <c r="F945" s="2"/>
      <c r="G945" s="2"/>
      <c r="H945" s="2"/>
      <c r="I945" s="2"/>
      <c r="J945" s="2"/>
      <c r="K945" s="2"/>
      <c r="L945" s="2"/>
      <c r="M945" s="2"/>
      <c r="N945" s="2"/>
      <c r="O945" s="7"/>
      <c r="P945" s="8"/>
      <c r="Q945" s="9"/>
      <c r="R945" s="7"/>
      <c r="S945" s="8"/>
      <c r="T945" s="10"/>
      <c r="U945" s="2"/>
      <c r="V945" s="2"/>
    </row>
    <row r="946" spans="2:22" x14ac:dyDescent="0.2">
      <c r="B946" s="40">
        <v>45113</v>
      </c>
      <c r="C946" s="41">
        <v>5.0599999999999996</v>
      </c>
      <c r="E946" s="2"/>
      <c r="F946" s="2"/>
      <c r="G946" s="2"/>
      <c r="H946" s="2"/>
      <c r="I946" s="2"/>
      <c r="J946" s="2"/>
      <c r="K946" s="2"/>
      <c r="L946" s="2"/>
      <c r="M946" s="2"/>
      <c r="N946" s="2"/>
      <c r="O946" s="7"/>
      <c r="P946" s="8"/>
      <c r="Q946" s="9"/>
      <c r="R946" s="7"/>
      <c r="S946" s="8"/>
      <c r="T946" s="10"/>
      <c r="U946" s="2"/>
      <c r="V946" s="2"/>
    </row>
    <row r="947" spans="2:22" x14ac:dyDescent="0.2">
      <c r="B947" s="40">
        <v>45114</v>
      </c>
      <c r="C947" s="41">
        <v>5.0599999999999996</v>
      </c>
      <c r="E947" s="2"/>
      <c r="F947" s="2"/>
      <c r="G947" s="2"/>
      <c r="H947" s="2"/>
      <c r="I947" s="2"/>
      <c r="J947" s="2"/>
      <c r="K947" s="2"/>
      <c r="L947" s="2"/>
      <c r="M947" s="2"/>
      <c r="N947" s="2"/>
      <c r="O947" s="7"/>
      <c r="P947" s="8"/>
      <c r="Q947" s="9"/>
      <c r="R947" s="7"/>
      <c r="S947" s="8"/>
      <c r="T947" s="10"/>
      <c r="U947" s="2"/>
      <c r="V947" s="2"/>
    </row>
    <row r="948" spans="2:22" x14ac:dyDescent="0.2">
      <c r="B948" s="40">
        <v>45117</v>
      </c>
      <c r="C948" s="41">
        <v>5.0599999999999996</v>
      </c>
      <c r="E948" s="2"/>
      <c r="F948" s="2"/>
      <c r="G948" s="2"/>
      <c r="H948" s="2"/>
      <c r="I948" s="2"/>
      <c r="J948" s="2"/>
      <c r="K948" s="2"/>
      <c r="L948" s="2"/>
      <c r="M948" s="2"/>
      <c r="N948" s="2"/>
      <c r="O948" s="7"/>
      <c r="P948" s="8"/>
      <c r="Q948" s="9"/>
      <c r="R948" s="7"/>
      <c r="S948" s="8"/>
      <c r="T948" s="10"/>
      <c r="U948" s="2"/>
      <c r="V948" s="2"/>
    </row>
    <row r="949" spans="2:22" x14ac:dyDescent="0.2">
      <c r="B949" s="40">
        <v>45118</v>
      </c>
      <c r="C949" s="41">
        <v>5.0599999999999996</v>
      </c>
      <c r="E949" s="2"/>
      <c r="F949" s="2"/>
      <c r="G949" s="2"/>
      <c r="H949" s="2"/>
      <c r="I949" s="2"/>
      <c r="J949" s="2"/>
      <c r="K949" s="2"/>
      <c r="L949" s="2"/>
      <c r="M949" s="2"/>
      <c r="N949" s="2"/>
      <c r="O949" s="7"/>
      <c r="P949" s="8"/>
      <c r="Q949" s="9"/>
      <c r="R949" s="7"/>
      <c r="S949" s="8"/>
      <c r="T949" s="10"/>
      <c r="U949" s="2"/>
      <c r="V949" s="2"/>
    </row>
    <row r="950" spans="2:22" x14ac:dyDescent="0.2">
      <c r="B950" s="40">
        <v>45119</v>
      </c>
      <c r="C950" s="41">
        <v>5.05</v>
      </c>
      <c r="E950" s="2"/>
      <c r="F950" s="2"/>
      <c r="G950" s="2"/>
      <c r="H950" s="2"/>
      <c r="I950" s="2"/>
      <c r="J950" s="2"/>
      <c r="K950" s="2"/>
      <c r="L950" s="2"/>
      <c r="M950" s="2"/>
      <c r="N950" s="2"/>
      <c r="O950" s="7"/>
      <c r="P950" s="8"/>
      <c r="Q950" s="9"/>
      <c r="R950" s="7"/>
      <c r="S950" s="8"/>
      <c r="T950" s="10"/>
      <c r="U950" s="2"/>
      <c r="V950" s="2"/>
    </row>
    <row r="951" spans="2:22" x14ac:dyDescent="0.2">
      <c r="B951" s="40">
        <v>45120</v>
      </c>
      <c r="C951" s="41">
        <v>5.0599999999999996</v>
      </c>
      <c r="E951" s="2"/>
      <c r="F951" s="2"/>
      <c r="G951" s="2"/>
      <c r="H951" s="2"/>
      <c r="I951" s="2"/>
      <c r="J951" s="2"/>
      <c r="K951" s="2"/>
      <c r="L951" s="2"/>
      <c r="M951" s="2"/>
      <c r="N951" s="2"/>
      <c r="O951" s="7"/>
      <c r="P951" s="8"/>
      <c r="Q951" s="9"/>
      <c r="R951" s="7"/>
      <c r="S951" s="8"/>
      <c r="T951" s="10"/>
      <c r="U951" s="2"/>
      <c r="V951" s="2"/>
    </row>
    <row r="952" spans="2:22" x14ac:dyDescent="0.2">
      <c r="B952" s="40">
        <v>45121</v>
      </c>
      <c r="C952" s="41">
        <v>5.05</v>
      </c>
      <c r="E952" s="2"/>
      <c r="F952" s="2"/>
      <c r="G952" s="2"/>
      <c r="H952" s="2"/>
      <c r="I952" s="2"/>
      <c r="J952" s="2"/>
      <c r="K952" s="2"/>
      <c r="L952" s="2"/>
      <c r="M952" s="2"/>
      <c r="N952" s="2"/>
      <c r="O952" s="7"/>
      <c r="P952" s="8"/>
      <c r="Q952" s="9"/>
      <c r="R952" s="7"/>
      <c r="S952" s="8"/>
      <c r="T952" s="10"/>
      <c r="U952" s="2"/>
      <c r="V952" s="2"/>
    </row>
    <row r="953" spans="2:22" x14ac:dyDescent="0.2">
      <c r="B953" s="40">
        <v>45124</v>
      </c>
      <c r="C953" s="41">
        <v>5.0599999999999996</v>
      </c>
      <c r="E953" s="2"/>
      <c r="F953" s="2"/>
      <c r="G953" s="2"/>
      <c r="H953" s="2"/>
      <c r="I953" s="2"/>
      <c r="J953" s="2"/>
      <c r="K953" s="2"/>
      <c r="L953" s="2"/>
      <c r="M953" s="2"/>
      <c r="N953" s="2"/>
      <c r="O953" s="7"/>
      <c r="P953" s="8"/>
      <c r="Q953" s="9"/>
      <c r="R953" s="7"/>
      <c r="S953" s="8"/>
      <c r="T953" s="10"/>
      <c r="U953" s="2"/>
      <c r="V953" s="2"/>
    </row>
    <row r="954" spans="2:22" x14ac:dyDescent="0.2">
      <c r="B954" s="40">
        <v>45125</v>
      </c>
      <c r="C954" s="41">
        <v>5.0599999999999996</v>
      </c>
      <c r="E954" s="2"/>
      <c r="F954" s="2"/>
      <c r="G954" s="2"/>
      <c r="H954" s="2"/>
      <c r="I954" s="2"/>
      <c r="J954" s="2"/>
      <c r="K954" s="2"/>
      <c r="L954" s="2"/>
      <c r="M954" s="2"/>
      <c r="N954" s="2"/>
      <c r="O954" s="7"/>
      <c r="P954" s="8"/>
      <c r="Q954" s="9"/>
      <c r="R954" s="7"/>
      <c r="S954" s="8"/>
      <c r="T954" s="10"/>
      <c r="U954" s="2"/>
      <c r="V954" s="2"/>
    </row>
    <row r="955" spans="2:22" x14ac:dyDescent="0.2">
      <c r="B955" s="40">
        <v>45126</v>
      </c>
      <c r="C955" s="41">
        <v>5.05</v>
      </c>
      <c r="E955" s="2"/>
      <c r="F955" s="2"/>
      <c r="G955" s="2"/>
      <c r="H955" s="2"/>
      <c r="I955" s="2"/>
      <c r="J955" s="2"/>
      <c r="K955" s="2"/>
      <c r="L955" s="2"/>
      <c r="M955" s="2"/>
      <c r="N955" s="2"/>
      <c r="O955" s="7"/>
      <c r="P955" s="8"/>
      <c r="Q955" s="9"/>
      <c r="R955" s="7"/>
      <c r="S955" s="8"/>
      <c r="T955" s="10"/>
      <c r="U955" s="2"/>
      <c r="V955" s="2"/>
    </row>
    <row r="956" spans="2:22" x14ac:dyDescent="0.2">
      <c r="B956" s="40">
        <v>45127</v>
      </c>
      <c r="C956" s="41">
        <v>5.0599999999999996</v>
      </c>
      <c r="E956" s="2"/>
      <c r="F956" s="2"/>
      <c r="G956" s="2"/>
      <c r="H956" s="2"/>
      <c r="I956" s="2"/>
      <c r="J956" s="2"/>
      <c r="K956" s="2"/>
      <c r="L956" s="2"/>
      <c r="M956" s="2"/>
      <c r="N956" s="2"/>
      <c r="O956" s="7"/>
      <c r="P956" s="8"/>
      <c r="Q956" s="9"/>
      <c r="R956" s="7"/>
      <c r="S956" s="8"/>
      <c r="T956" s="10"/>
      <c r="U956" s="2"/>
      <c r="V956" s="2"/>
    </row>
    <row r="957" spans="2:22" x14ac:dyDescent="0.2">
      <c r="B957" s="40">
        <v>45128</v>
      </c>
      <c r="C957" s="41">
        <v>5.05</v>
      </c>
      <c r="E957" s="2"/>
      <c r="F957" s="2"/>
      <c r="G957" s="2"/>
      <c r="H957" s="2"/>
      <c r="I957" s="2"/>
      <c r="J957" s="2"/>
      <c r="K957" s="2"/>
      <c r="L957" s="2"/>
      <c r="M957" s="2"/>
      <c r="N957" s="2"/>
      <c r="O957" s="7"/>
      <c r="P957" s="8"/>
      <c r="Q957" s="9"/>
      <c r="R957" s="7"/>
      <c r="S957" s="8"/>
      <c r="T957" s="10"/>
      <c r="U957" s="2"/>
      <c r="V957" s="2"/>
    </row>
    <row r="958" spans="2:22" x14ac:dyDescent="0.2">
      <c r="B958" s="40">
        <v>45131</v>
      </c>
      <c r="C958" s="41">
        <v>5.05</v>
      </c>
      <c r="E958" s="2"/>
      <c r="F958" s="2"/>
      <c r="G958" s="2"/>
      <c r="H958" s="2"/>
      <c r="I958" s="2"/>
      <c r="J958" s="2"/>
      <c r="K958" s="2"/>
      <c r="L958" s="2"/>
      <c r="M958" s="2"/>
      <c r="N958" s="2"/>
      <c r="O958" s="7"/>
      <c r="P958" s="8"/>
      <c r="Q958" s="9"/>
      <c r="R958" s="7"/>
      <c r="S958" s="8"/>
      <c r="T958" s="10"/>
      <c r="U958" s="2"/>
      <c r="V958" s="2"/>
    </row>
    <row r="959" spans="2:22" x14ac:dyDescent="0.2">
      <c r="B959" s="40">
        <v>45132</v>
      </c>
      <c r="C959" s="41">
        <v>5.0599999999999996</v>
      </c>
      <c r="E959" s="2"/>
      <c r="F959" s="2"/>
      <c r="G959" s="2"/>
      <c r="H959" s="2"/>
      <c r="I959" s="2"/>
      <c r="J959" s="2"/>
      <c r="K959" s="2"/>
      <c r="L959" s="2"/>
      <c r="M959" s="2"/>
      <c r="N959" s="2"/>
      <c r="O959" s="7"/>
      <c r="P959" s="8"/>
      <c r="Q959" s="9"/>
      <c r="R959" s="7"/>
      <c r="S959" s="8"/>
      <c r="T959" s="10"/>
      <c r="U959" s="2"/>
      <c r="V959" s="2"/>
    </row>
    <row r="960" spans="2:22" x14ac:dyDescent="0.2">
      <c r="B960" s="40">
        <v>45133</v>
      </c>
      <c r="C960" s="41">
        <v>5.0599999999999996</v>
      </c>
      <c r="E960" s="2"/>
      <c r="F960" s="2"/>
      <c r="G960" s="2"/>
      <c r="H960" s="2"/>
      <c r="I960" s="2"/>
      <c r="J960" s="2"/>
      <c r="K960" s="2"/>
      <c r="L960" s="2"/>
      <c r="M960" s="2"/>
      <c r="N960" s="2"/>
      <c r="O960" s="7"/>
      <c r="P960" s="8"/>
      <c r="Q960" s="9"/>
      <c r="R960" s="7"/>
      <c r="S960" s="8"/>
      <c r="T960" s="10"/>
      <c r="U960" s="2"/>
      <c r="V960" s="2"/>
    </row>
    <row r="961" spans="2:22" x14ac:dyDescent="0.2">
      <c r="B961" s="40">
        <v>45134</v>
      </c>
      <c r="C961" s="41">
        <v>5.31</v>
      </c>
      <c r="E961" s="2"/>
      <c r="F961" s="2"/>
      <c r="G961" s="2"/>
      <c r="H961" s="2"/>
      <c r="I961" s="2"/>
      <c r="J961" s="2"/>
      <c r="K961" s="2"/>
      <c r="L961" s="2"/>
      <c r="M961" s="2"/>
      <c r="N961" s="2"/>
      <c r="O961" s="7"/>
      <c r="P961" s="8"/>
      <c r="Q961" s="9"/>
      <c r="R961" s="7"/>
      <c r="S961" s="8"/>
      <c r="T961" s="10"/>
      <c r="U961" s="2"/>
      <c r="V961" s="2"/>
    </row>
    <row r="962" spans="2:22" x14ac:dyDescent="0.2">
      <c r="B962" s="40">
        <v>45135</v>
      </c>
      <c r="C962" s="41">
        <v>5.3</v>
      </c>
      <c r="E962" s="2"/>
      <c r="F962" s="2"/>
      <c r="G962" s="2"/>
      <c r="H962" s="2"/>
      <c r="I962" s="2"/>
      <c r="J962" s="2"/>
      <c r="K962" s="2"/>
      <c r="L962" s="2"/>
      <c r="M962" s="2"/>
      <c r="N962" s="2"/>
      <c r="O962" s="7"/>
      <c r="P962" s="8"/>
      <c r="Q962" s="9"/>
      <c r="R962" s="7"/>
      <c r="S962" s="8"/>
      <c r="T962" s="10"/>
      <c r="U962" s="2"/>
      <c r="V962" s="2"/>
    </row>
    <row r="963" spans="2:22" x14ac:dyDescent="0.2">
      <c r="B963" s="40">
        <v>45138</v>
      </c>
      <c r="C963" s="41">
        <v>5.31</v>
      </c>
      <c r="E963" s="2"/>
      <c r="F963" s="2"/>
      <c r="G963" s="2"/>
      <c r="H963" s="2"/>
      <c r="I963" s="2"/>
      <c r="J963" s="2"/>
      <c r="K963" s="2"/>
      <c r="L963" s="2"/>
      <c r="M963" s="2"/>
      <c r="N963" s="2"/>
      <c r="O963" s="7"/>
      <c r="P963" s="8"/>
      <c r="Q963" s="9"/>
      <c r="R963" s="7"/>
      <c r="S963" s="8"/>
      <c r="T963" s="10"/>
      <c r="U963" s="2"/>
      <c r="V963" s="2"/>
    </row>
    <row r="964" spans="2:22" x14ac:dyDescent="0.2">
      <c r="B964" s="40">
        <v>45139</v>
      </c>
      <c r="C964" s="41">
        <v>5.31</v>
      </c>
      <c r="E964" s="2"/>
      <c r="F964" s="2"/>
      <c r="G964" s="2"/>
      <c r="H964" s="2"/>
      <c r="I964" s="2"/>
      <c r="J964" s="2"/>
      <c r="K964" s="2"/>
      <c r="L964" s="2"/>
      <c r="M964" s="2"/>
      <c r="N964" s="2"/>
      <c r="O964" s="7"/>
      <c r="P964" s="8"/>
      <c r="Q964" s="9"/>
      <c r="R964" s="7"/>
      <c r="S964" s="8"/>
      <c r="T964" s="10"/>
      <c r="U964" s="2"/>
      <c r="V964" s="2"/>
    </row>
    <row r="965" spans="2:22" x14ac:dyDescent="0.2">
      <c r="B965" s="40">
        <v>45140</v>
      </c>
      <c r="C965" s="41">
        <v>5.3</v>
      </c>
      <c r="E965" s="2"/>
      <c r="F965" s="2"/>
      <c r="G965" s="2"/>
      <c r="H965" s="2"/>
      <c r="I965" s="2"/>
      <c r="J965" s="2"/>
      <c r="K965" s="2"/>
      <c r="L965" s="2"/>
      <c r="M965" s="2"/>
      <c r="N965" s="2"/>
      <c r="O965" s="7"/>
      <c r="P965" s="8"/>
      <c r="Q965" s="9"/>
      <c r="R965" s="7"/>
      <c r="S965" s="8"/>
      <c r="T965" s="10"/>
      <c r="U965" s="2"/>
      <c r="V965" s="2"/>
    </row>
    <row r="966" spans="2:22" x14ac:dyDescent="0.2">
      <c r="B966" s="40">
        <v>45141</v>
      </c>
      <c r="C966" s="41">
        <v>5.3</v>
      </c>
      <c r="E966" s="2"/>
      <c r="F966" s="2"/>
      <c r="G966" s="2"/>
      <c r="H966" s="2"/>
      <c r="I966" s="2"/>
      <c r="J966" s="2"/>
      <c r="K966" s="2"/>
      <c r="L966" s="2"/>
      <c r="M966" s="2"/>
      <c r="N966" s="2"/>
      <c r="O966" s="7"/>
      <c r="P966" s="8"/>
      <c r="Q966" s="9"/>
      <c r="R966" s="7"/>
      <c r="S966" s="8"/>
      <c r="T966" s="10"/>
      <c r="U966" s="2"/>
      <c r="V966" s="2"/>
    </row>
    <row r="967" spans="2:22" x14ac:dyDescent="0.2">
      <c r="B967" s="40">
        <v>45142</v>
      </c>
      <c r="C967" s="41">
        <v>5.3</v>
      </c>
      <c r="E967" s="2"/>
      <c r="F967" s="2"/>
      <c r="G967" s="2"/>
      <c r="H967" s="2"/>
      <c r="I967" s="2"/>
      <c r="J967" s="2"/>
      <c r="K967" s="2"/>
      <c r="L967" s="2"/>
      <c r="M967" s="2"/>
      <c r="N967" s="2"/>
      <c r="O967" s="7"/>
      <c r="P967" s="8"/>
      <c r="Q967" s="9"/>
      <c r="R967" s="7"/>
      <c r="S967" s="8"/>
      <c r="T967" s="10"/>
      <c r="U967" s="2"/>
      <c r="V967" s="2"/>
    </row>
    <row r="968" spans="2:22" x14ac:dyDescent="0.2">
      <c r="B968" s="40">
        <v>45145</v>
      </c>
      <c r="C968" s="41">
        <v>5.3</v>
      </c>
      <c r="E968" s="2"/>
      <c r="F968" s="2"/>
      <c r="G968" s="2"/>
      <c r="H968" s="2"/>
      <c r="I968" s="2"/>
      <c r="J968" s="2"/>
      <c r="K968" s="2"/>
      <c r="L968" s="2"/>
      <c r="M968" s="2"/>
      <c r="N968" s="2"/>
      <c r="O968" s="7"/>
      <c r="P968" s="8"/>
      <c r="Q968" s="9"/>
      <c r="R968" s="7"/>
      <c r="S968" s="8"/>
      <c r="T968" s="10"/>
      <c r="U968" s="2"/>
      <c r="V968" s="2"/>
    </row>
    <row r="969" spans="2:22" x14ac:dyDescent="0.2">
      <c r="B969" s="40">
        <v>45146</v>
      </c>
      <c r="C969" s="41">
        <v>5.3</v>
      </c>
      <c r="E969" s="2"/>
      <c r="F969" s="2"/>
      <c r="G969" s="2"/>
      <c r="H969" s="2"/>
      <c r="I969" s="2"/>
      <c r="J969" s="2"/>
      <c r="K969" s="2"/>
      <c r="L969" s="2"/>
      <c r="M969" s="2"/>
      <c r="N969" s="2"/>
      <c r="O969" s="7"/>
      <c r="P969" s="8"/>
      <c r="Q969" s="9"/>
      <c r="R969" s="7"/>
      <c r="S969" s="8"/>
      <c r="T969" s="10"/>
      <c r="U969" s="2"/>
      <c r="V969" s="2"/>
    </row>
    <row r="970" spans="2:22" x14ac:dyDescent="0.2">
      <c r="B970" s="40">
        <v>45147</v>
      </c>
      <c r="C970" s="41">
        <v>5.3</v>
      </c>
      <c r="E970" s="2"/>
      <c r="F970" s="2"/>
      <c r="G970" s="2"/>
      <c r="H970" s="2"/>
      <c r="I970" s="2"/>
      <c r="J970" s="2"/>
      <c r="K970" s="2"/>
      <c r="L970" s="2"/>
      <c r="M970" s="2"/>
      <c r="N970" s="2"/>
      <c r="O970" s="7"/>
      <c r="P970" s="8"/>
      <c r="Q970" s="9"/>
      <c r="R970" s="7"/>
      <c r="S970" s="8"/>
      <c r="T970" s="10"/>
      <c r="U970" s="2"/>
      <c r="V970" s="2"/>
    </row>
    <row r="971" spans="2:22" x14ac:dyDescent="0.2">
      <c r="B971" s="40">
        <v>45148</v>
      </c>
      <c r="C971" s="41">
        <v>5.3</v>
      </c>
      <c r="E971" s="2"/>
      <c r="F971" s="2"/>
      <c r="G971" s="2"/>
      <c r="H971" s="2"/>
      <c r="I971" s="2"/>
      <c r="J971" s="2"/>
      <c r="K971" s="2"/>
      <c r="L971" s="2"/>
      <c r="M971" s="2"/>
      <c r="N971" s="2"/>
      <c r="O971" s="7"/>
      <c r="P971" s="8"/>
      <c r="Q971" s="9"/>
      <c r="R971" s="7"/>
      <c r="S971" s="8"/>
      <c r="T971" s="10"/>
      <c r="U971" s="2"/>
      <c r="V971" s="2"/>
    </row>
    <row r="972" spans="2:22" x14ac:dyDescent="0.2">
      <c r="B972" s="40">
        <v>45149</v>
      </c>
      <c r="C972" s="41">
        <v>5.3</v>
      </c>
      <c r="E972" s="2"/>
      <c r="F972" s="2"/>
      <c r="G972" s="2"/>
      <c r="H972" s="2"/>
      <c r="I972" s="2"/>
      <c r="J972" s="2"/>
      <c r="K972" s="2"/>
      <c r="L972" s="2"/>
      <c r="M972" s="2"/>
      <c r="N972" s="2"/>
      <c r="O972" s="7"/>
      <c r="P972" s="8"/>
      <c r="Q972" s="9"/>
      <c r="R972" s="7"/>
      <c r="S972" s="8"/>
      <c r="T972" s="10"/>
      <c r="U972" s="2"/>
      <c r="V972" s="2"/>
    </row>
    <row r="973" spans="2:22" x14ac:dyDescent="0.2">
      <c r="B973" s="40">
        <v>45152</v>
      </c>
      <c r="C973" s="41">
        <v>5.3</v>
      </c>
      <c r="E973" s="2"/>
      <c r="F973" s="2"/>
      <c r="G973" s="2"/>
      <c r="H973" s="2"/>
      <c r="I973" s="2"/>
      <c r="J973" s="2"/>
      <c r="K973" s="2"/>
      <c r="L973" s="2"/>
      <c r="M973" s="2"/>
      <c r="N973" s="2"/>
      <c r="O973" s="7"/>
      <c r="P973" s="8"/>
      <c r="Q973" s="9"/>
      <c r="R973" s="7"/>
      <c r="S973" s="8"/>
      <c r="T973" s="10"/>
      <c r="U973" s="2"/>
      <c r="V973" s="2"/>
    </row>
    <row r="974" spans="2:22" x14ac:dyDescent="0.2">
      <c r="B974" s="40">
        <v>45153</v>
      </c>
      <c r="C974" s="41">
        <v>5.3</v>
      </c>
      <c r="E974" s="2"/>
      <c r="F974" s="2"/>
      <c r="G974" s="2"/>
      <c r="H974" s="2"/>
      <c r="I974" s="2"/>
      <c r="J974" s="2"/>
      <c r="K974" s="2"/>
      <c r="L974" s="2"/>
      <c r="M974" s="2"/>
      <c r="N974" s="2"/>
      <c r="O974" s="7"/>
      <c r="P974" s="8"/>
      <c r="Q974" s="9"/>
      <c r="R974" s="7"/>
      <c r="S974" s="8"/>
      <c r="T974" s="10"/>
      <c r="U974" s="2"/>
      <c r="V974" s="2"/>
    </row>
    <row r="975" spans="2:22" x14ac:dyDescent="0.2">
      <c r="B975" s="40">
        <v>45154</v>
      </c>
      <c r="C975" s="41">
        <v>5.3</v>
      </c>
      <c r="E975" s="2"/>
      <c r="F975" s="2"/>
      <c r="G975" s="2"/>
      <c r="H975" s="2"/>
      <c r="I975" s="2"/>
      <c r="J975" s="2"/>
      <c r="K975" s="2"/>
      <c r="L975" s="2"/>
      <c r="M975" s="2"/>
      <c r="N975" s="2"/>
      <c r="O975" s="7"/>
      <c r="P975" s="8"/>
      <c r="Q975" s="9"/>
      <c r="R975" s="7"/>
      <c r="S975" s="8"/>
      <c r="T975" s="10"/>
      <c r="U975" s="2"/>
      <c r="V975" s="2"/>
    </row>
    <row r="976" spans="2:22" x14ac:dyDescent="0.2">
      <c r="B976" s="40">
        <v>45155</v>
      </c>
      <c r="C976" s="41">
        <v>5.3</v>
      </c>
      <c r="E976" s="2"/>
      <c r="F976" s="2"/>
      <c r="G976" s="2"/>
      <c r="H976" s="2"/>
      <c r="I976" s="2"/>
      <c r="J976" s="2"/>
      <c r="K976" s="2"/>
      <c r="L976" s="2"/>
      <c r="M976" s="2"/>
      <c r="N976" s="2"/>
      <c r="O976" s="7"/>
      <c r="P976" s="8"/>
      <c r="Q976" s="9"/>
      <c r="R976" s="7"/>
      <c r="S976" s="8"/>
      <c r="T976" s="10"/>
      <c r="U976" s="2"/>
      <c r="V976" s="2"/>
    </row>
    <row r="977" spans="2:22" x14ac:dyDescent="0.2">
      <c r="B977" s="40">
        <v>45156</v>
      </c>
      <c r="C977" s="41">
        <v>5.3</v>
      </c>
      <c r="E977" s="2"/>
      <c r="F977" s="2"/>
      <c r="G977" s="2"/>
      <c r="H977" s="2"/>
      <c r="I977" s="2"/>
      <c r="J977" s="2"/>
      <c r="K977" s="2"/>
      <c r="L977" s="2"/>
      <c r="M977" s="2"/>
      <c r="N977" s="2"/>
      <c r="O977" s="7"/>
      <c r="P977" s="8"/>
      <c r="Q977" s="9"/>
      <c r="R977" s="7"/>
      <c r="S977" s="8"/>
      <c r="T977" s="10"/>
      <c r="U977" s="2"/>
      <c r="V977" s="2"/>
    </row>
    <row r="978" spans="2:22" x14ac:dyDescent="0.2">
      <c r="B978" s="40">
        <v>45159</v>
      </c>
      <c r="C978" s="41">
        <v>5.3</v>
      </c>
      <c r="E978" s="2"/>
      <c r="F978" s="2"/>
      <c r="G978" s="2"/>
      <c r="H978" s="2"/>
      <c r="I978" s="2"/>
      <c r="J978" s="2"/>
      <c r="K978" s="2"/>
      <c r="L978" s="2"/>
      <c r="M978" s="2"/>
      <c r="N978" s="2"/>
      <c r="O978" s="7"/>
      <c r="P978" s="8"/>
      <c r="Q978" s="9"/>
      <c r="R978" s="7"/>
      <c r="S978" s="8"/>
      <c r="T978" s="10"/>
      <c r="U978" s="2"/>
      <c r="V978" s="2"/>
    </row>
    <row r="979" spans="2:22" x14ac:dyDescent="0.2">
      <c r="B979" s="40">
        <v>45160</v>
      </c>
      <c r="C979" s="41">
        <v>5.3</v>
      </c>
      <c r="E979" s="2"/>
      <c r="F979" s="2"/>
      <c r="G979" s="2"/>
      <c r="H979" s="2"/>
      <c r="I979" s="2"/>
      <c r="J979" s="2"/>
      <c r="K979" s="2"/>
      <c r="L979" s="2"/>
      <c r="M979" s="2"/>
      <c r="N979" s="2"/>
      <c r="O979" s="7"/>
      <c r="P979" s="8"/>
      <c r="Q979" s="9"/>
      <c r="R979" s="7"/>
      <c r="S979" s="8"/>
      <c r="T979" s="10"/>
      <c r="U979" s="2"/>
      <c r="V979" s="2"/>
    </row>
    <row r="980" spans="2:22" x14ac:dyDescent="0.2">
      <c r="B980" s="40">
        <v>45161</v>
      </c>
      <c r="C980" s="41">
        <v>5.3</v>
      </c>
      <c r="E980" s="2"/>
      <c r="F980" s="2"/>
      <c r="G980" s="2"/>
      <c r="H980" s="2"/>
      <c r="I980" s="2"/>
      <c r="J980" s="2"/>
      <c r="K980" s="2"/>
      <c r="L980" s="2"/>
      <c r="M980" s="2"/>
      <c r="N980" s="2"/>
      <c r="O980" s="7"/>
      <c r="P980" s="8"/>
      <c r="Q980" s="9"/>
      <c r="R980" s="7"/>
      <c r="S980" s="8"/>
      <c r="T980" s="10"/>
      <c r="U980" s="2"/>
      <c r="V980" s="2"/>
    </row>
    <row r="981" spans="2:22" x14ac:dyDescent="0.2">
      <c r="B981" s="40">
        <v>45162</v>
      </c>
      <c r="C981" s="41">
        <v>5.3</v>
      </c>
      <c r="E981" s="2"/>
      <c r="F981" s="2"/>
      <c r="G981" s="2"/>
      <c r="H981" s="2"/>
      <c r="I981" s="2"/>
      <c r="J981" s="2"/>
      <c r="K981" s="2"/>
      <c r="L981" s="2"/>
      <c r="M981" s="2"/>
      <c r="N981" s="2"/>
      <c r="O981" s="7"/>
      <c r="P981" s="8"/>
      <c r="Q981" s="9"/>
      <c r="R981" s="7"/>
      <c r="S981" s="8"/>
      <c r="T981" s="10"/>
      <c r="U981" s="2"/>
      <c r="V981" s="2"/>
    </row>
    <row r="982" spans="2:22" x14ac:dyDescent="0.2">
      <c r="B982" s="40">
        <v>45163</v>
      </c>
      <c r="C982" s="41">
        <v>5.3</v>
      </c>
      <c r="E982" s="2"/>
      <c r="F982" s="2"/>
      <c r="G982" s="2"/>
      <c r="H982" s="2"/>
      <c r="I982" s="2"/>
      <c r="J982" s="2"/>
      <c r="K982" s="2"/>
      <c r="L982" s="2"/>
      <c r="M982" s="2"/>
      <c r="N982" s="2"/>
      <c r="O982" s="7"/>
      <c r="P982" s="8"/>
      <c r="Q982" s="9"/>
      <c r="R982" s="7"/>
      <c r="S982" s="8"/>
      <c r="T982" s="10"/>
      <c r="U982" s="2"/>
      <c r="V982" s="2"/>
    </row>
    <row r="983" spans="2:22" x14ac:dyDescent="0.2">
      <c r="B983" s="40">
        <v>45166</v>
      </c>
      <c r="C983" s="41">
        <v>5.3</v>
      </c>
      <c r="E983" s="2"/>
      <c r="F983" s="2"/>
      <c r="G983" s="2"/>
      <c r="H983" s="2"/>
      <c r="I983" s="2"/>
      <c r="J983" s="2"/>
      <c r="K983" s="2"/>
      <c r="L983" s="2"/>
      <c r="M983" s="2"/>
      <c r="N983" s="2"/>
      <c r="O983" s="7"/>
      <c r="P983" s="8"/>
      <c r="Q983" s="9"/>
      <c r="R983" s="7"/>
      <c r="S983" s="8"/>
      <c r="T983" s="10"/>
      <c r="U983" s="2"/>
      <c r="V983" s="2"/>
    </row>
    <row r="984" spans="2:22" x14ac:dyDescent="0.2">
      <c r="B984" s="40">
        <v>45167</v>
      </c>
      <c r="C984" s="41">
        <v>5.3</v>
      </c>
      <c r="E984" s="2"/>
      <c r="F984" s="2"/>
      <c r="G984" s="2"/>
      <c r="H984" s="2"/>
      <c r="I984" s="2"/>
      <c r="J984" s="2"/>
      <c r="K984" s="2"/>
      <c r="L984" s="2"/>
      <c r="M984" s="2"/>
      <c r="N984" s="2"/>
      <c r="O984" s="7"/>
      <c r="P984" s="8"/>
      <c r="Q984" s="9"/>
      <c r="R984" s="7"/>
      <c r="S984" s="8"/>
      <c r="T984" s="10"/>
      <c r="U984" s="2"/>
      <c r="V984" s="2"/>
    </row>
    <row r="985" spans="2:22" x14ac:dyDescent="0.2">
      <c r="B985" s="40">
        <v>45168</v>
      </c>
      <c r="C985" s="41">
        <v>5.3</v>
      </c>
      <c r="E985" s="2"/>
      <c r="F985" s="2"/>
      <c r="G985" s="2"/>
      <c r="H985" s="2"/>
      <c r="I985" s="2"/>
      <c r="J985" s="2"/>
      <c r="K985" s="2"/>
      <c r="L985" s="2"/>
      <c r="M985" s="2"/>
      <c r="N985" s="2"/>
      <c r="O985" s="7"/>
      <c r="P985" s="8"/>
      <c r="Q985" s="9"/>
      <c r="R985" s="7"/>
      <c r="S985" s="8"/>
      <c r="T985" s="10"/>
      <c r="U985" s="2"/>
      <c r="V985" s="2"/>
    </row>
    <row r="986" spans="2:22" x14ac:dyDescent="0.2">
      <c r="B986" s="40">
        <v>45169</v>
      </c>
      <c r="C986" s="41">
        <v>5.31</v>
      </c>
      <c r="E986" s="2"/>
      <c r="F986" s="2"/>
      <c r="G986" s="2"/>
      <c r="H986" s="2"/>
      <c r="I986" s="2"/>
      <c r="J986" s="2"/>
      <c r="K986" s="2"/>
      <c r="L986" s="2"/>
      <c r="M986" s="2"/>
      <c r="N986" s="2"/>
      <c r="O986" s="7"/>
      <c r="P986" s="8"/>
      <c r="Q986" s="9"/>
      <c r="R986" s="7"/>
      <c r="S986" s="8"/>
      <c r="T986" s="10"/>
      <c r="U986" s="2"/>
      <c r="V986" s="2"/>
    </row>
    <row r="987" spans="2:22" x14ac:dyDescent="0.2">
      <c r="B987" s="40">
        <v>45170</v>
      </c>
      <c r="C987" s="41">
        <v>5.31</v>
      </c>
      <c r="E987" s="2"/>
      <c r="F987" s="2"/>
      <c r="G987" s="2"/>
      <c r="H987" s="2"/>
      <c r="I987" s="2"/>
      <c r="J987" s="2"/>
      <c r="K987" s="2"/>
      <c r="L987" s="2"/>
      <c r="M987" s="2"/>
      <c r="N987" s="2"/>
      <c r="O987" s="7"/>
      <c r="P987" s="8"/>
      <c r="Q987" s="9"/>
      <c r="R987" s="7"/>
      <c r="S987" s="8"/>
      <c r="T987" s="10"/>
      <c r="U987" s="2"/>
      <c r="V987" s="2"/>
    </row>
    <row r="988" spans="2:22" x14ac:dyDescent="0.2">
      <c r="B988" s="40">
        <v>45174</v>
      </c>
      <c r="C988" s="41">
        <v>5.31</v>
      </c>
      <c r="E988" s="2"/>
      <c r="F988" s="2"/>
      <c r="G988" s="2"/>
      <c r="H988" s="2"/>
      <c r="I988" s="2"/>
      <c r="J988" s="2"/>
      <c r="K988" s="2"/>
      <c r="L988" s="2"/>
      <c r="M988" s="2"/>
      <c r="N988" s="2"/>
      <c r="O988" s="7"/>
      <c r="P988" s="8"/>
      <c r="Q988" s="9"/>
      <c r="R988" s="7"/>
      <c r="S988" s="8"/>
      <c r="T988" s="10"/>
      <c r="U988" s="2"/>
      <c r="V988" s="2"/>
    </row>
    <row r="989" spans="2:22" x14ac:dyDescent="0.2">
      <c r="B989" s="40">
        <v>45175</v>
      </c>
      <c r="C989" s="41">
        <v>5.3</v>
      </c>
      <c r="E989" s="2"/>
      <c r="F989" s="2"/>
      <c r="G989" s="2"/>
      <c r="H989" s="2"/>
      <c r="I989" s="2"/>
      <c r="J989" s="2"/>
      <c r="K989" s="2"/>
      <c r="L989" s="2"/>
      <c r="M989" s="2"/>
      <c r="N989" s="2"/>
      <c r="O989" s="7"/>
      <c r="P989" s="8"/>
      <c r="Q989" s="9"/>
      <c r="R989" s="7"/>
      <c r="S989" s="8"/>
      <c r="T989" s="10"/>
      <c r="U989" s="2"/>
      <c r="V989" s="2"/>
    </row>
    <row r="990" spans="2:22" x14ac:dyDescent="0.2">
      <c r="B990" s="40">
        <v>45176</v>
      </c>
      <c r="C990" s="41">
        <v>5.31</v>
      </c>
      <c r="E990" s="2"/>
      <c r="F990" s="2"/>
      <c r="G990" s="2"/>
      <c r="H990" s="2"/>
      <c r="I990" s="2"/>
      <c r="J990" s="2"/>
      <c r="K990" s="2"/>
      <c r="L990" s="2"/>
      <c r="M990" s="2"/>
      <c r="N990" s="2"/>
      <c r="O990" s="7"/>
      <c r="P990" s="8"/>
      <c r="Q990" s="9"/>
      <c r="R990" s="7"/>
      <c r="S990" s="8"/>
      <c r="T990" s="10"/>
      <c r="U990" s="2"/>
      <c r="V990" s="2"/>
    </row>
    <row r="991" spans="2:22" x14ac:dyDescent="0.2">
      <c r="B991" s="40">
        <v>45177</v>
      </c>
      <c r="C991" s="41">
        <v>5.3</v>
      </c>
      <c r="E991" s="2"/>
      <c r="F991" s="2"/>
      <c r="G991" s="2"/>
      <c r="H991" s="2"/>
      <c r="I991" s="2"/>
      <c r="J991" s="2"/>
      <c r="K991" s="2"/>
      <c r="L991" s="2"/>
      <c r="M991" s="2"/>
      <c r="N991" s="2"/>
      <c r="O991" s="7"/>
      <c r="P991" s="8"/>
      <c r="Q991" s="9"/>
      <c r="R991" s="7"/>
      <c r="S991" s="8"/>
      <c r="T991" s="10"/>
      <c r="U991" s="2"/>
      <c r="V991" s="2"/>
    </row>
    <row r="992" spans="2:22" x14ac:dyDescent="0.2">
      <c r="B992" s="40">
        <v>45180</v>
      </c>
      <c r="C992" s="41">
        <v>5.3</v>
      </c>
      <c r="E992" s="2"/>
      <c r="F992" s="2"/>
      <c r="G992" s="2"/>
      <c r="H992" s="2"/>
      <c r="I992" s="2"/>
      <c r="J992" s="2"/>
      <c r="K992" s="2"/>
      <c r="L992" s="2"/>
      <c r="M992" s="2"/>
      <c r="N992" s="2"/>
      <c r="O992" s="7"/>
      <c r="P992" s="8"/>
      <c r="Q992" s="9"/>
      <c r="R992" s="7"/>
      <c r="S992" s="8"/>
      <c r="T992" s="10"/>
      <c r="U992" s="2"/>
      <c r="V992" s="2"/>
    </row>
    <row r="993" spans="2:22" x14ac:dyDescent="0.2">
      <c r="B993" s="40">
        <v>45181</v>
      </c>
      <c r="C993" s="41">
        <v>5.3</v>
      </c>
      <c r="E993" s="2"/>
      <c r="F993" s="2"/>
      <c r="G993" s="2"/>
      <c r="H993" s="2"/>
      <c r="I993" s="2"/>
      <c r="J993" s="2"/>
      <c r="K993" s="2"/>
      <c r="L993" s="2"/>
      <c r="M993" s="2"/>
      <c r="N993" s="2"/>
      <c r="O993" s="7"/>
      <c r="P993" s="8"/>
      <c r="Q993" s="9"/>
      <c r="R993" s="7"/>
      <c r="S993" s="8"/>
      <c r="T993" s="10"/>
      <c r="U993" s="2"/>
      <c r="V993" s="2"/>
    </row>
    <row r="994" spans="2:22" x14ac:dyDescent="0.2">
      <c r="B994" s="40">
        <v>45182</v>
      </c>
      <c r="C994" s="41">
        <v>5.3</v>
      </c>
      <c r="E994" s="2"/>
      <c r="F994" s="2"/>
      <c r="G994" s="2"/>
      <c r="H994" s="2"/>
      <c r="I994" s="2"/>
      <c r="J994" s="2"/>
      <c r="K994" s="2"/>
      <c r="L994" s="2"/>
      <c r="M994" s="2"/>
      <c r="N994" s="2"/>
      <c r="O994" s="7"/>
      <c r="P994" s="8"/>
      <c r="Q994" s="9"/>
      <c r="R994" s="7"/>
      <c r="S994" s="8"/>
      <c r="T994" s="10"/>
      <c r="U994" s="2"/>
      <c r="V994" s="2"/>
    </row>
    <row r="995" spans="2:22" x14ac:dyDescent="0.2">
      <c r="B995" s="40">
        <v>45183</v>
      </c>
      <c r="C995" s="41">
        <v>5.3</v>
      </c>
      <c r="E995" s="2"/>
      <c r="F995" s="2"/>
      <c r="G995" s="2"/>
      <c r="H995" s="2"/>
      <c r="I995" s="2"/>
      <c r="J995" s="2"/>
      <c r="K995" s="2"/>
      <c r="L995" s="2"/>
      <c r="M995" s="2"/>
      <c r="N995" s="2"/>
      <c r="O995" s="7"/>
      <c r="P995" s="8"/>
      <c r="Q995" s="9"/>
      <c r="R995" s="7"/>
      <c r="S995" s="8"/>
      <c r="T995" s="10"/>
      <c r="U995" s="2"/>
      <c r="V995" s="2"/>
    </row>
    <row r="996" spans="2:22" x14ac:dyDescent="0.2">
      <c r="B996" s="40">
        <v>45184</v>
      </c>
      <c r="C996" s="41">
        <v>5.31</v>
      </c>
      <c r="E996" s="2"/>
      <c r="F996" s="2"/>
      <c r="G996" s="2"/>
      <c r="H996" s="2"/>
      <c r="I996" s="2"/>
      <c r="J996" s="2"/>
      <c r="K996" s="2"/>
      <c r="L996" s="2"/>
      <c r="M996" s="2"/>
      <c r="N996" s="2"/>
      <c r="O996" s="7"/>
      <c r="P996" s="8"/>
      <c r="Q996" s="9"/>
      <c r="R996" s="7"/>
      <c r="S996" s="8"/>
      <c r="T996" s="10"/>
      <c r="U996" s="2"/>
      <c r="V996" s="2"/>
    </row>
    <row r="997" spans="2:22" x14ac:dyDescent="0.2">
      <c r="B997" s="40">
        <v>45187</v>
      </c>
      <c r="C997" s="41">
        <v>5.31</v>
      </c>
      <c r="E997" s="2"/>
      <c r="F997" s="2"/>
      <c r="G997" s="2"/>
      <c r="H997" s="2"/>
      <c r="I997" s="2"/>
      <c r="J997" s="2"/>
      <c r="K997" s="2"/>
      <c r="L997" s="2"/>
      <c r="M997" s="2"/>
      <c r="N997" s="2"/>
      <c r="O997" s="7"/>
      <c r="P997" s="8"/>
      <c r="Q997" s="9"/>
      <c r="R997" s="7"/>
      <c r="S997" s="8"/>
      <c r="T997" s="10"/>
      <c r="U997" s="2"/>
      <c r="V997" s="2"/>
    </row>
    <row r="998" spans="2:22" x14ac:dyDescent="0.2">
      <c r="B998" s="40">
        <v>45188</v>
      </c>
      <c r="C998" s="41">
        <v>5.31</v>
      </c>
      <c r="E998" s="2"/>
      <c r="F998" s="2"/>
      <c r="G998" s="2"/>
      <c r="H998" s="2"/>
      <c r="I998" s="2"/>
      <c r="J998" s="2"/>
      <c r="K998" s="2"/>
      <c r="L998" s="2"/>
      <c r="M998" s="2"/>
      <c r="N998" s="2"/>
      <c r="O998" s="7"/>
      <c r="P998" s="8"/>
      <c r="Q998" s="9"/>
      <c r="R998" s="7"/>
      <c r="S998" s="8"/>
      <c r="T998" s="10"/>
      <c r="U998" s="2"/>
      <c r="V998" s="2"/>
    </row>
    <row r="999" spans="2:22" x14ac:dyDescent="0.2">
      <c r="B999" s="40">
        <v>45189</v>
      </c>
      <c r="C999" s="41">
        <v>5.3</v>
      </c>
      <c r="E999" s="2"/>
      <c r="F999" s="2"/>
      <c r="G999" s="2"/>
      <c r="H999" s="2"/>
      <c r="I999" s="2"/>
      <c r="J999" s="2"/>
      <c r="K999" s="2"/>
      <c r="L999" s="2"/>
      <c r="M999" s="2"/>
      <c r="N999" s="2"/>
      <c r="O999" s="7"/>
      <c r="P999" s="8"/>
      <c r="Q999" s="9"/>
      <c r="R999" s="7"/>
      <c r="S999" s="8"/>
      <c r="T999" s="10"/>
      <c r="U999" s="2"/>
      <c r="V999" s="2"/>
    </row>
    <row r="1000" spans="2:22" x14ac:dyDescent="0.2">
      <c r="B1000" s="40">
        <v>45190</v>
      </c>
      <c r="C1000" s="41">
        <v>5.3</v>
      </c>
      <c r="E1000" s="2"/>
      <c r="F1000" s="2"/>
      <c r="G1000" s="2"/>
      <c r="H1000" s="2"/>
      <c r="I1000" s="2"/>
      <c r="J1000" s="2"/>
      <c r="K1000" s="2"/>
      <c r="L1000" s="2"/>
      <c r="M1000" s="2"/>
      <c r="N1000" s="2"/>
      <c r="O1000" s="7"/>
      <c r="P1000" s="8"/>
      <c r="Q1000" s="9"/>
      <c r="R1000" s="7"/>
      <c r="S1000" s="8"/>
      <c r="T1000" s="10"/>
      <c r="U1000" s="2"/>
      <c r="V1000" s="2"/>
    </row>
    <row r="1001" spans="2:22" x14ac:dyDescent="0.2">
      <c r="B1001" s="40">
        <v>45191</v>
      </c>
      <c r="C1001" s="41">
        <v>5.3</v>
      </c>
      <c r="E1001" s="2"/>
      <c r="F1001" s="2"/>
      <c r="G1001" s="2"/>
      <c r="H1001" s="2"/>
      <c r="I1001" s="2"/>
      <c r="J1001" s="2"/>
      <c r="K1001" s="2"/>
      <c r="L1001" s="2"/>
      <c r="M1001" s="2"/>
      <c r="N1001" s="2"/>
      <c r="O1001" s="7"/>
      <c r="P1001" s="8"/>
      <c r="Q1001" s="9"/>
      <c r="R1001" s="7"/>
      <c r="S1001" s="8"/>
      <c r="T1001" s="10"/>
      <c r="U1001" s="2"/>
      <c r="V1001" s="2"/>
    </row>
    <row r="1002" spans="2:22" x14ac:dyDescent="0.2">
      <c r="B1002" s="40">
        <v>45194</v>
      </c>
      <c r="C1002" s="41">
        <v>5.31</v>
      </c>
      <c r="E1002" s="2"/>
      <c r="F1002" s="2"/>
      <c r="G1002" s="2"/>
      <c r="H1002" s="2"/>
      <c r="I1002" s="2"/>
      <c r="J1002" s="2"/>
      <c r="K1002" s="2"/>
      <c r="L1002" s="2"/>
      <c r="M1002" s="2"/>
      <c r="N1002" s="2"/>
      <c r="O1002" s="7"/>
      <c r="P1002" s="8"/>
      <c r="Q1002" s="9"/>
      <c r="R1002" s="7"/>
      <c r="S1002" s="8"/>
      <c r="T1002" s="10"/>
      <c r="U1002" s="2"/>
      <c r="V1002" s="2"/>
    </row>
    <row r="1003" spans="2:22" x14ac:dyDescent="0.2">
      <c r="B1003" s="40">
        <v>45195</v>
      </c>
      <c r="C1003" s="41">
        <v>5.31</v>
      </c>
      <c r="E1003" s="2"/>
      <c r="F1003" s="2"/>
      <c r="G1003" s="2"/>
      <c r="H1003" s="2"/>
      <c r="I1003" s="2"/>
      <c r="J1003" s="2"/>
      <c r="K1003" s="2"/>
      <c r="L1003" s="2"/>
      <c r="M1003" s="2"/>
      <c r="N1003" s="2"/>
      <c r="O1003" s="7"/>
      <c r="P1003" s="8"/>
      <c r="Q1003" s="9"/>
      <c r="R1003" s="7"/>
      <c r="S1003" s="8"/>
      <c r="T1003" s="10"/>
      <c r="U1003" s="2"/>
      <c r="V1003" s="2"/>
    </row>
    <row r="1004" spans="2:22" x14ac:dyDescent="0.2">
      <c r="B1004" s="40">
        <v>45196</v>
      </c>
      <c r="C1004" s="41">
        <v>5.32</v>
      </c>
      <c r="E1004" s="2"/>
      <c r="F1004" s="2"/>
      <c r="G1004" s="2"/>
      <c r="H1004" s="2"/>
      <c r="I1004" s="2"/>
      <c r="J1004" s="2"/>
      <c r="K1004" s="2"/>
      <c r="L1004" s="2"/>
      <c r="M1004" s="2"/>
      <c r="N1004" s="2"/>
      <c r="O1004" s="7"/>
      <c r="P1004" s="8"/>
      <c r="Q1004" s="9"/>
      <c r="R1004" s="7"/>
      <c r="S1004" s="8"/>
      <c r="T1004" s="10"/>
      <c r="U1004" s="2"/>
      <c r="V1004" s="2"/>
    </row>
    <row r="1005" spans="2:22" x14ac:dyDescent="0.2">
      <c r="B1005" s="40">
        <v>45197</v>
      </c>
      <c r="C1005" s="41">
        <v>5.31</v>
      </c>
      <c r="E1005" s="2"/>
      <c r="F1005" s="2"/>
      <c r="G1005" s="2"/>
      <c r="H1005" s="2"/>
      <c r="I1005" s="2"/>
      <c r="J1005" s="2"/>
      <c r="K1005" s="2"/>
      <c r="L1005" s="2"/>
      <c r="M1005" s="2"/>
      <c r="N1005" s="2"/>
      <c r="O1005" s="7"/>
      <c r="P1005" s="8"/>
      <c r="Q1005" s="9"/>
      <c r="R1005" s="7"/>
      <c r="S1005" s="8"/>
      <c r="T1005" s="10"/>
      <c r="U1005" s="2"/>
      <c r="V1005" s="2"/>
    </row>
    <row r="1006" spans="2:22" x14ac:dyDescent="0.2">
      <c r="B1006" s="40">
        <v>45198</v>
      </c>
      <c r="C1006" s="41">
        <v>5.31</v>
      </c>
      <c r="E1006" s="2"/>
      <c r="F1006" s="2"/>
      <c r="G1006" s="2"/>
      <c r="H1006" s="2"/>
      <c r="I1006" s="2"/>
      <c r="J1006" s="2"/>
      <c r="K1006" s="2"/>
      <c r="L1006" s="2"/>
      <c r="M1006" s="2"/>
      <c r="N1006" s="2"/>
      <c r="O1006" s="7"/>
      <c r="P1006" s="8"/>
      <c r="Q1006" s="9"/>
      <c r="R1006" s="7"/>
      <c r="S1006" s="8"/>
      <c r="T1006" s="10"/>
      <c r="U1006" s="2"/>
      <c r="V1006" s="2"/>
    </row>
    <row r="1007" spans="2:22" x14ac:dyDescent="0.2">
      <c r="B1007" s="40">
        <v>45201</v>
      </c>
      <c r="C1007" s="41">
        <v>5.32</v>
      </c>
      <c r="E1007" s="2"/>
      <c r="F1007" s="2"/>
      <c r="G1007" s="2"/>
      <c r="H1007" s="2"/>
      <c r="I1007" s="2"/>
      <c r="J1007" s="2"/>
      <c r="K1007" s="2"/>
      <c r="L1007" s="2"/>
      <c r="M1007" s="2"/>
      <c r="N1007" s="2"/>
      <c r="O1007" s="7"/>
      <c r="P1007" s="8"/>
      <c r="Q1007" s="9"/>
      <c r="R1007" s="7"/>
      <c r="S1007" s="8"/>
      <c r="T1007" s="10"/>
      <c r="U1007" s="2"/>
      <c r="V1007" s="2"/>
    </row>
    <row r="1008" spans="2:22" x14ac:dyDescent="0.2">
      <c r="B1008" s="40">
        <v>45202</v>
      </c>
      <c r="C1008" s="41">
        <v>5.33</v>
      </c>
      <c r="E1008" s="2"/>
      <c r="F1008" s="2"/>
      <c r="G1008" s="2"/>
      <c r="H1008" s="2"/>
      <c r="I1008" s="2"/>
      <c r="J1008" s="2"/>
      <c r="K1008" s="2"/>
      <c r="L1008" s="2"/>
      <c r="M1008" s="2"/>
      <c r="N1008" s="2"/>
      <c r="O1008" s="7"/>
      <c r="P1008" s="8"/>
      <c r="Q1008" s="9"/>
      <c r="R1008" s="7"/>
      <c r="S1008" s="8"/>
      <c r="T1008" s="10"/>
      <c r="U1008" s="2"/>
      <c r="V1008" s="2"/>
    </row>
    <row r="1009" spans="2:22" x14ac:dyDescent="0.2">
      <c r="B1009" s="40">
        <v>45203</v>
      </c>
      <c r="C1009" s="41">
        <v>5.32</v>
      </c>
      <c r="E1009" s="2"/>
      <c r="F1009" s="2"/>
      <c r="G1009" s="2"/>
      <c r="H1009" s="2"/>
      <c r="I1009" s="2"/>
      <c r="J1009" s="2"/>
      <c r="K1009" s="2"/>
      <c r="L1009" s="2"/>
      <c r="M1009" s="2"/>
      <c r="N1009" s="2"/>
      <c r="O1009" s="7"/>
      <c r="P1009" s="8"/>
      <c r="Q1009" s="9"/>
      <c r="R1009" s="7"/>
      <c r="S1009" s="8"/>
      <c r="T1009" s="10"/>
      <c r="U1009" s="2"/>
      <c r="V1009" s="2"/>
    </row>
    <row r="1010" spans="2:22" x14ac:dyDescent="0.2">
      <c r="B1010" s="40">
        <v>45204</v>
      </c>
      <c r="C1010" s="41">
        <v>5.32</v>
      </c>
      <c r="E1010" s="2"/>
      <c r="F1010" s="2"/>
      <c r="G1010" s="2"/>
      <c r="H1010" s="2"/>
      <c r="I1010" s="2"/>
      <c r="J1010" s="2"/>
      <c r="K1010" s="2"/>
      <c r="L1010" s="2"/>
      <c r="M1010" s="2"/>
      <c r="N1010" s="2"/>
      <c r="O1010" s="7"/>
      <c r="P1010" s="8"/>
      <c r="Q1010" s="9"/>
      <c r="R1010" s="7"/>
      <c r="S1010" s="8"/>
      <c r="T1010" s="10"/>
      <c r="U1010" s="2"/>
      <c r="V1010" s="2"/>
    </row>
    <row r="1011" spans="2:22" x14ac:dyDescent="0.2">
      <c r="B1011" s="40">
        <v>45205</v>
      </c>
      <c r="C1011" s="41">
        <v>5.31</v>
      </c>
      <c r="E1011" s="2"/>
      <c r="F1011" s="2"/>
      <c r="G1011" s="2"/>
      <c r="H1011" s="2"/>
      <c r="I1011" s="2"/>
      <c r="J1011" s="2"/>
      <c r="K1011" s="2"/>
      <c r="L1011" s="2"/>
      <c r="M1011" s="2"/>
      <c r="N1011" s="2"/>
      <c r="O1011" s="7"/>
      <c r="P1011" s="8"/>
      <c r="Q1011" s="9"/>
      <c r="R1011" s="7"/>
      <c r="S1011" s="8"/>
      <c r="T1011" s="10"/>
      <c r="U1011" s="2"/>
      <c r="V1011" s="2"/>
    </row>
    <row r="1012" spans="2:22" x14ac:dyDescent="0.2">
      <c r="B1012" s="40">
        <v>45209</v>
      </c>
      <c r="C1012" s="41">
        <v>5.31</v>
      </c>
      <c r="E1012" s="2"/>
      <c r="F1012" s="2"/>
      <c r="G1012" s="2"/>
      <c r="H1012" s="2"/>
      <c r="I1012" s="2"/>
      <c r="J1012" s="2"/>
      <c r="K1012" s="2"/>
      <c r="L1012" s="2"/>
      <c r="M1012" s="2"/>
      <c r="N1012" s="2"/>
      <c r="O1012" s="7"/>
      <c r="P1012" s="8"/>
      <c r="Q1012" s="9"/>
      <c r="R1012" s="7"/>
      <c r="S1012" s="8"/>
      <c r="T1012" s="10"/>
      <c r="U1012" s="2"/>
      <c r="V1012" s="2"/>
    </row>
    <row r="1013" spans="2:22" x14ac:dyDescent="0.2">
      <c r="B1013" s="40">
        <v>45210</v>
      </c>
      <c r="C1013" s="41">
        <v>5.31</v>
      </c>
      <c r="E1013" s="2"/>
      <c r="F1013" s="2"/>
      <c r="G1013" s="2"/>
      <c r="H1013" s="2"/>
      <c r="I1013" s="2"/>
      <c r="J1013" s="2"/>
      <c r="K1013" s="2"/>
      <c r="L1013" s="2"/>
      <c r="M1013" s="2"/>
      <c r="N1013" s="2"/>
      <c r="O1013" s="7"/>
      <c r="P1013" s="8"/>
      <c r="Q1013" s="9"/>
      <c r="R1013" s="7"/>
      <c r="S1013" s="8"/>
      <c r="T1013" s="10"/>
      <c r="U1013" s="2"/>
      <c r="V1013" s="2"/>
    </row>
    <row r="1014" spans="2:22" x14ac:dyDescent="0.2">
      <c r="B1014" s="40">
        <v>45211</v>
      </c>
      <c r="C1014" s="41">
        <v>5.31</v>
      </c>
      <c r="E1014" s="2"/>
      <c r="F1014" s="2"/>
      <c r="G1014" s="2"/>
      <c r="H1014" s="2"/>
      <c r="I1014" s="2"/>
      <c r="J1014" s="2"/>
      <c r="K1014" s="2"/>
      <c r="L1014" s="2"/>
      <c r="M1014" s="2"/>
      <c r="N1014" s="2"/>
      <c r="O1014" s="7"/>
      <c r="P1014" s="8"/>
      <c r="Q1014" s="9"/>
      <c r="R1014" s="7"/>
      <c r="S1014" s="8"/>
      <c r="T1014" s="10"/>
      <c r="U1014" s="2"/>
      <c r="V1014" s="2"/>
    </row>
    <row r="1015" spans="2:22" x14ac:dyDescent="0.2">
      <c r="B1015" s="40">
        <v>45212</v>
      </c>
      <c r="C1015" s="41">
        <v>5.31</v>
      </c>
      <c r="E1015" s="2"/>
      <c r="F1015" s="2"/>
      <c r="G1015" s="2"/>
      <c r="H1015" s="2"/>
      <c r="I1015" s="2"/>
      <c r="J1015" s="2"/>
      <c r="K1015" s="2"/>
      <c r="L1015" s="2"/>
      <c r="M1015" s="2"/>
      <c r="N1015" s="2"/>
      <c r="O1015" s="7"/>
      <c r="P1015" s="8"/>
      <c r="Q1015" s="9"/>
      <c r="R1015" s="7"/>
      <c r="S1015" s="8"/>
      <c r="T1015" s="10"/>
      <c r="U1015" s="2"/>
      <c r="V1015" s="2"/>
    </row>
    <row r="1016" spans="2:22" x14ac:dyDescent="0.2">
      <c r="B1016" s="40">
        <v>45215</v>
      </c>
      <c r="C1016" s="41">
        <v>5.31</v>
      </c>
      <c r="E1016" s="2"/>
      <c r="F1016" s="2"/>
      <c r="G1016" s="2"/>
      <c r="H1016" s="2"/>
      <c r="I1016" s="2"/>
      <c r="J1016" s="2"/>
      <c r="K1016" s="2"/>
      <c r="L1016" s="2"/>
      <c r="M1016" s="2"/>
      <c r="N1016" s="2"/>
      <c r="O1016" s="7"/>
      <c r="P1016" s="8"/>
      <c r="Q1016" s="9"/>
      <c r="R1016" s="7"/>
      <c r="S1016" s="8"/>
      <c r="T1016" s="10"/>
      <c r="U1016" s="2"/>
      <c r="V1016" s="2"/>
    </row>
    <row r="1017" spans="2:22" x14ac:dyDescent="0.2">
      <c r="B1017" s="40">
        <v>45216</v>
      </c>
      <c r="C1017" s="41">
        <v>5.31</v>
      </c>
      <c r="E1017" s="2"/>
      <c r="F1017" s="2"/>
      <c r="G1017" s="2"/>
      <c r="H1017" s="2"/>
      <c r="I1017" s="2"/>
      <c r="J1017" s="2"/>
      <c r="K1017" s="2"/>
      <c r="L1017" s="2"/>
      <c r="M1017" s="2"/>
      <c r="N1017" s="2"/>
      <c r="O1017" s="7"/>
      <c r="P1017" s="8"/>
      <c r="Q1017" s="9"/>
      <c r="R1017" s="7"/>
      <c r="S1017" s="8"/>
      <c r="T1017" s="10"/>
      <c r="U1017" s="2"/>
      <c r="V1017" s="2"/>
    </row>
    <row r="1018" spans="2:22" x14ac:dyDescent="0.2">
      <c r="B1018" s="40">
        <v>45217</v>
      </c>
      <c r="C1018" s="41">
        <v>5.3</v>
      </c>
      <c r="E1018" s="2"/>
      <c r="F1018" s="2"/>
      <c r="G1018" s="2"/>
      <c r="H1018" s="2"/>
      <c r="I1018" s="2"/>
      <c r="J1018" s="2"/>
      <c r="K1018" s="2"/>
      <c r="L1018" s="2"/>
      <c r="M1018" s="2"/>
      <c r="N1018" s="2"/>
      <c r="O1018" s="7"/>
      <c r="P1018" s="8"/>
      <c r="Q1018" s="9"/>
      <c r="R1018" s="7"/>
      <c r="S1018" s="8"/>
      <c r="T1018" s="10"/>
      <c r="U1018" s="2"/>
      <c r="V1018" s="2"/>
    </row>
    <row r="1019" spans="2:22" x14ac:dyDescent="0.2">
      <c r="B1019" s="40">
        <v>45218</v>
      </c>
      <c r="C1019" s="41">
        <v>5.3</v>
      </c>
      <c r="E1019" s="2"/>
      <c r="F1019" s="2"/>
      <c r="G1019" s="2"/>
      <c r="H1019" s="2"/>
      <c r="I1019" s="2"/>
      <c r="J1019" s="2"/>
      <c r="K1019" s="2"/>
      <c r="L1019" s="2"/>
      <c r="M1019" s="2"/>
      <c r="N1019" s="2"/>
      <c r="O1019" s="7"/>
      <c r="P1019" s="8"/>
      <c r="Q1019" s="9"/>
      <c r="R1019" s="7"/>
      <c r="S1019" s="8"/>
      <c r="T1019" s="10"/>
      <c r="U1019" s="2"/>
      <c r="V1019" s="2"/>
    </row>
    <row r="1020" spans="2:22" x14ac:dyDescent="0.2">
      <c r="B1020" s="40">
        <v>45219</v>
      </c>
      <c r="C1020" s="41">
        <v>5.3</v>
      </c>
      <c r="E1020" s="2"/>
      <c r="F1020" s="2"/>
      <c r="G1020" s="2"/>
      <c r="H1020" s="2"/>
      <c r="I1020" s="2"/>
      <c r="J1020" s="2"/>
      <c r="K1020" s="2"/>
      <c r="L1020" s="2"/>
      <c r="M1020" s="2"/>
      <c r="N1020" s="2"/>
      <c r="O1020" s="7"/>
      <c r="P1020" s="8"/>
      <c r="Q1020" s="9"/>
      <c r="R1020" s="7"/>
      <c r="S1020" s="8"/>
      <c r="T1020" s="10"/>
      <c r="U1020" s="2"/>
      <c r="V1020" s="2"/>
    </row>
    <row r="1021" spans="2:22" x14ac:dyDescent="0.2">
      <c r="B1021" s="40">
        <v>45222</v>
      </c>
      <c r="C1021" s="41">
        <v>5.3</v>
      </c>
      <c r="E1021" s="2"/>
      <c r="F1021" s="2"/>
      <c r="G1021" s="2"/>
      <c r="H1021" s="2"/>
      <c r="I1021" s="2"/>
      <c r="J1021" s="2"/>
      <c r="K1021" s="2"/>
      <c r="L1021" s="2"/>
      <c r="M1021" s="2"/>
      <c r="N1021" s="2"/>
      <c r="O1021" s="7"/>
      <c r="P1021" s="8"/>
      <c r="Q1021" s="9"/>
      <c r="R1021" s="7"/>
      <c r="S1021" s="8"/>
      <c r="T1021" s="10"/>
      <c r="U1021" s="2"/>
      <c r="V1021" s="2"/>
    </row>
    <row r="1022" spans="2:22" x14ac:dyDescent="0.2">
      <c r="B1022" s="40">
        <v>45223</v>
      </c>
      <c r="C1022" s="41">
        <v>5.3</v>
      </c>
      <c r="E1022" s="2"/>
      <c r="F1022" s="2"/>
      <c r="G1022" s="2"/>
      <c r="H1022" s="2"/>
      <c r="I1022" s="2"/>
      <c r="J1022" s="2"/>
      <c r="K1022" s="2"/>
      <c r="L1022" s="2"/>
      <c r="M1022" s="2"/>
      <c r="N1022" s="2"/>
      <c r="O1022" s="7"/>
      <c r="P1022" s="8"/>
      <c r="Q1022" s="9"/>
      <c r="R1022" s="7"/>
      <c r="S1022" s="8"/>
      <c r="T1022" s="10"/>
      <c r="U1022" s="2"/>
      <c r="V1022" s="2"/>
    </row>
    <row r="1023" spans="2:22" x14ac:dyDescent="0.2">
      <c r="B1023" s="40">
        <v>45224</v>
      </c>
      <c r="C1023" s="41">
        <v>5.3</v>
      </c>
      <c r="E1023" s="2"/>
      <c r="F1023" s="2"/>
      <c r="G1023" s="2"/>
      <c r="H1023" s="2"/>
      <c r="I1023" s="2"/>
      <c r="J1023" s="2"/>
      <c r="K1023" s="2"/>
      <c r="L1023" s="2"/>
      <c r="M1023" s="2"/>
      <c r="N1023" s="2"/>
      <c r="O1023" s="7"/>
      <c r="P1023" s="8"/>
      <c r="Q1023" s="9"/>
      <c r="R1023" s="7"/>
      <c r="S1023" s="8"/>
      <c r="T1023" s="10"/>
      <c r="U1023" s="2"/>
      <c r="V1023" s="2"/>
    </row>
    <row r="1024" spans="2:22" x14ac:dyDescent="0.2">
      <c r="B1024" s="40">
        <v>45225</v>
      </c>
      <c r="C1024" s="41">
        <v>5.31</v>
      </c>
      <c r="E1024" s="2"/>
      <c r="F1024" s="2"/>
      <c r="G1024" s="2"/>
      <c r="H1024" s="2"/>
      <c r="I1024" s="2"/>
      <c r="J1024" s="2"/>
      <c r="K1024" s="2"/>
      <c r="L1024" s="2"/>
      <c r="M1024" s="2"/>
      <c r="N1024" s="2"/>
      <c r="O1024" s="7"/>
      <c r="P1024" s="8"/>
      <c r="Q1024" s="9"/>
      <c r="R1024" s="7"/>
      <c r="S1024" s="8"/>
      <c r="T1024" s="10"/>
      <c r="U1024" s="2"/>
      <c r="V1024" s="2"/>
    </row>
    <row r="1025" spans="2:22" x14ac:dyDescent="0.2">
      <c r="B1025" s="40">
        <v>45226</v>
      </c>
      <c r="C1025" s="41">
        <v>5.31</v>
      </c>
      <c r="E1025" s="2"/>
      <c r="F1025" s="2"/>
      <c r="G1025" s="2"/>
      <c r="H1025" s="2"/>
      <c r="I1025" s="2"/>
      <c r="J1025" s="2"/>
      <c r="K1025" s="2"/>
      <c r="L1025" s="2"/>
      <c r="M1025" s="2"/>
      <c r="N1025" s="2"/>
      <c r="O1025" s="7"/>
      <c r="P1025" s="8"/>
      <c r="Q1025" s="9"/>
      <c r="R1025" s="7"/>
      <c r="S1025" s="8"/>
      <c r="T1025" s="10"/>
      <c r="U1025" s="2"/>
      <c r="V1025" s="2"/>
    </row>
    <row r="1026" spans="2:22" x14ac:dyDescent="0.2">
      <c r="B1026" s="40">
        <v>45229</v>
      </c>
      <c r="C1026" s="41">
        <v>5.31</v>
      </c>
      <c r="E1026" s="2"/>
      <c r="F1026" s="2"/>
      <c r="G1026" s="2"/>
      <c r="H1026" s="2"/>
      <c r="I1026" s="2"/>
      <c r="J1026" s="2"/>
      <c r="K1026" s="2"/>
      <c r="L1026" s="2"/>
      <c r="M1026" s="2"/>
      <c r="N1026" s="2"/>
      <c r="O1026" s="7"/>
      <c r="P1026" s="8"/>
      <c r="Q1026" s="9"/>
      <c r="R1026" s="7"/>
      <c r="S1026" s="8"/>
      <c r="T1026" s="10"/>
      <c r="U1026" s="2"/>
      <c r="V1026" s="2"/>
    </row>
    <row r="1027" spans="2:22" x14ac:dyDescent="0.2">
      <c r="B1027" s="40">
        <v>45230</v>
      </c>
      <c r="C1027" s="41">
        <v>5.35</v>
      </c>
      <c r="E1027" s="2"/>
      <c r="F1027" s="2"/>
      <c r="G1027" s="2"/>
      <c r="H1027" s="2"/>
      <c r="I1027" s="2"/>
      <c r="J1027" s="2"/>
      <c r="K1027" s="2"/>
      <c r="L1027" s="2"/>
      <c r="M1027" s="2"/>
      <c r="N1027" s="2"/>
      <c r="O1027" s="7"/>
      <c r="P1027" s="8"/>
      <c r="Q1027" s="9"/>
      <c r="R1027" s="7"/>
      <c r="S1027" s="8"/>
      <c r="T1027" s="10"/>
      <c r="U1027" s="2"/>
      <c r="V1027" s="2"/>
    </row>
    <row r="1028" spans="2:22" x14ac:dyDescent="0.2">
      <c r="B1028" s="40">
        <v>45231</v>
      </c>
      <c r="C1028" s="41">
        <v>5.32</v>
      </c>
      <c r="E1028" s="2"/>
      <c r="F1028" s="2"/>
      <c r="G1028" s="2"/>
      <c r="H1028" s="2"/>
      <c r="I1028" s="2"/>
      <c r="J1028" s="2"/>
      <c r="K1028" s="2"/>
      <c r="L1028" s="2"/>
      <c r="M1028" s="2"/>
      <c r="N1028" s="2"/>
      <c r="O1028" s="7"/>
      <c r="P1028" s="8"/>
      <c r="Q1028" s="9"/>
      <c r="R1028" s="7"/>
      <c r="S1028" s="8"/>
      <c r="T1028" s="10"/>
      <c r="U1028" s="2"/>
      <c r="V1028" s="2"/>
    </row>
    <row r="1029" spans="2:22" x14ac:dyDescent="0.2">
      <c r="B1029" s="40">
        <v>45232</v>
      </c>
      <c r="C1029" s="41">
        <v>5.33</v>
      </c>
      <c r="E1029" s="2"/>
      <c r="F1029" s="2"/>
      <c r="G1029" s="2"/>
      <c r="H1029" s="2"/>
      <c r="I1029" s="2"/>
      <c r="J1029" s="2"/>
      <c r="K1029" s="2"/>
      <c r="L1029" s="2"/>
      <c r="M1029" s="2"/>
      <c r="N1029" s="2"/>
      <c r="O1029" s="7"/>
      <c r="P1029" s="8"/>
      <c r="Q1029" s="9"/>
      <c r="R1029" s="7"/>
      <c r="S1029" s="8"/>
      <c r="T1029" s="10"/>
      <c r="U1029" s="2"/>
      <c r="V1029" s="2"/>
    </row>
    <row r="1030" spans="2:22" x14ac:dyDescent="0.2">
      <c r="B1030" s="40">
        <v>45233</v>
      </c>
      <c r="C1030" s="41">
        <v>5.32</v>
      </c>
      <c r="E1030" s="2"/>
      <c r="F1030" s="2"/>
      <c r="G1030" s="2"/>
      <c r="H1030" s="2"/>
      <c r="I1030" s="2"/>
      <c r="J1030" s="2"/>
      <c r="K1030" s="2"/>
      <c r="L1030" s="2"/>
      <c r="M1030" s="2"/>
      <c r="N1030" s="2"/>
      <c r="O1030" s="7"/>
      <c r="P1030" s="8"/>
      <c r="Q1030" s="9"/>
      <c r="R1030" s="7"/>
      <c r="S1030" s="8"/>
      <c r="T1030" s="10"/>
      <c r="U1030" s="2"/>
      <c r="V1030" s="2"/>
    </row>
    <row r="1031" spans="2:22" x14ac:dyDescent="0.2">
      <c r="B1031" s="40">
        <v>45236</v>
      </c>
      <c r="C1031" s="41">
        <v>5.32</v>
      </c>
      <c r="E1031" s="2"/>
      <c r="F1031" s="2"/>
      <c r="G1031" s="2"/>
      <c r="H1031" s="2"/>
      <c r="I1031" s="2"/>
      <c r="J1031" s="2"/>
      <c r="K1031" s="2"/>
      <c r="L1031" s="2"/>
      <c r="M1031" s="2"/>
      <c r="N1031" s="2"/>
      <c r="O1031" s="7"/>
      <c r="P1031" s="8"/>
      <c r="Q1031" s="9"/>
      <c r="R1031" s="7"/>
      <c r="S1031" s="8"/>
      <c r="T1031" s="10"/>
      <c r="U1031" s="2"/>
      <c r="V1031" s="2"/>
    </row>
    <row r="1032" spans="2:22" x14ac:dyDescent="0.2">
      <c r="B1032" s="40">
        <v>45237</v>
      </c>
      <c r="C1032" s="41">
        <v>5.32</v>
      </c>
      <c r="E1032" s="2"/>
      <c r="F1032" s="2"/>
      <c r="G1032" s="2"/>
      <c r="H1032" s="2"/>
      <c r="I1032" s="2"/>
      <c r="J1032" s="2"/>
      <c r="K1032" s="2"/>
      <c r="L1032" s="2"/>
      <c r="M1032" s="2"/>
      <c r="N1032" s="2"/>
      <c r="O1032" s="7"/>
      <c r="P1032" s="8"/>
      <c r="Q1032" s="9"/>
      <c r="R1032" s="7"/>
      <c r="S1032" s="8"/>
      <c r="T1032" s="10"/>
      <c r="U1032" s="2"/>
      <c r="V1032" s="2"/>
    </row>
    <row r="1033" spans="2:22" x14ac:dyDescent="0.2">
      <c r="B1033" s="40">
        <v>45238</v>
      </c>
      <c r="C1033" s="41">
        <v>5.32</v>
      </c>
      <c r="E1033" s="2"/>
      <c r="F1033" s="2"/>
      <c r="G1033" s="2"/>
      <c r="H1033" s="2"/>
      <c r="I1033" s="2"/>
      <c r="J1033" s="2"/>
      <c r="K1033" s="2"/>
      <c r="L1033" s="2"/>
      <c r="M1033" s="2"/>
      <c r="N1033" s="2"/>
      <c r="O1033" s="7"/>
      <c r="P1033" s="8"/>
      <c r="Q1033" s="9"/>
      <c r="R1033" s="7"/>
      <c r="S1033" s="8"/>
      <c r="T1033" s="10"/>
      <c r="U1033" s="2"/>
      <c r="V1033" s="2"/>
    </row>
    <row r="1034" spans="2:22" x14ac:dyDescent="0.2">
      <c r="B1034" s="40">
        <v>45239</v>
      </c>
      <c r="C1034" s="41">
        <v>5.32</v>
      </c>
      <c r="E1034" s="2"/>
      <c r="F1034" s="2"/>
      <c r="G1034" s="2"/>
      <c r="H1034" s="2"/>
      <c r="I1034" s="2"/>
      <c r="J1034" s="2"/>
      <c r="K1034" s="2"/>
      <c r="L1034" s="2"/>
      <c r="M1034" s="2"/>
      <c r="N1034" s="2"/>
      <c r="O1034" s="7"/>
      <c r="P1034" s="8"/>
      <c r="Q1034" s="9"/>
      <c r="R1034" s="7"/>
      <c r="S1034" s="8"/>
      <c r="T1034" s="10"/>
      <c r="U1034" s="2"/>
      <c r="V1034" s="2"/>
    </row>
    <row r="1035" spans="2:22" x14ac:dyDescent="0.2">
      <c r="B1035" s="40">
        <v>45240</v>
      </c>
      <c r="C1035" s="41">
        <v>5.32</v>
      </c>
      <c r="E1035" s="2"/>
      <c r="F1035" s="2"/>
      <c r="G1035" s="2"/>
      <c r="H1035" s="2"/>
      <c r="I1035" s="2"/>
      <c r="J1035" s="2"/>
      <c r="K1035" s="2"/>
      <c r="L1035" s="2"/>
      <c r="M1035" s="2"/>
      <c r="N1035" s="2"/>
      <c r="O1035" s="7"/>
      <c r="P1035" s="8"/>
      <c r="Q1035" s="9"/>
      <c r="R1035" s="7"/>
      <c r="S1035" s="8"/>
      <c r="T1035" s="10"/>
      <c r="U1035" s="2"/>
      <c r="V1035" s="2"/>
    </row>
    <row r="1036" spans="2:22" x14ac:dyDescent="0.2">
      <c r="B1036" s="40">
        <v>45243</v>
      </c>
      <c r="C1036" s="41">
        <v>5.32</v>
      </c>
      <c r="E1036" s="2"/>
      <c r="F1036" s="2"/>
      <c r="G1036" s="2"/>
      <c r="H1036" s="2"/>
      <c r="I1036" s="2"/>
      <c r="J1036" s="2"/>
      <c r="K1036" s="2"/>
      <c r="L1036" s="2"/>
      <c r="M1036" s="2"/>
      <c r="N1036" s="2"/>
      <c r="O1036" s="7"/>
      <c r="P1036" s="8"/>
      <c r="Q1036" s="9"/>
      <c r="R1036" s="7"/>
      <c r="S1036" s="8"/>
      <c r="T1036" s="10"/>
      <c r="U1036" s="2"/>
      <c r="V1036" s="2"/>
    </row>
    <row r="1037" spans="2:22" x14ac:dyDescent="0.2">
      <c r="B1037" s="40">
        <v>45244</v>
      </c>
      <c r="C1037" s="41">
        <v>5.32</v>
      </c>
      <c r="E1037" s="2"/>
      <c r="F1037" s="2"/>
      <c r="G1037" s="2"/>
      <c r="H1037" s="2"/>
      <c r="I1037" s="2"/>
      <c r="J1037" s="2"/>
      <c r="K1037" s="2"/>
      <c r="L1037" s="2"/>
      <c r="M1037" s="2"/>
      <c r="N1037" s="2"/>
      <c r="O1037" s="7"/>
      <c r="P1037" s="8"/>
      <c r="Q1037" s="9"/>
      <c r="R1037" s="7"/>
      <c r="S1037" s="8"/>
      <c r="T1037" s="10"/>
      <c r="U1037" s="2"/>
      <c r="V1037" s="2"/>
    </row>
    <row r="1038" spans="2:22" x14ac:dyDescent="0.2">
      <c r="B1038" s="40">
        <v>45245</v>
      </c>
      <c r="C1038" s="41">
        <v>5.32</v>
      </c>
      <c r="E1038" s="2"/>
      <c r="F1038" s="2"/>
      <c r="G1038" s="2"/>
      <c r="H1038" s="2"/>
      <c r="I1038" s="2"/>
      <c r="J1038" s="2"/>
      <c r="K1038" s="2"/>
      <c r="L1038" s="2"/>
      <c r="M1038" s="2"/>
      <c r="N1038" s="2"/>
      <c r="O1038" s="7"/>
      <c r="P1038" s="8"/>
      <c r="Q1038" s="9"/>
      <c r="R1038" s="7"/>
      <c r="S1038" s="8"/>
      <c r="T1038" s="10"/>
      <c r="U1038" s="2"/>
      <c r="V1038" s="2"/>
    </row>
    <row r="1039" spans="2:22" x14ac:dyDescent="0.2">
      <c r="B1039" s="40">
        <v>45246</v>
      </c>
      <c r="C1039" s="41">
        <v>5.32</v>
      </c>
      <c r="E1039" s="2"/>
      <c r="F1039" s="2"/>
      <c r="G1039" s="2"/>
      <c r="H1039" s="2"/>
      <c r="I1039" s="2"/>
      <c r="J1039" s="2"/>
      <c r="K1039" s="2"/>
      <c r="L1039" s="2"/>
      <c r="M1039" s="2"/>
      <c r="N1039" s="2"/>
      <c r="O1039" s="7"/>
      <c r="P1039" s="8"/>
      <c r="Q1039" s="9"/>
      <c r="R1039" s="7"/>
      <c r="S1039" s="8"/>
      <c r="T1039" s="10"/>
      <c r="U1039" s="2"/>
      <c r="V1039" s="2"/>
    </row>
    <row r="1040" spans="2:22" x14ac:dyDescent="0.2">
      <c r="B1040" s="40">
        <v>45247</v>
      </c>
      <c r="C1040" s="41">
        <v>5.32</v>
      </c>
      <c r="E1040" s="2"/>
      <c r="F1040" s="2"/>
      <c r="G1040" s="2"/>
      <c r="H1040" s="2"/>
      <c r="I1040" s="2"/>
      <c r="J1040" s="2"/>
      <c r="K1040" s="2"/>
      <c r="L1040" s="2"/>
      <c r="M1040" s="2"/>
      <c r="N1040" s="2"/>
      <c r="O1040" s="7"/>
      <c r="P1040" s="8"/>
      <c r="Q1040" s="9"/>
      <c r="R1040" s="7"/>
      <c r="S1040" s="8"/>
      <c r="T1040" s="10"/>
      <c r="U1040" s="2"/>
      <c r="V1040" s="2"/>
    </row>
    <row r="1041" spans="2:22" x14ac:dyDescent="0.2">
      <c r="B1041" s="40">
        <v>45250</v>
      </c>
      <c r="C1041" s="41">
        <v>5.31</v>
      </c>
      <c r="E1041" s="2"/>
      <c r="F1041" s="2"/>
      <c r="G1041" s="2"/>
      <c r="H1041" s="2"/>
      <c r="I1041" s="2"/>
      <c r="J1041" s="2"/>
      <c r="K1041" s="2"/>
      <c r="L1041" s="2"/>
      <c r="M1041" s="2"/>
      <c r="N1041" s="2"/>
      <c r="O1041" s="7"/>
      <c r="P1041" s="8"/>
      <c r="Q1041" s="9"/>
      <c r="R1041" s="7"/>
      <c r="S1041" s="8"/>
      <c r="T1041" s="10"/>
      <c r="U1041" s="2"/>
      <c r="V1041" s="2"/>
    </row>
    <row r="1042" spans="2:22" x14ac:dyDescent="0.2">
      <c r="B1042" s="40">
        <v>45251</v>
      </c>
      <c r="C1042" s="41">
        <v>5.31</v>
      </c>
      <c r="E1042" s="2"/>
      <c r="F1042" s="2"/>
      <c r="G1042" s="2"/>
      <c r="H1042" s="2"/>
      <c r="I1042" s="2"/>
      <c r="J1042" s="2"/>
      <c r="K1042" s="2"/>
      <c r="L1042" s="2"/>
      <c r="M1042" s="2"/>
      <c r="N1042" s="2"/>
      <c r="O1042" s="7"/>
      <c r="P1042" s="8"/>
      <c r="Q1042" s="9"/>
      <c r="R1042" s="7"/>
      <c r="S1042" s="8"/>
      <c r="T1042" s="10"/>
      <c r="U1042" s="2"/>
      <c r="V1042" s="2"/>
    </row>
    <row r="1043" spans="2:22" x14ac:dyDescent="0.2">
      <c r="B1043" s="40">
        <v>45252</v>
      </c>
      <c r="C1043" s="41">
        <v>5.31</v>
      </c>
      <c r="E1043" s="2"/>
      <c r="F1043" s="2"/>
      <c r="G1043" s="2"/>
      <c r="H1043" s="2"/>
      <c r="I1043" s="2"/>
      <c r="J1043" s="2"/>
      <c r="K1043" s="2"/>
      <c r="L1043" s="2"/>
      <c r="M1043" s="2"/>
      <c r="N1043" s="2"/>
      <c r="O1043" s="7"/>
      <c r="P1043" s="8"/>
      <c r="Q1043" s="9"/>
      <c r="R1043" s="7"/>
      <c r="S1043" s="8"/>
      <c r="T1043" s="10"/>
      <c r="U1043" s="2"/>
      <c r="V1043" s="2"/>
    </row>
    <row r="1044" spans="2:22" x14ac:dyDescent="0.2">
      <c r="B1044" s="40">
        <v>45254</v>
      </c>
      <c r="C1044" s="41">
        <v>5.32</v>
      </c>
      <c r="E1044" s="2"/>
      <c r="F1044" s="2"/>
      <c r="G1044" s="2"/>
      <c r="H1044" s="2"/>
      <c r="I1044" s="2"/>
      <c r="J1044" s="2"/>
      <c r="K1044" s="2"/>
      <c r="L1044" s="2"/>
      <c r="M1044" s="2"/>
      <c r="N1044" s="2"/>
      <c r="O1044" s="7"/>
      <c r="P1044" s="8"/>
      <c r="Q1044" s="9"/>
      <c r="R1044" s="7"/>
      <c r="S1044" s="8"/>
      <c r="T1044" s="10"/>
      <c r="U1044" s="2"/>
      <c r="V1044" s="2"/>
    </row>
    <row r="1045" spans="2:22" x14ac:dyDescent="0.2">
      <c r="B1045" s="40">
        <v>45257</v>
      </c>
      <c r="C1045" s="41">
        <v>5.32</v>
      </c>
      <c r="E1045" s="2"/>
      <c r="F1045" s="2"/>
      <c r="G1045" s="2"/>
      <c r="H1045" s="2"/>
      <c r="I1045" s="2"/>
      <c r="J1045" s="2"/>
      <c r="K1045" s="2"/>
      <c r="L1045" s="2"/>
      <c r="M1045" s="2"/>
      <c r="N1045" s="2"/>
      <c r="O1045" s="7"/>
      <c r="P1045" s="8"/>
      <c r="Q1045" s="9"/>
      <c r="R1045" s="7"/>
      <c r="S1045" s="8"/>
      <c r="T1045" s="10"/>
      <c r="U1045" s="2"/>
      <c r="V1045" s="2"/>
    </row>
    <row r="1046" spans="2:22" x14ac:dyDescent="0.2">
      <c r="B1046" s="40">
        <v>45258</v>
      </c>
      <c r="C1046" s="41">
        <v>5.32</v>
      </c>
      <c r="E1046" s="2"/>
      <c r="F1046" s="2"/>
      <c r="G1046" s="2"/>
      <c r="H1046" s="2"/>
      <c r="I1046" s="2"/>
      <c r="J1046" s="2"/>
      <c r="K1046" s="2"/>
      <c r="L1046" s="2"/>
      <c r="M1046" s="2"/>
      <c r="N1046" s="2"/>
      <c r="O1046" s="7"/>
      <c r="P1046" s="8"/>
      <c r="Q1046" s="9"/>
      <c r="R1046" s="7"/>
      <c r="S1046" s="8"/>
      <c r="T1046" s="10"/>
      <c r="U1046" s="2"/>
      <c r="V1046" s="2"/>
    </row>
    <row r="1047" spans="2:22" x14ac:dyDescent="0.2">
      <c r="B1047" s="40">
        <v>45259</v>
      </c>
      <c r="C1047" s="41">
        <v>5.31</v>
      </c>
      <c r="E1047" s="2"/>
      <c r="F1047" s="2"/>
      <c r="G1047" s="2"/>
      <c r="H1047" s="2"/>
      <c r="I1047" s="2"/>
      <c r="J1047" s="2"/>
      <c r="K1047" s="2"/>
      <c r="L1047" s="2"/>
      <c r="M1047" s="2"/>
      <c r="N1047" s="2"/>
      <c r="O1047" s="7"/>
      <c r="P1047" s="8"/>
      <c r="Q1047" s="9"/>
      <c r="R1047" s="7"/>
      <c r="S1047" s="8"/>
      <c r="T1047" s="10"/>
      <c r="U1047" s="2"/>
      <c r="V1047" s="2"/>
    </row>
    <row r="1048" spans="2:22" x14ac:dyDescent="0.2">
      <c r="B1048" s="40">
        <v>45260</v>
      </c>
      <c r="C1048" s="41">
        <v>5.33</v>
      </c>
      <c r="E1048" s="2"/>
      <c r="F1048" s="2"/>
      <c r="G1048" s="2"/>
      <c r="H1048" s="2"/>
      <c r="I1048" s="2"/>
      <c r="J1048" s="2"/>
      <c r="K1048" s="2"/>
      <c r="L1048" s="2"/>
      <c r="M1048" s="2"/>
      <c r="N1048" s="2"/>
      <c r="O1048" s="7"/>
      <c r="P1048" s="8"/>
      <c r="Q1048" s="9"/>
      <c r="R1048" s="7"/>
      <c r="S1048" s="8"/>
      <c r="T1048" s="10"/>
      <c r="U1048" s="2"/>
      <c r="V1048" s="2"/>
    </row>
    <row r="1049" spans="2:22" x14ac:dyDescent="0.2">
      <c r="B1049" s="40">
        <v>45261</v>
      </c>
      <c r="C1049" s="41">
        <v>5.39</v>
      </c>
      <c r="E1049" s="2"/>
      <c r="F1049" s="2"/>
      <c r="G1049" s="2"/>
      <c r="H1049" s="2"/>
      <c r="I1049" s="2"/>
      <c r="J1049" s="2"/>
      <c r="K1049" s="2"/>
      <c r="L1049" s="2"/>
      <c r="M1049" s="2"/>
      <c r="N1049" s="2"/>
      <c r="O1049" s="7"/>
      <c r="P1049" s="8"/>
      <c r="Q1049" s="9"/>
      <c r="R1049" s="7"/>
      <c r="S1049" s="8"/>
      <c r="T1049" s="10"/>
      <c r="U1049" s="2"/>
      <c r="V1049" s="2"/>
    </row>
    <row r="1050" spans="2:22" x14ac:dyDescent="0.2">
      <c r="B1050" s="40">
        <v>45264</v>
      </c>
      <c r="C1050" s="41">
        <v>5.37</v>
      </c>
      <c r="E1050" s="2"/>
      <c r="F1050" s="2"/>
      <c r="G1050" s="2"/>
      <c r="H1050" s="2"/>
      <c r="I1050" s="2"/>
      <c r="J1050" s="2"/>
      <c r="K1050" s="2"/>
      <c r="L1050" s="2"/>
      <c r="M1050" s="2"/>
      <c r="N1050" s="2"/>
      <c r="O1050" s="7"/>
      <c r="P1050" s="8"/>
      <c r="Q1050" s="9"/>
      <c r="R1050" s="7"/>
      <c r="S1050" s="8"/>
      <c r="T1050" s="10"/>
      <c r="U1050" s="2"/>
      <c r="V1050" s="2"/>
    </row>
    <row r="1051" spans="2:22" x14ac:dyDescent="0.2">
      <c r="B1051" s="40">
        <v>45265</v>
      </c>
      <c r="C1051" s="41">
        <v>5.33</v>
      </c>
      <c r="E1051" s="2"/>
      <c r="F1051" s="2"/>
      <c r="G1051" s="2"/>
      <c r="H1051" s="2"/>
      <c r="I1051" s="2"/>
      <c r="J1051" s="2"/>
      <c r="K1051" s="2"/>
      <c r="L1051" s="2"/>
      <c r="M1051" s="2"/>
      <c r="N1051" s="2"/>
      <c r="O1051" s="7"/>
      <c r="P1051" s="8"/>
      <c r="Q1051" s="9"/>
      <c r="R1051" s="7"/>
      <c r="S1051" s="8"/>
      <c r="T1051" s="10"/>
      <c r="U1051" s="2"/>
      <c r="V1051" s="2"/>
    </row>
    <row r="1052" spans="2:22" x14ac:dyDescent="0.2">
      <c r="B1052" s="40">
        <v>45266</v>
      </c>
      <c r="C1052" s="41">
        <v>5.32</v>
      </c>
      <c r="E1052" s="2"/>
      <c r="F1052" s="2"/>
      <c r="G1052" s="2"/>
      <c r="H1052" s="2"/>
      <c r="I1052" s="2"/>
      <c r="J1052" s="2"/>
      <c r="K1052" s="2"/>
      <c r="L1052" s="2"/>
      <c r="M1052" s="2"/>
      <c r="N1052" s="2"/>
      <c r="O1052" s="7"/>
      <c r="P1052" s="8"/>
      <c r="Q1052" s="9"/>
      <c r="R1052" s="7"/>
      <c r="S1052" s="8"/>
      <c r="T1052" s="10"/>
      <c r="U1052" s="2"/>
      <c r="V1052" s="2"/>
    </row>
    <row r="1053" spans="2:22" x14ac:dyDescent="0.2">
      <c r="B1053" s="40">
        <v>45267</v>
      </c>
      <c r="C1053" s="41">
        <v>5.32</v>
      </c>
      <c r="E1053" s="2"/>
      <c r="F1053" s="2"/>
      <c r="G1053" s="2"/>
      <c r="H1053" s="2"/>
      <c r="I1053" s="2"/>
      <c r="J1053" s="2"/>
      <c r="K1053" s="2"/>
      <c r="L1053" s="2"/>
      <c r="M1053" s="2"/>
      <c r="N1053" s="2"/>
      <c r="O1053" s="7"/>
      <c r="P1053" s="8"/>
      <c r="Q1053" s="9"/>
      <c r="R1053" s="7"/>
      <c r="S1053" s="8"/>
      <c r="T1053" s="10"/>
      <c r="U1053" s="2"/>
      <c r="V1053" s="2"/>
    </row>
    <row r="1054" spans="2:22" x14ac:dyDescent="0.2">
      <c r="B1054" s="40">
        <v>45268</v>
      </c>
      <c r="C1054" s="41">
        <v>5.32</v>
      </c>
      <c r="E1054" s="2"/>
      <c r="F1054" s="2"/>
      <c r="G1054" s="2"/>
      <c r="H1054" s="2"/>
      <c r="I1054" s="2"/>
      <c r="J1054" s="2"/>
      <c r="K1054" s="2"/>
      <c r="L1054" s="2"/>
      <c r="M1054" s="2"/>
      <c r="N1054" s="2"/>
      <c r="O1054" s="7"/>
      <c r="P1054" s="8"/>
      <c r="Q1054" s="9"/>
      <c r="R1054" s="7"/>
      <c r="S1054" s="8"/>
      <c r="T1054" s="10"/>
      <c r="U1054" s="2"/>
      <c r="V1054" s="2"/>
    </row>
    <row r="1055" spans="2:22" x14ac:dyDescent="0.2">
      <c r="B1055" s="40">
        <v>45271</v>
      </c>
      <c r="C1055" s="41">
        <v>5.32</v>
      </c>
      <c r="E1055" s="2"/>
      <c r="F1055" s="2"/>
      <c r="G1055" s="2"/>
      <c r="H1055" s="2"/>
      <c r="I1055" s="2"/>
      <c r="J1055" s="2"/>
      <c r="K1055" s="2"/>
      <c r="L1055" s="2"/>
      <c r="M1055" s="2"/>
      <c r="N1055" s="2"/>
      <c r="O1055" s="7"/>
      <c r="P1055" s="8"/>
      <c r="Q1055" s="9"/>
      <c r="R1055" s="7"/>
      <c r="S1055" s="8"/>
      <c r="T1055" s="10"/>
      <c r="U1055" s="2"/>
      <c r="V1055" s="2"/>
    </row>
    <row r="1056" spans="2:22" x14ac:dyDescent="0.2">
      <c r="B1056" s="40">
        <v>45272</v>
      </c>
      <c r="C1056" s="41">
        <v>5.31</v>
      </c>
      <c r="E1056" s="2"/>
      <c r="F1056" s="2"/>
      <c r="G1056" s="2"/>
      <c r="H1056" s="2"/>
      <c r="I1056" s="2"/>
      <c r="J1056" s="2"/>
      <c r="K1056" s="2"/>
      <c r="L1056" s="2"/>
      <c r="M1056" s="2"/>
      <c r="N1056" s="2"/>
      <c r="O1056" s="7"/>
      <c r="P1056" s="8"/>
      <c r="Q1056" s="9"/>
      <c r="R1056" s="7"/>
      <c r="S1056" s="8"/>
      <c r="T1056" s="10"/>
      <c r="U1056" s="2"/>
      <c r="V1056" s="2"/>
    </row>
    <row r="1057" spans="2:22" x14ac:dyDescent="0.2">
      <c r="B1057" s="40">
        <v>45273</v>
      </c>
      <c r="C1057" s="41">
        <v>5.31</v>
      </c>
      <c r="E1057" s="2"/>
      <c r="F1057" s="2"/>
      <c r="G1057" s="2"/>
      <c r="H1057" s="2"/>
      <c r="I1057" s="2"/>
      <c r="J1057" s="2"/>
      <c r="K1057" s="2"/>
      <c r="L1057" s="2"/>
      <c r="M1057" s="2"/>
      <c r="N1057" s="2"/>
      <c r="O1057" s="7"/>
      <c r="P1057" s="8"/>
      <c r="Q1057" s="9"/>
      <c r="R1057" s="7"/>
      <c r="S1057" s="8"/>
      <c r="T1057" s="10"/>
      <c r="U1057" s="2"/>
      <c r="V1057" s="2"/>
    </row>
    <row r="1058" spans="2:22" x14ac:dyDescent="0.2">
      <c r="B1058" s="40">
        <v>45274</v>
      </c>
      <c r="C1058" s="41">
        <v>5.31</v>
      </c>
      <c r="E1058" s="2"/>
      <c r="F1058" s="2"/>
      <c r="G1058" s="2"/>
      <c r="H1058" s="2"/>
      <c r="I1058" s="2"/>
      <c r="J1058" s="2"/>
      <c r="K1058" s="2"/>
      <c r="L1058" s="2"/>
      <c r="M1058" s="2"/>
      <c r="N1058" s="2"/>
      <c r="O1058" s="7"/>
      <c r="P1058" s="8"/>
      <c r="Q1058" s="9"/>
      <c r="R1058" s="7"/>
      <c r="S1058" s="8"/>
      <c r="T1058" s="10"/>
      <c r="U1058" s="2"/>
      <c r="V1058" s="2"/>
    </row>
    <row r="1059" spans="2:22" x14ac:dyDescent="0.2">
      <c r="B1059" s="40">
        <v>45275</v>
      </c>
      <c r="C1059" s="41">
        <v>5.32</v>
      </c>
      <c r="E1059" s="2"/>
      <c r="F1059" s="2"/>
      <c r="G1059" s="2"/>
      <c r="H1059" s="2"/>
      <c r="I1059" s="2"/>
      <c r="J1059" s="2"/>
      <c r="K1059" s="2"/>
      <c r="L1059" s="2"/>
      <c r="M1059" s="2"/>
      <c r="N1059" s="2"/>
      <c r="O1059" s="7"/>
      <c r="P1059" s="8"/>
      <c r="Q1059" s="9"/>
      <c r="R1059" s="7"/>
      <c r="S1059" s="8"/>
      <c r="T1059" s="10"/>
      <c r="U1059" s="2"/>
      <c r="V1059" s="2"/>
    </row>
    <row r="1060" spans="2:22" x14ac:dyDescent="0.2">
      <c r="B1060" s="40">
        <v>45278</v>
      </c>
      <c r="C1060" s="41">
        <v>5.32</v>
      </c>
      <c r="E1060" s="2"/>
      <c r="F1060" s="2"/>
      <c r="G1060" s="2"/>
      <c r="H1060" s="2"/>
      <c r="I1060" s="2"/>
      <c r="J1060" s="2"/>
      <c r="K1060" s="2"/>
      <c r="L1060" s="2"/>
      <c r="M1060" s="2"/>
      <c r="N1060" s="2"/>
      <c r="O1060" s="7"/>
      <c r="P1060" s="8"/>
      <c r="Q1060" s="9"/>
      <c r="R1060" s="7"/>
      <c r="S1060" s="8"/>
      <c r="T1060" s="10"/>
      <c r="U1060" s="2"/>
      <c r="V1060" s="2"/>
    </row>
    <row r="1061" spans="2:22" x14ac:dyDescent="0.2">
      <c r="B1061" s="40">
        <v>45279</v>
      </c>
      <c r="C1061" s="41">
        <v>5.31</v>
      </c>
      <c r="E1061" s="2"/>
      <c r="F1061" s="2"/>
      <c r="G1061" s="2"/>
      <c r="H1061" s="2"/>
      <c r="I1061" s="2"/>
      <c r="J1061" s="2"/>
      <c r="K1061" s="2"/>
      <c r="L1061" s="2"/>
      <c r="M1061" s="2"/>
      <c r="N1061" s="2"/>
      <c r="O1061" s="7"/>
      <c r="P1061" s="8"/>
      <c r="Q1061" s="9"/>
      <c r="R1061" s="7"/>
      <c r="S1061" s="8"/>
      <c r="T1061" s="10"/>
      <c r="U1061" s="2"/>
      <c r="V1061" s="2"/>
    </row>
    <row r="1062" spans="2:22" x14ac:dyDescent="0.2">
      <c r="B1062" s="40">
        <v>45280</v>
      </c>
      <c r="C1062" s="41">
        <v>5.31</v>
      </c>
      <c r="E1062" s="2"/>
      <c r="F1062" s="2"/>
      <c r="G1062" s="2"/>
      <c r="H1062" s="2"/>
      <c r="I1062" s="2"/>
      <c r="J1062" s="2"/>
      <c r="K1062" s="2"/>
      <c r="L1062" s="2"/>
      <c r="M1062" s="2"/>
      <c r="N1062" s="2"/>
      <c r="O1062" s="7"/>
      <c r="P1062" s="8"/>
      <c r="Q1062" s="9"/>
      <c r="R1062" s="7"/>
      <c r="S1062" s="8"/>
      <c r="T1062" s="10"/>
      <c r="U1062" s="2"/>
      <c r="V1062" s="2"/>
    </row>
    <row r="1063" spans="2:22" x14ac:dyDescent="0.2">
      <c r="B1063" s="40">
        <v>45281</v>
      </c>
      <c r="C1063" s="41">
        <v>5.31</v>
      </c>
      <c r="E1063" s="2"/>
      <c r="F1063" s="2"/>
      <c r="G1063" s="2"/>
      <c r="H1063" s="2"/>
      <c r="I1063" s="2"/>
      <c r="J1063" s="2"/>
      <c r="K1063" s="2"/>
      <c r="L1063" s="2"/>
      <c r="M1063" s="2"/>
      <c r="N1063" s="2"/>
      <c r="O1063" s="7"/>
      <c r="P1063" s="8"/>
      <c r="Q1063" s="9"/>
      <c r="R1063" s="7"/>
      <c r="S1063" s="8"/>
      <c r="T1063" s="10"/>
      <c r="U1063" s="2"/>
      <c r="V1063" s="2"/>
    </row>
    <row r="1064" spans="2:22" x14ac:dyDescent="0.2">
      <c r="B1064" s="40">
        <v>45282</v>
      </c>
      <c r="C1064" s="41">
        <v>5.32</v>
      </c>
      <c r="E1064" s="2"/>
      <c r="F1064" s="2"/>
      <c r="G1064" s="2"/>
      <c r="H1064" s="2"/>
      <c r="I1064" s="2"/>
      <c r="J1064" s="2"/>
      <c r="K1064" s="2"/>
      <c r="L1064" s="2"/>
      <c r="M1064" s="2"/>
      <c r="N1064" s="2"/>
      <c r="O1064" s="7"/>
      <c r="P1064" s="8"/>
      <c r="Q1064" s="9"/>
      <c r="R1064" s="7"/>
      <c r="S1064" s="8"/>
      <c r="T1064" s="10"/>
      <c r="U1064" s="2"/>
      <c r="V1064" s="2"/>
    </row>
    <row r="1065" spans="2:22" x14ac:dyDescent="0.2">
      <c r="B1065" s="40">
        <v>45286</v>
      </c>
      <c r="C1065" s="41">
        <v>5.35</v>
      </c>
      <c r="E1065" s="2"/>
      <c r="F1065" s="2"/>
      <c r="G1065" s="2"/>
      <c r="H1065" s="2"/>
      <c r="I1065" s="2"/>
      <c r="J1065" s="2"/>
      <c r="K1065" s="2"/>
      <c r="L1065" s="2"/>
      <c r="M1065" s="2"/>
      <c r="N1065" s="2"/>
      <c r="O1065" s="7"/>
      <c r="P1065" s="8"/>
      <c r="Q1065" s="9"/>
      <c r="R1065" s="7"/>
      <c r="S1065" s="8"/>
      <c r="T1065" s="10"/>
      <c r="U1065" s="2"/>
      <c r="V1065" s="2"/>
    </row>
    <row r="1066" spans="2:22" x14ac:dyDescent="0.2">
      <c r="B1066" s="40">
        <v>45287</v>
      </c>
      <c r="C1066" s="41">
        <v>5.39</v>
      </c>
      <c r="E1066" s="2"/>
      <c r="F1066" s="2"/>
      <c r="G1066" s="2"/>
      <c r="H1066" s="2"/>
      <c r="I1066" s="2"/>
      <c r="J1066" s="2"/>
      <c r="K1066" s="2"/>
      <c r="L1066" s="2"/>
      <c r="M1066" s="2"/>
      <c r="N1066" s="2"/>
      <c r="O1066" s="7"/>
      <c r="P1066" s="8"/>
      <c r="Q1066" s="9"/>
      <c r="R1066" s="7"/>
      <c r="S1066" s="8"/>
      <c r="T1066" s="10"/>
      <c r="U1066" s="2"/>
      <c r="V1066" s="2"/>
    </row>
    <row r="1067" spans="2:22" x14ac:dyDescent="0.2">
      <c r="B1067" s="40">
        <v>45288</v>
      </c>
      <c r="C1067" s="41">
        <v>5.4</v>
      </c>
      <c r="E1067" s="2"/>
      <c r="F1067" s="2"/>
      <c r="G1067" s="2"/>
      <c r="H1067" s="2"/>
      <c r="I1067" s="2"/>
      <c r="J1067" s="2"/>
      <c r="K1067" s="2"/>
      <c r="L1067" s="2"/>
      <c r="M1067" s="2"/>
      <c r="N1067" s="2"/>
      <c r="O1067" s="7"/>
      <c r="P1067" s="8"/>
      <c r="Q1067" s="9"/>
      <c r="R1067" s="7"/>
      <c r="S1067" s="8"/>
      <c r="T1067" s="10"/>
      <c r="U1067" s="2"/>
      <c r="V1067" s="2"/>
    </row>
    <row r="1068" spans="2:22" x14ac:dyDescent="0.2">
      <c r="B1068" s="40">
        <v>45289</v>
      </c>
      <c r="C1068" s="41">
        <v>5.38</v>
      </c>
      <c r="E1068" s="2"/>
      <c r="F1068" s="2"/>
      <c r="G1068" s="2"/>
      <c r="H1068" s="2"/>
      <c r="I1068" s="2"/>
      <c r="J1068" s="2"/>
      <c r="K1068" s="2"/>
      <c r="L1068" s="2"/>
      <c r="M1068" s="2"/>
      <c r="N1068" s="2"/>
      <c r="O1068" s="7"/>
      <c r="P1068" s="8"/>
      <c r="Q1068" s="9"/>
      <c r="R1068" s="7"/>
      <c r="S1068" s="8"/>
      <c r="T1068" s="10"/>
      <c r="U1068" s="2"/>
      <c r="V1068" s="2"/>
    </row>
    <row r="1069" spans="2:22" x14ac:dyDescent="0.2">
      <c r="B1069" s="40">
        <v>45293</v>
      </c>
      <c r="C1069" s="41">
        <v>5.4</v>
      </c>
      <c r="E1069" s="2"/>
      <c r="F1069" s="2"/>
      <c r="G1069" s="2"/>
      <c r="H1069" s="2"/>
      <c r="I1069" s="2"/>
      <c r="J1069" s="2"/>
      <c r="K1069" s="2"/>
      <c r="L1069" s="2"/>
      <c r="M1069" s="2"/>
      <c r="N1069" s="2"/>
      <c r="O1069" s="7"/>
      <c r="P1069" s="8"/>
      <c r="Q1069" s="9"/>
      <c r="R1069" s="7"/>
      <c r="S1069" s="8"/>
      <c r="T1069" s="10"/>
      <c r="U1069" s="2"/>
      <c r="V1069" s="2"/>
    </row>
    <row r="1070" spans="2:22" x14ac:dyDescent="0.2">
      <c r="B1070" s="40">
        <v>45294</v>
      </c>
      <c r="C1070" s="41">
        <v>5.39</v>
      </c>
      <c r="E1070" s="2"/>
      <c r="F1070" s="2"/>
      <c r="G1070" s="2"/>
      <c r="H1070" s="2"/>
      <c r="I1070" s="2"/>
      <c r="J1070" s="2"/>
      <c r="K1070" s="2"/>
      <c r="L1070" s="2"/>
      <c r="M1070" s="2"/>
      <c r="N1070" s="2"/>
      <c r="O1070" s="7"/>
      <c r="P1070" s="8"/>
      <c r="Q1070" s="9"/>
      <c r="R1070" s="7"/>
      <c r="S1070" s="8"/>
      <c r="T1070" s="10"/>
      <c r="U1070" s="2"/>
      <c r="V1070" s="2"/>
    </row>
    <row r="1071" spans="2:22" x14ac:dyDescent="0.2">
      <c r="B1071" s="40">
        <v>45295</v>
      </c>
      <c r="C1071" s="41">
        <v>5.32</v>
      </c>
      <c r="E1071" s="2"/>
      <c r="F1071" s="2"/>
      <c r="G1071" s="2"/>
      <c r="H1071" s="2"/>
      <c r="I1071" s="2"/>
      <c r="J1071" s="2"/>
      <c r="K1071" s="2"/>
      <c r="L1071" s="2"/>
      <c r="M1071" s="2"/>
      <c r="N1071" s="2"/>
      <c r="O1071" s="7"/>
      <c r="P1071" s="8"/>
      <c r="Q1071" s="9"/>
      <c r="R1071" s="7"/>
      <c r="S1071" s="8"/>
      <c r="T1071" s="10"/>
      <c r="U1071" s="2"/>
      <c r="V1071" s="2"/>
    </row>
    <row r="1072" spans="2:22" x14ac:dyDescent="0.2">
      <c r="B1072" s="40">
        <v>45296</v>
      </c>
      <c r="C1072" s="41">
        <v>5.31</v>
      </c>
      <c r="E1072" s="2"/>
      <c r="F1072" s="2"/>
      <c r="G1072" s="2"/>
      <c r="H1072" s="2"/>
      <c r="I1072" s="2"/>
      <c r="J1072" s="2"/>
      <c r="K1072" s="2"/>
      <c r="L1072" s="2"/>
      <c r="M1072" s="2"/>
      <c r="N1072" s="2"/>
      <c r="O1072" s="7"/>
      <c r="P1072" s="8"/>
      <c r="Q1072" s="9"/>
      <c r="R1072" s="7"/>
      <c r="S1072" s="8"/>
      <c r="T1072" s="10"/>
      <c r="U1072" s="2"/>
      <c r="V1072" s="2"/>
    </row>
    <row r="1073" spans="2:22" x14ac:dyDescent="0.2">
      <c r="B1073" s="40">
        <v>45299</v>
      </c>
      <c r="C1073" s="41">
        <v>5.31</v>
      </c>
      <c r="E1073" s="2"/>
      <c r="F1073" s="2"/>
      <c r="G1073" s="2"/>
      <c r="H1073" s="2"/>
      <c r="I1073" s="2"/>
      <c r="J1073" s="2"/>
      <c r="K1073" s="2"/>
      <c r="L1073" s="2"/>
      <c r="M1073" s="2"/>
      <c r="N1073" s="2"/>
      <c r="O1073" s="7"/>
      <c r="P1073" s="8"/>
      <c r="Q1073" s="9"/>
      <c r="R1073" s="7"/>
      <c r="S1073" s="8"/>
      <c r="T1073" s="10"/>
      <c r="U1073" s="2"/>
      <c r="V1073" s="2"/>
    </row>
    <row r="1074" spans="2:22" x14ac:dyDescent="0.2">
      <c r="B1074" s="40">
        <v>45300</v>
      </c>
      <c r="C1074" s="41">
        <v>5.31</v>
      </c>
      <c r="E1074" s="2"/>
      <c r="F1074" s="2"/>
      <c r="G1074" s="2"/>
      <c r="H1074" s="2"/>
      <c r="I1074" s="2"/>
      <c r="J1074" s="2"/>
      <c r="K1074" s="2"/>
      <c r="L1074" s="2"/>
      <c r="M1074" s="2"/>
      <c r="N1074" s="2"/>
      <c r="O1074" s="7"/>
      <c r="P1074" s="8"/>
      <c r="Q1074" s="9"/>
      <c r="R1074" s="7"/>
      <c r="S1074" s="8"/>
      <c r="T1074" s="10"/>
      <c r="U1074" s="2"/>
      <c r="V1074" s="2"/>
    </row>
    <row r="1075" spans="2:22" x14ac:dyDescent="0.2">
      <c r="B1075" s="40">
        <v>45301</v>
      </c>
      <c r="C1075" s="41">
        <v>5.31</v>
      </c>
      <c r="E1075" s="2"/>
      <c r="F1075" s="2"/>
      <c r="G1075" s="2"/>
      <c r="H1075" s="2"/>
      <c r="I1075" s="2"/>
      <c r="J1075" s="2"/>
      <c r="K1075" s="2"/>
      <c r="L1075" s="2"/>
      <c r="M1075" s="2"/>
      <c r="N1075" s="2"/>
      <c r="O1075" s="7"/>
      <c r="P1075" s="8"/>
      <c r="Q1075" s="9"/>
      <c r="R1075" s="7"/>
      <c r="S1075" s="8"/>
      <c r="T1075" s="10"/>
      <c r="U1075" s="2"/>
      <c r="V1075" s="2"/>
    </row>
    <row r="1076" spans="2:22" x14ac:dyDescent="0.2">
      <c r="B1076" s="40">
        <v>45302</v>
      </c>
      <c r="C1076" s="41">
        <v>5.31</v>
      </c>
      <c r="E1076" s="2"/>
      <c r="F1076" s="2"/>
      <c r="G1076" s="2"/>
      <c r="H1076" s="2"/>
      <c r="I1076" s="2"/>
      <c r="J1076" s="2"/>
      <c r="K1076" s="2"/>
      <c r="L1076" s="2"/>
      <c r="M1076" s="2"/>
      <c r="N1076" s="2"/>
      <c r="O1076" s="7"/>
      <c r="P1076" s="8"/>
      <c r="Q1076" s="9"/>
      <c r="R1076" s="7"/>
      <c r="S1076" s="8"/>
      <c r="T1076" s="10"/>
      <c r="U1076" s="2"/>
      <c r="V1076" s="2"/>
    </row>
    <row r="1077" spans="2:22" x14ac:dyDescent="0.2">
      <c r="B1077" s="40">
        <v>45303</v>
      </c>
      <c r="C1077" s="41">
        <v>5.31</v>
      </c>
      <c r="E1077" s="2"/>
      <c r="F1077" s="2"/>
      <c r="G1077" s="2"/>
      <c r="H1077" s="2"/>
      <c r="I1077" s="2"/>
      <c r="J1077" s="2"/>
      <c r="K1077" s="2"/>
      <c r="L1077" s="2"/>
      <c r="M1077" s="2"/>
      <c r="N1077" s="2"/>
      <c r="O1077" s="7"/>
      <c r="P1077" s="8"/>
      <c r="Q1077" s="9"/>
      <c r="R1077" s="7"/>
      <c r="S1077" s="8"/>
      <c r="T1077" s="10"/>
      <c r="U1077" s="2"/>
      <c r="V1077" s="2"/>
    </row>
    <row r="1078" spans="2:22" x14ac:dyDescent="0.2">
      <c r="B1078" s="40">
        <v>45307</v>
      </c>
      <c r="C1078" s="41">
        <v>5.32</v>
      </c>
      <c r="E1078" s="2"/>
      <c r="F1078" s="2"/>
      <c r="G1078" s="2"/>
      <c r="H1078" s="2"/>
      <c r="I1078" s="2"/>
      <c r="J1078" s="2"/>
      <c r="K1078" s="2"/>
      <c r="L1078" s="2"/>
      <c r="M1078" s="2"/>
      <c r="N1078" s="2"/>
      <c r="O1078" s="7"/>
      <c r="P1078" s="8"/>
      <c r="Q1078" s="9"/>
      <c r="R1078" s="7"/>
      <c r="S1078" s="8"/>
      <c r="T1078" s="10"/>
      <c r="U1078" s="2"/>
      <c r="V1078" s="2"/>
    </row>
    <row r="1079" spans="2:22" x14ac:dyDescent="0.2">
      <c r="B1079" s="40">
        <v>45308</v>
      </c>
      <c r="C1079" s="41">
        <v>5.32</v>
      </c>
      <c r="E1079" s="2"/>
      <c r="F1079" s="2"/>
      <c r="G1079" s="2"/>
      <c r="H1079" s="2"/>
      <c r="I1079" s="2"/>
      <c r="J1079" s="2"/>
      <c r="K1079" s="2"/>
      <c r="L1079" s="2"/>
      <c r="M1079" s="2"/>
      <c r="N1079" s="2"/>
      <c r="O1079" s="7"/>
      <c r="P1079" s="8"/>
      <c r="Q1079" s="9"/>
      <c r="R1079" s="7"/>
      <c r="S1079" s="8"/>
      <c r="T1079" s="10"/>
      <c r="U1079" s="2"/>
      <c r="V1079" s="2"/>
    </row>
    <row r="1080" spans="2:22" x14ac:dyDescent="0.2">
      <c r="B1080" s="40">
        <v>45309</v>
      </c>
      <c r="C1080" s="41">
        <v>5.31</v>
      </c>
      <c r="E1080" s="2"/>
      <c r="F1080" s="2"/>
      <c r="G1080" s="2"/>
      <c r="H1080" s="2"/>
      <c r="I1080" s="2"/>
      <c r="J1080" s="2"/>
      <c r="K1080" s="2"/>
      <c r="L1080" s="2"/>
      <c r="M1080" s="2"/>
      <c r="N1080" s="2"/>
      <c r="O1080" s="7"/>
      <c r="P1080" s="8"/>
      <c r="Q1080" s="9"/>
      <c r="R1080" s="7"/>
      <c r="S1080" s="8"/>
      <c r="T1080" s="10"/>
      <c r="U1080" s="2"/>
      <c r="V1080" s="2"/>
    </row>
    <row r="1081" spans="2:22" x14ac:dyDescent="0.2">
      <c r="B1081" s="40">
        <v>45310</v>
      </c>
      <c r="C1081" s="41">
        <v>5.31</v>
      </c>
      <c r="E1081" s="2"/>
      <c r="F1081" s="2"/>
      <c r="G1081" s="2"/>
      <c r="H1081" s="2"/>
      <c r="I1081" s="2"/>
      <c r="J1081" s="2"/>
      <c r="K1081" s="2"/>
      <c r="L1081" s="2"/>
      <c r="M1081" s="2"/>
      <c r="N1081" s="2"/>
      <c r="O1081" s="7"/>
      <c r="P1081" s="8"/>
      <c r="Q1081" s="9"/>
      <c r="R1081" s="7"/>
      <c r="S1081" s="8"/>
      <c r="T1081" s="10"/>
      <c r="U1081" s="2"/>
      <c r="V1081" s="2"/>
    </row>
    <row r="1082" spans="2:22" x14ac:dyDescent="0.2">
      <c r="B1082" s="40">
        <v>45313</v>
      </c>
      <c r="C1082" s="41">
        <v>5.31</v>
      </c>
      <c r="E1082" s="2"/>
      <c r="F1082" s="2"/>
      <c r="G1082" s="2"/>
      <c r="H1082" s="2"/>
      <c r="I1082" s="2"/>
      <c r="J1082" s="2"/>
      <c r="K1082" s="2"/>
      <c r="L1082" s="2"/>
      <c r="M1082" s="2"/>
      <c r="N1082" s="2"/>
      <c r="O1082" s="7"/>
      <c r="P1082" s="8"/>
      <c r="Q1082" s="9"/>
      <c r="R1082" s="7"/>
      <c r="S1082" s="8"/>
      <c r="T1082" s="10"/>
      <c r="U1082" s="2"/>
      <c r="V1082" s="2"/>
    </row>
    <row r="1083" spans="2:22" x14ac:dyDescent="0.2">
      <c r="B1083" s="40">
        <v>45314</v>
      </c>
      <c r="C1083" s="41">
        <v>5.31</v>
      </c>
      <c r="E1083" s="2"/>
      <c r="F1083" s="2"/>
      <c r="G1083" s="2"/>
      <c r="H1083" s="2"/>
      <c r="I1083" s="2"/>
      <c r="J1083" s="2"/>
      <c r="K1083" s="2"/>
      <c r="L1083" s="2"/>
      <c r="M1083" s="2"/>
      <c r="N1083" s="2"/>
      <c r="O1083" s="7"/>
      <c r="P1083" s="8"/>
      <c r="Q1083" s="9"/>
      <c r="R1083" s="7"/>
      <c r="S1083" s="8"/>
      <c r="T1083" s="10"/>
      <c r="U1083" s="2"/>
      <c r="V1083" s="2"/>
    </row>
    <row r="1084" spans="2:22" x14ac:dyDescent="0.2">
      <c r="B1084" s="40">
        <v>45315</v>
      </c>
      <c r="C1084" s="41">
        <v>5.31</v>
      </c>
      <c r="E1084" s="2"/>
      <c r="F1084" s="2"/>
      <c r="G1084" s="2"/>
      <c r="H1084" s="2"/>
      <c r="I1084" s="2"/>
      <c r="J1084" s="2"/>
      <c r="K1084" s="2"/>
      <c r="L1084" s="2"/>
      <c r="M1084" s="2"/>
      <c r="N1084" s="2"/>
      <c r="O1084" s="7"/>
      <c r="P1084" s="8"/>
      <c r="Q1084" s="9"/>
      <c r="R1084" s="7"/>
      <c r="S1084" s="8"/>
      <c r="T1084" s="10"/>
      <c r="U1084" s="2"/>
      <c r="V1084" s="2"/>
    </row>
    <row r="1085" spans="2:22" x14ac:dyDescent="0.2">
      <c r="B1085" s="40">
        <v>45316</v>
      </c>
      <c r="C1085" s="41">
        <v>5.32</v>
      </c>
      <c r="E1085" s="2"/>
      <c r="F1085" s="2"/>
      <c r="G1085" s="2"/>
      <c r="H1085" s="2"/>
      <c r="I1085" s="2"/>
      <c r="J1085" s="2"/>
      <c r="K1085" s="2"/>
      <c r="L1085" s="2"/>
      <c r="M1085" s="2"/>
      <c r="N1085" s="2"/>
      <c r="O1085" s="7"/>
      <c r="P1085" s="8"/>
      <c r="Q1085" s="9"/>
      <c r="R1085" s="7"/>
      <c r="S1085" s="8"/>
      <c r="T1085" s="10"/>
      <c r="U1085" s="2"/>
      <c r="V1085" s="2"/>
    </row>
    <row r="1086" spans="2:22" x14ac:dyDescent="0.2">
      <c r="B1086" s="40">
        <v>45317</v>
      </c>
      <c r="C1086" s="41">
        <v>5.32</v>
      </c>
      <c r="E1086" s="2"/>
      <c r="F1086" s="2"/>
      <c r="G1086" s="2"/>
      <c r="H1086" s="2"/>
      <c r="I1086" s="2"/>
      <c r="J1086" s="2"/>
      <c r="K1086" s="2"/>
      <c r="L1086" s="2"/>
      <c r="M1086" s="2"/>
      <c r="N1086" s="2"/>
      <c r="O1086" s="7"/>
      <c r="P1086" s="8"/>
      <c r="Q1086" s="9"/>
      <c r="R1086" s="7"/>
      <c r="S1086" s="8"/>
      <c r="T1086" s="10"/>
      <c r="U1086" s="2"/>
      <c r="V1086" s="2"/>
    </row>
    <row r="1087" spans="2:22" x14ac:dyDescent="0.2">
      <c r="B1087" s="40">
        <v>45320</v>
      </c>
      <c r="C1087" s="41">
        <v>5.31</v>
      </c>
      <c r="E1087" s="2"/>
      <c r="F1087" s="2"/>
      <c r="G1087" s="2"/>
      <c r="H1087" s="2"/>
      <c r="I1087" s="2"/>
      <c r="J1087" s="2"/>
      <c r="K1087" s="2"/>
      <c r="L1087" s="2"/>
      <c r="M1087" s="2"/>
      <c r="N1087" s="2"/>
      <c r="O1087" s="7"/>
      <c r="P1087" s="8"/>
      <c r="Q1087" s="9"/>
      <c r="R1087" s="7"/>
      <c r="S1087" s="8"/>
      <c r="T1087" s="10"/>
      <c r="U1087" s="2"/>
      <c r="V1087" s="2"/>
    </row>
    <row r="1088" spans="2:22" x14ac:dyDescent="0.2">
      <c r="B1088" s="40">
        <v>45321</v>
      </c>
      <c r="C1088" s="41">
        <v>5.31</v>
      </c>
      <c r="E1088" s="2"/>
      <c r="F1088" s="2"/>
      <c r="G1088" s="2"/>
      <c r="H1088" s="2"/>
      <c r="I1088" s="2"/>
      <c r="J1088" s="2"/>
      <c r="K1088" s="2"/>
      <c r="L1088" s="2"/>
      <c r="M1088" s="2"/>
      <c r="N1088" s="2"/>
      <c r="O1088" s="7"/>
      <c r="P1088" s="8"/>
      <c r="Q1088" s="9"/>
      <c r="R1088" s="7"/>
      <c r="S1088" s="8"/>
      <c r="T1088" s="10"/>
      <c r="U1088" s="2"/>
      <c r="V1088" s="2"/>
    </row>
    <row r="1089" spans="2:22" x14ac:dyDescent="0.2">
      <c r="B1089" s="40">
        <v>45322</v>
      </c>
      <c r="C1089" s="41">
        <v>5.32</v>
      </c>
      <c r="E1089" s="2"/>
      <c r="F1089" s="2"/>
      <c r="G1089" s="2"/>
      <c r="H1089" s="2"/>
      <c r="I1089" s="2"/>
      <c r="J1089" s="2"/>
      <c r="K1089" s="2"/>
      <c r="L1089" s="2"/>
      <c r="M1089" s="2"/>
      <c r="N1089" s="2"/>
      <c r="O1089" s="7"/>
      <c r="P1089" s="8"/>
      <c r="Q1089" s="9"/>
      <c r="R1089" s="7"/>
      <c r="S1089" s="8"/>
      <c r="T1089" s="10"/>
      <c r="U1089" s="2"/>
      <c r="V1089" s="2"/>
    </row>
    <row r="1090" spans="2:22" x14ac:dyDescent="0.2">
      <c r="B1090" s="40">
        <v>45323</v>
      </c>
      <c r="C1090" s="41">
        <v>5.32</v>
      </c>
      <c r="E1090" s="2"/>
      <c r="F1090" s="2"/>
      <c r="G1090" s="2"/>
      <c r="H1090" s="2"/>
      <c r="I1090" s="2"/>
      <c r="J1090" s="2"/>
      <c r="K1090" s="2"/>
      <c r="L1090" s="2"/>
      <c r="M1090" s="2"/>
      <c r="N1090" s="2"/>
      <c r="O1090" s="7"/>
      <c r="P1090" s="8"/>
      <c r="Q1090" s="9"/>
      <c r="R1090" s="7"/>
      <c r="S1090" s="8"/>
      <c r="T1090" s="10"/>
      <c r="U1090" s="2"/>
      <c r="V1090" s="2"/>
    </row>
    <row r="1091" spans="2:22" x14ac:dyDescent="0.2">
      <c r="B1091" s="40">
        <v>45324</v>
      </c>
      <c r="C1091" s="41">
        <v>5.32</v>
      </c>
      <c r="E1091" s="2"/>
      <c r="F1091" s="2"/>
      <c r="G1091" s="2"/>
      <c r="H1091" s="2"/>
      <c r="I1091" s="2"/>
      <c r="J1091" s="2"/>
      <c r="K1091" s="2"/>
      <c r="L1091" s="2"/>
      <c r="M1091" s="2"/>
      <c r="N1091" s="2"/>
      <c r="O1091" s="7"/>
      <c r="P1091" s="8"/>
      <c r="Q1091" s="9"/>
      <c r="R1091" s="7"/>
      <c r="S1091" s="8"/>
      <c r="T1091" s="10"/>
      <c r="U1091" s="2"/>
      <c r="V1091" s="2"/>
    </row>
    <row r="1092" spans="2:22" x14ac:dyDescent="0.2">
      <c r="B1092" s="40">
        <v>45327</v>
      </c>
      <c r="C1092" s="41">
        <v>5.31</v>
      </c>
      <c r="E1092" s="2"/>
      <c r="F1092" s="2"/>
      <c r="G1092" s="2"/>
      <c r="H1092" s="2"/>
      <c r="I1092" s="2"/>
      <c r="J1092" s="2"/>
      <c r="K1092" s="2"/>
      <c r="L1092" s="2"/>
      <c r="M1092" s="2"/>
      <c r="N1092" s="2"/>
      <c r="O1092" s="7"/>
      <c r="P1092" s="8"/>
      <c r="Q1092" s="9"/>
      <c r="R1092" s="7"/>
      <c r="S1092" s="8"/>
      <c r="T1092" s="10"/>
      <c r="U1092" s="2"/>
      <c r="V1092" s="2"/>
    </row>
    <row r="1093" spans="2:22" x14ac:dyDescent="0.2">
      <c r="B1093" s="40">
        <v>45328</v>
      </c>
      <c r="C1093" s="41">
        <v>5.31</v>
      </c>
      <c r="E1093" s="2"/>
      <c r="F1093" s="2"/>
      <c r="G1093" s="2"/>
      <c r="H1093" s="2"/>
      <c r="I1093" s="2"/>
      <c r="J1093" s="2"/>
      <c r="K1093" s="2"/>
      <c r="L1093" s="2"/>
      <c r="M1093" s="2"/>
      <c r="N1093" s="2"/>
      <c r="O1093" s="7"/>
      <c r="P1093" s="8"/>
      <c r="Q1093" s="9"/>
      <c r="R1093" s="7"/>
      <c r="S1093" s="8"/>
      <c r="T1093" s="10"/>
      <c r="U1093" s="2"/>
      <c r="V1093" s="2"/>
    </row>
    <row r="1094" spans="2:22" x14ac:dyDescent="0.2">
      <c r="B1094" s="40">
        <v>45329</v>
      </c>
      <c r="C1094" s="41">
        <v>5.31</v>
      </c>
      <c r="E1094" s="2"/>
      <c r="F1094" s="2"/>
      <c r="G1094" s="2"/>
      <c r="H1094" s="2"/>
      <c r="I1094" s="2"/>
      <c r="J1094" s="2"/>
      <c r="K1094" s="2"/>
      <c r="L1094" s="2"/>
      <c r="M1094" s="2"/>
      <c r="N1094" s="2"/>
      <c r="O1094" s="7"/>
      <c r="P1094" s="8"/>
      <c r="Q1094" s="9"/>
      <c r="R1094" s="7"/>
      <c r="S1094" s="8"/>
      <c r="T1094" s="10"/>
      <c r="U1094" s="2"/>
      <c r="V1094" s="2"/>
    </row>
    <row r="1095" spans="2:22" x14ac:dyDescent="0.2">
      <c r="B1095" s="40">
        <v>45330</v>
      </c>
      <c r="C1095" s="41">
        <v>5.31</v>
      </c>
      <c r="E1095" s="2"/>
      <c r="F1095" s="2"/>
      <c r="G1095" s="2"/>
      <c r="H1095" s="2"/>
      <c r="I1095" s="2"/>
      <c r="J1095" s="2"/>
      <c r="K1095" s="2"/>
      <c r="L1095" s="2"/>
      <c r="M1095" s="2"/>
      <c r="N1095" s="2"/>
      <c r="O1095" s="7"/>
      <c r="P1095" s="8"/>
      <c r="Q1095" s="9"/>
      <c r="R1095" s="7"/>
      <c r="S1095" s="8"/>
      <c r="T1095" s="10"/>
      <c r="U1095" s="2"/>
      <c r="V1095" s="2"/>
    </row>
    <row r="1096" spans="2:22" x14ac:dyDescent="0.2">
      <c r="B1096" s="40">
        <v>45331</v>
      </c>
      <c r="C1096" s="41">
        <v>5.31</v>
      </c>
      <c r="E1096" s="2"/>
      <c r="F1096" s="2"/>
      <c r="G1096" s="2"/>
      <c r="H1096" s="2"/>
      <c r="I1096" s="2"/>
      <c r="J1096" s="2"/>
      <c r="K1096" s="2"/>
      <c r="L1096" s="2"/>
      <c r="M1096" s="2"/>
      <c r="N1096" s="2"/>
      <c r="O1096" s="7"/>
      <c r="P1096" s="8"/>
      <c r="Q1096" s="9"/>
      <c r="R1096" s="7"/>
      <c r="S1096" s="8"/>
      <c r="T1096" s="10"/>
      <c r="U1096" s="2"/>
      <c r="V1096" s="2"/>
    </row>
    <row r="1097" spans="2:22" x14ac:dyDescent="0.2">
      <c r="B1097" s="40">
        <v>45334</v>
      </c>
      <c r="C1097" s="41">
        <v>5.31</v>
      </c>
      <c r="E1097" s="2"/>
      <c r="F1097" s="2"/>
      <c r="G1097" s="2"/>
      <c r="H1097" s="2"/>
      <c r="I1097" s="2"/>
      <c r="J1097" s="2"/>
      <c r="K1097" s="2"/>
      <c r="L1097" s="2"/>
      <c r="M1097" s="2"/>
      <c r="N1097" s="2"/>
      <c r="O1097" s="7"/>
      <c r="P1097" s="8"/>
      <c r="Q1097" s="9"/>
      <c r="R1097" s="7"/>
      <c r="S1097" s="8"/>
      <c r="T1097" s="10"/>
      <c r="U1097" s="2"/>
      <c r="V1097" s="2"/>
    </row>
    <row r="1098" spans="2:22" x14ac:dyDescent="0.2">
      <c r="B1098" s="40">
        <v>45335</v>
      </c>
      <c r="C1098" s="41">
        <v>5.31</v>
      </c>
      <c r="E1098" s="2"/>
      <c r="F1098" s="2"/>
      <c r="G1098" s="2"/>
      <c r="H1098" s="2"/>
      <c r="I1098" s="2"/>
      <c r="J1098" s="2"/>
      <c r="K1098" s="2"/>
      <c r="L1098" s="2"/>
      <c r="M1098" s="2"/>
      <c r="N1098" s="2"/>
      <c r="O1098" s="7"/>
      <c r="P1098" s="8"/>
      <c r="Q1098" s="9"/>
      <c r="R1098" s="7"/>
      <c r="S1098" s="8"/>
      <c r="T1098" s="10"/>
      <c r="U1098" s="2"/>
      <c r="V1098" s="2"/>
    </row>
    <row r="1099" spans="2:22" x14ac:dyDescent="0.2">
      <c r="B1099" s="40">
        <v>45336</v>
      </c>
      <c r="C1099" s="41">
        <v>5.3</v>
      </c>
      <c r="E1099" s="2"/>
      <c r="F1099" s="2"/>
      <c r="G1099" s="2"/>
      <c r="H1099" s="2"/>
      <c r="I1099" s="2"/>
      <c r="J1099" s="2"/>
      <c r="K1099" s="2"/>
      <c r="L1099" s="2"/>
      <c r="M1099" s="2"/>
      <c r="N1099" s="2"/>
      <c r="O1099" s="7"/>
      <c r="P1099" s="8"/>
      <c r="Q1099" s="9"/>
      <c r="R1099" s="7"/>
      <c r="S1099" s="8"/>
      <c r="T1099" s="10"/>
      <c r="U1099" s="2"/>
      <c r="V1099" s="2"/>
    </row>
    <row r="1100" spans="2:22" x14ac:dyDescent="0.2">
      <c r="B1100" s="40">
        <v>45337</v>
      </c>
      <c r="C1100" s="41">
        <v>5.31</v>
      </c>
      <c r="E1100" s="2"/>
      <c r="F1100" s="2"/>
      <c r="G1100" s="2"/>
      <c r="H1100" s="2"/>
      <c r="I1100" s="2"/>
      <c r="J1100" s="2"/>
      <c r="K1100" s="2"/>
      <c r="L1100" s="2"/>
      <c r="M1100" s="2"/>
      <c r="N1100" s="2"/>
      <c r="O1100" s="7"/>
      <c r="P1100" s="8"/>
      <c r="Q1100" s="9"/>
      <c r="R1100" s="7"/>
      <c r="S1100" s="8"/>
      <c r="T1100" s="10"/>
      <c r="U1100" s="2"/>
      <c r="V1100" s="2"/>
    </row>
    <row r="1101" spans="2:22" x14ac:dyDescent="0.2">
      <c r="B1101" s="40">
        <v>45338</v>
      </c>
      <c r="C1101" s="41">
        <v>5.3</v>
      </c>
      <c r="E1101" s="2"/>
      <c r="F1101" s="2"/>
      <c r="G1101" s="2"/>
      <c r="H1101" s="2"/>
      <c r="I1101" s="2"/>
      <c r="J1101" s="2"/>
      <c r="K1101" s="2"/>
      <c r="L1101" s="2"/>
      <c r="M1101" s="2"/>
      <c r="N1101" s="2"/>
      <c r="O1101" s="7"/>
      <c r="P1101" s="8"/>
      <c r="Q1101" s="9"/>
      <c r="R1101" s="7"/>
      <c r="S1101" s="8"/>
      <c r="T1101" s="10"/>
      <c r="U1101" s="2"/>
      <c r="V1101" s="2"/>
    </row>
    <row r="1102" spans="2:22" x14ac:dyDescent="0.2">
      <c r="B1102" s="40">
        <v>45342</v>
      </c>
      <c r="C1102" s="41">
        <v>5.3</v>
      </c>
      <c r="E1102" s="2"/>
      <c r="F1102" s="2"/>
      <c r="G1102" s="2"/>
      <c r="H1102" s="2"/>
      <c r="I1102" s="2"/>
      <c r="J1102" s="2"/>
      <c r="K1102" s="2"/>
      <c r="L1102" s="2"/>
      <c r="M1102" s="2"/>
      <c r="N1102" s="2"/>
      <c r="O1102" s="7"/>
      <c r="P1102" s="8"/>
      <c r="Q1102" s="9"/>
      <c r="R1102" s="7"/>
      <c r="S1102" s="8"/>
      <c r="T1102" s="10"/>
      <c r="U1102" s="2"/>
      <c r="V1102" s="2"/>
    </row>
    <row r="1103" spans="2:22" x14ac:dyDescent="0.2">
      <c r="B1103" s="40">
        <v>45343</v>
      </c>
      <c r="C1103" s="41">
        <v>5.3</v>
      </c>
      <c r="E1103" s="2"/>
      <c r="F1103" s="2"/>
      <c r="G1103" s="2"/>
      <c r="H1103" s="2"/>
      <c r="I1103" s="2"/>
      <c r="J1103" s="2"/>
      <c r="K1103" s="2"/>
      <c r="L1103" s="2"/>
      <c r="M1103" s="2"/>
      <c r="N1103" s="2"/>
      <c r="O1103" s="7"/>
      <c r="P1103" s="8"/>
      <c r="Q1103" s="9"/>
      <c r="R1103" s="7"/>
      <c r="S1103" s="8"/>
      <c r="T1103" s="10"/>
      <c r="U1103" s="2"/>
      <c r="V1103" s="2"/>
    </row>
    <row r="1104" spans="2:22" x14ac:dyDescent="0.2">
      <c r="B1104" s="40">
        <v>45344</v>
      </c>
      <c r="C1104" s="41">
        <v>5.3</v>
      </c>
      <c r="E1104" s="2"/>
      <c r="F1104" s="2"/>
      <c r="G1104" s="2"/>
      <c r="H1104" s="2"/>
      <c r="I1104" s="2"/>
      <c r="J1104" s="2"/>
      <c r="K1104" s="2"/>
      <c r="L1104" s="2"/>
      <c r="M1104" s="2"/>
      <c r="N1104" s="2"/>
      <c r="O1104" s="7"/>
      <c r="P1104" s="8"/>
      <c r="Q1104" s="9"/>
      <c r="R1104" s="7"/>
      <c r="S1104" s="8"/>
      <c r="T1104" s="10"/>
      <c r="U1104" s="2"/>
      <c r="V1104" s="2"/>
    </row>
    <row r="1105" spans="2:22" x14ac:dyDescent="0.2">
      <c r="B1105" s="40">
        <v>45345</v>
      </c>
      <c r="C1105" s="41">
        <v>5.31</v>
      </c>
      <c r="E1105" s="2"/>
      <c r="F1105" s="2"/>
      <c r="G1105" s="2"/>
      <c r="H1105" s="2"/>
      <c r="I1105" s="2"/>
      <c r="J1105" s="2"/>
      <c r="K1105" s="2"/>
      <c r="L1105" s="2"/>
      <c r="M1105" s="2"/>
      <c r="N1105" s="2"/>
      <c r="O1105" s="7"/>
      <c r="P1105" s="8"/>
      <c r="Q1105" s="9"/>
      <c r="R1105" s="7"/>
      <c r="S1105" s="8"/>
      <c r="T1105" s="10"/>
      <c r="U1105" s="2"/>
      <c r="V1105" s="2"/>
    </row>
    <row r="1106" spans="2:22" x14ac:dyDescent="0.2">
      <c r="B1106" s="40">
        <v>45348</v>
      </c>
      <c r="C1106" s="41">
        <v>5.31</v>
      </c>
      <c r="E1106" s="2"/>
      <c r="F1106" s="2"/>
      <c r="G1106" s="2"/>
      <c r="H1106" s="2"/>
      <c r="I1106" s="2"/>
      <c r="J1106" s="2"/>
      <c r="K1106" s="2"/>
      <c r="L1106" s="2"/>
      <c r="M1106" s="2"/>
      <c r="N1106" s="2"/>
      <c r="O1106" s="7"/>
      <c r="P1106" s="8"/>
      <c r="Q1106" s="9"/>
      <c r="R1106" s="7"/>
      <c r="S1106" s="8"/>
      <c r="T1106" s="10"/>
      <c r="U1106" s="2"/>
      <c r="V1106" s="2"/>
    </row>
    <row r="1107" spans="2:22" x14ac:dyDescent="0.2">
      <c r="B1107" s="40">
        <v>45349</v>
      </c>
      <c r="C1107" s="41">
        <v>5.31</v>
      </c>
      <c r="E1107" s="2"/>
      <c r="F1107" s="2"/>
      <c r="G1107" s="2"/>
      <c r="H1107" s="2"/>
      <c r="I1107" s="2"/>
      <c r="J1107" s="2"/>
      <c r="K1107" s="2"/>
      <c r="L1107" s="2"/>
      <c r="M1107" s="2"/>
      <c r="N1107" s="2"/>
      <c r="O1107" s="7"/>
      <c r="P1107" s="8"/>
      <c r="Q1107" s="9"/>
      <c r="R1107" s="7"/>
      <c r="S1107" s="8"/>
      <c r="T1107" s="10"/>
      <c r="U1107" s="2"/>
      <c r="V1107" s="2"/>
    </row>
    <row r="1108" spans="2:22" x14ac:dyDescent="0.2">
      <c r="B1108" s="40">
        <v>45350</v>
      </c>
      <c r="C1108" s="41">
        <v>5.31</v>
      </c>
      <c r="E1108" s="2"/>
      <c r="F1108" s="2"/>
      <c r="G1108" s="2"/>
      <c r="H1108" s="2"/>
      <c r="I1108" s="2"/>
      <c r="J1108" s="2"/>
      <c r="K1108" s="2"/>
      <c r="L1108" s="2"/>
      <c r="M1108" s="2"/>
      <c r="N1108" s="2"/>
      <c r="O1108" s="7"/>
      <c r="P1108" s="8"/>
      <c r="Q1108" s="9"/>
      <c r="R1108" s="7"/>
      <c r="S1108" s="8"/>
      <c r="T1108" s="10"/>
      <c r="U1108" s="2"/>
      <c r="V1108" s="2"/>
    </row>
    <row r="1109" spans="2:22" x14ac:dyDescent="0.2">
      <c r="B1109" s="40">
        <v>45351</v>
      </c>
      <c r="C1109" s="41">
        <v>5.32</v>
      </c>
      <c r="E1109" s="2"/>
      <c r="F1109" s="2"/>
      <c r="G1109" s="2"/>
      <c r="H1109" s="2"/>
      <c r="I1109" s="2"/>
      <c r="J1109" s="2"/>
      <c r="K1109" s="2"/>
      <c r="L1109" s="2"/>
      <c r="M1109" s="2"/>
      <c r="N1109" s="2"/>
      <c r="O1109" s="7"/>
      <c r="P1109" s="8"/>
      <c r="Q1109" s="9"/>
      <c r="R1109" s="7"/>
      <c r="S1109" s="8"/>
      <c r="T1109" s="10"/>
      <c r="U1109" s="2"/>
      <c r="V1109" s="2"/>
    </row>
    <row r="1110" spans="2:22" x14ac:dyDescent="0.2">
      <c r="B1110" s="40">
        <v>45352</v>
      </c>
      <c r="C1110" s="41">
        <v>5.31</v>
      </c>
      <c r="E1110" s="2"/>
      <c r="F1110" s="2"/>
      <c r="G1110" s="2"/>
      <c r="H1110" s="2"/>
      <c r="I1110" s="2"/>
      <c r="J1110" s="2"/>
      <c r="K1110" s="2"/>
      <c r="L1110" s="2"/>
      <c r="M1110" s="2"/>
      <c r="N1110" s="2"/>
      <c r="O1110" s="7"/>
      <c r="P1110" s="8"/>
      <c r="Q1110" s="9"/>
      <c r="R1110" s="7"/>
      <c r="S1110" s="8"/>
      <c r="T1110" s="10"/>
      <c r="U1110" s="2"/>
      <c r="V1110" s="2"/>
    </row>
    <row r="1111" spans="2:22" x14ac:dyDescent="0.2">
      <c r="B1111" s="40">
        <v>45355</v>
      </c>
      <c r="C1111" s="41">
        <v>5.31</v>
      </c>
      <c r="E1111" s="2"/>
      <c r="F1111" s="2"/>
      <c r="G1111" s="2"/>
      <c r="H1111" s="2"/>
      <c r="I1111" s="2"/>
      <c r="J1111" s="2"/>
      <c r="K1111" s="2"/>
      <c r="L1111" s="2"/>
      <c r="M1111" s="2"/>
      <c r="N1111" s="2"/>
      <c r="O1111" s="7"/>
      <c r="P1111" s="8"/>
      <c r="Q1111" s="9"/>
      <c r="R1111" s="7"/>
      <c r="S1111" s="8"/>
      <c r="T1111" s="10"/>
      <c r="U1111" s="2"/>
      <c r="V1111" s="2"/>
    </row>
    <row r="1112" spans="2:22" x14ac:dyDescent="0.2">
      <c r="B1112" s="40">
        <v>45356</v>
      </c>
      <c r="C1112" s="41">
        <v>5.31</v>
      </c>
      <c r="E1112" s="2"/>
      <c r="F1112" s="2"/>
      <c r="G1112" s="2"/>
      <c r="H1112" s="2"/>
      <c r="I1112" s="2"/>
      <c r="J1112" s="2"/>
      <c r="K1112" s="2"/>
      <c r="L1112" s="2"/>
      <c r="M1112" s="2"/>
      <c r="N1112" s="2"/>
      <c r="O1112" s="7"/>
      <c r="P1112" s="8"/>
      <c r="Q1112" s="9"/>
      <c r="R1112" s="7"/>
      <c r="S1112" s="8"/>
      <c r="T1112" s="10"/>
      <c r="U1112" s="2"/>
      <c r="V1112" s="2"/>
    </row>
    <row r="1113" spans="2:22" x14ac:dyDescent="0.2">
      <c r="B1113" s="40">
        <v>45357</v>
      </c>
      <c r="C1113" s="41">
        <v>5.31</v>
      </c>
      <c r="E1113" s="2"/>
      <c r="F1113" s="2"/>
      <c r="G1113" s="2"/>
      <c r="H1113" s="2"/>
      <c r="I1113" s="2"/>
      <c r="J1113" s="2"/>
      <c r="K1113" s="2"/>
      <c r="L1113" s="2"/>
      <c r="M1113" s="2"/>
      <c r="N1113" s="2"/>
      <c r="O1113" s="7"/>
      <c r="P1113" s="8"/>
      <c r="Q1113" s="9"/>
      <c r="R1113" s="7"/>
      <c r="S1113" s="8"/>
      <c r="T1113" s="10"/>
      <c r="U1113" s="2"/>
      <c r="V1113" s="2"/>
    </row>
    <row r="1114" spans="2:22" x14ac:dyDescent="0.2">
      <c r="B1114" s="40">
        <v>45358</v>
      </c>
      <c r="C1114" s="41">
        <v>5.31</v>
      </c>
      <c r="E1114" s="2"/>
      <c r="F1114" s="2"/>
      <c r="G1114" s="2"/>
      <c r="H1114" s="2"/>
      <c r="I1114" s="2"/>
      <c r="J1114" s="2"/>
      <c r="K1114" s="2"/>
      <c r="L1114" s="2"/>
      <c r="M1114" s="2"/>
      <c r="N1114" s="2"/>
      <c r="O1114" s="7"/>
      <c r="P1114" s="8"/>
      <c r="Q1114" s="9"/>
      <c r="R1114" s="7"/>
      <c r="S1114" s="8"/>
      <c r="T1114" s="10"/>
      <c r="U1114" s="2"/>
      <c r="V1114" s="2"/>
    </row>
    <row r="1115" spans="2:22" x14ac:dyDescent="0.2">
      <c r="B1115" s="40">
        <v>45359</v>
      </c>
      <c r="C1115" s="41">
        <v>5.31</v>
      </c>
      <c r="E1115" s="2"/>
      <c r="F1115" s="2"/>
      <c r="G1115" s="2"/>
      <c r="H1115" s="2"/>
      <c r="I1115" s="2"/>
      <c r="J1115" s="2"/>
      <c r="K1115" s="2"/>
      <c r="L1115" s="2"/>
      <c r="M1115" s="2"/>
      <c r="N1115" s="2"/>
      <c r="O1115" s="7"/>
      <c r="P1115" s="8"/>
      <c r="Q1115" s="9"/>
      <c r="R1115" s="7"/>
      <c r="S1115" s="8"/>
      <c r="T1115" s="10"/>
      <c r="U1115" s="2"/>
      <c r="V1115" s="2"/>
    </row>
    <row r="1116" spans="2:22" x14ac:dyDescent="0.2">
      <c r="B1116" s="40">
        <v>45362</v>
      </c>
      <c r="C1116" s="41">
        <v>5.31</v>
      </c>
      <c r="E1116" s="2"/>
      <c r="F1116" s="2"/>
      <c r="G1116" s="2"/>
      <c r="H1116" s="2"/>
      <c r="I1116" s="2"/>
      <c r="J1116" s="2"/>
      <c r="K1116" s="2"/>
      <c r="L1116" s="2"/>
      <c r="M1116" s="2"/>
      <c r="N1116" s="2"/>
      <c r="O1116" s="7"/>
      <c r="P1116" s="8"/>
      <c r="Q1116" s="9"/>
      <c r="R1116" s="7"/>
      <c r="S1116" s="8"/>
      <c r="T1116" s="10"/>
      <c r="U1116" s="2"/>
      <c r="V1116" s="2"/>
    </row>
    <row r="1117" spans="2:22" x14ac:dyDescent="0.2">
      <c r="B1117" s="40">
        <v>45363</v>
      </c>
      <c r="C1117" s="41">
        <v>5.31</v>
      </c>
      <c r="E1117" s="2"/>
      <c r="F1117" s="2"/>
      <c r="G1117" s="2"/>
      <c r="H1117" s="2"/>
      <c r="I1117" s="2"/>
      <c r="J1117" s="2"/>
      <c r="K1117" s="2"/>
      <c r="L1117" s="2"/>
      <c r="M1117" s="2"/>
      <c r="N1117" s="2"/>
      <c r="O1117" s="7"/>
      <c r="P1117" s="8"/>
      <c r="Q1117" s="9"/>
      <c r="R1117" s="7"/>
      <c r="S1117" s="8"/>
      <c r="T1117" s="10"/>
      <c r="U1117" s="2"/>
      <c r="V1117" s="2"/>
    </row>
    <row r="1118" spans="2:22" x14ac:dyDescent="0.2">
      <c r="B1118" s="40">
        <v>45364</v>
      </c>
      <c r="C1118" s="41">
        <v>5.31</v>
      </c>
      <c r="E1118" s="2"/>
      <c r="F1118" s="2"/>
      <c r="G1118" s="2"/>
      <c r="H1118" s="2"/>
      <c r="I1118" s="2"/>
      <c r="J1118" s="2"/>
      <c r="K1118" s="2"/>
      <c r="L1118" s="2"/>
      <c r="M1118" s="2"/>
      <c r="N1118" s="2"/>
      <c r="O1118" s="7"/>
      <c r="P1118" s="8"/>
      <c r="Q1118" s="9"/>
      <c r="R1118" s="7"/>
      <c r="S1118" s="8"/>
      <c r="T1118" s="10"/>
      <c r="U1118" s="2"/>
      <c r="V1118" s="2"/>
    </row>
    <row r="1119" spans="2:22" x14ac:dyDescent="0.2">
      <c r="B1119" s="40">
        <v>45365</v>
      </c>
      <c r="C1119" s="41">
        <v>5.31</v>
      </c>
      <c r="E1119" s="2"/>
      <c r="F1119" s="2"/>
      <c r="G1119" s="2"/>
      <c r="H1119" s="2"/>
      <c r="I1119" s="2"/>
      <c r="J1119" s="2"/>
      <c r="K1119" s="2"/>
      <c r="L1119" s="2"/>
      <c r="M1119" s="2"/>
      <c r="N1119" s="2"/>
      <c r="O1119" s="7"/>
      <c r="P1119" s="8"/>
      <c r="Q1119" s="9"/>
      <c r="R1119" s="7"/>
      <c r="S1119" s="8"/>
      <c r="T1119" s="10"/>
      <c r="U1119" s="2"/>
      <c r="V1119" s="2"/>
    </row>
    <row r="1120" spans="2:22" x14ac:dyDescent="0.2">
      <c r="B1120" s="40">
        <v>45366</v>
      </c>
      <c r="C1120" s="41">
        <v>5.31</v>
      </c>
      <c r="E1120" s="2"/>
      <c r="F1120" s="2"/>
      <c r="G1120" s="2"/>
      <c r="H1120" s="2"/>
      <c r="I1120" s="2"/>
      <c r="J1120" s="2"/>
      <c r="K1120" s="2"/>
      <c r="L1120" s="2"/>
      <c r="M1120" s="2"/>
      <c r="N1120" s="2"/>
      <c r="O1120" s="7"/>
      <c r="P1120" s="8"/>
      <c r="Q1120" s="9"/>
      <c r="R1120" s="7"/>
      <c r="S1120" s="8"/>
      <c r="T1120" s="10"/>
      <c r="U1120" s="2"/>
      <c r="V1120" s="2"/>
    </row>
    <row r="1121" spans="2:22" x14ac:dyDescent="0.2">
      <c r="B1121" s="40">
        <v>45369</v>
      </c>
      <c r="C1121" s="41">
        <v>5.31</v>
      </c>
      <c r="E1121" s="2"/>
      <c r="F1121" s="2"/>
      <c r="G1121" s="2"/>
      <c r="H1121" s="2"/>
      <c r="I1121" s="2"/>
      <c r="J1121" s="2"/>
      <c r="K1121" s="2"/>
      <c r="L1121" s="2"/>
      <c r="M1121" s="2"/>
      <c r="N1121" s="2"/>
      <c r="O1121" s="7"/>
      <c r="P1121" s="8"/>
      <c r="Q1121" s="9"/>
      <c r="R1121" s="7"/>
      <c r="S1121" s="8"/>
      <c r="T1121" s="10"/>
      <c r="U1121" s="2"/>
      <c r="V1121" s="2"/>
    </row>
    <row r="1122" spans="2:22" x14ac:dyDescent="0.2">
      <c r="B1122" s="40">
        <v>45370</v>
      </c>
      <c r="C1122" s="41">
        <v>5.31</v>
      </c>
      <c r="E1122" s="2"/>
      <c r="F1122" s="2"/>
      <c r="G1122" s="2"/>
      <c r="H1122" s="2"/>
      <c r="I1122" s="2"/>
      <c r="J1122" s="2"/>
      <c r="K1122" s="2"/>
      <c r="L1122" s="2"/>
      <c r="M1122" s="2"/>
      <c r="N1122" s="2"/>
      <c r="O1122" s="7"/>
      <c r="P1122" s="8"/>
      <c r="Q1122" s="9"/>
      <c r="R1122" s="7"/>
      <c r="S1122" s="8"/>
      <c r="T1122" s="10"/>
      <c r="U1122" s="2"/>
      <c r="V1122" s="2"/>
    </row>
    <row r="1123" spans="2:22" x14ac:dyDescent="0.2">
      <c r="B1123" s="40">
        <v>45371</v>
      </c>
      <c r="C1123" s="41">
        <v>5.31</v>
      </c>
      <c r="E1123" s="2"/>
      <c r="F1123" s="2"/>
      <c r="G1123" s="2"/>
      <c r="H1123" s="2"/>
      <c r="I1123" s="2"/>
      <c r="J1123" s="2"/>
      <c r="K1123" s="2"/>
      <c r="L1123" s="2"/>
      <c r="M1123" s="2"/>
      <c r="N1123" s="2"/>
      <c r="O1123" s="7"/>
      <c r="P1123" s="8"/>
      <c r="Q1123" s="9"/>
      <c r="R1123" s="7"/>
      <c r="S1123" s="8"/>
      <c r="T1123" s="10"/>
      <c r="U1123" s="2"/>
      <c r="V1123" s="2"/>
    </row>
    <row r="1124" spans="2:22" x14ac:dyDescent="0.2">
      <c r="B1124" s="40">
        <v>45372</v>
      </c>
      <c r="C1124" s="41">
        <v>5.31</v>
      </c>
      <c r="E1124" s="2"/>
      <c r="F1124" s="2"/>
      <c r="G1124" s="2"/>
      <c r="H1124" s="2"/>
      <c r="I1124" s="2"/>
      <c r="J1124" s="2"/>
      <c r="K1124" s="2"/>
      <c r="L1124" s="2"/>
      <c r="M1124" s="2"/>
      <c r="N1124" s="2"/>
      <c r="O1124" s="7"/>
      <c r="P1124" s="8"/>
      <c r="Q1124" s="9"/>
      <c r="R1124" s="7"/>
      <c r="S1124" s="8"/>
      <c r="T1124" s="10"/>
      <c r="U1124" s="2"/>
      <c r="V1124" s="2"/>
    </row>
    <row r="1125" spans="2:22" x14ac:dyDescent="0.2">
      <c r="B1125" s="40">
        <v>45373</v>
      </c>
      <c r="C1125" s="41">
        <v>5.31</v>
      </c>
      <c r="E1125" s="2"/>
      <c r="F1125" s="2"/>
      <c r="G1125" s="2"/>
      <c r="H1125" s="2"/>
      <c r="I1125" s="2"/>
      <c r="J1125" s="2"/>
      <c r="K1125" s="2"/>
      <c r="L1125" s="2"/>
      <c r="M1125" s="2"/>
      <c r="N1125" s="2"/>
      <c r="O1125" s="7"/>
      <c r="P1125" s="8"/>
      <c r="Q1125" s="9"/>
      <c r="R1125" s="7"/>
      <c r="S1125" s="8"/>
      <c r="T1125" s="10"/>
      <c r="U1125" s="2"/>
      <c r="V1125" s="2"/>
    </row>
    <row r="1126" spans="2:22" x14ac:dyDescent="0.2">
      <c r="B1126" s="40">
        <v>45376</v>
      </c>
      <c r="C1126" s="41">
        <v>5.31</v>
      </c>
      <c r="E1126" s="2"/>
      <c r="F1126" s="2"/>
      <c r="G1126" s="2"/>
      <c r="H1126" s="2"/>
      <c r="I1126" s="2"/>
      <c r="J1126" s="2"/>
      <c r="K1126" s="2"/>
      <c r="L1126" s="2"/>
      <c r="M1126" s="2"/>
      <c r="N1126" s="2"/>
      <c r="O1126" s="7"/>
      <c r="P1126" s="8"/>
      <c r="Q1126" s="9"/>
      <c r="R1126" s="7"/>
      <c r="S1126" s="8"/>
      <c r="T1126" s="10"/>
      <c r="U1126" s="2"/>
      <c r="V1126" s="2"/>
    </row>
    <row r="1127" spans="2:22" x14ac:dyDescent="0.2">
      <c r="B1127" s="40">
        <v>45377</v>
      </c>
      <c r="C1127" s="41">
        <v>5.32</v>
      </c>
      <c r="E1127" s="2"/>
      <c r="F1127" s="2"/>
      <c r="G1127" s="2"/>
      <c r="H1127" s="2"/>
      <c r="I1127" s="2"/>
      <c r="J1127" s="2"/>
      <c r="K1127" s="2"/>
      <c r="L1127" s="2"/>
      <c r="M1127" s="2"/>
      <c r="N1127" s="2"/>
      <c r="O1127" s="7"/>
      <c r="P1127" s="8"/>
      <c r="Q1127" s="9"/>
      <c r="R1127" s="7"/>
      <c r="S1127" s="8"/>
      <c r="T1127" s="10"/>
      <c r="U1127" s="2"/>
      <c r="V1127" s="2"/>
    </row>
    <row r="1128" spans="2:22" x14ac:dyDescent="0.2">
      <c r="B1128" s="40">
        <v>45378</v>
      </c>
      <c r="C1128" s="41">
        <v>5.33</v>
      </c>
      <c r="E1128" s="2"/>
      <c r="F1128" s="2"/>
      <c r="G1128" s="2"/>
      <c r="H1128" s="2"/>
      <c r="I1128" s="2"/>
      <c r="J1128" s="2"/>
      <c r="K1128" s="2"/>
      <c r="L1128" s="2"/>
      <c r="M1128" s="2"/>
      <c r="N1128" s="2"/>
      <c r="O1128" s="7"/>
      <c r="P1128" s="8"/>
      <c r="Q1128" s="9"/>
      <c r="R1128" s="7"/>
      <c r="S1128" s="8"/>
      <c r="T1128" s="10"/>
      <c r="U1128" s="2"/>
      <c r="V1128" s="2"/>
    </row>
    <row r="1129" spans="2:22" x14ac:dyDescent="0.2">
      <c r="B1129" s="40">
        <v>45379</v>
      </c>
      <c r="C1129" s="41">
        <v>5.34</v>
      </c>
      <c r="E1129" s="2"/>
      <c r="F1129" s="2"/>
      <c r="G1129" s="2"/>
      <c r="H1129" s="2"/>
      <c r="I1129" s="2"/>
      <c r="J1129" s="2"/>
      <c r="K1129" s="2"/>
      <c r="L1129" s="2"/>
      <c r="M1129" s="2"/>
      <c r="N1129" s="2"/>
      <c r="O1129" s="7"/>
      <c r="P1129" s="8"/>
      <c r="Q1129" s="9"/>
      <c r="R1129" s="7"/>
      <c r="S1129" s="8"/>
      <c r="T1129" s="10"/>
      <c r="U1129" s="2"/>
      <c r="V1129" s="2"/>
    </row>
    <row r="1130" spans="2:22" x14ac:dyDescent="0.2">
      <c r="B1130" s="40">
        <v>45383</v>
      </c>
      <c r="C1130" s="41">
        <v>5.35</v>
      </c>
      <c r="E1130" s="2"/>
      <c r="F1130" s="2"/>
      <c r="G1130" s="2"/>
      <c r="H1130" s="2"/>
      <c r="I1130" s="2"/>
      <c r="J1130" s="2"/>
      <c r="K1130" s="2"/>
      <c r="L1130" s="2"/>
      <c r="M1130" s="2"/>
      <c r="N1130" s="2"/>
      <c r="O1130" s="7"/>
      <c r="P1130" s="8"/>
      <c r="Q1130" s="9"/>
      <c r="R1130" s="7"/>
      <c r="S1130" s="8"/>
      <c r="T1130" s="10"/>
      <c r="U1130" s="2"/>
      <c r="V1130" s="2"/>
    </row>
    <row r="1131" spans="2:22" x14ac:dyDescent="0.2">
      <c r="B1131" s="40">
        <v>45384</v>
      </c>
      <c r="C1131" s="41">
        <v>5.34</v>
      </c>
      <c r="E1131" s="2"/>
      <c r="F1131" s="2"/>
      <c r="G1131" s="2"/>
      <c r="H1131" s="2"/>
      <c r="I1131" s="2"/>
      <c r="J1131" s="2"/>
      <c r="K1131" s="2"/>
      <c r="L1131" s="2"/>
      <c r="M1131" s="2"/>
      <c r="N1131" s="2"/>
      <c r="O1131" s="7"/>
      <c r="P1131" s="8"/>
      <c r="Q1131" s="9"/>
      <c r="R1131" s="7"/>
      <c r="S1131" s="8"/>
      <c r="T1131" s="10"/>
      <c r="U1131" s="2"/>
      <c r="V1131" s="2"/>
    </row>
    <row r="1132" spans="2:22" x14ac:dyDescent="0.2">
      <c r="B1132" s="40">
        <v>45385</v>
      </c>
      <c r="C1132" s="41">
        <v>5.32</v>
      </c>
      <c r="E1132" s="2"/>
      <c r="F1132" s="2"/>
      <c r="G1132" s="2"/>
      <c r="H1132" s="2"/>
      <c r="I1132" s="2"/>
      <c r="J1132" s="2"/>
      <c r="K1132" s="2"/>
      <c r="L1132" s="2"/>
      <c r="M1132" s="2"/>
      <c r="N1132" s="2"/>
      <c r="O1132" s="7"/>
      <c r="P1132" s="8"/>
      <c r="Q1132" s="9"/>
      <c r="R1132" s="7"/>
      <c r="S1132" s="8"/>
      <c r="T1132" s="10"/>
      <c r="U1132" s="2"/>
      <c r="V1132" s="2"/>
    </row>
    <row r="1133" spans="2:22" x14ac:dyDescent="0.2">
      <c r="B1133" s="40">
        <v>45386</v>
      </c>
      <c r="C1133" s="41">
        <v>5.32</v>
      </c>
      <c r="E1133" s="2"/>
      <c r="F1133" s="2"/>
      <c r="G1133" s="2"/>
      <c r="H1133" s="2"/>
      <c r="I1133" s="2"/>
      <c r="J1133" s="2"/>
      <c r="K1133" s="2"/>
      <c r="L1133" s="2"/>
      <c r="M1133" s="2"/>
      <c r="N1133" s="2"/>
      <c r="O1133" s="7"/>
      <c r="P1133" s="8"/>
      <c r="Q1133" s="9"/>
      <c r="R1133" s="7"/>
      <c r="S1133" s="8"/>
      <c r="T1133" s="10"/>
      <c r="U1133" s="2"/>
      <c r="V1133" s="2"/>
    </row>
    <row r="1134" spans="2:22" x14ac:dyDescent="0.2">
      <c r="B1134" s="40">
        <v>45387</v>
      </c>
      <c r="C1134" s="41">
        <v>5.32</v>
      </c>
      <c r="E1134" s="2"/>
      <c r="F1134" s="2"/>
      <c r="G1134" s="2"/>
      <c r="H1134" s="2"/>
      <c r="I1134" s="2"/>
      <c r="J1134" s="2"/>
      <c r="K1134" s="2"/>
      <c r="L1134" s="2"/>
      <c r="M1134" s="2"/>
      <c r="N1134" s="2"/>
      <c r="O1134" s="7"/>
      <c r="P1134" s="8"/>
      <c r="Q1134" s="9"/>
      <c r="R1134" s="7"/>
      <c r="S1134" s="8"/>
      <c r="T1134" s="10"/>
      <c r="U1134" s="2"/>
      <c r="V1134" s="2"/>
    </row>
    <row r="1135" spans="2:22" x14ac:dyDescent="0.2">
      <c r="B1135" s="40">
        <v>45390</v>
      </c>
      <c r="C1135" s="41">
        <v>5.31</v>
      </c>
      <c r="E1135" s="2"/>
      <c r="F1135" s="2"/>
      <c r="G1135" s="2"/>
      <c r="H1135" s="2"/>
      <c r="I1135" s="2"/>
      <c r="J1135" s="2"/>
      <c r="K1135" s="2"/>
      <c r="L1135" s="2"/>
      <c r="M1135" s="2"/>
      <c r="N1135" s="2"/>
      <c r="O1135" s="7"/>
      <c r="P1135" s="8"/>
      <c r="Q1135" s="9"/>
      <c r="R1135" s="7"/>
      <c r="S1135" s="8"/>
      <c r="T1135" s="10"/>
      <c r="U1135" s="2"/>
      <c r="V1135" s="2"/>
    </row>
    <row r="1136" spans="2:22" x14ac:dyDescent="0.2">
      <c r="B1136" s="40">
        <v>45391</v>
      </c>
      <c r="C1136" s="41">
        <v>5.31</v>
      </c>
      <c r="E1136" s="2"/>
      <c r="F1136" s="2"/>
      <c r="G1136" s="2"/>
      <c r="H1136" s="2"/>
      <c r="I1136" s="2"/>
      <c r="J1136" s="2"/>
      <c r="K1136" s="2"/>
      <c r="L1136" s="2"/>
      <c r="M1136" s="2"/>
      <c r="N1136" s="2"/>
      <c r="O1136" s="7"/>
      <c r="P1136" s="8"/>
      <c r="Q1136" s="9"/>
      <c r="R1136" s="7"/>
      <c r="S1136" s="8"/>
      <c r="T1136" s="10"/>
      <c r="U1136" s="2"/>
      <c r="V1136" s="2"/>
    </row>
    <row r="1137" spans="2:22" x14ac:dyDescent="0.2">
      <c r="B1137" s="40">
        <v>45392</v>
      </c>
      <c r="C1137" s="41">
        <v>5.31</v>
      </c>
      <c r="E1137" s="2"/>
      <c r="F1137" s="2"/>
      <c r="G1137" s="2"/>
      <c r="H1137" s="2"/>
      <c r="I1137" s="2"/>
      <c r="J1137" s="2"/>
      <c r="K1137" s="2"/>
      <c r="L1137" s="2"/>
      <c r="M1137" s="2"/>
      <c r="N1137" s="2"/>
      <c r="O1137" s="7"/>
      <c r="P1137" s="8"/>
      <c r="Q1137" s="9"/>
      <c r="R1137" s="7"/>
      <c r="S1137" s="8"/>
      <c r="T1137" s="10"/>
      <c r="U1137" s="2"/>
      <c r="V1137" s="2"/>
    </row>
    <row r="1138" spans="2:22" x14ac:dyDescent="0.2">
      <c r="B1138" s="40">
        <v>45393</v>
      </c>
      <c r="C1138" s="41">
        <v>5.31</v>
      </c>
      <c r="E1138" s="2"/>
      <c r="F1138" s="2"/>
      <c r="G1138" s="2"/>
      <c r="H1138" s="2"/>
      <c r="I1138" s="2"/>
      <c r="J1138" s="2"/>
      <c r="K1138" s="2"/>
      <c r="L1138" s="2"/>
      <c r="M1138" s="2"/>
      <c r="N1138" s="2"/>
      <c r="O1138" s="7"/>
      <c r="P1138" s="8"/>
      <c r="Q1138" s="9"/>
      <c r="R1138" s="7"/>
      <c r="S1138" s="8"/>
      <c r="T1138" s="10"/>
      <c r="U1138" s="2"/>
      <c r="V1138" s="2"/>
    </row>
    <row r="1139" spans="2:22" x14ac:dyDescent="0.2">
      <c r="B1139" s="40">
        <v>45394</v>
      </c>
      <c r="C1139" s="41">
        <v>5.31</v>
      </c>
      <c r="E1139" s="2"/>
      <c r="F1139" s="2"/>
      <c r="G1139" s="2"/>
      <c r="H1139" s="2"/>
      <c r="I1139" s="2"/>
      <c r="J1139" s="2"/>
      <c r="K1139" s="2"/>
      <c r="L1139" s="2"/>
      <c r="M1139" s="2"/>
      <c r="N1139" s="2"/>
      <c r="O1139" s="7"/>
      <c r="P1139" s="8"/>
      <c r="Q1139" s="9"/>
      <c r="R1139" s="7"/>
      <c r="S1139" s="8"/>
      <c r="T1139" s="10"/>
      <c r="U1139" s="2"/>
      <c r="V1139" s="2"/>
    </row>
    <row r="1140" spans="2:22" x14ac:dyDescent="0.2">
      <c r="B1140" s="40">
        <v>45397</v>
      </c>
      <c r="C1140" s="41">
        <v>5.32</v>
      </c>
      <c r="E1140" s="2"/>
      <c r="F1140" s="2"/>
      <c r="G1140" s="2"/>
      <c r="H1140" s="2"/>
      <c r="I1140" s="2"/>
      <c r="J1140" s="2"/>
      <c r="K1140" s="2"/>
      <c r="L1140" s="2"/>
      <c r="M1140" s="2"/>
      <c r="N1140" s="2"/>
      <c r="O1140" s="7"/>
      <c r="P1140" s="8"/>
      <c r="Q1140" s="9"/>
      <c r="R1140" s="7"/>
      <c r="S1140" s="8"/>
      <c r="T1140" s="10"/>
      <c r="U1140" s="2"/>
      <c r="V1140" s="2"/>
    </row>
    <row r="1141" spans="2:22" x14ac:dyDescent="0.2">
      <c r="B1141" s="40">
        <v>45398</v>
      </c>
      <c r="C1141" s="41">
        <v>5.31</v>
      </c>
      <c r="E1141" s="2"/>
      <c r="F1141" s="2"/>
      <c r="G1141" s="2"/>
      <c r="H1141" s="2"/>
      <c r="I1141" s="2"/>
      <c r="J1141" s="2"/>
      <c r="K1141" s="2"/>
      <c r="L1141" s="2"/>
      <c r="M1141" s="2"/>
      <c r="N1141" s="2"/>
      <c r="O1141" s="7"/>
      <c r="P1141" s="8"/>
      <c r="Q1141" s="9"/>
      <c r="R1141" s="7"/>
      <c r="S1141" s="8"/>
      <c r="T1141" s="10"/>
      <c r="U1141" s="2"/>
      <c r="V1141" s="2"/>
    </row>
    <row r="1142" spans="2:22" x14ac:dyDescent="0.2">
      <c r="B1142" s="40">
        <v>45399</v>
      </c>
      <c r="C1142" s="41">
        <v>5.31</v>
      </c>
      <c r="E1142" s="2"/>
      <c r="F1142" s="2"/>
      <c r="G1142" s="2"/>
      <c r="H1142" s="2"/>
      <c r="I1142" s="2"/>
      <c r="J1142" s="2"/>
      <c r="K1142" s="2"/>
      <c r="L1142" s="2"/>
      <c r="M1142" s="2"/>
      <c r="N1142" s="2"/>
      <c r="O1142" s="7"/>
      <c r="P1142" s="8"/>
      <c r="Q1142" s="9"/>
      <c r="R1142" s="7"/>
      <c r="S1142" s="8"/>
      <c r="T1142" s="10"/>
      <c r="U1142" s="2"/>
      <c r="V1142" s="2"/>
    </row>
    <row r="1143" spans="2:22" x14ac:dyDescent="0.2">
      <c r="B1143" s="40">
        <v>45400</v>
      </c>
      <c r="C1143" s="41">
        <v>5.3</v>
      </c>
      <c r="E1143" s="2"/>
      <c r="F1143" s="2"/>
      <c r="G1143" s="2"/>
      <c r="H1143" s="2"/>
      <c r="I1143" s="2"/>
      <c r="J1143" s="2"/>
      <c r="K1143" s="2"/>
      <c r="L1143" s="2"/>
      <c r="M1143" s="2"/>
      <c r="N1143" s="2"/>
      <c r="O1143" s="7"/>
      <c r="P1143" s="8"/>
      <c r="Q1143" s="9"/>
      <c r="R1143" s="7"/>
      <c r="S1143" s="8"/>
      <c r="T1143" s="10"/>
      <c r="U1143" s="2"/>
      <c r="V1143" s="2"/>
    </row>
    <row r="1144" spans="2:22" x14ac:dyDescent="0.2">
      <c r="B1144" s="40">
        <v>45401</v>
      </c>
      <c r="C1144" s="41">
        <v>5.31</v>
      </c>
      <c r="E1144" s="2"/>
      <c r="F1144" s="2"/>
      <c r="G1144" s="2"/>
      <c r="H1144" s="2"/>
      <c r="I1144" s="2"/>
      <c r="J1144" s="2"/>
      <c r="K1144" s="2"/>
      <c r="L1144" s="2"/>
      <c r="M1144" s="2"/>
      <c r="N1144" s="2"/>
      <c r="O1144" s="7"/>
      <c r="P1144" s="8"/>
      <c r="Q1144" s="9"/>
      <c r="R1144" s="7"/>
      <c r="S1144" s="8"/>
      <c r="T1144" s="10"/>
      <c r="U1144" s="2"/>
      <c r="V1144" s="2"/>
    </row>
    <row r="1145" spans="2:22" x14ac:dyDescent="0.2">
      <c r="B1145" s="40">
        <v>45404</v>
      </c>
      <c r="C1145" s="41">
        <v>5.31</v>
      </c>
      <c r="E1145" s="2"/>
      <c r="F1145" s="2"/>
      <c r="G1145" s="2"/>
      <c r="H1145" s="2"/>
      <c r="I1145" s="2"/>
      <c r="J1145" s="2"/>
      <c r="K1145" s="2"/>
      <c r="L1145" s="2"/>
      <c r="M1145" s="2"/>
      <c r="N1145" s="2"/>
      <c r="O1145" s="7"/>
      <c r="P1145" s="8"/>
      <c r="Q1145" s="9"/>
      <c r="R1145" s="7"/>
      <c r="S1145" s="8"/>
      <c r="T1145" s="10"/>
      <c r="U1145" s="2"/>
      <c r="V1145" s="2"/>
    </row>
    <row r="1146" spans="2:22" x14ac:dyDescent="0.2">
      <c r="B1146" s="40">
        <v>45405</v>
      </c>
      <c r="C1146" s="41">
        <v>5.31</v>
      </c>
      <c r="E1146" s="2"/>
      <c r="F1146" s="2"/>
      <c r="G1146" s="2"/>
      <c r="H1146" s="2"/>
      <c r="I1146" s="2"/>
      <c r="J1146" s="2"/>
      <c r="K1146" s="2"/>
      <c r="L1146" s="2"/>
      <c r="M1146" s="2"/>
      <c r="N1146" s="2"/>
      <c r="O1146" s="7"/>
      <c r="P1146" s="8"/>
      <c r="Q1146" s="9"/>
      <c r="R1146" s="7"/>
      <c r="S1146" s="8"/>
      <c r="T1146" s="10"/>
      <c r="U1146" s="2"/>
      <c r="V1146" s="2"/>
    </row>
    <row r="1147" spans="2:22" x14ac:dyDescent="0.2">
      <c r="B1147" s="40">
        <v>45406</v>
      </c>
      <c r="C1147" s="41">
        <v>5.31</v>
      </c>
      <c r="E1147" s="2"/>
      <c r="F1147" s="2"/>
      <c r="G1147" s="2"/>
      <c r="H1147" s="2"/>
      <c r="I1147" s="2"/>
      <c r="J1147" s="2"/>
      <c r="K1147" s="2"/>
      <c r="L1147" s="2"/>
      <c r="M1147" s="2"/>
      <c r="N1147" s="2"/>
      <c r="O1147" s="7"/>
      <c r="P1147" s="8"/>
      <c r="Q1147" s="9"/>
      <c r="R1147" s="7"/>
      <c r="S1147" s="8"/>
      <c r="T1147" s="10"/>
      <c r="U1147" s="2"/>
      <c r="V1147" s="2"/>
    </row>
    <row r="1148" spans="2:22" x14ac:dyDescent="0.2">
      <c r="B1148" s="40">
        <v>45407</v>
      </c>
      <c r="C1148" s="41">
        <v>5.31</v>
      </c>
      <c r="E1148" s="2"/>
      <c r="F1148" s="2"/>
      <c r="G1148" s="2"/>
      <c r="H1148" s="2"/>
      <c r="I1148" s="2"/>
      <c r="J1148" s="2"/>
      <c r="K1148" s="2"/>
      <c r="L1148" s="2"/>
      <c r="M1148" s="2"/>
      <c r="N1148" s="2"/>
      <c r="O1148" s="7"/>
      <c r="P1148" s="8"/>
      <c r="Q1148" s="9"/>
      <c r="R1148" s="7"/>
      <c r="S1148" s="8"/>
      <c r="T1148" s="10"/>
      <c r="U1148" s="2"/>
      <c r="V1148" s="2"/>
    </row>
    <row r="1149" spans="2:22" x14ac:dyDescent="0.2">
      <c r="B1149" s="40">
        <v>45408</v>
      </c>
      <c r="C1149" s="41">
        <v>5.32</v>
      </c>
      <c r="E1149" s="2"/>
      <c r="F1149" s="2"/>
      <c r="G1149" s="2"/>
      <c r="H1149" s="2"/>
      <c r="I1149" s="2"/>
      <c r="J1149" s="2"/>
      <c r="K1149" s="2"/>
      <c r="L1149" s="2"/>
      <c r="M1149" s="2"/>
      <c r="N1149" s="2"/>
      <c r="O1149" s="7"/>
      <c r="P1149" s="8"/>
      <c r="Q1149" s="9"/>
      <c r="R1149" s="7"/>
      <c r="S1149" s="8"/>
      <c r="T1149" s="10"/>
      <c r="U1149" s="2"/>
      <c r="V1149" s="2"/>
    </row>
    <row r="1150" spans="2:22" x14ac:dyDescent="0.2">
      <c r="B1150" s="40">
        <v>45411</v>
      </c>
      <c r="C1150" s="41">
        <v>5.32</v>
      </c>
      <c r="E1150" s="2"/>
      <c r="F1150" s="2"/>
      <c r="G1150" s="2"/>
      <c r="H1150" s="2"/>
      <c r="I1150" s="2"/>
      <c r="J1150" s="2"/>
      <c r="K1150" s="2"/>
      <c r="L1150" s="2"/>
      <c r="M1150" s="2"/>
      <c r="N1150" s="2"/>
      <c r="O1150" s="7"/>
      <c r="P1150" s="8"/>
      <c r="Q1150" s="9"/>
      <c r="R1150" s="7"/>
      <c r="S1150" s="8"/>
      <c r="T1150" s="10"/>
      <c r="U1150" s="2"/>
      <c r="V1150" s="2"/>
    </row>
    <row r="1151" spans="2:22" x14ac:dyDescent="0.2">
      <c r="B1151" s="40">
        <v>45412</v>
      </c>
      <c r="C1151" s="41">
        <v>5.34</v>
      </c>
      <c r="E1151" s="2"/>
      <c r="F1151" s="2"/>
      <c r="G1151" s="2"/>
      <c r="H1151" s="2"/>
      <c r="I1151" s="2"/>
      <c r="J1151" s="2"/>
      <c r="K1151" s="2"/>
      <c r="L1151" s="2"/>
      <c r="M1151" s="2"/>
      <c r="N1151" s="2"/>
      <c r="O1151" s="7"/>
      <c r="P1151" s="8"/>
      <c r="Q1151" s="9"/>
      <c r="R1151" s="7"/>
      <c r="S1151" s="8"/>
      <c r="T1151" s="10"/>
      <c r="U1151" s="2"/>
      <c r="V1151" s="2"/>
    </row>
    <row r="1152" spans="2:22" x14ac:dyDescent="0.2">
      <c r="B1152" s="40">
        <v>45413</v>
      </c>
      <c r="C1152" s="41">
        <v>5.32</v>
      </c>
      <c r="E1152" s="2"/>
      <c r="F1152" s="2"/>
      <c r="G1152" s="2"/>
      <c r="H1152" s="2"/>
      <c r="I1152" s="2"/>
      <c r="J1152" s="2"/>
      <c r="K1152" s="2"/>
      <c r="L1152" s="2"/>
      <c r="M1152" s="2"/>
      <c r="N1152" s="2"/>
      <c r="O1152" s="7"/>
      <c r="P1152" s="8"/>
      <c r="Q1152" s="9"/>
      <c r="R1152" s="7"/>
      <c r="S1152" s="8"/>
      <c r="T1152" s="10"/>
      <c r="U1152" s="2"/>
      <c r="V1152" s="2"/>
    </row>
    <row r="1153" spans="2:22" x14ac:dyDescent="0.2">
      <c r="B1153" s="40">
        <v>45414</v>
      </c>
      <c r="C1153" s="41">
        <v>5.31</v>
      </c>
      <c r="E1153" s="2"/>
      <c r="F1153" s="2"/>
      <c r="G1153" s="2"/>
      <c r="H1153" s="2"/>
      <c r="I1153" s="2"/>
      <c r="J1153" s="2"/>
      <c r="K1153" s="2"/>
      <c r="L1153" s="2"/>
      <c r="M1153" s="2"/>
      <c r="N1153" s="2"/>
      <c r="O1153" s="7"/>
      <c r="P1153" s="8"/>
      <c r="Q1153" s="9"/>
      <c r="R1153" s="7"/>
      <c r="S1153" s="8"/>
      <c r="T1153" s="10"/>
      <c r="U1153" s="2"/>
      <c r="V1153" s="2"/>
    </row>
    <row r="1154" spans="2:22" x14ac:dyDescent="0.2">
      <c r="B1154" s="40">
        <v>45415</v>
      </c>
      <c r="C1154" s="41">
        <v>5.31</v>
      </c>
      <c r="E1154" s="2"/>
      <c r="F1154" s="2"/>
      <c r="G1154" s="2"/>
      <c r="H1154" s="2"/>
      <c r="I1154" s="2"/>
      <c r="J1154" s="2"/>
      <c r="K1154" s="2"/>
      <c r="L1154" s="2"/>
      <c r="M1154" s="2"/>
      <c r="N1154" s="2"/>
      <c r="O1154" s="7"/>
      <c r="P1154" s="8"/>
      <c r="Q1154" s="9"/>
      <c r="R1154" s="7"/>
      <c r="S1154" s="8"/>
      <c r="T1154" s="10"/>
      <c r="U1154" s="2"/>
      <c r="V1154" s="2"/>
    </row>
    <row r="1155" spans="2:22" x14ac:dyDescent="0.2">
      <c r="B1155" s="40">
        <v>45418</v>
      </c>
      <c r="C1155" s="41">
        <v>5.31</v>
      </c>
      <c r="E1155" s="2"/>
      <c r="F1155" s="2"/>
      <c r="G1155" s="2"/>
      <c r="H1155" s="2"/>
      <c r="I1155" s="2"/>
      <c r="J1155" s="2"/>
      <c r="K1155" s="2"/>
      <c r="L1155" s="2"/>
      <c r="M1155" s="2"/>
      <c r="N1155" s="2"/>
      <c r="O1155" s="7"/>
      <c r="P1155" s="8"/>
      <c r="Q1155" s="9"/>
      <c r="R1155" s="7"/>
      <c r="S1155" s="8"/>
      <c r="T1155" s="10"/>
      <c r="U1155" s="2"/>
      <c r="V1155" s="2"/>
    </row>
    <row r="1156" spans="2:22" x14ac:dyDescent="0.2">
      <c r="B1156" s="40">
        <v>45419</v>
      </c>
      <c r="C1156" s="41">
        <v>5.31</v>
      </c>
      <c r="E1156" s="2"/>
      <c r="F1156" s="2"/>
      <c r="G1156" s="2"/>
      <c r="H1156" s="2"/>
      <c r="I1156" s="2"/>
      <c r="J1156" s="2"/>
      <c r="K1156" s="2"/>
      <c r="L1156" s="2"/>
      <c r="M1156" s="2"/>
      <c r="N1156" s="2"/>
      <c r="O1156" s="7"/>
      <c r="P1156" s="8"/>
      <c r="Q1156" s="9"/>
      <c r="R1156" s="7"/>
      <c r="S1156" s="8"/>
      <c r="T1156" s="10"/>
      <c r="U1156" s="2"/>
      <c r="V1156" s="2"/>
    </row>
    <row r="1157" spans="2:22" x14ac:dyDescent="0.2">
      <c r="B1157" s="40">
        <v>45420</v>
      </c>
      <c r="C1157" s="41">
        <v>5.31</v>
      </c>
      <c r="E1157" s="2"/>
      <c r="F1157" s="2"/>
      <c r="G1157" s="2"/>
      <c r="H1157" s="2"/>
      <c r="I1157" s="2"/>
      <c r="J1157" s="2"/>
      <c r="K1157" s="2"/>
      <c r="L1157" s="2"/>
      <c r="M1157" s="2"/>
      <c r="N1157" s="2"/>
      <c r="O1157" s="7"/>
      <c r="P1157" s="8"/>
      <c r="Q1157" s="9"/>
      <c r="R1157" s="7"/>
      <c r="S1157" s="8"/>
      <c r="T1157" s="10"/>
      <c r="U1157" s="2"/>
      <c r="V1157" s="2"/>
    </row>
    <row r="1158" spans="2:22" x14ac:dyDescent="0.2">
      <c r="B1158" s="40">
        <v>45421</v>
      </c>
      <c r="C1158" s="41">
        <v>5.31</v>
      </c>
      <c r="E1158" s="2"/>
      <c r="F1158" s="2"/>
      <c r="G1158" s="2"/>
      <c r="H1158" s="2"/>
      <c r="I1158" s="2"/>
      <c r="J1158" s="2"/>
      <c r="K1158" s="2"/>
      <c r="L1158" s="2"/>
      <c r="M1158" s="2"/>
      <c r="N1158" s="2"/>
      <c r="O1158" s="7"/>
      <c r="P1158" s="8"/>
      <c r="Q1158" s="9"/>
      <c r="R1158" s="7"/>
      <c r="S1158" s="8"/>
      <c r="T1158" s="10"/>
      <c r="U1158" s="2"/>
      <c r="V1158" s="2"/>
    </row>
    <row r="1159" spans="2:22" x14ac:dyDescent="0.2">
      <c r="B1159" s="40">
        <v>45422</v>
      </c>
      <c r="C1159" s="41">
        <v>5.31</v>
      </c>
      <c r="E1159" s="2"/>
      <c r="F1159" s="2"/>
      <c r="G1159" s="2"/>
      <c r="H1159" s="2"/>
      <c r="I1159" s="2"/>
      <c r="J1159" s="2"/>
      <c r="K1159" s="2"/>
      <c r="L1159" s="2"/>
      <c r="M1159" s="2"/>
      <c r="N1159" s="2"/>
      <c r="O1159" s="7"/>
      <c r="P1159" s="8"/>
      <c r="Q1159" s="9"/>
      <c r="R1159" s="7"/>
      <c r="S1159" s="8"/>
      <c r="T1159" s="10"/>
      <c r="U1159" s="2"/>
      <c r="V1159" s="2"/>
    </row>
    <row r="1160" spans="2:22" x14ac:dyDescent="0.2">
      <c r="B1160" s="40">
        <v>45425</v>
      </c>
      <c r="C1160" s="41">
        <v>5.31</v>
      </c>
      <c r="E1160" s="2"/>
      <c r="F1160" s="2"/>
      <c r="G1160" s="2"/>
      <c r="H1160" s="2"/>
      <c r="I1160" s="2"/>
      <c r="J1160" s="2"/>
      <c r="K1160" s="2"/>
      <c r="L1160" s="2"/>
      <c r="M1160" s="2"/>
      <c r="N1160" s="2"/>
      <c r="O1160" s="7"/>
      <c r="P1160" s="8"/>
      <c r="Q1160" s="9"/>
      <c r="R1160" s="7"/>
      <c r="S1160" s="8"/>
      <c r="T1160" s="10"/>
      <c r="U1160" s="2"/>
      <c r="V1160" s="2"/>
    </row>
    <row r="1161" spans="2:22" x14ac:dyDescent="0.2">
      <c r="B1161" s="40">
        <v>45426</v>
      </c>
      <c r="C1161" s="41">
        <v>5.31</v>
      </c>
      <c r="E1161" s="2"/>
      <c r="F1161" s="2"/>
      <c r="G1161" s="2"/>
      <c r="H1161" s="2"/>
      <c r="I1161" s="2"/>
      <c r="J1161" s="2"/>
      <c r="K1161" s="2"/>
      <c r="L1161" s="2"/>
      <c r="M1161" s="2"/>
      <c r="N1161" s="2"/>
      <c r="O1161" s="7"/>
      <c r="P1161" s="8"/>
      <c r="Q1161" s="9"/>
      <c r="R1161" s="7"/>
      <c r="S1161" s="8"/>
      <c r="T1161" s="10"/>
      <c r="U1161" s="2"/>
      <c r="V1161" s="2"/>
    </row>
    <row r="1162" spans="2:22" x14ac:dyDescent="0.2">
      <c r="B1162" s="40">
        <v>45427</v>
      </c>
      <c r="C1162" s="41">
        <v>5.31</v>
      </c>
      <c r="E1162" s="2"/>
      <c r="F1162" s="2"/>
      <c r="G1162" s="2"/>
      <c r="H1162" s="2"/>
      <c r="I1162" s="2"/>
      <c r="J1162" s="2"/>
      <c r="K1162" s="2"/>
      <c r="L1162" s="2"/>
      <c r="M1162" s="2"/>
      <c r="N1162" s="2"/>
      <c r="O1162" s="7"/>
      <c r="P1162" s="8"/>
      <c r="Q1162" s="9"/>
      <c r="R1162" s="7"/>
      <c r="S1162" s="8"/>
      <c r="T1162" s="10"/>
      <c r="U1162" s="2"/>
      <c r="V1162" s="2"/>
    </row>
    <row r="1163" spans="2:22" x14ac:dyDescent="0.2">
      <c r="B1163" s="40">
        <v>45428</v>
      </c>
      <c r="C1163" s="41">
        <v>5.31</v>
      </c>
      <c r="E1163" s="2"/>
      <c r="F1163" s="2"/>
      <c r="G1163" s="2"/>
      <c r="H1163" s="2"/>
      <c r="I1163" s="2"/>
      <c r="J1163" s="2"/>
      <c r="K1163" s="2"/>
      <c r="L1163" s="2"/>
      <c r="M1163" s="2"/>
      <c r="N1163" s="2"/>
      <c r="O1163" s="7"/>
      <c r="P1163" s="8"/>
      <c r="Q1163" s="9"/>
      <c r="R1163" s="7"/>
      <c r="S1163" s="8"/>
      <c r="T1163" s="10"/>
      <c r="U1163" s="2"/>
      <c r="V1163" s="2"/>
    </row>
    <row r="1164" spans="2:22" x14ac:dyDescent="0.2">
      <c r="B1164" s="40">
        <v>45429</v>
      </c>
      <c r="C1164" s="41">
        <v>5.31</v>
      </c>
      <c r="E1164" s="2"/>
      <c r="F1164" s="2"/>
      <c r="G1164" s="2"/>
      <c r="H1164" s="2"/>
      <c r="I1164" s="2"/>
      <c r="J1164" s="2"/>
      <c r="K1164" s="2"/>
      <c r="L1164" s="2"/>
      <c r="M1164" s="2"/>
      <c r="N1164" s="2"/>
      <c r="O1164" s="7"/>
      <c r="P1164" s="8"/>
      <c r="Q1164" s="9"/>
      <c r="R1164" s="7"/>
      <c r="S1164" s="8"/>
      <c r="T1164" s="10"/>
      <c r="U1164" s="2"/>
      <c r="V1164" s="2"/>
    </row>
    <row r="1165" spans="2:22" x14ac:dyDescent="0.2">
      <c r="B1165" s="40">
        <v>45432</v>
      </c>
      <c r="C1165" s="41">
        <v>5.31</v>
      </c>
      <c r="E1165" s="2"/>
      <c r="F1165" s="2"/>
      <c r="G1165" s="2"/>
      <c r="H1165" s="2"/>
      <c r="I1165" s="2"/>
      <c r="J1165" s="2"/>
      <c r="K1165" s="2"/>
      <c r="L1165" s="2"/>
      <c r="M1165" s="2"/>
      <c r="N1165" s="2"/>
      <c r="O1165" s="7"/>
      <c r="P1165" s="8"/>
      <c r="Q1165" s="9"/>
      <c r="R1165" s="7"/>
      <c r="S1165" s="8"/>
      <c r="T1165" s="10"/>
      <c r="U1165" s="2"/>
      <c r="V1165" s="2"/>
    </row>
    <row r="1166" spans="2:22" x14ac:dyDescent="0.2">
      <c r="B1166" s="40">
        <v>45433</v>
      </c>
      <c r="C1166" s="41">
        <v>5.31</v>
      </c>
      <c r="E1166" s="2"/>
      <c r="F1166" s="2"/>
      <c r="G1166" s="2"/>
      <c r="H1166" s="2"/>
      <c r="I1166" s="2"/>
      <c r="J1166" s="2"/>
      <c r="K1166" s="2"/>
      <c r="L1166" s="2"/>
      <c r="M1166" s="2"/>
      <c r="N1166" s="2"/>
      <c r="O1166" s="7"/>
      <c r="P1166" s="8"/>
      <c r="Q1166" s="9"/>
      <c r="R1166" s="7"/>
      <c r="S1166" s="8"/>
      <c r="T1166" s="10"/>
      <c r="U1166" s="2"/>
      <c r="V1166" s="2"/>
    </row>
    <row r="1167" spans="2:22" x14ac:dyDescent="0.2">
      <c r="B1167" s="40">
        <v>45434</v>
      </c>
      <c r="C1167" s="41">
        <v>5.31</v>
      </c>
      <c r="E1167" s="2"/>
      <c r="F1167" s="2"/>
      <c r="G1167" s="2"/>
      <c r="H1167" s="2"/>
      <c r="I1167" s="2"/>
      <c r="J1167" s="2"/>
      <c r="K1167" s="2"/>
      <c r="L1167" s="2"/>
      <c r="M1167" s="2"/>
      <c r="N1167" s="2"/>
      <c r="O1167" s="7"/>
      <c r="P1167" s="8"/>
      <c r="Q1167" s="9"/>
      <c r="R1167" s="7"/>
      <c r="S1167" s="8"/>
      <c r="T1167" s="10"/>
      <c r="U1167" s="2"/>
      <c r="V1167" s="2"/>
    </row>
    <row r="1168" spans="2:22" x14ac:dyDescent="0.2">
      <c r="B1168" s="40">
        <v>45435</v>
      </c>
      <c r="C1168" s="41">
        <v>5.31</v>
      </c>
      <c r="E1168" s="2"/>
      <c r="F1168" s="2"/>
      <c r="G1168" s="2"/>
      <c r="H1168" s="2"/>
      <c r="I1168" s="2"/>
      <c r="J1168" s="2"/>
      <c r="K1168" s="2"/>
      <c r="L1168" s="2"/>
      <c r="M1168" s="2"/>
      <c r="N1168" s="2"/>
      <c r="O1168" s="7"/>
      <c r="P1168" s="8"/>
      <c r="Q1168" s="9"/>
      <c r="R1168" s="7"/>
      <c r="S1168" s="8"/>
      <c r="T1168" s="10"/>
      <c r="U1168" s="2"/>
      <c r="V1168" s="2"/>
    </row>
    <row r="1169" spans="2:22" x14ac:dyDescent="0.2">
      <c r="B1169" s="40">
        <v>45436</v>
      </c>
      <c r="C1169" s="41">
        <v>5.32</v>
      </c>
      <c r="E1169" s="2"/>
      <c r="F1169" s="2"/>
      <c r="G1169" s="2"/>
      <c r="H1169" s="2"/>
      <c r="I1169" s="2"/>
      <c r="J1169" s="2"/>
      <c r="K1169" s="2"/>
      <c r="L1169" s="2"/>
      <c r="M1169" s="2"/>
      <c r="N1169" s="2"/>
      <c r="O1169" s="7"/>
      <c r="P1169" s="8"/>
      <c r="Q1169" s="9"/>
      <c r="R1169" s="7"/>
      <c r="S1169" s="8"/>
      <c r="T1169" s="10"/>
      <c r="U1169" s="2"/>
      <c r="V1169" s="2"/>
    </row>
    <row r="1170" spans="2:22" x14ac:dyDescent="0.2">
      <c r="B1170" s="40">
        <v>45440</v>
      </c>
      <c r="C1170" s="41">
        <v>5.32</v>
      </c>
      <c r="E1170" s="2"/>
      <c r="F1170" s="2"/>
      <c r="G1170" s="2"/>
      <c r="H1170" s="2"/>
      <c r="I1170" s="2"/>
      <c r="J1170" s="2"/>
      <c r="K1170" s="2"/>
      <c r="L1170" s="2"/>
      <c r="M1170" s="2"/>
      <c r="N1170" s="2"/>
      <c r="O1170" s="7"/>
      <c r="P1170" s="8"/>
      <c r="Q1170" s="9"/>
      <c r="R1170" s="7"/>
      <c r="S1170" s="8"/>
      <c r="T1170" s="10"/>
      <c r="U1170" s="2"/>
      <c r="V1170" s="2"/>
    </row>
    <row r="1171" spans="2:22" x14ac:dyDescent="0.2">
      <c r="B1171" s="40">
        <v>45441</v>
      </c>
      <c r="C1171" s="41">
        <v>5.33</v>
      </c>
      <c r="E1171" s="2"/>
      <c r="F1171" s="2"/>
      <c r="G1171" s="2"/>
      <c r="H1171" s="2"/>
      <c r="I1171" s="2"/>
      <c r="J1171" s="2"/>
      <c r="K1171" s="2"/>
      <c r="L1171" s="2"/>
      <c r="M1171" s="2"/>
      <c r="N1171" s="2"/>
      <c r="O1171" s="7"/>
      <c r="P1171" s="8"/>
      <c r="Q1171" s="9"/>
      <c r="R1171" s="7"/>
      <c r="S1171" s="8"/>
      <c r="T1171" s="10"/>
      <c r="U1171" s="2"/>
      <c r="V1171" s="2"/>
    </row>
    <row r="1172" spans="2:22" x14ac:dyDescent="0.2">
      <c r="B1172" s="40">
        <v>45442</v>
      </c>
      <c r="C1172" s="41">
        <v>5.33</v>
      </c>
      <c r="E1172" s="2"/>
      <c r="F1172" s="2"/>
      <c r="G1172" s="2"/>
      <c r="H1172" s="2"/>
      <c r="I1172" s="2"/>
      <c r="J1172" s="2"/>
      <c r="K1172" s="2"/>
      <c r="L1172" s="2"/>
      <c r="M1172" s="2"/>
      <c r="N1172" s="2"/>
      <c r="O1172" s="7"/>
      <c r="P1172" s="8"/>
      <c r="Q1172" s="9"/>
      <c r="R1172" s="7"/>
      <c r="S1172" s="8"/>
      <c r="T1172" s="10"/>
      <c r="U1172" s="2"/>
      <c r="V1172" s="2"/>
    </row>
    <row r="1173" spans="2:22" x14ac:dyDescent="0.2">
      <c r="B1173" s="40">
        <v>45443</v>
      </c>
      <c r="C1173" s="41">
        <v>5.34</v>
      </c>
      <c r="E1173" s="2"/>
      <c r="F1173" s="2"/>
      <c r="G1173" s="2"/>
      <c r="H1173" s="2"/>
      <c r="I1173" s="2"/>
      <c r="J1173" s="2"/>
      <c r="K1173" s="2"/>
      <c r="L1173" s="2"/>
      <c r="M1173" s="2"/>
      <c r="N1173" s="2"/>
      <c r="O1173" s="7"/>
      <c r="P1173" s="8"/>
      <c r="Q1173" s="9"/>
      <c r="R1173" s="7"/>
      <c r="S1173" s="8"/>
      <c r="T1173" s="10"/>
      <c r="U1173" s="2"/>
      <c r="V1173" s="2"/>
    </row>
    <row r="1174" spans="2:22" x14ac:dyDescent="0.2">
      <c r="B1174" s="40">
        <v>45446</v>
      </c>
      <c r="C1174" s="41">
        <v>5.35</v>
      </c>
      <c r="E1174" s="2"/>
      <c r="F1174" s="2"/>
      <c r="G1174" s="2"/>
      <c r="H1174" s="2"/>
      <c r="I1174" s="2"/>
      <c r="J1174" s="2"/>
      <c r="K1174" s="2"/>
      <c r="L1174" s="2"/>
      <c r="M1174" s="2"/>
      <c r="N1174" s="2"/>
      <c r="O1174" s="7"/>
      <c r="P1174" s="8"/>
      <c r="Q1174" s="9"/>
      <c r="R1174" s="7"/>
      <c r="S1174" s="8"/>
      <c r="T1174" s="10"/>
      <c r="U1174" s="2"/>
      <c r="V1174" s="2"/>
    </row>
    <row r="1175" spans="2:22" x14ac:dyDescent="0.2">
      <c r="B1175" s="40">
        <v>45447</v>
      </c>
      <c r="C1175" s="41">
        <v>5.33</v>
      </c>
      <c r="E1175" s="2"/>
      <c r="F1175" s="2"/>
      <c r="G1175" s="2"/>
      <c r="H1175" s="2"/>
      <c r="I1175" s="2"/>
      <c r="J1175" s="2"/>
      <c r="K1175" s="2"/>
      <c r="L1175" s="2"/>
      <c r="M1175" s="2"/>
      <c r="N1175" s="2"/>
      <c r="O1175" s="7"/>
      <c r="P1175" s="8"/>
      <c r="Q1175" s="9"/>
      <c r="R1175" s="7"/>
      <c r="S1175" s="8"/>
      <c r="T1175" s="10"/>
      <c r="U1175" s="2"/>
      <c r="V1175" s="2"/>
    </row>
    <row r="1176" spans="2:22" x14ac:dyDescent="0.2">
      <c r="B1176" s="40">
        <v>45448</v>
      </c>
      <c r="C1176" s="41">
        <v>5.33</v>
      </c>
      <c r="E1176" s="2"/>
      <c r="F1176" s="2"/>
      <c r="G1176" s="2"/>
      <c r="H1176" s="2"/>
      <c r="I1176" s="2"/>
      <c r="J1176" s="2"/>
      <c r="K1176" s="2"/>
      <c r="L1176" s="2"/>
      <c r="M1176" s="2"/>
      <c r="N1176" s="2"/>
      <c r="O1176" s="7"/>
      <c r="P1176" s="8"/>
      <c r="Q1176" s="9"/>
      <c r="R1176" s="7"/>
      <c r="S1176" s="8"/>
      <c r="T1176" s="10"/>
      <c r="U1176" s="2"/>
      <c r="V1176" s="2"/>
    </row>
    <row r="1177" spans="2:22" x14ac:dyDescent="0.2">
      <c r="B1177" s="40">
        <v>45449</v>
      </c>
      <c r="C1177" s="41">
        <v>5.33</v>
      </c>
      <c r="E1177" s="2"/>
      <c r="F1177" s="2"/>
      <c r="G1177" s="2"/>
      <c r="H1177" s="2"/>
      <c r="I1177" s="2"/>
      <c r="J1177" s="2"/>
      <c r="K1177" s="2"/>
      <c r="L1177" s="2"/>
      <c r="M1177" s="2"/>
      <c r="N1177" s="2"/>
      <c r="O1177" s="7"/>
      <c r="P1177" s="8"/>
      <c r="Q1177" s="9"/>
      <c r="R1177" s="7"/>
      <c r="S1177" s="8"/>
      <c r="T1177" s="10"/>
      <c r="U1177" s="2"/>
      <c r="V1177" s="2"/>
    </row>
    <row r="1178" spans="2:22" x14ac:dyDescent="0.2">
      <c r="B1178" s="40">
        <v>45450</v>
      </c>
      <c r="C1178" s="41">
        <v>5.33</v>
      </c>
      <c r="E1178" s="2"/>
      <c r="F1178" s="2"/>
      <c r="G1178" s="2"/>
      <c r="H1178" s="2"/>
      <c r="I1178" s="2"/>
      <c r="J1178" s="2"/>
      <c r="K1178" s="2"/>
      <c r="L1178" s="2"/>
      <c r="M1178" s="2"/>
      <c r="N1178" s="2"/>
      <c r="O1178" s="7"/>
      <c r="P1178" s="8"/>
      <c r="Q1178" s="9"/>
      <c r="R1178" s="7"/>
      <c r="S1178" s="8"/>
      <c r="T1178" s="10"/>
      <c r="U1178" s="2"/>
      <c r="V1178" s="2"/>
    </row>
    <row r="1179" spans="2:22" x14ac:dyDescent="0.2">
      <c r="B1179" s="40">
        <v>45453</v>
      </c>
      <c r="C1179" s="41">
        <v>5.32</v>
      </c>
      <c r="E1179" s="2"/>
      <c r="F1179" s="2"/>
      <c r="G1179" s="2"/>
      <c r="H1179" s="2"/>
      <c r="I1179" s="2"/>
      <c r="J1179" s="2"/>
      <c r="K1179" s="2"/>
      <c r="L1179" s="2"/>
      <c r="M1179" s="2"/>
      <c r="N1179" s="2"/>
      <c r="O1179" s="7"/>
      <c r="P1179" s="8"/>
      <c r="Q1179" s="9"/>
      <c r="R1179" s="7"/>
      <c r="S1179" s="8"/>
      <c r="T1179" s="10"/>
      <c r="U1179" s="2"/>
      <c r="V1179" s="2"/>
    </row>
    <row r="1180" spans="2:22" x14ac:dyDescent="0.2">
      <c r="B1180" s="40">
        <v>45454</v>
      </c>
      <c r="C1180" s="41">
        <v>5.32</v>
      </c>
      <c r="E1180" s="2"/>
      <c r="F1180" s="2"/>
      <c r="G1180" s="2"/>
      <c r="H1180" s="2"/>
      <c r="I1180" s="2"/>
      <c r="J1180" s="2"/>
      <c r="K1180" s="2"/>
      <c r="L1180" s="2"/>
      <c r="M1180" s="2"/>
      <c r="N1180" s="2"/>
      <c r="O1180" s="7"/>
      <c r="P1180" s="8"/>
      <c r="Q1180" s="9"/>
      <c r="R1180" s="7"/>
      <c r="S1180" s="8"/>
      <c r="T1180" s="10"/>
      <c r="U1180" s="2"/>
      <c r="V1180" s="2"/>
    </row>
    <row r="1181" spans="2:22" x14ac:dyDescent="0.2">
      <c r="B1181" s="40">
        <v>45455</v>
      </c>
      <c r="C1181" s="41">
        <v>5.31</v>
      </c>
      <c r="E1181" s="2"/>
      <c r="F1181" s="2"/>
      <c r="G1181" s="2"/>
      <c r="H1181" s="2"/>
      <c r="I1181" s="2"/>
      <c r="J1181" s="2"/>
      <c r="K1181" s="2"/>
      <c r="L1181" s="2"/>
      <c r="M1181" s="2"/>
      <c r="N1181" s="2"/>
      <c r="O1181" s="7"/>
      <c r="P1181" s="8"/>
      <c r="Q1181" s="9"/>
      <c r="R1181" s="7"/>
      <c r="S1181" s="8"/>
      <c r="T1181" s="10"/>
      <c r="U1181" s="2"/>
      <c r="V1181" s="2"/>
    </row>
    <row r="1182" spans="2:22" x14ac:dyDescent="0.2">
      <c r="B1182" s="40">
        <v>45456</v>
      </c>
      <c r="C1182" s="41">
        <v>5.31</v>
      </c>
      <c r="E1182" s="2"/>
      <c r="F1182" s="2"/>
      <c r="G1182" s="2"/>
      <c r="H1182" s="2"/>
      <c r="I1182" s="2"/>
      <c r="J1182" s="2"/>
      <c r="K1182" s="2"/>
      <c r="L1182" s="2"/>
      <c r="M1182" s="2"/>
      <c r="N1182" s="2"/>
      <c r="O1182" s="7"/>
      <c r="P1182" s="8"/>
      <c r="Q1182" s="9"/>
      <c r="R1182" s="7"/>
      <c r="S1182" s="8"/>
      <c r="T1182" s="10"/>
      <c r="U1182" s="2"/>
      <c r="V1182" s="2"/>
    </row>
    <row r="1183" spans="2:22" x14ac:dyDescent="0.2">
      <c r="B1183" s="40">
        <v>45457</v>
      </c>
      <c r="C1183" s="41">
        <v>5.31</v>
      </c>
      <c r="E1183" s="2"/>
      <c r="F1183" s="2"/>
      <c r="G1183" s="2"/>
      <c r="H1183" s="2"/>
      <c r="I1183" s="2"/>
      <c r="J1183" s="2"/>
      <c r="K1183" s="2"/>
      <c r="L1183" s="2"/>
      <c r="M1183" s="2"/>
      <c r="N1183" s="2"/>
      <c r="O1183" s="7"/>
      <c r="P1183" s="8"/>
      <c r="Q1183" s="9"/>
      <c r="R1183" s="7"/>
      <c r="S1183" s="8"/>
      <c r="T1183" s="10"/>
      <c r="U1183" s="2"/>
      <c r="V1183" s="2"/>
    </row>
    <row r="1184" spans="2:22" x14ac:dyDescent="0.2">
      <c r="B1184" s="40">
        <v>45460</v>
      </c>
      <c r="C1184" s="41">
        <v>5.33</v>
      </c>
      <c r="E1184" s="2"/>
      <c r="F1184" s="2"/>
      <c r="G1184" s="2"/>
      <c r="H1184" s="2"/>
      <c r="I1184" s="2"/>
      <c r="J1184" s="2"/>
      <c r="K1184" s="2"/>
      <c r="L1184" s="2"/>
      <c r="M1184" s="2"/>
      <c r="N1184" s="2"/>
      <c r="O1184" s="7"/>
      <c r="P1184" s="8"/>
      <c r="Q1184" s="9"/>
      <c r="R1184" s="7"/>
      <c r="S1184" s="8"/>
      <c r="T1184" s="10"/>
      <c r="U1184" s="2"/>
      <c r="V1184" s="2"/>
    </row>
    <row r="1185" spans="2:22" x14ac:dyDescent="0.2">
      <c r="B1185" s="40">
        <v>45461</v>
      </c>
      <c r="C1185" s="41">
        <v>5.33</v>
      </c>
      <c r="E1185" s="2"/>
      <c r="F1185" s="2"/>
      <c r="G1185" s="2"/>
      <c r="H1185" s="2"/>
      <c r="I1185" s="2"/>
      <c r="J1185" s="2"/>
      <c r="K1185" s="2"/>
      <c r="L1185" s="2"/>
      <c r="M1185" s="2"/>
      <c r="N1185" s="2"/>
      <c r="O1185" s="7"/>
      <c r="P1185" s="8"/>
      <c r="Q1185" s="9"/>
      <c r="R1185" s="7"/>
      <c r="S1185" s="8"/>
      <c r="T1185" s="10"/>
      <c r="U1185" s="2"/>
      <c r="V1185" s="2"/>
    </row>
    <row r="1186" spans="2:22" x14ac:dyDescent="0.2">
      <c r="B1186" s="40">
        <v>45463</v>
      </c>
      <c r="C1186" s="41">
        <v>5.32</v>
      </c>
      <c r="E1186" s="2"/>
      <c r="F1186" s="2"/>
      <c r="G1186" s="2"/>
      <c r="H1186" s="2"/>
      <c r="I1186" s="2"/>
      <c r="J1186" s="2"/>
      <c r="K1186" s="2"/>
      <c r="L1186" s="2"/>
      <c r="M1186" s="2"/>
      <c r="N1186" s="2"/>
      <c r="O1186" s="7"/>
      <c r="P1186" s="8"/>
      <c r="Q1186" s="9"/>
      <c r="R1186" s="7"/>
      <c r="S1186" s="8"/>
      <c r="T1186" s="10"/>
      <c r="U1186" s="2"/>
      <c r="V1186" s="2"/>
    </row>
    <row r="1187" spans="2:22" x14ac:dyDescent="0.2">
      <c r="B1187" s="40">
        <v>45464</v>
      </c>
      <c r="C1187" s="41">
        <v>5.31</v>
      </c>
      <c r="E1187" s="2"/>
      <c r="F1187" s="2"/>
      <c r="G1187" s="2"/>
      <c r="H1187" s="2"/>
      <c r="I1187" s="2"/>
      <c r="J1187" s="2"/>
      <c r="K1187" s="2"/>
      <c r="L1187" s="2"/>
      <c r="M1187" s="2"/>
      <c r="N1187" s="2"/>
      <c r="O1187" s="7"/>
      <c r="P1187" s="8"/>
      <c r="Q1187" s="9"/>
      <c r="R1187" s="7"/>
      <c r="S1187" s="8"/>
      <c r="T1187" s="10"/>
      <c r="U1187" s="2"/>
      <c r="V1187" s="2"/>
    </row>
    <row r="1188" spans="2:22" x14ac:dyDescent="0.2">
      <c r="B1188" s="40">
        <v>45467</v>
      </c>
      <c r="C1188" s="41">
        <v>5.31</v>
      </c>
      <c r="E1188" s="2"/>
      <c r="F1188" s="2"/>
      <c r="G1188" s="2"/>
      <c r="H1188" s="2"/>
      <c r="I1188" s="2"/>
      <c r="J1188" s="2"/>
      <c r="K1188" s="2"/>
      <c r="L1188" s="2"/>
      <c r="M1188" s="2"/>
      <c r="N1188" s="2"/>
      <c r="O1188" s="7"/>
      <c r="P1188" s="8"/>
      <c r="Q1188" s="9"/>
      <c r="R1188" s="7"/>
      <c r="S1188" s="8"/>
      <c r="T1188" s="10"/>
      <c r="U1188" s="2"/>
      <c r="V1188" s="2"/>
    </row>
    <row r="1189" spans="2:22" x14ac:dyDescent="0.2">
      <c r="B1189" s="40">
        <v>45468</v>
      </c>
      <c r="C1189" s="41">
        <v>5.33</v>
      </c>
      <c r="E1189" s="2"/>
      <c r="F1189" s="2"/>
      <c r="G1189" s="2"/>
      <c r="H1189" s="2"/>
      <c r="I1189" s="2"/>
      <c r="J1189" s="2"/>
      <c r="K1189" s="2"/>
      <c r="L1189" s="2"/>
      <c r="M1189" s="2"/>
      <c r="N1189" s="2"/>
      <c r="O1189" s="7"/>
      <c r="P1189" s="8"/>
      <c r="Q1189" s="9"/>
      <c r="R1189" s="7"/>
      <c r="S1189" s="8"/>
      <c r="T1189" s="10"/>
      <c r="U1189" s="2"/>
      <c r="V1189" s="2"/>
    </row>
    <row r="1190" spans="2:22" x14ac:dyDescent="0.2">
      <c r="B1190" s="40">
        <v>45469</v>
      </c>
      <c r="C1190" s="41">
        <v>5.34</v>
      </c>
      <c r="E1190" s="2"/>
      <c r="F1190" s="2"/>
      <c r="G1190" s="2"/>
      <c r="H1190" s="2"/>
      <c r="I1190" s="2"/>
      <c r="J1190" s="2"/>
      <c r="K1190" s="2"/>
      <c r="L1190" s="2"/>
      <c r="M1190" s="2"/>
      <c r="N1190" s="2"/>
      <c r="O1190" s="7"/>
      <c r="P1190" s="8"/>
      <c r="Q1190" s="9"/>
      <c r="R1190" s="7"/>
      <c r="S1190" s="8"/>
      <c r="T1190" s="10"/>
      <c r="U1190" s="2"/>
      <c r="V1190" s="2"/>
    </row>
    <row r="1191" spans="2:22" x14ac:dyDescent="0.2">
      <c r="B1191" s="40">
        <v>45470</v>
      </c>
      <c r="C1191" s="41">
        <v>5.34</v>
      </c>
      <c r="E1191" s="2"/>
      <c r="F1191" s="2"/>
      <c r="G1191" s="2"/>
      <c r="H1191" s="2"/>
      <c r="I1191" s="2"/>
      <c r="J1191" s="2"/>
      <c r="K1191" s="2"/>
      <c r="L1191" s="2"/>
      <c r="M1191" s="2"/>
      <c r="N1191" s="2"/>
      <c r="O1191" s="7"/>
      <c r="P1191" s="8"/>
      <c r="Q1191" s="9"/>
      <c r="R1191" s="7"/>
      <c r="S1191" s="8"/>
      <c r="T1191" s="10"/>
      <c r="U1191" s="2"/>
      <c r="V1191" s="2"/>
    </row>
    <row r="1192" spans="2:22" x14ac:dyDescent="0.2">
      <c r="B1192" s="40">
        <v>45471</v>
      </c>
      <c r="C1192" s="41">
        <v>5.33</v>
      </c>
      <c r="E1192" s="2"/>
      <c r="F1192" s="2"/>
      <c r="G1192" s="2"/>
      <c r="H1192" s="2"/>
      <c r="I1192" s="2"/>
      <c r="J1192" s="2"/>
      <c r="K1192" s="2"/>
      <c r="L1192" s="2"/>
      <c r="M1192" s="2"/>
      <c r="N1192" s="2"/>
      <c r="O1192" s="7"/>
      <c r="P1192" s="8"/>
      <c r="Q1192" s="9"/>
      <c r="R1192" s="7"/>
      <c r="S1192" s="8"/>
      <c r="T1192" s="10"/>
      <c r="U1192" s="2"/>
      <c r="V1192" s="2"/>
    </row>
    <row r="1193" spans="2:22" x14ac:dyDescent="0.2">
      <c r="B1193" s="40">
        <v>45474</v>
      </c>
      <c r="C1193" s="41">
        <v>5.4</v>
      </c>
      <c r="E1193" s="2"/>
      <c r="F1193" s="2"/>
      <c r="G1193" s="2"/>
      <c r="H1193" s="2"/>
      <c r="I1193" s="2"/>
      <c r="J1193" s="2"/>
      <c r="K1193" s="2"/>
      <c r="L1193" s="2"/>
      <c r="M1193" s="2"/>
      <c r="N1193" s="2"/>
      <c r="O1193" s="7"/>
      <c r="P1193" s="8"/>
      <c r="Q1193" s="9"/>
      <c r="R1193" s="7"/>
      <c r="S1193" s="8"/>
      <c r="T1193" s="10"/>
      <c r="U1193" s="2"/>
      <c r="V1193" s="2"/>
    </row>
    <row r="1194" spans="2:22" x14ac:dyDescent="0.2">
      <c r="B1194" s="40">
        <v>45475</v>
      </c>
      <c r="C1194" s="41">
        <v>5.35</v>
      </c>
      <c r="E1194" s="2"/>
      <c r="F1194" s="2"/>
      <c r="G1194" s="2"/>
      <c r="H1194" s="2"/>
      <c r="I1194" s="2"/>
      <c r="J1194" s="2"/>
      <c r="K1194" s="2"/>
      <c r="L1194" s="2"/>
      <c r="M1194" s="2"/>
      <c r="N1194" s="2"/>
      <c r="O1194" s="7"/>
      <c r="P1194" s="8"/>
      <c r="Q1194" s="9"/>
      <c r="R1194" s="7"/>
      <c r="S1194" s="8"/>
      <c r="T1194" s="10"/>
      <c r="U1194" s="2"/>
      <c r="V1194" s="2"/>
    </row>
    <row r="1195" spans="2:22" x14ac:dyDescent="0.2">
      <c r="B1195" s="40">
        <v>45476</v>
      </c>
      <c r="C1195" s="41">
        <v>5.33</v>
      </c>
      <c r="E1195" s="2"/>
      <c r="F1195" s="2"/>
      <c r="G1195" s="2"/>
      <c r="H1195" s="2"/>
      <c r="I1195" s="2"/>
      <c r="J1195" s="2"/>
      <c r="K1195" s="2"/>
      <c r="L1195" s="2"/>
      <c r="M1195" s="2"/>
      <c r="N1195" s="2"/>
      <c r="O1195" s="7"/>
      <c r="P1195" s="8"/>
      <c r="Q1195" s="9"/>
      <c r="R1195" s="7"/>
      <c r="S1195" s="8"/>
      <c r="T1195" s="10"/>
      <c r="U1195" s="2"/>
      <c r="V1195" s="2"/>
    </row>
    <row r="1196" spans="2:22" x14ac:dyDescent="0.2">
      <c r="B1196" s="40">
        <v>45478</v>
      </c>
      <c r="C1196" s="41">
        <v>5.32</v>
      </c>
      <c r="E1196" s="2"/>
      <c r="F1196" s="2"/>
      <c r="G1196" s="2"/>
      <c r="H1196" s="2"/>
      <c r="I1196" s="2"/>
      <c r="J1196" s="2"/>
      <c r="K1196" s="2"/>
      <c r="L1196" s="2"/>
      <c r="M1196" s="2"/>
      <c r="N1196" s="2"/>
      <c r="O1196" s="7"/>
      <c r="P1196" s="8"/>
      <c r="Q1196" s="9"/>
      <c r="R1196" s="7"/>
      <c r="S1196" s="8"/>
      <c r="T1196" s="10"/>
      <c r="U1196" s="2"/>
      <c r="V1196" s="2"/>
    </row>
    <row r="1197" spans="2:22" x14ac:dyDescent="0.2">
      <c r="B1197" s="40">
        <v>45481</v>
      </c>
      <c r="C1197" s="41">
        <v>5.32</v>
      </c>
      <c r="E1197" s="2"/>
      <c r="F1197" s="2"/>
      <c r="G1197" s="2"/>
      <c r="H1197" s="2"/>
      <c r="I1197" s="2"/>
      <c r="J1197" s="2"/>
      <c r="K1197" s="2"/>
      <c r="L1197" s="2"/>
      <c r="M1197" s="2"/>
      <c r="N1197" s="2"/>
      <c r="O1197" s="7"/>
      <c r="P1197" s="8"/>
      <c r="Q1197" s="9"/>
      <c r="R1197" s="7"/>
      <c r="S1197" s="8"/>
      <c r="T1197" s="10"/>
      <c r="U1197" s="2"/>
      <c r="V1197" s="2"/>
    </row>
    <row r="1198" spans="2:22" x14ac:dyDescent="0.2">
      <c r="B1198" s="40">
        <v>45482</v>
      </c>
      <c r="C1198" s="41">
        <v>5.34</v>
      </c>
      <c r="E1198" s="2"/>
      <c r="F1198" s="2"/>
      <c r="G1198" s="2"/>
      <c r="H1198" s="2"/>
      <c r="I1198" s="2"/>
      <c r="J1198" s="2"/>
      <c r="K1198" s="2"/>
      <c r="L1198" s="2"/>
      <c r="M1198" s="2"/>
      <c r="N1198" s="2"/>
      <c r="O1198" s="7"/>
      <c r="P1198" s="8"/>
      <c r="Q1198" s="9"/>
      <c r="R1198" s="7"/>
      <c r="S1198" s="8"/>
      <c r="T1198" s="10"/>
      <c r="U1198" s="2"/>
      <c r="V1198" s="2"/>
    </row>
    <row r="1199" spans="2:22" x14ac:dyDescent="0.2">
      <c r="B1199" s="40">
        <v>45483</v>
      </c>
      <c r="C1199" s="41">
        <v>5.34</v>
      </c>
      <c r="E1199" s="2"/>
      <c r="F1199" s="2"/>
      <c r="G1199" s="2"/>
      <c r="H1199" s="2"/>
      <c r="I1199" s="2"/>
      <c r="J1199" s="2"/>
      <c r="K1199" s="2"/>
      <c r="L1199" s="2"/>
      <c r="M1199" s="2"/>
      <c r="N1199" s="2"/>
      <c r="O1199" s="7"/>
      <c r="P1199" s="8"/>
      <c r="Q1199" s="9"/>
      <c r="R1199" s="7"/>
      <c r="S1199" s="8"/>
      <c r="T1199" s="10"/>
      <c r="U1199" s="2"/>
      <c r="V1199" s="2"/>
    </row>
    <row r="1200" spans="2:22" x14ac:dyDescent="0.2">
      <c r="B1200" s="40">
        <v>45484</v>
      </c>
      <c r="C1200" s="41">
        <v>5.34</v>
      </c>
      <c r="E1200" s="2"/>
      <c r="F1200" s="2"/>
      <c r="G1200" s="2"/>
      <c r="H1200" s="2"/>
      <c r="I1200" s="2"/>
      <c r="J1200" s="2"/>
      <c r="K1200" s="2"/>
      <c r="L1200" s="2"/>
      <c r="M1200" s="2"/>
      <c r="N1200" s="2"/>
      <c r="O1200" s="7"/>
      <c r="P1200" s="8"/>
      <c r="Q1200" s="9"/>
      <c r="R1200" s="7"/>
      <c r="S1200" s="8"/>
      <c r="T1200" s="10"/>
      <c r="U1200" s="2"/>
      <c r="V1200" s="2"/>
    </row>
    <row r="1201" spans="2:22" x14ac:dyDescent="0.2">
      <c r="B1201" s="40">
        <v>45485</v>
      </c>
      <c r="C1201" s="41">
        <v>5.34</v>
      </c>
      <c r="E1201" s="2"/>
      <c r="F1201" s="2"/>
      <c r="G1201" s="2"/>
      <c r="H1201" s="2"/>
      <c r="I1201" s="2"/>
      <c r="J1201" s="2"/>
      <c r="K1201" s="2"/>
      <c r="L1201" s="2"/>
      <c r="M1201" s="2"/>
      <c r="N1201" s="2"/>
      <c r="O1201" s="7"/>
      <c r="P1201" s="8"/>
      <c r="Q1201" s="9"/>
      <c r="R1201" s="7"/>
      <c r="S1201" s="8"/>
      <c r="T1201" s="10"/>
      <c r="U1201" s="2"/>
      <c r="V1201" s="2"/>
    </row>
    <row r="1202" spans="2:22" x14ac:dyDescent="0.2">
      <c r="B1202" s="40">
        <v>45488</v>
      </c>
      <c r="C1202" s="41">
        <v>5.34</v>
      </c>
      <c r="E1202" s="2"/>
      <c r="F1202" s="2"/>
      <c r="G1202" s="2"/>
      <c r="H1202" s="2"/>
      <c r="I1202" s="2"/>
      <c r="J1202" s="2"/>
      <c r="K1202" s="2"/>
      <c r="L1202" s="2"/>
      <c r="M1202" s="2"/>
      <c r="N1202" s="2"/>
      <c r="O1202" s="7"/>
      <c r="P1202" s="8"/>
      <c r="Q1202" s="9"/>
      <c r="R1202" s="7"/>
      <c r="S1202" s="8"/>
      <c r="T1202" s="10"/>
      <c r="U1202" s="2"/>
      <c r="V1202" s="2"/>
    </row>
    <row r="1203" spans="2:22" x14ac:dyDescent="0.2">
      <c r="B1203" s="40">
        <v>45489</v>
      </c>
      <c r="C1203" s="41">
        <v>5.35</v>
      </c>
      <c r="E1203" s="2"/>
      <c r="F1203" s="2"/>
      <c r="G1203" s="2"/>
      <c r="H1203" s="2"/>
      <c r="I1203" s="2"/>
      <c r="J1203" s="2"/>
      <c r="K1203" s="2"/>
      <c r="L1203" s="2"/>
      <c r="M1203" s="2"/>
      <c r="N1203" s="2"/>
      <c r="O1203" s="7"/>
      <c r="P1203" s="8"/>
      <c r="Q1203" s="9"/>
      <c r="R1203" s="7"/>
      <c r="S1203" s="8"/>
      <c r="T1203" s="10"/>
      <c r="U1203" s="2"/>
      <c r="V1203" s="2"/>
    </row>
    <row r="1204" spans="2:22" x14ac:dyDescent="0.2">
      <c r="B1204" s="40">
        <v>45490</v>
      </c>
      <c r="C1204" s="41">
        <v>5.35</v>
      </c>
      <c r="E1204" s="2"/>
      <c r="F1204" s="2"/>
      <c r="G1204" s="2"/>
      <c r="H1204" s="2"/>
      <c r="I1204" s="2"/>
      <c r="J1204" s="2"/>
      <c r="K1204" s="2"/>
      <c r="L1204" s="2"/>
      <c r="M1204" s="2"/>
      <c r="N1204" s="2"/>
      <c r="O1204" s="7"/>
      <c r="P1204" s="8"/>
      <c r="Q1204" s="9"/>
      <c r="R1204" s="7"/>
      <c r="S1204" s="8"/>
      <c r="T1204" s="10"/>
      <c r="U1204" s="2"/>
      <c r="V1204" s="2"/>
    </row>
    <row r="1205" spans="2:22" x14ac:dyDescent="0.2">
      <c r="B1205" s="40">
        <v>45491</v>
      </c>
      <c r="C1205" s="41">
        <v>5.34</v>
      </c>
      <c r="E1205" s="2"/>
      <c r="F1205" s="2"/>
      <c r="G1205" s="2"/>
      <c r="H1205" s="2"/>
      <c r="I1205" s="2"/>
      <c r="J1205" s="2"/>
      <c r="K1205" s="2"/>
      <c r="L1205" s="2"/>
      <c r="M1205" s="2"/>
      <c r="N1205" s="2"/>
      <c r="O1205" s="7"/>
      <c r="P1205" s="8"/>
      <c r="Q1205" s="9"/>
      <c r="R1205" s="7"/>
      <c r="S1205" s="8"/>
      <c r="T1205" s="10"/>
      <c r="U1205" s="2"/>
      <c r="V1205" s="2"/>
    </row>
    <row r="1206" spans="2:22" x14ac:dyDescent="0.2">
      <c r="B1206" s="40">
        <v>45492</v>
      </c>
      <c r="C1206" s="41">
        <v>5.34</v>
      </c>
      <c r="E1206" s="2"/>
      <c r="F1206" s="2"/>
      <c r="G1206" s="2"/>
      <c r="H1206" s="2"/>
      <c r="I1206" s="2"/>
      <c r="J1206" s="2"/>
      <c r="K1206" s="2"/>
      <c r="L1206" s="2"/>
      <c r="M1206" s="2"/>
      <c r="N1206" s="2"/>
      <c r="O1206" s="7"/>
      <c r="P1206" s="8"/>
      <c r="Q1206" s="9"/>
      <c r="R1206" s="7"/>
      <c r="S1206" s="8"/>
      <c r="T1206" s="10"/>
      <c r="U1206" s="2"/>
      <c r="V1206" s="2"/>
    </row>
    <row r="1207" spans="2:22" x14ac:dyDescent="0.2">
      <c r="B1207" s="40">
        <v>45495</v>
      </c>
      <c r="C1207" s="41">
        <v>5.33</v>
      </c>
      <c r="E1207" s="2"/>
      <c r="F1207" s="2"/>
      <c r="G1207" s="2"/>
      <c r="H1207" s="2"/>
      <c r="I1207" s="2"/>
      <c r="J1207" s="2"/>
      <c r="K1207" s="2"/>
      <c r="L1207" s="2"/>
      <c r="M1207" s="2"/>
      <c r="N1207" s="2"/>
      <c r="O1207" s="7"/>
      <c r="P1207" s="8"/>
      <c r="Q1207" s="9"/>
      <c r="R1207" s="7"/>
      <c r="S1207" s="8"/>
      <c r="T1207" s="10"/>
      <c r="U1207" s="2"/>
      <c r="V1207" s="2"/>
    </row>
    <row r="1208" spans="2:22" x14ac:dyDescent="0.2">
      <c r="B1208" s="40">
        <v>45496</v>
      </c>
      <c r="C1208" s="41">
        <v>5.34</v>
      </c>
      <c r="E1208" s="2"/>
      <c r="F1208" s="2"/>
      <c r="G1208" s="2"/>
      <c r="H1208" s="2"/>
      <c r="I1208" s="2"/>
      <c r="J1208" s="2"/>
      <c r="K1208" s="2"/>
      <c r="L1208" s="2"/>
      <c r="M1208" s="2"/>
      <c r="N1208" s="2"/>
      <c r="O1208" s="7"/>
      <c r="P1208" s="8"/>
      <c r="Q1208" s="9"/>
      <c r="R1208" s="7"/>
      <c r="S1208" s="8"/>
      <c r="T1208" s="10"/>
      <c r="U1208" s="2"/>
      <c r="V1208" s="2"/>
    </row>
    <row r="1209" spans="2:22" x14ac:dyDescent="0.2">
      <c r="B1209" s="40">
        <v>45497</v>
      </c>
      <c r="C1209" s="41">
        <v>5.34</v>
      </c>
      <c r="E1209" s="2"/>
      <c r="F1209" s="2"/>
      <c r="G1209" s="2"/>
      <c r="H1209" s="2"/>
      <c r="I1209" s="2"/>
      <c r="J1209" s="2"/>
      <c r="K1209" s="2"/>
      <c r="L1209" s="2"/>
      <c r="M1209" s="2"/>
      <c r="N1209" s="2"/>
      <c r="O1209" s="7"/>
      <c r="P1209" s="8"/>
      <c r="Q1209" s="9"/>
      <c r="R1209" s="7"/>
      <c r="S1209" s="8"/>
      <c r="T1209" s="10"/>
      <c r="U1209" s="2"/>
      <c r="V1209" s="2"/>
    </row>
    <row r="1210" spans="2:22" x14ac:dyDescent="0.2">
      <c r="B1210" s="40">
        <v>45498</v>
      </c>
      <c r="C1210" s="41">
        <v>5.35</v>
      </c>
      <c r="E1210" s="2"/>
      <c r="F1210" s="2"/>
      <c r="G1210" s="2"/>
      <c r="H1210" s="2"/>
      <c r="I1210" s="2"/>
      <c r="J1210" s="2"/>
      <c r="K1210" s="2"/>
      <c r="L1210" s="2"/>
      <c r="M1210" s="2"/>
      <c r="N1210" s="2"/>
      <c r="O1210" s="7"/>
      <c r="P1210" s="8"/>
      <c r="Q1210" s="9"/>
      <c r="R1210" s="7"/>
      <c r="S1210" s="8"/>
      <c r="T1210" s="10"/>
      <c r="U1210" s="2"/>
      <c r="V1210" s="2"/>
    </row>
    <row r="1211" spans="2:22" x14ac:dyDescent="0.2">
      <c r="B1211" s="40">
        <v>45499</v>
      </c>
      <c r="C1211" s="41">
        <v>5.35</v>
      </c>
      <c r="E1211" s="2"/>
      <c r="F1211" s="2"/>
      <c r="G1211" s="2"/>
      <c r="H1211" s="2"/>
      <c r="I1211" s="2"/>
      <c r="J1211" s="2"/>
      <c r="K1211" s="2"/>
      <c r="L1211" s="2"/>
      <c r="M1211" s="2"/>
      <c r="N1211" s="2"/>
      <c r="O1211" s="7"/>
      <c r="P1211" s="8"/>
      <c r="Q1211" s="9"/>
      <c r="R1211" s="7"/>
      <c r="S1211" s="8"/>
      <c r="T1211" s="10"/>
      <c r="U1211" s="2"/>
      <c r="V1211" s="2"/>
    </row>
    <row r="1212" spans="2:22" x14ac:dyDescent="0.2">
      <c r="B1212" s="40">
        <v>45502</v>
      </c>
      <c r="C1212" s="41">
        <v>5.33</v>
      </c>
      <c r="E1212" s="2"/>
      <c r="F1212" s="2"/>
      <c r="G1212" s="2"/>
      <c r="H1212" s="2"/>
      <c r="I1212" s="2"/>
      <c r="J1212" s="2"/>
      <c r="K1212" s="2"/>
      <c r="L1212" s="2"/>
      <c r="M1212" s="2"/>
      <c r="N1212" s="2"/>
      <c r="O1212" s="7"/>
      <c r="P1212" s="8"/>
      <c r="Q1212" s="9"/>
      <c r="R1212" s="7"/>
      <c r="S1212" s="8"/>
      <c r="T1212" s="10"/>
      <c r="U1212" s="2"/>
      <c r="V1212" s="2"/>
    </row>
    <row r="1213" spans="2:22" x14ac:dyDescent="0.2">
      <c r="B1213" s="40">
        <v>45503</v>
      </c>
      <c r="C1213" s="41">
        <v>5.33</v>
      </c>
      <c r="E1213" s="2"/>
      <c r="F1213" s="2"/>
      <c r="G1213" s="2"/>
      <c r="H1213" s="2"/>
      <c r="I1213" s="2"/>
      <c r="J1213" s="2"/>
      <c r="K1213" s="2"/>
      <c r="L1213" s="2"/>
      <c r="M1213" s="2"/>
      <c r="N1213" s="2"/>
      <c r="O1213" s="7"/>
      <c r="P1213" s="8"/>
      <c r="Q1213" s="9"/>
      <c r="R1213" s="7"/>
      <c r="S1213" s="8"/>
      <c r="T1213" s="10"/>
      <c r="U1213" s="2"/>
      <c r="V1213" s="2"/>
    </row>
    <row r="1214" spans="2:22" x14ac:dyDescent="0.2">
      <c r="B1214" s="40">
        <v>45504</v>
      </c>
      <c r="C1214" s="41">
        <v>5.38</v>
      </c>
      <c r="E1214" s="2"/>
      <c r="F1214" s="2"/>
      <c r="G1214" s="2"/>
      <c r="H1214" s="2"/>
      <c r="I1214" s="2"/>
      <c r="J1214" s="2"/>
      <c r="K1214" s="2"/>
      <c r="L1214" s="2"/>
      <c r="M1214" s="2"/>
      <c r="N1214" s="2"/>
      <c r="O1214" s="7"/>
      <c r="P1214" s="8"/>
      <c r="Q1214" s="9"/>
      <c r="R1214" s="7"/>
      <c r="S1214" s="8"/>
      <c r="T1214" s="10"/>
      <c r="U1214" s="2"/>
      <c r="V1214" s="2"/>
    </row>
    <row r="1215" spans="2:22" x14ac:dyDescent="0.2">
      <c r="B1215" s="40">
        <v>45505</v>
      </c>
      <c r="C1215" s="41">
        <v>5.35</v>
      </c>
      <c r="E1215" s="2"/>
      <c r="F1215" s="2"/>
      <c r="G1215" s="2"/>
      <c r="H1215" s="2"/>
      <c r="I1215" s="2"/>
      <c r="J1215" s="2"/>
      <c r="K1215" s="2"/>
      <c r="L1215" s="2"/>
      <c r="M1215" s="2"/>
      <c r="N1215" s="2"/>
      <c r="O1215" s="7"/>
      <c r="P1215" s="8"/>
      <c r="Q1215" s="9"/>
      <c r="R1215" s="7"/>
      <c r="S1215" s="8"/>
      <c r="T1215" s="10"/>
      <c r="U1215" s="2"/>
      <c r="V1215" s="2"/>
    </row>
    <row r="1216" spans="2:22" x14ac:dyDescent="0.2">
      <c r="B1216" s="40">
        <v>45506</v>
      </c>
      <c r="C1216" s="41">
        <v>5.35</v>
      </c>
      <c r="E1216" s="2"/>
      <c r="F1216" s="2"/>
      <c r="G1216" s="2"/>
      <c r="H1216" s="2"/>
      <c r="I1216" s="2"/>
      <c r="J1216" s="2"/>
      <c r="K1216" s="2"/>
      <c r="L1216" s="2"/>
      <c r="M1216" s="2"/>
      <c r="N1216" s="2"/>
      <c r="O1216" s="7"/>
      <c r="P1216" s="8"/>
      <c r="Q1216" s="9"/>
      <c r="R1216" s="7"/>
      <c r="S1216" s="8"/>
      <c r="T1216" s="10"/>
      <c r="U1216" s="2"/>
      <c r="V1216" s="2"/>
    </row>
    <row r="1217" spans="2:22" x14ac:dyDescent="0.2">
      <c r="B1217" s="40">
        <v>45509</v>
      </c>
      <c r="C1217" s="41">
        <v>5.32</v>
      </c>
      <c r="E1217" s="2"/>
      <c r="F1217" s="2"/>
      <c r="G1217" s="2"/>
      <c r="H1217" s="2"/>
      <c r="I1217" s="2"/>
      <c r="J1217" s="2"/>
      <c r="K1217" s="2"/>
      <c r="L1217" s="2"/>
      <c r="M1217" s="2"/>
      <c r="N1217" s="2"/>
      <c r="O1217" s="7"/>
      <c r="P1217" s="8"/>
      <c r="Q1217" s="9"/>
      <c r="R1217" s="7"/>
      <c r="S1217" s="8"/>
      <c r="T1217" s="10"/>
      <c r="U1217" s="2"/>
      <c r="V1217" s="2"/>
    </row>
    <row r="1218" spans="2:22" x14ac:dyDescent="0.2">
      <c r="B1218" s="40">
        <v>45510</v>
      </c>
      <c r="C1218" s="41">
        <v>5.33</v>
      </c>
      <c r="E1218" s="2"/>
      <c r="F1218" s="2"/>
      <c r="G1218" s="2"/>
      <c r="H1218" s="2"/>
      <c r="I1218" s="2"/>
      <c r="J1218" s="2"/>
      <c r="K1218" s="2"/>
      <c r="L1218" s="2"/>
      <c r="M1218" s="2"/>
      <c r="N1218" s="2"/>
      <c r="O1218" s="7"/>
      <c r="P1218" s="8"/>
      <c r="Q1218" s="9"/>
      <c r="R1218" s="7"/>
      <c r="S1218" s="8"/>
      <c r="T1218" s="10"/>
      <c r="U1218" s="2"/>
      <c r="V1218" s="2"/>
    </row>
    <row r="1219" spans="2:22" x14ac:dyDescent="0.2">
      <c r="B1219" s="40">
        <v>45511</v>
      </c>
      <c r="C1219" s="41">
        <v>5.33</v>
      </c>
      <c r="E1219" s="2"/>
      <c r="F1219" s="2"/>
      <c r="G1219" s="2"/>
      <c r="H1219" s="2"/>
      <c r="I1219" s="2"/>
      <c r="J1219" s="2"/>
      <c r="K1219" s="2"/>
      <c r="L1219" s="2"/>
      <c r="M1219" s="2"/>
      <c r="N1219" s="2"/>
      <c r="O1219" s="7"/>
      <c r="P1219" s="8"/>
      <c r="Q1219" s="9"/>
      <c r="R1219" s="7"/>
      <c r="S1219" s="8"/>
      <c r="T1219" s="10"/>
      <c r="U1219" s="2"/>
      <c r="V1219" s="2"/>
    </row>
    <row r="1220" spans="2:22" x14ac:dyDescent="0.2">
      <c r="B1220" s="40">
        <v>45512</v>
      </c>
      <c r="C1220" s="41">
        <v>5.34</v>
      </c>
      <c r="E1220" s="2"/>
      <c r="F1220" s="2"/>
      <c r="G1220" s="2"/>
      <c r="H1220" s="2"/>
      <c r="I1220" s="2"/>
      <c r="J1220" s="2"/>
      <c r="K1220" s="2"/>
      <c r="L1220" s="2"/>
      <c r="M1220" s="2"/>
      <c r="N1220" s="2"/>
      <c r="O1220" s="7"/>
      <c r="P1220" s="8"/>
      <c r="Q1220" s="9"/>
      <c r="R1220" s="7"/>
      <c r="S1220" s="8"/>
      <c r="T1220" s="10"/>
      <c r="U1220" s="2"/>
      <c r="V1220" s="2"/>
    </row>
    <row r="1221" spans="2:22" x14ac:dyDescent="0.2">
      <c r="B1221" s="40">
        <v>45513</v>
      </c>
      <c r="C1221" s="41">
        <v>5.34</v>
      </c>
      <c r="E1221" s="2"/>
      <c r="F1221" s="2"/>
      <c r="G1221" s="2"/>
      <c r="H1221" s="2"/>
      <c r="I1221" s="2"/>
      <c r="J1221" s="2"/>
      <c r="K1221" s="2"/>
      <c r="L1221" s="2"/>
      <c r="M1221" s="2"/>
      <c r="N1221" s="2"/>
      <c r="O1221" s="7"/>
      <c r="P1221" s="8"/>
      <c r="Q1221" s="9"/>
      <c r="R1221" s="7"/>
      <c r="S1221" s="8"/>
      <c r="T1221" s="10"/>
      <c r="U1221" s="2"/>
      <c r="V1221" s="2"/>
    </row>
    <row r="1222" spans="2:22" x14ac:dyDescent="0.2">
      <c r="B1222" s="40">
        <v>45516</v>
      </c>
      <c r="C1222" s="41">
        <v>5.34</v>
      </c>
      <c r="E1222" s="2"/>
      <c r="F1222" s="2"/>
      <c r="G1222" s="2"/>
      <c r="H1222" s="2"/>
      <c r="I1222" s="2"/>
      <c r="J1222" s="2"/>
      <c r="K1222" s="2"/>
      <c r="L1222" s="2"/>
      <c r="M1222" s="2"/>
      <c r="N1222" s="2"/>
      <c r="O1222" s="7"/>
      <c r="P1222" s="8"/>
      <c r="Q1222" s="9"/>
      <c r="R1222" s="7"/>
      <c r="S1222" s="8"/>
      <c r="T1222" s="10"/>
      <c r="U1222" s="2"/>
      <c r="V1222" s="2"/>
    </row>
    <row r="1223" spans="2:22" x14ac:dyDescent="0.2">
      <c r="B1223" s="40">
        <v>45517</v>
      </c>
      <c r="C1223" s="41">
        <v>5.34</v>
      </c>
      <c r="E1223" s="2"/>
      <c r="F1223" s="2"/>
      <c r="G1223" s="2"/>
      <c r="H1223" s="2"/>
      <c r="I1223" s="2"/>
      <c r="J1223" s="2"/>
      <c r="K1223" s="2"/>
      <c r="L1223" s="2"/>
      <c r="M1223" s="2"/>
      <c r="N1223" s="2"/>
      <c r="O1223" s="7"/>
      <c r="P1223" s="8"/>
      <c r="Q1223" s="9"/>
      <c r="R1223" s="7"/>
      <c r="S1223" s="8"/>
      <c r="T1223" s="10"/>
      <c r="U1223" s="2"/>
      <c r="V1223" s="2"/>
    </row>
    <row r="1224" spans="2:22" x14ac:dyDescent="0.2">
      <c r="B1224" s="40">
        <v>45518</v>
      </c>
      <c r="C1224" s="41">
        <v>5.33</v>
      </c>
      <c r="E1224" s="2"/>
      <c r="F1224" s="2"/>
      <c r="G1224" s="2"/>
      <c r="H1224" s="2"/>
      <c r="I1224" s="2"/>
      <c r="J1224" s="2"/>
      <c r="K1224" s="2"/>
      <c r="L1224" s="2"/>
      <c r="M1224" s="2"/>
      <c r="N1224" s="2"/>
      <c r="O1224" s="7"/>
      <c r="P1224" s="8"/>
      <c r="Q1224" s="9"/>
      <c r="R1224" s="7"/>
      <c r="S1224" s="8"/>
      <c r="T1224" s="10"/>
      <c r="U1224" s="2"/>
      <c r="V1224" s="2"/>
    </row>
    <row r="1225" spans="2:22" x14ac:dyDescent="0.2">
      <c r="B1225" s="40">
        <v>45519</v>
      </c>
      <c r="C1225" s="41">
        <v>5.35</v>
      </c>
      <c r="E1225" s="2"/>
      <c r="F1225" s="2"/>
      <c r="G1225" s="2"/>
      <c r="H1225" s="2"/>
      <c r="I1225" s="2"/>
      <c r="J1225" s="2"/>
      <c r="K1225" s="2"/>
      <c r="L1225" s="2"/>
      <c r="M1225" s="2"/>
      <c r="N1225" s="2"/>
      <c r="O1225" s="7"/>
      <c r="P1225" s="8"/>
      <c r="Q1225" s="9"/>
      <c r="R1225" s="7"/>
      <c r="S1225" s="8"/>
      <c r="T1225" s="10"/>
      <c r="U1225" s="2"/>
      <c r="V1225" s="2"/>
    </row>
    <row r="1226" spans="2:22" x14ac:dyDescent="0.2">
      <c r="B1226" s="40">
        <v>45520</v>
      </c>
      <c r="C1226" s="41">
        <v>5.32</v>
      </c>
      <c r="E1226" s="2"/>
      <c r="F1226" s="2"/>
      <c r="G1226" s="2"/>
      <c r="H1226" s="2"/>
      <c r="I1226" s="2"/>
      <c r="J1226" s="2"/>
      <c r="K1226" s="2"/>
      <c r="L1226" s="2"/>
      <c r="M1226" s="2"/>
      <c r="N1226" s="2"/>
      <c r="O1226" s="7"/>
      <c r="P1226" s="8"/>
      <c r="Q1226" s="9"/>
      <c r="R1226" s="7"/>
      <c r="S1226" s="8"/>
      <c r="T1226" s="10"/>
      <c r="U1226" s="2"/>
      <c r="V1226" s="2"/>
    </row>
    <row r="1227" spans="2:22" x14ac:dyDescent="0.2">
      <c r="B1227" s="40">
        <v>45523</v>
      </c>
      <c r="C1227" s="41">
        <v>5.32</v>
      </c>
      <c r="E1227" s="2"/>
      <c r="F1227" s="2"/>
      <c r="G1227" s="2"/>
      <c r="H1227" s="2"/>
      <c r="I1227" s="2"/>
      <c r="J1227" s="2"/>
      <c r="K1227" s="2"/>
      <c r="L1227" s="2"/>
      <c r="M1227" s="2"/>
      <c r="N1227" s="2"/>
      <c r="O1227" s="7"/>
      <c r="P1227" s="8"/>
      <c r="Q1227" s="9"/>
      <c r="R1227" s="7"/>
      <c r="S1227" s="8"/>
      <c r="T1227" s="10"/>
      <c r="U1227" s="2"/>
      <c r="V1227" s="2"/>
    </row>
    <row r="1228" spans="2:22" x14ac:dyDescent="0.2">
      <c r="B1228" s="40">
        <v>45524</v>
      </c>
      <c r="C1228" s="41">
        <v>5.32</v>
      </c>
      <c r="E1228" s="2"/>
      <c r="F1228" s="2"/>
      <c r="G1228" s="2"/>
      <c r="H1228" s="2"/>
      <c r="I1228" s="2"/>
      <c r="J1228" s="2"/>
      <c r="K1228" s="2"/>
      <c r="L1228" s="2"/>
      <c r="M1228" s="2"/>
      <c r="N1228" s="2"/>
      <c r="O1228" s="7"/>
      <c r="P1228" s="8"/>
      <c r="Q1228" s="9"/>
      <c r="R1228" s="7"/>
      <c r="S1228" s="8"/>
      <c r="T1228" s="10"/>
      <c r="U1228" s="2"/>
      <c r="V1228" s="2"/>
    </row>
    <row r="1229" spans="2:22" x14ac:dyDescent="0.2">
      <c r="B1229" s="40">
        <v>45525</v>
      </c>
      <c r="C1229" s="41">
        <v>5.31</v>
      </c>
      <c r="E1229" s="2"/>
      <c r="F1229" s="2"/>
      <c r="G1229" s="2"/>
      <c r="H1229" s="2"/>
      <c r="I1229" s="2"/>
      <c r="J1229" s="2"/>
      <c r="K1229" s="2"/>
      <c r="L1229" s="2"/>
      <c r="M1229" s="2"/>
      <c r="N1229" s="2"/>
      <c r="O1229" s="7"/>
      <c r="P1229" s="8"/>
      <c r="Q1229" s="9"/>
      <c r="R1229" s="7"/>
      <c r="S1229" s="8"/>
      <c r="T1229" s="10"/>
      <c r="U1229" s="2"/>
      <c r="V1229" s="2"/>
    </row>
    <row r="1230" spans="2:22" x14ac:dyDescent="0.2">
      <c r="B1230" s="40">
        <v>45526</v>
      </c>
      <c r="C1230" s="41">
        <v>5.31</v>
      </c>
      <c r="E1230" s="2"/>
      <c r="F1230" s="2"/>
      <c r="G1230" s="2"/>
      <c r="H1230" s="2"/>
      <c r="I1230" s="2"/>
      <c r="J1230" s="2"/>
      <c r="K1230" s="2"/>
      <c r="L1230" s="2"/>
      <c r="M1230" s="2"/>
      <c r="N1230" s="2"/>
      <c r="O1230" s="7"/>
      <c r="P1230" s="8"/>
      <c r="Q1230" s="9"/>
      <c r="R1230" s="7"/>
      <c r="S1230" s="8"/>
      <c r="T1230" s="10"/>
      <c r="U1230" s="2"/>
      <c r="V1230" s="2"/>
    </row>
    <row r="1231" spans="2:22" x14ac:dyDescent="0.2">
      <c r="B1231" s="40">
        <v>45527</v>
      </c>
      <c r="C1231" s="41">
        <v>5.33</v>
      </c>
      <c r="E1231" s="2"/>
      <c r="F1231" s="2"/>
      <c r="G1231" s="2"/>
      <c r="H1231" s="2"/>
      <c r="I1231" s="2"/>
      <c r="J1231" s="2"/>
      <c r="K1231" s="2"/>
      <c r="L1231" s="2"/>
      <c r="M1231" s="2"/>
      <c r="N1231" s="2"/>
      <c r="O1231" s="7"/>
      <c r="P1231" s="8"/>
      <c r="Q1231" s="9"/>
      <c r="R1231" s="7"/>
      <c r="S1231" s="8"/>
      <c r="T1231" s="10"/>
      <c r="U1231" s="2"/>
      <c r="V1231" s="2"/>
    </row>
    <row r="1232" spans="2:22" x14ac:dyDescent="0.2">
      <c r="B1232" s="40">
        <v>45530</v>
      </c>
      <c r="C1232" s="41">
        <v>5.34</v>
      </c>
      <c r="E1232" s="2"/>
      <c r="F1232" s="2"/>
      <c r="G1232" s="2"/>
      <c r="H1232" s="2"/>
      <c r="I1232" s="2"/>
      <c r="J1232" s="2"/>
      <c r="K1232" s="2"/>
      <c r="L1232" s="2"/>
      <c r="M1232" s="2"/>
      <c r="N1232" s="2"/>
      <c r="O1232" s="7"/>
      <c r="P1232" s="8"/>
      <c r="Q1232" s="9"/>
      <c r="R1232" s="7"/>
      <c r="S1232" s="8"/>
      <c r="T1232" s="10"/>
      <c r="U1232" s="2"/>
      <c r="V1232" s="2"/>
    </row>
    <row r="1233" spans="2:22" x14ac:dyDescent="0.2">
      <c r="B1233" s="40">
        <v>45531</v>
      </c>
      <c r="C1233" s="41">
        <v>5.35</v>
      </c>
      <c r="E1233" s="2"/>
      <c r="F1233" s="2"/>
      <c r="G1233" s="2"/>
      <c r="H1233" s="2"/>
      <c r="I1233" s="2"/>
      <c r="J1233" s="2"/>
      <c r="K1233" s="2"/>
      <c r="L1233" s="2"/>
      <c r="M1233" s="2"/>
      <c r="N1233" s="2"/>
      <c r="O1233" s="7"/>
      <c r="P1233" s="8"/>
      <c r="Q1233" s="9"/>
      <c r="R1233" s="7"/>
      <c r="S1233" s="8"/>
      <c r="T1233" s="10"/>
      <c r="U1233" s="2"/>
      <c r="V1233" s="2"/>
    </row>
    <row r="1234" spans="2:22" x14ac:dyDescent="0.2">
      <c r="B1234" s="40">
        <v>45532</v>
      </c>
      <c r="C1234" s="41">
        <v>5.35</v>
      </c>
      <c r="E1234" s="2"/>
      <c r="F1234" s="2"/>
      <c r="G1234" s="2"/>
      <c r="H1234" s="2"/>
      <c r="I1234" s="2"/>
      <c r="J1234" s="2"/>
      <c r="K1234" s="2"/>
      <c r="L1234" s="2"/>
      <c r="M1234" s="2"/>
      <c r="N1234" s="2"/>
      <c r="O1234" s="7"/>
      <c r="P1234" s="8"/>
      <c r="Q1234" s="9"/>
      <c r="R1234" s="7"/>
      <c r="S1234" s="8"/>
      <c r="T1234" s="10"/>
      <c r="U1234" s="2"/>
      <c r="V1234" s="2"/>
    </row>
    <row r="1235" spans="2:22" x14ac:dyDescent="0.2">
      <c r="B1235" s="40">
        <v>45533</v>
      </c>
      <c r="C1235" s="41">
        <v>5.33</v>
      </c>
      <c r="E1235" s="2"/>
      <c r="F1235" s="2"/>
      <c r="G1235" s="2"/>
      <c r="H1235" s="2"/>
      <c r="I1235" s="2"/>
      <c r="J1235" s="2"/>
      <c r="K1235" s="2"/>
      <c r="L1235" s="2"/>
      <c r="M1235" s="2"/>
      <c r="N1235" s="2"/>
      <c r="O1235" s="7"/>
      <c r="P1235" s="8"/>
      <c r="Q1235" s="9"/>
      <c r="R1235" s="7"/>
      <c r="S1235" s="8"/>
      <c r="T1235" s="10"/>
      <c r="U1235" s="2"/>
      <c r="V1235" s="2"/>
    </row>
    <row r="1236" spans="2:22" x14ac:dyDescent="0.2">
      <c r="B1236" s="40">
        <v>45534</v>
      </c>
      <c r="C1236" s="41">
        <v>5.32</v>
      </c>
      <c r="E1236" s="2"/>
      <c r="F1236" s="2"/>
      <c r="G1236" s="2"/>
      <c r="H1236" s="2"/>
      <c r="I1236" s="2"/>
      <c r="J1236" s="2"/>
      <c r="K1236" s="2"/>
      <c r="L1236" s="2"/>
      <c r="M1236" s="2"/>
      <c r="N1236" s="2"/>
      <c r="O1236" s="7"/>
      <c r="P1236" s="8"/>
      <c r="Q1236" s="9"/>
      <c r="R1236" s="7"/>
      <c r="S1236" s="8"/>
      <c r="T1236" s="10"/>
      <c r="U1236" s="2"/>
      <c r="V1236" s="2"/>
    </row>
    <row r="1237" spans="2:22" x14ac:dyDescent="0.2">
      <c r="B1237" s="40">
        <v>45538</v>
      </c>
      <c r="C1237" s="41">
        <v>5.34</v>
      </c>
      <c r="E1237" s="2"/>
      <c r="F1237" s="2"/>
      <c r="G1237" s="2"/>
      <c r="H1237" s="2"/>
      <c r="I1237" s="2"/>
      <c r="J1237" s="2"/>
      <c r="K1237" s="2"/>
      <c r="L1237" s="2"/>
      <c r="M1237" s="2"/>
      <c r="N1237" s="2"/>
      <c r="O1237" s="7"/>
      <c r="P1237" s="8"/>
      <c r="Q1237" s="9"/>
      <c r="R1237" s="7"/>
      <c r="S1237" s="8"/>
      <c r="T1237" s="10"/>
      <c r="U1237" s="2"/>
      <c r="V1237" s="2"/>
    </row>
    <row r="1238" spans="2:22" x14ac:dyDescent="0.2">
      <c r="B1238" s="40">
        <v>45539</v>
      </c>
      <c r="C1238" s="41">
        <v>5.35</v>
      </c>
      <c r="E1238" s="2"/>
      <c r="F1238" s="2"/>
      <c r="G1238" s="2"/>
      <c r="H1238" s="2"/>
      <c r="I1238" s="2"/>
      <c r="J1238" s="2"/>
      <c r="K1238" s="2"/>
      <c r="L1238" s="2"/>
      <c r="M1238" s="2"/>
      <c r="N1238" s="2"/>
      <c r="O1238" s="7"/>
      <c r="P1238" s="8"/>
      <c r="Q1238" s="9"/>
      <c r="R1238" s="7"/>
      <c r="S1238" s="8"/>
      <c r="T1238" s="10"/>
      <c r="U1238" s="2"/>
      <c r="V1238" s="2"/>
    </row>
    <row r="1239" spans="2:22" x14ac:dyDescent="0.2">
      <c r="B1239" s="40">
        <v>45540</v>
      </c>
      <c r="C1239" s="41">
        <v>5.35</v>
      </c>
      <c r="E1239" s="2"/>
      <c r="F1239" s="2"/>
      <c r="G1239" s="2"/>
      <c r="H1239" s="2"/>
      <c r="I1239" s="2"/>
      <c r="J1239" s="2"/>
      <c r="K1239" s="2"/>
      <c r="L1239" s="2"/>
      <c r="M1239" s="2"/>
      <c r="N1239" s="2"/>
      <c r="O1239" s="7"/>
      <c r="P1239" s="8"/>
      <c r="Q1239" s="9"/>
      <c r="R1239" s="7"/>
      <c r="S1239" s="8"/>
      <c r="T1239" s="10"/>
      <c r="U1239" s="2"/>
      <c r="V1239" s="2"/>
    </row>
    <row r="1240" spans="2:22" x14ac:dyDescent="0.2">
      <c r="B1240" s="40">
        <v>45541</v>
      </c>
      <c r="C1240" s="41">
        <v>5.34</v>
      </c>
      <c r="E1240" s="2"/>
      <c r="F1240" s="2"/>
      <c r="G1240" s="2"/>
      <c r="H1240" s="2"/>
      <c r="I1240" s="2"/>
      <c r="J1240" s="2"/>
      <c r="K1240" s="2"/>
      <c r="L1240" s="2"/>
      <c r="M1240" s="2"/>
      <c r="N1240" s="2"/>
      <c r="O1240" s="7"/>
      <c r="P1240" s="8"/>
      <c r="Q1240" s="9"/>
      <c r="R1240" s="7"/>
      <c r="S1240" s="8"/>
      <c r="T1240" s="10"/>
      <c r="U1240" s="2"/>
      <c r="V1240" s="2"/>
    </row>
    <row r="1241" spans="2:22" x14ac:dyDescent="0.2">
      <c r="B1241" s="40">
        <v>45544</v>
      </c>
      <c r="C1241" s="41">
        <v>5.34</v>
      </c>
      <c r="E1241" s="2"/>
      <c r="F1241" s="2"/>
      <c r="G1241" s="2"/>
      <c r="H1241" s="2"/>
      <c r="I1241" s="2"/>
      <c r="J1241" s="2"/>
      <c r="K1241" s="2"/>
      <c r="L1241" s="2"/>
      <c r="M1241" s="2"/>
      <c r="N1241" s="2"/>
      <c r="O1241" s="7"/>
      <c r="P1241" s="8"/>
      <c r="Q1241" s="9"/>
      <c r="R1241" s="7"/>
      <c r="S1241" s="8"/>
      <c r="T1241" s="10"/>
      <c r="U1241" s="2"/>
      <c r="V1241" s="2"/>
    </row>
    <row r="1242" spans="2:22" x14ac:dyDescent="0.2">
      <c r="B1242" s="40">
        <v>45545</v>
      </c>
      <c r="C1242" s="41">
        <v>5.33</v>
      </c>
      <c r="E1242" s="2"/>
      <c r="F1242" s="2"/>
      <c r="G1242" s="2"/>
      <c r="H1242" s="2"/>
      <c r="I1242" s="2"/>
      <c r="J1242" s="2"/>
      <c r="K1242" s="2"/>
      <c r="L1242" s="2"/>
      <c r="M1242" s="2"/>
      <c r="N1242" s="2"/>
      <c r="O1242" s="7"/>
      <c r="P1242" s="8"/>
      <c r="Q1242" s="9"/>
      <c r="R1242" s="7"/>
      <c r="S1242" s="8"/>
      <c r="T1242" s="10"/>
      <c r="U1242" s="2"/>
      <c r="V1242" s="2"/>
    </row>
    <row r="1243" spans="2:22" x14ac:dyDescent="0.2">
      <c r="B1243" s="40">
        <v>45546</v>
      </c>
      <c r="C1243" s="41">
        <v>5.32</v>
      </c>
      <c r="E1243" s="2"/>
      <c r="F1243" s="2"/>
      <c r="G1243" s="2"/>
      <c r="H1243" s="2"/>
      <c r="I1243" s="2"/>
      <c r="J1243" s="2"/>
      <c r="K1243" s="2"/>
      <c r="L1243" s="2"/>
      <c r="M1243" s="2"/>
      <c r="N1243" s="2"/>
      <c r="O1243" s="7"/>
      <c r="P1243" s="8"/>
      <c r="Q1243" s="9"/>
      <c r="R1243" s="7"/>
      <c r="S1243" s="8"/>
      <c r="T1243" s="10"/>
      <c r="U1243" s="2"/>
      <c r="V1243" s="2"/>
    </row>
    <row r="1244" spans="2:22" x14ac:dyDescent="0.2">
      <c r="B1244" s="40">
        <v>45547</v>
      </c>
      <c r="C1244" s="41">
        <v>5.33</v>
      </c>
      <c r="E1244" s="2"/>
      <c r="F1244" s="2"/>
      <c r="G1244" s="2"/>
      <c r="H1244" s="2"/>
      <c r="I1244" s="2"/>
      <c r="J1244" s="2"/>
      <c r="K1244" s="2"/>
      <c r="L1244" s="2"/>
      <c r="M1244" s="2"/>
      <c r="N1244" s="2"/>
      <c r="O1244" s="7"/>
      <c r="P1244" s="8"/>
      <c r="Q1244" s="9"/>
      <c r="R1244" s="7"/>
      <c r="S1244" s="8"/>
      <c r="T1244" s="10"/>
      <c r="U1244" s="2"/>
      <c r="V1244" s="2"/>
    </row>
    <row r="1245" spans="2:22" x14ac:dyDescent="0.2">
      <c r="B1245" s="40">
        <v>45548</v>
      </c>
      <c r="C1245" s="41">
        <v>5.33</v>
      </c>
      <c r="E1245" s="2"/>
      <c r="F1245" s="2"/>
      <c r="G1245" s="2"/>
      <c r="H1245" s="2"/>
      <c r="I1245" s="2"/>
      <c r="J1245" s="2"/>
      <c r="K1245" s="2"/>
      <c r="L1245" s="2"/>
      <c r="M1245" s="2"/>
      <c r="N1245" s="2"/>
      <c r="O1245" s="7"/>
      <c r="P1245" s="8"/>
      <c r="Q1245" s="9"/>
      <c r="R1245" s="7"/>
      <c r="S1245" s="8"/>
      <c r="T1245" s="10"/>
      <c r="U1245" s="2"/>
      <c r="V1245" s="2"/>
    </row>
    <row r="1246" spans="2:22" x14ac:dyDescent="0.2">
      <c r="B1246" s="40">
        <v>45551</v>
      </c>
      <c r="C1246" s="41">
        <v>5.38</v>
      </c>
      <c r="E1246" s="2"/>
      <c r="F1246" s="2"/>
      <c r="G1246" s="2"/>
      <c r="H1246" s="2"/>
      <c r="I1246" s="2"/>
      <c r="J1246" s="2"/>
      <c r="K1246" s="2"/>
      <c r="L1246" s="2"/>
      <c r="M1246" s="2"/>
      <c r="N1246" s="2"/>
      <c r="O1246" s="7"/>
      <c r="P1246" s="8"/>
      <c r="Q1246" s="9"/>
      <c r="R1246" s="7"/>
      <c r="S1246" s="8"/>
      <c r="T1246" s="10"/>
      <c r="U1246" s="2"/>
      <c r="V1246" s="2"/>
    </row>
    <row r="1247" spans="2:22" x14ac:dyDescent="0.2">
      <c r="B1247" s="40">
        <v>45552</v>
      </c>
      <c r="C1247" s="41">
        <v>5.38</v>
      </c>
      <c r="E1247" s="2"/>
      <c r="F1247" s="2"/>
      <c r="G1247" s="2"/>
      <c r="H1247" s="2"/>
      <c r="I1247" s="2"/>
      <c r="J1247" s="2"/>
      <c r="K1247" s="2"/>
      <c r="L1247" s="2"/>
      <c r="M1247" s="2"/>
      <c r="N1247" s="2"/>
      <c r="O1247" s="7"/>
      <c r="P1247" s="8"/>
      <c r="Q1247" s="9"/>
      <c r="R1247" s="7"/>
      <c r="S1247" s="8"/>
      <c r="T1247" s="10"/>
      <c r="U1247" s="2"/>
      <c r="V1247" s="2"/>
    </row>
    <row r="1248" spans="2:22" x14ac:dyDescent="0.2">
      <c r="B1248" s="40">
        <v>45553</v>
      </c>
      <c r="C1248" s="41">
        <v>5.33</v>
      </c>
      <c r="E1248" s="2"/>
      <c r="F1248" s="2"/>
      <c r="G1248" s="2"/>
      <c r="H1248" s="2"/>
      <c r="I1248" s="2"/>
      <c r="J1248" s="2"/>
      <c r="K1248" s="2"/>
      <c r="L1248" s="2"/>
      <c r="M1248" s="2"/>
      <c r="N1248" s="2"/>
      <c r="O1248" s="7"/>
      <c r="P1248" s="8"/>
      <c r="Q1248" s="9"/>
      <c r="R1248" s="7"/>
      <c r="S1248" s="8"/>
      <c r="T1248" s="10"/>
      <c r="U1248" s="2"/>
      <c r="V1248" s="2"/>
    </row>
    <row r="1249" spans="2:22" x14ac:dyDescent="0.2">
      <c r="B1249" s="40">
        <v>45554</v>
      </c>
      <c r="C1249" s="41">
        <v>4.82</v>
      </c>
      <c r="E1249" s="2"/>
      <c r="F1249" s="2"/>
      <c r="G1249" s="2"/>
      <c r="H1249" s="2"/>
      <c r="I1249" s="2"/>
      <c r="J1249" s="2"/>
      <c r="K1249" s="2"/>
      <c r="L1249" s="2"/>
      <c r="M1249" s="2"/>
      <c r="N1249" s="2"/>
      <c r="O1249" s="7"/>
      <c r="P1249" s="8"/>
      <c r="Q1249" s="9"/>
      <c r="R1249" s="7"/>
      <c r="S1249" s="8"/>
      <c r="T1249" s="10"/>
      <c r="U1249" s="2"/>
      <c r="V1249" s="2"/>
    </row>
    <row r="1250" spans="2:22" x14ac:dyDescent="0.2">
      <c r="B1250" s="40">
        <v>45555</v>
      </c>
      <c r="C1250" s="41">
        <v>4.83</v>
      </c>
      <c r="E1250" s="2"/>
      <c r="F1250" s="2"/>
      <c r="G1250" s="2"/>
      <c r="H1250" s="2"/>
      <c r="I1250" s="2"/>
      <c r="J1250" s="2"/>
      <c r="K1250" s="2"/>
      <c r="L1250" s="2"/>
      <c r="M1250" s="2"/>
      <c r="N1250" s="2"/>
      <c r="O1250" s="7"/>
      <c r="P1250" s="8"/>
      <c r="Q1250" s="9"/>
      <c r="R1250" s="7"/>
      <c r="S1250" s="8"/>
      <c r="T1250" s="10"/>
      <c r="U1250" s="2"/>
      <c r="V1250" s="2"/>
    </row>
    <row r="1251" spans="2:22" x14ac:dyDescent="0.2">
      <c r="B1251" s="40">
        <v>45558</v>
      </c>
      <c r="C1251" s="41">
        <v>4.83</v>
      </c>
      <c r="E1251" s="2"/>
      <c r="F1251" s="2"/>
      <c r="G1251" s="2"/>
      <c r="H1251" s="2"/>
      <c r="I1251" s="2"/>
      <c r="J1251" s="2"/>
      <c r="K1251" s="2"/>
      <c r="L1251" s="2"/>
      <c r="M1251" s="2"/>
      <c r="N1251" s="2"/>
      <c r="O1251" s="7"/>
      <c r="P1251" s="8"/>
      <c r="Q1251" s="9"/>
      <c r="R1251" s="7"/>
      <c r="S1251" s="8"/>
      <c r="T1251" s="10"/>
      <c r="U1251" s="2"/>
      <c r="V1251" s="2"/>
    </row>
    <row r="1252" spans="2:22" x14ac:dyDescent="0.2">
      <c r="B1252" s="40">
        <v>45559</v>
      </c>
      <c r="C1252" s="41">
        <v>4.84</v>
      </c>
      <c r="E1252" s="2"/>
      <c r="F1252" s="2"/>
      <c r="G1252" s="2"/>
      <c r="H1252" s="2"/>
      <c r="I1252" s="2"/>
      <c r="J1252" s="2"/>
      <c r="K1252" s="2"/>
      <c r="L1252" s="2"/>
      <c r="M1252" s="2"/>
      <c r="N1252" s="2"/>
      <c r="O1252" s="7"/>
      <c r="P1252" s="8"/>
      <c r="Q1252" s="9"/>
      <c r="R1252" s="7"/>
      <c r="S1252" s="8"/>
      <c r="T1252" s="10"/>
      <c r="U1252" s="2"/>
      <c r="V1252" s="2"/>
    </row>
    <row r="1253" spans="2:22" x14ac:dyDescent="0.2">
      <c r="B1253" s="40">
        <v>45560</v>
      </c>
      <c r="C1253" s="41">
        <v>4.84</v>
      </c>
      <c r="E1253" s="2"/>
      <c r="F1253" s="2"/>
      <c r="G1253" s="2"/>
      <c r="H1253" s="2"/>
      <c r="I1253" s="2"/>
      <c r="J1253" s="2"/>
      <c r="K1253" s="2"/>
      <c r="L1253" s="2"/>
      <c r="M1253" s="2"/>
      <c r="N1253" s="2"/>
      <c r="O1253" s="7"/>
      <c r="P1253" s="8"/>
      <c r="Q1253" s="9"/>
      <c r="R1253" s="7"/>
      <c r="S1253" s="8"/>
      <c r="T1253" s="10"/>
      <c r="U1253" s="2"/>
      <c r="V1253" s="2"/>
    </row>
    <row r="1254" spans="2:22" x14ac:dyDescent="0.2">
      <c r="B1254" s="40">
        <v>45561</v>
      </c>
      <c r="C1254" s="41">
        <v>4.83</v>
      </c>
      <c r="E1254" s="2"/>
      <c r="F1254" s="2"/>
      <c r="G1254" s="2"/>
      <c r="H1254" s="2"/>
      <c r="I1254" s="2"/>
      <c r="J1254" s="2"/>
      <c r="K1254" s="2"/>
      <c r="L1254" s="2"/>
      <c r="M1254" s="2"/>
      <c r="N1254" s="2"/>
      <c r="O1254" s="7"/>
      <c r="P1254" s="8"/>
      <c r="Q1254" s="9"/>
      <c r="R1254" s="7"/>
      <c r="S1254" s="8"/>
      <c r="T1254" s="10"/>
      <c r="U1254" s="2"/>
      <c r="V1254" s="2"/>
    </row>
    <row r="1255" spans="2:22" x14ac:dyDescent="0.2">
      <c r="B1255" s="14"/>
      <c r="C1255" s="2"/>
      <c r="E1255" s="2"/>
      <c r="F1255" s="2"/>
      <c r="G1255" s="2"/>
      <c r="H1255" s="2"/>
      <c r="I1255" s="2"/>
      <c r="J1255" s="2"/>
      <c r="K1255" s="2"/>
      <c r="L1255" s="2"/>
      <c r="M1255" s="2"/>
      <c r="N1255" s="2"/>
      <c r="O1255" s="7"/>
      <c r="P1255" s="8"/>
      <c r="Q1255" s="9"/>
      <c r="R1255" s="7"/>
      <c r="S1255" s="8"/>
      <c r="T1255" s="10"/>
      <c r="U1255" s="2"/>
      <c r="V1255" s="2"/>
    </row>
    <row r="1256" spans="2:22" x14ac:dyDescent="0.2">
      <c r="B1256" s="14"/>
      <c r="C1256" s="2"/>
      <c r="E1256" s="2"/>
      <c r="F1256" s="2"/>
      <c r="G1256" s="2"/>
      <c r="H1256" s="2"/>
      <c r="I1256" s="2"/>
      <c r="J1256" s="2"/>
      <c r="K1256" s="2"/>
      <c r="L1256" s="2"/>
      <c r="M1256" s="2"/>
      <c r="N1256" s="2"/>
      <c r="O1256" s="7"/>
      <c r="P1256" s="8"/>
      <c r="Q1256" s="9"/>
      <c r="R1256" s="7"/>
      <c r="S1256" s="8"/>
      <c r="T1256" s="10"/>
      <c r="U1256" s="2"/>
      <c r="V1256" s="2"/>
    </row>
    <row r="1257" spans="2:22" x14ac:dyDescent="0.2">
      <c r="B1257" s="14"/>
      <c r="C1257" s="2"/>
      <c r="E1257" s="2"/>
      <c r="F1257" s="2"/>
      <c r="G1257" s="2"/>
      <c r="H1257" s="2"/>
      <c r="I1257" s="2"/>
      <c r="J1257" s="2"/>
      <c r="K1257" s="2"/>
      <c r="L1257" s="2"/>
      <c r="M1257" s="2"/>
      <c r="N1257" s="2"/>
      <c r="O1257" s="7"/>
      <c r="P1257" s="8"/>
      <c r="Q1257" s="9"/>
      <c r="R1257" s="7"/>
      <c r="S1257" s="8"/>
      <c r="T1257" s="10"/>
      <c r="U1257" s="2"/>
      <c r="V1257" s="2"/>
    </row>
    <row r="1258" spans="2:22" x14ac:dyDescent="0.2">
      <c r="B1258" s="14"/>
      <c r="C1258" s="2"/>
      <c r="E1258" s="2"/>
      <c r="F1258" s="2"/>
      <c r="G1258" s="2"/>
      <c r="H1258" s="2"/>
      <c r="I1258" s="2"/>
      <c r="J1258" s="2"/>
      <c r="K1258" s="2"/>
      <c r="L1258" s="2"/>
      <c r="M1258" s="2"/>
      <c r="N1258" s="2"/>
      <c r="O1258" s="7"/>
      <c r="P1258" s="8"/>
      <c r="Q1258" s="9"/>
      <c r="R1258" s="7"/>
      <c r="S1258" s="8"/>
      <c r="T1258" s="10"/>
      <c r="U1258" s="2"/>
      <c r="V1258" s="2"/>
    </row>
    <row r="1259" spans="2:22" x14ac:dyDescent="0.2">
      <c r="B1259" s="14"/>
      <c r="C1259" s="2"/>
      <c r="E1259" s="2"/>
      <c r="F1259" s="2"/>
      <c r="G1259" s="2"/>
      <c r="H1259" s="2"/>
      <c r="I1259" s="2"/>
      <c r="J1259" s="2"/>
      <c r="K1259" s="2"/>
      <c r="L1259" s="2"/>
      <c r="M1259" s="2"/>
      <c r="N1259" s="2"/>
      <c r="O1259" s="7"/>
      <c r="P1259" s="8"/>
      <c r="Q1259" s="9"/>
      <c r="R1259" s="7"/>
      <c r="S1259" s="8"/>
      <c r="T1259" s="10"/>
      <c r="U1259" s="2"/>
      <c r="V1259" s="2"/>
    </row>
    <row r="1260" spans="2:22" x14ac:dyDescent="0.2">
      <c r="B1260" s="14"/>
      <c r="C1260" s="2"/>
      <c r="E1260" s="2"/>
      <c r="F1260" s="2"/>
      <c r="G1260" s="2"/>
      <c r="H1260" s="2"/>
      <c r="I1260" s="2"/>
      <c r="J1260" s="2"/>
      <c r="K1260" s="2"/>
      <c r="L1260" s="2"/>
      <c r="M1260" s="2"/>
      <c r="N1260" s="2"/>
      <c r="O1260" s="7"/>
      <c r="P1260" s="8"/>
      <c r="Q1260" s="9"/>
      <c r="R1260" s="7"/>
      <c r="S1260" s="8"/>
      <c r="T1260" s="10"/>
      <c r="U1260" s="2"/>
      <c r="V1260" s="2"/>
    </row>
    <row r="1261" spans="2:22" x14ac:dyDescent="0.2">
      <c r="B1261" s="14"/>
      <c r="C1261" s="2"/>
      <c r="E1261" s="2"/>
      <c r="F1261" s="2"/>
      <c r="G1261" s="2"/>
      <c r="H1261" s="2"/>
      <c r="I1261" s="2"/>
      <c r="J1261" s="2"/>
      <c r="K1261" s="2"/>
      <c r="L1261" s="2"/>
      <c r="M1261" s="2"/>
      <c r="N1261" s="2"/>
      <c r="O1261" s="7"/>
      <c r="P1261" s="8"/>
      <c r="Q1261" s="9"/>
      <c r="R1261" s="7"/>
      <c r="S1261" s="8"/>
      <c r="T1261" s="10"/>
      <c r="U1261" s="2"/>
      <c r="V1261" s="2"/>
    </row>
    <row r="1262" spans="2:22" x14ac:dyDescent="0.2">
      <c r="B1262" s="14"/>
      <c r="C1262" s="2"/>
      <c r="E1262" s="2"/>
      <c r="F1262" s="2"/>
      <c r="G1262" s="2"/>
      <c r="H1262" s="2"/>
      <c r="I1262" s="2"/>
      <c r="J1262" s="2"/>
      <c r="K1262" s="2"/>
      <c r="L1262" s="2"/>
      <c r="M1262" s="2"/>
      <c r="N1262" s="2"/>
      <c r="O1262" s="7"/>
      <c r="P1262" s="8"/>
      <c r="Q1262" s="9"/>
      <c r="R1262" s="7"/>
      <c r="S1262" s="8"/>
      <c r="T1262" s="10"/>
      <c r="U1262" s="2"/>
      <c r="V1262" s="2"/>
    </row>
    <row r="1263" spans="2:22" x14ac:dyDescent="0.2">
      <c r="B1263" s="14"/>
      <c r="C1263" s="2"/>
      <c r="E1263" s="2"/>
      <c r="F1263" s="2"/>
      <c r="G1263" s="2"/>
      <c r="H1263" s="2"/>
      <c r="I1263" s="2"/>
      <c r="J1263" s="2"/>
      <c r="K1263" s="2"/>
      <c r="L1263" s="2"/>
      <c r="M1263" s="2"/>
      <c r="N1263" s="2"/>
      <c r="O1263" s="7"/>
      <c r="P1263" s="8"/>
      <c r="Q1263" s="9"/>
      <c r="R1263" s="7"/>
      <c r="S1263" s="8"/>
      <c r="T1263" s="10"/>
      <c r="U1263" s="2"/>
      <c r="V1263" s="2"/>
    </row>
    <row r="1264" spans="2:22" x14ac:dyDescent="0.2">
      <c r="B1264" s="14"/>
      <c r="C1264" s="2"/>
      <c r="E1264" s="2"/>
      <c r="F1264" s="2"/>
      <c r="G1264" s="2"/>
      <c r="H1264" s="2"/>
      <c r="I1264" s="2"/>
      <c r="J1264" s="2"/>
      <c r="K1264" s="2"/>
      <c r="L1264" s="2"/>
      <c r="M1264" s="2"/>
      <c r="N1264" s="2"/>
      <c r="O1264" s="7"/>
      <c r="P1264" s="8"/>
      <c r="Q1264" s="9"/>
      <c r="R1264" s="7"/>
      <c r="S1264" s="8"/>
      <c r="T1264" s="10"/>
      <c r="U1264" s="2"/>
      <c r="V1264" s="2"/>
    </row>
    <row r="1265" spans="2:22" x14ac:dyDescent="0.2">
      <c r="B1265" s="14"/>
      <c r="C1265" s="2"/>
      <c r="E1265" s="2"/>
      <c r="F1265" s="2"/>
      <c r="G1265" s="2"/>
      <c r="H1265" s="2"/>
      <c r="I1265" s="2"/>
      <c r="J1265" s="2"/>
      <c r="K1265" s="2"/>
      <c r="L1265" s="2"/>
      <c r="M1265" s="2"/>
      <c r="N1265" s="2"/>
      <c r="O1265" s="7"/>
      <c r="P1265" s="8"/>
      <c r="Q1265" s="9"/>
      <c r="R1265" s="7"/>
      <c r="S1265" s="8"/>
      <c r="T1265" s="10"/>
      <c r="U1265" s="2"/>
      <c r="V1265" s="2"/>
    </row>
    <row r="1266" spans="2:22" x14ac:dyDescent="0.2">
      <c r="B1266" s="14"/>
      <c r="C1266" s="2"/>
      <c r="E1266" s="2"/>
      <c r="F1266" s="2"/>
      <c r="G1266" s="2"/>
      <c r="H1266" s="2"/>
      <c r="I1266" s="2"/>
      <c r="J1266" s="2"/>
      <c r="K1266" s="2"/>
      <c r="L1266" s="2"/>
      <c r="M1266" s="2"/>
      <c r="N1266" s="2"/>
      <c r="O1266" s="7"/>
      <c r="P1266" s="8"/>
      <c r="Q1266" s="9"/>
      <c r="R1266" s="7"/>
      <c r="S1266" s="8"/>
      <c r="T1266" s="10"/>
      <c r="U1266" s="2"/>
      <c r="V1266" s="2"/>
    </row>
    <row r="1267" spans="2:22" x14ac:dyDescent="0.2">
      <c r="B1267" s="14"/>
      <c r="C1267" s="2"/>
      <c r="E1267" s="2"/>
      <c r="F1267" s="2"/>
      <c r="G1267" s="2"/>
      <c r="H1267" s="2"/>
      <c r="I1267" s="2"/>
      <c r="J1267" s="2"/>
      <c r="K1267" s="2"/>
      <c r="L1267" s="2"/>
      <c r="M1267" s="2"/>
      <c r="N1267" s="2"/>
      <c r="O1267" s="7"/>
      <c r="P1267" s="8"/>
      <c r="Q1267" s="9"/>
      <c r="R1267" s="7"/>
      <c r="S1267" s="8"/>
      <c r="T1267" s="10"/>
      <c r="U1267" s="2"/>
      <c r="V1267" s="2"/>
    </row>
    <row r="1268" spans="2:22" x14ac:dyDescent="0.2">
      <c r="B1268" s="14"/>
      <c r="C1268" s="2"/>
      <c r="E1268" s="2"/>
      <c r="F1268" s="2"/>
      <c r="G1268" s="2"/>
      <c r="H1268" s="2"/>
      <c r="I1268" s="2"/>
      <c r="J1268" s="2"/>
      <c r="K1268" s="2"/>
      <c r="L1268" s="2"/>
      <c r="M1268" s="2"/>
      <c r="N1268" s="2"/>
      <c r="O1268" s="7"/>
      <c r="P1268" s="8"/>
      <c r="Q1268" s="9"/>
      <c r="R1268" s="7"/>
      <c r="S1268" s="8"/>
      <c r="T1268" s="10"/>
      <c r="U1268" s="2"/>
      <c r="V1268" s="2"/>
    </row>
    <row r="1269" spans="2:22" x14ac:dyDescent="0.2">
      <c r="B1269" s="14"/>
      <c r="C1269" s="2"/>
      <c r="E1269" s="2"/>
      <c r="F1269" s="2"/>
      <c r="G1269" s="2"/>
      <c r="H1269" s="2"/>
      <c r="I1269" s="2"/>
      <c r="J1269" s="2"/>
      <c r="K1269" s="2"/>
      <c r="L1269" s="2"/>
      <c r="M1269" s="2"/>
      <c r="N1269" s="2"/>
      <c r="O1269" s="7"/>
      <c r="P1269" s="8"/>
      <c r="Q1269" s="9"/>
      <c r="R1269" s="7"/>
      <c r="S1269" s="8"/>
      <c r="T1269" s="10"/>
      <c r="U1269" s="2"/>
      <c r="V1269" s="2"/>
    </row>
    <row r="1270" spans="2:22" x14ac:dyDescent="0.2">
      <c r="B1270" s="14"/>
      <c r="C1270" s="2"/>
      <c r="E1270" s="2"/>
      <c r="F1270" s="2"/>
      <c r="G1270" s="2"/>
      <c r="H1270" s="2"/>
      <c r="I1270" s="2"/>
      <c r="J1270" s="2"/>
      <c r="K1270" s="2"/>
      <c r="L1270" s="2"/>
      <c r="M1270" s="2"/>
      <c r="N1270" s="2"/>
      <c r="O1270" s="7"/>
      <c r="P1270" s="8"/>
      <c r="Q1270" s="9"/>
      <c r="R1270" s="7"/>
      <c r="S1270" s="8"/>
      <c r="T1270" s="10"/>
      <c r="U1270" s="2"/>
      <c r="V1270" s="2"/>
    </row>
    <row r="1271" spans="2:22" x14ac:dyDescent="0.2">
      <c r="B1271" s="14"/>
      <c r="C1271" s="2"/>
      <c r="E1271" s="2"/>
      <c r="F1271" s="2"/>
      <c r="G1271" s="2"/>
      <c r="H1271" s="2"/>
      <c r="I1271" s="2"/>
      <c r="J1271" s="2"/>
      <c r="K1271" s="2"/>
      <c r="L1271" s="2"/>
      <c r="M1271" s="2"/>
      <c r="N1271" s="2"/>
      <c r="O1271" s="7"/>
      <c r="P1271" s="8"/>
      <c r="Q1271" s="9"/>
      <c r="R1271" s="7"/>
      <c r="S1271" s="8"/>
      <c r="T1271" s="10"/>
      <c r="U1271" s="2"/>
      <c r="V1271" s="2"/>
    </row>
    <row r="1272" spans="2:22" x14ac:dyDescent="0.2">
      <c r="B1272" s="14"/>
      <c r="C1272" s="2"/>
      <c r="E1272" s="2"/>
      <c r="F1272" s="2"/>
      <c r="G1272" s="2"/>
      <c r="H1272" s="2"/>
      <c r="I1272" s="2"/>
      <c r="J1272" s="2"/>
      <c r="K1272" s="2"/>
      <c r="L1272" s="2"/>
      <c r="M1272" s="2"/>
      <c r="N1272" s="2"/>
      <c r="O1272" s="7"/>
      <c r="P1272" s="8"/>
      <c r="Q1272" s="9"/>
      <c r="R1272" s="7"/>
      <c r="S1272" s="8"/>
      <c r="T1272" s="10"/>
      <c r="U1272" s="2"/>
      <c r="V1272" s="2"/>
    </row>
    <row r="1273" spans="2:22" x14ac:dyDescent="0.2">
      <c r="B1273" s="14"/>
      <c r="C1273" s="2"/>
      <c r="E1273" s="2"/>
      <c r="F1273" s="2"/>
      <c r="G1273" s="2"/>
      <c r="H1273" s="2"/>
      <c r="I1273" s="2"/>
      <c r="J1273" s="2"/>
      <c r="K1273" s="2"/>
      <c r="L1273" s="2"/>
      <c r="M1273" s="2"/>
      <c r="N1273" s="2"/>
      <c r="O1273" s="7"/>
      <c r="P1273" s="8"/>
      <c r="Q1273" s="9"/>
      <c r="R1273" s="7"/>
      <c r="S1273" s="8"/>
      <c r="T1273" s="10"/>
      <c r="U1273" s="2"/>
      <c r="V1273" s="2"/>
    </row>
    <row r="1274" spans="2:22" x14ac:dyDescent="0.2">
      <c r="B1274" s="14"/>
      <c r="C1274" s="2"/>
      <c r="E1274" s="2"/>
      <c r="F1274" s="2"/>
      <c r="G1274" s="2"/>
      <c r="H1274" s="2"/>
      <c r="I1274" s="2"/>
      <c r="J1274" s="2"/>
      <c r="K1274" s="2"/>
      <c r="L1274" s="2"/>
      <c r="M1274" s="2"/>
      <c r="N1274" s="2"/>
      <c r="O1274" s="7"/>
      <c r="P1274" s="8"/>
      <c r="Q1274" s="9"/>
      <c r="R1274" s="7"/>
      <c r="S1274" s="8"/>
      <c r="T1274" s="10"/>
      <c r="U1274" s="2"/>
      <c r="V1274" s="2"/>
    </row>
    <row r="1275" spans="2:22" x14ac:dyDescent="0.2">
      <c r="B1275" s="14"/>
      <c r="C1275" s="2"/>
      <c r="E1275" s="2"/>
      <c r="F1275" s="2"/>
      <c r="G1275" s="2"/>
      <c r="H1275" s="2"/>
      <c r="I1275" s="2"/>
      <c r="J1275" s="2"/>
      <c r="K1275" s="2"/>
      <c r="L1275" s="2"/>
      <c r="M1275" s="2"/>
      <c r="N1275" s="2"/>
      <c r="O1275" s="7"/>
      <c r="P1275" s="8"/>
      <c r="Q1275" s="9"/>
      <c r="R1275" s="7"/>
      <c r="S1275" s="8"/>
      <c r="T1275" s="10"/>
      <c r="U1275" s="2"/>
      <c r="V1275" s="2"/>
    </row>
    <row r="1276" spans="2:22" x14ac:dyDescent="0.2">
      <c r="B1276" s="14"/>
      <c r="C1276" s="2"/>
      <c r="E1276" s="2"/>
      <c r="F1276" s="2"/>
      <c r="G1276" s="2"/>
      <c r="H1276" s="2"/>
      <c r="I1276" s="2"/>
      <c r="J1276" s="2"/>
      <c r="K1276" s="2"/>
      <c r="L1276" s="2"/>
      <c r="M1276" s="2"/>
      <c r="N1276" s="2"/>
      <c r="O1276" s="7"/>
      <c r="P1276" s="8"/>
      <c r="Q1276" s="9"/>
      <c r="R1276" s="7"/>
      <c r="S1276" s="8"/>
      <c r="T1276" s="10"/>
      <c r="U1276" s="2"/>
      <c r="V1276" s="2"/>
    </row>
    <row r="1277" spans="2:22" x14ac:dyDescent="0.2">
      <c r="B1277" s="14"/>
      <c r="C1277" s="2"/>
      <c r="E1277" s="2"/>
      <c r="F1277" s="2"/>
      <c r="G1277" s="2"/>
      <c r="H1277" s="2"/>
      <c r="I1277" s="2"/>
      <c r="J1277" s="2"/>
      <c r="K1277" s="2"/>
      <c r="L1277" s="2"/>
      <c r="M1277" s="2"/>
      <c r="N1277" s="2"/>
      <c r="O1277" s="7"/>
      <c r="P1277" s="8"/>
      <c r="Q1277" s="9"/>
      <c r="R1277" s="7"/>
      <c r="S1277" s="8"/>
      <c r="T1277" s="10"/>
      <c r="U1277" s="2"/>
      <c r="V1277" s="2"/>
    </row>
    <row r="1278" spans="2:22" x14ac:dyDescent="0.2">
      <c r="B1278" s="14"/>
      <c r="C1278" s="2"/>
      <c r="E1278" s="2"/>
      <c r="F1278" s="2"/>
      <c r="G1278" s="2"/>
      <c r="H1278" s="2"/>
      <c r="I1278" s="2"/>
      <c r="J1278" s="2"/>
      <c r="K1278" s="2"/>
      <c r="L1278" s="2"/>
      <c r="M1278" s="2"/>
      <c r="N1278" s="2"/>
      <c r="O1278" s="7"/>
      <c r="P1278" s="8"/>
      <c r="Q1278" s="9"/>
      <c r="R1278" s="7"/>
      <c r="S1278" s="8"/>
      <c r="T1278" s="10"/>
      <c r="U1278" s="2"/>
      <c r="V1278" s="2"/>
    </row>
    <row r="1279" spans="2:22" x14ac:dyDescent="0.2">
      <c r="B1279" s="14"/>
      <c r="C1279" s="2"/>
      <c r="E1279" s="2"/>
      <c r="F1279" s="2"/>
      <c r="G1279" s="2"/>
      <c r="H1279" s="2"/>
      <c r="I1279" s="2"/>
      <c r="J1279" s="2"/>
      <c r="K1279" s="2"/>
      <c r="L1279" s="2"/>
      <c r="M1279" s="2"/>
      <c r="N1279" s="2"/>
      <c r="O1279" s="7"/>
      <c r="P1279" s="8"/>
      <c r="Q1279" s="9"/>
      <c r="R1279" s="7"/>
      <c r="S1279" s="8"/>
      <c r="T1279" s="10"/>
      <c r="U1279" s="2"/>
      <c r="V1279" s="2"/>
    </row>
    <row r="1280" spans="2:22" x14ac:dyDescent="0.2">
      <c r="B1280" s="14"/>
      <c r="C1280" s="2"/>
      <c r="E1280" s="2"/>
      <c r="F1280" s="2"/>
      <c r="G1280" s="2"/>
      <c r="H1280" s="2"/>
      <c r="I1280" s="2"/>
      <c r="J1280" s="2"/>
      <c r="K1280" s="2"/>
      <c r="L1280" s="2"/>
      <c r="M1280" s="2"/>
      <c r="N1280" s="2"/>
      <c r="O1280" s="7"/>
      <c r="P1280" s="8"/>
      <c r="Q1280" s="9"/>
      <c r="R1280" s="7"/>
      <c r="S1280" s="8"/>
      <c r="T1280" s="10"/>
      <c r="U1280" s="2"/>
      <c r="V1280" s="2"/>
    </row>
    <row r="1281" spans="2:22" x14ac:dyDescent="0.2">
      <c r="B1281" s="14"/>
      <c r="C1281" s="2"/>
      <c r="E1281" s="2"/>
      <c r="F1281" s="2"/>
      <c r="G1281" s="2"/>
      <c r="H1281" s="2"/>
      <c r="I1281" s="2"/>
      <c r="J1281" s="2"/>
      <c r="K1281" s="2"/>
      <c r="L1281" s="2"/>
      <c r="M1281" s="2"/>
      <c r="N1281" s="2"/>
      <c r="O1281" s="7"/>
      <c r="P1281" s="8"/>
      <c r="Q1281" s="9"/>
      <c r="R1281" s="7"/>
      <c r="S1281" s="8"/>
      <c r="T1281" s="10"/>
      <c r="U1281" s="2"/>
      <c r="V1281" s="2"/>
    </row>
    <row r="1282" spans="2:22" x14ac:dyDescent="0.2">
      <c r="B1282" s="14"/>
      <c r="C1282" s="2"/>
      <c r="E1282" s="2"/>
      <c r="F1282" s="2"/>
      <c r="G1282" s="2"/>
      <c r="H1282" s="2"/>
      <c r="I1282" s="2"/>
      <c r="J1282" s="2"/>
      <c r="K1282" s="2"/>
      <c r="L1282" s="2"/>
      <c r="M1282" s="2"/>
      <c r="N1282" s="2"/>
      <c r="O1282" s="7"/>
      <c r="P1282" s="8"/>
      <c r="Q1282" s="9"/>
      <c r="R1282" s="7"/>
      <c r="S1282" s="8"/>
      <c r="T1282" s="10"/>
      <c r="U1282" s="2"/>
      <c r="V1282" s="2"/>
    </row>
    <row r="1283" spans="2:22" x14ac:dyDescent="0.2">
      <c r="B1283" s="14"/>
      <c r="C1283" s="2"/>
      <c r="E1283" s="2"/>
      <c r="F1283" s="2"/>
      <c r="G1283" s="2"/>
      <c r="H1283" s="2"/>
      <c r="I1283" s="2"/>
      <c r="J1283" s="2"/>
      <c r="K1283" s="2"/>
      <c r="L1283" s="2"/>
      <c r="M1283" s="2"/>
      <c r="N1283" s="2"/>
      <c r="O1283" s="7"/>
      <c r="P1283" s="8"/>
      <c r="Q1283" s="9"/>
      <c r="R1283" s="7"/>
      <c r="S1283" s="8"/>
      <c r="T1283" s="10"/>
      <c r="U1283" s="2"/>
      <c r="V1283" s="2"/>
    </row>
    <row r="1284" spans="2:22" x14ac:dyDescent="0.2">
      <c r="B1284" s="14"/>
      <c r="C1284" s="2"/>
      <c r="E1284" s="2"/>
      <c r="F1284" s="2"/>
      <c r="G1284" s="2"/>
      <c r="H1284" s="2"/>
      <c r="I1284" s="2"/>
      <c r="J1284" s="2"/>
      <c r="K1284" s="2"/>
      <c r="L1284" s="2"/>
      <c r="M1284" s="2"/>
      <c r="N1284" s="2"/>
      <c r="O1284" s="7"/>
      <c r="P1284" s="8"/>
      <c r="Q1284" s="9"/>
      <c r="R1284" s="7"/>
      <c r="S1284" s="8"/>
      <c r="T1284" s="10"/>
      <c r="U1284" s="2"/>
      <c r="V1284" s="2"/>
    </row>
    <row r="1285" spans="2:22" x14ac:dyDescent="0.2">
      <c r="B1285" s="14"/>
      <c r="C1285" s="2"/>
      <c r="E1285" s="2"/>
      <c r="F1285" s="2"/>
      <c r="G1285" s="2"/>
      <c r="H1285" s="2"/>
      <c r="I1285" s="2"/>
      <c r="J1285" s="2"/>
      <c r="K1285" s="2"/>
      <c r="L1285" s="2"/>
      <c r="M1285" s="2"/>
      <c r="N1285" s="2"/>
      <c r="O1285" s="7"/>
      <c r="P1285" s="8"/>
      <c r="Q1285" s="9"/>
      <c r="R1285" s="7"/>
      <c r="S1285" s="8"/>
      <c r="T1285" s="10"/>
      <c r="U1285" s="2"/>
      <c r="V1285" s="2"/>
    </row>
    <row r="1286" spans="2:22" x14ac:dyDescent="0.2">
      <c r="B1286" s="14"/>
      <c r="C1286" s="2"/>
      <c r="E1286" s="2"/>
      <c r="F1286" s="2"/>
      <c r="G1286" s="2"/>
      <c r="H1286" s="2"/>
      <c r="I1286" s="2"/>
      <c r="J1286" s="2"/>
      <c r="K1286" s="2"/>
      <c r="L1286" s="2"/>
      <c r="M1286" s="2"/>
      <c r="N1286" s="2"/>
      <c r="O1286" s="7"/>
      <c r="P1286" s="8"/>
      <c r="Q1286" s="9"/>
      <c r="R1286" s="7"/>
      <c r="S1286" s="8"/>
      <c r="T1286" s="10"/>
      <c r="U1286" s="2"/>
      <c r="V1286" s="2"/>
    </row>
    <row r="1287" spans="2:22" x14ac:dyDescent="0.2">
      <c r="B1287" s="14"/>
      <c r="C1287" s="2"/>
      <c r="E1287" s="2"/>
      <c r="F1287" s="2"/>
      <c r="G1287" s="2"/>
      <c r="H1287" s="2"/>
      <c r="I1287" s="2"/>
      <c r="J1287" s="2"/>
      <c r="K1287" s="2"/>
      <c r="L1287" s="2"/>
      <c r="M1287" s="2"/>
      <c r="N1287" s="2"/>
      <c r="O1287" s="7"/>
      <c r="P1287" s="8"/>
      <c r="Q1287" s="9"/>
      <c r="R1287" s="7"/>
      <c r="S1287" s="8"/>
      <c r="T1287" s="10"/>
      <c r="U1287" s="2"/>
      <c r="V1287" s="2"/>
    </row>
    <row r="1288" spans="2:22" x14ac:dyDescent="0.2">
      <c r="B1288" s="14"/>
      <c r="C1288" s="2"/>
      <c r="E1288" s="2"/>
      <c r="F1288" s="2"/>
      <c r="G1288" s="2"/>
      <c r="H1288" s="2"/>
      <c r="I1288" s="2"/>
      <c r="J1288" s="2"/>
      <c r="K1288" s="2"/>
      <c r="L1288" s="2"/>
      <c r="M1288" s="2"/>
      <c r="N1288" s="2"/>
      <c r="O1288" s="7"/>
      <c r="P1288" s="8"/>
      <c r="Q1288" s="9"/>
      <c r="R1288" s="7"/>
      <c r="S1288" s="8"/>
      <c r="T1288" s="10"/>
      <c r="U1288" s="2"/>
      <c r="V1288" s="2"/>
    </row>
    <row r="1289" spans="2:22" x14ac:dyDescent="0.2">
      <c r="B1289" s="14"/>
      <c r="C1289" s="2"/>
      <c r="E1289" s="2"/>
      <c r="F1289" s="2"/>
      <c r="G1289" s="2"/>
      <c r="H1289" s="2"/>
      <c r="I1289" s="2"/>
      <c r="J1289" s="2"/>
      <c r="K1289" s="2"/>
      <c r="L1289" s="2"/>
      <c r="M1289" s="2"/>
      <c r="N1289" s="2"/>
      <c r="O1289" s="7"/>
      <c r="P1289" s="8"/>
      <c r="Q1289" s="9"/>
      <c r="R1289" s="7"/>
      <c r="S1289" s="8"/>
      <c r="T1289" s="10"/>
      <c r="U1289" s="2"/>
      <c r="V1289" s="2"/>
    </row>
    <row r="1290" spans="2:22" x14ac:dyDescent="0.2">
      <c r="B1290" s="14"/>
      <c r="C1290" s="2"/>
      <c r="E1290" s="2"/>
      <c r="F1290" s="2"/>
      <c r="G1290" s="2"/>
      <c r="H1290" s="2"/>
      <c r="I1290" s="2"/>
      <c r="J1290" s="2"/>
      <c r="K1290" s="2"/>
      <c r="L1290" s="2"/>
      <c r="M1290" s="2"/>
      <c r="N1290" s="2"/>
      <c r="O1290" s="7"/>
      <c r="P1290" s="8"/>
      <c r="Q1290" s="9"/>
      <c r="R1290" s="7"/>
      <c r="S1290" s="8"/>
      <c r="T1290" s="10"/>
      <c r="U1290" s="2"/>
      <c r="V1290" s="2"/>
    </row>
    <row r="1291" spans="2:22" x14ac:dyDescent="0.2">
      <c r="B1291" s="14"/>
      <c r="C1291" s="2"/>
      <c r="E1291" s="2"/>
      <c r="F1291" s="2"/>
      <c r="G1291" s="2"/>
      <c r="H1291" s="2"/>
      <c r="I1291" s="2"/>
      <c r="J1291" s="2"/>
      <c r="K1291" s="2"/>
      <c r="L1291" s="2"/>
      <c r="M1291" s="2"/>
      <c r="N1291" s="2"/>
      <c r="O1291" s="7"/>
      <c r="P1291" s="8"/>
      <c r="Q1291" s="9"/>
      <c r="R1291" s="7"/>
      <c r="S1291" s="8"/>
      <c r="T1291" s="10"/>
      <c r="U1291" s="2"/>
      <c r="V1291" s="2"/>
    </row>
    <row r="1292" spans="2:22" x14ac:dyDescent="0.2">
      <c r="B1292" s="14"/>
      <c r="C1292" s="2"/>
      <c r="E1292" s="2"/>
      <c r="F1292" s="2"/>
      <c r="G1292" s="2"/>
      <c r="H1292" s="2"/>
      <c r="I1292" s="2"/>
      <c r="J1292" s="2"/>
      <c r="K1292" s="2"/>
      <c r="L1292" s="2"/>
      <c r="M1292" s="2"/>
      <c r="N1292" s="2"/>
      <c r="O1292" s="7"/>
      <c r="P1292" s="8"/>
      <c r="Q1292" s="9"/>
      <c r="R1292" s="7"/>
      <c r="S1292" s="8"/>
      <c r="T1292" s="10"/>
      <c r="U1292" s="2"/>
      <c r="V1292" s="2"/>
    </row>
    <row r="1293" spans="2:22" x14ac:dyDescent="0.2">
      <c r="B1293" s="14"/>
      <c r="C1293" s="2"/>
      <c r="E1293" s="2"/>
      <c r="F1293" s="2"/>
      <c r="G1293" s="2"/>
      <c r="H1293" s="2"/>
      <c r="I1293" s="2"/>
      <c r="J1293" s="2"/>
      <c r="K1293" s="2"/>
      <c r="L1293" s="2"/>
      <c r="M1293" s="2"/>
      <c r="N1293" s="2"/>
      <c r="O1293" s="7"/>
      <c r="P1293" s="8"/>
      <c r="Q1293" s="9"/>
      <c r="R1293" s="7"/>
      <c r="S1293" s="8"/>
      <c r="T1293" s="10"/>
      <c r="U1293" s="2"/>
      <c r="V1293" s="2"/>
    </row>
    <row r="1294" spans="2:22" x14ac:dyDescent="0.2">
      <c r="B1294" s="14"/>
      <c r="C1294" s="2"/>
      <c r="E1294" s="2"/>
      <c r="F1294" s="2"/>
      <c r="G1294" s="2"/>
      <c r="H1294" s="2"/>
      <c r="I1294" s="2"/>
      <c r="J1294" s="2"/>
      <c r="K1294" s="2"/>
      <c r="L1294" s="2"/>
      <c r="M1294" s="2"/>
      <c r="N1294" s="2"/>
      <c r="O1294" s="7"/>
      <c r="P1294" s="8"/>
      <c r="Q1294" s="9"/>
      <c r="R1294" s="7"/>
      <c r="S1294" s="8"/>
      <c r="T1294" s="10"/>
      <c r="U1294" s="2"/>
      <c r="V1294" s="2"/>
    </row>
    <row r="1295" spans="2:22" x14ac:dyDescent="0.2">
      <c r="B1295" s="14"/>
      <c r="C1295" s="2"/>
      <c r="E1295" s="2"/>
      <c r="F1295" s="2"/>
      <c r="G1295" s="2"/>
      <c r="H1295" s="2"/>
      <c r="I1295" s="2"/>
      <c r="J1295" s="2"/>
      <c r="K1295" s="2"/>
      <c r="L1295" s="2"/>
      <c r="M1295" s="2"/>
      <c r="N1295" s="2"/>
      <c r="O1295" s="7"/>
      <c r="P1295" s="8"/>
      <c r="Q1295" s="9"/>
      <c r="R1295" s="7"/>
      <c r="S1295" s="8"/>
      <c r="T1295" s="10"/>
      <c r="U1295" s="2"/>
      <c r="V1295" s="2"/>
    </row>
    <row r="1296" spans="2:22" x14ac:dyDescent="0.2">
      <c r="B1296" s="14"/>
      <c r="C1296" s="2"/>
      <c r="E1296" s="2"/>
      <c r="F1296" s="2"/>
      <c r="G1296" s="2"/>
      <c r="H1296" s="2"/>
      <c r="I1296" s="2"/>
      <c r="J1296" s="2"/>
      <c r="K1296" s="2"/>
      <c r="L1296" s="2"/>
      <c r="M1296" s="2"/>
      <c r="N1296" s="2"/>
      <c r="O1296" s="7"/>
      <c r="P1296" s="8"/>
      <c r="Q1296" s="9"/>
      <c r="R1296" s="7"/>
      <c r="S1296" s="8"/>
      <c r="T1296" s="10"/>
      <c r="U1296" s="2"/>
      <c r="V1296" s="2"/>
    </row>
    <row r="1297" spans="2:22" x14ac:dyDescent="0.2">
      <c r="B1297" s="14"/>
      <c r="C1297" s="2"/>
      <c r="E1297" s="2"/>
      <c r="F1297" s="2"/>
      <c r="G1297" s="2"/>
      <c r="H1297" s="2"/>
      <c r="I1297" s="2"/>
      <c r="J1297" s="2"/>
      <c r="K1297" s="2"/>
      <c r="L1297" s="2"/>
      <c r="M1297" s="2"/>
      <c r="N1297" s="2"/>
      <c r="O1297" s="7"/>
      <c r="P1297" s="8"/>
      <c r="Q1297" s="9"/>
      <c r="R1297" s="7"/>
      <c r="S1297" s="8"/>
      <c r="T1297" s="10"/>
      <c r="U1297" s="2"/>
      <c r="V1297" s="2"/>
    </row>
    <row r="1298" spans="2:22" x14ac:dyDescent="0.2">
      <c r="B1298" s="14"/>
      <c r="C1298" s="2"/>
      <c r="E1298" s="2"/>
      <c r="F1298" s="2"/>
      <c r="G1298" s="2"/>
      <c r="H1298" s="2"/>
      <c r="I1298" s="2"/>
      <c r="J1298" s="2"/>
      <c r="K1298" s="2"/>
      <c r="L1298" s="2"/>
      <c r="M1298" s="2"/>
      <c r="N1298" s="2"/>
      <c r="O1298" s="7"/>
      <c r="P1298" s="8"/>
      <c r="Q1298" s="9"/>
      <c r="R1298" s="7"/>
      <c r="S1298" s="8"/>
      <c r="T1298" s="10"/>
      <c r="U1298" s="2"/>
      <c r="V1298" s="2"/>
    </row>
    <row r="1299" spans="2:22" x14ac:dyDescent="0.2">
      <c r="B1299" s="14"/>
      <c r="C1299" s="2"/>
      <c r="E1299" s="2"/>
      <c r="F1299" s="2"/>
      <c r="G1299" s="2"/>
      <c r="H1299" s="2"/>
      <c r="I1299" s="2"/>
      <c r="J1299" s="2"/>
      <c r="K1299" s="2"/>
      <c r="L1299" s="2"/>
      <c r="M1299" s="2"/>
      <c r="N1299" s="2"/>
      <c r="O1299" s="7"/>
      <c r="P1299" s="8"/>
      <c r="Q1299" s="9"/>
      <c r="R1299" s="7"/>
      <c r="S1299" s="8"/>
      <c r="T1299" s="10"/>
      <c r="U1299" s="2"/>
      <c r="V1299" s="2"/>
    </row>
    <row r="1300" spans="2:22" x14ac:dyDescent="0.2">
      <c r="B1300" s="14"/>
      <c r="C1300" s="2"/>
      <c r="E1300" s="2"/>
      <c r="F1300" s="2"/>
      <c r="G1300" s="2"/>
      <c r="H1300" s="2"/>
      <c r="I1300" s="2"/>
      <c r="J1300" s="2"/>
      <c r="K1300" s="2"/>
      <c r="L1300" s="2"/>
      <c r="M1300" s="2"/>
      <c r="N1300" s="2"/>
      <c r="O1300" s="7"/>
      <c r="P1300" s="8"/>
      <c r="Q1300" s="9"/>
      <c r="R1300" s="7"/>
      <c r="S1300" s="8"/>
      <c r="T1300" s="10"/>
      <c r="U1300" s="2"/>
      <c r="V1300" s="2"/>
    </row>
    <row r="1301" spans="2:22" x14ac:dyDescent="0.2">
      <c r="B1301" s="14"/>
      <c r="C1301" s="2"/>
      <c r="E1301" s="2"/>
      <c r="F1301" s="2"/>
      <c r="G1301" s="2"/>
      <c r="H1301" s="2"/>
      <c r="I1301" s="2"/>
      <c r="J1301" s="2"/>
      <c r="K1301" s="2"/>
      <c r="L1301" s="2"/>
      <c r="M1301" s="2"/>
      <c r="N1301" s="2"/>
      <c r="O1301" s="7"/>
      <c r="P1301" s="8"/>
      <c r="Q1301" s="9"/>
      <c r="R1301" s="7"/>
      <c r="S1301" s="8"/>
      <c r="T1301" s="10"/>
      <c r="U1301" s="2"/>
      <c r="V1301" s="2"/>
    </row>
    <row r="1302" spans="2:22" x14ac:dyDescent="0.2">
      <c r="B1302" s="14"/>
      <c r="C1302" s="2"/>
      <c r="E1302" s="2"/>
      <c r="F1302" s="2"/>
      <c r="G1302" s="2"/>
      <c r="H1302" s="2"/>
      <c r="I1302" s="2"/>
      <c r="J1302" s="2"/>
      <c r="K1302" s="2"/>
      <c r="L1302" s="2"/>
      <c r="M1302" s="2"/>
      <c r="N1302" s="2"/>
      <c r="O1302" s="7"/>
      <c r="P1302" s="8"/>
      <c r="Q1302" s="9"/>
      <c r="R1302" s="7"/>
      <c r="S1302" s="8"/>
      <c r="T1302" s="10"/>
      <c r="U1302" s="2"/>
      <c r="V1302" s="2"/>
    </row>
    <row r="1303" spans="2:22" x14ac:dyDescent="0.2">
      <c r="B1303" s="14"/>
      <c r="C1303" s="2"/>
      <c r="E1303" s="2"/>
      <c r="F1303" s="2"/>
      <c r="G1303" s="2"/>
      <c r="H1303" s="2"/>
      <c r="I1303" s="2"/>
      <c r="J1303" s="2"/>
      <c r="K1303" s="2"/>
      <c r="L1303" s="2"/>
      <c r="M1303" s="2"/>
      <c r="N1303" s="2"/>
      <c r="O1303" s="7"/>
      <c r="P1303" s="8"/>
      <c r="Q1303" s="9"/>
      <c r="R1303" s="7"/>
      <c r="S1303" s="8"/>
      <c r="T1303" s="10"/>
      <c r="U1303" s="2"/>
      <c r="V1303" s="2"/>
    </row>
    <row r="1304" spans="2:22" x14ac:dyDescent="0.2">
      <c r="B1304" s="14"/>
      <c r="C1304" s="2"/>
      <c r="E1304" s="2"/>
      <c r="F1304" s="2"/>
      <c r="G1304" s="2"/>
      <c r="H1304" s="2"/>
      <c r="I1304" s="2"/>
      <c r="J1304" s="2"/>
      <c r="K1304" s="2"/>
      <c r="L1304" s="2"/>
      <c r="M1304" s="2"/>
      <c r="N1304" s="2"/>
      <c r="O1304" s="7"/>
      <c r="P1304" s="8"/>
      <c r="Q1304" s="9"/>
      <c r="R1304" s="7"/>
      <c r="S1304" s="8"/>
      <c r="T1304" s="10"/>
      <c r="U1304" s="2"/>
      <c r="V1304" s="2"/>
    </row>
    <row r="1305" spans="2:22" x14ac:dyDescent="0.2">
      <c r="B1305" s="14"/>
      <c r="C1305" s="2"/>
      <c r="E1305" s="2"/>
      <c r="F1305" s="2"/>
      <c r="G1305" s="2"/>
      <c r="H1305" s="2"/>
      <c r="I1305" s="2"/>
      <c r="J1305" s="2"/>
      <c r="K1305" s="2"/>
      <c r="L1305" s="2"/>
      <c r="M1305" s="2"/>
      <c r="N1305" s="2"/>
      <c r="O1305" s="7"/>
      <c r="P1305" s="8"/>
      <c r="Q1305" s="9"/>
      <c r="R1305" s="7"/>
      <c r="S1305" s="8"/>
      <c r="T1305" s="10"/>
      <c r="U1305" s="2"/>
      <c r="V1305" s="2"/>
    </row>
    <row r="1306" spans="2:22" x14ac:dyDescent="0.2">
      <c r="B1306" s="14"/>
      <c r="C1306" s="2"/>
      <c r="E1306" s="2"/>
      <c r="F1306" s="2"/>
      <c r="G1306" s="2"/>
      <c r="H1306" s="2"/>
      <c r="I1306" s="2"/>
      <c r="J1306" s="2"/>
      <c r="K1306" s="2"/>
      <c r="L1306" s="2"/>
      <c r="M1306" s="2"/>
      <c r="N1306" s="2"/>
      <c r="O1306" s="7"/>
      <c r="P1306" s="8"/>
      <c r="Q1306" s="9"/>
      <c r="R1306" s="7"/>
      <c r="S1306" s="8"/>
      <c r="T1306" s="10"/>
      <c r="U1306" s="2"/>
      <c r="V1306" s="2"/>
    </row>
    <row r="1307" spans="2:22" x14ac:dyDescent="0.2">
      <c r="B1307" s="14"/>
      <c r="C1307" s="2"/>
      <c r="E1307" s="2"/>
      <c r="F1307" s="2"/>
      <c r="G1307" s="2"/>
      <c r="H1307" s="2"/>
      <c r="I1307" s="2"/>
      <c r="J1307" s="2"/>
      <c r="K1307" s="2"/>
      <c r="L1307" s="2"/>
      <c r="M1307" s="2"/>
      <c r="N1307" s="2"/>
      <c r="O1307" s="7"/>
      <c r="P1307" s="8"/>
      <c r="Q1307" s="9"/>
      <c r="R1307" s="7"/>
      <c r="S1307" s="8"/>
      <c r="T1307" s="10"/>
      <c r="U1307" s="2"/>
      <c r="V1307" s="2"/>
    </row>
    <row r="1308" spans="2:22" x14ac:dyDescent="0.2">
      <c r="B1308" s="14"/>
      <c r="C1308" s="2"/>
      <c r="E1308" s="2"/>
      <c r="F1308" s="2"/>
      <c r="G1308" s="2"/>
      <c r="H1308" s="2"/>
      <c r="I1308" s="2"/>
      <c r="J1308" s="2"/>
      <c r="K1308" s="2"/>
      <c r="L1308" s="2"/>
      <c r="M1308" s="2"/>
      <c r="N1308" s="2"/>
      <c r="O1308" s="7"/>
      <c r="P1308" s="8"/>
      <c r="Q1308" s="9"/>
      <c r="R1308" s="7"/>
      <c r="S1308" s="8"/>
      <c r="T1308" s="10"/>
      <c r="U1308" s="2"/>
      <c r="V1308" s="2"/>
    </row>
    <row r="1309" spans="2:22" x14ac:dyDescent="0.2">
      <c r="B1309" s="14"/>
      <c r="C1309" s="2"/>
      <c r="E1309" s="2"/>
      <c r="F1309" s="2"/>
      <c r="G1309" s="2"/>
      <c r="H1309" s="2"/>
      <c r="I1309" s="2"/>
      <c r="J1309" s="2"/>
      <c r="K1309" s="2"/>
      <c r="L1309" s="2"/>
      <c r="M1309" s="2"/>
      <c r="N1309" s="2"/>
      <c r="O1309" s="7"/>
      <c r="P1309" s="8"/>
      <c r="Q1309" s="9"/>
      <c r="R1309" s="7"/>
      <c r="S1309" s="8"/>
      <c r="T1309" s="10"/>
      <c r="U1309" s="2"/>
      <c r="V1309" s="2"/>
    </row>
    <row r="1310" spans="2:22" x14ac:dyDescent="0.2">
      <c r="B1310" s="14"/>
      <c r="C1310" s="2"/>
      <c r="E1310" s="2"/>
      <c r="F1310" s="2"/>
      <c r="G1310" s="2"/>
      <c r="H1310" s="2"/>
      <c r="I1310" s="2"/>
      <c r="J1310" s="2"/>
      <c r="K1310" s="2"/>
      <c r="L1310" s="2"/>
      <c r="M1310" s="2"/>
      <c r="N1310" s="2"/>
      <c r="O1310" s="7"/>
      <c r="P1310" s="8"/>
      <c r="Q1310" s="9"/>
      <c r="R1310" s="7"/>
      <c r="S1310" s="8"/>
      <c r="T1310" s="10"/>
      <c r="U1310" s="2"/>
      <c r="V1310" s="2"/>
    </row>
    <row r="1311" spans="2:22" x14ac:dyDescent="0.2">
      <c r="B1311" s="14"/>
      <c r="C1311" s="2"/>
      <c r="E1311" s="2"/>
      <c r="F1311" s="2"/>
      <c r="G1311" s="2"/>
      <c r="H1311" s="2"/>
      <c r="I1311" s="2"/>
      <c r="J1311" s="2"/>
      <c r="K1311" s="2"/>
      <c r="L1311" s="2"/>
      <c r="M1311" s="2"/>
      <c r="N1311" s="2"/>
      <c r="O1311" s="7"/>
      <c r="P1311" s="8"/>
      <c r="Q1311" s="9"/>
      <c r="R1311" s="7"/>
      <c r="S1311" s="8"/>
      <c r="T1311" s="10"/>
      <c r="U1311" s="2"/>
      <c r="V1311" s="2"/>
    </row>
    <row r="1312" spans="2:22" x14ac:dyDescent="0.2">
      <c r="B1312" s="14"/>
      <c r="C1312" s="2"/>
      <c r="E1312" s="2"/>
      <c r="F1312" s="2"/>
      <c r="G1312" s="2"/>
      <c r="H1312" s="2"/>
      <c r="I1312" s="2"/>
      <c r="J1312" s="2"/>
      <c r="K1312" s="2"/>
      <c r="L1312" s="2"/>
      <c r="M1312" s="2"/>
      <c r="N1312" s="2"/>
      <c r="O1312" s="7"/>
      <c r="P1312" s="8"/>
      <c r="Q1312" s="9"/>
      <c r="R1312" s="7"/>
      <c r="S1312" s="8"/>
      <c r="T1312" s="10"/>
      <c r="U1312" s="2"/>
      <c r="V1312" s="2"/>
    </row>
    <row r="1313" spans="2:22" x14ac:dyDescent="0.2">
      <c r="B1313" s="14"/>
      <c r="C1313" s="2"/>
      <c r="E1313" s="2"/>
      <c r="F1313" s="2"/>
      <c r="G1313" s="2"/>
      <c r="H1313" s="2"/>
      <c r="I1313" s="2"/>
      <c r="J1313" s="2"/>
      <c r="K1313" s="2"/>
      <c r="L1313" s="2"/>
      <c r="M1313" s="2"/>
      <c r="N1313" s="2"/>
      <c r="O1313" s="7"/>
      <c r="P1313" s="8"/>
      <c r="Q1313" s="9"/>
      <c r="R1313" s="7"/>
      <c r="S1313" s="8"/>
      <c r="T1313" s="10"/>
      <c r="U1313" s="2"/>
      <c r="V1313" s="2"/>
    </row>
    <row r="1314" spans="2:22" x14ac:dyDescent="0.2">
      <c r="B1314" s="14"/>
      <c r="C1314" s="2"/>
      <c r="E1314" s="2"/>
      <c r="F1314" s="2"/>
      <c r="G1314" s="2"/>
      <c r="H1314" s="2"/>
      <c r="I1314" s="2"/>
      <c r="J1314" s="2"/>
      <c r="K1314" s="2"/>
      <c r="L1314" s="2"/>
      <c r="M1314" s="2"/>
      <c r="N1314" s="2"/>
      <c r="O1314" s="7"/>
      <c r="P1314" s="8"/>
      <c r="Q1314" s="9"/>
      <c r="R1314" s="7"/>
      <c r="S1314" s="8"/>
      <c r="T1314" s="10"/>
      <c r="U1314" s="2"/>
      <c r="V1314" s="2"/>
    </row>
    <row r="1315" spans="2:22" x14ac:dyDescent="0.2">
      <c r="B1315" s="14"/>
      <c r="C1315" s="2"/>
      <c r="E1315" s="2"/>
      <c r="F1315" s="2"/>
      <c r="G1315" s="2"/>
      <c r="H1315" s="2"/>
      <c r="I1315" s="2"/>
      <c r="J1315" s="2"/>
      <c r="K1315" s="2"/>
      <c r="L1315" s="2"/>
      <c r="M1315" s="2"/>
      <c r="N1315" s="2"/>
      <c r="O1315" s="7"/>
      <c r="P1315" s="8"/>
      <c r="Q1315" s="9"/>
      <c r="R1315" s="7"/>
      <c r="S1315" s="8"/>
      <c r="T1315" s="10"/>
      <c r="U1315" s="2"/>
      <c r="V1315" s="2"/>
    </row>
    <row r="1316" spans="2:22" x14ac:dyDescent="0.2">
      <c r="B1316" s="14"/>
      <c r="C1316" s="2"/>
      <c r="E1316" s="2"/>
      <c r="F1316" s="2"/>
      <c r="G1316" s="2"/>
      <c r="H1316" s="2"/>
      <c r="I1316" s="2"/>
      <c r="J1316" s="2"/>
      <c r="K1316" s="2"/>
      <c r="L1316" s="2"/>
      <c r="M1316" s="2"/>
      <c r="N1316" s="2"/>
      <c r="O1316" s="7"/>
      <c r="P1316" s="8"/>
      <c r="Q1316" s="9"/>
      <c r="R1316" s="7"/>
      <c r="S1316" s="8"/>
      <c r="T1316" s="10"/>
      <c r="U1316" s="2"/>
      <c r="V1316" s="2"/>
    </row>
    <row r="1317" spans="2:22" x14ac:dyDescent="0.2">
      <c r="B1317" s="14"/>
      <c r="C1317" s="2"/>
      <c r="E1317" s="2"/>
      <c r="F1317" s="2"/>
      <c r="G1317" s="2"/>
      <c r="H1317" s="2"/>
      <c r="I1317" s="2"/>
      <c r="J1317" s="2"/>
      <c r="K1317" s="2"/>
      <c r="L1317" s="2"/>
      <c r="M1317" s="2"/>
      <c r="N1317" s="2"/>
      <c r="O1317" s="7"/>
      <c r="P1317" s="8"/>
      <c r="Q1317" s="9"/>
      <c r="R1317" s="7"/>
      <c r="S1317" s="8"/>
      <c r="T1317" s="10"/>
      <c r="U1317" s="2"/>
      <c r="V1317" s="2"/>
    </row>
    <row r="1318" spans="2:22" x14ac:dyDescent="0.2">
      <c r="B1318" s="14"/>
      <c r="C1318" s="2"/>
      <c r="E1318" s="2"/>
      <c r="F1318" s="2"/>
      <c r="G1318" s="2"/>
      <c r="H1318" s="2"/>
      <c r="I1318" s="2"/>
      <c r="J1318" s="2"/>
      <c r="K1318" s="2"/>
      <c r="L1318" s="2"/>
      <c r="M1318" s="2"/>
      <c r="N1318" s="2"/>
      <c r="O1318" s="7"/>
      <c r="P1318" s="8"/>
      <c r="Q1318" s="9"/>
      <c r="R1318" s="7"/>
      <c r="S1318" s="8"/>
      <c r="T1318" s="10"/>
      <c r="U1318" s="2"/>
      <c r="V1318" s="2"/>
    </row>
    <row r="1319" spans="2:22" x14ac:dyDescent="0.2">
      <c r="B1319" s="14"/>
      <c r="C1319" s="2"/>
      <c r="E1319" s="2"/>
      <c r="F1319" s="2"/>
      <c r="G1319" s="2"/>
      <c r="H1319" s="2"/>
      <c r="I1319" s="2"/>
      <c r="J1319" s="2"/>
      <c r="K1319" s="2"/>
      <c r="L1319" s="2"/>
      <c r="M1319" s="2"/>
      <c r="N1319" s="2"/>
      <c r="O1319" s="7"/>
      <c r="P1319" s="8"/>
      <c r="Q1319" s="9"/>
      <c r="R1319" s="7"/>
      <c r="S1319" s="8"/>
      <c r="T1319" s="10"/>
      <c r="U1319" s="2"/>
      <c r="V1319" s="2"/>
    </row>
    <row r="1320" spans="2:22" x14ac:dyDescent="0.2">
      <c r="B1320" s="14"/>
      <c r="C1320" s="2"/>
      <c r="E1320" s="2"/>
      <c r="F1320" s="2"/>
      <c r="G1320" s="2"/>
      <c r="H1320" s="2"/>
      <c r="I1320" s="2"/>
      <c r="J1320" s="2"/>
      <c r="K1320" s="2"/>
      <c r="L1320" s="2"/>
      <c r="M1320" s="2"/>
      <c r="N1320" s="2"/>
      <c r="O1320" s="7"/>
      <c r="P1320" s="8"/>
      <c r="Q1320" s="9"/>
      <c r="R1320" s="7"/>
      <c r="S1320" s="8"/>
      <c r="T1320" s="10"/>
      <c r="U1320" s="2"/>
      <c r="V1320" s="2"/>
    </row>
    <row r="1321" spans="2:22" x14ac:dyDescent="0.2">
      <c r="B1321" s="14"/>
      <c r="C1321" s="2"/>
      <c r="E1321" s="2"/>
      <c r="F1321" s="2"/>
      <c r="G1321" s="2"/>
      <c r="H1321" s="2"/>
      <c r="I1321" s="2"/>
      <c r="J1321" s="2"/>
      <c r="K1321" s="2"/>
      <c r="L1321" s="2"/>
      <c r="M1321" s="2"/>
      <c r="N1321" s="2"/>
      <c r="O1321" s="7"/>
      <c r="P1321" s="8"/>
      <c r="Q1321" s="9"/>
      <c r="R1321" s="7"/>
      <c r="S1321" s="8"/>
      <c r="T1321" s="10"/>
      <c r="U1321" s="2"/>
      <c r="V1321" s="2"/>
    </row>
    <row r="1322" spans="2:22" x14ac:dyDescent="0.2">
      <c r="B1322" s="14"/>
      <c r="C1322" s="2"/>
      <c r="E1322" s="2"/>
      <c r="F1322" s="2"/>
      <c r="G1322" s="2"/>
      <c r="H1322" s="2"/>
      <c r="I1322" s="2"/>
      <c r="J1322" s="2"/>
      <c r="K1322" s="2"/>
      <c r="L1322" s="2"/>
      <c r="M1322" s="2"/>
      <c r="N1322" s="2"/>
      <c r="O1322" s="7"/>
      <c r="P1322" s="8"/>
      <c r="Q1322" s="9"/>
      <c r="R1322" s="7"/>
      <c r="S1322" s="8"/>
      <c r="T1322" s="10"/>
      <c r="U1322" s="2"/>
      <c r="V1322" s="2"/>
    </row>
    <row r="1323" spans="2:22" x14ac:dyDescent="0.2">
      <c r="B1323" s="14"/>
      <c r="C1323" s="2"/>
      <c r="E1323" s="2"/>
      <c r="F1323" s="2"/>
      <c r="G1323" s="2"/>
      <c r="H1323" s="2"/>
      <c r="I1323" s="2"/>
      <c r="J1323" s="2"/>
      <c r="K1323" s="2"/>
      <c r="L1323" s="2"/>
      <c r="M1323" s="2"/>
      <c r="N1323" s="2"/>
      <c r="O1323" s="7"/>
      <c r="P1323" s="8"/>
      <c r="Q1323" s="9"/>
      <c r="R1323" s="7"/>
      <c r="S1323" s="8"/>
      <c r="T1323" s="10"/>
      <c r="U1323" s="2"/>
      <c r="V1323" s="2"/>
    </row>
    <row r="1324" spans="2:22" x14ac:dyDescent="0.2">
      <c r="B1324" s="14"/>
      <c r="C1324" s="2"/>
      <c r="E1324" s="2"/>
      <c r="F1324" s="2"/>
      <c r="G1324" s="2"/>
      <c r="H1324" s="2"/>
      <c r="I1324" s="2"/>
      <c r="J1324" s="2"/>
      <c r="K1324" s="2"/>
      <c r="L1324" s="2"/>
      <c r="M1324" s="2"/>
      <c r="N1324" s="2"/>
      <c r="O1324" s="7"/>
      <c r="P1324" s="8"/>
      <c r="Q1324" s="9"/>
      <c r="R1324" s="7"/>
      <c r="S1324" s="8"/>
      <c r="T1324" s="10"/>
      <c r="U1324" s="2"/>
      <c r="V1324" s="2"/>
    </row>
    <row r="1325" spans="2:22" x14ac:dyDescent="0.2">
      <c r="B1325" s="14"/>
      <c r="C1325" s="2"/>
      <c r="E1325" s="2"/>
      <c r="F1325" s="2"/>
      <c r="G1325" s="2"/>
      <c r="H1325" s="2"/>
      <c r="I1325" s="2"/>
      <c r="J1325" s="2"/>
      <c r="K1325" s="2"/>
      <c r="L1325" s="2"/>
      <c r="M1325" s="2"/>
      <c r="N1325" s="2"/>
      <c r="O1325" s="7"/>
      <c r="P1325" s="8"/>
      <c r="Q1325" s="9"/>
      <c r="R1325" s="7"/>
      <c r="S1325" s="8"/>
      <c r="T1325" s="10"/>
      <c r="U1325" s="2"/>
      <c r="V1325" s="2"/>
    </row>
    <row r="1326" spans="2:22" x14ac:dyDescent="0.2">
      <c r="B1326" s="14"/>
      <c r="C1326" s="2"/>
      <c r="E1326" s="2"/>
      <c r="F1326" s="2"/>
      <c r="G1326" s="2"/>
      <c r="H1326" s="2"/>
      <c r="I1326" s="2"/>
      <c r="J1326" s="2"/>
      <c r="K1326" s="2"/>
      <c r="L1326" s="2"/>
      <c r="M1326" s="2"/>
      <c r="N1326" s="2"/>
      <c r="O1326" s="7"/>
      <c r="P1326" s="8"/>
      <c r="Q1326" s="9"/>
      <c r="R1326" s="7"/>
      <c r="S1326" s="8"/>
      <c r="T1326" s="10"/>
      <c r="U1326" s="2"/>
      <c r="V1326" s="2"/>
    </row>
    <row r="1327" spans="2:22" x14ac:dyDescent="0.2">
      <c r="B1327" s="14"/>
      <c r="C1327" s="2"/>
      <c r="E1327" s="2"/>
      <c r="F1327" s="2"/>
      <c r="G1327" s="2"/>
      <c r="H1327" s="2"/>
      <c r="I1327" s="2"/>
      <c r="J1327" s="2"/>
      <c r="K1327" s="2"/>
      <c r="L1327" s="2"/>
      <c r="M1327" s="2"/>
      <c r="N1327" s="2"/>
      <c r="O1327" s="7"/>
      <c r="P1327" s="8"/>
      <c r="Q1327" s="9"/>
      <c r="R1327" s="7"/>
      <c r="S1327" s="8"/>
      <c r="T1327" s="10"/>
      <c r="U1327" s="2"/>
      <c r="V1327" s="2"/>
    </row>
    <row r="1328" spans="2:22" x14ac:dyDescent="0.2">
      <c r="B1328" s="14"/>
      <c r="C1328" s="2"/>
      <c r="E1328" s="2"/>
      <c r="F1328" s="2"/>
      <c r="G1328" s="2"/>
      <c r="H1328" s="2"/>
      <c r="I1328" s="2"/>
      <c r="J1328" s="2"/>
      <c r="K1328" s="2"/>
      <c r="L1328" s="2"/>
      <c r="M1328" s="2"/>
      <c r="N1328" s="2"/>
      <c r="O1328" s="7"/>
      <c r="P1328" s="8"/>
      <c r="Q1328" s="9"/>
      <c r="R1328" s="7"/>
      <c r="S1328" s="8"/>
      <c r="T1328" s="10"/>
      <c r="U1328" s="2"/>
      <c r="V1328" s="2"/>
    </row>
    <row r="1329" spans="2:22" x14ac:dyDescent="0.2">
      <c r="B1329" s="14"/>
      <c r="C1329" s="2"/>
      <c r="E1329" s="2"/>
      <c r="F1329" s="2"/>
      <c r="G1329" s="2"/>
      <c r="H1329" s="2"/>
      <c r="I1329" s="2"/>
      <c r="J1329" s="2"/>
      <c r="K1329" s="2"/>
      <c r="L1329" s="2"/>
      <c r="M1329" s="2"/>
      <c r="N1329" s="2"/>
      <c r="O1329" s="7"/>
      <c r="P1329" s="8"/>
      <c r="Q1329" s="9"/>
      <c r="R1329" s="7"/>
      <c r="S1329" s="8"/>
      <c r="T1329" s="10"/>
      <c r="U1329" s="2"/>
      <c r="V1329" s="2"/>
    </row>
    <row r="1330" spans="2:22" x14ac:dyDescent="0.2">
      <c r="B1330" s="14"/>
      <c r="C1330" s="2"/>
      <c r="E1330" s="2"/>
      <c r="F1330" s="2"/>
      <c r="G1330" s="2"/>
      <c r="H1330" s="2"/>
      <c r="I1330" s="2"/>
      <c r="J1330" s="2"/>
      <c r="K1330" s="2"/>
      <c r="L1330" s="2"/>
      <c r="M1330" s="2"/>
      <c r="N1330" s="2"/>
      <c r="O1330" s="7"/>
      <c r="P1330" s="8"/>
      <c r="Q1330" s="9"/>
      <c r="R1330" s="7"/>
      <c r="S1330" s="8"/>
      <c r="T1330" s="10"/>
      <c r="U1330" s="2"/>
      <c r="V1330" s="2"/>
    </row>
    <row r="1331" spans="2:22" x14ac:dyDescent="0.2">
      <c r="B1331" s="14"/>
      <c r="C1331" s="2"/>
      <c r="E1331" s="2"/>
      <c r="F1331" s="2"/>
      <c r="G1331" s="2"/>
      <c r="H1331" s="2"/>
      <c r="I1331" s="2"/>
      <c r="J1331" s="2"/>
      <c r="K1331" s="2"/>
      <c r="L1331" s="2"/>
      <c r="M1331" s="2"/>
      <c r="N1331" s="2"/>
      <c r="O1331" s="7"/>
      <c r="P1331" s="8"/>
      <c r="Q1331" s="9"/>
      <c r="R1331" s="7"/>
      <c r="S1331" s="8"/>
      <c r="T1331" s="10"/>
      <c r="U1331" s="2"/>
      <c r="V1331" s="2"/>
    </row>
    <row r="1332" spans="2:22" x14ac:dyDescent="0.2">
      <c r="B1332" s="14"/>
      <c r="C1332" s="2"/>
      <c r="E1332" s="2"/>
      <c r="F1332" s="2"/>
      <c r="G1332" s="2"/>
      <c r="H1332" s="2"/>
      <c r="I1332" s="2"/>
      <c r="J1332" s="2"/>
      <c r="K1332" s="2"/>
      <c r="L1332" s="2"/>
      <c r="M1332" s="2"/>
      <c r="N1332" s="2"/>
      <c r="O1332" s="7"/>
      <c r="P1332" s="8"/>
      <c r="Q1332" s="9"/>
      <c r="R1332" s="7"/>
      <c r="S1332" s="8"/>
      <c r="T1332" s="10"/>
      <c r="U1332" s="2"/>
      <c r="V1332" s="2"/>
    </row>
    <row r="1333" spans="2:22" x14ac:dyDescent="0.2">
      <c r="B1333" s="14"/>
      <c r="C1333" s="2"/>
      <c r="E1333" s="2"/>
      <c r="F1333" s="2"/>
      <c r="G1333" s="2"/>
      <c r="H1333" s="2"/>
      <c r="I1333" s="2"/>
      <c r="J1333" s="2"/>
      <c r="K1333" s="2"/>
      <c r="L1333" s="2"/>
      <c r="M1333" s="2"/>
      <c r="N1333" s="2"/>
      <c r="O1333" s="7"/>
      <c r="P1333" s="8"/>
      <c r="Q1333" s="9"/>
      <c r="R1333" s="7"/>
      <c r="S1333" s="8"/>
      <c r="T1333" s="10"/>
      <c r="U1333" s="2"/>
      <c r="V1333" s="2"/>
    </row>
    <row r="1334" spans="2:22" x14ac:dyDescent="0.2">
      <c r="B1334" s="14"/>
      <c r="C1334" s="2"/>
      <c r="E1334" s="2"/>
      <c r="F1334" s="2"/>
      <c r="G1334" s="2"/>
      <c r="H1334" s="2"/>
      <c r="I1334" s="2"/>
      <c r="J1334" s="2"/>
      <c r="K1334" s="2"/>
      <c r="L1334" s="2"/>
      <c r="M1334" s="2"/>
      <c r="N1334" s="2"/>
      <c r="O1334" s="7"/>
      <c r="P1334" s="8"/>
      <c r="Q1334" s="9"/>
      <c r="R1334" s="7"/>
      <c r="S1334" s="8"/>
      <c r="T1334" s="10"/>
      <c r="U1334" s="2"/>
      <c r="V1334" s="2"/>
    </row>
    <row r="1335" spans="2:22" x14ac:dyDescent="0.2">
      <c r="B1335" s="14"/>
      <c r="C1335" s="2"/>
      <c r="E1335" s="2"/>
      <c r="F1335" s="2"/>
      <c r="G1335" s="2"/>
      <c r="H1335" s="2"/>
      <c r="I1335" s="2"/>
      <c r="J1335" s="2"/>
      <c r="K1335" s="2"/>
      <c r="L1335" s="2"/>
      <c r="M1335" s="2"/>
      <c r="N1335" s="2"/>
      <c r="O1335" s="7"/>
      <c r="P1335" s="8"/>
      <c r="Q1335" s="9"/>
      <c r="R1335" s="7"/>
      <c r="S1335" s="8"/>
      <c r="T1335" s="10"/>
      <c r="U1335" s="2"/>
      <c r="V1335" s="2"/>
    </row>
    <row r="1336" spans="2:22" x14ac:dyDescent="0.2">
      <c r="B1336" s="14"/>
      <c r="C1336" s="2"/>
      <c r="E1336" s="2"/>
      <c r="F1336" s="2"/>
      <c r="G1336" s="2"/>
      <c r="H1336" s="2"/>
      <c r="I1336" s="2"/>
      <c r="J1336" s="2"/>
      <c r="K1336" s="2"/>
      <c r="L1336" s="2"/>
      <c r="M1336" s="2"/>
      <c r="N1336" s="2"/>
      <c r="O1336" s="7"/>
      <c r="P1336" s="8"/>
      <c r="Q1336" s="9"/>
      <c r="R1336" s="7"/>
      <c r="S1336" s="8"/>
      <c r="T1336" s="10"/>
      <c r="U1336" s="2"/>
      <c r="V1336" s="2"/>
    </row>
    <row r="1337" spans="2:22" x14ac:dyDescent="0.2">
      <c r="B1337" s="14"/>
      <c r="C1337" s="2"/>
      <c r="E1337" s="2"/>
      <c r="F1337" s="2"/>
      <c r="G1337" s="2"/>
      <c r="H1337" s="2"/>
      <c r="I1337" s="2"/>
      <c r="J1337" s="2"/>
      <c r="K1337" s="2"/>
      <c r="L1337" s="2"/>
      <c r="M1337" s="2"/>
      <c r="N1337" s="2"/>
      <c r="O1337" s="7"/>
      <c r="P1337" s="8"/>
      <c r="Q1337" s="9"/>
      <c r="R1337" s="7"/>
      <c r="S1337" s="8"/>
      <c r="T1337" s="10"/>
      <c r="U1337" s="2"/>
      <c r="V1337" s="2"/>
    </row>
    <row r="1338" spans="2:22" x14ac:dyDescent="0.2">
      <c r="B1338" s="14"/>
      <c r="C1338" s="2"/>
      <c r="E1338" s="2"/>
      <c r="F1338" s="2"/>
      <c r="G1338" s="2"/>
      <c r="H1338" s="2"/>
      <c r="I1338" s="2"/>
      <c r="J1338" s="2"/>
      <c r="K1338" s="2"/>
      <c r="L1338" s="2"/>
      <c r="M1338" s="2"/>
      <c r="N1338" s="2"/>
      <c r="O1338" s="7"/>
      <c r="P1338" s="8"/>
      <c r="Q1338" s="9"/>
      <c r="R1338" s="7"/>
      <c r="S1338" s="8"/>
      <c r="T1338" s="10"/>
      <c r="U1338" s="2"/>
      <c r="V1338" s="2"/>
    </row>
    <row r="1339" spans="2:22" x14ac:dyDescent="0.2">
      <c r="B1339" s="14"/>
      <c r="C1339" s="2"/>
      <c r="E1339" s="2"/>
      <c r="F1339" s="2"/>
      <c r="G1339" s="2"/>
      <c r="H1339" s="2"/>
      <c r="I1339" s="2"/>
      <c r="J1339" s="2"/>
      <c r="K1339" s="2"/>
      <c r="L1339" s="2"/>
      <c r="M1339" s="2"/>
      <c r="N1339" s="2"/>
      <c r="O1339" s="7"/>
      <c r="P1339" s="8"/>
      <c r="Q1339" s="9"/>
      <c r="R1339" s="7"/>
      <c r="S1339" s="8"/>
      <c r="T1339" s="10"/>
      <c r="U1339" s="2"/>
      <c r="V1339" s="2"/>
    </row>
    <row r="1340" spans="2:22" x14ac:dyDescent="0.2">
      <c r="B1340" s="14"/>
      <c r="C1340" s="2"/>
      <c r="E1340" s="2"/>
      <c r="F1340" s="2"/>
      <c r="G1340" s="2"/>
      <c r="H1340" s="2"/>
      <c r="I1340" s="2"/>
      <c r="J1340" s="2"/>
      <c r="K1340" s="2"/>
      <c r="L1340" s="2"/>
      <c r="M1340" s="2"/>
      <c r="N1340" s="2"/>
      <c r="O1340" s="7"/>
      <c r="P1340" s="8"/>
      <c r="Q1340" s="9"/>
      <c r="R1340" s="7"/>
      <c r="S1340" s="8"/>
      <c r="T1340" s="10"/>
      <c r="U1340" s="2"/>
      <c r="V1340" s="2"/>
    </row>
    <row r="1341" spans="2:22" x14ac:dyDescent="0.2">
      <c r="B1341" s="14"/>
      <c r="C1341" s="2"/>
      <c r="E1341" s="2"/>
      <c r="F1341" s="2"/>
      <c r="G1341" s="2"/>
      <c r="H1341" s="2"/>
      <c r="I1341" s="2"/>
      <c r="J1341" s="2"/>
      <c r="K1341" s="2"/>
      <c r="L1341" s="2"/>
      <c r="M1341" s="2"/>
      <c r="N1341" s="2"/>
      <c r="O1341" s="7"/>
      <c r="P1341" s="8"/>
      <c r="Q1341" s="9"/>
      <c r="R1341" s="7"/>
      <c r="S1341" s="8"/>
      <c r="T1341" s="10"/>
      <c r="U1341" s="2"/>
      <c r="V1341" s="2"/>
    </row>
    <row r="1342" spans="2:22" x14ac:dyDescent="0.2">
      <c r="B1342" s="14"/>
      <c r="C1342" s="2"/>
      <c r="E1342" s="2"/>
      <c r="F1342" s="2"/>
      <c r="G1342" s="2"/>
      <c r="H1342" s="2"/>
      <c r="I1342" s="2"/>
      <c r="J1342" s="2"/>
      <c r="K1342" s="2"/>
      <c r="L1342" s="2"/>
      <c r="M1342" s="2"/>
      <c r="N1342" s="2"/>
      <c r="O1342" s="7"/>
      <c r="P1342" s="8"/>
      <c r="Q1342" s="9"/>
      <c r="R1342" s="7"/>
      <c r="S1342" s="8"/>
      <c r="T1342" s="10"/>
      <c r="U1342" s="2"/>
      <c r="V1342" s="2"/>
    </row>
    <row r="1343" spans="2:22" x14ac:dyDescent="0.2">
      <c r="B1343" s="14"/>
      <c r="C1343" s="2"/>
      <c r="E1343" s="2"/>
      <c r="F1343" s="2"/>
      <c r="G1343" s="2"/>
      <c r="H1343" s="2"/>
      <c r="I1343" s="2"/>
      <c r="J1343" s="2"/>
      <c r="K1343" s="2"/>
      <c r="L1343" s="2"/>
      <c r="M1343" s="2"/>
      <c r="N1343" s="2"/>
      <c r="O1343" s="7"/>
      <c r="P1343" s="8"/>
      <c r="Q1343" s="9"/>
      <c r="R1343" s="7"/>
      <c r="S1343" s="8"/>
      <c r="T1343" s="10"/>
      <c r="U1343" s="2"/>
      <c r="V1343" s="2"/>
    </row>
    <row r="1344" spans="2:22" x14ac:dyDescent="0.2">
      <c r="B1344" s="14"/>
      <c r="C1344" s="2"/>
      <c r="E1344" s="2"/>
      <c r="F1344" s="2"/>
      <c r="G1344" s="2"/>
      <c r="H1344" s="2"/>
      <c r="I1344" s="2"/>
      <c r="J1344" s="2"/>
      <c r="K1344" s="2"/>
      <c r="L1344" s="2"/>
      <c r="M1344" s="2"/>
      <c r="N1344" s="2"/>
      <c r="O1344" s="7"/>
      <c r="P1344" s="8"/>
      <c r="Q1344" s="9"/>
      <c r="R1344" s="7"/>
      <c r="S1344" s="8"/>
      <c r="T1344" s="10"/>
      <c r="U1344" s="2"/>
      <c r="V1344" s="2"/>
    </row>
    <row r="1345" spans="2:22" x14ac:dyDescent="0.2">
      <c r="B1345" s="14"/>
      <c r="C1345" s="2"/>
      <c r="E1345" s="2"/>
      <c r="F1345" s="2"/>
      <c r="G1345" s="2"/>
      <c r="H1345" s="2"/>
      <c r="I1345" s="2"/>
      <c r="J1345" s="2"/>
      <c r="K1345" s="2"/>
      <c r="L1345" s="2"/>
      <c r="M1345" s="2"/>
      <c r="N1345" s="2"/>
      <c r="O1345" s="7"/>
      <c r="P1345" s="8"/>
      <c r="Q1345" s="9"/>
      <c r="R1345" s="7"/>
      <c r="S1345" s="8"/>
      <c r="T1345" s="10"/>
      <c r="U1345" s="2"/>
      <c r="V1345" s="2"/>
    </row>
    <row r="1346" spans="2:22" x14ac:dyDescent="0.2">
      <c r="B1346" s="14"/>
      <c r="C1346" s="2"/>
      <c r="E1346" s="2"/>
      <c r="F1346" s="2"/>
      <c r="G1346" s="2"/>
      <c r="H1346" s="2"/>
      <c r="I1346" s="2"/>
      <c r="J1346" s="2"/>
      <c r="K1346" s="2"/>
      <c r="L1346" s="2"/>
      <c r="M1346" s="2"/>
      <c r="N1346" s="2"/>
      <c r="O1346" s="7"/>
      <c r="P1346" s="8"/>
      <c r="Q1346" s="9"/>
      <c r="R1346" s="7"/>
      <c r="S1346" s="8"/>
      <c r="T1346" s="10"/>
      <c r="U1346" s="2"/>
      <c r="V1346" s="2"/>
    </row>
    <row r="1347" spans="2:22" x14ac:dyDescent="0.2">
      <c r="B1347" s="14"/>
      <c r="C1347" s="2"/>
      <c r="E1347" s="2"/>
      <c r="F1347" s="2"/>
      <c r="G1347" s="2"/>
      <c r="H1347" s="2"/>
      <c r="I1347" s="2"/>
      <c r="J1347" s="2"/>
      <c r="K1347" s="2"/>
      <c r="L1347" s="2"/>
      <c r="M1347" s="2"/>
      <c r="N1347" s="2"/>
      <c r="O1347" s="7"/>
      <c r="P1347" s="8"/>
      <c r="Q1347" s="9"/>
      <c r="R1347" s="7"/>
      <c r="S1347" s="8"/>
      <c r="T1347" s="10"/>
      <c r="U1347" s="2"/>
      <c r="V1347" s="2"/>
    </row>
    <row r="1348" spans="2:22" x14ac:dyDescent="0.2">
      <c r="B1348" s="14"/>
      <c r="C1348" s="2"/>
      <c r="E1348" s="2"/>
      <c r="F1348" s="2"/>
      <c r="G1348" s="2"/>
      <c r="H1348" s="2"/>
      <c r="I1348" s="2"/>
      <c r="J1348" s="2"/>
      <c r="K1348" s="2"/>
      <c r="L1348" s="2"/>
      <c r="M1348" s="2"/>
      <c r="N1348" s="2"/>
      <c r="O1348" s="7"/>
      <c r="P1348" s="8"/>
      <c r="Q1348" s="9"/>
      <c r="R1348" s="7"/>
      <c r="S1348" s="8"/>
      <c r="T1348" s="10"/>
      <c r="U1348" s="2"/>
      <c r="V1348" s="2"/>
    </row>
    <row r="1349" spans="2:22" x14ac:dyDescent="0.2">
      <c r="B1349" s="14"/>
      <c r="C1349" s="2"/>
      <c r="E1349" s="2"/>
      <c r="F1349" s="2"/>
      <c r="G1349" s="2"/>
      <c r="H1349" s="2"/>
      <c r="I1349" s="2"/>
      <c r="J1349" s="2"/>
      <c r="K1349" s="2"/>
      <c r="L1349" s="2"/>
      <c r="M1349" s="2"/>
      <c r="N1349" s="2"/>
      <c r="O1349" s="7"/>
      <c r="P1349" s="8"/>
      <c r="Q1349" s="9"/>
      <c r="R1349" s="7"/>
      <c r="S1349" s="8"/>
      <c r="T1349" s="10"/>
      <c r="U1349" s="2"/>
      <c r="V1349" s="2"/>
    </row>
    <row r="1350" spans="2:22" x14ac:dyDescent="0.2">
      <c r="B1350" s="14"/>
      <c r="C1350" s="2"/>
      <c r="E1350" s="2"/>
      <c r="F1350" s="2"/>
      <c r="G1350" s="2"/>
      <c r="H1350" s="2"/>
      <c r="I1350" s="2"/>
      <c r="J1350" s="2"/>
      <c r="K1350" s="2"/>
      <c r="L1350" s="2"/>
      <c r="M1350" s="2"/>
      <c r="N1350" s="2"/>
      <c r="O1350" s="7"/>
      <c r="P1350" s="8"/>
      <c r="Q1350" s="9"/>
      <c r="R1350" s="7"/>
      <c r="S1350" s="8"/>
      <c r="T1350" s="10"/>
      <c r="U1350" s="2"/>
      <c r="V1350" s="2"/>
    </row>
    <row r="1351" spans="2:22" x14ac:dyDescent="0.2">
      <c r="B1351" s="14"/>
      <c r="C1351" s="2"/>
      <c r="E1351" s="2"/>
      <c r="F1351" s="2"/>
      <c r="G1351" s="2"/>
      <c r="H1351" s="2"/>
      <c r="I1351" s="2"/>
      <c r="J1351" s="2"/>
      <c r="K1351" s="2"/>
      <c r="L1351" s="2"/>
      <c r="M1351" s="2"/>
      <c r="N1351" s="2"/>
      <c r="O1351" s="7"/>
      <c r="P1351" s="8"/>
      <c r="Q1351" s="9"/>
      <c r="R1351" s="7"/>
      <c r="S1351" s="8"/>
      <c r="T1351" s="10"/>
      <c r="U1351" s="2"/>
      <c r="V1351" s="2"/>
    </row>
    <row r="1352" spans="2:22" x14ac:dyDescent="0.2">
      <c r="B1352" s="14"/>
      <c r="C1352" s="2"/>
      <c r="E1352" s="2"/>
      <c r="F1352" s="2"/>
      <c r="G1352" s="2"/>
      <c r="H1352" s="2"/>
      <c r="I1352" s="2"/>
      <c r="J1352" s="2"/>
      <c r="K1352" s="2"/>
      <c r="L1352" s="2"/>
      <c r="M1352" s="2"/>
      <c r="N1352" s="2"/>
      <c r="O1352" s="7"/>
      <c r="P1352" s="8"/>
      <c r="Q1352" s="9"/>
      <c r="R1352" s="7"/>
      <c r="S1352" s="8"/>
      <c r="T1352" s="10"/>
      <c r="U1352" s="2"/>
      <c r="V1352" s="2"/>
    </row>
    <row r="1353" spans="2:22" x14ac:dyDescent="0.2">
      <c r="B1353" s="14"/>
      <c r="C1353" s="2"/>
      <c r="E1353" s="2"/>
      <c r="F1353" s="2"/>
      <c r="G1353" s="2"/>
      <c r="H1353" s="2"/>
      <c r="I1353" s="2"/>
      <c r="J1353" s="2"/>
      <c r="K1353" s="2"/>
      <c r="L1353" s="2"/>
      <c r="M1353" s="2"/>
      <c r="N1353" s="2"/>
      <c r="O1353" s="7"/>
      <c r="P1353" s="8"/>
      <c r="Q1353" s="9"/>
      <c r="R1353" s="7"/>
      <c r="S1353" s="8"/>
      <c r="T1353" s="10"/>
      <c r="U1353" s="2"/>
      <c r="V1353" s="2"/>
    </row>
    <row r="1354" spans="2:22" x14ac:dyDescent="0.2">
      <c r="B1354" s="14"/>
      <c r="C1354" s="2"/>
      <c r="E1354" s="2"/>
      <c r="F1354" s="2"/>
      <c r="G1354" s="2"/>
      <c r="H1354" s="2"/>
      <c r="I1354" s="2"/>
      <c r="J1354" s="2"/>
      <c r="K1354" s="2"/>
      <c r="L1354" s="2"/>
      <c r="M1354" s="2"/>
      <c r="N1354" s="2"/>
      <c r="O1354" s="7"/>
      <c r="P1354" s="8"/>
      <c r="Q1354" s="9"/>
      <c r="R1354" s="7"/>
      <c r="S1354" s="8"/>
      <c r="T1354" s="10"/>
      <c r="U1354" s="2"/>
      <c r="V1354" s="2"/>
    </row>
    <row r="1355" spans="2:22" x14ac:dyDescent="0.2">
      <c r="B1355" s="14"/>
      <c r="C1355" s="2"/>
      <c r="E1355" s="2"/>
      <c r="F1355" s="2"/>
      <c r="G1355" s="2"/>
      <c r="H1355" s="2"/>
      <c r="I1355" s="2"/>
      <c r="J1355" s="2"/>
      <c r="K1355" s="2"/>
      <c r="L1355" s="2"/>
      <c r="M1355" s="2"/>
      <c r="N1355" s="2"/>
      <c r="O1355" s="7"/>
      <c r="P1355" s="8"/>
      <c r="Q1355" s="9"/>
      <c r="R1355" s="7"/>
      <c r="S1355" s="8"/>
      <c r="T1355" s="10"/>
      <c r="U1355" s="2"/>
      <c r="V1355" s="2"/>
    </row>
    <row r="1356" spans="2:22" x14ac:dyDescent="0.2">
      <c r="B1356" s="14"/>
      <c r="C1356" s="2"/>
      <c r="E1356" s="2"/>
      <c r="F1356" s="2"/>
      <c r="G1356" s="2"/>
      <c r="H1356" s="2"/>
      <c r="I1356" s="2"/>
      <c r="J1356" s="2"/>
      <c r="K1356" s="2"/>
      <c r="L1356" s="2"/>
      <c r="M1356" s="2"/>
      <c r="N1356" s="2"/>
      <c r="O1356" s="7"/>
      <c r="P1356" s="8"/>
      <c r="Q1356" s="9"/>
      <c r="R1356" s="7"/>
      <c r="S1356" s="8"/>
      <c r="T1356" s="10"/>
      <c r="U1356" s="2"/>
      <c r="V1356" s="2"/>
    </row>
    <row r="1357" spans="2:22" x14ac:dyDescent="0.2">
      <c r="B1357" s="14"/>
      <c r="C1357" s="2"/>
      <c r="E1357" s="2"/>
      <c r="F1357" s="2"/>
      <c r="G1357" s="2"/>
      <c r="H1357" s="2"/>
      <c r="I1357" s="2"/>
      <c r="J1357" s="2"/>
      <c r="K1357" s="2"/>
      <c r="L1357" s="2"/>
      <c r="M1357" s="2"/>
      <c r="N1357" s="2"/>
      <c r="O1357" s="7"/>
      <c r="P1357" s="8"/>
      <c r="Q1357" s="9"/>
      <c r="R1357" s="7"/>
      <c r="S1357" s="8"/>
      <c r="T1357" s="10"/>
      <c r="U1357" s="2"/>
      <c r="V1357" s="2"/>
    </row>
    <row r="1358" spans="2:22" x14ac:dyDescent="0.2">
      <c r="B1358" s="14"/>
      <c r="C1358" s="2"/>
      <c r="E1358" s="2"/>
      <c r="F1358" s="2"/>
      <c r="G1358" s="2"/>
      <c r="H1358" s="2"/>
      <c r="I1358" s="2"/>
      <c r="J1358" s="2"/>
      <c r="K1358" s="2"/>
      <c r="L1358" s="2"/>
      <c r="M1358" s="2"/>
      <c r="N1358" s="2"/>
      <c r="O1358" s="7"/>
      <c r="P1358" s="8"/>
      <c r="Q1358" s="9"/>
      <c r="R1358" s="7"/>
      <c r="S1358" s="8"/>
      <c r="T1358" s="10"/>
      <c r="U1358" s="2"/>
      <c r="V1358" s="2"/>
    </row>
    <row r="1359" spans="2:22" x14ac:dyDescent="0.2">
      <c r="B1359" s="14"/>
      <c r="C1359" s="2"/>
      <c r="E1359" s="2"/>
      <c r="F1359" s="2"/>
      <c r="G1359" s="2"/>
      <c r="H1359" s="2"/>
      <c r="I1359" s="2"/>
      <c r="J1359" s="2"/>
      <c r="K1359" s="2"/>
      <c r="L1359" s="2"/>
      <c r="M1359" s="2"/>
      <c r="N1359" s="2"/>
      <c r="O1359" s="7"/>
      <c r="P1359" s="8"/>
      <c r="Q1359" s="9"/>
      <c r="R1359" s="7"/>
      <c r="S1359" s="8"/>
      <c r="T1359" s="10"/>
      <c r="U1359" s="2"/>
      <c r="V1359" s="2"/>
    </row>
    <row r="1360" spans="2:22" x14ac:dyDescent="0.2">
      <c r="B1360" s="14"/>
      <c r="C1360" s="2"/>
      <c r="E1360" s="2"/>
      <c r="F1360" s="2"/>
      <c r="G1360" s="2"/>
      <c r="H1360" s="2"/>
      <c r="I1360" s="2"/>
      <c r="J1360" s="2"/>
      <c r="K1360" s="2"/>
      <c r="L1360" s="2"/>
      <c r="M1360" s="2"/>
      <c r="N1360" s="2"/>
      <c r="O1360" s="7"/>
      <c r="P1360" s="8"/>
      <c r="Q1360" s="9"/>
      <c r="R1360" s="7"/>
      <c r="S1360" s="8"/>
      <c r="T1360" s="10"/>
      <c r="U1360" s="2"/>
      <c r="V1360" s="2"/>
    </row>
    <row r="1361" spans="2:22" x14ac:dyDescent="0.2">
      <c r="B1361" s="14"/>
      <c r="C1361" s="2"/>
      <c r="E1361" s="2"/>
      <c r="F1361" s="2"/>
      <c r="G1361" s="2"/>
      <c r="H1361" s="2"/>
      <c r="I1361" s="2"/>
      <c r="J1361" s="2"/>
      <c r="K1361" s="2"/>
      <c r="L1361" s="2"/>
      <c r="M1361" s="2"/>
      <c r="N1361" s="2"/>
      <c r="O1361" s="7"/>
      <c r="P1361" s="8"/>
      <c r="Q1361" s="9"/>
      <c r="R1361" s="7"/>
      <c r="S1361" s="8"/>
      <c r="T1361" s="10"/>
      <c r="U1361" s="2"/>
      <c r="V1361" s="2"/>
    </row>
    <row r="1362" spans="2:22" x14ac:dyDescent="0.2">
      <c r="B1362" s="14"/>
      <c r="C1362" s="2"/>
      <c r="E1362" s="2"/>
      <c r="F1362" s="2"/>
      <c r="G1362" s="2"/>
      <c r="H1362" s="2"/>
      <c r="I1362" s="2"/>
      <c r="J1362" s="2"/>
      <c r="K1362" s="2"/>
      <c r="L1362" s="2"/>
      <c r="M1362" s="2"/>
      <c r="N1362" s="2"/>
      <c r="O1362" s="7"/>
      <c r="P1362" s="8"/>
      <c r="Q1362" s="9"/>
      <c r="R1362" s="7"/>
      <c r="S1362" s="8"/>
      <c r="T1362" s="10"/>
      <c r="U1362" s="2"/>
      <c r="V1362" s="2"/>
    </row>
    <row r="1363" spans="2:22" x14ac:dyDescent="0.2">
      <c r="B1363" s="14"/>
      <c r="C1363" s="2"/>
      <c r="E1363" s="2"/>
      <c r="F1363" s="2"/>
      <c r="G1363" s="2"/>
      <c r="H1363" s="2"/>
      <c r="I1363" s="2"/>
      <c r="J1363" s="2"/>
      <c r="K1363" s="2"/>
      <c r="L1363" s="2"/>
      <c r="M1363" s="2"/>
      <c r="N1363" s="2"/>
      <c r="O1363" s="7"/>
      <c r="P1363" s="8"/>
      <c r="Q1363" s="9"/>
      <c r="R1363" s="7"/>
      <c r="S1363" s="8"/>
      <c r="T1363" s="10"/>
      <c r="U1363" s="2"/>
      <c r="V1363" s="2"/>
    </row>
    <row r="1364" spans="2:22" x14ac:dyDescent="0.2">
      <c r="B1364" s="14"/>
      <c r="C1364" s="2"/>
      <c r="E1364" s="2"/>
      <c r="F1364" s="2"/>
      <c r="G1364" s="2"/>
      <c r="H1364" s="2"/>
      <c r="I1364" s="2"/>
      <c r="J1364" s="2"/>
      <c r="K1364" s="2"/>
      <c r="L1364" s="2"/>
      <c r="M1364" s="2"/>
      <c r="N1364" s="2"/>
      <c r="O1364" s="7"/>
      <c r="P1364" s="8"/>
      <c r="Q1364" s="9"/>
      <c r="R1364" s="7"/>
      <c r="S1364" s="8"/>
      <c r="T1364" s="10"/>
      <c r="U1364" s="2"/>
      <c r="V1364" s="2"/>
    </row>
    <row r="1365" spans="2:22" x14ac:dyDescent="0.2">
      <c r="B1365" s="14"/>
      <c r="C1365" s="2"/>
      <c r="E1365" s="2"/>
      <c r="F1365" s="2"/>
      <c r="G1365" s="2"/>
      <c r="H1365" s="2"/>
      <c r="I1365" s="2"/>
      <c r="J1365" s="2"/>
      <c r="K1365" s="2"/>
      <c r="L1365" s="2"/>
      <c r="M1365" s="2"/>
      <c r="N1365" s="2"/>
      <c r="O1365" s="7"/>
      <c r="P1365" s="8"/>
      <c r="Q1365" s="9"/>
      <c r="R1365" s="7"/>
      <c r="S1365" s="8"/>
      <c r="T1365" s="10"/>
      <c r="U1365" s="2"/>
      <c r="V1365" s="2"/>
    </row>
    <row r="1366" spans="2:22" x14ac:dyDescent="0.2">
      <c r="B1366" s="14"/>
      <c r="C1366" s="2"/>
      <c r="E1366" s="2"/>
      <c r="F1366" s="2"/>
      <c r="G1366" s="2"/>
      <c r="H1366" s="2"/>
      <c r="I1366" s="2"/>
      <c r="J1366" s="2"/>
      <c r="K1366" s="2"/>
      <c r="L1366" s="2"/>
      <c r="M1366" s="2"/>
      <c r="N1366" s="2"/>
      <c r="O1366" s="7"/>
      <c r="P1366" s="8"/>
      <c r="Q1366" s="9"/>
      <c r="R1366" s="7"/>
      <c r="S1366" s="8"/>
      <c r="T1366" s="10"/>
      <c r="U1366" s="2"/>
      <c r="V1366" s="2"/>
    </row>
    <row r="1367" spans="2:22" x14ac:dyDescent="0.2">
      <c r="B1367" s="14"/>
      <c r="C1367" s="2"/>
      <c r="E1367" s="2"/>
      <c r="F1367" s="2"/>
      <c r="G1367" s="2"/>
      <c r="H1367" s="2"/>
      <c r="I1367" s="2"/>
      <c r="J1367" s="2"/>
      <c r="K1367" s="2"/>
      <c r="L1367" s="2"/>
      <c r="M1367" s="2"/>
      <c r="N1367" s="2"/>
      <c r="O1367" s="7"/>
      <c r="P1367" s="8"/>
      <c r="Q1367" s="9"/>
      <c r="R1367" s="7"/>
      <c r="S1367" s="8"/>
      <c r="T1367" s="10"/>
      <c r="U1367" s="2"/>
      <c r="V1367" s="2"/>
    </row>
    <row r="1368" spans="2:22" x14ac:dyDescent="0.2">
      <c r="B1368" s="14"/>
      <c r="C1368" s="2"/>
      <c r="E1368" s="2"/>
      <c r="F1368" s="2"/>
      <c r="G1368" s="2"/>
      <c r="H1368" s="2"/>
      <c r="I1368" s="2"/>
      <c r="J1368" s="2"/>
      <c r="K1368" s="2"/>
      <c r="L1368" s="2"/>
      <c r="M1368" s="2"/>
      <c r="N1368" s="2"/>
      <c r="O1368" s="7"/>
      <c r="P1368" s="8"/>
      <c r="Q1368" s="9"/>
      <c r="R1368" s="7"/>
      <c r="S1368" s="8"/>
      <c r="T1368" s="10"/>
      <c r="U1368" s="2"/>
      <c r="V1368" s="2"/>
    </row>
    <row r="1369" spans="2:22" x14ac:dyDescent="0.2">
      <c r="B1369" s="14"/>
      <c r="C1369" s="2"/>
      <c r="E1369" s="2"/>
      <c r="F1369" s="2"/>
      <c r="G1369" s="2"/>
      <c r="H1369" s="2"/>
      <c r="I1369" s="2"/>
      <c r="J1369" s="2"/>
      <c r="K1369" s="2"/>
      <c r="L1369" s="2"/>
      <c r="M1369" s="2"/>
      <c r="N1369" s="2"/>
      <c r="O1369" s="7"/>
      <c r="P1369" s="8"/>
      <c r="Q1369" s="9"/>
      <c r="R1369" s="7"/>
      <c r="S1369" s="8"/>
      <c r="T1369" s="10"/>
      <c r="U1369" s="2"/>
      <c r="V1369" s="2"/>
    </row>
    <row r="1370" spans="2:22" x14ac:dyDescent="0.2">
      <c r="B1370" s="14"/>
      <c r="C1370" s="2"/>
      <c r="E1370" s="2"/>
      <c r="F1370" s="2"/>
      <c r="G1370" s="2"/>
      <c r="H1370" s="2"/>
      <c r="I1370" s="2"/>
      <c r="J1370" s="2"/>
      <c r="K1370" s="2"/>
      <c r="L1370" s="2"/>
      <c r="M1370" s="2"/>
      <c r="N1370" s="2"/>
      <c r="O1370" s="7"/>
      <c r="P1370" s="8"/>
      <c r="Q1370" s="9"/>
      <c r="R1370" s="7"/>
      <c r="S1370" s="8"/>
      <c r="T1370" s="10"/>
      <c r="U1370" s="2"/>
      <c r="V1370" s="2"/>
    </row>
    <row r="1371" spans="2:22" x14ac:dyDescent="0.2">
      <c r="B1371" s="14"/>
      <c r="C1371" s="2"/>
      <c r="E1371" s="2"/>
      <c r="F1371" s="2"/>
      <c r="G1371" s="2"/>
      <c r="H1371" s="2"/>
      <c r="I1371" s="2"/>
      <c r="J1371" s="2"/>
      <c r="K1371" s="2"/>
      <c r="L1371" s="2"/>
      <c r="M1371" s="2"/>
      <c r="N1371" s="2"/>
      <c r="O1371" s="7"/>
      <c r="P1371" s="8"/>
      <c r="Q1371" s="9"/>
      <c r="R1371" s="7"/>
      <c r="S1371" s="8"/>
      <c r="T1371" s="10"/>
      <c r="U1371" s="2"/>
      <c r="V1371" s="2"/>
    </row>
    <row r="1372" spans="2:22" x14ac:dyDescent="0.2">
      <c r="B1372" s="14"/>
      <c r="C1372" s="2"/>
      <c r="E1372" s="2"/>
      <c r="F1372" s="2"/>
      <c r="G1372" s="2"/>
      <c r="H1372" s="2"/>
      <c r="I1372" s="2"/>
      <c r="J1372" s="2"/>
      <c r="K1372" s="2"/>
      <c r="L1372" s="2"/>
      <c r="M1372" s="2"/>
      <c r="N1372" s="2"/>
      <c r="O1372" s="7"/>
      <c r="P1372" s="8"/>
      <c r="Q1372" s="9"/>
      <c r="R1372" s="7"/>
      <c r="S1372" s="8"/>
      <c r="T1372" s="10"/>
      <c r="U1372" s="2"/>
      <c r="V1372" s="2"/>
    </row>
    <row r="1373" spans="2:22" x14ac:dyDescent="0.2">
      <c r="B1373" s="14"/>
      <c r="C1373" s="2"/>
      <c r="E1373" s="2"/>
      <c r="F1373" s="2"/>
      <c r="G1373" s="2"/>
      <c r="H1373" s="2"/>
      <c r="I1373" s="2"/>
      <c r="J1373" s="2"/>
      <c r="K1373" s="2"/>
      <c r="L1373" s="2"/>
      <c r="M1373" s="2"/>
      <c r="N1373" s="2"/>
      <c r="O1373" s="7"/>
      <c r="P1373" s="8"/>
      <c r="Q1373" s="9"/>
      <c r="R1373" s="7"/>
      <c r="S1373" s="8"/>
      <c r="T1373" s="10"/>
      <c r="U1373" s="2"/>
      <c r="V1373" s="2"/>
    </row>
    <row r="1374" spans="2:22" x14ac:dyDescent="0.2">
      <c r="B1374" s="14"/>
      <c r="C1374" s="2"/>
      <c r="E1374" s="2"/>
      <c r="F1374" s="2"/>
      <c r="G1374" s="2"/>
      <c r="H1374" s="2"/>
      <c r="I1374" s="2"/>
      <c r="J1374" s="2"/>
      <c r="K1374" s="2"/>
      <c r="L1374" s="2"/>
      <c r="M1374" s="2"/>
      <c r="N1374" s="2"/>
      <c r="O1374" s="7"/>
      <c r="P1374" s="8"/>
      <c r="Q1374" s="9"/>
      <c r="R1374" s="7"/>
      <c r="S1374" s="8"/>
      <c r="T1374" s="10"/>
      <c r="U1374" s="2"/>
      <c r="V1374" s="2"/>
    </row>
    <row r="1375" spans="2:22" x14ac:dyDescent="0.2">
      <c r="B1375" s="14"/>
      <c r="C1375" s="2"/>
      <c r="E1375" s="2"/>
      <c r="F1375" s="2"/>
      <c r="G1375" s="2"/>
      <c r="H1375" s="2"/>
      <c r="I1375" s="2"/>
      <c r="J1375" s="2"/>
      <c r="K1375" s="2"/>
      <c r="L1375" s="2"/>
      <c r="M1375" s="2"/>
      <c r="N1375" s="2"/>
      <c r="O1375" s="7"/>
      <c r="P1375" s="8"/>
      <c r="Q1375" s="9"/>
      <c r="R1375" s="7"/>
      <c r="S1375" s="8"/>
      <c r="T1375" s="10"/>
      <c r="U1375" s="2"/>
      <c r="V1375" s="2"/>
    </row>
    <row r="1376" spans="2:22" x14ac:dyDescent="0.2">
      <c r="B1376" s="14"/>
      <c r="C1376" s="2"/>
      <c r="E1376" s="2"/>
      <c r="F1376" s="2"/>
      <c r="G1376" s="2"/>
      <c r="H1376" s="2"/>
      <c r="I1376" s="2"/>
      <c r="J1376" s="2"/>
      <c r="K1376" s="2"/>
      <c r="L1376" s="2"/>
      <c r="M1376" s="2"/>
      <c r="N1376" s="2"/>
      <c r="O1376" s="7"/>
      <c r="P1376" s="8"/>
      <c r="Q1376" s="9"/>
      <c r="R1376" s="7"/>
      <c r="S1376" s="8"/>
      <c r="T1376" s="10"/>
      <c r="U1376" s="2"/>
      <c r="V1376" s="2"/>
    </row>
    <row r="1377" spans="2:22" x14ac:dyDescent="0.2">
      <c r="B1377" s="14"/>
      <c r="C1377" s="2"/>
      <c r="E1377" s="2"/>
      <c r="F1377" s="2"/>
      <c r="G1377" s="2"/>
      <c r="H1377" s="2"/>
      <c r="I1377" s="2"/>
      <c r="J1377" s="2"/>
      <c r="K1377" s="2"/>
      <c r="L1377" s="2"/>
      <c r="M1377" s="2"/>
      <c r="N1377" s="2"/>
      <c r="O1377" s="7"/>
      <c r="P1377" s="8"/>
      <c r="Q1377" s="9"/>
      <c r="R1377" s="7"/>
      <c r="S1377" s="8"/>
      <c r="T1377" s="10"/>
      <c r="U1377" s="2"/>
      <c r="V1377" s="2"/>
    </row>
    <row r="1378" spans="2:22" x14ac:dyDescent="0.2">
      <c r="E1378" s="2"/>
      <c r="F1378" s="2"/>
    </row>
    <row r="1379" spans="2:22" x14ac:dyDescent="0.2">
      <c r="E1379" s="2"/>
      <c r="F1379" s="2"/>
    </row>
  </sheetData>
  <mergeCells count="6">
    <mergeCell ref="R3:T3"/>
    <mergeCell ref="E6:F6"/>
    <mergeCell ref="E11:F11"/>
    <mergeCell ref="H4:I4"/>
    <mergeCell ref="H6:M8"/>
    <mergeCell ref="O3:P3"/>
  </mergeCells>
  <dataValidations count="1">
    <dataValidation type="list" allowBlank="1" showInputMessage="1" showErrorMessage="1" sqref="F12" xr:uid="{03CABAFC-2094-47FF-A90D-B37A9F012152}">
      <formula1>$E$22:$E$30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7</xdr:col>
                    <xdr:colOff>28575</xdr:colOff>
                    <xdr:row>9</xdr:row>
                    <xdr:rowOff>47625</xdr:rowOff>
                  </from>
                  <to>
                    <xdr:col>9</xdr:col>
                    <xdr:colOff>9525</xdr:colOff>
                    <xdr:row>10</xdr:row>
                    <xdr:rowOff>47625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O17" sqref="O1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dimension ref="B2:V7009"/>
  <sheetViews>
    <sheetView workbookViewId="0"/>
  </sheetViews>
  <sheetFormatPr defaultRowHeight="12" x14ac:dyDescent="0.2"/>
  <cols>
    <col min="1" max="1" width="9.140625" style="37"/>
    <col min="2" max="2" width="20" style="37" bestFit="1" customWidth="1"/>
    <col min="3" max="3" width="10.42578125" style="37" bestFit="1" customWidth="1"/>
    <col min="4" max="4" width="101.7109375" style="37" bestFit="1" customWidth="1"/>
    <col min="5" max="5" width="9.140625" style="37"/>
    <col min="6" max="6" width="9.85546875" style="39" bestFit="1" customWidth="1"/>
    <col min="7" max="7" width="20" style="37" bestFit="1" customWidth="1"/>
    <col min="8" max="8" width="9.140625" style="37"/>
    <col min="9" max="9" width="9.85546875" style="39" bestFit="1" customWidth="1"/>
    <col min="10" max="10" width="6.5703125" style="37" bestFit="1" customWidth="1"/>
    <col min="11" max="11" width="9.140625" style="37"/>
    <col min="12" max="12" width="9.85546875" style="37" bestFit="1" customWidth="1"/>
    <col min="13" max="13" width="7" style="37" bestFit="1" customWidth="1"/>
    <col min="14" max="14" width="9.140625" style="37"/>
    <col min="15" max="15" width="9.85546875" style="39" bestFit="1" customWidth="1"/>
    <col min="16" max="16" width="7.85546875" style="37" bestFit="1" customWidth="1"/>
    <col min="17" max="17" width="9.140625" style="37"/>
    <col min="18" max="18" width="9.85546875" style="39" bestFit="1" customWidth="1"/>
    <col min="19" max="19" width="7" style="37" bestFit="1" customWidth="1"/>
    <col min="20" max="20" width="7" style="37" customWidth="1"/>
    <col min="21" max="21" width="9.85546875" style="37" bestFit="1" customWidth="1"/>
    <col min="22" max="22" width="13.28515625" style="37" bestFit="1" customWidth="1"/>
    <col min="23" max="16384" width="9.140625" style="37"/>
  </cols>
  <sheetData>
    <row r="2" spans="2:22" x14ac:dyDescent="0.2">
      <c r="B2" s="37" t="s">
        <v>14</v>
      </c>
      <c r="C2" s="37" t="s">
        <v>37</v>
      </c>
      <c r="D2" s="37" t="s">
        <v>40</v>
      </c>
      <c r="F2" s="39" t="s">
        <v>45</v>
      </c>
      <c r="G2" s="37" t="s">
        <v>46</v>
      </c>
      <c r="I2" s="39" t="s">
        <v>45</v>
      </c>
      <c r="J2" s="37" t="s">
        <v>12</v>
      </c>
      <c r="L2" s="37" t="s">
        <v>45</v>
      </c>
      <c r="M2" s="37" t="s">
        <v>31</v>
      </c>
      <c r="O2" s="39" t="s">
        <v>45</v>
      </c>
      <c r="P2" s="37" t="s">
        <v>0</v>
      </c>
      <c r="R2" s="39" t="s">
        <v>45</v>
      </c>
      <c r="S2" s="37" t="s">
        <v>18</v>
      </c>
      <c r="U2" s="39" t="s">
        <v>45</v>
      </c>
      <c r="V2" s="37" t="s">
        <v>47</v>
      </c>
    </row>
    <row r="3" spans="2:22" x14ac:dyDescent="0.2">
      <c r="B3" s="37" t="s">
        <v>46</v>
      </c>
      <c r="C3" s="37" t="s">
        <v>38</v>
      </c>
      <c r="D3" s="38" t="s">
        <v>41</v>
      </c>
      <c r="F3" s="39">
        <v>45561</v>
      </c>
      <c r="G3" s="37">
        <v>4.3499999999999996</v>
      </c>
      <c r="I3" s="39">
        <v>45561</v>
      </c>
      <c r="J3" s="37">
        <v>3.415</v>
      </c>
      <c r="L3" s="39">
        <v>45561</v>
      </c>
      <c r="M3" s="37">
        <v>1.21</v>
      </c>
      <c r="O3" s="39">
        <v>43734</v>
      </c>
      <c r="P3" s="37">
        <v>1.85</v>
      </c>
      <c r="R3" s="39">
        <v>45560</v>
      </c>
      <c r="S3" s="37">
        <v>4.95</v>
      </c>
      <c r="U3" s="39">
        <v>45562</v>
      </c>
      <c r="V3" s="37">
        <v>5.25</v>
      </c>
    </row>
    <row r="4" spans="2:22" x14ac:dyDescent="0.2">
      <c r="B4" s="37" t="s">
        <v>29</v>
      </c>
      <c r="D4" s="38"/>
      <c r="F4" s="39">
        <v>45560</v>
      </c>
      <c r="G4" s="37">
        <v>4.3499999999999996</v>
      </c>
      <c r="I4" s="39">
        <v>45560</v>
      </c>
      <c r="J4" s="37">
        <v>3.4159999999999999</v>
      </c>
      <c r="L4" s="39">
        <v>45560</v>
      </c>
      <c r="M4" s="37">
        <v>1.21</v>
      </c>
      <c r="O4" s="39">
        <v>43735</v>
      </c>
      <c r="P4" s="37">
        <v>1.82</v>
      </c>
      <c r="R4" s="39">
        <v>45559</v>
      </c>
      <c r="S4" s="37">
        <v>4.95</v>
      </c>
      <c r="U4" s="39">
        <v>45561</v>
      </c>
      <c r="V4" s="37">
        <v>5.25</v>
      </c>
    </row>
    <row r="5" spans="2:22" x14ac:dyDescent="0.2">
      <c r="B5" s="37" t="s">
        <v>12</v>
      </c>
      <c r="C5" s="37" t="s">
        <v>38</v>
      </c>
      <c r="D5" s="38" t="s">
        <v>49</v>
      </c>
      <c r="F5" s="39">
        <v>45559</v>
      </c>
      <c r="G5" s="37">
        <v>4.3499999999999996</v>
      </c>
      <c r="I5" s="39">
        <v>45559</v>
      </c>
      <c r="J5" s="37">
        <v>3.415</v>
      </c>
      <c r="L5" s="39">
        <v>45559</v>
      </c>
      <c r="M5" s="37">
        <v>1.21</v>
      </c>
      <c r="O5" s="39">
        <v>43738</v>
      </c>
      <c r="P5" s="37">
        <v>2.35</v>
      </c>
      <c r="R5" s="39">
        <v>45558</v>
      </c>
      <c r="S5" s="37">
        <v>4.95</v>
      </c>
      <c r="U5" s="39">
        <v>45560</v>
      </c>
      <c r="V5" s="37">
        <v>5.25</v>
      </c>
    </row>
    <row r="6" spans="2:22" x14ac:dyDescent="0.2">
      <c r="B6" s="37" t="s">
        <v>30</v>
      </c>
      <c r="D6" s="38"/>
      <c r="F6" s="39">
        <v>45558</v>
      </c>
      <c r="G6" s="37">
        <v>4.3499999999999996</v>
      </c>
      <c r="I6" s="39">
        <v>45558</v>
      </c>
      <c r="J6" s="37">
        <v>3.4140000000000001</v>
      </c>
      <c r="L6" s="39">
        <v>45558</v>
      </c>
      <c r="M6" s="37">
        <v>1.21</v>
      </c>
      <c r="O6" s="39">
        <v>43739</v>
      </c>
      <c r="P6" s="37">
        <v>1.88</v>
      </c>
      <c r="R6" s="39">
        <v>45555</v>
      </c>
      <c r="S6" s="37">
        <v>4.95</v>
      </c>
      <c r="U6" s="39">
        <v>45559</v>
      </c>
      <c r="V6" s="37">
        <v>5.25</v>
      </c>
    </row>
    <row r="7" spans="2:22" x14ac:dyDescent="0.2">
      <c r="B7" s="37" t="s">
        <v>47</v>
      </c>
      <c r="C7" s="37" t="s">
        <v>38</v>
      </c>
      <c r="D7" s="38" t="s">
        <v>35</v>
      </c>
      <c r="F7" s="39">
        <v>45555</v>
      </c>
      <c r="G7" s="37">
        <v>4.3499999999999996</v>
      </c>
      <c r="I7" s="39">
        <v>45555</v>
      </c>
      <c r="J7" s="37">
        <v>3.4119999999999999</v>
      </c>
      <c r="L7" s="39">
        <v>45555</v>
      </c>
      <c r="M7" s="37">
        <v>1.21</v>
      </c>
      <c r="O7" s="39">
        <v>43740</v>
      </c>
      <c r="P7" s="37">
        <v>1.85</v>
      </c>
      <c r="R7" s="39">
        <v>45554</v>
      </c>
      <c r="S7" s="37">
        <v>4.95</v>
      </c>
      <c r="U7" s="39">
        <v>45558</v>
      </c>
      <c r="V7" s="37">
        <v>5.25</v>
      </c>
    </row>
    <row r="8" spans="2:22" x14ac:dyDescent="0.2">
      <c r="B8" s="37" t="s">
        <v>31</v>
      </c>
      <c r="C8" s="37" t="s">
        <v>39</v>
      </c>
      <c r="D8" s="38" t="s">
        <v>36</v>
      </c>
      <c r="F8" s="39">
        <v>45554</v>
      </c>
      <c r="G8" s="37">
        <v>4.3499999999999996</v>
      </c>
      <c r="I8" s="39">
        <v>45554</v>
      </c>
      <c r="J8" s="37">
        <v>3.4140000000000001</v>
      </c>
      <c r="L8" s="39">
        <v>45554</v>
      </c>
      <c r="M8" s="37">
        <v>1.21</v>
      </c>
      <c r="O8" s="39">
        <v>43741</v>
      </c>
      <c r="P8" s="37">
        <v>1.84</v>
      </c>
      <c r="R8" s="39">
        <v>45553</v>
      </c>
      <c r="S8" s="37">
        <v>4.95</v>
      </c>
      <c r="U8" s="39">
        <v>45555</v>
      </c>
      <c r="V8" s="37">
        <v>5.25</v>
      </c>
    </row>
    <row r="9" spans="2:22" x14ac:dyDescent="0.2">
      <c r="B9" s="37" t="s">
        <v>0</v>
      </c>
      <c r="C9" s="37" t="s">
        <v>43</v>
      </c>
      <c r="D9" s="38" t="s">
        <v>42</v>
      </c>
      <c r="F9" s="39">
        <v>45553</v>
      </c>
      <c r="G9" s="37">
        <v>4.3499999999999996</v>
      </c>
      <c r="I9" s="39">
        <v>45553</v>
      </c>
      <c r="J9" s="37">
        <v>3.4159999999999999</v>
      </c>
      <c r="L9" s="39">
        <v>45553</v>
      </c>
      <c r="M9" s="37">
        <v>1.21</v>
      </c>
      <c r="O9" s="39">
        <v>43742</v>
      </c>
      <c r="P9" s="37">
        <v>1.82</v>
      </c>
      <c r="R9" s="39">
        <v>45552</v>
      </c>
      <c r="S9" s="37">
        <v>4.95</v>
      </c>
      <c r="U9" s="39">
        <v>45554</v>
      </c>
      <c r="V9" s="37">
        <v>5.25</v>
      </c>
    </row>
    <row r="10" spans="2:22" x14ac:dyDescent="0.2">
      <c r="B10" s="37" t="s">
        <v>18</v>
      </c>
      <c r="C10" s="37" t="s">
        <v>38</v>
      </c>
      <c r="D10" s="38" t="s">
        <v>44</v>
      </c>
      <c r="F10" s="39">
        <v>45552</v>
      </c>
      <c r="G10" s="37">
        <v>4.3499999999999996</v>
      </c>
      <c r="I10" s="39">
        <v>45552</v>
      </c>
      <c r="J10" s="37">
        <v>3.665</v>
      </c>
      <c r="L10" s="39">
        <v>45552</v>
      </c>
      <c r="M10" s="37">
        <v>1.21</v>
      </c>
      <c r="O10" s="39">
        <v>43745</v>
      </c>
      <c r="P10" s="37">
        <v>1.83</v>
      </c>
      <c r="R10" s="39">
        <v>45551</v>
      </c>
      <c r="S10" s="37">
        <v>4.95</v>
      </c>
      <c r="U10" s="39">
        <v>45553</v>
      </c>
      <c r="V10" s="37">
        <v>5.25</v>
      </c>
    </row>
    <row r="11" spans="2:22" x14ac:dyDescent="0.2">
      <c r="B11" s="37" t="s">
        <v>48</v>
      </c>
      <c r="D11" s="38"/>
      <c r="F11" s="39">
        <v>45551</v>
      </c>
      <c r="G11" s="37">
        <v>4.3499999999999996</v>
      </c>
      <c r="I11" s="39">
        <v>45551</v>
      </c>
      <c r="J11" s="37">
        <v>3.6619999999999999</v>
      </c>
      <c r="L11" s="39">
        <v>45551</v>
      </c>
      <c r="M11" s="37">
        <v>1.21</v>
      </c>
      <c r="O11" s="39">
        <v>43746</v>
      </c>
      <c r="P11" s="37">
        <v>1.85</v>
      </c>
      <c r="R11" s="39">
        <v>45548</v>
      </c>
      <c r="S11" s="37">
        <v>4.95</v>
      </c>
      <c r="U11" s="39">
        <v>45552</v>
      </c>
      <c r="V11" s="37">
        <v>5.25</v>
      </c>
    </row>
    <row r="12" spans="2:22" x14ac:dyDescent="0.2">
      <c r="F12" s="39">
        <v>45548</v>
      </c>
      <c r="G12" s="37">
        <v>4.3499999999999996</v>
      </c>
      <c r="I12" s="39">
        <v>45548</v>
      </c>
      <c r="J12" s="37">
        <v>3.6629999999999998</v>
      </c>
      <c r="L12" s="39">
        <v>45548</v>
      </c>
      <c r="M12" s="37">
        <v>1.21</v>
      </c>
      <c r="O12" s="39">
        <v>43747</v>
      </c>
      <c r="P12" s="37">
        <v>1.85</v>
      </c>
      <c r="R12" s="39">
        <v>45547</v>
      </c>
      <c r="S12" s="37">
        <v>4.95</v>
      </c>
      <c r="U12" s="39">
        <v>45551</v>
      </c>
      <c r="V12" s="37">
        <v>5.25</v>
      </c>
    </row>
    <row r="13" spans="2:22" x14ac:dyDescent="0.2">
      <c r="F13" s="39">
        <v>45547</v>
      </c>
      <c r="G13" s="37">
        <v>4.3499999999999996</v>
      </c>
      <c r="I13" s="39">
        <v>45547</v>
      </c>
      <c r="J13" s="37">
        <v>3.6640000000000001</v>
      </c>
      <c r="L13" s="39">
        <v>45547</v>
      </c>
      <c r="M13" s="37">
        <v>1.21</v>
      </c>
      <c r="O13" s="39">
        <v>43748</v>
      </c>
      <c r="P13" s="37">
        <v>1.85</v>
      </c>
      <c r="R13" s="39">
        <v>45546</v>
      </c>
      <c r="S13" s="37">
        <v>4.95</v>
      </c>
      <c r="U13" s="39">
        <v>45548</v>
      </c>
      <c r="V13" s="37">
        <v>5.25</v>
      </c>
    </row>
    <row r="14" spans="2:22" x14ac:dyDescent="0.2">
      <c r="F14" s="39">
        <v>45546</v>
      </c>
      <c r="G14" s="37">
        <v>4.3499999999999996</v>
      </c>
      <c r="I14" s="39">
        <v>45546</v>
      </c>
      <c r="J14" s="37">
        <v>3.6640000000000001</v>
      </c>
      <c r="L14" s="39">
        <v>45546</v>
      </c>
      <c r="M14" s="37">
        <v>1.21</v>
      </c>
      <c r="O14" s="39">
        <v>43749</v>
      </c>
      <c r="P14" s="37">
        <v>1.85</v>
      </c>
      <c r="R14" s="39">
        <v>45545</v>
      </c>
      <c r="S14" s="37">
        <v>4.95</v>
      </c>
      <c r="U14" s="39">
        <v>45547</v>
      </c>
      <c r="V14" s="37">
        <v>5.25</v>
      </c>
    </row>
    <row r="15" spans="2:22" x14ac:dyDescent="0.2">
      <c r="F15" s="39">
        <v>45545</v>
      </c>
      <c r="G15" s="37">
        <v>4.3499999999999996</v>
      </c>
      <c r="I15" s="39">
        <v>45545</v>
      </c>
      <c r="J15" s="37">
        <v>3.6640000000000001</v>
      </c>
      <c r="L15" s="39">
        <v>45545</v>
      </c>
      <c r="M15" s="37">
        <v>1.21</v>
      </c>
      <c r="O15" s="39">
        <v>43753</v>
      </c>
      <c r="P15" s="37">
        <v>2</v>
      </c>
      <c r="R15" s="39">
        <v>45544</v>
      </c>
      <c r="S15" s="37">
        <v>4.95</v>
      </c>
      <c r="U15" s="39">
        <v>45546</v>
      </c>
      <c r="V15" s="37">
        <v>5.25</v>
      </c>
    </row>
    <row r="16" spans="2:22" x14ac:dyDescent="0.2">
      <c r="F16" s="39">
        <v>45544</v>
      </c>
      <c r="G16" s="37">
        <v>4.3499999999999996</v>
      </c>
      <c r="I16" s="39">
        <v>45544</v>
      </c>
      <c r="J16" s="37">
        <v>3.6629999999999998</v>
      </c>
      <c r="L16" s="39">
        <v>45544</v>
      </c>
      <c r="M16" s="37">
        <v>1.21</v>
      </c>
      <c r="O16" s="39">
        <v>43754</v>
      </c>
      <c r="P16" s="37">
        <v>2.0499999999999998</v>
      </c>
      <c r="R16" s="39">
        <v>45541</v>
      </c>
      <c r="S16" s="37">
        <v>4.95</v>
      </c>
      <c r="U16" s="39">
        <v>45545</v>
      </c>
      <c r="V16" s="37">
        <v>5.25</v>
      </c>
    </row>
    <row r="17" spans="6:22" x14ac:dyDescent="0.2">
      <c r="F17" s="39">
        <v>45541</v>
      </c>
      <c r="G17" s="37">
        <v>4.3499999999999996</v>
      </c>
      <c r="I17" s="39">
        <v>45541</v>
      </c>
      <c r="J17" s="37">
        <v>3.6629999999999998</v>
      </c>
      <c r="L17" s="39">
        <v>45541</v>
      </c>
      <c r="M17" s="37">
        <v>1.21</v>
      </c>
      <c r="O17" s="39">
        <v>43755</v>
      </c>
      <c r="P17" s="37">
        <v>1.95</v>
      </c>
      <c r="R17" s="39">
        <v>45540</v>
      </c>
      <c r="S17" s="37">
        <v>4.95</v>
      </c>
      <c r="U17" s="39">
        <v>45544</v>
      </c>
      <c r="V17" s="37">
        <v>5.25</v>
      </c>
    </row>
    <row r="18" spans="6:22" x14ac:dyDescent="0.2">
      <c r="F18" s="39">
        <v>45540</v>
      </c>
      <c r="G18" s="37">
        <v>4.3499999999999996</v>
      </c>
      <c r="I18" s="39">
        <v>45540</v>
      </c>
      <c r="J18" s="37">
        <v>3.6619999999999999</v>
      </c>
      <c r="L18" s="39">
        <v>45540</v>
      </c>
      <c r="M18" s="37">
        <v>1.21</v>
      </c>
      <c r="O18" s="39">
        <v>43756</v>
      </c>
      <c r="P18" s="37">
        <v>1.88</v>
      </c>
      <c r="R18" s="39">
        <v>45539</v>
      </c>
      <c r="S18" s="37">
        <v>4.95</v>
      </c>
      <c r="U18" s="39">
        <v>45541</v>
      </c>
      <c r="V18" s="37">
        <v>5.25</v>
      </c>
    </row>
    <row r="19" spans="6:22" x14ac:dyDescent="0.2">
      <c r="F19" s="39">
        <v>45539</v>
      </c>
      <c r="G19" s="37">
        <v>4.3499999999999996</v>
      </c>
      <c r="I19" s="39">
        <v>45539</v>
      </c>
      <c r="J19" s="37">
        <v>3.6629999999999998</v>
      </c>
      <c r="L19" s="39">
        <v>45539</v>
      </c>
      <c r="M19" s="37">
        <v>1.21</v>
      </c>
      <c r="O19" s="39">
        <v>43759</v>
      </c>
      <c r="P19" s="37">
        <v>1.86</v>
      </c>
      <c r="R19" s="39">
        <v>45538</v>
      </c>
      <c r="S19" s="37">
        <v>4.95</v>
      </c>
      <c r="U19" s="39">
        <v>45540</v>
      </c>
      <c r="V19" s="37">
        <v>5.25</v>
      </c>
    </row>
    <row r="20" spans="6:22" x14ac:dyDescent="0.2">
      <c r="F20" s="39">
        <v>45538</v>
      </c>
      <c r="G20" s="37">
        <v>4.3499999999999996</v>
      </c>
      <c r="I20" s="39">
        <v>45538</v>
      </c>
      <c r="J20" s="37">
        <v>3.6629999999999998</v>
      </c>
      <c r="L20" s="39">
        <v>45538</v>
      </c>
      <c r="M20" s="37">
        <v>1.21</v>
      </c>
      <c r="O20" s="39">
        <v>43760</v>
      </c>
      <c r="P20" s="37">
        <v>1.87</v>
      </c>
      <c r="R20" s="39">
        <v>45537</v>
      </c>
      <c r="S20" s="37">
        <v>4.95</v>
      </c>
      <c r="U20" s="39">
        <v>45539</v>
      </c>
      <c r="V20" s="37">
        <v>5.25</v>
      </c>
    </row>
    <row r="21" spans="6:22" x14ac:dyDescent="0.2">
      <c r="F21" s="39">
        <v>45537</v>
      </c>
      <c r="G21" s="37">
        <v>4.3499999999999996</v>
      </c>
      <c r="I21" s="39">
        <v>45537</v>
      </c>
      <c r="J21" s="37">
        <v>3.6640000000000001</v>
      </c>
      <c r="L21" s="39">
        <v>45537</v>
      </c>
      <c r="M21" s="37">
        <v>1.21</v>
      </c>
      <c r="O21" s="39">
        <v>43761</v>
      </c>
      <c r="P21" s="37">
        <v>1.87</v>
      </c>
      <c r="R21" s="39">
        <v>45534</v>
      </c>
      <c r="S21" s="37">
        <v>4.95</v>
      </c>
      <c r="U21" s="39">
        <v>45538</v>
      </c>
      <c r="V21" s="37">
        <v>5.25</v>
      </c>
    </row>
    <row r="22" spans="6:22" x14ac:dyDescent="0.2">
      <c r="F22" s="39">
        <v>45534</v>
      </c>
      <c r="G22" s="37">
        <v>4.3499999999999996</v>
      </c>
      <c r="I22" s="39">
        <v>45534</v>
      </c>
      <c r="J22" s="37">
        <v>3.6539999999999999</v>
      </c>
      <c r="L22" s="39">
        <v>45534</v>
      </c>
      <c r="M22" s="37">
        <v>1.22</v>
      </c>
      <c r="O22" s="39">
        <v>43762</v>
      </c>
      <c r="P22" s="37">
        <v>1.86</v>
      </c>
      <c r="R22" s="39">
        <v>45533</v>
      </c>
      <c r="S22" s="37">
        <v>4.95</v>
      </c>
      <c r="U22" s="39">
        <v>45537</v>
      </c>
      <c r="V22" s="37">
        <v>5.25</v>
      </c>
    </row>
    <row r="23" spans="6:22" x14ac:dyDescent="0.2">
      <c r="F23" s="39">
        <v>45533</v>
      </c>
      <c r="G23" s="37">
        <v>4.3499999999999996</v>
      </c>
      <c r="I23" s="39">
        <v>45533</v>
      </c>
      <c r="J23" s="37">
        <v>3.6640000000000001</v>
      </c>
      <c r="L23" s="39">
        <v>45533</v>
      </c>
      <c r="M23" s="37">
        <v>1.21</v>
      </c>
      <c r="O23" s="39">
        <v>43763</v>
      </c>
      <c r="P23" s="37">
        <v>1.84</v>
      </c>
      <c r="R23" s="39">
        <v>45532</v>
      </c>
      <c r="S23" s="37">
        <v>4.95</v>
      </c>
      <c r="U23" s="39">
        <v>45534</v>
      </c>
      <c r="V23" s="37">
        <v>5.25</v>
      </c>
    </row>
    <row r="24" spans="6:22" x14ac:dyDescent="0.2">
      <c r="F24" s="39">
        <v>45532</v>
      </c>
      <c r="G24" s="37">
        <v>4.3499999999999996</v>
      </c>
      <c r="I24" s="39">
        <v>45532</v>
      </c>
      <c r="J24" s="37">
        <v>3.6659999999999999</v>
      </c>
      <c r="L24" s="39">
        <v>45532</v>
      </c>
      <c r="M24" s="37">
        <v>1.21</v>
      </c>
      <c r="O24" s="39">
        <v>43766</v>
      </c>
      <c r="P24" s="37">
        <v>1.82</v>
      </c>
      <c r="R24" s="39">
        <v>45531</v>
      </c>
      <c r="S24" s="37">
        <v>4.95</v>
      </c>
      <c r="U24" s="39">
        <v>45533</v>
      </c>
      <c r="V24" s="37">
        <v>5.25</v>
      </c>
    </row>
    <row r="25" spans="6:22" x14ac:dyDescent="0.2">
      <c r="F25" s="39">
        <v>45531</v>
      </c>
      <c r="G25" s="37">
        <v>4.3499999999999996</v>
      </c>
      <c r="I25" s="39">
        <v>45531</v>
      </c>
      <c r="J25" s="37">
        <v>3.665</v>
      </c>
      <c r="L25" s="39">
        <v>45531</v>
      </c>
      <c r="M25" s="37">
        <v>1.21</v>
      </c>
      <c r="O25" s="39">
        <v>43767</v>
      </c>
      <c r="P25" s="37">
        <v>1.81</v>
      </c>
      <c r="R25" s="39">
        <v>45527</v>
      </c>
      <c r="S25" s="37">
        <v>4.95</v>
      </c>
      <c r="U25" s="39">
        <v>45532</v>
      </c>
      <c r="V25" s="37">
        <v>5.25</v>
      </c>
    </row>
    <row r="26" spans="6:22" x14ac:dyDescent="0.2">
      <c r="F26" s="39">
        <v>45530</v>
      </c>
      <c r="G26" s="37">
        <v>4.3499999999999996</v>
      </c>
      <c r="I26" s="39">
        <v>45530</v>
      </c>
      <c r="J26" s="37">
        <v>3.665</v>
      </c>
      <c r="L26" s="39">
        <v>45530</v>
      </c>
      <c r="M26" s="37">
        <v>1.21</v>
      </c>
      <c r="O26" s="39">
        <v>43768</v>
      </c>
      <c r="P26" s="37">
        <v>1.82</v>
      </c>
      <c r="R26" s="39">
        <v>45526</v>
      </c>
      <c r="S26" s="37">
        <v>4.95</v>
      </c>
      <c r="U26" s="39">
        <v>45531</v>
      </c>
      <c r="V26" s="37">
        <v>5.25</v>
      </c>
    </row>
    <row r="27" spans="6:22" x14ac:dyDescent="0.2">
      <c r="F27" s="39">
        <v>45527</v>
      </c>
      <c r="G27" s="37">
        <v>4.3499999999999996</v>
      </c>
      <c r="I27" s="39">
        <v>45527</v>
      </c>
      <c r="J27" s="37">
        <v>3.6640000000000001</v>
      </c>
      <c r="L27" s="39">
        <v>45527</v>
      </c>
      <c r="M27" s="37">
        <v>1.21</v>
      </c>
      <c r="O27" s="39">
        <v>43769</v>
      </c>
      <c r="P27" s="37">
        <v>1.76</v>
      </c>
      <c r="R27" s="39">
        <v>45525</v>
      </c>
      <c r="S27" s="37">
        <v>4.95</v>
      </c>
      <c r="U27" s="39">
        <v>45530</v>
      </c>
      <c r="V27" s="37">
        <v>5.25</v>
      </c>
    </row>
    <row r="28" spans="6:22" x14ac:dyDescent="0.2">
      <c r="F28" s="39">
        <v>45526</v>
      </c>
      <c r="G28" s="37">
        <v>4.3499999999999996</v>
      </c>
      <c r="I28" s="39">
        <v>45526</v>
      </c>
      <c r="J28" s="37">
        <v>3.6640000000000001</v>
      </c>
      <c r="L28" s="39">
        <v>45526</v>
      </c>
      <c r="M28" s="37">
        <v>1.21</v>
      </c>
      <c r="O28" s="39">
        <v>43770</v>
      </c>
      <c r="P28" s="37">
        <v>1.58</v>
      </c>
      <c r="R28" s="39">
        <v>45524</v>
      </c>
      <c r="S28" s="37">
        <v>4.95</v>
      </c>
      <c r="U28" s="39">
        <v>45527</v>
      </c>
      <c r="V28" s="37">
        <v>5.25</v>
      </c>
    </row>
    <row r="29" spans="6:22" x14ac:dyDescent="0.2">
      <c r="F29" s="39">
        <v>45525</v>
      </c>
      <c r="G29" s="37">
        <v>4.3499999999999996</v>
      </c>
      <c r="I29" s="39">
        <v>45525</v>
      </c>
      <c r="J29" s="37">
        <v>3.6629999999999998</v>
      </c>
      <c r="L29" s="39">
        <v>45525</v>
      </c>
      <c r="M29" s="37">
        <v>1.21</v>
      </c>
      <c r="O29" s="39">
        <v>43773</v>
      </c>
      <c r="P29" s="37">
        <v>1.56</v>
      </c>
      <c r="R29" s="39">
        <v>45523</v>
      </c>
      <c r="S29" s="37">
        <v>4.95</v>
      </c>
      <c r="U29" s="39">
        <v>45526</v>
      </c>
      <c r="V29" s="37">
        <v>5.25</v>
      </c>
    </row>
    <row r="30" spans="6:22" x14ac:dyDescent="0.2">
      <c r="F30" s="39">
        <v>45524</v>
      </c>
      <c r="G30" s="37">
        <v>4.3499999999999996</v>
      </c>
      <c r="I30" s="39">
        <v>45524</v>
      </c>
      <c r="J30" s="37">
        <v>3.6640000000000001</v>
      </c>
      <c r="L30" s="39">
        <v>45524</v>
      </c>
      <c r="M30" s="37">
        <v>1.2</v>
      </c>
      <c r="O30" s="39">
        <v>43774</v>
      </c>
      <c r="P30" s="37">
        <v>1.58</v>
      </c>
      <c r="R30" s="39">
        <v>45520</v>
      </c>
      <c r="S30" s="37">
        <v>4.95</v>
      </c>
      <c r="U30" s="39">
        <v>45525</v>
      </c>
      <c r="V30" s="37">
        <v>5.25</v>
      </c>
    </row>
    <row r="31" spans="6:22" x14ac:dyDescent="0.2">
      <c r="F31" s="39">
        <v>45523</v>
      </c>
      <c r="G31" s="37">
        <v>4.3499999999999996</v>
      </c>
      <c r="I31" s="39">
        <v>45523</v>
      </c>
      <c r="J31" s="37">
        <v>3.6640000000000001</v>
      </c>
      <c r="L31" s="39">
        <v>45523</v>
      </c>
      <c r="M31" s="37">
        <v>1.21</v>
      </c>
      <c r="O31" s="39">
        <v>43775</v>
      </c>
      <c r="P31" s="37">
        <v>1.57</v>
      </c>
      <c r="R31" s="39">
        <v>45519</v>
      </c>
      <c r="S31" s="37">
        <v>4.95</v>
      </c>
      <c r="U31" s="39">
        <v>45524</v>
      </c>
      <c r="V31" s="37">
        <v>5.25</v>
      </c>
    </row>
    <row r="32" spans="6:22" x14ac:dyDescent="0.2">
      <c r="F32" s="39">
        <v>45520</v>
      </c>
      <c r="G32" s="37">
        <v>4.3499999999999996</v>
      </c>
      <c r="I32" s="39">
        <v>45520</v>
      </c>
      <c r="J32" s="37">
        <v>3.6640000000000001</v>
      </c>
      <c r="L32" s="39">
        <v>45520</v>
      </c>
      <c r="M32" s="37">
        <v>1.21</v>
      </c>
      <c r="O32" s="39">
        <v>43776</v>
      </c>
      <c r="P32" s="37">
        <v>1.56</v>
      </c>
      <c r="R32" s="39">
        <v>45518</v>
      </c>
      <c r="S32" s="37">
        <v>4.95</v>
      </c>
      <c r="U32" s="39">
        <v>45523</v>
      </c>
      <c r="V32" s="37">
        <v>5.25</v>
      </c>
    </row>
    <row r="33" spans="6:22" x14ac:dyDescent="0.2">
      <c r="F33" s="39">
        <v>45519</v>
      </c>
      <c r="G33" s="37">
        <v>4.3499999999999996</v>
      </c>
      <c r="I33" s="39">
        <v>45519</v>
      </c>
      <c r="J33" s="37">
        <v>3.6619999999999999</v>
      </c>
      <c r="L33" s="39">
        <v>45519</v>
      </c>
      <c r="M33" s="37">
        <v>1.2</v>
      </c>
      <c r="O33" s="39">
        <v>43777</v>
      </c>
      <c r="P33" s="37">
        <v>1.56</v>
      </c>
      <c r="R33" s="39">
        <v>45517</v>
      </c>
      <c r="S33" s="37">
        <v>4.95</v>
      </c>
      <c r="U33" s="39">
        <v>45520</v>
      </c>
      <c r="V33" s="37">
        <v>5.25</v>
      </c>
    </row>
    <row r="34" spans="6:22" x14ac:dyDescent="0.2">
      <c r="F34" s="39">
        <v>45518</v>
      </c>
      <c r="G34" s="37">
        <v>4.3499999999999996</v>
      </c>
      <c r="I34" s="39">
        <v>45518</v>
      </c>
      <c r="J34" s="37">
        <v>3.6619999999999999</v>
      </c>
      <c r="L34" s="39">
        <v>45518</v>
      </c>
      <c r="M34" s="37">
        <v>1.21</v>
      </c>
      <c r="O34" s="39">
        <v>43781</v>
      </c>
      <c r="P34" s="37">
        <v>1.57</v>
      </c>
      <c r="R34" s="39">
        <v>45516</v>
      </c>
      <c r="S34" s="37">
        <v>4.95</v>
      </c>
      <c r="U34" s="39">
        <v>45519</v>
      </c>
      <c r="V34" s="37">
        <v>5.25</v>
      </c>
    </row>
    <row r="35" spans="6:22" x14ac:dyDescent="0.2">
      <c r="F35" s="39">
        <v>45517</v>
      </c>
      <c r="G35" s="37">
        <v>4.3499999999999996</v>
      </c>
      <c r="I35" s="39">
        <v>45517</v>
      </c>
      <c r="J35" s="37">
        <v>3.6640000000000001</v>
      </c>
      <c r="L35" s="39">
        <v>45517</v>
      </c>
      <c r="M35" s="37">
        <v>1.21</v>
      </c>
      <c r="O35" s="39">
        <v>43782</v>
      </c>
      <c r="P35" s="37">
        <v>1.57</v>
      </c>
      <c r="R35" s="39">
        <v>45513</v>
      </c>
      <c r="S35" s="37">
        <v>4.95</v>
      </c>
      <c r="U35" s="39">
        <v>45518</v>
      </c>
      <c r="V35" s="37">
        <v>5.5</v>
      </c>
    </row>
    <row r="36" spans="6:22" x14ac:dyDescent="0.2">
      <c r="F36" s="39">
        <v>45516</v>
      </c>
      <c r="G36" s="37">
        <v>4.3499999999999996</v>
      </c>
      <c r="I36" s="39">
        <v>45516</v>
      </c>
      <c r="J36" s="37">
        <v>3.6640000000000001</v>
      </c>
      <c r="L36" s="39">
        <v>45516</v>
      </c>
      <c r="M36" s="37">
        <v>1.21</v>
      </c>
      <c r="O36" s="39">
        <v>43783</v>
      </c>
      <c r="P36" s="37">
        <v>1.58</v>
      </c>
      <c r="R36" s="39">
        <v>45512</v>
      </c>
      <c r="S36" s="37">
        <v>4.95</v>
      </c>
      <c r="U36" s="39">
        <v>45517</v>
      </c>
      <c r="V36" s="37">
        <v>5.5</v>
      </c>
    </row>
    <row r="37" spans="6:22" x14ac:dyDescent="0.2">
      <c r="F37" s="39">
        <v>45513</v>
      </c>
      <c r="G37" s="37">
        <v>4.3499999999999996</v>
      </c>
      <c r="I37" s="39">
        <v>45513</v>
      </c>
      <c r="J37" s="37">
        <v>3.6629999999999998</v>
      </c>
      <c r="L37" s="39">
        <v>45513</v>
      </c>
      <c r="M37" s="37">
        <v>1.21</v>
      </c>
      <c r="O37" s="39">
        <v>43784</v>
      </c>
      <c r="P37" s="37">
        <v>1.59</v>
      </c>
      <c r="R37" s="39">
        <v>45511</v>
      </c>
      <c r="S37" s="37">
        <v>4.95</v>
      </c>
      <c r="U37" s="39">
        <v>45516</v>
      </c>
      <c r="V37" s="37">
        <v>5.5</v>
      </c>
    </row>
    <row r="38" spans="6:22" x14ac:dyDescent="0.2">
      <c r="F38" s="39">
        <v>45512</v>
      </c>
      <c r="G38" s="37">
        <v>4.3499999999999996</v>
      </c>
      <c r="I38" s="39">
        <v>45512</v>
      </c>
      <c r="J38" s="37">
        <v>3.665</v>
      </c>
      <c r="L38" s="39">
        <v>45512</v>
      </c>
      <c r="M38" s="37">
        <v>1.21</v>
      </c>
      <c r="O38" s="39">
        <v>43787</v>
      </c>
      <c r="P38" s="37">
        <v>1.56</v>
      </c>
      <c r="R38" s="39">
        <v>45510</v>
      </c>
      <c r="S38" s="37">
        <v>4.95</v>
      </c>
      <c r="U38" s="39">
        <v>45513</v>
      </c>
      <c r="V38" s="37">
        <v>5.5</v>
      </c>
    </row>
    <row r="39" spans="6:22" x14ac:dyDescent="0.2">
      <c r="F39" s="39">
        <v>45511</v>
      </c>
      <c r="G39" s="37">
        <v>4.3499999999999996</v>
      </c>
      <c r="I39" s="39">
        <v>45511</v>
      </c>
      <c r="J39" s="37">
        <v>3.6629999999999998</v>
      </c>
      <c r="L39" s="39">
        <v>45511</v>
      </c>
      <c r="M39" s="37">
        <v>1.21</v>
      </c>
      <c r="O39" s="39">
        <v>43788</v>
      </c>
      <c r="P39" s="37">
        <v>1.57</v>
      </c>
      <c r="R39" s="39">
        <v>45509</v>
      </c>
      <c r="S39" s="37">
        <v>4.95</v>
      </c>
      <c r="U39" s="39">
        <v>45512</v>
      </c>
      <c r="V39" s="37">
        <v>5.5</v>
      </c>
    </row>
    <row r="40" spans="6:22" x14ac:dyDescent="0.2">
      <c r="F40" s="39">
        <v>45510</v>
      </c>
      <c r="G40" s="37">
        <v>4.3499999999999996</v>
      </c>
      <c r="I40" s="39">
        <v>45510</v>
      </c>
      <c r="J40" s="37">
        <v>3.6629999999999998</v>
      </c>
      <c r="L40" s="39">
        <v>45510</v>
      </c>
      <c r="M40" s="37">
        <v>1.21</v>
      </c>
      <c r="O40" s="39">
        <v>43789</v>
      </c>
      <c r="P40" s="37">
        <v>1.57</v>
      </c>
      <c r="R40" s="39">
        <v>45506</v>
      </c>
      <c r="S40" s="37">
        <v>4.95</v>
      </c>
      <c r="U40" s="39">
        <v>45511</v>
      </c>
      <c r="V40" s="37">
        <v>5.5</v>
      </c>
    </row>
    <row r="41" spans="6:22" x14ac:dyDescent="0.2">
      <c r="F41" s="39">
        <v>45509</v>
      </c>
      <c r="G41" s="37">
        <v>4.3499999999999996</v>
      </c>
      <c r="I41" s="39">
        <v>45509</v>
      </c>
      <c r="J41" s="37">
        <v>3.6640000000000001</v>
      </c>
      <c r="L41" s="39">
        <v>45509</v>
      </c>
      <c r="M41" s="37">
        <v>1.21</v>
      </c>
      <c r="O41" s="39">
        <v>43790</v>
      </c>
      <c r="P41" s="37">
        <v>1.58</v>
      </c>
      <c r="R41" s="39">
        <v>45505</v>
      </c>
      <c r="S41" s="37">
        <v>4.95</v>
      </c>
      <c r="U41" s="39">
        <v>45510</v>
      </c>
      <c r="V41" s="37">
        <v>5.5</v>
      </c>
    </row>
    <row r="42" spans="6:22" x14ac:dyDescent="0.2">
      <c r="F42" s="39">
        <v>45506</v>
      </c>
      <c r="G42" s="37">
        <v>4.3499999999999996</v>
      </c>
      <c r="I42" s="39">
        <v>45506</v>
      </c>
      <c r="J42" s="37">
        <v>3.6640000000000001</v>
      </c>
      <c r="L42" s="39">
        <v>45506</v>
      </c>
      <c r="M42" s="37">
        <v>1.21</v>
      </c>
      <c r="O42" s="39">
        <v>43791</v>
      </c>
      <c r="P42" s="37">
        <v>1.58</v>
      </c>
      <c r="R42" s="39">
        <v>45504</v>
      </c>
      <c r="S42" s="37">
        <v>5.2</v>
      </c>
      <c r="U42" s="39">
        <v>45509</v>
      </c>
      <c r="V42" s="37">
        <v>5.5</v>
      </c>
    </row>
    <row r="43" spans="6:22" x14ac:dyDescent="0.2">
      <c r="F43" s="39">
        <v>45505</v>
      </c>
      <c r="G43" s="37">
        <v>4.3499999999999996</v>
      </c>
      <c r="I43" s="39">
        <v>45505</v>
      </c>
      <c r="J43" s="37">
        <v>3.6640000000000001</v>
      </c>
      <c r="L43" s="39">
        <v>45504</v>
      </c>
      <c r="M43" s="37">
        <v>1.21</v>
      </c>
      <c r="O43" s="39">
        <v>43794</v>
      </c>
      <c r="P43" s="37">
        <v>1.56</v>
      </c>
      <c r="R43" s="39">
        <v>45503</v>
      </c>
      <c r="S43" s="37">
        <v>5.2</v>
      </c>
      <c r="U43" s="39">
        <v>45506</v>
      </c>
      <c r="V43" s="37">
        <v>5.5</v>
      </c>
    </row>
    <row r="44" spans="6:22" x14ac:dyDescent="0.2">
      <c r="F44" s="39">
        <v>45504</v>
      </c>
      <c r="G44" s="37">
        <v>4.3499999999999996</v>
      </c>
      <c r="I44" s="39">
        <v>45504</v>
      </c>
      <c r="J44" s="37">
        <v>3.653</v>
      </c>
      <c r="L44" s="39">
        <v>45503</v>
      </c>
      <c r="M44" s="37">
        <v>1.21</v>
      </c>
      <c r="O44" s="39">
        <v>43795</v>
      </c>
      <c r="P44" s="37">
        <v>1.54</v>
      </c>
      <c r="R44" s="39">
        <v>45502</v>
      </c>
      <c r="S44" s="37">
        <v>5.2</v>
      </c>
      <c r="U44" s="39">
        <v>45505</v>
      </c>
      <c r="V44" s="37">
        <v>5.5</v>
      </c>
    </row>
    <row r="45" spans="6:22" x14ac:dyDescent="0.2">
      <c r="F45" s="39">
        <v>45503</v>
      </c>
      <c r="G45" s="37">
        <v>4.3499999999999996</v>
      </c>
      <c r="I45" s="39">
        <v>45503</v>
      </c>
      <c r="J45" s="37">
        <v>3.665</v>
      </c>
      <c r="L45" s="39">
        <v>45502</v>
      </c>
      <c r="M45" s="37">
        <v>1.21</v>
      </c>
      <c r="O45" s="39">
        <v>43796</v>
      </c>
      <c r="P45" s="37">
        <v>1.55</v>
      </c>
      <c r="R45" s="39">
        <v>45499</v>
      </c>
      <c r="S45" s="37">
        <v>5.2</v>
      </c>
      <c r="U45" s="39">
        <v>45504</v>
      </c>
      <c r="V45" s="37">
        <v>5.5</v>
      </c>
    </row>
    <row r="46" spans="6:22" x14ac:dyDescent="0.2">
      <c r="F46" s="39">
        <v>45502</v>
      </c>
      <c r="G46" s="37">
        <v>4.3499999999999996</v>
      </c>
      <c r="I46" s="39">
        <v>45502</v>
      </c>
      <c r="J46" s="37">
        <v>3.6629999999999998</v>
      </c>
      <c r="L46" s="39">
        <v>45499</v>
      </c>
      <c r="M46" s="37">
        <v>1.21</v>
      </c>
      <c r="O46" s="39">
        <v>43798</v>
      </c>
      <c r="P46" s="37">
        <v>1.65</v>
      </c>
      <c r="R46" s="39">
        <v>45498</v>
      </c>
      <c r="S46" s="37">
        <v>5.2</v>
      </c>
      <c r="U46" s="39">
        <v>45503</v>
      </c>
      <c r="V46" s="37">
        <v>5.5</v>
      </c>
    </row>
    <row r="47" spans="6:22" x14ac:dyDescent="0.2">
      <c r="F47" s="39">
        <v>45499</v>
      </c>
      <c r="G47" s="37">
        <v>4.3499999999999996</v>
      </c>
      <c r="I47" s="39">
        <v>45499</v>
      </c>
      <c r="J47" s="37">
        <v>3.6629999999999998</v>
      </c>
      <c r="L47" s="39">
        <v>45498</v>
      </c>
      <c r="M47" s="37">
        <v>1.21</v>
      </c>
      <c r="O47" s="39">
        <v>43801</v>
      </c>
      <c r="P47" s="37">
        <v>1.63</v>
      </c>
      <c r="R47" s="39">
        <v>45497</v>
      </c>
      <c r="S47" s="37">
        <v>5.2</v>
      </c>
      <c r="U47" s="39">
        <v>45502</v>
      </c>
      <c r="V47" s="37">
        <v>5.5</v>
      </c>
    </row>
    <row r="48" spans="6:22" x14ac:dyDescent="0.2">
      <c r="F48" s="39">
        <v>45498</v>
      </c>
      <c r="G48" s="37">
        <v>4.3499999999999996</v>
      </c>
      <c r="I48" s="39">
        <v>45498</v>
      </c>
      <c r="J48" s="37">
        <v>3.665</v>
      </c>
      <c r="L48" s="39">
        <v>45497</v>
      </c>
      <c r="M48" s="37">
        <v>1.21</v>
      </c>
      <c r="O48" s="39">
        <v>43802</v>
      </c>
      <c r="P48" s="37">
        <v>1.55</v>
      </c>
      <c r="R48" s="39">
        <v>45496</v>
      </c>
      <c r="S48" s="37">
        <v>5.2</v>
      </c>
      <c r="U48" s="39">
        <v>45499</v>
      </c>
      <c r="V48" s="37">
        <v>5.5</v>
      </c>
    </row>
    <row r="49" spans="6:22" x14ac:dyDescent="0.2">
      <c r="F49" s="39">
        <v>45497</v>
      </c>
      <c r="G49" s="37">
        <v>4.3499999999999996</v>
      </c>
      <c r="I49" s="39">
        <v>45497</v>
      </c>
      <c r="J49" s="37">
        <v>3.665</v>
      </c>
      <c r="L49" s="39">
        <v>45496</v>
      </c>
      <c r="M49" s="37">
        <v>1.21</v>
      </c>
      <c r="O49" s="39">
        <v>43803</v>
      </c>
      <c r="P49" s="37">
        <v>1.54</v>
      </c>
      <c r="R49" s="39">
        <v>45495</v>
      </c>
      <c r="S49" s="37">
        <v>5.2</v>
      </c>
      <c r="U49" s="39">
        <v>45498</v>
      </c>
      <c r="V49" s="37">
        <v>5.5</v>
      </c>
    </row>
    <row r="50" spans="6:22" x14ac:dyDescent="0.2">
      <c r="F50" s="39">
        <v>45496</v>
      </c>
      <c r="G50" s="37">
        <v>4.3499999999999996</v>
      </c>
      <c r="I50" s="39">
        <v>45496</v>
      </c>
      <c r="J50" s="37">
        <v>3.665</v>
      </c>
      <c r="L50" s="39">
        <v>45495</v>
      </c>
      <c r="M50" s="37">
        <v>1.21</v>
      </c>
      <c r="O50" s="39">
        <v>43804</v>
      </c>
      <c r="P50" s="37">
        <v>1.55</v>
      </c>
      <c r="R50" s="39">
        <v>45492</v>
      </c>
      <c r="S50" s="37">
        <v>5.2</v>
      </c>
      <c r="U50" s="39">
        <v>45497</v>
      </c>
      <c r="V50" s="37">
        <v>5.5</v>
      </c>
    </row>
    <row r="51" spans="6:22" x14ac:dyDescent="0.2">
      <c r="F51" s="39">
        <v>45495</v>
      </c>
      <c r="G51" s="37">
        <v>4.3499999999999996</v>
      </c>
      <c r="I51" s="39">
        <v>45495</v>
      </c>
      <c r="J51" s="37">
        <v>3.6640000000000001</v>
      </c>
      <c r="L51" s="39">
        <v>45492</v>
      </c>
      <c r="M51" s="37">
        <v>1.21</v>
      </c>
      <c r="O51" s="39">
        <v>43805</v>
      </c>
      <c r="P51" s="37">
        <v>1.55</v>
      </c>
      <c r="R51" s="39">
        <v>45491</v>
      </c>
      <c r="S51" s="37">
        <v>5.2</v>
      </c>
      <c r="U51" s="39">
        <v>45496</v>
      </c>
      <c r="V51" s="37">
        <v>5.5</v>
      </c>
    </row>
    <row r="52" spans="6:22" x14ac:dyDescent="0.2">
      <c r="F52" s="39">
        <v>45492</v>
      </c>
      <c r="G52" s="37">
        <v>4.3499999999999996</v>
      </c>
      <c r="I52" s="39">
        <v>45492</v>
      </c>
      <c r="J52" s="37">
        <v>3.6629999999999998</v>
      </c>
      <c r="L52" s="39">
        <v>45491</v>
      </c>
      <c r="M52" s="37">
        <v>1.21</v>
      </c>
      <c r="O52" s="39">
        <v>43808</v>
      </c>
      <c r="P52" s="37">
        <v>1.56</v>
      </c>
      <c r="R52" s="39">
        <v>45490</v>
      </c>
      <c r="S52" s="37">
        <v>5.2</v>
      </c>
      <c r="U52" s="39">
        <v>45495</v>
      </c>
      <c r="V52" s="37">
        <v>5.5</v>
      </c>
    </row>
    <row r="53" spans="6:22" x14ac:dyDescent="0.2">
      <c r="F53" s="39">
        <v>45491</v>
      </c>
      <c r="G53" s="37">
        <v>4.3499999999999996</v>
      </c>
      <c r="I53" s="39">
        <v>45491</v>
      </c>
      <c r="J53" s="37">
        <v>3.6629999999999998</v>
      </c>
      <c r="L53" s="39">
        <v>45490</v>
      </c>
      <c r="M53" s="37">
        <v>1.21</v>
      </c>
      <c r="O53" s="39">
        <v>43809</v>
      </c>
      <c r="P53" s="37">
        <v>1.55</v>
      </c>
      <c r="R53" s="39">
        <v>45489</v>
      </c>
      <c r="S53" s="37">
        <v>5.2</v>
      </c>
      <c r="U53" s="39">
        <v>45492</v>
      </c>
      <c r="V53" s="37">
        <v>5.5</v>
      </c>
    </row>
    <row r="54" spans="6:22" x14ac:dyDescent="0.2">
      <c r="F54" s="39">
        <v>45490</v>
      </c>
      <c r="G54" s="37">
        <v>4.3499999999999996</v>
      </c>
      <c r="I54" s="39">
        <v>45490</v>
      </c>
      <c r="J54" s="37">
        <v>3.6619999999999999</v>
      </c>
      <c r="L54" s="39">
        <v>45489</v>
      </c>
      <c r="M54" s="37">
        <v>1.21</v>
      </c>
      <c r="O54" s="39">
        <v>43810</v>
      </c>
      <c r="P54" s="37">
        <v>1.54</v>
      </c>
      <c r="R54" s="39">
        <v>45488</v>
      </c>
      <c r="S54" s="37">
        <v>5.2</v>
      </c>
      <c r="U54" s="39">
        <v>45491</v>
      </c>
      <c r="V54" s="37">
        <v>5.5</v>
      </c>
    </row>
    <row r="55" spans="6:22" x14ac:dyDescent="0.2">
      <c r="F55" s="39">
        <v>45489</v>
      </c>
      <c r="G55" s="37">
        <v>4.3499999999999996</v>
      </c>
      <c r="I55" s="39">
        <v>45489</v>
      </c>
      <c r="J55" s="37">
        <v>3.6619999999999999</v>
      </c>
      <c r="L55" s="39">
        <v>45488</v>
      </c>
      <c r="M55" s="37">
        <v>1.21</v>
      </c>
      <c r="O55" s="39">
        <v>43811</v>
      </c>
      <c r="P55" s="37">
        <v>1.53</v>
      </c>
      <c r="R55" s="39">
        <v>45485</v>
      </c>
      <c r="S55" s="37">
        <v>5.2</v>
      </c>
      <c r="U55" s="39">
        <v>45490</v>
      </c>
      <c r="V55" s="37">
        <v>5.5</v>
      </c>
    </row>
    <row r="56" spans="6:22" x14ac:dyDescent="0.2">
      <c r="F56" s="39">
        <v>45488</v>
      </c>
      <c r="G56" s="37">
        <v>4.3499999999999996</v>
      </c>
      <c r="I56" s="39">
        <v>45488</v>
      </c>
      <c r="J56" s="37">
        <v>3.661</v>
      </c>
      <c r="L56" s="39">
        <v>45485</v>
      </c>
      <c r="M56" s="37">
        <v>1.21</v>
      </c>
      <c r="O56" s="39">
        <v>43812</v>
      </c>
      <c r="P56" s="37">
        <v>1.54</v>
      </c>
      <c r="R56" s="39">
        <v>45484</v>
      </c>
      <c r="S56" s="37">
        <v>5.2</v>
      </c>
      <c r="U56" s="39">
        <v>45489</v>
      </c>
      <c r="V56" s="37">
        <v>5.5</v>
      </c>
    </row>
    <row r="57" spans="6:22" x14ac:dyDescent="0.2">
      <c r="F57" s="39">
        <v>45485</v>
      </c>
      <c r="G57" s="37">
        <v>4.3499999999999996</v>
      </c>
      <c r="I57" s="39">
        <v>45485</v>
      </c>
      <c r="J57" s="37">
        <v>3.661</v>
      </c>
      <c r="L57" s="39">
        <v>45484</v>
      </c>
      <c r="M57" s="37">
        <v>1.21</v>
      </c>
      <c r="O57" s="39">
        <v>43815</v>
      </c>
      <c r="P57" s="37">
        <v>1.62</v>
      </c>
      <c r="R57" s="39">
        <v>45483</v>
      </c>
      <c r="S57" s="37">
        <v>5.2</v>
      </c>
      <c r="U57" s="39">
        <v>45488</v>
      </c>
      <c r="V57" s="37">
        <v>5.5</v>
      </c>
    </row>
    <row r="58" spans="6:22" x14ac:dyDescent="0.2">
      <c r="F58" s="39">
        <v>45484</v>
      </c>
      <c r="G58" s="37">
        <v>4.3499999999999996</v>
      </c>
      <c r="I58" s="39">
        <v>45484</v>
      </c>
      <c r="J58" s="37">
        <v>3.6619999999999999</v>
      </c>
      <c r="L58" s="39">
        <v>45483</v>
      </c>
      <c r="M58" s="37">
        <v>1.21</v>
      </c>
      <c r="O58" s="39">
        <v>43816</v>
      </c>
      <c r="P58" s="37">
        <v>1.54</v>
      </c>
      <c r="R58" s="39">
        <v>45482</v>
      </c>
      <c r="S58" s="37">
        <v>5.2</v>
      </c>
      <c r="U58" s="39">
        <v>45485</v>
      </c>
      <c r="V58" s="37">
        <v>5.5</v>
      </c>
    </row>
    <row r="59" spans="6:22" x14ac:dyDescent="0.2">
      <c r="F59" s="39">
        <v>45483</v>
      </c>
      <c r="G59" s="37">
        <v>4.3499999999999996</v>
      </c>
      <c r="I59" s="39">
        <v>45483</v>
      </c>
      <c r="J59" s="37">
        <v>3.6629999999999998</v>
      </c>
      <c r="L59" s="39">
        <v>45482</v>
      </c>
      <c r="M59" s="37">
        <v>1.21</v>
      </c>
      <c r="O59" s="39">
        <v>43817</v>
      </c>
      <c r="P59" s="37">
        <v>1.53</v>
      </c>
      <c r="R59" s="39">
        <v>45481</v>
      </c>
      <c r="S59" s="37">
        <v>5.2</v>
      </c>
      <c r="U59" s="39">
        <v>45484</v>
      </c>
      <c r="V59" s="37">
        <v>5.5</v>
      </c>
    </row>
    <row r="60" spans="6:22" x14ac:dyDescent="0.2">
      <c r="F60" s="39">
        <v>45482</v>
      </c>
      <c r="G60" s="37">
        <v>4.3499999999999996</v>
      </c>
      <c r="I60" s="39">
        <v>45482</v>
      </c>
      <c r="J60" s="37">
        <v>3.6619999999999999</v>
      </c>
      <c r="L60" s="39">
        <v>45481</v>
      </c>
      <c r="M60" s="37">
        <v>1.21</v>
      </c>
      <c r="O60" s="39">
        <v>43818</v>
      </c>
      <c r="P60" s="37">
        <v>1.53</v>
      </c>
      <c r="R60" s="39">
        <v>45478</v>
      </c>
      <c r="S60" s="37">
        <v>5.2</v>
      </c>
      <c r="U60" s="39">
        <v>45483</v>
      </c>
      <c r="V60" s="37">
        <v>5.5</v>
      </c>
    </row>
    <row r="61" spans="6:22" x14ac:dyDescent="0.2">
      <c r="F61" s="39">
        <v>45481</v>
      </c>
      <c r="G61" s="37">
        <v>4.3499999999999996</v>
      </c>
      <c r="I61" s="39">
        <v>45481</v>
      </c>
      <c r="J61" s="37">
        <v>3.6619999999999999</v>
      </c>
      <c r="L61" s="39">
        <v>45478</v>
      </c>
      <c r="M61" s="37">
        <v>1.21</v>
      </c>
      <c r="O61" s="39">
        <v>43819</v>
      </c>
      <c r="P61" s="37">
        <v>1.53</v>
      </c>
      <c r="R61" s="39">
        <v>45477</v>
      </c>
      <c r="S61" s="37">
        <v>5.2</v>
      </c>
      <c r="U61" s="39">
        <v>45482</v>
      </c>
      <c r="V61" s="37">
        <v>5.5</v>
      </c>
    </row>
    <row r="62" spans="6:22" x14ac:dyDescent="0.2">
      <c r="F62" s="39">
        <v>45478</v>
      </c>
      <c r="G62" s="37">
        <v>4.3499999999999996</v>
      </c>
      <c r="I62" s="39">
        <v>45478</v>
      </c>
      <c r="J62" s="37">
        <v>3.6629999999999998</v>
      </c>
      <c r="L62" s="39">
        <v>45477</v>
      </c>
      <c r="M62" s="37">
        <v>1.21</v>
      </c>
      <c r="O62" s="39">
        <v>43822</v>
      </c>
      <c r="P62" s="37">
        <v>1.52</v>
      </c>
      <c r="R62" s="39">
        <v>45476</v>
      </c>
      <c r="S62" s="37">
        <v>5.2</v>
      </c>
      <c r="U62" s="39">
        <v>45481</v>
      </c>
      <c r="V62" s="37">
        <v>5.5</v>
      </c>
    </row>
    <row r="63" spans="6:22" x14ac:dyDescent="0.2">
      <c r="F63" s="39">
        <v>45477</v>
      </c>
      <c r="G63" s="37">
        <v>4.3499999999999996</v>
      </c>
      <c r="I63" s="39">
        <v>45477</v>
      </c>
      <c r="J63" s="37">
        <v>3.6629999999999998</v>
      </c>
      <c r="L63" s="39">
        <v>45476</v>
      </c>
      <c r="M63" s="37">
        <v>1.21</v>
      </c>
      <c r="O63" s="39">
        <v>43823</v>
      </c>
      <c r="P63" s="37">
        <v>1.52</v>
      </c>
      <c r="R63" s="39">
        <v>45475</v>
      </c>
      <c r="S63" s="37">
        <v>5.2</v>
      </c>
      <c r="U63" s="39">
        <v>45478</v>
      </c>
      <c r="V63" s="37">
        <v>5.5</v>
      </c>
    </row>
    <row r="64" spans="6:22" x14ac:dyDescent="0.2">
      <c r="F64" s="39">
        <v>45476</v>
      </c>
      <c r="G64" s="37">
        <v>4.3499999999999996</v>
      </c>
      <c r="I64" s="39">
        <v>45476</v>
      </c>
      <c r="J64" s="37">
        <v>3.6629999999999998</v>
      </c>
      <c r="L64" s="39">
        <v>45475</v>
      </c>
      <c r="M64" s="37">
        <v>1.21</v>
      </c>
      <c r="O64" s="39">
        <v>43825</v>
      </c>
      <c r="P64" s="37">
        <v>1.52</v>
      </c>
      <c r="R64" s="39">
        <v>45474</v>
      </c>
      <c r="S64" s="37">
        <v>5.2</v>
      </c>
      <c r="U64" s="39">
        <v>45477</v>
      </c>
      <c r="V64" s="37">
        <v>5.5</v>
      </c>
    </row>
    <row r="65" spans="6:22" x14ac:dyDescent="0.2">
      <c r="F65" s="39">
        <v>45475</v>
      </c>
      <c r="G65" s="37">
        <v>4.3499999999999996</v>
      </c>
      <c r="I65" s="39">
        <v>45475</v>
      </c>
      <c r="J65" s="37">
        <v>3.6619999999999999</v>
      </c>
      <c r="L65" s="39">
        <v>45474</v>
      </c>
      <c r="M65" s="37">
        <v>1.21</v>
      </c>
      <c r="O65" s="39">
        <v>43826</v>
      </c>
      <c r="P65" s="37">
        <v>1.53</v>
      </c>
      <c r="R65" s="39">
        <v>45471</v>
      </c>
      <c r="S65" s="37">
        <v>5.2</v>
      </c>
      <c r="U65" s="39">
        <v>45476</v>
      </c>
      <c r="V65" s="37">
        <v>5.5</v>
      </c>
    </row>
    <row r="66" spans="6:22" x14ac:dyDescent="0.2">
      <c r="F66" s="39">
        <v>45474</v>
      </c>
      <c r="G66" s="37">
        <v>4.3499999999999996</v>
      </c>
      <c r="I66" s="39">
        <v>45474</v>
      </c>
      <c r="J66" s="37">
        <v>3.665</v>
      </c>
      <c r="L66" s="39">
        <v>45471</v>
      </c>
      <c r="M66" s="37">
        <v>1.22</v>
      </c>
      <c r="O66" s="39">
        <v>43829</v>
      </c>
      <c r="P66" s="37">
        <v>1.54</v>
      </c>
      <c r="R66" s="39">
        <v>45470</v>
      </c>
      <c r="S66" s="37">
        <v>5.2</v>
      </c>
      <c r="U66" s="39">
        <v>45475</v>
      </c>
      <c r="V66" s="37">
        <v>5.5</v>
      </c>
    </row>
    <row r="67" spans="6:22" x14ac:dyDescent="0.2">
      <c r="F67" s="39">
        <v>45471</v>
      </c>
      <c r="G67" s="37">
        <v>4.3499999999999996</v>
      </c>
      <c r="I67" s="39">
        <v>45471</v>
      </c>
      <c r="J67" s="37">
        <v>3.6560000000000001</v>
      </c>
      <c r="L67" s="39">
        <v>45470</v>
      </c>
      <c r="M67" s="37">
        <v>1.21</v>
      </c>
      <c r="O67" s="39">
        <v>43830</v>
      </c>
      <c r="P67" s="37">
        <v>1.55</v>
      </c>
      <c r="R67" s="39">
        <v>45469</v>
      </c>
      <c r="S67" s="37">
        <v>5.2</v>
      </c>
      <c r="U67" s="39">
        <v>45474</v>
      </c>
      <c r="V67" s="37">
        <v>5.5</v>
      </c>
    </row>
    <row r="68" spans="6:22" x14ac:dyDescent="0.2">
      <c r="F68" s="39">
        <v>45470</v>
      </c>
      <c r="G68" s="37">
        <v>4.3499999999999996</v>
      </c>
      <c r="I68" s="39">
        <v>45470</v>
      </c>
      <c r="J68" s="37">
        <v>3.6619999999999999</v>
      </c>
      <c r="L68" s="39">
        <v>45469</v>
      </c>
      <c r="M68" s="37">
        <v>1.21</v>
      </c>
      <c r="O68" s="39">
        <v>43832</v>
      </c>
      <c r="P68" s="37">
        <v>1.54</v>
      </c>
      <c r="R68" s="39">
        <v>45468</v>
      </c>
      <c r="S68" s="37">
        <v>5.2</v>
      </c>
      <c r="U68" s="39">
        <v>45470</v>
      </c>
      <c r="V68" s="37">
        <v>5.5</v>
      </c>
    </row>
    <row r="69" spans="6:22" x14ac:dyDescent="0.2">
      <c r="F69" s="39">
        <v>45469</v>
      </c>
      <c r="G69" s="37">
        <v>4.3499999999999996</v>
      </c>
      <c r="I69" s="39">
        <v>45469</v>
      </c>
      <c r="J69" s="37">
        <v>3.661</v>
      </c>
      <c r="L69" s="39">
        <v>45468</v>
      </c>
      <c r="M69" s="37">
        <v>1.21</v>
      </c>
      <c r="O69" s="39">
        <v>43833</v>
      </c>
      <c r="P69" s="37">
        <v>1.55</v>
      </c>
      <c r="R69" s="39">
        <v>45467</v>
      </c>
      <c r="S69" s="37">
        <v>5.2</v>
      </c>
      <c r="U69" s="39">
        <v>45469</v>
      </c>
      <c r="V69" s="37">
        <v>5.5</v>
      </c>
    </row>
    <row r="70" spans="6:22" x14ac:dyDescent="0.2">
      <c r="F70" s="39">
        <v>45468</v>
      </c>
      <c r="G70" s="37">
        <v>4.3499999999999996</v>
      </c>
      <c r="I70" s="39">
        <v>45468</v>
      </c>
      <c r="J70" s="37">
        <v>3.6629999999999998</v>
      </c>
      <c r="L70" s="39">
        <v>45467</v>
      </c>
      <c r="M70" s="37">
        <v>1.2</v>
      </c>
      <c r="O70" s="39">
        <v>43836</v>
      </c>
      <c r="P70" s="37">
        <v>1.55</v>
      </c>
      <c r="R70" s="39">
        <v>45464</v>
      </c>
      <c r="S70" s="37">
        <v>5.2</v>
      </c>
      <c r="U70" s="39">
        <v>45468</v>
      </c>
      <c r="V70" s="37">
        <v>5.5</v>
      </c>
    </row>
    <row r="71" spans="6:22" x14ac:dyDescent="0.2">
      <c r="F71" s="39">
        <v>45467</v>
      </c>
      <c r="G71" s="37">
        <v>4.3499999999999996</v>
      </c>
      <c r="I71" s="39">
        <v>45467</v>
      </c>
      <c r="J71" s="37">
        <v>3.6629999999999998</v>
      </c>
      <c r="L71" s="39">
        <v>45464</v>
      </c>
      <c r="M71" s="37">
        <v>1.2</v>
      </c>
      <c r="O71" s="39">
        <v>43837</v>
      </c>
      <c r="P71" s="37">
        <v>1.56</v>
      </c>
      <c r="R71" s="39">
        <v>45463</v>
      </c>
      <c r="S71" s="37">
        <v>5.2</v>
      </c>
      <c r="U71" s="39">
        <v>45467</v>
      </c>
      <c r="V71" s="37">
        <v>5.5</v>
      </c>
    </row>
    <row r="72" spans="6:22" x14ac:dyDescent="0.2">
      <c r="F72" s="39">
        <v>45464</v>
      </c>
      <c r="G72" s="37">
        <v>4.3499999999999996</v>
      </c>
      <c r="I72" s="39">
        <v>45464</v>
      </c>
      <c r="J72" s="37">
        <v>3.6640000000000001</v>
      </c>
      <c r="L72" s="39">
        <v>45463</v>
      </c>
      <c r="M72" s="37">
        <v>1.46</v>
      </c>
      <c r="O72" s="39">
        <v>43838</v>
      </c>
      <c r="P72" s="37">
        <v>1.55</v>
      </c>
      <c r="R72" s="39">
        <v>45462</v>
      </c>
      <c r="S72" s="37">
        <v>5.2</v>
      </c>
      <c r="U72" s="39">
        <v>45464</v>
      </c>
      <c r="V72" s="37">
        <v>5.5</v>
      </c>
    </row>
    <row r="73" spans="6:22" x14ac:dyDescent="0.2">
      <c r="F73" s="39">
        <v>45463</v>
      </c>
      <c r="G73" s="37">
        <v>4.3499999999999996</v>
      </c>
      <c r="I73" s="39">
        <v>45463</v>
      </c>
      <c r="J73" s="37">
        <v>3.6629999999999998</v>
      </c>
      <c r="L73" s="39">
        <v>45462</v>
      </c>
      <c r="M73" s="37">
        <v>1.45</v>
      </c>
      <c r="O73" s="39">
        <v>43839</v>
      </c>
      <c r="P73" s="37">
        <v>1.55</v>
      </c>
      <c r="R73" s="39">
        <v>45461</v>
      </c>
      <c r="S73" s="37">
        <v>5.2</v>
      </c>
      <c r="U73" s="39">
        <v>45463</v>
      </c>
      <c r="V73" s="37">
        <v>5.5</v>
      </c>
    </row>
    <row r="74" spans="6:22" x14ac:dyDescent="0.2">
      <c r="F74" s="39">
        <v>45462</v>
      </c>
      <c r="G74" s="37">
        <v>4.3499999999999996</v>
      </c>
      <c r="I74" s="39">
        <v>45462</v>
      </c>
      <c r="J74" s="37">
        <v>3.6629999999999998</v>
      </c>
      <c r="L74" s="39">
        <v>45461</v>
      </c>
      <c r="M74" s="37">
        <v>1.45</v>
      </c>
      <c r="O74" s="39">
        <v>43840</v>
      </c>
      <c r="P74" s="37">
        <v>1.55</v>
      </c>
      <c r="R74" s="39">
        <v>45460</v>
      </c>
      <c r="S74" s="37">
        <v>5.2</v>
      </c>
      <c r="U74" s="39">
        <v>45462</v>
      </c>
      <c r="V74" s="37">
        <v>5.5</v>
      </c>
    </row>
    <row r="75" spans="6:22" x14ac:dyDescent="0.2">
      <c r="F75" s="39">
        <v>45461</v>
      </c>
      <c r="G75" s="37">
        <v>4.3499999999999996</v>
      </c>
      <c r="I75" s="39">
        <v>45461</v>
      </c>
      <c r="J75" s="37">
        <v>3.6659999999999999</v>
      </c>
      <c r="L75" s="39">
        <v>45460</v>
      </c>
      <c r="M75" s="37">
        <v>1.46</v>
      </c>
      <c r="O75" s="39">
        <v>43843</v>
      </c>
      <c r="P75" s="37">
        <v>1.54</v>
      </c>
      <c r="R75" s="39">
        <v>45457</v>
      </c>
      <c r="S75" s="37">
        <v>5.2</v>
      </c>
      <c r="U75" s="39">
        <v>45461</v>
      </c>
      <c r="V75" s="37">
        <v>5.5</v>
      </c>
    </row>
    <row r="76" spans="6:22" x14ac:dyDescent="0.2">
      <c r="F76" s="39">
        <v>45460</v>
      </c>
      <c r="G76" s="37">
        <v>4.3499999999999996</v>
      </c>
      <c r="I76" s="39">
        <v>45460</v>
      </c>
      <c r="J76" s="37">
        <v>3.6619999999999999</v>
      </c>
      <c r="L76" s="39">
        <v>45457</v>
      </c>
      <c r="M76" s="37">
        <v>1.45</v>
      </c>
      <c r="O76" s="39">
        <v>43844</v>
      </c>
      <c r="P76" s="37">
        <v>1.55</v>
      </c>
      <c r="R76" s="39">
        <v>45456</v>
      </c>
      <c r="S76" s="37">
        <v>5.2</v>
      </c>
      <c r="U76" s="39">
        <v>45460</v>
      </c>
      <c r="V76" s="37">
        <v>5.5</v>
      </c>
    </row>
    <row r="77" spans="6:22" x14ac:dyDescent="0.2">
      <c r="F77" s="39">
        <v>45457</v>
      </c>
      <c r="G77" s="37">
        <v>4.3499999999999996</v>
      </c>
      <c r="I77" s="39">
        <v>45457</v>
      </c>
      <c r="J77" s="37">
        <v>3.6619999999999999</v>
      </c>
      <c r="L77" s="39">
        <v>45456</v>
      </c>
      <c r="M77" s="37">
        <v>1.45</v>
      </c>
      <c r="O77" s="39">
        <v>43845</v>
      </c>
      <c r="P77" s="37">
        <v>1.56</v>
      </c>
      <c r="R77" s="39">
        <v>45455</v>
      </c>
      <c r="S77" s="37">
        <v>5.2</v>
      </c>
      <c r="U77" s="39">
        <v>45457</v>
      </c>
      <c r="V77" s="37">
        <v>5.5</v>
      </c>
    </row>
    <row r="78" spans="6:22" x14ac:dyDescent="0.2">
      <c r="F78" s="39">
        <v>45456</v>
      </c>
      <c r="G78" s="37">
        <v>4.3499999999999996</v>
      </c>
      <c r="I78" s="39">
        <v>45456</v>
      </c>
      <c r="J78" s="37">
        <v>3.661</v>
      </c>
      <c r="L78" s="39">
        <v>45455</v>
      </c>
      <c r="M78" s="37">
        <v>1.45</v>
      </c>
      <c r="O78" s="39">
        <v>43846</v>
      </c>
      <c r="P78" s="37">
        <v>1.55</v>
      </c>
      <c r="R78" s="39">
        <v>45454</v>
      </c>
      <c r="S78" s="37">
        <v>5.2</v>
      </c>
      <c r="U78" s="39">
        <v>45456</v>
      </c>
      <c r="V78" s="37">
        <v>5.5</v>
      </c>
    </row>
    <row r="79" spans="6:22" x14ac:dyDescent="0.2">
      <c r="F79" s="39">
        <v>45455</v>
      </c>
      <c r="G79" s="37">
        <v>4.3499999999999996</v>
      </c>
      <c r="I79" s="39">
        <v>45455</v>
      </c>
      <c r="J79" s="37">
        <v>3.6619999999999999</v>
      </c>
      <c r="L79" s="39">
        <v>45454</v>
      </c>
      <c r="M79" s="37">
        <v>1.46</v>
      </c>
      <c r="O79" s="39">
        <v>43847</v>
      </c>
      <c r="P79" s="37">
        <v>1.54</v>
      </c>
      <c r="R79" s="39">
        <v>45453</v>
      </c>
      <c r="S79" s="37">
        <v>5.2</v>
      </c>
      <c r="U79" s="39">
        <v>45455</v>
      </c>
      <c r="V79" s="37">
        <v>5.5</v>
      </c>
    </row>
    <row r="80" spans="6:22" x14ac:dyDescent="0.2">
      <c r="F80" s="39">
        <v>45454</v>
      </c>
      <c r="G80" s="37">
        <v>4.3499999999999996</v>
      </c>
      <c r="I80" s="39">
        <v>45454</v>
      </c>
      <c r="J80" s="37">
        <v>3.9089999999999998</v>
      </c>
      <c r="L80" s="39">
        <v>45453</v>
      </c>
      <c r="M80" s="37">
        <v>1.45</v>
      </c>
      <c r="O80" s="39">
        <v>43851</v>
      </c>
      <c r="P80" s="37">
        <v>1.54</v>
      </c>
      <c r="R80" s="39">
        <v>45450</v>
      </c>
      <c r="S80" s="37">
        <v>5.2</v>
      </c>
      <c r="U80" s="39">
        <v>45454</v>
      </c>
      <c r="V80" s="37">
        <v>5.5</v>
      </c>
    </row>
    <row r="81" spans="6:22" x14ac:dyDescent="0.2">
      <c r="F81" s="39">
        <v>45450</v>
      </c>
      <c r="G81" s="37">
        <v>4.3499999999999996</v>
      </c>
      <c r="I81" s="39">
        <v>45453</v>
      </c>
      <c r="J81" s="37">
        <v>3.9119999999999999</v>
      </c>
      <c r="L81" s="39">
        <v>45450</v>
      </c>
      <c r="M81" s="37">
        <v>1.45</v>
      </c>
      <c r="O81" s="39">
        <v>43852</v>
      </c>
      <c r="P81" s="37">
        <v>1.54</v>
      </c>
      <c r="R81" s="39">
        <v>45449</v>
      </c>
      <c r="S81" s="37">
        <v>5.2</v>
      </c>
      <c r="U81" s="39">
        <v>45453</v>
      </c>
      <c r="V81" s="37">
        <v>5.5</v>
      </c>
    </row>
    <row r="82" spans="6:22" x14ac:dyDescent="0.2">
      <c r="F82" s="39">
        <v>45449</v>
      </c>
      <c r="G82" s="37">
        <v>4.3499999999999996</v>
      </c>
      <c r="I82" s="39">
        <v>45450</v>
      </c>
      <c r="J82" s="37">
        <v>3.9119999999999999</v>
      </c>
      <c r="L82" s="39">
        <v>45449</v>
      </c>
      <c r="M82" s="37">
        <v>1.45</v>
      </c>
      <c r="O82" s="39">
        <v>43853</v>
      </c>
      <c r="P82" s="37">
        <v>1.54</v>
      </c>
      <c r="R82" s="39">
        <v>45448</v>
      </c>
      <c r="S82" s="37">
        <v>5.2</v>
      </c>
      <c r="U82" s="39">
        <v>45450</v>
      </c>
      <c r="V82" s="37">
        <v>5.5</v>
      </c>
    </row>
    <row r="83" spans="6:22" x14ac:dyDescent="0.2">
      <c r="F83" s="39">
        <v>45448</v>
      </c>
      <c r="G83" s="37">
        <v>4.3499999999999996</v>
      </c>
      <c r="I83" s="39">
        <v>45449</v>
      </c>
      <c r="J83" s="37">
        <v>3.911</v>
      </c>
      <c r="L83" s="39">
        <v>45448</v>
      </c>
      <c r="M83" s="37">
        <v>1.45</v>
      </c>
      <c r="O83" s="39">
        <v>43854</v>
      </c>
      <c r="P83" s="37">
        <v>1.53</v>
      </c>
      <c r="R83" s="39">
        <v>45447</v>
      </c>
      <c r="S83" s="37">
        <v>5.2</v>
      </c>
      <c r="U83" s="39">
        <v>45449</v>
      </c>
      <c r="V83" s="37">
        <v>5.5</v>
      </c>
    </row>
    <row r="84" spans="6:22" x14ac:dyDescent="0.2">
      <c r="F84" s="39">
        <v>45447</v>
      </c>
      <c r="G84" s="37">
        <v>4.3499999999999996</v>
      </c>
      <c r="I84" s="39">
        <v>45448</v>
      </c>
      <c r="J84" s="37">
        <v>3.9129999999999998</v>
      </c>
      <c r="L84" s="39">
        <v>45447</v>
      </c>
      <c r="M84" s="37">
        <v>1.45</v>
      </c>
      <c r="O84" s="39">
        <v>43857</v>
      </c>
      <c r="P84" s="37">
        <v>1.53</v>
      </c>
      <c r="R84" s="39">
        <v>45446</v>
      </c>
      <c r="S84" s="37">
        <v>5.2</v>
      </c>
      <c r="U84" s="39">
        <v>45448</v>
      </c>
      <c r="V84" s="37">
        <v>5.5</v>
      </c>
    </row>
    <row r="85" spans="6:22" x14ac:dyDescent="0.2">
      <c r="F85" s="39">
        <v>45446</v>
      </c>
      <c r="G85" s="37">
        <v>4.3499999999999996</v>
      </c>
      <c r="I85" s="39">
        <v>45447</v>
      </c>
      <c r="J85" s="37">
        <v>3.911</v>
      </c>
      <c r="L85" s="39">
        <v>45446</v>
      </c>
      <c r="M85" s="37">
        <v>1.45</v>
      </c>
      <c r="O85" s="39">
        <v>43858</v>
      </c>
      <c r="P85" s="37">
        <v>1.53</v>
      </c>
      <c r="R85" s="39">
        <v>45443</v>
      </c>
      <c r="S85" s="37">
        <v>5.2</v>
      </c>
      <c r="U85" s="39">
        <v>45447</v>
      </c>
      <c r="V85" s="37">
        <v>5.5</v>
      </c>
    </row>
    <row r="86" spans="6:22" x14ac:dyDescent="0.2">
      <c r="F86" s="39">
        <v>45443</v>
      </c>
      <c r="G86" s="37">
        <v>4.3499999999999996</v>
      </c>
      <c r="I86" s="39">
        <v>45446</v>
      </c>
      <c r="J86" s="37">
        <v>3.9129999999999998</v>
      </c>
      <c r="L86" s="39">
        <v>45443</v>
      </c>
      <c r="M86" s="37">
        <v>1.45</v>
      </c>
      <c r="O86" s="39">
        <v>43859</v>
      </c>
      <c r="P86" s="37">
        <v>1.53</v>
      </c>
      <c r="R86" s="39">
        <v>45442</v>
      </c>
      <c r="S86" s="37">
        <v>5.2</v>
      </c>
      <c r="U86" s="39">
        <v>45443</v>
      </c>
      <c r="V86" s="37">
        <v>5.5</v>
      </c>
    </row>
    <row r="87" spans="6:22" x14ac:dyDescent="0.2">
      <c r="F87" s="39">
        <v>45442</v>
      </c>
      <c r="G87" s="37">
        <v>4.3499999999999996</v>
      </c>
      <c r="I87" s="39">
        <v>45443</v>
      </c>
      <c r="J87" s="37">
        <v>3.8919999999999999</v>
      </c>
      <c r="L87" s="39">
        <v>45442</v>
      </c>
      <c r="M87" s="37">
        <v>1.45</v>
      </c>
      <c r="O87" s="39">
        <v>43860</v>
      </c>
      <c r="P87" s="37">
        <v>1.58</v>
      </c>
      <c r="R87" s="39">
        <v>45441</v>
      </c>
      <c r="S87" s="37">
        <v>5.2</v>
      </c>
      <c r="U87" s="39">
        <v>45442</v>
      </c>
      <c r="V87" s="37">
        <v>5.5</v>
      </c>
    </row>
    <row r="88" spans="6:22" x14ac:dyDescent="0.2">
      <c r="F88" s="39">
        <v>45441</v>
      </c>
      <c r="G88" s="37">
        <v>4.3499999999999996</v>
      </c>
      <c r="I88" s="39">
        <v>45442</v>
      </c>
      <c r="J88" s="37">
        <v>3.91</v>
      </c>
      <c r="L88" s="39">
        <v>45441</v>
      </c>
      <c r="M88" s="37">
        <v>1.45</v>
      </c>
      <c r="O88" s="39">
        <v>43861</v>
      </c>
      <c r="P88" s="37">
        <v>1.6</v>
      </c>
      <c r="R88" s="39">
        <v>45440</v>
      </c>
      <c r="S88" s="37">
        <v>5.2</v>
      </c>
      <c r="U88" s="39">
        <v>45441</v>
      </c>
      <c r="V88" s="37">
        <v>5.5</v>
      </c>
    </row>
    <row r="89" spans="6:22" x14ac:dyDescent="0.2">
      <c r="F89" s="39">
        <v>45440</v>
      </c>
      <c r="G89" s="37">
        <v>4.3499999999999996</v>
      </c>
      <c r="I89" s="39">
        <v>45441</v>
      </c>
      <c r="J89" s="37">
        <v>3.9089999999999998</v>
      </c>
      <c r="L89" s="39">
        <v>45440</v>
      </c>
      <c r="M89" s="37">
        <v>1.45</v>
      </c>
      <c r="O89" s="39">
        <v>43864</v>
      </c>
      <c r="P89" s="37">
        <v>1.59</v>
      </c>
      <c r="R89" s="39">
        <v>45436</v>
      </c>
      <c r="S89" s="37">
        <v>5.2</v>
      </c>
      <c r="U89" s="39">
        <v>45440</v>
      </c>
      <c r="V89" s="37">
        <v>5.5</v>
      </c>
    </row>
    <row r="90" spans="6:22" x14ac:dyDescent="0.2">
      <c r="F90" s="39">
        <v>45439</v>
      </c>
      <c r="G90" s="37">
        <v>4.3499999999999996</v>
      </c>
      <c r="I90" s="39">
        <v>45440</v>
      </c>
      <c r="J90" s="37">
        <v>3.9089999999999998</v>
      </c>
      <c r="L90" s="39">
        <v>45439</v>
      </c>
      <c r="M90" s="37">
        <v>1.45</v>
      </c>
      <c r="O90" s="39">
        <v>43865</v>
      </c>
      <c r="P90" s="37">
        <v>1.6</v>
      </c>
      <c r="R90" s="39">
        <v>45435</v>
      </c>
      <c r="S90" s="37">
        <v>5.2</v>
      </c>
      <c r="U90" s="39">
        <v>45439</v>
      </c>
      <c r="V90" s="37">
        <v>5.5</v>
      </c>
    </row>
    <row r="91" spans="6:22" x14ac:dyDescent="0.2">
      <c r="F91" s="39">
        <v>45436</v>
      </c>
      <c r="G91" s="37">
        <v>4.3499999999999996</v>
      </c>
      <c r="I91" s="39">
        <v>45439</v>
      </c>
      <c r="J91" s="37">
        <v>3.911</v>
      </c>
      <c r="L91" s="39">
        <v>45436</v>
      </c>
      <c r="M91" s="37">
        <v>1.46</v>
      </c>
      <c r="O91" s="39">
        <v>43866</v>
      </c>
      <c r="P91" s="37">
        <v>1.59</v>
      </c>
      <c r="R91" s="39">
        <v>45434</v>
      </c>
      <c r="S91" s="37">
        <v>5.2</v>
      </c>
      <c r="U91" s="39">
        <v>45436</v>
      </c>
      <c r="V91" s="37">
        <v>5.5</v>
      </c>
    </row>
    <row r="92" spans="6:22" x14ac:dyDescent="0.2">
      <c r="F92" s="39">
        <v>45435</v>
      </c>
      <c r="G92" s="37">
        <v>4.3499999999999996</v>
      </c>
      <c r="I92" s="39">
        <v>45436</v>
      </c>
      <c r="J92" s="37">
        <v>3.91</v>
      </c>
      <c r="L92" s="39">
        <v>45435</v>
      </c>
      <c r="M92" s="37">
        <v>1.45</v>
      </c>
      <c r="O92" s="39">
        <v>43867</v>
      </c>
      <c r="P92" s="37">
        <v>1.59</v>
      </c>
      <c r="R92" s="39">
        <v>45433</v>
      </c>
      <c r="S92" s="37">
        <v>5.2</v>
      </c>
      <c r="U92" s="39">
        <v>45435</v>
      </c>
      <c r="V92" s="37">
        <v>5.5</v>
      </c>
    </row>
    <row r="93" spans="6:22" x14ac:dyDescent="0.2">
      <c r="F93" s="39">
        <v>45434</v>
      </c>
      <c r="G93" s="37">
        <v>4.3499999999999996</v>
      </c>
      <c r="I93" s="39">
        <v>45435</v>
      </c>
      <c r="J93" s="37">
        <v>3.9119999999999999</v>
      </c>
      <c r="L93" s="39">
        <v>45434</v>
      </c>
      <c r="M93" s="37">
        <v>1.46</v>
      </c>
      <c r="O93" s="39">
        <v>43868</v>
      </c>
      <c r="P93" s="37">
        <v>1.58</v>
      </c>
      <c r="R93" s="39">
        <v>45432</v>
      </c>
      <c r="S93" s="37">
        <v>5.2</v>
      </c>
      <c r="U93" s="39">
        <v>45434</v>
      </c>
      <c r="V93" s="37">
        <v>5.5</v>
      </c>
    </row>
    <row r="94" spans="6:22" x14ac:dyDescent="0.2">
      <c r="F94" s="39">
        <v>45433</v>
      </c>
      <c r="G94" s="37">
        <v>4.3499999999999996</v>
      </c>
      <c r="I94" s="39">
        <v>45434</v>
      </c>
      <c r="J94" s="37">
        <v>3.91</v>
      </c>
      <c r="L94" s="39">
        <v>45433</v>
      </c>
      <c r="M94" s="37">
        <v>1.46</v>
      </c>
      <c r="O94" s="39">
        <v>43871</v>
      </c>
      <c r="P94" s="37">
        <v>1.58</v>
      </c>
      <c r="R94" s="39">
        <v>45429</v>
      </c>
      <c r="S94" s="37">
        <v>5.2</v>
      </c>
      <c r="U94" s="39">
        <v>45433</v>
      </c>
      <c r="V94" s="37">
        <v>5.5</v>
      </c>
    </row>
    <row r="95" spans="6:22" x14ac:dyDescent="0.2">
      <c r="F95" s="39">
        <v>45432</v>
      </c>
      <c r="G95" s="37">
        <v>4.3499999999999996</v>
      </c>
      <c r="I95" s="39">
        <v>45433</v>
      </c>
      <c r="J95" s="37">
        <v>3.9119999999999999</v>
      </c>
      <c r="L95" s="39">
        <v>45429</v>
      </c>
      <c r="M95" s="37">
        <v>1.46</v>
      </c>
      <c r="O95" s="39">
        <v>43872</v>
      </c>
      <c r="P95" s="37">
        <v>1.58</v>
      </c>
      <c r="R95" s="39">
        <v>45428</v>
      </c>
      <c r="S95" s="37">
        <v>5.2</v>
      </c>
      <c r="U95" s="39">
        <v>45432</v>
      </c>
      <c r="V95" s="37">
        <v>5.5</v>
      </c>
    </row>
    <row r="96" spans="6:22" x14ac:dyDescent="0.2">
      <c r="F96" s="39">
        <v>45429</v>
      </c>
      <c r="G96" s="37">
        <v>4.3499999999999996</v>
      </c>
      <c r="I96" s="39">
        <v>45432</v>
      </c>
      <c r="J96" s="37">
        <v>3.9039999999999999</v>
      </c>
      <c r="L96" s="39">
        <v>45428</v>
      </c>
      <c r="M96" s="37">
        <v>1.46</v>
      </c>
      <c r="O96" s="39">
        <v>43873</v>
      </c>
      <c r="P96" s="37">
        <v>1.57</v>
      </c>
      <c r="R96" s="39">
        <v>45427</v>
      </c>
      <c r="S96" s="37">
        <v>5.2</v>
      </c>
      <c r="U96" s="39">
        <v>45429</v>
      </c>
      <c r="V96" s="37">
        <v>5.5</v>
      </c>
    </row>
    <row r="97" spans="6:22" x14ac:dyDescent="0.2">
      <c r="F97" s="39">
        <v>45428</v>
      </c>
      <c r="G97" s="37">
        <v>4.3499999999999996</v>
      </c>
      <c r="I97" s="39">
        <v>45429</v>
      </c>
      <c r="J97" s="37">
        <v>3.9009999999999998</v>
      </c>
      <c r="L97" s="39">
        <v>45427</v>
      </c>
      <c r="M97" s="37">
        <v>1.45</v>
      </c>
      <c r="O97" s="39">
        <v>43874</v>
      </c>
      <c r="P97" s="37">
        <v>1.57</v>
      </c>
      <c r="R97" s="39">
        <v>45426</v>
      </c>
      <c r="S97" s="37">
        <v>5.2</v>
      </c>
      <c r="U97" s="39">
        <v>45428</v>
      </c>
      <c r="V97" s="37">
        <v>5.5</v>
      </c>
    </row>
    <row r="98" spans="6:22" x14ac:dyDescent="0.2">
      <c r="F98" s="39">
        <v>45427</v>
      </c>
      <c r="G98" s="37">
        <v>4.3499999999999996</v>
      </c>
      <c r="I98" s="39">
        <v>45428</v>
      </c>
      <c r="J98" s="37">
        <v>3.9039999999999999</v>
      </c>
      <c r="L98" s="39">
        <v>45426</v>
      </c>
      <c r="M98" s="37">
        <v>1.45</v>
      </c>
      <c r="O98" s="39">
        <v>43875</v>
      </c>
      <c r="P98" s="37">
        <v>1.58</v>
      </c>
      <c r="R98" s="39">
        <v>45425</v>
      </c>
      <c r="S98" s="37">
        <v>5.2</v>
      </c>
      <c r="U98" s="39">
        <v>45427</v>
      </c>
      <c r="V98" s="37">
        <v>5.5</v>
      </c>
    </row>
    <row r="99" spans="6:22" x14ac:dyDescent="0.2">
      <c r="F99" s="39">
        <v>45426</v>
      </c>
      <c r="G99" s="37">
        <v>4.3499999999999996</v>
      </c>
      <c r="I99" s="39">
        <v>45427</v>
      </c>
      <c r="J99" s="37">
        <v>3.9079999999999999</v>
      </c>
      <c r="L99" s="39">
        <v>45425</v>
      </c>
      <c r="M99" s="37">
        <v>1.45</v>
      </c>
      <c r="O99" s="39">
        <v>43879</v>
      </c>
      <c r="P99" s="37">
        <v>1.6</v>
      </c>
      <c r="R99" s="39">
        <v>45422</v>
      </c>
      <c r="S99" s="37">
        <v>5.2</v>
      </c>
      <c r="U99" s="39">
        <v>45426</v>
      </c>
      <c r="V99" s="37">
        <v>5.5</v>
      </c>
    </row>
    <row r="100" spans="6:22" x14ac:dyDescent="0.2">
      <c r="F100" s="39">
        <v>45425</v>
      </c>
      <c r="G100" s="37">
        <v>4.3499999999999996</v>
      </c>
      <c r="I100" s="39">
        <v>45426</v>
      </c>
      <c r="J100" s="37">
        <v>3.907</v>
      </c>
      <c r="L100" s="39">
        <v>45422</v>
      </c>
      <c r="M100" s="37">
        <v>1.45</v>
      </c>
      <c r="O100" s="39">
        <v>43880</v>
      </c>
      <c r="P100" s="37">
        <v>1.59</v>
      </c>
      <c r="R100" s="39">
        <v>45421</v>
      </c>
      <c r="S100" s="37">
        <v>5.2</v>
      </c>
      <c r="U100" s="39">
        <v>45425</v>
      </c>
      <c r="V100" s="37">
        <v>5.5</v>
      </c>
    </row>
    <row r="101" spans="6:22" x14ac:dyDescent="0.2">
      <c r="F101" s="39">
        <v>45422</v>
      </c>
      <c r="G101" s="37">
        <v>4.3499999999999996</v>
      </c>
      <c r="I101" s="39">
        <v>45425</v>
      </c>
      <c r="J101" s="37">
        <v>3.907</v>
      </c>
      <c r="L101" s="39">
        <v>45420</v>
      </c>
      <c r="M101" s="37">
        <v>1.45</v>
      </c>
      <c r="O101" s="39">
        <v>43881</v>
      </c>
      <c r="P101" s="37">
        <v>1.6</v>
      </c>
      <c r="R101" s="39">
        <v>45420</v>
      </c>
      <c r="S101" s="37">
        <v>5.2</v>
      </c>
      <c r="U101" s="39">
        <v>45422</v>
      </c>
      <c r="V101" s="37">
        <v>5.5</v>
      </c>
    </row>
    <row r="102" spans="6:22" x14ac:dyDescent="0.2">
      <c r="F102" s="39">
        <v>45421</v>
      </c>
      <c r="G102" s="37">
        <v>4.3499999999999996</v>
      </c>
      <c r="I102" s="39">
        <v>45422</v>
      </c>
      <c r="J102" s="37">
        <v>3.9060000000000001</v>
      </c>
      <c r="L102" s="39">
        <v>45419</v>
      </c>
      <c r="M102" s="37">
        <v>1.45</v>
      </c>
      <c r="O102" s="39">
        <v>43882</v>
      </c>
      <c r="P102" s="37">
        <v>1.58</v>
      </c>
      <c r="R102" s="39">
        <v>45419</v>
      </c>
      <c r="S102" s="37">
        <v>5.2</v>
      </c>
      <c r="U102" s="39">
        <v>45421</v>
      </c>
      <c r="V102" s="37">
        <v>5.5</v>
      </c>
    </row>
    <row r="103" spans="6:22" x14ac:dyDescent="0.2">
      <c r="F103" s="39">
        <v>45420</v>
      </c>
      <c r="G103" s="37">
        <v>4.3499999999999996</v>
      </c>
      <c r="I103" s="39">
        <v>45421</v>
      </c>
      <c r="J103" s="37">
        <v>3.9009999999999998</v>
      </c>
      <c r="L103" s="39">
        <v>45418</v>
      </c>
      <c r="M103" s="37">
        <v>1.44</v>
      </c>
      <c r="O103" s="39">
        <v>43885</v>
      </c>
      <c r="P103" s="37">
        <v>1.58</v>
      </c>
      <c r="R103" s="39">
        <v>45415</v>
      </c>
      <c r="S103" s="37">
        <v>5.2000999999999999</v>
      </c>
      <c r="U103" s="39">
        <v>45420</v>
      </c>
      <c r="V103" s="37">
        <v>5.5</v>
      </c>
    </row>
    <row r="104" spans="6:22" x14ac:dyDescent="0.2">
      <c r="F104" s="39">
        <v>45419</v>
      </c>
      <c r="G104" s="37">
        <v>4.3499999999999996</v>
      </c>
      <c r="I104" s="39">
        <v>45420</v>
      </c>
      <c r="J104" s="37">
        <v>3.9049999999999998</v>
      </c>
      <c r="L104" s="39">
        <v>45415</v>
      </c>
      <c r="M104" s="37">
        <v>1.43</v>
      </c>
      <c r="O104" s="39">
        <v>43886</v>
      </c>
      <c r="P104" s="37">
        <v>1.59</v>
      </c>
      <c r="R104" s="39">
        <v>45414</v>
      </c>
      <c r="S104" s="37">
        <v>5.2</v>
      </c>
      <c r="U104" s="39">
        <v>45419</v>
      </c>
      <c r="V104" s="37">
        <v>5.5</v>
      </c>
    </row>
    <row r="105" spans="6:22" x14ac:dyDescent="0.2">
      <c r="F105" s="39">
        <v>45418</v>
      </c>
      <c r="G105" s="37">
        <v>4.3499999999999996</v>
      </c>
      <c r="I105" s="39">
        <v>45419</v>
      </c>
      <c r="J105" s="37">
        <v>3.9060000000000001</v>
      </c>
      <c r="L105" s="39">
        <v>45414</v>
      </c>
      <c r="M105" s="37">
        <v>1.44</v>
      </c>
      <c r="O105" s="39">
        <v>43887</v>
      </c>
      <c r="P105" s="37">
        <v>1.58</v>
      </c>
      <c r="R105" s="39">
        <v>45413</v>
      </c>
      <c r="S105" s="37">
        <v>5.2</v>
      </c>
      <c r="U105" s="39">
        <v>45418</v>
      </c>
      <c r="V105" s="37">
        <v>5.5</v>
      </c>
    </row>
    <row r="106" spans="6:22" x14ac:dyDescent="0.2">
      <c r="F106" s="39">
        <v>45415</v>
      </c>
      <c r="G106" s="37">
        <v>4.3499999999999996</v>
      </c>
      <c r="I106" s="39">
        <v>45418</v>
      </c>
      <c r="J106" s="37">
        <v>3.9089999999999998</v>
      </c>
      <c r="L106" s="39">
        <v>45412</v>
      </c>
      <c r="M106" s="37">
        <v>1.44</v>
      </c>
      <c r="O106" s="39">
        <v>43888</v>
      </c>
      <c r="P106" s="37">
        <v>1.58</v>
      </c>
      <c r="R106" s="39">
        <v>45412</v>
      </c>
      <c r="S106" s="37">
        <v>5.1997999999999998</v>
      </c>
      <c r="U106" s="39">
        <v>45415</v>
      </c>
      <c r="V106" s="37">
        <v>5.5</v>
      </c>
    </row>
    <row r="107" spans="6:22" x14ac:dyDescent="0.2">
      <c r="F107" s="39">
        <v>45414</v>
      </c>
      <c r="G107" s="37">
        <v>4.3499999999999996</v>
      </c>
      <c r="I107" s="39">
        <v>45415</v>
      </c>
      <c r="J107" s="37">
        <v>3.9079999999999999</v>
      </c>
      <c r="L107" s="39">
        <v>45411</v>
      </c>
      <c r="M107" s="37">
        <v>1.45</v>
      </c>
      <c r="O107" s="39">
        <v>43889</v>
      </c>
      <c r="P107" s="37">
        <v>1.6</v>
      </c>
      <c r="R107" s="39">
        <v>45411</v>
      </c>
      <c r="S107" s="37">
        <v>5.2</v>
      </c>
      <c r="U107" s="39">
        <v>45414</v>
      </c>
      <c r="V107" s="37">
        <v>5.5</v>
      </c>
    </row>
    <row r="108" spans="6:22" x14ac:dyDescent="0.2">
      <c r="F108" s="39">
        <v>45413</v>
      </c>
      <c r="G108" s="37">
        <v>4.3499999999999996</v>
      </c>
      <c r="I108" s="39">
        <v>45414</v>
      </c>
      <c r="J108" s="37">
        <v>3.91</v>
      </c>
      <c r="L108" s="39">
        <v>45408</v>
      </c>
      <c r="M108" s="37">
        <v>1.45</v>
      </c>
      <c r="O108" s="39">
        <v>43892</v>
      </c>
      <c r="P108" s="37">
        <v>1.59</v>
      </c>
      <c r="R108" s="39">
        <v>45408</v>
      </c>
      <c r="S108" s="37">
        <v>5.1999000000000004</v>
      </c>
      <c r="U108" s="39">
        <v>45413</v>
      </c>
      <c r="V108" s="37">
        <v>5.5</v>
      </c>
    </row>
    <row r="109" spans="6:22" x14ac:dyDescent="0.2">
      <c r="F109" s="39">
        <v>45412</v>
      </c>
      <c r="G109" s="37">
        <v>4.3499999999999996</v>
      </c>
      <c r="I109" s="39">
        <v>45412</v>
      </c>
      <c r="J109" s="37">
        <v>3.8889999999999998</v>
      </c>
      <c r="L109" s="39">
        <v>45407</v>
      </c>
      <c r="M109" s="37">
        <v>1.45</v>
      </c>
      <c r="O109" s="39">
        <v>43893</v>
      </c>
      <c r="P109" s="37">
        <v>1.64</v>
      </c>
      <c r="R109" s="39">
        <v>45407</v>
      </c>
      <c r="S109" s="37">
        <v>5.1997999999999998</v>
      </c>
      <c r="U109" s="39">
        <v>45412</v>
      </c>
      <c r="V109" s="37">
        <v>5.5</v>
      </c>
    </row>
    <row r="110" spans="6:22" x14ac:dyDescent="0.2">
      <c r="F110" s="39">
        <v>45411</v>
      </c>
      <c r="G110" s="37">
        <v>4.3499999999999996</v>
      </c>
      <c r="I110" s="39">
        <v>45411</v>
      </c>
      <c r="J110" s="37">
        <v>3.9060000000000001</v>
      </c>
      <c r="L110" s="39">
        <v>45406</v>
      </c>
      <c r="M110" s="37">
        <v>1.44</v>
      </c>
      <c r="O110" s="39">
        <v>43894</v>
      </c>
      <c r="P110" s="37">
        <v>1.23</v>
      </c>
      <c r="R110" s="39">
        <v>45406</v>
      </c>
      <c r="S110" s="37">
        <v>5.1993</v>
      </c>
      <c r="U110" s="39">
        <v>45411</v>
      </c>
      <c r="V110" s="37">
        <v>5.5</v>
      </c>
    </row>
    <row r="111" spans="6:22" x14ac:dyDescent="0.2">
      <c r="F111" s="39">
        <v>45408</v>
      </c>
      <c r="G111" s="37">
        <v>4.3499999999999996</v>
      </c>
      <c r="I111" s="39">
        <v>45408</v>
      </c>
      <c r="J111" s="37">
        <v>3.907</v>
      </c>
      <c r="L111" s="39">
        <v>45405</v>
      </c>
      <c r="M111" s="37">
        <v>1.44</v>
      </c>
      <c r="O111" s="39">
        <v>43895</v>
      </c>
      <c r="P111" s="37">
        <v>1.1200000000000001</v>
      </c>
      <c r="R111" s="39">
        <v>45405</v>
      </c>
      <c r="S111" s="37">
        <v>5.1997</v>
      </c>
      <c r="U111" s="39">
        <v>45408</v>
      </c>
      <c r="V111" s="37">
        <v>5.5</v>
      </c>
    </row>
    <row r="112" spans="6:22" x14ac:dyDescent="0.2">
      <c r="F112" s="39">
        <v>45406</v>
      </c>
      <c r="G112" s="37">
        <v>4.3499999999999996</v>
      </c>
      <c r="I112" s="39">
        <v>45407</v>
      </c>
      <c r="J112" s="37">
        <v>3.9089999999999998</v>
      </c>
      <c r="L112" s="39">
        <v>45404</v>
      </c>
      <c r="M112" s="37">
        <v>1.44</v>
      </c>
      <c r="O112" s="39">
        <v>43896</v>
      </c>
      <c r="P112" s="37">
        <v>1.1000000000000001</v>
      </c>
      <c r="R112" s="39">
        <v>45404</v>
      </c>
      <c r="S112" s="37">
        <v>5.1993</v>
      </c>
      <c r="U112" s="39">
        <v>45406</v>
      </c>
      <c r="V112" s="37">
        <v>5.5</v>
      </c>
    </row>
    <row r="113" spans="6:22" x14ac:dyDescent="0.2">
      <c r="F113" s="39">
        <v>45405</v>
      </c>
      <c r="G113" s="37">
        <v>4.3499999999999996</v>
      </c>
      <c r="I113" s="39">
        <v>45406</v>
      </c>
      <c r="J113" s="37">
        <v>3.911</v>
      </c>
      <c r="L113" s="39">
        <v>45401</v>
      </c>
      <c r="M113" s="37">
        <v>1.44</v>
      </c>
      <c r="O113" s="39">
        <v>43899</v>
      </c>
      <c r="P113" s="37">
        <v>1.0900000000000001</v>
      </c>
      <c r="R113" s="39">
        <v>45401</v>
      </c>
      <c r="S113" s="37">
        <v>5.1984000000000004</v>
      </c>
      <c r="U113" s="39">
        <v>45405</v>
      </c>
      <c r="V113" s="37">
        <v>5.5</v>
      </c>
    </row>
    <row r="114" spans="6:22" x14ac:dyDescent="0.2">
      <c r="F114" s="39">
        <v>45404</v>
      </c>
      <c r="G114" s="37">
        <v>4.3499999999999996</v>
      </c>
      <c r="I114" s="39">
        <v>45405</v>
      </c>
      <c r="J114" s="37">
        <v>3.9079999999999999</v>
      </c>
      <c r="L114" s="39">
        <v>45400</v>
      </c>
      <c r="M114" s="37">
        <v>1.44</v>
      </c>
      <c r="O114" s="39">
        <v>43900</v>
      </c>
      <c r="P114" s="37">
        <v>1.1100000000000001</v>
      </c>
      <c r="R114" s="39">
        <v>45400</v>
      </c>
      <c r="S114" s="37">
        <v>5.1984000000000004</v>
      </c>
      <c r="U114" s="39">
        <v>45404</v>
      </c>
      <c r="V114" s="37">
        <v>5.5</v>
      </c>
    </row>
    <row r="115" spans="6:22" x14ac:dyDescent="0.2">
      <c r="F115" s="39">
        <v>45401</v>
      </c>
      <c r="G115" s="37">
        <v>4.3499999999999996</v>
      </c>
      <c r="I115" s="39">
        <v>45404</v>
      </c>
      <c r="J115" s="37">
        <v>3.91</v>
      </c>
      <c r="L115" s="39">
        <v>45399</v>
      </c>
      <c r="M115" s="37">
        <v>1.45</v>
      </c>
      <c r="O115" s="39">
        <v>43901</v>
      </c>
      <c r="P115" s="37">
        <v>1.1499999999999999</v>
      </c>
      <c r="R115" s="39">
        <v>45399</v>
      </c>
      <c r="S115" s="37">
        <v>5.1984000000000004</v>
      </c>
      <c r="U115" s="39">
        <v>45401</v>
      </c>
      <c r="V115" s="37">
        <v>5.5</v>
      </c>
    </row>
    <row r="116" spans="6:22" x14ac:dyDescent="0.2">
      <c r="F116" s="39">
        <v>45400</v>
      </c>
      <c r="G116" s="37">
        <v>4.3499999999999996</v>
      </c>
      <c r="I116" s="39">
        <v>45401</v>
      </c>
      <c r="J116" s="37">
        <v>3.91</v>
      </c>
      <c r="L116" s="39">
        <v>45398</v>
      </c>
      <c r="M116" s="37">
        <v>1.45</v>
      </c>
      <c r="O116" s="39">
        <v>43902</v>
      </c>
      <c r="P116" s="37">
        <v>1.2</v>
      </c>
      <c r="R116" s="39">
        <v>45398</v>
      </c>
      <c r="S116" s="37">
        <v>5.1984000000000004</v>
      </c>
      <c r="U116" s="39">
        <v>45400</v>
      </c>
      <c r="V116" s="37">
        <v>5.5</v>
      </c>
    </row>
    <row r="117" spans="6:22" x14ac:dyDescent="0.2">
      <c r="F117" s="39">
        <v>45399</v>
      </c>
      <c r="G117" s="37">
        <v>4.3499999999999996</v>
      </c>
      <c r="I117" s="39">
        <v>45400</v>
      </c>
      <c r="J117" s="37">
        <v>3.9089999999999998</v>
      </c>
      <c r="L117" s="39">
        <v>45397</v>
      </c>
      <c r="M117" s="37">
        <v>1.45</v>
      </c>
      <c r="O117" s="39">
        <v>43903</v>
      </c>
      <c r="P117" s="37">
        <v>1.1000000000000001</v>
      </c>
      <c r="R117" s="39">
        <v>45397</v>
      </c>
      <c r="S117" s="37">
        <v>5.1984000000000004</v>
      </c>
      <c r="U117" s="39">
        <v>45399</v>
      </c>
      <c r="V117" s="37">
        <v>5.5</v>
      </c>
    </row>
    <row r="118" spans="6:22" x14ac:dyDescent="0.2">
      <c r="F118" s="39">
        <v>45398</v>
      </c>
      <c r="G118" s="37">
        <v>4.3499999999999996</v>
      </c>
      <c r="I118" s="39">
        <v>45399</v>
      </c>
      <c r="J118" s="37">
        <v>3.9079999999999999</v>
      </c>
      <c r="L118" s="39">
        <v>45394</v>
      </c>
      <c r="M118" s="37">
        <v>1.45</v>
      </c>
      <c r="O118" s="39">
        <v>43906</v>
      </c>
      <c r="P118" s="37">
        <v>0.26</v>
      </c>
      <c r="R118" s="39">
        <v>45394</v>
      </c>
      <c r="S118" s="37">
        <v>5.1980000000000004</v>
      </c>
      <c r="U118" s="39">
        <v>45398</v>
      </c>
      <c r="V118" s="37">
        <v>5.5</v>
      </c>
    </row>
    <row r="119" spans="6:22" x14ac:dyDescent="0.2">
      <c r="F119" s="39">
        <v>45397</v>
      </c>
      <c r="G119" s="37">
        <v>4.3499999999999996</v>
      </c>
      <c r="I119" s="39">
        <v>45398</v>
      </c>
      <c r="J119" s="37">
        <v>3.911</v>
      </c>
      <c r="L119" s="39">
        <v>45393</v>
      </c>
      <c r="M119" s="37">
        <v>1.46</v>
      </c>
      <c r="O119" s="39">
        <v>43907</v>
      </c>
      <c r="P119" s="37">
        <v>0.54</v>
      </c>
      <c r="R119" s="39">
        <v>45393</v>
      </c>
      <c r="S119" s="37">
        <v>5.1980000000000004</v>
      </c>
      <c r="U119" s="39">
        <v>45397</v>
      </c>
      <c r="V119" s="37">
        <v>5.5</v>
      </c>
    </row>
    <row r="120" spans="6:22" x14ac:dyDescent="0.2">
      <c r="F120" s="39">
        <v>45394</v>
      </c>
      <c r="G120" s="37">
        <v>4.3499999999999996</v>
      </c>
      <c r="I120" s="39">
        <v>45397</v>
      </c>
      <c r="J120" s="37">
        <v>3.907</v>
      </c>
      <c r="L120" s="39">
        <v>45392</v>
      </c>
      <c r="M120" s="37">
        <v>1.46</v>
      </c>
      <c r="O120" s="39">
        <v>43908</v>
      </c>
      <c r="P120" s="37">
        <v>0.1</v>
      </c>
      <c r="R120" s="39">
        <v>45392</v>
      </c>
      <c r="S120" s="37">
        <v>5.1978</v>
      </c>
      <c r="U120" s="39">
        <v>45394</v>
      </c>
      <c r="V120" s="37">
        <v>5.5</v>
      </c>
    </row>
    <row r="121" spans="6:22" x14ac:dyDescent="0.2">
      <c r="F121" s="39">
        <v>45393</v>
      </c>
      <c r="G121" s="37">
        <v>4.3499999999999996</v>
      </c>
      <c r="I121" s="39">
        <v>45394</v>
      </c>
      <c r="J121" s="37">
        <v>3.91</v>
      </c>
      <c r="L121" s="39">
        <v>45391</v>
      </c>
      <c r="M121" s="37">
        <v>1.46</v>
      </c>
      <c r="O121" s="39">
        <v>43909</v>
      </c>
      <c r="P121" s="37">
        <v>0.06</v>
      </c>
      <c r="R121" s="39">
        <v>45391</v>
      </c>
      <c r="S121" s="37">
        <v>5.1976000000000004</v>
      </c>
      <c r="U121" s="39">
        <v>45393</v>
      </c>
      <c r="V121" s="37">
        <v>5.5</v>
      </c>
    </row>
    <row r="122" spans="6:22" x14ac:dyDescent="0.2">
      <c r="F122" s="39">
        <v>45392</v>
      </c>
      <c r="G122" s="37">
        <v>4.3499999999999996</v>
      </c>
      <c r="I122" s="39">
        <v>45393</v>
      </c>
      <c r="J122" s="37">
        <v>3.907</v>
      </c>
      <c r="L122" s="39">
        <v>45390</v>
      </c>
      <c r="M122" s="37">
        <v>1.46</v>
      </c>
      <c r="O122" s="39">
        <v>43910</v>
      </c>
      <c r="P122" s="37">
        <v>0.04</v>
      </c>
      <c r="R122" s="39">
        <v>45390</v>
      </c>
      <c r="S122" s="37">
        <v>5.1948999999999996</v>
      </c>
      <c r="U122" s="39">
        <v>45392</v>
      </c>
      <c r="V122" s="37">
        <v>5.5</v>
      </c>
    </row>
    <row r="123" spans="6:22" x14ac:dyDescent="0.2">
      <c r="F123" s="39">
        <v>45391</v>
      </c>
      <c r="G123" s="37">
        <v>4.3499999999999996</v>
      </c>
      <c r="I123" s="39">
        <v>45392</v>
      </c>
      <c r="J123" s="37">
        <v>3.907</v>
      </c>
      <c r="L123" s="39">
        <v>45387</v>
      </c>
      <c r="M123" s="37">
        <v>1.46</v>
      </c>
      <c r="O123" s="39">
        <v>43913</v>
      </c>
      <c r="P123" s="37">
        <v>0.02</v>
      </c>
      <c r="R123" s="39">
        <v>45387</v>
      </c>
      <c r="S123" s="37">
        <v>5.1948999999999996</v>
      </c>
      <c r="U123" s="39">
        <v>45391</v>
      </c>
      <c r="V123" s="37">
        <v>5.5</v>
      </c>
    </row>
    <row r="124" spans="6:22" x14ac:dyDescent="0.2">
      <c r="F124" s="39">
        <v>45390</v>
      </c>
      <c r="G124" s="37">
        <v>4.3499999999999996</v>
      </c>
      <c r="I124" s="39">
        <v>45391</v>
      </c>
      <c r="J124" s="37">
        <v>3.9089999999999998</v>
      </c>
      <c r="L124" s="39">
        <v>45386</v>
      </c>
      <c r="M124" s="37">
        <v>1.46</v>
      </c>
      <c r="O124" s="39">
        <v>43914</v>
      </c>
      <c r="P124" s="37">
        <v>0.01</v>
      </c>
      <c r="R124" s="39">
        <v>45386</v>
      </c>
      <c r="S124" s="37">
        <v>5.1948999999999996</v>
      </c>
      <c r="U124" s="39">
        <v>45390</v>
      </c>
      <c r="V124" s="37">
        <v>5.5</v>
      </c>
    </row>
    <row r="125" spans="6:22" x14ac:dyDescent="0.2">
      <c r="F125" s="39">
        <v>45387</v>
      </c>
      <c r="G125" s="37">
        <v>4.3499999999999996</v>
      </c>
      <c r="I125" s="39">
        <v>45390</v>
      </c>
      <c r="J125" s="37">
        <v>3.9079999999999999</v>
      </c>
      <c r="L125" s="39">
        <v>45385</v>
      </c>
      <c r="M125" s="37">
        <v>1.46</v>
      </c>
      <c r="O125" s="39">
        <v>43915</v>
      </c>
      <c r="P125" s="37">
        <v>0.01</v>
      </c>
      <c r="R125" s="39">
        <v>45385</v>
      </c>
      <c r="S125" s="37">
        <v>5.1951999999999998</v>
      </c>
      <c r="U125" s="39">
        <v>45387</v>
      </c>
      <c r="V125" s="37">
        <v>5.5</v>
      </c>
    </row>
    <row r="126" spans="6:22" x14ac:dyDescent="0.2">
      <c r="F126" s="39">
        <v>45386</v>
      </c>
      <c r="G126" s="37">
        <v>4.3499999999999996</v>
      </c>
      <c r="I126" s="39">
        <v>45387</v>
      </c>
      <c r="J126" s="37">
        <v>3.907</v>
      </c>
      <c r="L126" s="39">
        <v>45384</v>
      </c>
      <c r="M126" s="37">
        <v>1.46</v>
      </c>
      <c r="O126" s="39">
        <v>43916</v>
      </c>
      <c r="P126" s="37">
        <v>0.01</v>
      </c>
      <c r="R126" s="39">
        <v>45384</v>
      </c>
      <c r="S126" s="37">
        <v>5.1955999999999998</v>
      </c>
      <c r="U126" s="39">
        <v>45386</v>
      </c>
      <c r="V126" s="37">
        <v>5.5</v>
      </c>
    </row>
    <row r="127" spans="6:22" x14ac:dyDescent="0.2">
      <c r="F127" s="39">
        <v>45385</v>
      </c>
      <c r="G127" s="37">
        <v>4.3499999999999996</v>
      </c>
      <c r="I127" s="39">
        <v>45386</v>
      </c>
      <c r="J127" s="37">
        <v>3.9119999999999999</v>
      </c>
      <c r="O127" s="39">
        <v>43917</v>
      </c>
      <c r="P127" s="37">
        <v>0.01</v>
      </c>
      <c r="R127" s="39">
        <v>45379</v>
      </c>
      <c r="S127" s="37">
        <v>5.1910999999999996</v>
      </c>
      <c r="U127" s="39">
        <v>45385</v>
      </c>
      <c r="V127" s="37">
        <v>5.5</v>
      </c>
    </row>
    <row r="128" spans="6:22" x14ac:dyDescent="0.2">
      <c r="F128" s="39">
        <v>45384</v>
      </c>
      <c r="G128" s="37">
        <v>4.3499999999999996</v>
      </c>
      <c r="I128" s="39">
        <v>45385</v>
      </c>
      <c r="J128" s="37">
        <v>3.911</v>
      </c>
      <c r="L128" s="39">
        <v>45383</v>
      </c>
      <c r="O128" s="39">
        <v>43920</v>
      </c>
      <c r="P128" s="37">
        <v>0.01</v>
      </c>
      <c r="R128" s="39">
        <v>45378</v>
      </c>
      <c r="S128" s="37">
        <v>5.1898999999999997</v>
      </c>
      <c r="U128" s="39">
        <v>45384</v>
      </c>
      <c r="V128" s="37">
        <v>5.5</v>
      </c>
    </row>
    <row r="129" spans="6:22" x14ac:dyDescent="0.2">
      <c r="F129" s="39">
        <v>45379</v>
      </c>
      <c r="G129" s="37">
        <v>4.3499999999999996</v>
      </c>
      <c r="I129" s="39">
        <v>45384</v>
      </c>
      <c r="J129" s="37">
        <v>3.9060000000000001</v>
      </c>
      <c r="L129" s="39">
        <v>45380</v>
      </c>
      <c r="O129" s="39">
        <v>43921</v>
      </c>
      <c r="P129" s="37">
        <v>0.01</v>
      </c>
      <c r="R129" s="39">
        <v>45377</v>
      </c>
      <c r="S129" s="37">
        <v>5.1896000000000004</v>
      </c>
      <c r="U129" s="39">
        <v>45379</v>
      </c>
      <c r="V129" s="37">
        <v>5.5</v>
      </c>
    </row>
    <row r="130" spans="6:22" x14ac:dyDescent="0.2">
      <c r="F130" s="39">
        <v>45378</v>
      </c>
      <c r="G130" s="37">
        <v>4.3499999999999996</v>
      </c>
      <c r="I130" s="39">
        <v>45379</v>
      </c>
      <c r="J130" s="37">
        <v>3.899</v>
      </c>
      <c r="L130" s="39">
        <v>45379</v>
      </c>
      <c r="O130" s="39">
        <v>43922</v>
      </c>
      <c r="P130" s="37">
        <v>0.01</v>
      </c>
      <c r="R130" s="39">
        <v>45376</v>
      </c>
      <c r="S130" s="37">
        <v>5.1898</v>
      </c>
      <c r="U130" s="39">
        <v>45378</v>
      </c>
      <c r="V130" s="37">
        <v>5.5</v>
      </c>
    </row>
    <row r="131" spans="6:22" x14ac:dyDescent="0.2">
      <c r="F131" s="39">
        <v>45377</v>
      </c>
      <c r="G131" s="37">
        <v>4.3499999999999996</v>
      </c>
      <c r="I131" s="39">
        <v>45378</v>
      </c>
      <c r="J131" s="37">
        <v>3.9060000000000001</v>
      </c>
      <c r="L131" s="39">
        <v>45378</v>
      </c>
      <c r="O131" s="39">
        <v>43923</v>
      </c>
      <c r="P131" s="37">
        <v>0.01</v>
      </c>
      <c r="R131" s="39">
        <v>45373</v>
      </c>
      <c r="S131" s="37">
        <v>5.1905999999999999</v>
      </c>
      <c r="U131" s="39">
        <v>45377</v>
      </c>
      <c r="V131" s="37">
        <v>5.5</v>
      </c>
    </row>
    <row r="132" spans="6:22" x14ac:dyDescent="0.2">
      <c r="F132" s="39">
        <v>45376</v>
      </c>
      <c r="G132" s="37">
        <v>4.3499999999999996</v>
      </c>
      <c r="I132" s="39">
        <v>45377</v>
      </c>
      <c r="J132" s="37">
        <v>3.9060000000000001</v>
      </c>
      <c r="L132" s="39">
        <v>45377</v>
      </c>
      <c r="O132" s="39">
        <v>43924</v>
      </c>
      <c r="P132" s="37">
        <v>0.01</v>
      </c>
      <c r="R132" s="39">
        <v>45372</v>
      </c>
      <c r="S132" s="37">
        <v>5.1894</v>
      </c>
      <c r="U132" s="39">
        <v>45376</v>
      </c>
      <c r="V132" s="37">
        <v>5.5</v>
      </c>
    </row>
    <row r="133" spans="6:22" x14ac:dyDescent="0.2">
      <c r="F133" s="39">
        <v>45373</v>
      </c>
      <c r="G133" s="37">
        <v>4.3499999999999996</v>
      </c>
      <c r="I133" s="39">
        <v>45376</v>
      </c>
      <c r="J133" s="37">
        <v>3.9089999999999998</v>
      </c>
      <c r="L133" s="39">
        <v>45376</v>
      </c>
      <c r="O133" s="39">
        <v>43927</v>
      </c>
      <c r="P133" s="37">
        <v>0.01</v>
      </c>
      <c r="R133" s="39">
        <v>45371</v>
      </c>
      <c r="S133" s="37">
        <v>5.1891999999999996</v>
      </c>
      <c r="U133" s="39">
        <v>45373</v>
      </c>
      <c r="V133" s="37">
        <v>5.5</v>
      </c>
    </row>
    <row r="134" spans="6:22" x14ac:dyDescent="0.2">
      <c r="F134" s="39">
        <v>45372</v>
      </c>
      <c r="G134" s="37">
        <v>4.3499999999999996</v>
      </c>
      <c r="I134" s="39">
        <v>45373</v>
      </c>
      <c r="J134" s="37">
        <v>3.9089999999999998</v>
      </c>
      <c r="L134" s="39">
        <v>45373</v>
      </c>
      <c r="O134" s="39">
        <v>43928</v>
      </c>
      <c r="P134" s="37">
        <v>0.01</v>
      </c>
      <c r="R134" s="39">
        <v>45370</v>
      </c>
      <c r="S134" s="37">
        <v>5.1894</v>
      </c>
      <c r="U134" s="39">
        <v>45372</v>
      </c>
      <c r="V134" s="37">
        <v>5.5</v>
      </c>
    </row>
    <row r="135" spans="6:22" x14ac:dyDescent="0.2">
      <c r="F135" s="39">
        <v>45371</v>
      </c>
      <c r="G135" s="37">
        <v>4.3499999999999996</v>
      </c>
      <c r="I135" s="39">
        <v>45372</v>
      </c>
      <c r="J135" s="37">
        <v>3.907</v>
      </c>
      <c r="L135" s="39">
        <v>45372</v>
      </c>
      <c r="O135" s="39">
        <v>43929</v>
      </c>
      <c r="P135" s="37">
        <v>0.01</v>
      </c>
      <c r="R135" s="39">
        <v>45369</v>
      </c>
      <c r="S135" s="37">
        <v>5.1886000000000001</v>
      </c>
      <c r="U135" s="39">
        <v>45371</v>
      </c>
      <c r="V135" s="37">
        <v>5.5</v>
      </c>
    </row>
    <row r="136" spans="6:22" x14ac:dyDescent="0.2">
      <c r="F136" s="39">
        <v>45370</v>
      </c>
      <c r="G136" s="37">
        <v>4.3499999999999996</v>
      </c>
      <c r="I136" s="39">
        <v>45371</v>
      </c>
      <c r="J136" s="37">
        <v>3.9079999999999999</v>
      </c>
      <c r="L136" s="39">
        <v>45371</v>
      </c>
      <c r="O136" s="39">
        <v>43930</v>
      </c>
      <c r="P136" s="37">
        <v>0.01</v>
      </c>
      <c r="R136" s="39">
        <v>45366</v>
      </c>
      <c r="S136" s="37">
        <v>5.1894</v>
      </c>
      <c r="U136" s="39">
        <v>45370</v>
      </c>
      <c r="V136" s="37">
        <v>5.5</v>
      </c>
    </row>
    <row r="137" spans="6:22" x14ac:dyDescent="0.2">
      <c r="F137" s="39">
        <v>45369</v>
      </c>
      <c r="G137" s="37">
        <v>4.3499999999999996</v>
      </c>
      <c r="I137" s="39">
        <v>45370</v>
      </c>
      <c r="J137" s="37">
        <v>3.9079999999999999</v>
      </c>
      <c r="L137" s="39">
        <v>45370</v>
      </c>
      <c r="O137" s="39">
        <v>43934</v>
      </c>
      <c r="P137" s="37">
        <v>0.02</v>
      </c>
      <c r="R137" s="39">
        <v>45365</v>
      </c>
      <c r="S137" s="37">
        <v>5.1887999999999996</v>
      </c>
      <c r="U137" s="39">
        <v>45369</v>
      </c>
      <c r="V137" s="37">
        <v>5.5</v>
      </c>
    </row>
    <row r="138" spans="6:22" x14ac:dyDescent="0.2">
      <c r="F138" s="39">
        <v>45366</v>
      </c>
      <c r="G138" s="37">
        <v>4.3499999999999996</v>
      </c>
      <c r="I138" s="39">
        <v>45369</v>
      </c>
      <c r="J138" s="37">
        <v>3.9089999999999998</v>
      </c>
      <c r="L138" s="39">
        <v>45369</v>
      </c>
      <c r="O138" s="39">
        <v>43935</v>
      </c>
      <c r="P138" s="37">
        <v>0.06</v>
      </c>
      <c r="R138" s="39">
        <v>45364</v>
      </c>
      <c r="S138" s="37">
        <v>5.1889000000000003</v>
      </c>
      <c r="U138" s="39">
        <v>45366</v>
      </c>
      <c r="V138" s="37">
        <v>5.5</v>
      </c>
    </row>
    <row r="139" spans="6:22" x14ac:dyDescent="0.2">
      <c r="F139" s="39">
        <v>45365</v>
      </c>
      <c r="G139" s="37">
        <v>4.3499999999999996</v>
      </c>
      <c r="I139" s="39">
        <v>45366</v>
      </c>
      <c r="J139" s="37">
        <v>3.9089999999999998</v>
      </c>
      <c r="L139" s="39">
        <v>45366</v>
      </c>
      <c r="O139" s="39">
        <v>43936</v>
      </c>
      <c r="P139" s="37">
        <v>0.03</v>
      </c>
      <c r="R139" s="39">
        <v>45363</v>
      </c>
      <c r="S139" s="37">
        <v>5.1886999999999999</v>
      </c>
      <c r="U139" s="39">
        <v>45365</v>
      </c>
      <c r="V139" s="37">
        <v>5.5</v>
      </c>
    </row>
    <row r="140" spans="6:22" x14ac:dyDescent="0.2">
      <c r="F140" s="39">
        <v>45364</v>
      </c>
      <c r="G140" s="37">
        <v>4.3499999999999996</v>
      </c>
      <c r="I140" s="39">
        <v>45365</v>
      </c>
      <c r="J140" s="37">
        <v>3.9079999999999999</v>
      </c>
      <c r="L140" s="39">
        <v>45365</v>
      </c>
      <c r="O140" s="39">
        <v>43937</v>
      </c>
      <c r="P140" s="37">
        <v>0.03</v>
      </c>
      <c r="R140" s="39">
        <v>45362</v>
      </c>
      <c r="S140" s="37">
        <v>5.1879999999999997</v>
      </c>
      <c r="U140" s="39">
        <v>45364</v>
      </c>
      <c r="V140" s="37">
        <v>5.5</v>
      </c>
    </row>
    <row r="141" spans="6:22" x14ac:dyDescent="0.2">
      <c r="F141" s="39">
        <v>45363</v>
      </c>
      <c r="G141" s="37">
        <v>4.3499999999999996</v>
      </c>
      <c r="I141" s="39">
        <v>45364</v>
      </c>
      <c r="J141" s="37">
        <v>3.907</v>
      </c>
      <c r="L141" s="39">
        <v>45364</v>
      </c>
      <c r="O141" s="39">
        <v>43938</v>
      </c>
      <c r="P141" s="37">
        <v>0.03</v>
      </c>
      <c r="R141" s="39">
        <v>45359</v>
      </c>
      <c r="S141" s="37">
        <v>5.1881000000000004</v>
      </c>
      <c r="U141" s="39">
        <v>45363</v>
      </c>
      <c r="V141" s="37">
        <v>5.5</v>
      </c>
    </row>
    <row r="142" spans="6:22" x14ac:dyDescent="0.2">
      <c r="F142" s="39">
        <v>45362</v>
      </c>
      <c r="G142" s="37">
        <v>4.3499999999999996</v>
      </c>
      <c r="I142" s="39">
        <v>45363</v>
      </c>
      <c r="J142" s="37">
        <v>3.9049999999999998</v>
      </c>
      <c r="L142" s="39">
        <v>45363</v>
      </c>
      <c r="O142" s="39">
        <v>43941</v>
      </c>
      <c r="P142" s="37">
        <v>0.02</v>
      </c>
      <c r="R142" s="39">
        <v>45358</v>
      </c>
      <c r="S142" s="37">
        <v>5.1883999999999997</v>
      </c>
      <c r="U142" s="39">
        <v>45362</v>
      </c>
      <c r="V142" s="37">
        <v>5.5</v>
      </c>
    </row>
    <row r="143" spans="6:22" x14ac:dyDescent="0.2">
      <c r="F143" s="39">
        <v>45359</v>
      </c>
      <c r="G143" s="37">
        <v>4.3499999999999996</v>
      </c>
      <c r="I143" s="39">
        <v>45362</v>
      </c>
      <c r="J143" s="37">
        <v>3.9039999999999999</v>
      </c>
      <c r="L143" s="39">
        <v>45362</v>
      </c>
      <c r="O143" s="39">
        <v>43942</v>
      </c>
      <c r="P143" s="37">
        <v>0.01</v>
      </c>
      <c r="R143" s="39">
        <v>45357</v>
      </c>
      <c r="S143" s="37">
        <v>5.1882999999999999</v>
      </c>
      <c r="U143" s="39">
        <v>45359</v>
      </c>
      <c r="V143" s="37">
        <v>5.5</v>
      </c>
    </row>
    <row r="144" spans="6:22" x14ac:dyDescent="0.2">
      <c r="F144" s="39">
        <v>45358</v>
      </c>
      <c r="G144" s="37">
        <v>4.3499999999999996</v>
      </c>
      <c r="I144" s="39">
        <v>45359</v>
      </c>
      <c r="J144" s="37">
        <v>3.907</v>
      </c>
      <c r="L144" s="39">
        <v>45359</v>
      </c>
      <c r="O144" s="39">
        <v>43943</v>
      </c>
      <c r="P144" s="37">
        <v>0.01</v>
      </c>
      <c r="R144" s="39">
        <v>45356</v>
      </c>
      <c r="S144" s="37">
        <v>5.1886999999999999</v>
      </c>
      <c r="U144" s="39">
        <v>45358</v>
      </c>
      <c r="V144" s="37">
        <v>5.5</v>
      </c>
    </row>
    <row r="145" spans="6:22" x14ac:dyDescent="0.2">
      <c r="F145" s="39">
        <v>45357</v>
      </c>
      <c r="G145" s="37">
        <v>4.3499999999999996</v>
      </c>
      <c r="I145" s="39">
        <v>45358</v>
      </c>
      <c r="J145" s="37">
        <v>3.9079999999999999</v>
      </c>
      <c r="L145" s="39">
        <v>45358</v>
      </c>
      <c r="O145" s="39">
        <v>43944</v>
      </c>
      <c r="P145" s="37">
        <v>0.01</v>
      </c>
      <c r="R145" s="39">
        <v>45355</v>
      </c>
      <c r="S145" s="37">
        <v>5.1883999999999997</v>
      </c>
      <c r="U145" s="39">
        <v>45357</v>
      </c>
      <c r="V145" s="37">
        <v>5.5</v>
      </c>
    </row>
    <row r="146" spans="6:22" x14ac:dyDescent="0.2">
      <c r="F146" s="39">
        <v>45356</v>
      </c>
      <c r="G146" s="37">
        <v>4.3499999999999996</v>
      </c>
      <c r="I146" s="39">
        <v>45357</v>
      </c>
      <c r="J146" s="37">
        <v>3.9049999999999998</v>
      </c>
      <c r="L146" s="39">
        <v>45357</v>
      </c>
      <c r="O146" s="39">
        <v>43945</v>
      </c>
      <c r="P146" s="37">
        <v>0.03</v>
      </c>
      <c r="R146" s="39">
        <v>45352</v>
      </c>
      <c r="S146" s="37">
        <v>5.1886999999999999</v>
      </c>
      <c r="U146" s="39">
        <v>45356</v>
      </c>
      <c r="V146" s="37">
        <v>5.5</v>
      </c>
    </row>
    <row r="147" spans="6:22" x14ac:dyDescent="0.2">
      <c r="F147" s="39">
        <v>45355</v>
      </c>
      <c r="G147" s="37">
        <v>4.3499999999999996</v>
      </c>
      <c r="I147" s="39">
        <v>45356</v>
      </c>
      <c r="J147" s="37">
        <v>3.911</v>
      </c>
      <c r="L147" s="39">
        <v>45356</v>
      </c>
      <c r="O147" s="39">
        <v>43948</v>
      </c>
      <c r="P147" s="37">
        <v>0.03</v>
      </c>
      <c r="R147" s="39">
        <v>45351</v>
      </c>
      <c r="S147" s="37">
        <v>5.1885000000000003</v>
      </c>
      <c r="U147" s="39">
        <v>45355</v>
      </c>
      <c r="V147" s="37">
        <v>5.5</v>
      </c>
    </row>
    <row r="148" spans="6:22" x14ac:dyDescent="0.2">
      <c r="F148" s="39">
        <v>45352</v>
      </c>
      <c r="G148" s="37">
        <v>4.3499999999999996</v>
      </c>
      <c r="I148" s="39">
        <v>45355</v>
      </c>
      <c r="J148" s="37">
        <v>3.903</v>
      </c>
      <c r="L148" s="39">
        <v>45355</v>
      </c>
      <c r="O148" s="39">
        <v>43949</v>
      </c>
      <c r="P148" s="37">
        <v>0.01</v>
      </c>
      <c r="R148" s="39">
        <v>45350</v>
      </c>
      <c r="S148" s="37">
        <v>5.1882000000000001</v>
      </c>
      <c r="U148" s="39">
        <v>45352</v>
      </c>
      <c r="V148" s="37">
        <v>5.5</v>
      </c>
    </row>
    <row r="149" spans="6:22" x14ac:dyDescent="0.2">
      <c r="F149" s="39">
        <v>45351</v>
      </c>
      <c r="G149" s="37">
        <v>4.3499999999999996</v>
      </c>
      <c r="I149" s="39">
        <v>45352</v>
      </c>
      <c r="J149" s="37">
        <v>3.9039999999999999</v>
      </c>
      <c r="L149" s="39">
        <v>45352</v>
      </c>
      <c r="O149" s="39">
        <v>43950</v>
      </c>
      <c r="P149" s="37">
        <v>0.01</v>
      </c>
      <c r="R149" s="39">
        <v>45349</v>
      </c>
      <c r="S149" s="37">
        <v>5.1877000000000004</v>
      </c>
      <c r="U149" s="39">
        <v>45351</v>
      </c>
      <c r="V149" s="37">
        <v>5.5</v>
      </c>
    </row>
    <row r="150" spans="6:22" x14ac:dyDescent="0.2">
      <c r="F150" s="39">
        <v>45350</v>
      </c>
      <c r="G150" s="37">
        <v>4.3499999999999996</v>
      </c>
      <c r="I150" s="39">
        <v>45351</v>
      </c>
      <c r="J150" s="37">
        <v>3.887</v>
      </c>
      <c r="L150" s="39">
        <v>45351</v>
      </c>
      <c r="O150" s="39">
        <v>43951</v>
      </c>
      <c r="P150" s="37">
        <v>0.04</v>
      </c>
      <c r="R150" s="39">
        <v>45348</v>
      </c>
      <c r="S150" s="37">
        <v>5.1881000000000004</v>
      </c>
      <c r="U150" s="39">
        <v>45350</v>
      </c>
      <c r="V150" s="37">
        <v>5.5</v>
      </c>
    </row>
    <row r="151" spans="6:22" x14ac:dyDescent="0.2">
      <c r="F151" s="39">
        <v>45349</v>
      </c>
      <c r="G151" s="37">
        <v>4.3499999999999996</v>
      </c>
      <c r="I151" s="39">
        <v>45350</v>
      </c>
      <c r="J151" s="37">
        <v>3.9060000000000001</v>
      </c>
      <c r="L151" s="39">
        <v>45350</v>
      </c>
      <c r="O151" s="39">
        <v>43952</v>
      </c>
      <c r="P151" s="37">
        <v>0.03</v>
      </c>
      <c r="R151" s="39">
        <v>45345</v>
      </c>
      <c r="S151" s="37">
        <v>5.1881000000000004</v>
      </c>
      <c r="U151" s="39">
        <v>45349</v>
      </c>
      <c r="V151" s="37">
        <v>5.5</v>
      </c>
    </row>
    <row r="152" spans="6:22" x14ac:dyDescent="0.2">
      <c r="F152" s="39">
        <v>45348</v>
      </c>
      <c r="G152" s="37">
        <v>4.3499999999999996</v>
      </c>
      <c r="I152" s="39">
        <v>45349</v>
      </c>
      <c r="J152" s="37">
        <v>3.9049999999999998</v>
      </c>
      <c r="L152" s="39">
        <v>45349</v>
      </c>
      <c r="O152" s="39">
        <v>43955</v>
      </c>
      <c r="P152" s="37">
        <v>0.05</v>
      </c>
      <c r="R152" s="39">
        <v>45344</v>
      </c>
      <c r="S152" s="37">
        <v>5.1887999999999996</v>
      </c>
      <c r="U152" s="39">
        <v>45348</v>
      </c>
      <c r="V152" s="37">
        <v>5.5</v>
      </c>
    </row>
    <row r="153" spans="6:22" x14ac:dyDescent="0.2">
      <c r="F153" s="39">
        <v>45345</v>
      </c>
      <c r="G153" s="37">
        <v>4.3499999999999996</v>
      </c>
      <c r="I153" s="39">
        <v>45348</v>
      </c>
      <c r="J153" s="37">
        <v>3.9039999999999999</v>
      </c>
      <c r="L153" s="39">
        <v>45348</v>
      </c>
      <c r="O153" s="39">
        <v>43956</v>
      </c>
      <c r="P153" s="37">
        <v>0.05</v>
      </c>
      <c r="R153" s="39">
        <v>45343</v>
      </c>
      <c r="S153" s="37">
        <v>5.1879999999999997</v>
      </c>
      <c r="U153" s="39">
        <v>45345</v>
      </c>
      <c r="V153" s="37">
        <v>5.5</v>
      </c>
    </row>
    <row r="154" spans="6:22" x14ac:dyDescent="0.2">
      <c r="F154" s="39">
        <v>45344</v>
      </c>
      <c r="G154" s="37">
        <v>4.3499999999999996</v>
      </c>
      <c r="I154" s="39">
        <v>45345</v>
      </c>
      <c r="J154" s="37">
        <v>3.907</v>
      </c>
      <c r="L154" s="39">
        <v>45345</v>
      </c>
      <c r="O154" s="39">
        <v>43957</v>
      </c>
      <c r="P154" s="37">
        <v>0.05</v>
      </c>
      <c r="R154" s="39">
        <v>45342</v>
      </c>
      <c r="S154" s="37">
        <v>5.1879</v>
      </c>
      <c r="U154" s="39">
        <v>45344</v>
      </c>
      <c r="V154" s="37">
        <v>5.5</v>
      </c>
    </row>
    <row r="155" spans="6:22" x14ac:dyDescent="0.2">
      <c r="F155" s="39">
        <v>45343</v>
      </c>
      <c r="G155" s="37">
        <v>4.3499999999999996</v>
      </c>
      <c r="I155" s="39">
        <v>45344</v>
      </c>
      <c r="J155" s="37">
        <v>3.9089999999999998</v>
      </c>
      <c r="L155" s="39">
        <v>45344</v>
      </c>
      <c r="O155" s="39">
        <v>43958</v>
      </c>
      <c r="P155" s="37">
        <v>0.05</v>
      </c>
      <c r="R155" s="39">
        <v>45341</v>
      </c>
      <c r="S155" s="37">
        <v>5.1874000000000002</v>
      </c>
      <c r="U155" s="39">
        <v>45343</v>
      </c>
      <c r="V155" s="37">
        <v>5.5</v>
      </c>
    </row>
    <row r="156" spans="6:22" x14ac:dyDescent="0.2">
      <c r="F156" s="39">
        <v>45342</v>
      </c>
      <c r="G156" s="37">
        <v>4.3499999999999996</v>
      </c>
      <c r="I156" s="39">
        <v>45343</v>
      </c>
      <c r="J156" s="37">
        <v>3.91</v>
      </c>
      <c r="L156" s="39">
        <v>45343</v>
      </c>
      <c r="O156" s="39">
        <v>43959</v>
      </c>
      <c r="P156" s="37">
        <v>0.06</v>
      </c>
      <c r="R156" s="39">
        <v>45338</v>
      </c>
      <c r="S156" s="37">
        <v>5.1881000000000004</v>
      </c>
      <c r="U156" s="39">
        <v>45342</v>
      </c>
      <c r="V156" s="37">
        <v>5.5</v>
      </c>
    </row>
    <row r="157" spans="6:22" x14ac:dyDescent="0.2">
      <c r="F157" s="39">
        <v>45341</v>
      </c>
      <c r="G157" s="37">
        <v>4.3499999999999996</v>
      </c>
      <c r="I157" s="39">
        <v>45342</v>
      </c>
      <c r="J157" s="37">
        <v>3.911</v>
      </c>
      <c r="L157" s="39">
        <v>45342</v>
      </c>
      <c r="O157" s="39">
        <v>43962</v>
      </c>
      <c r="P157" s="37">
        <v>0.06</v>
      </c>
      <c r="R157" s="39">
        <v>45337</v>
      </c>
      <c r="S157" s="37">
        <v>5.1885000000000003</v>
      </c>
      <c r="U157" s="39">
        <v>45341</v>
      </c>
      <c r="V157" s="37">
        <v>5.5</v>
      </c>
    </row>
    <row r="158" spans="6:22" x14ac:dyDescent="0.2">
      <c r="F158" s="39">
        <v>45338</v>
      </c>
      <c r="G158" s="37">
        <v>4.3499999999999996</v>
      </c>
      <c r="I158" s="39">
        <v>45341</v>
      </c>
      <c r="J158" s="37">
        <v>3.91</v>
      </c>
      <c r="L158" s="39">
        <v>45341</v>
      </c>
      <c r="O158" s="39">
        <v>43963</v>
      </c>
      <c r="P158" s="37">
        <v>0.06</v>
      </c>
      <c r="R158" s="39">
        <v>45336</v>
      </c>
      <c r="S158" s="37">
        <v>5.1887999999999996</v>
      </c>
      <c r="U158" s="39">
        <v>45338</v>
      </c>
      <c r="V158" s="37">
        <v>5.5</v>
      </c>
    </row>
    <row r="159" spans="6:22" x14ac:dyDescent="0.2">
      <c r="F159" s="39">
        <v>45337</v>
      </c>
      <c r="G159" s="37">
        <v>4.3499999999999996</v>
      </c>
      <c r="I159" s="39">
        <v>45338</v>
      </c>
      <c r="J159" s="37">
        <v>3.9089999999999998</v>
      </c>
      <c r="L159" s="39">
        <v>45338</v>
      </c>
      <c r="O159" s="39">
        <v>43964</v>
      </c>
      <c r="P159" s="37">
        <v>0.04</v>
      </c>
      <c r="R159" s="39">
        <v>45335</v>
      </c>
      <c r="S159" s="37">
        <v>5.1887999999999996</v>
      </c>
      <c r="U159" s="39">
        <v>45337</v>
      </c>
      <c r="V159" s="37">
        <v>5.5</v>
      </c>
    </row>
    <row r="160" spans="6:22" x14ac:dyDescent="0.2">
      <c r="F160" s="39">
        <v>45336</v>
      </c>
      <c r="G160" s="37">
        <v>4.3499999999999996</v>
      </c>
      <c r="I160" s="39">
        <v>45337</v>
      </c>
      <c r="J160" s="37">
        <v>3.911</v>
      </c>
      <c r="L160" s="39">
        <v>45337</v>
      </c>
      <c r="O160" s="39">
        <v>43965</v>
      </c>
      <c r="P160" s="37">
        <v>0.02</v>
      </c>
      <c r="R160" s="39">
        <v>45334</v>
      </c>
      <c r="S160" s="37">
        <v>5.1882000000000001</v>
      </c>
      <c r="U160" s="39">
        <v>45336</v>
      </c>
      <c r="V160" s="37">
        <v>5.5</v>
      </c>
    </row>
    <row r="161" spans="6:22" x14ac:dyDescent="0.2">
      <c r="F161" s="39">
        <v>45335</v>
      </c>
      <c r="G161" s="37">
        <v>4.3499999999999996</v>
      </c>
      <c r="I161" s="39">
        <v>45336</v>
      </c>
      <c r="J161" s="37">
        <v>3.911</v>
      </c>
      <c r="L161" s="39">
        <v>45336</v>
      </c>
      <c r="O161" s="39">
        <v>43966</v>
      </c>
      <c r="P161" s="37">
        <v>0.05</v>
      </c>
      <c r="R161" s="39">
        <v>45331</v>
      </c>
      <c r="S161" s="37">
        <v>5.1885000000000003</v>
      </c>
      <c r="U161" s="39">
        <v>45335</v>
      </c>
      <c r="V161" s="37">
        <v>5.5</v>
      </c>
    </row>
    <row r="162" spans="6:22" x14ac:dyDescent="0.2">
      <c r="F162" s="39">
        <v>45334</v>
      </c>
      <c r="G162" s="37">
        <v>4.3499999999999996</v>
      </c>
      <c r="I162" s="39">
        <v>45335</v>
      </c>
      <c r="J162" s="37">
        <v>3.9089999999999998</v>
      </c>
      <c r="L162" s="39">
        <v>45335</v>
      </c>
      <c r="O162" s="39">
        <v>43969</v>
      </c>
      <c r="P162" s="37">
        <v>0.04</v>
      </c>
      <c r="R162" s="39">
        <v>45330</v>
      </c>
      <c r="S162" s="37">
        <v>5.1879999999999997</v>
      </c>
      <c r="U162" s="39">
        <v>45334</v>
      </c>
      <c r="V162" s="37">
        <v>5.5</v>
      </c>
    </row>
    <row r="163" spans="6:22" x14ac:dyDescent="0.2">
      <c r="F163" s="39">
        <v>45331</v>
      </c>
      <c r="G163" s="37">
        <v>4.3499999999999996</v>
      </c>
      <c r="I163" s="39">
        <v>45334</v>
      </c>
      <c r="J163" s="37">
        <v>3.9089999999999998</v>
      </c>
      <c r="L163" s="39">
        <v>45334</v>
      </c>
      <c r="O163" s="39">
        <v>43970</v>
      </c>
      <c r="P163" s="37">
        <v>0.04</v>
      </c>
      <c r="R163" s="39">
        <v>45329</v>
      </c>
      <c r="S163" s="37">
        <v>5.1890000000000001</v>
      </c>
      <c r="U163" s="39">
        <v>45331</v>
      </c>
      <c r="V163" s="37">
        <v>5.5</v>
      </c>
    </row>
    <row r="164" spans="6:22" x14ac:dyDescent="0.2">
      <c r="F164" s="39">
        <v>45330</v>
      </c>
      <c r="G164" s="37">
        <v>4.3499999999999996</v>
      </c>
      <c r="I164" s="39">
        <v>45331</v>
      </c>
      <c r="J164" s="37">
        <v>3.91</v>
      </c>
      <c r="L164" s="39">
        <v>45331</v>
      </c>
      <c r="O164" s="39">
        <v>43971</v>
      </c>
      <c r="P164" s="37">
        <v>0.01</v>
      </c>
      <c r="R164" s="39">
        <v>45328</v>
      </c>
      <c r="S164" s="37">
        <v>5.1894</v>
      </c>
      <c r="U164" s="39">
        <v>45330</v>
      </c>
      <c r="V164" s="37">
        <v>5.5</v>
      </c>
    </row>
    <row r="165" spans="6:22" x14ac:dyDescent="0.2">
      <c r="F165" s="39">
        <v>45329</v>
      </c>
      <c r="G165" s="37">
        <v>4.3499999999999996</v>
      </c>
      <c r="I165" s="39">
        <v>45330</v>
      </c>
      <c r="J165" s="37">
        <v>3.9079999999999999</v>
      </c>
      <c r="L165" s="39">
        <v>45330</v>
      </c>
      <c r="O165" s="39">
        <v>43972</v>
      </c>
      <c r="P165" s="37">
        <v>0.02</v>
      </c>
      <c r="R165" s="39">
        <v>45327</v>
      </c>
      <c r="S165" s="37">
        <v>5.1883999999999997</v>
      </c>
      <c r="U165" s="39">
        <v>45329</v>
      </c>
      <c r="V165" s="37">
        <v>5.5</v>
      </c>
    </row>
    <row r="166" spans="6:22" x14ac:dyDescent="0.2">
      <c r="F166" s="39">
        <v>45328</v>
      </c>
      <c r="G166" s="37">
        <v>4.3499999999999996</v>
      </c>
      <c r="I166" s="39">
        <v>45329</v>
      </c>
      <c r="J166" s="37">
        <v>3.9079999999999999</v>
      </c>
      <c r="L166" s="39">
        <v>45329</v>
      </c>
      <c r="O166" s="39">
        <v>43973</v>
      </c>
      <c r="P166" s="37">
        <v>0.04</v>
      </c>
      <c r="R166" s="39">
        <v>45324</v>
      </c>
      <c r="S166" s="37">
        <v>5.1885000000000003</v>
      </c>
      <c r="U166" s="39">
        <v>45327</v>
      </c>
      <c r="V166" s="37">
        <v>5.5</v>
      </c>
    </row>
    <row r="167" spans="6:22" x14ac:dyDescent="0.2">
      <c r="F167" s="39">
        <v>45327</v>
      </c>
      <c r="G167" s="37">
        <v>4.3499999999999996</v>
      </c>
      <c r="I167" s="39">
        <v>45328</v>
      </c>
      <c r="J167" s="37">
        <v>3.9079999999999999</v>
      </c>
      <c r="L167" s="39">
        <v>45328</v>
      </c>
      <c r="O167" s="39">
        <v>43977</v>
      </c>
      <c r="P167" s="37">
        <v>0.06</v>
      </c>
      <c r="R167" s="39">
        <v>45323</v>
      </c>
      <c r="S167" s="37">
        <v>5.1878000000000002</v>
      </c>
      <c r="U167" s="39">
        <v>45324</v>
      </c>
      <c r="V167" s="37">
        <v>5.5</v>
      </c>
    </row>
    <row r="168" spans="6:22" x14ac:dyDescent="0.2">
      <c r="F168" s="39">
        <v>45324</v>
      </c>
      <c r="G168" s="37">
        <v>4.3499999999999996</v>
      </c>
      <c r="I168" s="39">
        <v>45327</v>
      </c>
      <c r="J168" s="37">
        <v>3.907</v>
      </c>
      <c r="L168" s="39">
        <v>45327</v>
      </c>
      <c r="O168" s="39">
        <v>43978</v>
      </c>
      <c r="P168" s="37">
        <v>0.06</v>
      </c>
      <c r="R168" s="39">
        <v>45322</v>
      </c>
      <c r="S168" s="37">
        <v>5.1881000000000004</v>
      </c>
      <c r="U168" s="39">
        <v>45323</v>
      </c>
      <c r="V168" s="37">
        <v>5.5</v>
      </c>
    </row>
    <row r="169" spans="6:22" x14ac:dyDescent="0.2">
      <c r="F169" s="39">
        <v>45323</v>
      </c>
      <c r="G169" s="37">
        <v>4.3499999999999996</v>
      </c>
      <c r="I169" s="39">
        <v>45324</v>
      </c>
      <c r="J169" s="37">
        <v>3.9060000000000001</v>
      </c>
      <c r="L169" s="39">
        <v>45324</v>
      </c>
      <c r="O169" s="39">
        <v>43979</v>
      </c>
      <c r="P169" s="37">
        <v>0.06</v>
      </c>
      <c r="R169" s="39">
        <v>45321</v>
      </c>
      <c r="S169" s="37">
        <v>5.1883999999999997</v>
      </c>
      <c r="U169" s="39">
        <v>45322</v>
      </c>
      <c r="V169" s="37">
        <v>5.5</v>
      </c>
    </row>
    <row r="170" spans="6:22" x14ac:dyDescent="0.2">
      <c r="F170" s="39">
        <v>45322</v>
      </c>
      <c r="G170" s="37">
        <v>4.3499999999999996</v>
      </c>
      <c r="I170" s="39">
        <v>45323</v>
      </c>
      <c r="J170" s="37">
        <v>3.9049999999999998</v>
      </c>
      <c r="L170" s="39">
        <v>45323</v>
      </c>
      <c r="O170" s="39">
        <v>43980</v>
      </c>
      <c r="P170" s="37">
        <v>0.06</v>
      </c>
      <c r="R170" s="39">
        <v>45320</v>
      </c>
      <c r="S170" s="37">
        <v>5.1879</v>
      </c>
      <c r="U170" s="39">
        <v>45321</v>
      </c>
      <c r="V170" s="37">
        <v>5.5</v>
      </c>
    </row>
    <row r="171" spans="6:22" x14ac:dyDescent="0.2">
      <c r="F171" s="39">
        <v>45321</v>
      </c>
      <c r="G171" s="37">
        <v>4.3499999999999996</v>
      </c>
      <c r="I171" s="39">
        <v>45322</v>
      </c>
      <c r="J171" s="37">
        <v>3.8940000000000001</v>
      </c>
      <c r="L171" s="39">
        <v>45322</v>
      </c>
      <c r="O171" s="39">
        <v>43983</v>
      </c>
      <c r="P171" s="37">
        <v>0.06</v>
      </c>
      <c r="R171" s="39">
        <v>45317</v>
      </c>
      <c r="S171" s="37">
        <v>5.1882000000000001</v>
      </c>
      <c r="U171" s="39">
        <v>45320</v>
      </c>
      <c r="V171" s="37">
        <v>5.5</v>
      </c>
    </row>
    <row r="172" spans="6:22" x14ac:dyDescent="0.2">
      <c r="F172" s="39">
        <v>45320</v>
      </c>
      <c r="G172" s="37">
        <v>4.3499999999999996</v>
      </c>
      <c r="I172" s="39">
        <v>45321</v>
      </c>
      <c r="J172" s="37">
        <v>3.907</v>
      </c>
      <c r="L172" s="39">
        <v>45321</v>
      </c>
      <c r="O172" s="39">
        <v>43984</v>
      </c>
      <c r="P172" s="37">
        <v>7.0000000000000007E-2</v>
      </c>
      <c r="R172" s="39">
        <v>45316</v>
      </c>
      <c r="S172" s="37">
        <v>5.1882000000000001</v>
      </c>
      <c r="U172" s="39">
        <v>45317</v>
      </c>
      <c r="V172" s="37">
        <v>5.5</v>
      </c>
    </row>
    <row r="173" spans="6:22" x14ac:dyDescent="0.2">
      <c r="F173" s="39">
        <v>45316</v>
      </c>
      <c r="G173" s="37">
        <v>4.3499999999999996</v>
      </c>
      <c r="I173" s="39">
        <v>45320</v>
      </c>
      <c r="J173" s="37">
        <v>3.907</v>
      </c>
      <c r="L173" s="39">
        <v>45320</v>
      </c>
      <c r="O173" s="39">
        <v>43985</v>
      </c>
      <c r="P173" s="37">
        <v>0.06</v>
      </c>
      <c r="R173" s="39">
        <v>45315</v>
      </c>
      <c r="S173" s="37">
        <v>5.1875</v>
      </c>
      <c r="U173" s="39">
        <v>45316</v>
      </c>
      <c r="V173" s="37">
        <v>5.5</v>
      </c>
    </row>
    <row r="174" spans="6:22" x14ac:dyDescent="0.2">
      <c r="F174" s="39">
        <v>45315</v>
      </c>
      <c r="G174" s="37">
        <v>4.3499999999999996</v>
      </c>
      <c r="I174" s="39">
        <v>45317</v>
      </c>
      <c r="J174" s="37">
        <v>3.9039999999999999</v>
      </c>
      <c r="L174" s="39">
        <v>45317</v>
      </c>
      <c r="O174" s="39">
        <v>43986</v>
      </c>
      <c r="P174" s="37">
        <v>7.0000000000000007E-2</v>
      </c>
      <c r="R174" s="39">
        <v>45314</v>
      </c>
      <c r="S174" s="37">
        <v>5.1872999999999996</v>
      </c>
      <c r="U174" s="39">
        <v>45315</v>
      </c>
      <c r="V174" s="37">
        <v>5.5</v>
      </c>
    </row>
    <row r="175" spans="6:22" x14ac:dyDescent="0.2">
      <c r="F175" s="39">
        <v>45314</v>
      </c>
      <c r="G175" s="37">
        <v>4.3499999999999996</v>
      </c>
      <c r="I175" s="39">
        <v>45316</v>
      </c>
      <c r="J175" s="37">
        <v>3.9049999999999998</v>
      </c>
      <c r="L175" s="39">
        <v>45316</v>
      </c>
      <c r="O175" s="39">
        <v>43987</v>
      </c>
      <c r="P175" s="37">
        <v>7.0000000000000007E-2</v>
      </c>
      <c r="R175" s="39">
        <v>45313</v>
      </c>
      <c r="S175" s="37">
        <v>5.1879</v>
      </c>
      <c r="U175" s="39">
        <v>45314</v>
      </c>
      <c r="V175" s="37">
        <v>5.5</v>
      </c>
    </row>
    <row r="176" spans="6:22" x14ac:dyDescent="0.2">
      <c r="F176" s="39">
        <v>45313</v>
      </c>
      <c r="G176" s="37">
        <v>4.3499999999999996</v>
      </c>
      <c r="I176" s="39">
        <v>45315</v>
      </c>
      <c r="J176" s="37">
        <v>3.9049999999999998</v>
      </c>
      <c r="L176" s="39">
        <v>45315</v>
      </c>
      <c r="O176" s="39">
        <v>43990</v>
      </c>
      <c r="P176" s="37">
        <v>7.0000000000000007E-2</v>
      </c>
      <c r="R176" s="39">
        <v>45310</v>
      </c>
      <c r="S176" s="37">
        <v>5.1875999999999998</v>
      </c>
      <c r="U176" s="39">
        <v>45313</v>
      </c>
      <c r="V176" s="37">
        <v>5.5</v>
      </c>
    </row>
    <row r="177" spans="6:22" x14ac:dyDescent="0.2">
      <c r="F177" s="39">
        <v>45310</v>
      </c>
      <c r="G177" s="37">
        <v>4.3499999999999996</v>
      </c>
      <c r="I177" s="39">
        <v>45314</v>
      </c>
      <c r="J177" s="37">
        <v>3.9020000000000001</v>
      </c>
      <c r="L177" s="39">
        <v>45314</v>
      </c>
      <c r="O177" s="39">
        <v>43991</v>
      </c>
      <c r="P177" s="37">
        <v>0.08</v>
      </c>
      <c r="R177" s="39">
        <v>45309</v>
      </c>
      <c r="S177" s="37">
        <v>5.1882999999999999</v>
      </c>
      <c r="U177" s="39">
        <v>45310</v>
      </c>
      <c r="V177" s="37">
        <v>5.5</v>
      </c>
    </row>
    <row r="178" spans="6:22" x14ac:dyDescent="0.2">
      <c r="F178" s="39">
        <v>45309</v>
      </c>
      <c r="G178" s="37">
        <v>4.3499999999999996</v>
      </c>
      <c r="I178" s="39">
        <v>45313</v>
      </c>
      <c r="J178" s="37">
        <v>3.9020000000000001</v>
      </c>
      <c r="L178" s="39">
        <v>45313</v>
      </c>
      <c r="O178" s="39">
        <v>43992</v>
      </c>
      <c r="P178" s="37">
        <v>7.0000000000000007E-2</v>
      </c>
      <c r="R178" s="39">
        <v>45308</v>
      </c>
      <c r="S178" s="37">
        <v>5.1879999999999997</v>
      </c>
      <c r="U178" s="39">
        <v>45309</v>
      </c>
      <c r="V178" s="37">
        <v>5.5</v>
      </c>
    </row>
    <row r="179" spans="6:22" x14ac:dyDescent="0.2">
      <c r="F179" s="39">
        <v>45308</v>
      </c>
      <c r="G179" s="37">
        <v>4.3499999999999996</v>
      </c>
      <c r="I179" s="39">
        <v>45310</v>
      </c>
      <c r="J179" s="37">
        <v>3.9039999999999999</v>
      </c>
      <c r="L179" s="39">
        <v>45310</v>
      </c>
      <c r="O179" s="39">
        <v>43993</v>
      </c>
      <c r="P179" s="37">
        <v>0.08</v>
      </c>
      <c r="R179" s="39">
        <v>45307</v>
      </c>
      <c r="S179" s="37">
        <v>5.1875999999999998</v>
      </c>
      <c r="U179" s="39">
        <v>45308</v>
      </c>
      <c r="V179" s="37">
        <v>5.5</v>
      </c>
    </row>
    <row r="180" spans="6:22" x14ac:dyDescent="0.2">
      <c r="F180" s="39">
        <v>45307</v>
      </c>
      <c r="G180" s="37">
        <v>4.3499999999999996</v>
      </c>
      <c r="I180" s="39">
        <v>45309</v>
      </c>
      <c r="J180" s="37">
        <v>3.907</v>
      </c>
      <c r="L180" s="39">
        <v>45309</v>
      </c>
      <c r="O180" s="39">
        <v>43994</v>
      </c>
      <c r="P180" s="37">
        <v>0.08</v>
      </c>
      <c r="R180" s="39">
        <v>45306</v>
      </c>
      <c r="S180" s="37">
        <v>5.1874000000000002</v>
      </c>
      <c r="U180" s="39">
        <v>45307</v>
      </c>
      <c r="V180" s="37">
        <v>5.5</v>
      </c>
    </row>
    <row r="181" spans="6:22" x14ac:dyDescent="0.2">
      <c r="F181" s="39">
        <v>45306</v>
      </c>
      <c r="G181" s="37">
        <v>4.3499999999999996</v>
      </c>
      <c r="I181" s="39">
        <v>45308</v>
      </c>
      <c r="J181" s="37">
        <v>3.9039999999999999</v>
      </c>
      <c r="L181" s="39">
        <v>45308</v>
      </c>
      <c r="O181" s="39">
        <v>43997</v>
      </c>
      <c r="P181" s="37">
        <v>0.09</v>
      </c>
      <c r="R181" s="39">
        <v>45303</v>
      </c>
      <c r="S181" s="37">
        <v>5.1883999999999997</v>
      </c>
      <c r="U181" s="39">
        <v>45306</v>
      </c>
      <c r="V181" s="37">
        <v>5.5</v>
      </c>
    </row>
    <row r="182" spans="6:22" x14ac:dyDescent="0.2">
      <c r="F182" s="39">
        <v>45303</v>
      </c>
      <c r="G182" s="37">
        <v>4.3499999999999996</v>
      </c>
      <c r="I182" s="39">
        <v>45307</v>
      </c>
      <c r="J182" s="37">
        <v>3.9049999999999998</v>
      </c>
      <c r="L182" s="39">
        <v>45307</v>
      </c>
      <c r="O182" s="39">
        <v>43998</v>
      </c>
      <c r="P182" s="37">
        <v>0.09</v>
      </c>
      <c r="R182" s="39">
        <v>45302</v>
      </c>
      <c r="S182" s="37">
        <v>5.1875999999999998</v>
      </c>
      <c r="U182" s="39">
        <v>45303</v>
      </c>
      <c r="V182" s="37">
        <v>5.5</v>
      </c>
    </row>
    <row r="183" spans="6:22" x14ac:dyDescent="0.2">
      <c r="F183" s="39">
        <v>45302</v>
      </c>
      <c r="G183" s="37">
        <v>4.3499999999999996</v>
      </c>
      <c r="I183" s="39">
        <v>45306</v>
      </c>
      <c r="J183" s="37">
        <v>3.9020000000000001</v>
      </c>
      <c r="L183" s="39">
        <v>45306</v>
      </c>
      <c r="O183" s="39">
        <v>43999</v>
      </c>
      <c r="P183" s="37">
        <v>0.09</v>
      </c>
      <c r="R183" s="39">
        <v>45301</v>
      </c>
      <c r="S183" s="37">
        <v>5.1871999999999998</v>
      </c>
      <c r="U183" s="39">
        <v>45302</v>
      </c>
      <c r="V183" s="37">
        <v>5.5</v>
      </c>
    </row>
    <row r="184" spans="6:22" x14ac:dyDescent="0.2">
      <c r="F184" s="39">
        <v>45301</v>
      </c>
      <c r="G184" s="37">
        <v>4.3499999999999996</v>
      </c>
      <c r="I184" s="39">
        <v>45303</v>
      </c>
      <c r="J184" s="37">
        <v>3.9039999999999999</v>
      </c>
      <c r="L184" s="39">
        <v>45303</v>
      </c>
      <c r="O184" s="39">
        <v>44000</v>
      </c>
      <c r="P184" s="37">
        <v>0.09</v>
      </c>
      <c r="R184" s="39">
        <v>45300</v>
      </c>
      <c r="S184" s="37">
        <v>5.1867000000000001</v>
      </c>
      <c r="U184" s="39">
        <v>45301</v>
      </c>
      <c r="V184" s="37">
        <v>5.5</v>
      </c>
    </row>
    <row r="185" spans="6:22" x14ac:dyDescent="0.2">
      <c r="F185" s="39">
        <v>45300</v>
      </c>
      <c r="G185" s="37">
        <v>4.3499999999999996</v>
      </c>
      <c r="I185" s="39">
        <v>45302</v>
      </c>
      <c r="J185" s="37">
        <v>3.9049999999999998</v>
      </c>
      <c r="L185" s="39">
        <v>45302</v>
      </c>
      <c r="O185" s="39">
        <v>44001</v>
      </c>
      <c r="P185" s="37">
        <v>0.09</v>
      </c>
      <c r="R185" s="39">
        <v>45299</v>
      </c>
      <c r="S185" s="37">
        <v>5.1868999999999996</v>
      </c>
      <c r="U185" s="39">
        <v>45300</v>
      </c>
      <c r="V185" s="37">
        <v>5.5</v>
      </c>
    </row>
    <row r="186" spans="6:22" x14ac:dyDescent="0.2">
      <c r="F186" s="39">
        <v>45299</v>
      </c>
      <c r="G186" s="37">
        <v>4.3499999999999996</v>
      </c>
      <c r="I186" s="39">
        <v>45301</v>
      </c>
      <c r="J186" s="37">
        <v>3.9060000000000001</v>
      </c>
      <c r="L186" s="39">
        <v>45301</v>
      </c>
      <c r="O186" s="39">
        <v>44004</v>
      </c>
      <c r="P186" s="37">
        <v>0.08</v>
      </c>
      <c r="R186" s="39">
        <v>45296</v>
      </c>
      <c r="S186" s="37">
        <v>5.1868999999999996</v>
      </c>
      <c r="U186" s="39">
        <v>45299</v>
      </c>
      <c r="V186" s="37">
        <v>5.5</v>
      </c>
    </row>
    <row r="187" spans="6:22" x14ac:dyDescent="0.2">
      <c r="F187" s="39">
        <v>45296</v>
      </c>
      <c r="G187" s="37">
        <v>4.3499999999999996</v>
      </c>
      <c r="I187" s="39">
        <v>45300</v>
      </c>
      <c r="J187" s="37">
        <v>3.9039999999999999</v>
      </c>
      <c r="L187" s="39">
        <v>45300</v>
      </c>
      <c r="O187" s="39">
        <v>44005</v>
      </c>
      <c r="P187" s="37">
        <v>7.0000000000000007E-2</v>
      </c>
      <c r="R187" s="39">
        <v>45295</v>
      </c>
      <c r="S187" s="37">
        <v>5.1870000000000003</v>
      </c>
      <c r="U187" s="39">
        <v>45296</v>
      </c>
      <c r="V187" s="37">
        <v>5.5</v>
      </c>
    </row>
    <row r="188" spans="6:22" x14ac:dyDescent="0.2">
      <c r="F188" s="39">
        <v>45295</v>
      </c>
      <c r="G188" s="37">
        <v>4.3499999999999996</v>
      </c>
      <c r="I188" s="39">
        <v>45299</v>
      </c>
      <c r="J188" s="37">
        <v>3.9039999999999999</v>
      </c>
      <c r="L188" s="39">
        <v>45299</v>
      </c>
      <c r="O188" s="39">
        <v>44006</v>
      </c>
      <c r="P188" s="37">
        <v>0.08</v>
      </c>
      <c r="R188" s="39">
        <v>45294</v>
      </c>
      <c r="S188" s="37">
        <v>5.1863000000000001</v>
      </c>
      <c r="U188" s="39">
        <v>45295</v>
      </c>
      <c r="V188" s="37">
        <v>5.5</v>
      </c>
    </row>
    <row r="189" spans="6:22" x14ac:dyDescent="0.2">
      <c r="F189" s="39">
        <v>45294</v>
      </c>
      <c r="G189" s="37">
        <v>4.3499999999999996</v>
      </c>
      <c r="I189" s="39">
        <v>45296</v>
      </c>
      <c r="J189" s="37">
        <v>3.9049999999999998</v>
      </c>
      <c r="L189" s="39">
        <v>45296</v>
      </c>
      <c r="O189" s="39">
        <v>44007</v>
      </c>
      <c r="P189" s="37">
        <v>0.09</v>
      </c>
      <c r="R189" s="39">
        <v>45293</v>
      </c>
      <c r="S189" s="37">
        <v>5.1863000000000001</v>
      </c>
      <c r="U189" s="39">
        <v>45294</v>
      </c>
      <c r="V189" s="37">
        <v>5.5</v>
      </c>
    </row>
    <row r="190" spans="6:22" x14ac:dyDescent="0.2">
      <c r="F190" s="39">
        <v>45293</v>
      </c>
      <c r="G190" s="37">
        <v>4.3499999999999996</v>
      </c>
      <c r="I190" s="39">
        <v>45295</v>
      </c>
      <c r="J190" s="37">
        <v>3.9020000000000001</v>
      </c>
      <c r="L190" s="39">
        <v>45295</v>
      </c>
      <c r="O190" s="39">
        <v>44008</v>
      </c>
      <c r="P190" s="37">
        <v>0.08</v>
      </c>
      <c r="R190" s="39">
        <v>45289</v>
      </c>
      <c r="S190" s="37">
        <v>5.1868999999999996</v>
      </c>
      <c r="U190" s="39">
        <v>45289</v>
      </c>
      <c r="V190" s="37">
        <v>5.5</v>
      </c>
    </row>
    <row r="191" spans="6:22" x14ac:dyDescent="0.2">
      <c r="F191" s="39">
        <v>45289</v>
      </c>
      <c r="G191" s="37">
        <v>4.3499999999999996</v>
      </c>
      <c r="I191" s="39">
        <v>45294</v>
      </c>
      <c r="J191" s="37">
        <v>3.9039999999999999</v>
      </c>
      <c r="L191" s="39">
        <v>45294</v>
      </c>
      <c r="O191" s="39">
        <v>44011</v>
      </c>
      <c r="P191" s="37">
        <v>0.08</v>
      </c>
      <c r="R191" s="39">
        <v>45288</v>
      </c>
      <c r="S191" s="37">
        <v>5.1867000000000001</v>
      </c>
      <c r="U191" s="39">
        <v>45288</v>
      </c>
      <c r="V191" s="37">
        <v>5.5</v>
      </c>
    </row>
    <row r="192" spans="6:22" x14ac:dyDescent="0.2">
      <c r="F192" s="39">
        <v>45288</v>
      </c>
      <c r="G192" s="37">
        <v>4.3499999999999996</v>
      </c>
      <c r="I192" s="39">
        <v>45293</v>
      </c>
      <c r="J192" s="37">
        <v>3.9060000000000001</v>
      </c>
      <c r="L192" s="39">
        <v>45289</v>
      </c>
      <c r="O192" s="39">
        <v>44012</v>
      </c>
      <c r="P192" s="37">
        <v>0.1</v>
      </c>
      <c r="R192" s="39">
        <v>45287</v>
      </c>
      <c r="S192" s="37">
        <v>5.1863000000000001</v>
      </c>
      <c r="U192" s="39">
        <v>45287</v>
      </c>
      <c r="V192" s="37">
        <v>5.5</v>
      </c>
    </row>
    <row r="193" spans="6:22" x14ac:dyDescent="0.2">
      <c r="F193" s="39">
        <v>45287</v>
      </c>
      <c r="G193" s="37">
        <v>4.3499999999999996</v>
      </c>
      <c r="I193" s="39">
        <v>45289</v>
      </c>
      <c r="J193" s="37">
        <v>3.8820000000000001</v>
      </c>
      <c r="L193" s="39">
        <v>45288</v>
      </c>
      <c r="O193" s="39">
        <v>44013</v>
      </c>
      <c r="P193" s="37">
        <v>0.11</v>
      </c>
      <c r="R193" s="39">
        <v>45282</v>
      </c>
      <c r="S193" s="37">
        <v>5.1867000000000001</v>
      </c>
      <c r="U193" s="39">
        <v>45282</v>
      </c>
      <c r="V193" s="37">
        <v>5.5</v>
      </c>
    </row>
    <row r="194" spans="6:22" x14ac:dyDescent="0.2">
      <c r="F194" s="39">
        <v>45282</v>
      </c>
      <c r="G194" s="37">
        <v>4.3499999999999996</v>
      </c>
      <c r="I194" s="39">
        <v>45288</v>
      </c>
      <c r="J194" s="37">
        <v>3.9</v>
      </c>
      <c r="L194" s="39">
        <v>45287</v>
      </c>
      <c r="O194" s="39">
        <v>44014</v>
      </c>
      <c r="P194" s="37">
        <v>0.11</v>
      </c>
      <c r="R194" s="39">
        <v>45281</v>
      </c>
      <c r="S194" s="37">
        <v>5.1860999999999997</v>
      </c>
      <c r="U194" s="39">
        <v>45281</v>
      </c>
      <c r="V194" s="37">
        <v>5.5</v>
      </c>
    </row>
    <row r="195" spans="6:22" x14ac:dyDescent="0.2">
      <c r="F195" s="39">
        <v>45281</v>
      </c>
      <c r="G195" s="37">
        <v>4.3499999999999996</v>
      </c>
      <c r="I195" s="39">
        <v>45287</v>
      </c>
      <c r="J195" s="37">
        <v>3.9</v>
      </c>
      <c r="L195" s="39">
        <v>45282</v>
      </c>
      <c r="O195" s="39">
        <v>44018</v>
      </c>
      <c r="P195" s="37">
        <v>0.1</v>
      </c>
      <c r="R195" s="39">
        <v>45280</v>
      </c>
      <c r="S195" s="37">
        <v>5.1863999999999999</v>
      </c>
      <c r="U195" s="39">
        <v>45280</v>
      </c>
      <c r="V195" s="37">
        <v>5.5</v>
      </c>
    </row>
    <row r="196" spans="6:22" x14ac:dyDescent="0.2">
      <c r="F196" s="39">
        <v>45280</v>
      </c>
      <c r="G196" s="37">
        <v>4.3499999999999996</v>
      </c>
      <c r="I196" s="39">
        <v>45282</v>
      </c>
      <c r="J196" s="37">
        <v>3.899</v>
      </c>
      <c r="L196" s="39">
        <v>45281</v>
      </c>
      <c r="O196" s="39">
        <v>44019</v>
      </c>
      <c r="P196" s="37">
        <v>0.1</v>
      </c>
      <c r="R196" s="39">
        <v>45279</v>
      </c>
      <c r="S196" s="37">
        <v>5.1863000000000001</v>
      </c>
      <c r="U196" s="39">
        <v>45279</v>
      </c>
      <c r="V196" s="37">
        <v>5.5</v>
      </c>
    </row>
    <row r="197" spans="6:22" x14ac:dyDescent="0.2">
      <c r="F197" s="39">
        <v>45279</v>
      </c>
      <c r="G197" s="37">
        <v>4.3499999999999996</v>
      </c>
      <c r="I197" s="39">
        <v>45281</v>
      </c>
      <c r="J197" s="37">
        <v>3.899</v>
      </c>
      <c r="L197" s="39">
        <v>45280</v>
      </c>
      <c r="O197" s="39">
        <v>44020</v>
      </c>
      <c r="P197" s="37">
        <v>0.1</v>
      </c>
      <c r="R197" s="39">
        <v>45278</v>
      </c>
      <c r="S197" s="37">
        <v>5.1864999999999997</v>
      </c>
      <c r="U197" s="39">
        <v>45278</v>
      </c>
      <c r="V197" s="37">
        <v>5.5</v>
      </c>
    </row>
    <row r="198" spans="6:22" x14ac:dyDescent="0.2">
      <c r="F198" s="39">
        <v>45278</v>
      </c>
      <c r="G198" s="37">
        <v>4.3499999999999996</v>
      </c>
      <c r="I198" s="39">
        <v>45280</v>
      </c>
      <c r="J198" s="37">
        <v>3.9009999999999998</v>
      </c>
      <c r="L198" s="39">
        <v>45279</v>
      </c>
      <c r="O198" s="39">
        <v>44021</v>
      </c>
      <c r="P198" s="37">
        <v>0.1</v>
      </c>
      <c r="R198" s="39">
        <v>45275</v>
      </c>
      <c r="S198" s="37">
        <v>5.1858000000000004</v>
      </c>
      <c r="U198" s="39">
        <v>45275</v>
      </c>
      <c r="V198" s="37">
        <v>5.5</v>
      </c>
    </row>
    <row r="199" spans="6:22" x14ac:dyDescent="0.2">
      <c r="F199" s="39">
        <v>45275</v>
      </c>
      <c r="G199" s="37">
        <v>4.3499999999999996</v>
      </c>
      <c r="I199" s="39">
        <v>45279</v>
      </c>
      <c r="J199" s="37">
        <v>3.9009999999999998</v>
      </c>
      <c r="L199" s="39">
        <v>45278</v>
      </c>
      <c r="O199" s="39">
        <v>44022</v>
      </c>
      <c r="P199" s="37">
        <v>0.1</v>
      </c>
      <c r="R199" s="39">
        <v>45274</v>
      </c>
      <c r="S199" s="37">
        <v>5.1859000000000002</v>
      </c>
      <c r="U199" s="39">
        <v>45274</v>
      </c>
      <c r="V199" s="37">
        <v>5.5</v>
      </c>
    </row>
    <row r="200" spans="6:22" x14ac:dyDescent="0.2">
      <c r="F200" s="39">
        <v>45274</v>
      </c>
      <c r="G200" s="37">
        <v>4.3499999999999996</v>
      </c>
      <c r="I200" s="39">
        <v>45278</v>
      </c>
      <c r="J200" s="37">
        <v>3.9009999999999998</v>
      </c>
      <c r="L200" s="39">
        <v>45275</v>
      </c>
      <c r="O200" s="39">
        <v>44025</v>
      </c>
      <c r="P200" s="37">
        <v>0.1</v>
      </c>
      <c r="R200" s="39">
        <v>45273</v>
      </c>
      <c r="S200" s="37">
        <v>5.1874000000000002</v>
      </c>
      <c r="U200" s="39">
        <v>45273</v>
      </c>
      <c r="V200" s="37">
        <v>5.5</v>
      </c>
    </row>
    <row r="201" spans="6:22" x14ac:dyDescent="0.2">
      <c r="F201" s="39">
        <v>45273</v>
      </c>
      <c r="G201" s="37">
        <v>4.3499999999999996</v>
      </c>
      <c r="I201" s="39">
        <v>45275</v>
      </c>
      <c r="J201" s="37">
        <v>3.9039999999999999</v>
      </c>
      <c r="L201" s="39">
        <v>45274</v>
      </c>
      <c r="O201" s="39">
        <v>44026</v>
      </c>
      <c r="P201" s="37">
        <v>0.11</v>
      </c>
      <c r="R201" s="39">
        <v>45272</v>
      </c>
      <c r="S201" s="37">
        <v>5.1878000000000002</v>
      </c>
      <c r="U201" s="39">
        <v>45272</v>
      </c>
      <c r="V201" s="37">
        <v>5.5</v>
      </c>
    </row>
    <row r="202" spans="6:22" x14ac:dyDescent="0.2">
      <c r="F202" s="39">
        <v>45272</v>
      </c>
      <c r="G202" s="37">
        <v>4.3499999999999996</v>
      </c>
      <c r="I202" s="39">
        <v>45274</v>
      </c>
      <c r="J202" s="37">
        <v>3.907</v>
      </c>
      <c r="L202" s="39">
        <v>45273</v>
      </c>
      <c r="O202" s="39">
        <v>44027</v>
      </c>
      <c r="P202" s="37">
        <v>0.13</v>
      </c>
      <c r="R202" s="39">
        <v>45271</v>
      </c>
      <c r="S202" s="37">
        <v>5.1875999999999998</v>
      </c>
      <c r="U202" s="39">
        <v>45271</v>
      </c>
      <c r="V202" s="37">
        <v>5.5</v>
      </c>
    </row>
    <row r="203" spans="6:22" x14ac:dyDescent="0.2">
      <c r="F203" s="39">
        <v>45271</v>
      </c>
      <c r="G203" s="37">
        <v>4.3499999999999996</v>
      </c>
      <c r="I203" s="39">
        <v>45273</v>
      </c>
      <c r="J203" s="37">
        <v>3.9049999999999998</v>
      </c>
      <c r="L203" s="39">
        <v>45272</v>
      </c>
      <c r="O203" s="39">
        <v>44028</v>
      </c>
      <c r="P203" s="37">
        <v>0.12</v>
      </c>
      <c r="R203" s="39">
        <v>45268</v>
      </c>
      <c r="S203" s="37">
        <v>5.1871999999999998</v>
      </c>
      <c r="U203" s="39">
        <v>45268</v>
      </c>
      <c r="V203" s="37">
        <v>5.5</v>
      </c>
    </row>
    <row r="204" spans="6:22" x14ac:dyDescent="0.2">
      <c r="F204" s="39">
        <v>45268</v>
      </c>
      <c r="G204" s="37">
        <v>4.3499999999999996</v>
      </c>
      <c r="I204" s="39">
        <v>45272</v>
      </c>
      <c r="J204" s="37">
        <v>3.9049999999999998</v>
      </c>
      <c r="L204" s="39">
        <v>45271</v>
      </c>
      <c r="O204" s="39">
        <v>44029</v>
      </c>
      <c r="P204" s="37">
        <v>0.12</v>
      </c>
      <c r="R204" s="39">
        <v>45267</v>
      </c>
      <c r="S204" s="37">
        <v>5.1875</v>
      </c>
      <c r="U204" s="39">
        <v>45267</v>
      </c>
      <c r="V204" s="37">
        <v>5.5</v>
      </c>
    </row>
    <row r="205" spans="6:22" x14ac:dyDescent="0.2">
      <c r="F205" s="39">
        <v>45267</v>
      </c>
      <c r="G205" s="37">
        <v>4.3499999999999996</v>
      </c>
      <c r="I205" s="39">
        <v>45271</v>
      </c>
      <c r="J205" s="37">
        <v>3.9020000000000001</v>
      </c>
      <c r="L205" s="39">
        <v>45268</v>
      </c>
      <c r="O205" s="39">
        <v>44032</v>
      </c>
      <c r="P205" s="37">
        <v>0.12</v>
      </c>
      <c r="R205" s="39">
        <v>45266</v>
      </c>
      <c r="S205" s="37">
        <v>5.1874000000000002</v>
      </c>
      <c r="U205" s="39">
        <v>45266</v>
      </c>
      <c r="V205" s="37">
        <v>5.5</v>
      </c>
    </row>
    <row r="206" spans="6:22" x14ac:dyDescent="0.2">
      <c r="F206" s="39">
        <v>45266</v>
      </c>
      <c r="G206" s="37">
        <v>4.3499999999999996</v>
      </c>
      <c r="I206" s="39">
        <v>45268</v>
      </c>
      <c r="J206" s="37">
        <v>3.903</v>
      </c>
      <c r="L206" s="39">
        <v>45267</v>
      </c>
      <c r="O206" s="39">
        <v>44033</v>
      </c>
      <c r="P206" s="37">
        <v>0.11</v>
      </c>
      <c r="R206" s="39">
        <v>45265</v>
      </c>
      <c r="S206" s="37">
        <v>5.1875</v>
      </c>
      <c r="U206" s="39">
        <v>45265</v>
      </c>
      <c r="V206" s="37">
        <v>5.5</v>
      </c>
    </row>
    <row r="207" spans="6:22" x14ac:dyDescent="0.2">
      <c r="F207" s="39">
        <v>45265</v>
      </c>
      <c r="G207" s="37">
        <v>4.3499999999999996</v>
      </c>
      <c r="I207" s="39">
        <v>45267</v>
      </c>
      <c r="J207" s="37">
        <v>3.903</v>
      </c>
      <c r="L207" s="39">
        <v>45266</v>
      </c>
      <c r="O207" s="39">
        <v>44034</v>
      </c>
      <c r="P207" s="37">
        <v>0.1</v>
      </c>
      <c r="R207" s="39">
        <v>45264</v>
      </c>
      <c r="S207" s="37">
        <v>5.1878000000000002</v>
      </c>
      <c r="U207" s="39">
        <v>45264</v>
      </c>
      <c r="V207" s="37">
        <v>5.5</v>
      </c>
    </row>
    <row r="208" spans="6:22" x14ac:dyDescent="0.2">
      <c r="F208" s="39">
        <v>45264</v>
      </c>
      <c r="G208" s="37">
        <v>4.3499999999999996</v>
      </c>
      <c r="I208" s="39">
        <v>45266</v>
      </c>
      <c r="J208" s="37">
        <v>3.9039999999999999</v>
      </c>
      <c r="L208" s="39">
        <v>45265</v>
      </c>
      <c r="O208" s="39">
        <v>44035</v>
      </c>
      <c r="P208" s="37">
        <v>0.1</v>
      </c>
      <c r="R208" s="39">
        <v>45261</v>
      </c>
      <c r="S208" s="37">
        <v>5.1886000000000001</v>
      </c>
      <c r="U208" s="39">
        <v>45261</v>
      </c>
      <c r="V208" s="37">
        <v>5.5</v>
      </c>
    </row>
    <row r="209" spans="6:22" x14ac:dyDescent="0.2">
      <c r="F209" s="39">
        <v>45261</v>
      </c>
      <c r="G209" s="37">
        <v>4.3499999999999996</v>
      </c>
      <c r="I209" s="39">
        <v>45265</v>
      </c>
      <c r="J209" s="37">
        <v>3.9049999999999998</v>
      </c>
      <c r="L209" s="39">
        <v>45264</v>
      </c>
      <c r="O209" s="39">
        <v>44036</v>
      </c>
      <c r="P209" s="37">
        <v>0.1</v>
      </c>
      <c r="R209" s="39">
        <v>45260</v>
      </c>
      <c r="S209" s="37">
        <v>5.1881000000000004</v>
      </c>
      <c r="U209" s="39">
        <v>45260</v>
      </c>
      <c r="V209" s="37">
        <v>5.5</v>
      </c>
    </row>
    <row r="210" spans="6:22" x14ac:dyDescent="0.2">
      <c r="F210" s="39">
        <v>45260</v>
      </c>
      <c r="G210" s="37">
        <v>4.3499999999999996</v>
      </c>
      <c r="I210" s="39">
        <v>45264</v>
      </c>
      <c r="J210" s="37">
        <v>3.9039999999999999</v>
      </c>
      <c r="L210" s="39">
        <v>45261</v>
      </c>
      <c r="O210" s="39">
        <v>44039</v>
      </c>
      <c r="P210" s="37">
        <v>0.1</v>
      </c>
      <c r="R210" s="39">
        <v>45259</v>
      </c>
      <c r="S210" s="37">
        <v>5.1879</v>
      </c>
      <c r="U210" s="39">
        <v>45259</v>
      </c>
      <c r="V210" s="37">
        <v>5.5</v>
      </c>
    </row>
    <row r="211" spans="6:22" x14ac:dyDescent="0.2">
      <c r="F211" s="39">
        <v>45259</v>
      </c>
      <c r="G211" s="37">
        <v>4.3499999999999996</v>
      </c>
      <c r="I211" s="39">
        <v>45261</v>
      </c>
      <c r="J211" s="37">
        <v>3.9039999999999999</v>
      </c>
      <c r="L211" s="39">
        <v>45260</v>
      </c>
      <c r="O211" s="39">
        <v>44040</v>
      </c>
      <c r="P211" s="37">
        <v>0.1</v>
      </c>
      <c r="R211" s="39">
        <v>45258</v>
      </c>
      <c r="S211" s="37">
        <v>5.1879</v>
      </c>
      <c r="U211" s="39">
        <v>45258</v>
      </c>
      <c r="V211" s="37">
        <v>5.5</v>
      </c>
    </row>
    <row r="212" spans="6:22" x14ac:dyDescent="0.2">
      <c r="F212" s="39">
        <v>45258</v>
      </c>
      <c r="G212" s="37">
        <v>4.3499999999999996</v>
      </c>
      <c r="I212" s="39">
        <v>45260</v>
      </c>
      <c r="J212" s="37">
        <v>3.891</v>
      </c>
      <c r="L212" s="39">
        <v>45259</v>
      </c>
      <c r="O212" s="39">
        <v>44041</v>
      </c>
      <c r="P212" s="37">
        <v>0.09</v>
      </c>
      <c r="R212" s="39">
        <v>45257</v>
      </c>
      <c r="S212" s="37">
        <v>5.1879999999999997</v>
      </c>
      <c r="U212" s="39">
        <v>45257</v>
      </c>
      <c r="V212" s="37">
        <v>5.5</v>
      </c>
    </row>
    <row r="213" spans="6:22" x14ac:dyDescent="0.2">
      <c r="F213" s="39">
        <v>45257</v>
      </c>
      <c r="G213" s="37">
        <v>4.3499999999999996</v>
      </c>
      <c r="I213" s="39">
        <v>45259</v>
      </c>
      <c r="J213" s="37">
        <v>3.9020000000000001</v>
      </c>
      <c r="L213" s="39">
        <v>45258</v>
      </c>
      <c r="O213" s="39">
        <v>44042</v>
      </c>
      <c r="P213" s="37">
        <v>0.1</v>
      </c>
      <c r="R213" s="39">
        <v>45254</v>
      </c>
      <c r="S213" s="37">
        <v>5.1889000000000003</v>
      </c>
      <c r="U213" s="39">
        <v>45254</v>
      </c>
      <c r="V213" s="37">
        <v>5.5</v>
      </c>
    </row>
    <row r="214" spans="6:22" x14ac:dyDescent="0.2">
      <c r="F214" s="39">
        <v>45254</v>
      </c>
      <c r="G214" s="37">
        <v>4.3499999999999996</v>
      </c>
      <c r="I214" s="39">
        <v>45258</v>
      </c>
      <c r="J214" s="37">
        <v>3.903</v>
      </c>
      <c r="L214" s="39">
        <v>45257</v>
      </c>
      <c r="O214" s="39">
        <v>44043</v>
      </c>
      <c r="P214" s="37">
        <v>0.1</v>
      </c>
      <c r="R214" s="39">
        <v>45253</v>
      </c>
      <c r="S214" s="37">
        <v>5.1882999999999999</v>
      </c>
      <c r="U214" s="39">
        <v>45253</v>
      </c>
      <c r="V214" s="37">
        <v>5.5</v>
      </c>
    </row>
    <row r="215" spans="6:22" x14ac:dyDescent="0.2">
      <c r="F215" s="39">
        <v>45253</v>
      </c>
      <c r="G215" s="37">
        <v>4.3499999999999996</v>
      </c>
      <c r="I215" s="39">
        <v>45257</v>
      </c>
      <c r="J215" s="37">
        <v>3.903</v>
      </c>
      <c r="L215" s="39">
        <v>45254</v>
      </c>
      <c r="O215" s="39">
        <v>44046</v>
      </c>
      <c r="P215" s="37">
        <v>0.1</v>
      </c>
      <c r="R215" s="39">
        <v>45252</v>
      </c>
      <c r="S215" s="37">
        <v>5.1887999999999996</v>
      </c>
      <c r="U215" s="39">
        <v>45252</v>
      </c>
      <c r="V215" s="37">
        <v>5.5</v>
      </c>
    </row>
    <row r="216" spans="6:22" x14ac:dyDescent="0.2">
      <c r="F216" s="39">
        <v>45252</v>
      </c>
      <c r="G216" s="37">
        <v>4.3499999999999996</v>
      </c>
      <c r="I216" s="39">
        <v>45254</v>
      </c>
      <c r="J216" s="37">
        <v>3.9039999999999999</v>
      </c>
      <c r="L216" s="39">
        <v>45253</v>
      </c>
      <c r="O216" s="39">
        <v>44047</v>
      </c>
      <c r="P216" s="37">
        <v>0.09</v>
      </c>
      <c r="R216" s="39">
        <v>45251</v>
      </c>
      <c r="S216" s="37">
        <v>5.1885000000000003</v>
      </c>
      <c r="U216" s="39">
        <v>45251</v>
      </c>
      <c r="V216" s="37">
        <v>5.5</v>
      </c>
    </row>
    <row r="217" spans="6:22" x14ac:dyDescent="0.2">
      <c r="F217" s="39">
        <v>45251</v>
      </c>
      <c r="G217" s="37">
        <v>4.3499999999999996</v>
      </c>
      <c r="I217" s="39">
        <v>45253</v>
      </c>
      <c r="J217" s="37">
        <v>3.9020000000000001</v>
      </c>
      <c r="L217" s="39">
        <v>45252</v>
      </c>
      <c r="O217" s="39">
        <v>44048</v>
      </c>
      <c r="P217" s="37">
        <v>0.09</v>
      </c>
      <c r="R217" s="39">
        <v>45250</v>
      </c>
      <c r="S217" s="37">
        <v>5.1882000000000001</v>
      </c>
      <c r="U217" s="39">
        <v>45250</v>
      </c>
      <c r="V217" s="37">
        <v>5.5</v>
      </c>
    </row>
    <row r="218" spans="6:22" x14ac:dyDescent="0.2">
      <c r="F218" s="39">
        <v>45250</v>
      </c>
      <c r="G218" s="37">
        <v>4.3499999999999996</v>
      </c>
      <c r="I218" s="39">
        <v>45252</v>
      </c>
      <c r="J218" s="37">
        <v>3.9020000000000001</v>
      </c>
      <c r="L218" s="39">
        <v>45251</v>
      </c>
      <c r="O218" s="39">
        <v>44049</v>
      </c>
      <c r="P218" s="37">
        <v>0.09</v>
      </c>
      <c r="R218" s="39">
        <v>45247</v>
      </c>
      <c r="S218" s="37">
        <v>5.1881000000000004</v>
      </c>
      <c r="U218" s="39">
        <v>45247</v>
      </c>
      <c r="V218" s="37">
        <v>5.5</v>
      </c>
    </row>
    <row r="219" spans="6:22" x14ac:dyDescent="0.2">
      <c r="F219" s="39">
        <v>45247</v>
      </c>
      <c r="G219" s="37">
        <v>4.3499999999999996</v>
      </c>
      <c r="I219" s="39">
        <v>45251</v>
      </c>
      <c r="J219" s="37">
        <v>3.9009999999999998</v>
      </c>
      <c r="L219" s="39">
        <v>45250</v>
      </c>
      <c r="O219" s="39">
        <v>44050</v>
      </c>
      <c r="P219" s="37">
        <v>0.09</v>
      </c>
      <c r="R219" s="39">
        <v>45246</v>
      </c>
      <c r="S219" s="37">
        <v>5.1874000000000002</v>
      </c>
      <c r="U219" s="39">
        <v>45246</v>
      </c>
      <c r="V219" s="37">
        <v>5.5</v>
      </c>
    </row>
    <row r="220" spans="6:22" x14ac:dyDescent="0.2">
      <c r="F220" s="39">
        <v>45246</v>
      </c>
      <c r="G220" s="37">
        <v>4.3499999999999996</v>
      </c>
      <c r="I220" s="39">
        <v>45250</v>
      </c>
      <c r="J220" s="37">
        <v>3.903</v>
      </c>
      <c r="L220" s="39">
        <v>45247</v>
      </c>
      <c r="O220" s="39">
        <v>44053</v>
      </c>
      <c r="P220" s="37">
        <v>0.09</v>
      </c>
      <c r="R220" s="39">
        <v>45245</v>
      </c>
      <c r="S220" s="37">
        <v>5.1867999999999999</v>
      </c>
      <c r="U220" s="39">
        <v>45245</v>
      </c>
      <c r="V220" s="37">
        <v>5.5</v>
      </c>
    </row>
    <row r="221" spans="6:22" x14ac:dyDescent="0.2">
      <c r="F221" s="39">
        <v>45245</v>
      </c>
      <c r="G221" s="37">
        <v>4.3499999999999996</v>
      </c>
      <c r="I221" s="39">
        <v>45247</v>
      </c>
      <c r="J221" s="37">
        <v>3.9020000000000001</v>
      </c>
      <c r="L221" s="39">
        <v>45246</v>
      </c>
      <c r="O221" s="39">
        <v>44054</v>
      </c>
      <c r="P221" s="37">
        <v>0.1</v>
      </c>
      <c r="R221" s="39">
        <v>45244</v>
      </c>
      <c r="S221" s="37">
        <v>5.1871999999999998</v>
      </c>
      <c r="U221" s="39">
        <v>45244</v>
      </c>
      <c r="V221" s="37">
        <v>5.5</v>
      </c>
    </row>
    <row r="222" spans="6:22" x14ac:dyDescent="0.2">
      <c r="F222" s="39">
        <v>45244</v>
      </c>
      <c r="G222" s="37">
        <v>4.3499999999999996</v>
      </c>
      <c r="I222" s="39">
        <v>45246</v>
      </c>
      <c r="J222" s="37">
        <v>3.9060000000000001</v>
      </c>
      <c r="L222" s="39">
        <v>45245</v>
      </c>
      <c r="O222" s="39">
        <v>44055</v>
      </c>
      <c r="P222" s="37">
        <v>0.09</v>
      </c>
      <c r="R222" s="39">
        <v>45243</v>
      </c>
      <c r="S222" s="37">
        <v>5.1867000000000001</v>
      </c>
      <c r="U222" s="39">
        <v>45243</v>
      </c>
      <c r="V222" s="37">
        <v>5.5</v>
      </c>
    </row>
    <row r="223" spans="6:22" x14ac:dyDescent="0.2">
      <c r="F223" s="39">
        <v>45243</v>
      </c>
      <c r="G223" s="37">
        <v>4.3499999999999996</v>
      </c>
      <c r="I223" s="39">
        <v>45245</v>
      </c>
      <c r="J223" s="37">
        <v>3.899</v>
      </c>
      <c r="L223" s="39">
        <v>45244</v>
      </c>
      <c r="O223" s="39">
        <v>44056</v>
      </c>
      <c r="P223" s="37">
        <v>0.09</v>
      </c>
      <c r="R223" s="39">
        <v>45240</v>
      </c>
      <c r="S223" s="37">
        <v>5.1868999999999996</v>
      </c>
      <c r="U223" s="39">
        <v>45240</v>
      </c>
      <c r="V223" s="37">
        <v>5.5</v>
      </c>
    </row>
    <row r="224" spans="6:22" x14ac:dyDescent="0.2">
      <c r="F224" s="39">
        <v>45240</v>
      </c>
      <c r="G224" s="37">
        <v>4.3499999999999996</v>
      </c>
      <c r="I224" s="39">
        <v>45244</v>
      </c>
      <c r="J224" s="37">
        <v>3.9020000000000001</v>
      </c>
      <c r="L224" s="39">
        <v>45243</v>
      </c>
      <c r="O224" s="39">
        <v>44057</v>
      </c>
      <c r="P224" s="37">
        <v>0.09</v>
      </c>
      <c r="R224" s="39">
        <v>45239</v>
      </c>
      <c r="S224" s="37">
        <v>5.1866000000000003</v>
      </c>
      <c r="U224" s="39">
        <v>45239</v>
      </c>
      <c r="V224" s="37">
        <v>5.5</v>
      </c>
    </row>
    <row r="225" spans="6:22" x14ac:dyDescent="0.2">
      <c r="F225" s="39">
        <v>45239</v>
      </c>
      <c r="G225" s="37">
        <v>4.3499999999999996</v>
      </c>
      <c r="I225" s="39">
        <v>45243</v>
      </c>
      <c r="J225" s="37">
        <v>3.903</v>
      </c>
      <c r="L225" s="39">
        <v>45240</v>
      </c>
      <c r="O225" s="39">
        <v>44060</v>
      </c>
      <c r="P225" s="37">
        <v>0.1</v>
      </c>
      <c r="R225" s="39">
        <v>45238</v>
      </c>
      <c r="S225" s="37">
        <v>5.1866000000000003</v>
      </c>
      <c r="U225" s="39">
        <v>45238</v>
      </c>
      <c r="V225" s="37">
        <v>5.5</v>
      </c>
    </row>
    <row r="226" spans="6:22" x14ac:dyDescent="0.2">
      <c r="F226" s="39">
        <v>45238</v>
      </c>
      <c r="G226" s="37">
        <v>4.3499999999999996</v>
      </c>
      <c r="I226" s="39">
        <v>45240</v>
      </c>
      <c r="J226" s="37">
        <v>3.9039999999999999</v>
      </c>
      <c r="L226" s="39">
        <v>45239</v>
      </c>
      <c r="O226" s="39">
        <v>44061</v>
      </c>
      <c r="P226" s="37">
        <v>0.09</v>
      </c>
      <c r="R226" s="39">
        <v>45237</v>
      </c>
      <c r="S226" s="37">
        <v>5.1863999999999999</v>
      </c>
      <c r="U226" s="39">
        <v>45237</v>
      </c>
      <c r="V226" s="37">
        <v>5.5</v>
      </c>
    </row>
    <row r="227" spans="6:22" x14ac:dyDescent="0.2">
      <c r="F227" s="39">
        <v>45237</v>
      </c>
      <c r="G227" s="37">
        <v>4.0999999999999996</v>
      </c>
      <c r="I227" s="39">
        <v>45239</v>
      </c>
      <c r="J227" s="37">
        <v>3.9020000000000001</v>
      </c>
      <c r="L227" s="39">
        <v>45238</v>
      </c>
      <c r="O227" s="39">
        <v>44062</v>
      </c>
      <c r="P227" s="37">
        <v>0.09</v>
      </c>
      <c r="R227" s="39">
        <v>45236</v>
      </c>
      <c r="S227" s="37">
        <v>5.1867000000000001</v>
      </c>
      <c r="U227" s="39">
        <v>45236</v>
      </c>
      <c r="V227" s="37">
        <v>5.5</v>
      </c>
    </row>
    <row r="228" spans="6:22" x14ac:dyDescent="0.2">
      <c r="F228" s="39">
        <v>45236</v>
      </c>
      <c r="G228" s="37">
        <v>4.0999999999999996</v>
      </c>
      <c r="I228" s="39">
        <v>45238</v>
      </c>
      <c r="J228" s="37">
        <v>3.9020000000000001</v>
      </c>
      <c r="L228" s="39">
        <v>45237</v>
      </c>
      <c r="O228" s="39">
        <v>44063</v>
      </c>
      <c r="P228" s="37">
        <v>7.0000000000000007E-2</v>
      </c>
      <c r="R228" s="39">
        <v>45233</v>
      </c>
      <c r="S228" s="37">
        <v>5.1870000000000003</v>
      </c>
      <c r="U228" s="39">
        <v>45233</v>
      </c>
      <c r="V228" s="37">
        <v>5.5</v>
      </c>
    </row>
    <row r="229" spans="6:22" x14ac:dyDescent="0.2">
      <c r="F229" s="39">
        <v>45233</v>
      </c>
      <c r="G229" s="37">
        <v>4.0999999999999996</v>
      </c>
      <c r="I229" s="39">
        <v>45237</v>
      </c>
      <c r="J229" s="37">
        <v>3.9020000000000001</v>
      </c>
      <c r="L229" s="39">
        <v>45236</v>
      </c>
      <c r="O229" s="39">
        <v>44064</v>
      </c>
      <c r="P229" s="37">
        <v>7.0000000000000007E-2</v>
      </c>
      <c r="R229" s="39">
        <v>45232</v>
      </c>
      <c r="S229" s="37">
        <v>5.1870000000000003</v>
      </c>
      <c r="U229" s="39">
        <v>45232</v>
      </c>
      <c r="V229" s="37">
        <v>5.5</v>
      </c>
    </row>
    <row r="230" spans="6:22" x14ac:dyDescent="0.2">
      <c r="F230" s="39">
        <v>45232</v>
      </c>
      <c r="G230" s="37">
        <v>4.0999999999999996</v>
      </c>
      <c r="I230" s="39">
        <v>45236</v>
      </c>
      <c r="J230" s="37">
        <v>3.9</v>
      </c>
      <c r="L230" s="39">
        <v>45233</v>
      </c>
      <c r="O230" s="39">
        <v>44067</v>
      </c>
      <c r="P230" s="37">
        <v>0.08</v>
      </c>
      <c r="R230" s="39">
        <v>45231</v>
      </c>
      <c r="S230" s="37">
        <v>5.1864999999999997</v>
      </c>
      <c r="U230" s="39">
        <v>45231</v>
      </c>
      <c r="V230" s="37">
        <v>5.5</v>
      </c>
    </row>
    <row r="231" spans="6:22" x14ac:dyDescent="0.2">
      <c r="F231" s="39">
        <v>45231</v>
      </c>
      <c r="G231" s="37">
        <v>4.0999999999999996</v>
      </c>
      <c r="I231" s="39">
        <v>45233</v>
      </c>
      <c r="J231" s="37">
        <v>3.9020000000000001</v>
      </c>
      <c r="L231" s="39">
        <v>45232</v>
      </c>
      <c r="O231" s="39">
        <v>44068</v>
      </c>
      <c r="P231" s="37">
        <v>0.08</v>
      </c>
      <c r="R231" s="39">
        <v>45230</v>
      </c>
      <c r="S231" s="37">
        <v>5.1860999999999997</v>
      </c>
      <c r="U231" s="39">
        <v>45230</v>
      </c>
      <c r="V231" s="37">
        <v>5.5</v>
      </c>
    </row>
    <row r="232" spans="6:22" x14ac:dyDescent="0.2">
      <c r="F232" s="39">
        <v>45230</v>
      </c>
      <c r="G232" s="37">
        <v>4.0999999999999996</v>
      </c>
      <c r="I232" s="39">
        <v>45232</v>
      </c>
      <c r="J232" s="37">
        <v>3.903</v>
      </c>
      <c r="L232" s="39">
        <v>45231</v>
      </c>
      <c r="O232" s="39">
        <v>44069</v>
      </c>
      <c r="P232" s="37">
        <v>7.0000000000000007E-2</v>
      </c>
      <c r="R232" s="39">
        <v>45229</v>
      </c>
      <c r="S232" s="37">
        <v>5.1867000000000001</v>
      </c>
      <c r="U232" s="39">
        <v>45229</v>
      </c>
      <c r="V232" s="37">
        <v>5.5</v>
      </c>
    </row>
    <row r="233" spans="6:22" x14ac:dyDescent="0.2">
      <c r="F233" s="39">
        <v>45229</v>
      </c>
      <c r="G233" s="37">
        <v>4.0999999999999996</v>
      </c>
      <c r="I233" s="39">
        <v>45231</v>
      </c>
      <c r="J233" s="37">
        <v>3.9</v>
      </c>
      <c r="L233" s="39">
        <v>45230</v>
      </c>
      <c r="O233" s="39">
        <v>44070</v>
      </c>
      <c r="P233" s="37">
        <v>7.0000000000000007E-2</v>
      </c>
      <c r="R233" s="39">
        <v>45226</v>
      </c>
      <c r="S233" s="37">
        <v>5.1866000000000003</v>
      </c>
      <c r="U233" s="39">
        <v>45226</v>
      </c>
      <c r="V233" s="37">
        <v>5.5</v>
      </c>
    </row>
    <row r="234" spans="6:22" x14ac:dyDescent="0.2">
      <c r="F234" s="39">
        <v>45226</v>
      </c>
      <c r="G234" s="37">
        <v>4.0999999999999996</v>
      </c>
      <c r="I234" s="39">
        <v>45230</v>
      </c>
      <c r="J234" s="37">
        <v>3.8820000000000001</v>
      </c>
      <c r="L234" s="39">
        <v>45229</v>
      </c>
      <c r="O234" s="39">
        <v>44071</v>
      </c>
      <c r="P234" s="37">
        <v>7.0000000000000007E-2</v>
      </c>
      <c r="R234" s="39">
        <v>45225</v>
      </c>
      <c r="S234" s="37">
        <v>5.1871999999999998</v>
      </c>
      <c r="U234" s="39">
        <v>45225</v>
      </c>
      <c r="V234" s="37">
        <v>5.5</v>
      </c>
    </row>
    <row r="235" spans="6:22" x14ac:dyDescent="0.2">
      <c r="F235" s="39">
        <v>45225</v>
      </c>
      <c r="G235" s="37">
        <v>4.0999999999999996</v>
      </c>
      <c r="I235" s="39">
        <v>45229</v>
      </c>
      <c r="J235" s="37">
        <v>3.899</v>
      </c>
      <c r="L235" s="39">
        <v>45226</v>
      </c>
      <c r="O235" s="39">
        <v>44074</v>
      </c>
      <c r="P235" s="37">
        <v>0.09</v>
      </c>
      <c r="R235" s="39">
        <v>45224</v>
      </c>
      <c r="S235" s="37">
        <v>5.1875999999999998</v>
      </c>
      <c r="U235" s="39">
        <v>45224</v>
      </c>
      <c r="V235" s="37">
        <v>5.5</v>
      </c>
    </row>
    <row r="236" spans="6:22" x14ac:dyDescent="0.2">
      <c r="F236" s="39">
        <v>45224</v>
      </c>
      <c r="G236" s="37">
        <v>4.0999999999999996</v>
      </c>
      <c r="I236" s="39">
        <v>45226</v>
      </c>
      <c r="J236" s="37">
        <v>3.903</v>
      </c>
      <c r="L236" s="39">
        <v>45225</v>
      </c>
      <c r="O236" s="39">
        <v>44075</v>
      </c>
      <c r="P236" s="37">
        <v>0.09</v>
      </c>
      <c r="R236" s="39">
        <v>45223</v>
      </c>
      <c r="S236" s="37">
        <v>5.1872999999999996</v>
      </c>
      <c r="U236" s="39">
        <v>45223</v>
      </c>
      <c r="V236" s="37">
        <v>5.5</v>
      </c>
    </row>
    <row r="237" spans="6:22" x14ac:dyDescent="0.2">
      <c r="F237" s="39">
        <v>45223</v>
      </c>
      <c r="G237" s="37">
        <v>4.0999999999999996</v>
      </c>
      <c r="I237" s="39">
        <v>45225</v>
      </c>
      <c r="J237" s="37">
        <v>3.9009999999999998</v>
      </c>
      <c r="L237" s="39">
        <v>45224</v>
      </c>
      <c r="O237" s="39">
        <v>44076</v>
      </c>
      <c r="P237" s="37">
        <v>0.09</v>
      </c>
      <c r="R237" s="39">
        <v>45222</v>
      </c>
      <c r="S237" s="37">
        <v>5.1872999999999996</v>
      </c>
      <c r="U237" s="39">
        <v>45219</v>
      </c>
      <c r="V237" s="37">
        <v>5.5</v>
      </c>
    </row>
    <row r="238" spans="6:22" x14ac:dyDescent="0.2">
      <c r="F238" s="39">
        <v>45222</v>
      </c>
      <c r="G238" s="37">
        <v>4.0999999999999996</v>
      </c>
      <c r="I238" s="39">
        <v>45224</v>
      </c>
      <c r="J238" s="37">
        <v>3.9</v>
      </c>
      <c r="L238" s="39">
        <v>45223</v>
      </c>
      <c r="O238" s="39">
        <v>44077</v>
      </c>
      <c r="P238" s="37">
        <v>0.1</v>
      </c>
      <c r="R238" s="39">
        <v>45219</v>
      </c>
      <c r="S238" s="37">
        <v>5.1879999999999997</v>
      </c>
      <c r="U238" s="39">
        <v>45218</v>
      </c>
      <c r="V238" s="37">
        <v>5.5</v>
      </c>
    </row>
    <row r="239" spans="6:22" x14ac:dyDescent="0.2">
      <c r="F239" s="39">
        <v>45219</v>
      </c>
      <c r="G239" s="37">
        <v>4.0999999999999996</v>
      </c>
      <c r="I239" s="39">
        <v>45223</v>
      </c>
      <c r="J239" s="37">
        <v>3.9039999999999999</v>
      </c>
      <c r="L239" s="39">
        <v>45222</v>
      </c>
      <c r="O239" s="39">
        <v>44078</v>
      </c>
      <c r="P239" s="37">
        <v>0.09</v>
      </c>
      <c r="R239" s="39">
        <v>45218</v>
      </c>
      <c r="S239" s="37">
        <v>5.1872999999999996</v>
      </c>
      <c r="U239" s="39">
        <v>45217</v>
      </c>
      <c r="V239" s="37">
        <v>5.5</v>
      </c>
    </row>
    <row r="240" spans="6:22" x14ac:dyDescent="0.2">
      <c r="F240" s="39">
        <v>45218</v>
      </c>
      <c r="G240" s="37">
        <v>4.0999999999999996</v>
      </c>
      <c r="I240" s="39">
        <v>45222</v>
      </c>
      <c r="J240" s="37">
        <v>3.9049999999999998</v>
      </c>
      <c r="L240" s="39">
        <v>45219</v>
      </c>
      <c r="O240" s="39">
        <v>44082</v>
      </c>
      <c r="P240" s="37">
        <v>0.09</v>
      </c>
      <c r="R240" s="39">
        <v>45217</v>
      </c>
      <c r="S240" s="37">
        <v>5.1871999999999998</v>
      </c>
      <c r="U240" s="39">
        <v>45216</v>
      </c>
      <c r="V240" s="37">
        <v>5.5</v>
      </c>
    </row>
    <row r="241" spans="6:22" x14ac:dyDescent="0.2">
      <c r="F241" s="39">
        <v>45217</v>
      </c>
      <c r="G241" s="37">
        <v>4.0999999999999996</v>
      </c>
      <c r="I241" s="39">
        <v>45219</v>
      </c>
      <c r="J241" s="37">
        <v>3.9049999999999998</v>
      </c>
      <c r="L241" s="39">
        <v>45218</v>
      </c>
      <c r="O241" s="39">
        <v>44083</v>
      </c>
      <c r="P241" s="37">
        <v>0.09</v>
      </c>
      <c r="R241" s="39">
        <v>45216</v>
      </c>
      <c r="S241" s="37">
        <v>5.1870000000000003</v>
      </c>
      <c r="U241" s="39">
        <v>45215</v>
      </c>
      <c r="V241" s="37">
        <v>5.5</v>
      </c>
    </row>
    <row r="242" spans="6:22" x14ac:dyDescent="0.2">
      <c r="F242" s="39">
        <v>45216</v>
      </c>
      <c r="G242" s="37">
        <v>4.0999999999999996</v>
      </c>
      <c r="I242" s="39">
        <v>45218</v>
      </c>
      <c r="J242" s="37">
        <v>3.9049999999999998</v>
      </c>
      <c r="L242" s="39">
        <v>45217</v>
      </c>
      <c r="O242" s="39">
        <v>44084</v>
      </c>
      <c r="P242" s="37">
        <v>0.09</v>
      </c>
      <c r="R242" s="39">
        <v>45215</v>
      </c>
      <c r="S242" s="37">
        <v>5.1877000000000004</v>
      </c>
      <c r="U242" s="39">
        <v>45212</v>
      </c>
      <c r="V242" s="37">
        <v>5.5</v>
      </c>
    </row>
    <row r="243" spans="6:22" x14ac:dyDescent="0.2">
      <c r="F243" s="39">
        <v>45215</v>
      </c>
      <c r="G243" s="37">
        <v>4.0999999999999996</v>
      </c>
      <c r="I243" s="39">
        <v>45217</v>
      </c>
      <c r="J243" s="37">
        <v>3.903</v>
      </c>
      <c r="L243" s="39">
        <v>45216</v>
      </c>
      <c r="O243" s="39">
        <v>44085</v>
      </c>
      <c r="P243" s="37">
        <v>0.09</v>
      </c>
      <c r="R243" s="39">
        <v>45212</v>
      </c>
      <c r="S243" s="37">
        <v>5.1872999999999996</v>
      </c>
      <c r="U243" s="39">
        <v>45211</v>
      </c>
      <c r="V243" s="37">
        <v>5.5</v>
      </c>
    </row>
    <row r="244" spans="6:22" x14ac:dyDescent="0.2">
      <c r="F244" s="39">
        <v>45212</v>
      </c>
      <c r="G244" s="37">
        <v>4.0999999999999996</v>
      </c>
      <c r="I244" s="39">
        <v>45216</v>
      </c>
      <c r="J244" s="37">
        <v>3.9039999999999999</v>
      </c>
      <c r="L244" s="39">
        <v>45215</v>
      </c>
      <c r="O244" s="39">
        <v>44088</v>
      </c>
      <c r="P244" s="37">
        <v>0.09</v>
      </c>
      <c r="R244" s="39">
        <v>45211</v>
      </c>
      <c r="S244" s="37">
        <v>5.1870000000000003</v>
      </c>
      <c r="U244" s="39">
        <v>45210</v>
      </c>
      <c r="V244" s="37">
        <v>5.5</v>
      </c>
    </row>
    <row r="245" spans="6:22" x14ac:dyDescent="0.2">
      <c r="F245" s="39">
        <v>45211</v>
      </c>
      <c r="G245" s="37">
        <v>4.0999999999999996</v>
      </c>
      <c r="I245" s="39">
        <v>45215</v>
      </c>
      <c r="J245" s="37">
        <v>3.9020000000000001</v>
      </c>
      <c r="L245" s="39">
        <v>45212</v>
      </c>
      <c r="O245" s="39">
        <v>44089</v>
      </c>
      <c r="P245" s="37">
        <v>0.1</v>
      </c>
      <c r="R245" s="39">
        <v>45210</v>
      </c>
      <c r="S245" s="37">
        <v>5.1866000000000003</v>
      </c>
      <c r="U245" s="39">
        <v>45209</v>
      </c>
      <c r="V245" s="37">
        <v>5.5</v>
      </c>
    </row>
    <row r="246" spans="6:22" x14ac:dyDescent="0.2">
      <c r="F246" s="39">
        <v>45210</v>
      </c>
      <c r="G246" s="37">
        <v>4.0999999999999996</v>
      </c>
      <c r="I246" s="39">
        <v>45212</v>
      </c>
      <c r="J246" s="37">
        <v>3.903</v>
      </c>
      <c r="L246" s="39">
        <v>45211</v>
      </c>
      <c r="O246" s="39">
        <v>44090</v>
      </c>
      <c r="P246" s="37">
        <v>0.1</v>
      </c>
      <c r="R246" s="39">
        <v>45209</v>
      </c>
      <c r="S246" s="37">
        <v>5.1868999999999996</v>
      </c>
      <c r="U246" s="39">
        <v>45208</v>
      </c>
      <c r="V246" s="37">
        <v>5.5</v>
      </c>
    </row>
    <row r="247" spans="6:22" x14ac:dyDescent="0.2">
      <c r="F247" s="39">
        <v>45209</v>
      </c>
      <c r="G247" s="37">
        <v>4.0999999999999996</v>
      </c>
      <c r="I247" s="39">
        <v>45211</v>
      </c>
      <c r="J247" s="37">
        <v>3.9009999999999998</v>
      </c>
      <c r="L247" s="39">
        <v>45210</v>
      </c>
      <c r="O247" s="39">
        <v>44091</v>
      </c>
      <c r="P247" s="37">
        <v>0.1</v>
      </c>
      <c r="R247" s="39">
        <v>45208</v>
      </c>
      <c r="S247" s="37">
        <v>5.1872999999999996</v>
      </c>
      <c r="U247" s="39">
        <v>45205</v>
      </c>
      <c r="V247" s="37">
        <v>5.5</v>
      </c>
    </row>
    <row r="248" spans="6:22" x14ac:dyDescent="0.2">
      <c r="F248" s="39">
        <v>45208</v>
      </c>
      <c r="G248" s="37">
        <v>4.0999999999999996</v>
      </c>
      <c r="I248" s="39">
        <v>45210</v>
      </c>
      <c r="J248" s="37">
        <v>3.9009999999999998</v>
      </c>
      <c r="L248" s="39">
        <v>45209</v>
      </c>
      <c r="O248" s="39">
        <v>44092</v>
      </c>
      <c r="P248" s="37">
        <v>0.09</v>
      </c>
      <c r="R248" s="39">
        <v>45205</v>
      </c>
      <c r="S248" s="37">
        <v>5.1871</v>
      </c>
      <c r="U248" s="39">
        <v>45204</v>
      </c>
      <c r="V248" s="37">
        <v>5.5</v>
      </c>
    </row>
    <row r="249" spans="6:22" x14ac:dyDescent="0.2">
      <c r="F249" s="39">
        <v>45205</v>
      </c>
      <c r="G249" s="37">
        <v>4.0999999999999996</v>
      </c>
      <c r="I249" s="39">
        <v>45209</v>
      </c>
      <c r="J249" s="37">
        <v>3.899</v>
      </c>
      <c r="L249" s="39">
        <v>45208</v>
      </c>
      <c r="O249" s="39">
        <v>44095</v>
      </c>
      <c r="P249" s="37">
        <v>0.08</v>
      </c>
      <c r="R249" s="39">
        <v>45204</v>
      </c>
      <c r="S249" s="37">
        <v>5.1871999999999998</v>
      </c>
      <c r="U249" s="39">
        <v>45203</v>
      </c>
      <c r="V249" s="37">
        <v>5.5</v>
      </c>
    </row>
    <row r="250" spans="6:22" x14ac:dyDescent="0.2">
      <c r="F250" s="39">
        <v>45204</v>
      </c>
      <c r="G250" s="37">
        <v>4.0999999999999996</v>
      </c>
      <c r="I250" s="39">
        <v>45208</v>
      </c>
      <c r="J250" s="37">
        <v>3.9</v>
      </c>
      <c r="L250" s="39">
        <v>45205</v>
      </c>
      <c r="O250" s="39">
        <v>44096</v>
      </c>
      <c r="P250" s="37">
        <v>7.0000000000000007E-2</v>
      </c>
      <c r="R250" s="39">
        <v>45203</v>
      </c>
      <c r="S250" s="37">
        <v>5.1871999999999998</v>
      </c>
      <c r="U250" s="39">
        <v>45202</v>
      </c>
      <c r="V250" s="37">
        <v>5.5</v>
      </c>
    </row>
    <row r="251" spans="6:22" x14ac:dyDescent="0.2">
      <c r="F251" s="39">
        <v>45203</v>
      </c>
      <c r="G251" s="37">
        <v>4.0999999999999996</v>
      </c>
      <c r="I251" s="39">
        <v>45205</v>
      </c>
      <c r="J251" s="37">
        <v>3.899</v>
      </c>
      <c r="L251" s="39">
        <v>45204</v>
      </c>
      <c r="O251" s="39">
        <v>44097</v>
      </c>
      <c r="P251" s="37">
        <v>0.06</v>
      </c>
      <c r="R251" s="39">
        <v>45202</v>
      </c>
      <c r="S251" s="37">
        <v>5.1867000000000001</v>
      </c>
      <c r="U251" s="39">
        <v>45201</v>
      </c>
      <c r="V251" s="37">
        <v>5.5</v>
      </c>
    </row>
    <row r="252" spans="6:22" x14ac:dyDescent="0.2">
      <c r="F252" s="39">
        <v>45202</v>
      </c>
      <c r="G252" s="37">
        <v>4.0999999999999996</v>
      </c>
      <c r="I252" s="39">
        <v>45204</v>
      </c>
      <c r="J252" s="37">
        <v>3.9</v>
      </c>
      <c r="L252" s="39">
        <v>45203</v>
      </c>
      <c r="O252" s="39">
        <v>44098</v>
      </c>
      <c r="P252" s="37">
        <v>7.0000000000000007E-2</v>
      </c>
      <c r="R252" s="39">
        <v>45201</v>
      </c>
      <c r="S252" s="37">
        <v>5.1867999999999999</v>
      </c>
      <c r="U252" s="39">
        <v>45198</v>
      </c>
      <c r="V252" s="37">
        <v>5.5</v>
      </c>
    </row>
    <row r="253" spans="6:22" x14ac:dyDescent="0.2">
      <c r="F253" s="39">
        <v>45201</v>
      </c>
      <c r="G253" s="37">
        <v>4.0999999999999996</v>
      </c>
      <c r="I253" s="39">
        <v>45203</v>
      </c>
      <c r="J253" s="37">
        <v>3.9009999999999998</v>
      </c>
      <c r="L253" s="39">
        <v>45202</v>
      </c>
      <c r="O253" s="39">
        <v>44099</v>
      </c>
      <c r="P253" s="37">
        <v>0.08</v>
      </c>
      <c r="R253" s="39">
        <v>45198</v>
      </c>
      <c r="S253" s="37">
        <v>5.1867000000000001</v>
      </c>
      <c r="U253" s="39">
        <v>45197</v>
      </c>
      <c r="V253" s="37">
        <v>5.5</v>
      </c>
    </row>
    <row r="254" spans="6:22" x14ac:dyDescent="0.2">
      <c r="F254" s="39">
        <v>45198</v>
      </c>
      <c r="G254" s="37">
        <v>4.0999999999999996</v>
      </c>
      <c r="I254" s="39">
        <v>45202</v>
      </c>
      <c r="J254" s="37">
        <v>3.9</v>
      </c>
      <c r="L254" s="39">
        <v>45201</v>
      </c>
      <c r="O254" s="39">
        <v>44102</v>
      </c>
      <c r="P254" s="37">
        <v>0.08</v>
      </c>
      <c r="R254" s="39">
        <v>45197</v>
      </c>
      <c r="S254" s="37">
        <v>5.1859000000000002</v>
      </c>
      <c r="U254" s="39">
        <v>45196</v>
      </c>
      <c r="V254" s="37">
        <v>5.5</v>
      </c>
    </row>
    <row r="255" spans="6:22" x14ac:dyDescent="0.2">
      <c r="F255" s="39">
        <v>45197</v>
      </c>
      <c r="G255" s="37">
        <v>4.0999999999999996</v>
      </c>
      <c r="I255" s="39">
        <v>45201</v>
      </c>
      <c r="J255" s="37">
        <v>3.899</v>
      </c>
      <c r="L255" s="39">
        <v>45198</v>
      </c>
      <c r="O255" s="39">
        <v>44103</v>
      </c>
      <c r="P255" s="37">
        <v>7.0000000000000007E-2</v>
      </c>
      <c r="R255" s="39">
        <v>45196</v>
      </c>
      <c r="S255" s="37">
        <v>5.1859999999999999</v>
      </c>
      <c r="U255" s="39">
        <v>45195</v>
      </c>
      <c r="V255" s="37">
        <v>5.5</v>
      </c>
    </row>
    <row r="256" spans="6:22" x14ac:dyDescent="0.2">
      <c r="F256" s="39">
        <v>45196</v>
      </c>
      <c r="G256" s="37">
        <v>4.0999999999999996</v>
      </c>
      <c r="I256" s="39">
        <v>45198</v>
      </c>
      <c r="J256" s="37">
        <v>3.88</v>
      </c>
      <c r="L256" s="39">
        <v>45197</v>
      </c>
      <c r="O256" s="39">
        <v>44104</v>
      </c>
      <c r="P256" s="37">
        <v>0.08</v>
      </c>
      <c r="R256" s="39">
        <v>45195</v>
      </c>
      <c r="S256" s="37">
        <v>5.1856999999999998</v>
      </c>
      <c r="U256" s="39">
        <v>45194</v>
      </c>
      <c r="V256" s="37">
        <v>5.5</v>
      </c>
    </row>
    <row r="257" spans="6:22" x14ac:dyDescent="0.2">
      <c r="F257" s="39">
        <v>45195</v>
      </c>
      <c r="G257" s="37">
        <v>4.0999999999999996</v>
      </c>
      <c r="I257" s="39">
        <v>45197</v>
      </c>
      <c r="J257" s="37">
        <v>3.9060000000000001</v>
      </c>
      <c r="O257" s="39">
        <v>44105</v>
      </c>
      <c r="P257" s="37">
        <v>0.08</v>
      </c>
      <c r="R257" s="39">
        <v>45194</v>
      </c>
      <c r="S257" s="37">
        <v>5.1848999999999998</v>
      </c>
      <c r="U257" s="39">
        <v>45191</v>
      </c>
      <c r="V257" s="37">
        <v>5.5</v>
      </c>
    </row>
    <row r="258" spans="6:22" x14ac:dyDescent="0.2">
      <c r="F258" s="39">
        <v>45194</v>
      </c>
      <c r="G258" s="37">
        <v>4.0999999999999996</v>
      </c>
      <c r="I258" s="39">
        <v>45196</v>
      </c>
      <c r="J258" s="37">
        <v>3.9049999999999998</v>
      </c>
      <c r="O258" s="39">
        <v>44106</v>
      </c>
      <c r="P258" s="37">
        <v>0.1</v>
      </c>
      <c r="R258" s="39">
        <v>45191</v>
      </c>
      <c r="S258" s="37">
        <v>5.1855000000000002</v>
      </c>
      <c r="U258" s="39">
        <v>45190</v>
      </c>
      <c r="V258" s="37">
        <v>5.5</v>
      </c>
    </row>
    <row r="259" spans="6:22" x14ac:dyDescent="0.2">
      <c r="F259" s="39">
        <v>45191</v>
      </c>
      <c r="G259" s="37">
        <v>4.0999999999999996</v>
      </c>
      <c r="I259" s="39">
        <v>45195</v>
      </c>
      <c r="J259" s="37">
        <v>3.9039999999999999</v>
      </c>
      <c r="O259" s="39">
        <v>44109</v>
      </c>
      <c r="P259" s="37">
        <v>0.09</v>
      </c>
      <c r="R259" s="39">
        <v>45190</v>
      </c>
      <c r="S259" s="37">
        <v>5.1848000000000001</v>
      </c>
      <c r="U259" s="39">
        <v>45189</v>
      </c>
      <c r="V259" s="37">
        <v>5.5</v>
      </c>
    </row>
    <row r="260" spans="6:22" x14ac:dyDescent="0.2">
      <c r="F260" s="39">
        <v>45190</v>
      </c>
      <c r="G260" s="37">
        <v>4.0999999999999996</v>
      </c>
      <c r="I260" s="39">
        <v>45194</v>
      </c>
      <c r="J260" s="37">
        <v>3.9039999999999999</v>
      </c>
      <c r="O260" s="39">
        <v>44110</v>
      </c>
      <c r="P260" s="37">
        <v>0.1</v>
      </c>
      <c r="R260" s="39">
        <v>45189</v>
      </c>
      <c r="S260" s="37">
        <v>5.1848999999999998</v>
      </c>
      <c r="U260" s="39">
        <v>45188</v>
      </c>
      <c r="V260" s="37">
        <v>5.5</v>
      </c>
    </row>
    <row r="261" spans="6:22" x14ac:dyDescent="0.2">
      <c r="F261" s="39">
        <v>45189</v>
      </c>
      <c r="G261" s="37">
        <v>4.0999999999999996</v>
      </c>
      <c r="I261" s="39">
        <v>45191</v>
      </c>
      <c r="J261" s="37">
        <v>3.9049999999999998</v>
      </c>
      <c r="O261" s="39">
        <v>44111</v>
      </c>
      <c r="P261" s="37">
        <v>0.09</v>
      </c>
      <c r="R261" s="39">
        <v>45188</v>
      </c>
      <c r="S261" s="37">
        <v>5.1853999999999996</v>
      </c>
      <c r="U261" s="39">
        <v>45187</v>
      </c>
      <c r="V261" s="37">
        <v>5.5</v>
      </c>
    </row>
    <row r="262" spans="6:22" x14ac:dyDescent="0.2">
      <c r="F262" s="39">
        <v>45188</v>
      </c>
      <c r="G262" s="37">
        <v>4.0999999999999996</v>
      </c>
      <c r="I262" s="39">
        <v>45190</v>
      </c>
      <c r="J262" s="37">
        <v>3.9020000000000001</v>
      </c>
      <c r="O262" s="39">
        <v>44112</v>
      </c>
      <c r="P262" s="37">
        <v>0.08</v>
      </c>
      <c r="R262" s="39">
        <v>45187</v>
      </c>
      <c r="S262" s="37">
        <v>5.1849999999999996</v>
      </c>
      <c r="U262" s="39">
        <v>45184</v>
      </c>
      <c r="V262" s="37">
        <v>5.5</v>
      </c>
    </row>
    <row r="263" spans="6:22" x14ac:dyDescent="0.2">
      <c r="F263" s="39">
        <v>45187</v>
      </c>
      <c r="G263" s="37">
        <v>4.0999999999999996</v>
      </c>
      <c r="I263" s="39">
        <v>45189</v>
      </c>
      <c r="J263" s="37">
        <v>3.9009999999999998</v>
      </c>
      <c r="O263" s="39">
        <v>44113</v>
      </c>
      <c r="P263" s="37">
        <v>0.09</v>
      </c>
      <c r="R263" s="39">
        <v>45184</v>
      </c>
      <c r="S263" s="37">
        <v>5.1853999999999996</v>
      </c>
      <c r="U263" s="39">
        <v>45183</v>
      </c>
      <c r="V263" s="37">
        <v>5.5</v>
      </c>
    </row>
    <row r="264" spans="6:22" x14ac:dyDescent="0.2">
      <c r="F264" s="39">
        <v>45184</v>
      </c>
      <c r="G264" s="37">
        <v>4.0999999999999996</v>
      </c>
      <c r="I264" s="39">
        <v>45188</v>
      </c>
      <c r="J264" s="37">
        <v>3.6509999999999998</v>
      </c>
      <c r="O264" s="39">
        <v>44117</v>
      </c>
      <c r="P264" s="37">
        <v>0.09</v>
      </c>
      <c r="R264" s="39">
        <v>45183</v>
      </c>
      <c r="S264" s="37">
        <v>5.1847000000000003</v>
      </c>
      <c r="U264" s="39">
        <v>45182</v>
      </c>
      <c r="V264" s="37">
        <v>5.5</v>
      </c>
    </row>
    <row r="265" spans="6:22" x14ac:dyDescent="0.2">
      <c r="F265" s="39">
        <v>45183</v>
      </c>
      <c r="G265" s="37">
        <v>4.0999999999999996</v>
      </c>
      <c r="I265" s="39">
        <v>45187</v>
      </c>
      <c r="J265" s="37">
        <v>3.6480000000000001</v>
      </c>
      <c r="O265" s="39">
        <v>44118</v>
      </c>
      <c r="P265" s="37">
        <v>0.09</v>
      </c>
      <c r="R265" s="39">
        <v>45182</v>
      </c>
      <c r="S265" s="37">
        <v>5.1851000000000003</v>
      </c>
      <c r="U265" s="39">
        <v>45181</v>
      </c>
      <c r="V265" s="37">
        <v>5.5</v>
      </c>
    </row>
    <row r="266" spans="6:22" x14ac:dyDescent="0.2">
      <c r="F266" s="39">
        <v>45182</v>
      </c>
      <c r="G266" s="37">
        <v>4.0999999999999996</v>
      </c>
      <c r="I266" s="39">
        <v>45184</v>
      </c>
      <c r="J266" s="37">
        <v>3.65</v>
      </c>
      <c r="O266" s="39">
        <v>44119</v>
      </c>
      <c r="P266" s="37">
        <v>0.1</v>
      </c>
      <c r="R266" s="39">
        <v>45181</v>
      </c>
      <c r="S266" s="37">
        <v>5.1852999999999998</v>
      </c>
      <c r="U266" s="39">
        <v>45180</v>
      </c>
      <c r="V266" s="37">
        <v>5.5</v>
      </c>
    </row>
    <row r="267" spans="6:22" x14ac:dyDescent="0.2">
      <c r="F267" s="39">
        <v>45181</v>
      </c>
      <c r="G267" s="37">
        <v>4.0999999999999996</v>
      </c>
      <c r="I267" s="39">
        <v>45183</v>
      </c>
      <c r="J267" s="37">
        <v>3.653</v>
      </c>
      <c r="O267" s="39">
        <v>44120</v>
      </c>
      <c r="P267" s="37">
        <v>0.09</v>
      </c>
      <c r="R267" s="39">
        <v>45180</v>
      </c>
      <c r="S267" s="37">
        <v>5.1859999999999999</v>
      </c>
      <c r="U267" s="39">
        <v>45177</v>
      </c>
      <c r="V267" s="37">
        <v>5.5</v>
      </c>
    </row>
    <row r="268" spans="6:22" x14ac:dyDescent="0.2">
      <c r="F268" s="39">
        <v>45180</v>
      </c>
      <c r="G268" s="37">
        <v>4.0999999999999996</v>
      </c>
      <c r="I268" s="39">
        <v>45182</v>
      </c>
      <c r="J268" s="37">
        <v>3.6520000000000001</v>
      </c>
      <c r="O268" s="39">
        <v>44123</v>
      </c>
      <c r="P268" s="37">
        <v>0.09</v>
      </c>
      <c r="R268" s="39">
        <v>45177</v>
      </c>
      <c r="S268" s="37">
        <v>5.1855000000000002</v>
      </c>
      <c r="U268" s="39">
        <v>45176</v>
      </c>
      <c r="V268" s="37">
        <v>5.5</v>
      </c>
    </row>
    <row r="269" spans="6:22" x14ac:dyDescent="0.2">
      <c r="F269" s="39">
        <v>45177</v>
      </c>
      <c r="G269" s="37">
        <v>4.0999999999999996</v>
      </c>
      <c r="I269" s="39">
        <v>45181</v>
      </c>
      <c r="J269" s="37">
        <v>3.6539999999999999</v>
      </c>
      <c r="O269" s="39">
        <v>44124</v>
      </c>
      <c r="P269" s="37">
        <v>0.08</v>
      </c>
      <c r="R269" s="39">
        <v>45176</v>
      </c>
      <c r="S269" s="37">
        <v>5.1855000000000002</v>
      </c>
      <c r="U269" s="39">
        <v>45175</v>
      </c>
      <c r="V269" s="37">
        <v>5.5</v>
      </c>
    </row>
    <row r="270" spans="6:22" x14ac:dyDescent="0.2">
      <c r="F270" s="39">
        <v>45176</v>
      </c>
      <c r="G270" s="37">
        <v>4.0999999999999996</v>
      </c>
      <c r="I270" s="39">
        <v>45180</v>
      </c>
      <c r="J270" s="37">
        <v>3.6520000000000001</v>
      </c>
      <c r="O270" s="39">
        <v>44125</v>
      </c>
      <c r="P270" s="37">
        <v>7.0000000000000007E-2</v>
      </c>
      <c r="R270" s="39">
        <v>45175</v>
      </c>
      <c r="S270" s="37">
        <v>5.1849999999999996</v>
      </c>
      <c r="U270" s="39">
        <v>45174</v>
      </c>
      <c r="V270" s="37">
        <v>5.5</v>
      </c>
    </row>
    <row r="271" spans="6:22" x14ac:dyDescent="0.2">
      <c r="F271" s="39">
        <v>45175</v>
      </c>
      <c r="G271" s="37">
        <v>4.0999999999999996</v>
      </c>
      <c r="I271" s="39">
        <v>45177</v>
      </c>
      <c r="J271" s="37">
        <v>3.653</v>
      </c>
      <c r="O271" s="39">
        <v>44126</v>
      </c>
      <c r="P271" s="37">
        <v>7.0000000000000007E-2</v>
      </c>
      <c r="R271" s="39">
        <v>45174</v>
      </c>
      <c r="S271" s="37">
        <v>5.1852999999999998</v>
      </c>
      <c r="U271" s="39">
        <v>45173</v>
      </c>
      <c r="V271" s="37">
        <v>5.5</v>
      </c>
    </row>
    <row r="272" spans="6:22" x14ac:dyDescent="0.2">
      <c r="F272" s="39">
        <v>45174</v>
      </c>
      <c r="G272" s="37">
        <v>4.0999999999999996</v>
      </c>
      <c r="I272" s="39">
        <v>45176</v>
      </c>
      <c r="J272" s="37">
        <v>3.6520000000000001</v>
      </c>
      <c r="O272" s="39">
        <v>44127</v>
      </c>
      <c r="P272" s="37">
        <v>0.08</v>
      </c>
      <c r="R272" s="39">
        <v>45173</v>
      </c>
      <c r="S272" s="37">
        <v>5.1852999999999998</v>
      </c>
      <c r="U272" s="39">
        <v>45170</v>
      </c>
      <c r="V272" s="37">
        <v>5.5</v>
      </c>
    </row>
    <row r="273" spans="6:22" x14ac:dyDescent="0.2">
      <c r="F273" s="39">
        <v>45173</v>
      </c>
      <c r="G273" s="37">
        <v>4.0999999999999996</v>
      </c>
      <c r="I273" s="39">
        <v>45175</v>
      </c>
      <c r="J273" s="37">
        <v>3.6520000000000001</v>
      </c>
      <c r="O273" s="39">
        <v>44130</v>
      </c>
      <c r="P273" s="37">
        <v>0.09</v>
      </c>
      <c r="R273" s="39">
        <v>45170</v>
      </c>
      <c r="S273" s="37">
        <v>5.1852</v>
      </c>
      <c r="U273" s="39">
        <v>45169</v>
      </c>
      <c r="V273" s="37">
        <v>5.5</v>
      </c>
    </row>
    <row r="274" spans="6:22" x14ac:dyDescent="0.2">
      <c r="F274" s="39">
        <v>45170</v>
      </c>
      <c r="G274" s="37">
        <v>4.0999999999999996</v>
      </c>
      <c r="I274" s="39">
        <v>45174</v>
      </c>
      <c r="J274" s="37">
        <v>3.6509999999999998</v>
      </c>
      <c r="O274" s="39">
        <v>44131</v>
      </c>
      <c r="P274" s="37">
        <v>0.09</v>
      </c>
      <c r="R274" s="39">
        <v>45169</v>
      </c>
      <c r="S274" s="37">
        <v>5.1852</v>
      </c>
      <c r="U274" s="39">
        <v>45168</v>
      </c>
      <c r="V274" s="37">
        <v>5.5</v>
      </c>
    </row>
    <row r="275" spans="6:22" x14ac:dyDescent="0.2">
      <c r="F275" s="39">
        <v>45169</v>
      </c>
      <c r="G275" s="37">
        <v>4.0999999999999996</v>
      </c>
      <c r="I275" s="39">
        <v>45173</v>
      </c>
      <c r="J275" s="37">
        <v>3.6520000000000001</v>
      </c>
      <c r="O275" s="39">
        <v>44132</v>
      </c>
      <c r="P275" s="37">
        <v>0.08</v>
      </c>
      <c r="R275" s="39">
        <v>45168</v>
      </c>
      <c r="S275" s="37">
        <v>5.1855000000000002</v>
      </c>
      <c r="U275" s="39">
        <v>45167</v>
      </c>
      <c r="V275" s="37">
        <v>5.5</v>
      </c>
    </row>
    <row r="276" spans="6:22" x14ac:dyDescent="0.2">
      <c r="F276" s="39">
        <v>45168</v>
      </c>
      <c r="G276" s="37">
        <v>4.0999999999999996</v>
      </c>
      <c r="I276" s="39">
        <v>45170</v>
      </c>
      <c r="J276" s="37">
        <v>3.6520000000000001</v>
      </c>
      <c r="O276" s="39">
        <v>44133</v>
      </c>
      <c r="P276" s="37">
        <v>0.09</v>
      </c>
      <c r="R276" s="39">
        <v>45167</v>
      </c>
      <c r="S276" s="37">
        <v>5.1852999999999998</v>
      </c>
      <c r="U276" s="39">
        <v>45166</v>
      </c>
      <c r="V276" s="37">
        <v>5.5</v>
      </c>
    </row>
    <row r="277" spans="6:22" x14ac:dyDescent="0.2">
      <c r="F277" s="39">
        <v>45167</v>
      </c>
      <c r="G277" s="37">
        <v>4.0999999999999996</v>
      </c>
      <c r="I277" s="39">
        <v>45169</v>
      </c>
      <c r="J277" s="37">
        <v>3.6459999999999999</v>
      </c>
      <c r="O277" s="39">
        <v>44134</v>
      </c>
      <c r="P277" s="37">
        <v>0.09</v>
      </c>
      <c r="R277" s="39">
        <v>45163</v>
      </c>
      <c r="S277" s="37">
        <v>5.1852</v>
      </c>
      <c r="U277" s="39">
        <v>45163</v>
      </c>
      <c r="V277" s="37">
        <v>5.5</v>
      </c>
    </row>
    <row r="278" spans="6:22" x14ac:dyDescent="0.2">
      <c r="F278" s="39">
        <v>45166</v>
      </c>
      <c r="G278" s="37">
        <v>4.0999999999999996</v>
      </c>
      <c r="I278" s="39">
        <v>45168</v>
      </c>
      <c r="J278" s="37">
        <v>3.6520000000000001</v>
      </c>
      <c r="O278" s="39">
        <v>44137</v>
      </c>
      <c r="P278" s="37">
        <v>0.11</v>
      </c>
      <c r="R278" s="39">
        <v>45162</v>
      </c>
      <c r="S278" s="37">
        <v>5.1855000000000002</v>
      </c>
      <c r="U278" s="39">
        <v>45162</v>
      </c>
      <c r="V278" s="37">
        <v>5.5</v>
      </c>
    </row>
    <row r="279" spans="6:22" x14ac:dyDescent="0.2">
      <c r="F279" s="39">
        <v>45163</v>
      </c>
      <c r="G279" s="37">
        <v>4.0999999999999996</v>
      </c>
      <c r="I279" s="39">
        <v>45167</v>
      </c>
      <c r="J279" s="37">
        <v>3.6520000000000001</v>
      </c>
      <c r="O279" s="39">
        <v>44138</v>
      </c>
      <c r="P279" s="37">
        <v>0.1</v>
      </c>
      <c r="R279" s="39">
        <v>45161</v>
      </c>
      <c r="S279" s="37">
        <v>5.1859000000000002</v>
      </c>
      <c r="U279" s="39">
        <v>45161</v>
      </c>
      <c r="V279" s="37">
        <v>5.5</v>
      </c>
    </row>
    <row r="280" spans="6:22" x14ac:dyDescent="0.2">
      <c r="F280" s="39">
        <v>45162</v>
      </c>
      <c r="G280" s="37">
        <v>4.0999999999999996</v>
      </c>
      <c r="I280" s="39">
        <v>45166</v>
      </c>
      <c r="J280" s="37">
        <v>3.6509999999999998</v>
      </c>
      <c r="O280" s="39">
        <v>44139</v>
      </c>
      <c r="P280" s="37">
        <v>0.1</v>
      </c>
      <c r="R280" s="39">
        <v>45160</v>
      </c>
      <c r="S280" s="37">
        <v>5.1843000000000004</v>
      </c>
      <c r="U280" s="39">
        <v>45160</v>
      </c>
      <c r="V280" s="37">
        <v>5.5</v>
      </c>
    </row>
    <row r="281" spans="6:22" x14ac:dyDescent="0.2">
      <c r="F281" s="39">
        <v>45161</v>
      </c>
      <c r="G281" s="37">
        <v>4.0999999999999996</v>
      </c>
      <c r="I281" s="39">
        <v>45163</v>
      </c>
      <c r="J281" s="37">
        <v>3.6520000000000001</v>
      </c>
      <c r="O281" s="39">
        <v>44140</v>
      </c>
      <c r="P281" s="37">
        <v>0.11</v>
      </c>
      <c r="R281" s="39">
        <v>45159</v>
      </c>
      <c r="S281" s="37">
        <v>5.1840999999999999</v>
      </c>
      <c r="U281" s="39">
        <v>45159</v>
      </c>
      <c r="V281" s="37">
        <v>5.5</v>
      </c>
    </row>
    <row r="282" spans="6:22" x14ac:dyDescent="0.2">
      <c r="F282" s="39">
        <v>45160</v>
      </c>
      <c r="G282" s="37">
        <v>4.0999999999999996</v>
      </c>
      <c r="I282" s="39">
        <v>45162</v>
      </c>
      <c r="J282" s="37">
        <v>3.649</v>
      </c>
      <c r="O282" s="39">
        <v>44141</v>
      </c>
      <c r="P282" s="37">
        <v>0.1</v>
      </c>
      <c r="R282" s="39">
        <v>45156</v>
      </c>
      <c r="S282" s="37">
        <v>5.1843000000000004</v>
      </c>
      <c r="U282" s="39">
        <v>45156</v>
      </c>
      <c r="V282" s="37">
        <v>5.5</v>
      </c>
    </row>
    <row r="283" spans="6:22" x14ac:dyDescent="0.2">
      <c r="F283" s="39">
        <v>45159</v>
      </c>
      <c r="G283" s="37">
        <v>4.0999999999999996</v>
      </c>
      <c r="I283" s="39">
        <v>45161</v>
      </c>
      <c r="J283" s="37">
        <v>3.6520000000000001</v>
      </c>
      <c r="O283" s="39">
        <v>44144</v>
      </c>
      <c r="P283" s="37">
        <v>0.1</v>
      </c>
      <c r="R283" s="39">
        <v>45155</v>
      </c>
      <c r="S283" s="37">
        <v>5.1843000000000004</v>
      </c>
      <c r="U283" s="39">
        <v>45155</v>
      </c>
      <c r="V283" s="37">
        <v>5.5</v>
      </c>
    </row>
    <row r="284" spans="6:22" x14ac:dyDescent="0.2">
      <c r="F284" s="39">
        <v>45156</v>
      </c>
      <c r="G284" s="37">
        <v>4.0999999999999996</v>
      </c>
      <c r="I284" s="39">
        <v>45160</v>
      </c>
      <c r="J284" s="37">
        <v>3.6549999999999998</v>
      </c>
      <c r="O284" s="39">
        <v>44145</v>
      </c>
      <c r="P284" s="37">
        <v>0.1</v>
      </c>
      <c r="R284" s="39">
        <v>45154</v>
      </c>
      <c r="S284" s="37">
        <v>5.1837999999999997</v>
      </c>
      <c r="U284" s="39">
        <v>45154</v>
      </c>
      <c r="V284" s="37">
        <v>5.5</v>
      </c>
    </row>
    <row r="285" spans="6:22" x14ac:dyDescent="0.2">
      <c r="F285" s="39">
        <v>45155</v>
      </c>
      <c r="G285" s="37">
        <v>4.0999999999999996</v>
      </c>
      <c r="I285" s="39">
        <v>45159</v>
      </c>
      <c r="J285" s="37">
        <v>3.6539999999999999</v>
      </c>
      <c r="O285" s="39">
        <v>44147</v>
      </c>
      <c r="P285" s="37">
        <v>0.09</v>
      </c>
      <c r="R285" s="39">
        <v>45153</v>
      </c>
      <c r="S285" s="37">
        <v>5.1833999999999998</v>
      </c>
      <c r="U285" s="39">
        <v>45153</v>
      </c>
      <c r="V285" s="37">
        <v>5.5</v>
      </c>
    </row>
    <row r="286" spans="6:22" x14ac:dyDescent="0.2">
      <c r="F286" s="39">
        <v>45154</v>
      </c>
      <c r="G286" s="37">
        <v>4.0999999999999996</v>
      </c>
      <c r="I286" s="39">
        <v>45156</v>
      </c>
      <c r="J286" s="37">
        <v>3.6549999999999998</v>
      </c>
      <c r="O286" s="39">
        <v>44148</v>
      </c>
      <c r="P286" s="37">
        <v>0.09</v>
      </c>
      <c r="R286" s="39">
        <v>45152</v>
      </c>
      <c r="S286" s="37">
        <v>5.1829000000000001</v>
      </c>
      <c r="U286" s="39">
        <v>45152</v>
      </c>
      <c r="V286" s="37">
        <v>5.5</v>
      </c>
    </row>
    <row r="287" spans="6:22" x14ac:dyDescent="0.2">
      <c r="F287" s="39">
        <v>45153</v>
      </c>
      <c r="G287" s="37">
        <v>4.0999999999999996</v>
      </c>
      <c r="I287" s="39">
        <v>45155</v>
      </c>
      <c r="J287" s="37">
        <v>3.6539999999999999</v>
      </c>
      <c r="O287" s="39">
        <v>44151</v>
      </c>
      <c r="P287" s="37">
        <v>0.1</v>
      </c>
      <c r="R287" s="39">
        <v>45149</v>
      </c>
      <c r="S287" s="37">
        <v>5.1829000000000001</v>
      </c>
      <c r="U287" s="39">
        <v>45149</v>
      </c>
      <c r="V287" s="37">
        <v>5.5</v>
      </c>
    </row>
    <row r="288" spans="6:22" x14ac:dyDescent="0.2">
      <c r="F288" s="39">
        <v>45152</v>
      </c>
      <c r="G288" s="37">
        <v>4.0999999999999996</v>
      </c>
      <c r="I288" s="39">
        <v>45154</v>
      </c>
      <c r="J288" s="37">
        <v>3.6539999999999999</v>
      </c>
      <c r="O288" s="39">
        <v>44152</v>
      </c>
      <c r="P288" s="37">
        <v>0.09</v>
      </c>
      <c r="R288" s="39">
        <v>45148</v>
      </c>
      <c r="S288" s="37">
        <v>5.1829000000000001</v>
      </c>
      <c r="U288" s="39">
        <v>45148</v>
      </c>
      <c r="V288" s="37">
        <v>5.5</v>
      </c>
    </row>
    <row r="289" spans="6:22" x14ac:dyDescent="0.2">
      <c r="F289" s="39">
        <v>45149</v>
      </c>
      <c r="G289" s="37">
        <v>4.0999999999999996</v>
      </c>
      <c r="I289" s="39">
        <v>45153</v>
      </c>
      <c r="J289" s="37">
        <v>3.657</v>
      </c>
      <c r="O289" s="39">
        <v>44153</v>
      </c>
      <c r="P289" s="37">
        <v>7.0000000000000007E-2</v>
      </c>
      <c r="R289" s="39">
        <v>45147</v>
      </c>
      <c r="S289" s="37">
        <v>5.1826999999999996</v>
      </c>
      <c r="U289" s="39">
        <v>45147</v>
      </c>
      <c r="V289" s="37">
        <v>5.5</v>
      </c>
    </row>
    <row r="290" spans="6:22" x14ac:dyDescent="0.2">
      <c r="F290" s="39">
        <v>45148</v>
      </c>
      <c r="G290" s="37">
        <v>4.0999999999999996</v>
      </c>
      <c r="I290" s="39">
        <v>45152</v>
      </c>
      <c r="J290" s="37">
        <v>3.6560000000000001</v>
      </c>
      <c r="O290" s="39">
        <v>44154</v>
      </c>
      <c r="P290" s="37">
        <v>0.06</v>
      </c>
      <c r="R290" s="39">
        <v>45146</v>
      </c>
      <c r="S290" s="37">
        <v>5.1829000000000001</v>
      </c>
      <c r="U290" s="39">
        <v>45146</v>
      </c>
      <c r="V290" s="37">
        <v>5.5</v>
      </c>
    </row>
    <row r="291" spans="6:22" x14ac:dyDescent="0.2">
      <c r="F291" s="39">
        <v>45147</v>
      </c>
      <c r="G291" s="37">
        <v>4.0999999999999996</v>
      </c>
      <c r="I291" s="39">
        <v>45149</v>
      </c>
      <c r="J291" s="37">
        <v>3.653</v>
      </c>
      <c r="O291" s="39">
        <v>44155</v>
      </c>
      <c r="P291" s="37">
        <v>0.05</v>
      </c>
      <c r="R291" s="39">
        <v>45145</v>
      </c>
      <c r="S291" s="37">
        <v>5.1829000000000001</v>
      </c>
      <c r="U291" s="39">
        <v>45145</v>
      </c>
      <c r="V291" s="37">
        <v>5.5</v>
      </c>
    </row>
    <row r="292" spans="6:22" x14ac:dyDescent="0.2">
      <c r="F292" s="39">
        <v>45146</v>
      </c>
      <c r="G292" s="37">
        <v>4.0999999999999996</v>
      </c>
      <c r="I292" s="39">
        <v>45148</v>
      </c>
      <c r="J292" s="37">
        <v>3.6520000000000001</v>
      </c>
      <c r="O292" s="39">
        <v>44158</v>
      </c>
      <c r="P292" s="37">
        <v>0.05</v>
      </c>
      <c r="R292" s="39">
        <v>45142</v>
      </c>
      <c r="S292" s="37">
        <v>5.1825999999999999</v>
      </c>
      <c r="U292" s="39">
        <v>45142</v>
      </c>
      <c r="V292" s="37">
        <v>5.5</v>
      </c>
    </row>
    <row r="293" spans="6:22" x14ac:dyDescent="0.2">
      <c r="F293" s="39">
        <v>45145</v>
      </c>
      <c r="G293" s="37">
        <v>4.0999999999999996</v>
      </c>
      <c r="I293" s="39">
        <v>45147</v>
      </c>
      <c r="J293" s="37">
        <v>3.649</v>
      </c>
      <c r="O293" s="39">
        <v>44159</v>
      </c>
      <c r="P293" s="37">
        <v>7.0000000000000007E-2</v>
      </c>
      <c r="R293" s="39">
        <v>45141</v>
      </c>
      <c r="S293" s="37">
        <v>5.1822999999999997</v>
      </c>
      <c r="U293" s="39">
        <v>45141</v>
      </c>
      <c r="V293" s="37">
        <v>5.5</v>
      </c>
    </row>
    <row r="294" spans="6:22" x14ac:dyDescent="0.2">
      <c r="F294" s="39">
        <v>45142</v>
      </c>
      <c r="G294" s="37">
        <v>4.0999999999999996</v>
      </c>
      <c r="I294" s="39">
        <v>45146</v>
      </c>
      <c r="J294" s="37">
        <v>3.6520000000000001</v>
      </c>
      <c r="O294" s="39">
        <v>44160</v>
      </c>
      <c r="P294" s="37">
        <v>0.08</v>
      </c>
      <c r="R294" s="39">
        <v>45140</v>
      </c>
      <c r="S294" s="37">
        <v>4.9303999999999997</v>
      </c>
      <c r="U294" s="39">
        <v>45140</v>
      </c>
      <c r="V294" s="37">
        <v>5.5</v>
      </c>
    </row>
    <row r="295" spans="6:22" x14ac:dyDescent="0.2">
      <c r="F295" s="39">
        <v>45141</v>
      </c>
      <c r="G295" s="37">
        <v>4.0999999999999996</v>
      </c>
      <c r="I295" s="39">
        <v>45145</v>
      </c>
      <c r="J295" s="37">
        <v>3.653</v>
      </c>
      <c r="O295" s="39">
        <v>44162</v>
      </c>
      <c r="P295" s="37">
        <v>0.08</v>
      </c>
      <c r="R295" s="39">
        <v>45139</v>
      </c>
      <c r="S295" s="37">
        <v>4.9306999999999999</v>
      </c>
      <c r="U295" s="39">
        <v>45139</v>
      </c>
      <c r="V295" s="37">
        <v>5.5</v>
      </c>
    </row>
    <row r="296" spans="6:22" x14ac:dyDescent="0.2">
      <c r="F296" s="39">
        <v>45140</v>
      </c>
      <c r="G296" s="37">
        <v>4.0999999999999996</v>
      </c>
      <c r="I296" s="39">
        <v>45142</v>
      </c>
      <c r="J296" s="37">
        <v>3.653</v>
      </c>
      <c r="O296" s="39">
        <v>44165</v>
      </c>
      <c r="P296" s="37">
        <v>0.09</v>
      </c>
      <c r="R296" s="39">
        <v>45138</v>
      </c>
      <c r="S296" s="37">
        <v>4.9303999999999997</v>
      </c>
      <c r="U296" s="39">
        <v>45138</v>
      </c>
      <c r="V296" s="37">
        <v>5.5</v>
      </c>
    </row>
    <row r="297" spans="6:22" x14ac:dyDescent="0.2">
      <c r="F297" s="39">
        <v>45139</v>
      </c>
      <c r="G297" s="37">
        <v>4.0999999999999996</v>
      </c>
      <c r="I297" s="39">
        <v>45141</v>
      </c>
      <c r="J297" s="37">
        <v>3.653</v>
      </c>
      <c r="O297" s="39">
        <v>44166</v>
      </c>
      <c r="P297" s="37">
        <v>0.08</v>
      </c>
      <c r="R297" s="39">
        <v>45135</v>
      </c>
      <c r="S297" s="37">
        <v>4.9314999999999998</v>
      </c>
      <c r="U297" s="39">
        <v>45135</v>
      </c>
      <c r="V297" s="37">
        <v>5.5</v>
      </c>
    </row>
    <row r="298" spans="6:22" x14ac:dyDescent="0.2">
      <c r="F298" s="39">
        <v>45138</v>
      </c>
      <c r="G298" s="37">
        <v>4.0999999999999996</v>
      </c>
      <c r="I298" s="39">
        <v>45140</v>
      </c>
      <c r="J298" s="37">
        <v>3.6549999999999998</v>
      </c>
      <c r="O298" s="39">
        <v>44167</v>
      </c>
      <c r="P298" s="37">
        <v>0.08</v>
      </c>
      <c r="R298" s="39">
        <v>45134</v>
      </c>
      <c r="S298" s="37">
        <v>4.931</v>
      </c>
      <c r="U298" s="39">
        <v>45134</v>
      </c>
      <c r="V298" s="37">
        <v>5.5</v>
      </c>
    </row>
    <row r="299" spans="6:22" x14ac:dyDescent="0.2">
      <c r="F299" s="39">
        <v>45135</v>
      </c>
      <c r="G299" s="37">
        <v>4.0999999999999996</v>
      </c>
      <c r="I299" s="39">
        <v>45139</v>
      </c>
      <c r="J299" s="37">
        <v>3.4039999999999999</v>
      </c>
      <c r="O299" s="39">
        <v>44168</v>
      </c>
      <c r="P299" s="37">
        <v>0.08</v>
      </c>
      <c r="R299" s="39">
        <v>45133</v>
      </c>
      <c r="S299" s="37">
        <v>4.931</v>
      </c>
      <c r="U299" s="39">
        <v>45133</v>
      </c>
      <c r="V299" s="37">
        <v>5.5</v>
      </c>
    </row>
    <row r="300" spans="6:22" x14ac:dyDescent="0.2">
      <c r="F300" s="39">
        <v>45134</v>
      </c>
      <c r="G300" s="37">
        <v>4.0999999999999996</v>
      </c>
      <c r="I300" s="39">
        <v>45138</v>
      </c>
      <c r="J300" s="37">
        <v>3.3919999999999999</v>
      </c>
      <c r="O300" s="39">
        <v>44169</v>
      </c>
      <c r="P300" s="37">
        <v>0.09</v>
      </c>
      <c r="R300" s="39">
        <v>45132</v>
      </c>
      <c r="S300" s="37">
        <v>4.9307999999999996</v>
      </c>
      <c r="U300" s="39">
        <v>45132</v>
      </c>
      <c r="V300" s="37">
        <v>5.5</v>
      </c>
    </row>
    <row r="301" spans="6:22" x14ac:dyDescent="0.2">
      <c r="F301" s="39">
        <v>45133</v>
      </c>
      <c r="G301" s="37">
        <v>4.0999999999999996</v>
      </c>
      <c r="I301" s="39">
        <v>45135</v>
      </c>
      <c r="J301" s="37">
        <v>3.4039999999999999</v>
      </c>
      <c r="O301" s="39">
        <v>44172</v>
      </c>
      <c r="P301" s="37">
        <v>0.08</v>
      </c>
      <c r="R301" s="39">
        <v>45131</v>
      </c>
      <c r="S301" s="37">
        <v>4.9309000000000003</v>
      </c>
      <c r="U301" s="39">
        <v>45131</v>
      </c>
      <c r="V301" s="37">
        <v>5.5</v>
      </c>
    </row>
    <row r="302" spans="6:22" x14ac:dyDescent="0.2">
      <c r="F302" s="39">
        <v>45132</v>
      </c>
      <c r="G302" s="37">
        <v>4.0999999999999996</v>
      </c>
      <c r="I302" s="39">
        <v>45134</v>
      </c>
      <c r="J302" s="37">
        <v>3.403</v>
      </c>
      <c r="O302" s="39">
        <v>44173</v>
      </c>
      <c r="P302" s="37">
        <v>7.0000000000000007E-2</v>
      </c>
      <c r="R302" s="39">
        <v>45128</v>
      </c>
      <c r="S302" s="37">
        <v>4.9306000000000001</v>
      </c>
      <c r="U302" s="39">
        <v>45128</v>
      </c>
      <c r="V302" s="37">
        <v>5.5</v>
      </c>
    </row>
    <row r="303" spans="6:22" x14ac:dyDescent="0.2">
      <c r="F303" s="39">
        <v>45131</v>
      </c>
      <c r="G303" s="37">
        <v>4.0999999999999996</v>
      </c>
      <c r="I303" s="39">
        <v>45133</v>
      </c>
      <c r="J303" s="37">
        <v>3.4020000000000001</v>
      </c>
      <c r="O303" s="39">
        <v>44174</v>
      </c>
      <c r="P303" s="37">
        <v>0.08</v>
      </c>
      <c r="R303" s="39">
        <v>45127</v>
      </c>
      <c r="S303" s="37">
        <v>4.9305000000000003</v>
      </c>
      <c r="U303" s="39">
        <v>45127</v>
      </c>
      <c r="V303" s="37">
        <v>5.5</v>
      </c>
    </row>
    <row r="304" spans="6:22" x14ac:dyDescent="0.2">
      <c r="F304" s="39">
        <v>45128</v>
      </c>
      <c r="G304" s="37">
        <v>4.0999999999999996</v>
      </c>
      <c r="I304" s="39">
        <v>45132</v>
      </c>
      <c r="J304" s="37">
        <v>3.4049999999999998</v>
      </c>
      <c r="O304" s="39">
        <v>44175</v>
      </c>
      <c r="P304" s="37">
        <v>0.08</v>
      </c>
      <c r="R304" s="39">
        <v>45126</v>
      </c>
      <c r="S304" s="37">
        <v>4.9302999999999999</v>
      </c>
      <c r="U304" s="39">
        <v>45126</v>
      </c>
      <c r="V304" s="37">
        <v>5.5</v>
      </c>
    </row>
    <row r="305" spans="6:22" x14ac:dyDescent="0.2">
      <c r="F305" s="39">
        <v>45127</v>
      </c>
      <c r="G305" s="37">
        <v>4.0999999999999996</v>
      </c>
      <c r="I305" s="39">
        <v>45131</v>
      </c>
      <c r="J305" s="37">
        <v>3.4049999999999998</v>
      </c>
      <c r="O305" s="39">
        <v>44176</v>
      </c>
      <c r="P305" s="37">
        <v>0.08</v>
      </c>
      <c r="R305" s="39">
        <v>45125</v>
      </c>
      <c r="S305" s="37">
        <v>4.9301000000000004</v>
      </c>
      <c r="U305" s="39">
        <v>45125</v>
      </c>
      <c r="V305" s="37">
        <v>5.5</v>
      </c>
    </row>
    <row r="306" spans="6:22" x14ac:dyDescent="0.2">
      <c r="F306" s="39">
        <v>45126</v>
      </c>
      <c r="G306" s="37">
        <v>4.0999999999999996</v>
      </c>
      <c r="I306" s="39">
        <v>45128</v>
      </c>
      <c r="J306" s="37">
        <v>3.4039999999999999</v>
      </c>
      <c r="O306" s="39">
        <v>44179</v>
      </c>
      <c r="P306" s="37">
        <v>0.08</v>
      </c>
      <c r="R306" s="39">
        <v>45124</v>
      </c>
      <c r="S306" s="37">
        <v>4.9298999999999999</v>
      </c>
      <c r="U306" s="39">
        <v>45124</v>
      </c>
      <c r="V306" s="37">
        <v>5.5</v>
      </c>
    </row>
    <row r="307" spans="6:22" x14ac:dyDescent="0.2">
      <c r="F307" s="39">
        <v>45125</v>
      </c>
      <c r="G307" s="37">
        <v>4.0999999999999996</v>
      </c>
      <c r="I307" s="39">
        <v>45127</v>
      </c>
      <c r="J307" s="37">
        <v>3.403</v>
      </c>
      <c r="O307" s="39">
        <v>44180</v>
      </c>
      <c r="P307" s="37">
        <v>0.09</v>
      </c>
      <c r="R307" s="39">
        <v>45121</v>
      </c>
      <c r="S307" s="37">
        <v>4.93</v>
      </c>
      <c r="U307" s="39">
        <v>45120</v>
      </c>
      <c r="V307" s="37">
        <v>5.5</v>
      </c>
    </row>
    <row r="308" spans="6:22" x14ac:dyDescent="0.2">
      <c r="F308" s="39">
        <v>45124</v>
      </c>
      <c r="G308" s="37">
        <v>4.0999999999999996</v>
      </c>
      <c r="I308" s="39">
        <v>45126</v>
      </c>
      <c r="J308" s="37">
        <v>3.4</v>
      </c>
      <c r="O308" s="39">
        <v>44181</v>
      </c>
      <c r="P308" s="37">
        <v>0.09</v>
      </c>
      <c r="R308" s="39">
        <v>45120</v>
      </c>
      <c r="S308" s="37">
        <v>4.93</v>
      </c>
      <c r="U308" s="39">
        <v>45119</v>
      </c>
      <c r="V308" s="37">
        <v>5.5</v>
      </c>
    </row>
    <row r="309" spans="6:22" x14ac:dyDescent="0.2">
      <c r="F309" s="39">
        <v>45121</v>
      </c>
      <c r="G309" s="37">
        <v>4.0999999999999996</v>
      </c>
      <c r="I309" s="39">
        <v>45125</v>
      </c>
      <c r="J309" s="37">
        <v>3.399</v>
      </c>
      <c r="O309" s="39">
        <v>44182</v>
      </c>
      <c r="P309" s="37">
        <v>0.09</v>
      </c>
      <c r="R309" s="39">
        <v>45119</v>
      </c>
      <c r="S309" s="37">
        <v>4.9298000000000002</v>
      </c>
      <c r="U309" s="39">
        <v>45118</v>
      </c>
      <c r="V309" s="37">
        <v>5.5</v>
      </c>
    </row>
    <row r="310" spans="6:22" x14ac:dyDescent="0.2">
      <c r="F310" s="39">
        <v>45120</v>
      </c>
      <c r="G310" s="37">
        <v>4.0999999999999996</v>
      </c>
      <c r="I310" s="39">
        <v>45124</v>
      </c>
      <c r="J310" s="37">
        <v>3.4</v>
      </c>
      <c r="O310" s="39">
        <v>44183</v>
      </c>
      <c r="P310" s="37">
        <v>0.09</v>
      </c>
      <c r="R310" s="39">
        <v>45118</v>
      </c>
      <c r="S310" s="37">
        <v>4.9298999999999999</v>
      </c>
      <c r="U310" s="39">
        <v>45117</v>
      </c>
      <c r="V310" s="37">
        <v>5.5</v>
      </c>
    </row>
    <row r="311" spans="6:22" x14ac:dyDescent="0.2">
      <c r="F311" s="39">
        <v>45119</v>
      </c>
      <c r="G311" s="37">
        <v>4.0999999999999996</v>
      </c>
      <c r="I311" s="39">
        <v>45121</v>
      </c>
      <c r="J311" s="37">
        <v>3.4020000000000001</v>
      </c>
      <c r="O311" s="39">
        <v>44186</v>
      </c>
      <c r="P311" s="37">
        <v>0.09</v>
      </c>
      <c r="R311" s="39">
        <v>45117</v>
      </c>
      <c r="S311" s="37">
        <v>4.9302000000000001</v>
      </c>
      <c r="U311" s="39">
        <v>45114</v>
      </c>
      <c r="V311" s="37">
        <v>5.5</v>
      </c>
    </row>
    <row r="312" spans="6:22" x14ac:dyDescent="0.2">
      <c r="F312" s="39">
        <v>45118</v>
      </c>
      <c r="G312" s="37">
        <v>4.0999999999999996</v>
      </c>
      <c r="I312" s="39">
        <v>45120</v>
      </c>
      <c r="J312" s="37">
        <v>3.4009999999999998</v>
      </c>
      <c r="O312" s="39">
        <v>44187</v>
      </c>
      <c r="P312" s="37">
        <v>7.0000000000000007E-2</v>
      </c>
      <c r="R312" s="39">
        <v>45114</v>
      </c>
      <c r="S312" s="37">
        <v>4.9297000000000004</v>
      </c>
      <c r="U312" s="39">
        <v>45113</v>
      </c>
      <c r="V312" s="37">
        <v>5.5</v>
      </c>
    </row>
    <row r="313" spans="6:22" x14ac:dyDescent="0.2">
      <c r="F313" s="39">
        <v>45117</v>
      </c>
      <c r="G313" s="37">
        <v>4.0999999999999996</v>
      </c>
      <c r="I313" s="39">
        <v>45119</v>
      </c>
      <c r="J313" s="37">
        <v>3.4039999999999999</v>
      </c>
      <c r="O313" s="39">
        <v>44188</v>
      </c>
      <c r="P313" s="37">
        <v>0.06</v>
      </c>
      <c r="R313" s="39">
        <v>45113</v>
      </c>
      <c r="S313" s="37">
        <v>4.9295999999999998</v>
      </c>
      <c r="U313" s="39">
        <v>45112</v>
      </c>
      <c r="V313" s="37">
        <v>5.5</v>
      </c>
    </row>
    <row r="314" spans="6:22" x14ac:dyDescent="0.2">
      <c r="F314" s="39">
        <v>45114</v>
      </c>
      <c r="G314" s="37">
        <v>4.0999999999999996</v>
      </c>
      <c r="I314" s="39">
        <v>45118</v>
      </c>
      <c r="J314" s="37">
        <v>3.4039999999999999</v>
      </c>
      <c r="O314" s="39">
        <v>44189</v>
      </c>
      <c r="P314" s="37">
        <v>0.08</v>
      </c>
      <c r="R314" s="39">
        <v>45112</v>
      </c>
      <c r="S314" s="37">
        <v>4.93</v>
      </c>
      <c r="U314" s="39">
        <v>45111</v>
      </c>
      <c r="V314" s="37">
        <v>5.5</v>
      </c>
    </row>
    <row r="315" spans="6:22" x14ac:dyDescent="0.2">
      <c r="F315" s="39">
        <v>45113</v>
      </c>
      <c r="G315" s="37">
        <v>4.0999999999999996</v>
      </c>
      <c r="I315" s="39">
        <v>45117</v>
      </c>
      <c r="J315" s="37">
        <v>3.4020000000000001</v>
      </c>
      <c r="O315" s="39">
        <v>44193</v>
      </c>
      <c r="P315" s="37">
        <v>0.09</v>
      </c>
      <c r="R315" s="39">
        <v>45111</v>
      </c>
      <c r="S315" s="37">
        <v>4.9291</v>
      </c>
      <c r="U315" s="39">
        <v>45110</v>
      </c>
      <c r="V315" s="37">
        <v>5.5</v>
      </c>
    </row>
    <row r="316" spans="6:22" x14ac:dyDescent="0.2">
      <c r="F316" s="39">
        <v>45112</v>
      </c>
      <c r="G316" s="37">
        <v>4.0999999999999996</v>
      </c>
      <c r="I316" s="39">
        <v>45114</v>
      </c>
      <c r="J316" s="37">
        <v>3.4060000000000001</v>
      </c>
      <c r="O316" s="39">
        <v>44194</v>
      </c>
      <c r="P316" s="37">
        <v>0.1</v>
      </c>
      <c r="R316" s="39">
        <v>45110</v>
      </c>
      <c r="S316" s="37">
        <v>4.9290000000000003</v>
      </c>
      <c r="U316" s="39">
        <v>45107</v>
      </c>
      <c r="V316" s="37">
        <v>5.5</v>
      </c>
    </row>
    <row r="317" spans="6:22" x14ac:dyDescent="0.2">
      <c r="F317" s="39">
        <v>45111</v>
      </c>
      <c r="G317" s="37">
        <v>4.0999999999999996</v>
      </c>
      <c r="I317" s="39">
        <v>45113</v>
      </c>
      <c r="J317" s="37">
        <v>3.4060000000000001</v>
      </c>
      <c r="O317" s="39">
        <v>44195</v>
      </c>
      <c r="P317" s="37">
        <v>0.09</v>
      </c>
      <c r="R317" s="39">
        <v>45107</v>
      </c>
      <c r="S317" s="37">
        <v>4.9286000000000003</v>
      </c>
      <c r="U317" s="39">
        <v>45106</v>
      </c>
      <c r="V317" s="37">
        <v>5.5</v>
      </c>
    </row>
    <row r="318" spans="6:22" x14ac:dyDescent="0.2">
      <c r="F318" s="39">
        <v>45110</v>
      </c>
      <c r="G318" s="37">
        <v>4.0999999999999996</v>
      </c>
      <c r="I318" s="39">
        <v>45112</v>
      </c>
      <c r="J318" s="37">
        <v>3.4039999999999999</v>
      </c>
      <c r="O318" s="39">
        <v>44196</v>
      </c>
      <c r="P318" s="37">
        <v>7.0000000000000007E-2</v>
      </c>
      <c r="R318" s="39">
        <v>45106</v>
      </c>
      <c r="S318" s="37">
        <v>4.9283999999999999</v>
      </c>
      <c r="U318" s="39">
        <v>45105</v>
      </c>
      <c r="V318" s="37">
        <v>5.5</v>
      </c>
    </row>
    <row r="319" spans="6:22" x14ac:dyDescent="0.2">
      <c r="F319" s="39">
        <v>45107</v>
      </c>
      <c r="G319" s="37">
        <v>4.0999999999999996</v>
      </c>
      <c r="I319" s="39">
        <v>45111</v>
      </c>
      <c r="J319" s="37">
        <v>3.4009999999999998</v>
      </c>
      <c r="O319" s="39">
        <v>44200</v>
      </c>
      <c r="P319" s="37">
        <v>0.1</v>
      </c>
      <c r="R319" s="39">
        <v>45105</v>
      </c>
      <c r="S319" s="37">
        <v>4.9279000000000002</v>
      </c>
      <c r="U319" s="39">
        <v>45104</v>
      </c>
      <c r="V319" s="37">
        <v>5.5</v>
      </c>
    </row>
    <row r="320" spans="6:22" x14ac:dyDescent="0.2">
      <c r="F320" s="39">
        <v>45106</v>
      </c>
      <c r="G320" s="37">
        <v>4.0999999999999996</v>
      </c>
      <c r="I320" s="39">
        <v>45110</v>
      </c>
      <c r="J320" s="37">
        <v>3.399</v>
      </c>
      <c r="O320" s="39">
        <v>44201</v>
      </c>
      <c r="P320" s="37">
        <v>0.11</v>
      </c>
      <c r="R320" s="39">
        <v>45104</v>
      </c>
      <c r="S320" s="37">
        <v>4.9280999999999997</v>
      </c>
      <c r="U320" s="39">
        <v>45103</v>
      </c>
      <c r="V320" s="37">
        <v>5.5</v>
      </c>
    </row>
    <row r="321" spans="6:22" x14ac:dyDescent="0.2">
      <c r="F321" s="39">
        <v>45105</v>
      </c>
      <c r="G321" s="37">
        <v>4.0999999999999996</v>
      </c>
      <c r="I321" s="39">
        <v>45107</v>
      </c>
      <c r="J321" s="37">
        <v>3.4</v>
      </c>
      <c r="O321" s="39">
        <v>44202</v>
      </c>
      <c r="P321" s="37">
        <v>0.1</v>
      </c>
      <c r="R321" s="39">
        <v>45103</v>
      </c>
      <c r="S321" s="37">
        <v>4.9282000000000004</v>
      </c>
      <c r="U321" s="39">
        <v>45100</v>
      </c>
      <c r="V321" s="37">
        <v>5.5</v>
      </c>
    </row>
    <row r="322" spans="6:22" x14ac:dyDescent="0.2">
      <c r="F322" s="39">
        <v>45104</v>
      </c>
      <c r="G322" s="37">
        <v>4.0999999999999996</v>
      </c>
      <c r="I322" s="39">
        <v>45106</v>
      </c>
      <c r="J322" s="37">
        <v>3.4</v>
      </c>
      <c r="O322" s="39">
        <v>44203</v>
      </c>
      <c r="P322" s="37">
        <v>0.1</v>
      </c>
      <c r="R322" s="39">
        <v>45100</v>
      </c>
      <c r="S322" s="37">
        <v>4.9279999999999999</v>
      </c>
      <c r="U322" s="39">
        <v>45099</v>
      </c>
      <c r="V322" s="37">
        <v>5.5</v>
      </c>
    </row>
    <row r="323" spans="6:22" x14ac:dyDescent="0.2">
      <c r="F323" s="39">
        <v>45103</v>
      </c>
      <c r="G323" s="37">
        <v>4.0999999999999996</v>
      </c>
      <c r="I323" s="39">
        <v>45105</v>
      </c>
      <c r="J323" s="37">
        <v>3.4</v>
      </c>
      <c r="O323" s="39">
        <v>44204</v>
      </c>
      <c r="P323" s="37">
        <v>0.09</v>
      </c>
      <c r="R323" s="39">
        <v>45099</v>
      </c>
      <c r="S323" s="37">
        <v>4.9273999999999996</v>
      </c>
      <c r="U323" s="39">
        <v>45098</v>
      </c>
      <c r="V323" s="37">
        <v>5.5</v>
      </c>
    </row>
    <row r="324" spans="6:22" x14ac:dyDescent="0.2">
      <c r="F324" s="39">
        <v>45100</v>
      </c>
      <c r="G324" s="37">
        <v>4.0999999999999996</v>
      </c>
      <c r="I324" s="39">
        <v>45104</v>
      </c>
      <c r="J324" s="37">
        <v>3.3969999999999998</v>
      </c>
      <c r="O324" s="39">
        <v>44207</v>
      </c>
      <c r="P324" s="37">
        <v>0.09</v>
      </c>
      <c r="R324" s="39">
        <v>45098</v>
      </c>
      <c r="S324" s="37">
        <v>4.4287999999999998</v>
      </c>
      <c r="U324" s="39">
        <v>45097</v>
      </c>
      <c r="V324" s="37">
        <v>5.5</v>
      </c>
    </row>
    <row r="325" spans="6:22" x14ac:dyDescent="0.2">
      <c r="F325" s="39">
        <v>45099</v>
      </c>
      <c r="G325" s="37">
        <v>4.0999999999999996</v>
      </c>
      <c r="I325" s="39">
        <v>45103</v>
      </c>
      <c r="J325" s="37">
        <v>3.4</v>
      </c>
      <c r="O325" s="39">
        <v>44208</v>
      </c>
      <c r="P325" s="37">
        <v>0.08</v>
      </c>
      <c r="R325" s="39">
        <v>45097</v>
      </c>
      <c r="S325" s="37">
        <v>4.4280999999999997</v>
      </c>
      <c r="U325" s="39">
        <v>45096</v>
      </c>
      <c r="V325" s="37">
        <v>5.5</v>
      </c>
    </row>
    <row r="326" spans="6:22" x14ac:dyDescent="0.2">
      <c r="F326" s="39">
        <v>45098</v>
      </c>
      <c r="G326" s="37">
        <v>4.0999999999999996</v>
      </c>
      <c r="I326" s="39">
        <v>45100</v>
      </c>
      <c r="J326" s="37">
        <v>3.4</v>
      </c>
      <c r="O326" s="39">
        <v>44209</v>
      </c>
      <c r="P326" s="37">
        <v>0.08</v>
      </c>
      <c r="R326" s="39">
        <v>45096</v>
      </c>
      <c r="S326" s="37">
        <v>4.4279999999999999</v>
      </c>
      <c r="U326" s="39">
        <v>45093</v>
      </c>
      <c r="V326" s="37">
        <v>5.5</v>
      </c>
    </row>
    <row r="327" spans="6:22" x14ac:dyDescent="0.2">
      <c r="F327" s="39">
        <v>45097</v>
      </c>
      <c r="G327" s="37">
        <v>4.0999999999999996</v>
      </c>
      <c r="I327" s="39">
        <v>45099</v>
      </c>
      <c r="J327" s="37">
        <v>3.3969999999999998</v>
      </c>
      <c r="O327" s="39">
        <v>44210</v>
      </c>
      <c r="P327" s="37">
        <v>0.08</v>
      </c>
      <c r="R327" s="39">
        <v>45093</v>
      </c>
      <c r="S327" s="37">
        <v>4.4279000000000002</v>
      </c>
      <c r="U327" s="39">
        <v>45092</v>
      </c>
      <c r="V327" s="37">
        <v>5.5</v>
      </c>
    </row>
    <row r="328" spans="6:22" x14ac:dyDescent="0.2">
      <c r="F328" s="39">
        <v>45096</v>
      </c>
      <c r="G328" s="37">
        <v>4.0999999999999996</v>
      </c>
      <c r="I328" s="39">
        <v>45098</v>
      </c>
      <c r="J328" s="37">
        <v>3.395</v>
      </c>
      <c r="O328" s="39">
        <v>44211</v>
      </c>
      <c r="P328" s="37">
        <v>0.08</v>
      </c>
      <c r="R328" s="39">
        <v>45092</v>
      </c>
      <c r="S328" s="37">
        <v>4.4283999999999999</v>
      </c>
      <c r="U328" s="39">
        <v>45091</v>
      </c>
      <c r="V328" s="37">
        <v>5.5</v>
      </c>
    </row>
    <row r="329" spans="6:22" x14ac:dyDescent="0.2">
      <c r="F329" s="39">
        <v>45093</v>
      </c>
      <c r="G329" s="37">
        <v>4.0999999999999996</v>
      </c>
      <c r="I329" s="39">
        <v>45097</v>
      </c>
      <c r="J329" s="37">
        <v>3.1440000000000001</v>
      </c>
      <c r="O329" s="39">
        <v>44215</v>
      </c>
      <c r="P329" s="37">
        <v>7.0000000000000007E-2</v>
      </c>
      <c r="R329" s="39">
        <v>45091</v>
      </c>
      <c r="S329" s="37">
        <v>4.4283000000000001</v>
      </c>
      <c r="U329" s="39">
        <v>45090</v>
      </c>
      <c r="V329" s="37">
        <v>5.5</v>
      </c>
    </row>
    <row r="330" spans="6:22" x14ac:dyDescent="0.2">
      <c r="F330" s="39">
        <v>45092</v>
      </c>
      <c r="G330" s="37">
        <v>4.0999999999999996</v>
      </c>
      <c r="I330" s="39">
        <v>45096</v>
      </c>
      <c r="J330" s="37">
        <v>3.1440000000000001</v>
      </c>
      <c r="O330" s="39">
        <v>44216</v>
      </c>
      <c r="P330" s="37">
        <v>0.06</v>
      </c>
      <c r="R330" s="39">
        <v>45090</v>
      </c>
      <c r="S330" s="37">
        <v>4.4280999999999997</v>
      </c>
      <c r="U330" s="39">
        <v>45089</v>
      </c>
      <c r="V330" s="37">
        <v>5.5</v>
      </c>
    </row>
    <row r="331" spans="6:22" x14ac:dyDescent="0.2">
      <c r="F331" s="39">
        <v>45091</v>
      </c>
      <c r="G331" s="37">
        <v>4.0999999999999996</v>
      </c>
      <c r="I331" s="39">
        <v>45093</v>
      </c>
      <c r="J331" s="37">
        <v>3.1440000000000001</v>
      </c>
      <c r="O331" s="39">
        <v>44217</v>
      </c>
      <c r="P331" s="37">
        <v>0.04</v>
      </c>
      <c r="R331" s="39">
        <v>45089</v>
      </c>
      <c r="S331" s="37">
        <v>4.4283000000000001</v>
      </c>
      <c r="U331" s="39">
        <v>45086</v>
      </c>
      <c r="V331" s="37">
        <v>5.5</v>
      </c>
    </row>
    <row r="332" spans="6:22" x14ac:dyDescent="0.2">
      <c r="F332" s="39">
        <v>45090</v>
      </c>
      <c r="G332" s="37">
        <v>4.0999999999999996</v>
      </c>
      <c r="I332" s="39">
        <v>45092</v>
      </c>
      <c r="J332" s="37">
        <v>3.1469999999999998</v>
      </c>
      <c r="O332" s="39">
        <v>44218</v>
      </c>
      <c r="P332" s="37">
        <v>0.05</v>
      </c>
      <c r="R332" s="39">
        <v>45086</v>
      </c>
      <c r="S332" s="37">
        <v>4.4280999999999997</v>
      </c>
      <c r="U332" s="39">
        <v>45085</v>
      </c>
      <c r="V332" s="37">
        <v>5.5</v>
      </c>
    </row>
    <row r="333" spans="6:22" x14ac:dyDescent="0.2">
      <c r="F333" s="39">
        <v>45086</v>
      </c>
      <c r="G333" s="37">
        <v>4.0999999999999996</v>
      </c>
      <c r="I333" s="39">
        <v>45091</v>
      </c>
      <c r="J333" s="37">
        <v>3.15</v>
      </c>
      <c r="O333" s="39">
        <v>44221</v>
      </c>
      <c r="P333" s="37">
        <v>0.06</v>
      </c>
      <c r="R333" s="39">
        <v>45085</v>
      </c>
      <c r="S333" s="37">
        <v>4.4279000000000002</v>
      </c>
      <c r="U333" s="39">
        <v>45084</v>
      </c>
      <c r="V333" s="37">
        <v>5.5</v>
      </c>
    </row>
    <row r="334" spans="6:22" x14ac:dyDescent="0.2">
      <c r="F334" s="39">
        <v>45085</v>
      </c>
      <c r="G334" s="37">
        <v>4.0999999999999996</v>
      </c>
      <c r="I334" s="39">
        <v>45090</v>
      </c>
      <c r="J334" s="37">
        <v>3.1469999999999998</v>
      </c>
      <c r="O334" s="39">
        <v>44222</v>
      </c>
      <c r="P334" s="37">
        <v>0.03</v>
      </c>
      <c r="R334" s="39">
        <v>45084</v>
      </c>
      <c r="S334" s="37">
        <v>4.4278000000000004</v>
      </c>
      <c r="U334" s="39">
        <v>45083</v>
      </c>
      <c r="V334" s="37">
        <v>5.5</v>
      </c>
    </row>
    <row r="335" spans="6:22" x14ac:dyDescent="0.2">
      <c r="F335" s="39">
        <v>45084</v>
      </c>
      <c r="G335" s="37">
        <v>4.0999999999999996</v>
      </c>
      <c r="I335" s="39">
        <v>45089</v>
      </c>
      <c r="J335" s="37">
        <v>3.1469999999999998</v>
      </c>
      <c r="O335" s="39">
        <v>44223</v>
      </c>
      <c r="P335" s="37">
        <v>0.03</v>
      </c>
      <c r="R335" s="39">
        <v>45083</v>
      </c>
      <c r="S335" s="37">
        <v>4.4279000000000002</v>
      </c>
      <c r="U335" s="39">
        <v>45079</v>
      </c>
      <c r="V335" s="37">
        <v>5.5</v>
      </c>
    </row>
    <row r="336" spans="6:22" x14ac:dyDescent="0.2">
      <c r="F336" s="39">
        <v>45083</v>
      </c>
      <c r="G336" s="37">
        <v>3.85</v>
      </c>
      <c r="I336" s="39">
        <v>45086</v>
      </c>
      <c r="J336" s="37">
        <v>3.1469999999999998</v>
      </c>
      <c r="O336" s="39">
        <v>44224</v>
      </c>
      <c r="P336" s="37">
        <v>0.04</v>
      </c>
      <c r="R336" s="39">
        <v>45082</v>
      </c>
      <c r="S336" s="37">
        <v>4.4279999999999999</v>
      </c>
      <c r="U336" s="39">
        <v>45078</v>
      </c>
      <c r="V336" s="37">
        <v>5.5</v>
      </c>
    </row>
    <row r="337" spans="6:22" x14ac:dyDescent="0.2">
      <c r="F337" s="39">
        <v>45082</v>
      </c>
      <c r="G337" s="37">
        <v>3.85</v>
      </c>
      <c r="I337" s="39">
        <v>45085</v>
      </c>
      <c r="J337" s="37">
        <v>3.1459999999999999</v>
      </c>
      <c r="O337" s="39">
        <v>44225</v>
      </c>
      <c r="P337" s="37">
        <v>0.06</v>
      </c>
      <c r="R337" s="39">
        <v>45079</v>
      </c>
      <c r="S337" s="37">
        <v>4.4280999999999997</v>
      </c>
      <c r="U337" s="39">
        <v>45077</v>
      </c>
      <c r="V337" s="37">
        <v>5.5</v>
      </c>
    </row>
    <row r="338" spans="6:22" x14ac:dyDescent="0.2">
      <c r="F338" s="39">
        <v>45079</v>
      </c>
      <c r="G338" s="37">
        <v>3.85</v>
      </c>
      <c r="I338" s="39">
        <v>45084</v>
      </c>
      <c r="J338" s="37">
        <v>3.1440000000000001</v>
      </c>
      <c r="O338" s="39">
        <v>44228</v>
      </c>
      <c r="P338" s="37">
        <v>7.0000000000000007E-2</v>
      </c>
      <c r="R338" s="39">
        <v>45078</v>
      </c>
      <c r="S338" s="37">
        <v>4.4278000000000004</v>
      </c>
      <c r="U338" s="39">
        <v>45076</v>
      </c>
      <c r="V338" s="37">
        <v>5.5</v>
      </c>
    </row>
    <row r="339" spans="6:22" x14ac:dyDescent="0.2">
      <c r="F339" s="39">
        <v>45078</v>
      </c>
      <c r="G339" s="37">
        <v>3.85</v>
      </c>
      <c r="I339" s="39">
        <v>45083</v>
      </c>
      <c r="J339" s="37">
        <v>3.145</v>
      </c>
      <c r="O339" s="39">
        <v>44229</v>
      </c>
      <c r="P339" s="37">
        <v>7.0000000000000007E-2</v>
      </c>
      <c r="R339" s="39">
        <v>45077</v>
      </c>
      <c r="S339" s="37">
        <v>4.4278000000000004</v>
      </c>
      <c r="U339" s="39">
        <v>45075</v>
      </c>
      <c r="V339" s="37">
        <v>5.5</v>
      </c>
    </row>
    <row r="340" spans="6:22" x14ac:dyDescent="0.2">
      <c r="F340" s="39">
        <v>45077</v>
      </c>
      <c r="G340" s="37">
        <v>3.85</v>
      </c>
      <c r="I340" s="39">
        <v>45082</v>
      </c>
      <c r="J340" s="37">
        <v>3.1480000000000001</v>
      </c>
      <c r="O340" s="39">
        <v>44230</v>
      </c>
      <c r="P340" s="37">
        <v>7.0000000000000007E-2</v>
      </c>
      <c r="R340" s="39">
        <v>45076</v>
      </c>
      <c r="S340" s="37">
        <v>4.4278000000000004</v>
      </c>
      <c r="U340" s="39">
        <v>45072</v>
      </c>
      <c r="V340" s="37">
        <v>5.5</v>
      </c>
    </row>
    <row r="341" spans="6:22" x14ac:dyDescent="0.2">
      <c r="F341" s="39">
        <v>45076</v>
      </c>
      <c r="G341" s="37">
        <v>3.85</v>
      </c>
      <c r="I341" s="39">
        <v>45079</v>
      </c>
      <c r="J341" s="37">
        <v>3.1480000000000001</v>
      </c>
      <c r="O341" s="39">
        <v>44231</v>
      </c>
      <c r="P341" s="37">
        <v>0.05</v>
      </c>
      <c r="R341" s="39">
        <v>45072</v>
      </c>
      <c r="S341" s="37">
        <v>4.4280999999999997</v>
      </c>
      <c r="U341" s="39">
        <v>45071</v>
      </c>
      <c r="V341" s="37">
        <v>5.5</v>
      </c>
    </row>
    <row r="342" spans="6:22" x14ac:dyDescent="0.2">
      <c r="F342" s="39">
        <v>45075</v>
      </c>
      <c r="G342" s="37">
        <v>3.85</v>
      </c>
      <c r="I342" s="39">
        <v>45078</v>
      </c>
      <c r="J342" s="37">
        <v>3.1469999999999998</v>
      </c>
      <c r="O342" s="39">
        <v>44232</v>
      </c>
      <c r="P342" s="37">
        <v>0.02</v>
      </c>
      <c r="R342" s="39">
        <v>45071</v>
      </c>
      <c r="S342" s="37">
        <v>4.4278000000000004</v>
      </c>
      <c r="U342" s="39">
        <v>45070</v>
      </c>
      <c r="V342" s="37">
        <v>5.25</v>
      </c>
    </row>
    <row r="343" spans="6:22" x14ac:dyDescent="0.2">
      <c r="F343" s="39">
        <v>45072</v>
      </c>
      <c r="G343" s="37">
        <v>3.85</v>
      </c>
      <c r="I343" s="39">
        <v>45077</v>
      </c>
      <c r="J343" s="37">
        <v>3.1440000000000001</v>
      </c>
      <c r="O343" s="39">
        <v>44235</v>
      </c>
      <c r="P343" s="37">
        <v>0.02</v>
      </c>
      <c r="R343" s="39">
        <v>45070</v>
      </c>
      <c r="S343" s="37">
        <v>4.4276999999999997</v>
      </c>
      <c r="U343" s="39">
        <v>45069</v>
      </c>
      <c r="V343" s="37">
        <v>5.25</v>
      </c>
    </row>
    <row r="344" spans="6:22" x14ac:dyDescent="0.2">
      <c r="F344" s="39">
        <v>45071</v>
      </c>
      <c r="G344" s="37">
        <v>3.85</v>
      </c>
      <c r="I344" s="39">
        <v>45076</v>
      </c>
      <c r="J344" s="37">
        <v>3.1480000000000001</v>
      </c>
      <c r="O344" s="39">
        <v>44236</v>
      </c>
      <c r="P344" s="37">
        <v>0.05</v>
      </c>
      <c r="R344" s="39">
        <v>45069</v>
      </c>
      <c r="S344" s="37">
        <v>4.4284999999999997</v>
      </c>
      <c r="U344" s="39">
        <v>45068</v>
      </c>
      <c r="V344" s="37">
        <v>5.25</v>
      </c>
    </row>
    <row r="345" spans="6:22" x14ac:dyDescent="0.2">
      <c r="F345" s="39">
        <v>45070</v>
      </c>
      <c r="G345" s="37">
        <v>3.85</v>
      </c>
      <c r="I345" s="39">
        <v>45075</v>
      </c>
      <c r="J345" s="37">
        <v>3.1469999999999998</v>
      </c>
      <c r="O345" s="39">
        <v>44237</v>
      </c>
      <c r="P345" s="37">
        <v>0.06</v>
      </c>
      <c r="R345" s="39">
        <v>45068</v>
      </c>
      <c r="S345" s="37">
        <v>4.4276999999999997</v>
      </c>
      <c r="U345" s="39">
        <v>45065</v>
      </c>
      <c r="V345" s="37">
        <v>5.25</v>
      </c>
    </row>
    <row r="346" spans="6:22" x14ac:dyDescent="0.2">
      <c r="F346" s="39">
        <v>45069</v>
      </c>
      <c r="G346" s="37">
        <v>3.85</v>
      </c>
      <c r="I346" s="39">
        <v>45072</v>
      </c>
      <c r="J346" s="37">
        <v>3.1520000000000001</v>
      </c>
      <c r="O346" s="39">
        <v>44238</v>
      </c>
      <c r="P346" s="37">
        <v>0.06</v>
      </c>
      <c r="R346" s="39">
        <v>45065</v>
      </c>
      <c r="S346" s="37">
        <v>4.4273999999999996</v>
      </c>
      <c r="U346" s="39">
        <v>45064</v>
      </c>
      <c r="V346" s="37">
        <v>5.25</v>
      </c>
    </row>
    <row r="347" spans="6:22" x14ac:dyDescent="0.2">
      <c r="F347" s="39">
        <v>45068</v>
      </c>
      <c r="G347" s="37">
        <v>3.85</v>
      </c>
      <c r="I347" s="39">
        <v>45071</v>
      </c>
      <c r="J347" s="37">
        <v>3.1480000000000001</v>
      </c>
      <c r="O347" s="39">
        <v>44239</v>
      </c>
      <c r="P347" s="37">
        <v>0.05</v>
      </c>
      <c r="R347" s="39">
        <v>45064</v>
      </c>
      <c r="S347" s="37">
        <v>4.4276</v>
      </c>
      <c r="U347" s="39">
        <v>45063</v>
      </c>
      <c r="V347" s="37">
        <v>5.25</v>
      </c>
    </row>
    <row r="348" spans="6:22" x14ac:dyDescent="0.2">
      <c r="F348" s="39">
        <v>45065</v>
      </c>
      <c r="G348" s="37">
        <v>3.85</v>
      </c>
      <c r="I348" s="39">
        <v>45070</v>
      </c>
      <c r="J348" s="37">
        <v>3.1480000000000001</v>
      </c>
      <c r="O348" s="39">
        <v>44243</v>
      </c>
      <c r="P348" s="37">
        <v>0.06</v>
      </c>
      <c r="R348" s="39">
        <v>45063</v>
      </c>
      <c r="S348" s="37">
        <v>4.4273999999999996</v>
      </c>
      <c r="U348" s="39">
        <v>45062</v>
      </c>
      <c r="V348" s="37">
        <v>5.25</v>
      </c>
    </row>
    <row r="349" spans="6:22" x14ac:dyDescent="0.2">
      <c r="F349" s="39">
        <v>45064</v>
      </c>
      <c r="G349" s="37">
        <v>3.85</v>
      </c>
      <c r="I349" s="39">
        <v>45069</v>
      </c>
      <c r="J349" s="37">
        <v>3.157</v>
      </c>
      <c r="O349" s="39">
        <v>44244</v>
      </c>
      <c r="P349" s="37">
        <v>0.06</v>
      </c>
      <c r="R349" s="39">
        <v>45062</v>
      </c>
      <c r="S349" s="37">
        <v>4.4275000000000002</v>
      </c>
      <c r="U349" s="39">
        <v>45061</v>
      </c>
      <c r="V349" s="37">
        <v>5.25</v>
      </c>
    </row>
    <row r="350" spans="6:22" x14ac:dyDescent="0.2">
      <c r="F350" s="39">
        <v>45063</v>
      </c>
      <c r="G350" s="37">
        <v>3.85</v>
      </c>
      <c r="I350" s="39">
        <v>45068</v>
      </c>
      <c r="J350" s="37">
        <v>3.15</v>
      </c>
      <c r="O350" s="39">
        <v>44245</v>
      </c>
      <c r="P350" s="37">
        <v>0.03</v>
      </c>
      <c r="R350" s="39">
        <v>45061</v>
      </c>
      <c r="S350" s="37">
        <v>4.4273999999999996</v>
      </c>
      <c r="U350" s="39">
        <v>45058</v>
      </c>
      <c r="V350" s="37">
        <v>5.25</v>
      </c>
    </row>
    <row r="351" spans="6:22" x14ac:dyDescent="0.2">
      <c r="F351" s="39">
        <v>45062</v>
      </c>
      <c r="G351" s="37">
        <v>3.85</v>
      </c>
      <c r="I351" s="39">
        <v>45065</v>
      </c>
      <c r="J351" s="37">
        <v>3.1509999999999998</v>
      </c>
      <c r="O351" s="39">
        <v>44246</v>
      </c>
      <c r="P351" s="37">
        <v>0.02</v>
      </c>
      <c r="R351" s="39">
        <v>45058</v>
      </c>
      <c r="S351" s="37">
        <v>4.4276999999999997</v>
      </c>
      <c r="U351" s="39">
        <v>45057</v>
      </c>
      <c r="V351" s="37">
        <v>5.25</v>
      </c>
    </row>
    <row r="352" spans="6:22" x14ac:dyDescent="0.2">
      <c r="F352" s="39">
        <v>45061</v>
      </c>
      <c r="G352" s="37">
        <v>3.85</v>
      </c>
      <c r="I352" s="39">
        <v>45064</v>
      </c>
      <c r="J352" s="37">
        <v>3.153</v>
      </c>
      <c r="O352" s="39">
        <v>44249</v>
      </c>
      <c r="P352" s="37">
        <v>0.03</v>
      </c>
      <c r="R352" s="39">
        <v>45057</v>
      </c>
      <c r="S352" s="37">
        <v>4.4273999999999996</v>
      </c>
      <c r="U352" s="39">
        <v>45056</v>
      </c>
      <c r="V352" s="37">
        <v>5.25</v>
      </c>
    </row>
    <row r="353" spans="6:22" x14ac:dyDescent="0.2">
      <c r="F353" s="39">
        <v>45058</v>
      </c>
      <c r="G353" s="37">
        <v>3.85</v>
      </c>
      <c r="I353" s="39">
        <v>45063</v>
      </c>
      <c r="J353" s="37">
        <v>3.1509999999999998</v>
      </c>
      <c r="O353" s="39">
        <v>44250</v>
      </c>
      <c r="P353" s="37">
        <v>0.01</v>
      </c>
      <c r="R353" s="39">
        <v>45056</v>
      </c>
      <c r="S353" s="37">
        <v>4.1775000000000002</v>
      </c>
      <c r="U353" s="39">
        <v>45055</v>
      </c>
      <c r="V353" s="37">
        <v>5.25</v>
      </c>
    </row>
    <row r="354" spans="6:22" x14ac:dyDescent="0.2">
      <c r="F354" s="39">
        <v>45057</v>
      </c>
      <c r="G354" s="37">
        <v>3.85</v>
      </c>
      <c r="I354" s="39">
        <v>45062</v>
      </c>
      <c r="J354" s="37">
        <v>3.1469999999999998</v>
      </c>
      <c r="O354" s="39">
        <v>44251</v>
      </c>
      <c r="P354" s="37">
        <v>0.02</v>
      </c>
      <c r="R354" s="39">
        <v>45055</v>
      </c>
      <c r="S354" s="37">
        <v>4.1776999999999997</v>
      </c>
      <c r="U354" s="39">
        <v>45054</v>
      </c>
      <c r="V354" s="37">
        <v>5.25</v>
      </c>
    </row>
    <row r="355" spans="6:22" x14ac:dyDescent="0.2">
      <c r="F355" s="39">
        <v>45056</v>
      </c>
      <c r="G355" s="37">
        <v>3.85</v>
      </c>
      <c r="I355" s="39">
        <v>45061</v>
      </c>
      <c r="J355" s="37">
        <v>3.145</v>
      </c>
      <c r="O355" s="39">
        <v>44252</v>
      </c>
      <c r="P355" s="37">
        <v>0.03</v>
      </c>
      <c r="R355" s="39">
        <v>45051</v>
      </c>
      <c r="S355" s="37">
        <v>4.1776999999999997</v>
      </c>
      <c r="U355" s="39">
        <v>45051</v>
      </c>
      <c r="V355" s="37">
        <v>5.25</v>
      </c>
    </row>
    <row r="356" spans="6:22" x14ac:dyDescent="0.2">
      <c r="F356" s="39">
        <v>45055</v>
      </c>
      <c r="G356" s="37">
        <v>3.85</v>
      </c>
      <c r="I356" s="39">
        <v>45058</v>
      </c>
      <c r="J356" s="37">
        <v>3.1480000000000001</v>
      </c>
      <c r="O356" s="39">
        <v>44253</v>
      </c>
      <c r="P356" s="37">
        <v>0.01</v>
      </c>
      <c r="R356" s="39">
        <v>45050</v>
      </c>
      <c r="S356" s="37">
        <v>4.1779000000000002</v>
      </c>
      <c r="U356" s="39">
        <v>45050</v>
      </c>
      <c r="V356" s="37">
        <v>5.25</v>
      </c>
    </row>
    <row r="357" spans="6:22" x14ac:dyDescent="0.2">
      <c r="F357" s="39">
        <v>45054</v>
      </c>
      <c r="G357" s="37">
        <v>3.85</v>
      </c>
      <c r="I357" s="39">
        <v>45057</v>
      </c>
      <c r="J357" s="37">
        <v>3.145</v>
      </c>
      <c r="O357" s="39">
        <v>44256</v>
      </c>
      <c r="P357" s="37">
        <v>0.02</v>
      </c>
      <c r="R357" s="39">
        <v>45049</v>
      </c>
      <c r="S357" s="37">
        <v>4.1778000000000004</v>
      </c>
      <c r="U357" s="39">
        <v>45049</v>
      </c>
      <c r="V357" s="37">
        <v>5.25</v>
      </c>
    </row>
    <row r="358" spans="6:22" x14ac:dyDescent="0.2">
      <c r="F358" s="39">
        <v>45051</v>
      </c>
      <c r="G358" s="37">
        <v>3.85</v>
      </c>
      <c r="I358" s="39">
        <v>45056</v>
      </c>
      <c r="J358" s="37">
        <v>3.145</v>
      </c>
      <c r="O358" s="39">
        <v>44257</v>
      </c>
      <c r="P358" s="37">
        <v>0.04</v>
      </c>
      <c r="R358" s="39">
        <v>45048</v>
      </c>
      <c r="S358" s="37">
        <v>4.1791999999999998</v>
      </c>
      <c r="U358" s="39">
        <v>45048</v>
      </c>
      <c r="V358" s="37">
        <v>5.25</v>
      </c>
    </row>
    <row r="359" spans="6:22" x14ac:dyDescent="0.2">
      <c r="F359" s="39">
        <v>45050</v>
      </c>
      <c r="G359" s="37">
        <v>3.85</v>
      </c>
      <c r="I359" s="39">
        <v>45055</v>
      </c>
      <c r="J359" s="37">
        <v>2.8940000000000001</v>
      </c>
      <c r="O359" s="39">
        <v>44258</v>
      </c>
      <c r="P359" s="37">
        <v>0.04</v>
      </c>
      <c r="R359" s="39">
        <v>45044</v>
      </c>
      <c r="S359" s="37">
        <v>4.1791999999999998</v>
      </c>
      <c r="U359" s="39">
        <v>45047</v>
      </c>
      <c r="V359" s="37">
        <v>5.25</v>
      </c>
    </row>
    <row r="360" spans="6:22" x14ac:dyDescent="0.2">
      <c r="F360" s="39">
        <v>45049</v>
      </c>
      <c r="G360" s="37">
        <v>3.85</v>
      </c>
      <c r="I360" s="39">
        <v>45054</v>
      </c>
      <c r="J360" s="37">
        <v>2.8919999999999999</v>
      </c>
      <c r="O360" s="39">
        <v>44259</v>
      </c>
      <c r="P360" s="37">
        <v>0.02</v>
      </c>
      <c r="R360" s="39">
        <v>45043</v>
      </c>
      <c r="S360" s="37">
        <v>4.1787000000000001</v>
      </c>
      <c r="U360" s="39">
        <v>45044</v>
      </c>
      <c r="V360" s="37">
        <v>5.25</v>
      </c>
    </row>
    <row r="361" spans="6:22" x14ac:dyDescent="0.2">
      <c r="F361" s="39">
        <v>45048</v>
      </c>
      <c r="G361" s="37">
        <v>3.6</v>
      </c>
      <c r="I361" s="39">
        <v>45051</v>
      </c>
      <c r="J361" s="37">
        <v>2.8980000000000001</v>
      </c>
      <c r="O361" s="39">
        <v>44260</v>
      </c>
      <c r="P361" s="37">
        <v>0.02</v>
      </c>
      <c r="R361" s="39">
        <v>45042</v>
      </c>
      <c r="S361" s="37">
        <v>4.1783999999999999</v>
      </c>
      <c r="U361" s="39">
        <v>45043</v>
      </c>
      <c r="V361" s="37">
        <v>5.25</v>
      </c>
    </row>
    <row r="362" spans="6:22" x14ac:dyDescent="0.2">
      <c r="F362" s="39">
        <v>45047</v>
      </c>
      <c r="G362" s="37">
        <v>3.6</v>
      </c>
      <c r="I362" s="39">
        <v>45050</v>
      </c>
      <c r="J362" s="37">
        <v>2.8969999999999998</v>
      </c>
      <c r="O362" s="39">
        <v>44263</v>
      </c>
      <c r="P362" s="37">
        <v>0.02</v>
      </c>
      <c r="R362" s="39">
        <v>45041</v>
      </c>
      <c r="S362" s="37">
        <v>4.1773999999999996</v>
      </c>
      <c r="U362" s="39">
        <v>45042</v>
      </c>
      <c r="V362" s="37">
        <v>5.25</v>
      </c>
    </row>
    <row r="363" spans="6:22" x14ac:dyDescent="0.2">
      <c r="F363" s="39">
        <v>45044</v>
      </c>
      <c r="G363" s="37">
        <v>3.6</v>
      </c>
      <c r="I363" s="39">
        <v>45049</v>
      </c>
      <c r="J363" s="37">
        <v>2.8959999999999999</v>
      </c>
      <c r="O363" s="39">
        <v>44264</v>
      </c>
      <c r="P363" s="37">
        <v>0.02</v>
      </c>
      <c r="R363" s="39">
        <v>45040</v>
      </c>
      <c r="S363" s="37">
        <v>4.1772999999999998</v>
      </c>
      <c r="U363" s="39">
        <v>45040</v>
      </c>
      <c r="V363" s="37">
        <v>5.25</v>
      </c>
    </row>
    <row r="364" spans="6:22" x14ac:dyDescent="0.2">
      <c r="F364" s="39">
        <v>45043</v>
      </c>
      <c r="G364" s="37">
        <v>3.6</v>
      </c>
      <c r="I364" s="39">
        <v>45048</v>
      </c>
      <c r="J364" s="37">
        <v>2.8959999999999999</v>
      </c>
      <c r="O364" s="39">
        <v>44265</v>
      </c>
      <c r="P364" s="37">
        <v>0.02</v>
      </c>
      <c r="R364" s="39">
        <v>45037</v>
      </c>
      <c r="S364" s="37">
        <v>4.1773999999999996</v>
      </c>
      <c r="U364" s="39">
        <v>45037</v>
      </c>
      <c r="V364" s="37">
        <v>5.25</v>
      </c>
    </row>
    <row r="365" spans="6:22" x14ac:dyDescent="0.2">
      <c r="F365" s="39">
        <v>45042</v>
      </c>
      <c r="G365" s="37">
        <v>3.6</v>
      </c>
      <c r="I365" s="39">
        <v>45044</v>
      </c>
      <c r="J365" s="37">
        <v>2.8940000000000001</v>
      </c>
      <c r="O365" s="39">
        <v>44266</v>
      </c>
      <c r="P365" s="37">
        <v>0.01</v>
      </c>
      <c r="R365" s="39">
        <v>45036</v>
      </c>
      <c r="S365" s="37">
        <v>4.1775000000000002</v>
      </c>
      <c r="U365" s="39">
        <v>45036</v>
      </c>
      <c r="V365" s="37">
        <v>5.25</v>
      </c>
    </row>
    <row r="366" spans="6:22" x14ac:dyDescent="0.2">
      <c r="F366" s="39">
        <v>45040</v>
      </c>
      <c r="G366" s="37">
        <v>3.6</v>
      </c>
      <c r="I366" s="39">
        <v>45043</v>
      </c>
      <c r="J366" s="37">
        <v>2.9</v>
      </c>
      <c r="O366" s="39">
        <v>44267</v>
      </c>
      <c r="P366" s="37">
        <v>0.01</v>
      </c>
      <c r="R366" s="39">
        <v>45035</v>
      </c>
      <c r="S366" s="37">
        <v>4.1773999999999996</v>
      </c>
      <c r="U366" s="39">
        <v>45035</v>
      </c>
      <c r="V366" s="37">
        <v>5.25</v>
      </c>
    </row>
    <row r="367" spans="6:22" x14ac:dyDescent="0.2">
      <c r="F367" s="39">
        <v>45037</v>
      </c>
      <c r="G367" s="37">
        <v>3.6</v>
      </c>
      <c r="I367" s="39">
        <v>45042</v>
      </c>
      <c r="J367" s="37">
        <v>2.9</v>
      </c>
      <c r="O367" s="39">
        <v>44270</v>
      </c>
      <c r="P367" s="37">
        <v>0.01</v>
      </c>
      <c r="R367" s="39">
        <v>45034</v>
      </c>
      <c r="S367" s="37">
        <v>4.1773999999999996</v>
      </c>
      <c r="U367" s="39">
        <v>45034</v>
      </c>
      <c r="V367" s="37">
        <v>5.25</v>
      </c>
    </row>
    <row r="368" spans="6:22" x14ac:dyDescent="0.2">
      <c r="F368" s="39">
        <v>45036</v>
      </c>
      <c r="G368" s="37">
        <v>3.6</v>
      </c>
      <c r="I368" s="39">
        <v>45041</v>
      </c>
      <c r="J368" s="37">
        <v>2.9009999999999998</v>
      </c>
      <c r="O368" s="39">
        <v>44271</v>
      </c>
      <c r="P368" s="37">
        <v>0.01</v>
      </c>
      <c r="R368" s="39">
        <v>45033</v>
      </c>
      <c r="S368" s="37">
        <v>4.1771000000000003</v>
      </c>
      <c r="U368" s="39">
        <v>45033</v>
      </c>
      <c r="V368" s="37">
        <v>5.25</v>
      </c>
    </row>
    <row r="369" spans="6:22" x14ac:dyDescent="0.2">
      <c r="F369" s="39">
        <v>45035</v>
      </c>
      <c r="G369" s="37">
        <v>3.6</v>
      </c>
      <c r="I369" s="39">
        <v>45040</v>
      </c>
      <c r="J369" s="37">
        <v>2.9049999999999998</v>
      </c>
      <c r="O369" s="39">
        <v>44272</v>
      </c>
      <c r="P369" s="37">
        <v>0.01</v>
      </c>
      <c r="R369" s="39">
        <v>45030</v>
      </c>
      <c r="S369" s="37">
        <v>4.1768999999999998</v>
      </c>
      <c r="U369" s="39">
        <v>45030</v>
      </c>
      <c r="V369" s="37">
        <v>5.25</v>
      </c>
    </row>
    <row r="370" spans="6:22" x14ac:dyDescent="0.2">
      <c r="F370" s="39">
        <v>45034</v>
      </c>
      <c r="G370" s="37">
        <v>3.6</v>
      </c>
      <c r="I370" s="39">
        <v>45037</v>
      </c>
      <c r="J370" s="37">
        <v>2.9020000000000001</v>
      </c>
      <c r="O370" s="39">
        <v>44273</v>
      </c>
      <c r="P370" s="37">
        <v>0.01</v>
      </c>
      <c r="R370" s="39">
        <v>45029</v>
      </c>
      <c r="S370" s="37">
        <v>4.1768999999999998</v>
      </c>
      <c r="U370" s="39">
        <v>45029</v>
      </c>
      <c r="V370" s="37">
        <v>5.25</v>
      </c>
    </row>
    <row r="371" spans="6:22" x14ac:dyDescent="0.2">
      <c r="F371" s="39">
        <v>45033</v>
      </c>
      <c r="G371" s="37">
        <v>3.6</v>
      </c>
      <c r="I371" s="39">
        <v>45036</v>
      </c>
      <c r="J371" s="37">
        <v>2.9039999999999999</v>
      </c>
      <c r="O371" s="39">
        <v>44274</v>
      </c>
      <c r="P371" s="37">
        <v>0.01</v>
      </c>
      <c r="R371" s="39">
        <v>45028</v>
      </c>
      <c r="S371" s="37">
        <v>4.1767000000000003</v>
      </c>
      <c r="U371" s="39">
        <v>45028</v>
      </c>
      <c r="V371" s="37">
        <v>5.25</v>
      </c>
    </row>
    <row r="372" spans="6:22" x14ac:dyDescent="0.2">
      <c r="F372" s="39">
        <v>45030</v>
      </c>
      <c r="G372" s="37">
        <v>3.6</v>
      </c>
      <c r="I372" s="39">
        <v>45035</v>
      </c>
      <c r="J372" s="37">
        <v>2.9020000000000001</v>
      </c>
      <c r="O372" s="39">
        <v>44277</v>
      </c>
      <c r="P372" s="37">
        <v>0.01</v>
      </c>
      <c r="R372" s="39">
        <v>45027</v>
      </c>
      <c r="S372" s="37">
        <v>4.1767000000000003</v>
      </c>
      <c r="U372" s="39">
        <v>45027</v>
      </c>
      <c r="V372" s="37">
        <v>5.25</v>
      </c>
    </row>
    <row r="373" spans="6:22" x14ac:dyDescent="0.2">
      <c r="F373" s="39">
        <v>45029</v>
      </c>
      <c r="G373" s="37">
        <v>3.6</v>
      </c>
      <c r="I373" s="39">
        <v>45034</v>
      </c>
      <c r="J373" s="37">
        <v>2.9009999999999998</v>
      </c>
      <c r="O373" s="39">
        <v>44278</v>
      </c>
      <c r="P373" s="37">
        <v>0.01</v>
      </c>
      <c r="R373" s="39">
        <v>45022</v>
      </c>
      <c r="S373" s="37">
        <v>4.1769999999999996</v>
      </c>
      <c r="U373" s="39">
        <v>45022</v>
      </c>
      <c r="V373" s="37">
        <v>5.25</v>
      </c>
    </row>
    <row r="374" spans="6:22" x14ac:dyDescent="0.2">
      <c r="F374" s="39">
        <v>45028</v>
      </c>
      <c r="G374" s="37">
        <v>3.6</v>
      </c>
      <c r="I374" s="39">
        <v>45033</v>
      </c>
      <c r="J374" s="37">
        <v>2.8969999999999998</v>
      </c>
      <c r="O374" s="39">
        <v>44279</v>
      </c>
      <c r="P374" s="37">
        <v>0.01</v>
      </c>
      <c r="R374" s="39">
        <v>45021</v>
      </c>
      <c r="S374" s="37">
        <v>4.1768999999999998</v>
      </c>
      <c r="U374" s="39">
        <v>45021</v>
      </c>
      <c r="V374" s="37">
        <v>4.75</v>
      </c>
    </row>
    <row r="375" spans="6:22" x14ac:dyDescent="0.2">
      <c r="F375" s="39">
        <v>45027</v>
      </c>
      <c r="G375" s="37">
        <v>3.6</v>
      </c>
      <c r="I375" s="39">
        <v>45030</v>
      </c>
      <c r="J375" s="37">
        <v>2.8959999999999999</v>
      </c>
      <c r="O375" s="39">
        <v>44280</v>
      </c>
      <c r="P375" s="37">
        <v>0.01</v>
      </c>
      <c r="R375" s="39">
        <v>45020</v>
      </c>
      <c r="S375" s="37">
        <v>4.1767000000000003</v>
      </c>
      <c r="U375" s="39">
        <v>45020</v>
      </c>
      <c r="V375" s="37">
        <v>4.75</v>
      </c>
    </row>
    <row r="376" spans="6:22" x14ac:dyDescent="0.2">
      <c r="F376" s="39">
        <v>45022</v>
      </c>
      <c r="G376" s="37">
        <v>3.6</v>
      </c>
      <c r="I376" s="39">
        <v>45029</v>
      </c>
      <c r="J376" s="37">
        <v>2.899</v>
      </c>
      <c r="O376" s="39">
        <v>44281</v>
      </c>
      <c r="P376" s="37">
        <v>0.01</v>
      </c>
      <c r="R376" s="39">
        <v>45019</v>
      </c>
      <c r="S376" s="37">
        <v>4.1768999999999998</v>
      </c>
      <c r="U376" s="39">
        <v>45019</v>
      </c>
      <c r="V376" s="37">
        <v>4.75</v>
      </c>
    </row>
    <row r="377" spans="6:22" x14ac:dyDescent="0.2">
      <c r="F377" s="39">
        <v>45021</v>
      </c>
      <c r="G377" s="37">
        <v>3.6</v>
      </c>
      <c r="I377" s="39">
        <v>45028</v>
      </c>
      <c r="J377" s="37">
        <v>2.8980000000000001</v>
      </c>
      <c r="O377" s="39">
        <v>44284</v>
      </c>
      <c r="P377" s="37">
        <v>0.01</v>
      </c>
      <c r="R377" s="39">
        <v>45016</v>
      </c>
      <c r="S377" s="37">
        <v>4.1776999999999997</v>
      </c>
      <c r="U377" s="39">
        <v>45016</v>
      </c>
      <c r="V377" s="37">
        <v>4.75</v>
      </c>
    </row>
    <row r="378" spans="6:22" x14ac:dyDescent="0.2">
      <c r="F378" s="39">
        <v>45020</v>
      </c>
      <c r="G378" s="37">
        <v>3.6</v>
      </c>
      <c r="I378" s="39">
        <v>45027</v>
      </c>
      <c r="J378" s="37">
        <v>2.8969999999999998</v>
      </c>
      <c r="O378" s="39">
        <v>44285</v>
      </c>
      <c r="P378" s="37">
        <v>0.01</v>
      </c>
      <c r="R378" s="39">
        <v>45015</v>
      </c>
      <c r="S378" s="37">
        <v>4.1768000000000001</v>
      </c>
      <c r="U378" s="39">
        <v>45015</v>
      </c>
      <c r="V378" s="37">
        <v>4.75</v>
      </c>
    </row>
    <row r="379" spans="6:22" x14ac:dyDescent="0.2">
      <c r="F379" s="39">
        <v>45019</v>
      </c>
      <c r="G379" s="37">
        <v>3.6</v>
      </c>
      <c r="I379" s="39">
        <v>45022</v>
      </c>
      <c r="J379" s="37">
        <v>2.903</v>
      </c>
      <c r="O379" s="39">
        <v>44286</v>
      </c>
      <c r="P379" s="37">
        <v>0.01</v>
      </c>
      <c r="R379" s="39">
        <v>45014</v>
      </c>
      <c r="S379" s="37">
        <v>4.1767000000000003</v>
      </c>
      <c r="U379" s="39">
        <v>45014</v>
      </c>
      <c r="V379" s="37">
        <v>4.75</v>
      </c>
    </row>
    <row r="380" spans="6:22" x14ac:dyDescent="0.2">
      <c r="F380" s="39">
        <v>45016</v>
      </c>
      <c r="G380" s="37">
        <v>3.6</v>
      </c>
      <c r="I380" s="39">
        <v>45021</v>
      </c>
      <c r="J380" s="37">
        <v>2.9020000000000001</v>
      </c>
      <c r="O380" s="39">
        <v>44287</v>
      </c>
      <c r="P380" s="37">
        <v>0.01</v>
      </c>
      <c r="R380" s="39">
        <v>45013</v>
      </c>
      <c r="S380" s="37">
        <v>4.1765999999999996</v>
      </c>
      <c r="U380" s="39">
        <v>45013</v>
      </c>
      <c r="V380" s="37">
        <v>4.75</v>
      </c>
    </row>
    <row r="381" spans="6:22" x14ac:dyDescent="0.2">
      <c r="F381" s="39">
        <v>45015</v>
      </c>
      <c r="G381" s="37">
        <v>3.6</v>
      </c>
      <c r="I381" s="39">
        <v>45020</v>
      </c>
      <c r="J381" s="37">
        <v>2.8980000000000001</v>
      </c>
      <c r="O381" s="39">
        <v>44291</v>
      </c>
      <c r="P381" s="37">
        <v>0.01</v>
      </c>
      <c r="R381" s="39">
        <v>45012</v>
      </c>
      <c r="S381" s="37">
        <v>4.1764999999999999</v>
      </c>
      <c r="U381" s="39">
        <v>45012</v>
      </c>
      <c r="V381" s="37">
        <v>4.75</v>
      </c>
    </row>
    <row r="382" spans="6:22" x14ac:dyDescent="0.2">
      <c r="F382" s="39">
        <v>45014</v>
      </c>
      <c r="G382" s="37">
        <v>3.6</v>
      </c>
      <c r="I382" s="39">
        <v>45019</v>
      </c>
      <c r="J382" s="37">
        <v>2.8980000000000001</v>
      </c>
      <c r="O382" s="39">
        <v>44292</v>
      </c>
      <c r="P382" s="37">
        <v>0.01</v>
      </c>
      <c r="R382" s="39">
        <v>45009</v>
      </c>
      <c r="S382" s="37">
        <v>4.1764999999999999</v>
      </c>
      <c r="U382" s="39">
        <v>45009</v>
      </c>
      <c r="V382" s="37">
        <v>4.75</v>
      </c>
    </row>
    <row r="383" spans="6:22" x14ac:dyDescent="0.2">
      <c r="F383" s="39">
        <v>45013</v>
      </c>
      <c r="G383" s="37">
        <v>3.6</v>
      </c>
      <c r="I383" s="39">
        <v>45016</v>
      </c>
      <c r="J383" s="37">
        <v>2.8839999999999999</v>
      </c>
      <c r="O383" s="39">
        <v>44293</v>
      </c>
      <c r="P383" s="37">
        <v>0.01</v>
      </c>
      <c r="R383" s="39">
        <v>45008</v>
      </c>
      <c r="S383" s="37">
        <v>4.1759000000000004</v>
      </c>
      <c r="U383" s="39">
        <v>45008</v>
      </c>
      <c r="V383" s="37">
        <v>4.75</v>
      </c>
    </row>
    <row r="384" spans="6:22" x14ac:dyDescent="0.2">
      <c r="F384" s="39">
        <v>45012</v>
      </c>
      <c r="G384" s="37">
        <v>3.6</v>
      </c>
      <c r="I384" s="39">
        <v>45015</v>
      </c>
      <c r="J384" s="37">
        <v>2.8959999999999999</v>
      </c>
      <c r="O384" s="39">
        <v>44294</v>
      </c>
      <c r="P384" s="37">
        <v>0.01</v>
      </c>
      <c r="R384" s="39">
        <v>45007</v>
      </c>
      <c r="S384" s="37">
        <v>3.927</v>
      </c>
      <c r="U384" s="39">
        <v>45007</v>
      </c>
      <c r="V384" s="37">
        <v>4.75</v>
      </c>
    </row>
    <row r="385" spans="6:22" x14ac:dyDescent="0.2">
      <c r="F385" s="39">
        <v>45009</v>
      </c>
      <c r="G385" s="37">
        <v>3.6</v>
      </c>
      <c r="I385" s="39">
        <v>45014</v>
      </c>
      <c r="J385" s="37">
        <v>2.8940000000000001</v>
      </c>
      <c r="O385" s="39">
        <v>44295</v>
      </c>
      <c r="P385" s="37">
        <v>0.01</v>
      </c>
      <c r="R385" s="39">
        <v>45006</v>
      </c>
      <c r="S385" s="37">
        <v>3.9268999999999998</v>
      </c>
      <c r="U385" s="39">
        <v>45006</v>
      </c>
      <c r="V385" s="37">
        <v>4.75</v>
      </c>
    </row>
    <row r="386" spans="6:22" x14ac:dyDescent="0.2">
      <c r="F386" s="39">
        <v>45008</v>
      </c>
      <c r="G386" s="37">
        <v>3.6</v>
      </c>
      <c r="I386" s="39">
        <v>45013</v>
      </c>
      <c r="J386" s="37">
        <v>2.8940000000000001</v>
      </c>
      <c r="O386" s="39">
        <v>44298</v>
      </c>
      <c r="P386" s="37">
        <v>0.01</v>
      </c>
      <c r="R386" s="39">
        <v>45005</v>
      </c>
      <c r="S386" s="37">
        <v>3.9268000000000001</v>
      </c>
      <c r="U386" s="39">
        <v>45005</v>
      </c>
      <c r="V386" s="37">
        <v>4.75</v>
      </c>
    </row>
    <row r="387" spans="6:22" x14ac:dyDescent="0.2">
      <c r="F387" s="39">
        <v>45007</v>
      </c>
      <c r="G387" s="37">
        <v>3.6</v>
      </c>
      <c r="I387" s="39">
        <v>45012</v>
      </c>
      <c r="J387" s="37">
        <v>2.8980000000000001</v>
      </c>
      <c r="O387" s="39">
        <v>44299</v>
      </c>
      <c r="P387" s="37">
        <v>0.01</v>
      </c>
      <c r="R387" s="39">
        <v>45002</v>
      </c>
      <c r="S387" s="37">
        <v>3.9268000000000001</v>
      </c>
      <c r="U387" s="39">
        <v>45002</v>
      </c>
      <c r="V387" s="37">
        <v>4.75</v>
      </c>
    </row>
    <row r="388" spans="6:22" x14ac:dyDescent="0.2">
      <c r="F388" s="39">
        <v>45006</v>
      </c>
      <c r="G388" s="37">
        <v>3.6</v>
      </c>
      <c r="I388" s="39">
        <v>45009</v>
      </c>
      <c r="J388" s="37">
        <v>2.899</v>
      </c>
      <c r="O388" s="39">
        <v>44300</v>
      </c>
      <c r="P388" s="37">
        <v>0.01</v>
      </c>
      <c r="R388" s="39">
        <v>45001</v>
      </c>
      <c r="S388" s="37">
        <v>3.9272</v>
      </c>
      <c r="U388" s="39">
        <v>45001</v>
      </c>
      <c r="V388" s="37">
        <v>4.75</v>
      </c>
    </row>
    <row r="389" spans="6:22" x14ac:dyDescent="0.2">
      <c r="F389" s="39">
        <v>45005</v>
      </c>
      <c r="G389" s="37">
        <v>3.6</v>
      </c>
      <c r="I389" s="39">
        <v>45008</v>
      </c>
      <c r="J389" s="37">
        <v>2.899</v>
      </c>
      <c r="O389" s="39">
        <v>44301</v>
      </c>
      <c r="P389" s="37">
        <v>0.01</v>
      </c>
      <c r="R389" s="39">
        <v>45000</v>
      </c>
      <c r="S389" s="37">
        <v>3.9272</v>
      </c>
      <c r="U389" s="39">
        <v>45000</v>
      </c>
      <c r="V389" s="37">
        <v>4.75</v>
      </c>
    </row>
    <row r="390" spans="6:22" x14ac:dyDescent="0.2">
      <c r="F390" s="39">
        <v>45002</v>
      </c>
      <c r="G390" s="37">
        <v>3.6</v>
      </c>
      <c r="I390" s="39">
        <v>45007</v>
      </c>
      <c r="J390" s="37">
        <v>2.8980000000000001</v>
      </c>
      <c r="O390" s="39">
        <v>44302</v>
      </c>
      <c r="P390" s="37">
        <v>0.01</v>
      </c>
      <c r="R390" s="39">
        <v>44999</v>
      </c>
      <c r="S390" s="37">
        <v>3.927</v>
      </c>
      <c r="U390" s="39">
        <v>44999</v>
      </c>
      <c r="V390" s="37">
        <v>4.75</v>
      </c>
    </row>
    <row r="391" spans="6:22" x14ac:dyDescent="0.2">
      <c r="F391" s="39">
        <v>45001</v>
      </c>
      <c r="G391" s="37">
        <v>3.6</v>
      </c>
      <c r="I391" s="39">
        <v>45006</v>
      </c>
      <c r="J391" s="37">
        <v>2.399</v>
      </c>
      <c r="O391" s="39">
        <v>44305</v>
      </c>
      <c r="P391" s="37">
        <v>0.01</v>
      </c>
      <c r="R391" s="39">
        <v>44998</v>
      </c>
      <c r="S391" s="37">
        <v>3.9275000000000002</v>
      </c>
      <c r="U391" s="39">
        <v>44998</v>
      </c>
      <c r="V391" s="37">
        <v>4.75</v>
      </c>
    </row>
    <row r="392" spans="6:22" x14ac:dyDescent="0.2">
      <c r="F392" s="39">
        <v>45000</v>
      </c>
      <c r="G392" s="37">
        <v>3.6</v>
      </c>
      <c r="I392" s="39">
        <v>45005</v>
      </c>
      <c r="J392" s="37">
        <v>2.3980000000000001</v>
      </c>
      <c r="O392" s="39">
        <v>44306</v>
      </c>
      <c r="P392" s="37">
        <v>0.01</v>
      </c>
      <c r="R392" s="39">
        <v>44995</v>
      </c>
      <c r="S392" s="37">
        <v>3.9274</v>
      </c>
      <c r="U392" s="39">
        <v>44995</v>
      </c>
      <c r="V392" s="37">
        <v>4.75</v>
      </c>
    </row>
    <row r="393" spans="6:22" x14ac:dyDescent="0.2">
      <c r="F393" s="39">
        <v>44999</v>
      </c>
      <c r="G393" s="37">
        <v>3.6</v>
      </c>
      <c r="I393" s="39">
        <v>45002</v>
      </c>
      <c r="J393" s="37">
        <v>2.4020000000000001</v>
      </c>
      <c r="O393" s="39">
        <v>44307</v>
      </c>
      <c r="P393" s="37">
        <v>0.01</v>
      </c>
      <c r="R393" s="39">
        <v>44994</v>
      </c>
      <c r="S393" s="37">
        <v>3.9274</v>
      </c>
      <c r="U393" s="39">
        <v>44994</v>
      </c>
      <c r="V393" s="37">
        <v>4.75</v>
      </c>
    </row>
    <row r="394" spans="6:22" x14ac:dyDescent="0.2">
      <c r="F394" s="39">
        <v>44998</v>
      </c>
      <c r="G394" s="37">
        <v>3.6</v>
      </c>
      <c r="I394" s="39">
        <v>45001</v>
      </c>
      <c r="J394" s="37">
        <v>2.399</v>
      </c>
      <c r="O394" s="39">
        <v>44308</v>
      </c>
      <c r="P394" s="37">
        <v>0.01</v>
      </c>
      <c r="R394" s="39">
        <v>44993</v>
      </c>
      <c r="S394" s="37">
        <v>3.9272999999999998</v>
      </c>
      <c r="U394" s="39">
        <v>44993</v>
      </c>
      <c r="V394" s="37">
        <v>4.75</v>
      </c>
    </row>
    <row r="395" spans="6:22" x14ac:dyDescent="0.2">
      <c r="F395" s="39">
        <v>44995</v>
      </c>
      <c r="G395" s="37">
        <v>3.6</v>
      </c>
      <c r="I395" s="39">
        <v>45000</v>
      </c>
      <c r="J395" s="37">
        <v>2.4</v>
      </c>
      <c r="O395" s="39">
        <v>44309</v>
      </c>
      <c r="P395" s="37">
        <v>0.01</v>
      </c>
      <c r="R395" s="39">
        <v>44992</v>
      </c>
      <c r="S395" s="37">
        <v>3.9275000000000002</v>
      </c>
      <c r="U395" s="39">
        <v>44992</v>
      </c>
      <c r="V395" s="37">
        <v>4.75</v>
      </c>
    </row>
    <row r="396" spans="6:22" x14ac:dyDescent="0.2">
      <c r="F396" s="39">
        <v>44994</v>
      </c>
      <c r="G396" s="37">
        <v>3.6</v>
      </c>
      <c r="I396" s="39">
        <v>44999</v>
      </c>
      <c r="J396" s="37">
        <v>2.4009999999999998</v>
      </c>
      <c r="O396" s="39">
        <v>44312</v>
      </c>
      <c r="P396" s="37">
        <v>0.01</v>
      </c>
      <c r="R396" s="39">
        <v>44991</v>
      </c>
      <c r="S396" s="37">
        <v>3.9272999999999998</v>
      </c>
      <c r="U396" s="39">
        <v>44991</v>
      </c>
      <c r="V396" s="37">
        <v>4.75</v>
      </c>
    </row>
    <row r="397" spans="6:22" x14ac:dyDescent="0.2">
      <c r="F397" s="39">
        <v>44993</v>
      </c>
      <c r="G397" s="37">
        <v>3.6</v>
      </c>
      <c r="I397" s="39">
        <v>44998</v>
      </c>
      <c r="J397" s="37">
        <v>2.4009999999999998</v>
      </c>
      <c r="O397" s="39">
        <v>44313</v>
      </c>
      <c r="P397" s="37">
        <v>0.01</v>
      </c>
      <c r="R397" s="39">
        <v>44988</v>
      </c>
      <c r="S397" s="37">
        <v>3.9272</v>
      </c>
      <c r="U397" s="39">
        <v>44988</v>
      </c>
      <c r="V397" s="37">
        <v>4.75</v>
      </c>
    </row>
    <row r="398" spans="6:22" x14ac:dyDescent="0.2">
      <c r="F398" s="39">
        <v>44992</v>
      </c>
      <c r="G398" s="37">
        <v>3.35</v>
      </c>
      <c r="I398" s="39">
        <v>44995</v>
      </c>
      <c r="J398" s="37">
        <v>2.403</v>
      </c>
      <c r="O398" s="39">
        <v>44314</v>
      </c>
      <c r="P398" s="37">
        <v>0.01</v>
      </c>
      <c r="R398" s="39">
        <v>44987</v>
      </c>
      <c r="S398" s="37">
        <v>3.9272999999999998</v>
      </c>
      <c r="U398" s="39">
        <v>44987</v>
      </c>
      <c r="V398" s="37">
        <v>4.75</v>
      </c>
    </row>
    <row r="399" spans="6:22" x14ac:dyDescent="0.2">
      <c r="F399" s="39">
        <v>44991</v>
      </c>
      <c r="G399" s="37">
        <v>3.35</v>
      </c>
      <c r="I399" s="39">
        <v>44994</v>
      </c>
      <c r="J399" s="37">
        <v>2.4009999999999998</v>
      </c>
      <c r="O399" s="39">
        <v>44315</v>
      </c>
      <c r="P399" s="37">
        <v>0.01</v>
      </c>
      <c r="R399" s="39">
        <v>44986</v>
      </c>
      <c r="S399" s="37">
        <v>3.927</v>
      </c>
      <c r="U399" s="39">
        <v>44986</v>
      </c>
      <c r="V399" s="37">
        <v>4.75</v>
      </c>
    </row>
    <row r="400" spans="6:22" x14ac:dyDescent="0.2">
      <c r="F400" s="39">
        <v>44988</v>
      </c>
      <c r="G400" s="37">
        <v>3.35</v>
      </c>
      <c r="I400" s="39">
        <v>44993</v>
      </c>
      <c r="J400" s="37">
        <v>2.399</v>
      </c>
      <c r="O400" s="39">
        <v>44316</v>
      </c>
      <c r="P400" s="37">
        <v>0.01</v>
      </c>
      <c r="R400" s="39">
        <v>44985</v>
      </c>
      <c r="S400" s="37">
        <v>3.927</v>
      </c>
      <c r="U400" s="39">
        <v>44985</v>
      </c>
      <c r="V400" s="37">
        <v>4.75</v>
      </c>
    </row>
    <row r="401" spans="6:22" x14ac:dyDescent="0.2">
      <c r="F401" s="39">
        <v>44987</v>
      </c>
      <c r="G401" s="37">
        <v>3.35</v>
      </c>
      <c r="I401" s="39">
        <v>44992</v>
      </c>
      <c r="J401" s="37">
        <v>2.3980000000000001</v>
      </c>
      <c r="O401" s="39">
        <v>44319</v>
      </c>
      <c r="P401" s="37">
        <v>0.01</v>
      </c>
      <c r="R401" s="39">
        <v>44984</v>
      </c>
      <c r="S401" s="37">
        <v>3.927</v>
      </c>
      <c r="U401" s="39">
        <v>44984</v>
      </c>
      <c r="V401" s="37">
        <v>4.75</v>
      </c>
    </row>
    <row r="402" spans="6:22" x14ac:dyDescent="0.2">
      <c r="F402" s="39">
        <v>44986</v>
      </c>
      <c r="G402" s="37">
        <v>3.35</v>
      </c>
      <c r="I402" s="39">
        <v>44991</v>
      </c>
      <c r="J402" s="37">
        <v>2.399</v>
      </c>
      <c r="O402" s="39">
        <v>44320</v>
      </c>
      <c r="P402" s="37">
        <v>0.01</v>
      </c>
      <c r="R402" s="39">
        <v>44981</v>
      </c>
      <c r="S402" s="37">
        <v>3.9274</v>
      </c>
      <c r="U402" s="39">
        <v>44981</v>
      </c>
      <c r="V402" s="37">
        <v>4.75</v>
      </c>
    </row>
    <row r="403" spans="6:22" x14ac:dyDescent="0.2">
      <c r="F403" s="39">
        <v>44985</v>
      </c>
      <c r="G403" s="37">
        <v>3.35</v>
      </c>
      <c r="I403" s="39">
        <v>44988</v>
      </c>
      <c r="J403" s="37">
        <v>2.4</v>
      </c>
      <c r="O403" s="39">
        <v>44321</v>
      </c>
      <c r="P403" s="37">
        <v>0.01</v>
      </c>
      <c r="R403" s="39">
        <v>44980</v>
      </c>
      <c r="S403" s="37">
        <v>3.927</v>
      </c>
      <c r="U403" s="39">
        <v>44980</v>
      </c>
      <c r="V403" s="37">
        <v>4.75</v>
      </c>
    </row>
    <row r="404" spans="6:22" x14ac:dyDescent="0.2">
      <c r="F404" s="39">
        <v>44984</v>
      </c>
      <c r="G404" s="37">
        <v>3.35</v>
      </c>
      <c r="I404" s="39">
        <v>44987</v>
      </c>
      <c r="J404" s="37">
        <v>2.399</v>
      </c>
      <c r="O404" s="39">
        <v>44322</v>
      </c>
      <c r="P404" s="37">
        <v>0.01</v>
      </c>
      <c r="R404" s="39">
        <v>44979</v>
      </c>
      <c r="S404" s="37">
        <v>3.927</v>
      </c>
      <c r="U404" s="39">
        <v>44979</v>
      </c>
      <c r="V404" s="37">
        <v>4.25</v>
      </c>
    </row>
    <row r="405" spans="6:22" x14ac:dyDescent="0.2">
      <c r="F405" s="39">
        <v>44981</v>
      </c>
      <c r="G405" s="37">
        <v>3.35</v>
      </c>
      <c r="I405" s="39">
        <v>44986</v>
      </c>
      <c r="J405" s="37">
        <v>2.3980000000000001</v>
      </c>
      <c r="O405" s="39">
        <v>44323</v>
      </c>
      <c r="P405" s="37">
        <v>0.01</v>
      </c>
      <c r="R405" s="39">
        <v>44978</v>
      </c>
      <c r="S405" s="37">
        <v>3.9272</v>
      </c>
      <c r="U405" s="39">
        <v>44978</v>
      </c>
      <c r="V405" s="37">
        <v>4.25</v>
      </c>
    </row>
    <row r="406" spans="6:22" x14ac:dyDescent="0.2">
      <c r="F406" s="39">
        <v>44980</v>
      </c>
      <c r="G406" s="37">
        <v>3.35</v>
      </c>
      <c r="I406" s="39">
        <v>44985</v>
      </c>
      <c r="J406" s="37">
        <v>2.3879999999999999</v>
      </c>
      <c r="O406" s="39">
        <v>44326</v>
      </c>
      <c r="P406" s="37">
        <v>0.01</v>
      </c>
      <c r="R406" s="39">
        <v>44977</v>
      </c>
      <c r="S406" s="37">
        <v>3.9275000000000002</v>
      </c>
      <c r="U406" s="39">
        <v>44977</v>
      </c>
      <c r="V406" s="37">
        <v>4.25</v>
      </c>
    </row>
    <row r="407" spans="6:22" x14ac:dyDescent="0.2">
      <c r="F407" s="39">
        <v>44979</v>
      </c>
      <c r="G407" s="37">
        <v>3.35</v>
      </c>
      <c r="I407" s="39">
        <v>44984</v>
      </c>
      <c r="J407" s="37">
        <v>2.3980000000000001</v>
      </c>
      <c r="O407" s="39">
        <v>44327</v>
      </c>
      <c r="P407" s="37">
        <v>0.01</v>
      </c>
      <c r="R407" s="39">
        <v>44974</v>
      </c>
      <c r="S407" s="37">
        <v>3.9270999999999998</v>
      </c>
      <c r="U407" s="39">
        <v>44974</v>
      </c>
      <c r="V407" s="37">
        <v>4.25</v>
      </c>
    </row>
    <row r="408" spans="6:22" x14ac:dyDescent="0.2">
      <c r="F408" s="39">
        <v>44978</v>
      </c>
      <c r="G408" s="37">
        <v>3.35</v>
      </c>
      <c r="I408" s="39">
        <v>44981</v>
      </c>
      <c r="J408" s="37">
        <v>2.3980000000000001</v>
      </c>
      <c r="O408" s="39">
        <v>44328</v>
      </c>
      <c r="P408" s="37">
        <v>0.01</v>
      </c>
      <c r="R408" s="39">
        <v>44973</v>
      </c>
      <c r="S408" s="37">
        <v>3.9272999999999998</v>
      </c>
      <c r="U408" s="39">
        <v>44973</v>
      </c>
      <c r="V408" s="37">
        <v>4.25</v>
      </c>
    </row>
    <row r="409" spans="6:22" x14ac:dyDescent="0.2">
      <c r="F409" s="39">
        <v>44977</v>
      </c>
      <c r="G409" s="37">
        <v>3.35</v>
      </c>
      <c r="I409" s="39">
        <v>44980</v>
      </c>
      <c r="J409" s="37">
        <v>2.399</v>
      </c>
      <c r="O409" s="39">
        <v>44329</v>
      </c>
      <c r="P409" s="37">
        <v>0.01</v>
      </c>
      <c r="R409" s="39">
        <v>44972</v>
      </c>
      <c r="S409" s="37">
        <v>3.9272999999999998</v>
      </c>
      <c r="U409" s="39">
        <v>44972</v>
      </c>
      <c r="V409" s="37">
        <v>4.25</v>
      </c>
    </row>
    <row r="410" spans="6:22" x14ac:dyDescent="0.2">
      <c r="F410" s="39">
        <v>44974</v>
      </c>
      <c r="G410" s="37">
        <v>3.35</v>
      </c>
      <c r="I410" s="39">
        <v>44979</v>
      </c>
      <c r="J410" s="37">
        <v>2.399</v>
      </c>
      <c r="O410" s="39">
        <v>44330</v>
      </c>
      <c r="P410" s="37">
        <v>0.01</v>
      </c>
      <c r="R410" s="39">
        <v>44971</v>
      </c>
      <c r="S410" s="37">
        <v>3.9272</v>
      </c>
      <c r="U410" s="39">
        <v>44971</v>
      </c>
      <c r="V410" s="37">
        <v>4.25</v>
      </c>
    </row>
    <row r="411" spans="6:22" x14ac:dyDescent="0.2">
      <c r="F411" s="39">
        <v>44973</v>
      </c>
      <c r="G411" s="37">
        <v>3.35</v>
      </c>
      <c r="I411" s="39">
        <v>44978</v>
      </c>
      <c r="J411" s="37">
        <v>2.3980000000000001</v>
      </c>
      <c r="O411" s="39">
        <v>44333</v>
      </c>
      <c r="P411" s="37">
        <v>0.01</v>
      </c>
      <c r="R411" s="39">
        <v>44970</v>
      </c>
      <c r="S411" s="37">
        <v>3.9270999999999998</v>
      </c>
      <c r="U411" s="39">
        <v>44970</v>
      </c>
      <c r="V411" s="37">
        <v>4.25</v>
      </c>
    </row>
    <row r="412" spans="6:22" x14ac:dyDescent="0.2">
      <c r="F412" s="39">
        <v>44972</v>
      </c>
      <c r="G412" s="37">
        <v>3.35</v>
      </c>
      <c r="I412" s="39">
        <v>44977</v>
      </c>
      <c r="J412" s="37">
        <v>2.4</v>
      </c>
      <c r="O412" s="39">
        <v>44334</v>
      </c>
      <c r="P412" s="37">
        <v>0.01</v>
      </c>
      <c r="R412" s="39">
        <v>44967</v>
      </c>
      <c r="S412" s="37">
        <v>3.927</v>
      </c>
      <c r="U412" s="39">
        <v>44967</v>
      </c>
      <c r="V412" s="37">
        <v>4.25</v>
      </c>
    </row>
    <row r="413" spans="6:22" x14ac:dyDescent="0.2">
      <c r="F413" s="39">
        <v>44971</v>
      </c>
      <c r="G413" s="37">
        <v>3.35</v>
      </c>
      <c r="I413" s="39">
        <v>44974</v>
      </c>
      <c r="J413" s="37">
        <v>2.3980000000000001</v>
      </c>
      <c r="O413" s="39">
        <v>44335</v>
      </c>
      <c r="P413" s="37">
        <v>0.01</v>
      </c>
      <c r="R413" s="39">
        <v>44966</v>
      </c>
      <c r="S413" s="37">
        <v>3.9266999999999999</v>
      </c>
      <c r="U413" s="39">
        <v>44966</v>
      </c>
      <c r="V413" s="37">
        <v>4.25</v>
      </c>
    </row>
    <row r="414" spans="6:22" x14ac:dyDescent="0.2">
      <c r="F414" s="39">
        <v>44970</v>
      </c>
      <c r="G414" s="37">
        <v>3.35</v>
      </c>
      <c r="I414" s="39">
        <v>44973</v>
      </c>
      <c r="J414" s="37">
        <v>2.4</v>
      </c>
      <c r="O414" s="39">
        <v>44336</v>
      </c>
      <c r="P414" s="37">
        <v>0.01</v>
      </c>
      <c r="R414" s="39">
        <v>44965</v>
      </c>
      <c r="S414" s="37">
        <v>3.9268999999999998</v>
      </c>
      <c r="U414" s="39">
        <v>44965</v>
      </c>
      <c r="V414" s="37">
        <v>4.25</v>
      </c>
    </row>
    <row r="415" spans="6:22" x14ac:dyDescent="0.2">
      <c r="F415" s="39">
        <v>44967</v>
      </c>
      <c r="G415" s="37">
        <v>3.35</v>
      </c>
      <c r="I415" s="39">
        <v>44972</v>
      </c>
      <c r="J415" s="37">
        <v>2.4049999999999998</v>
      </c>
      <c r="O415" s="39">
        <v>44337</v>
      </c>
      <c r="P415" s="37">
        <v>0.01</v>
      </c>
      <c r="R415" s="39">
        <v>44964</v>
      </c>
      <c r="S415" s="37">
        <v>3.927</v>
      </c>
      <c r="U415" s="39">
        <v>44964</v>
      </c>
      <c r="V415" s="37">
        <v>4.25</v>
      </c>
    </row>
    <row r="416" spans="6:22" x14ac:dyDescent="0.2">
      <c r="F416" s="39">
        <v>44966</v>
      </c>
      <c r="G416" s="37">
        <v>3.35</v>
      </c>
      <c r="I416" s="39">
        <v>44971</v>
      </c>
      <c r="J416" s="37">
        <v>2.4</v>
      </c>
      <c r="O416" s="39">
        <v>44340</v>
      </c>
      <c r="P416" s="37">
        <v>0.01</v>
      </c>
      <c r="R416" s="39">
        <v>44963</v>
      </c>
      <c r="S416" s="37">
        <v>3.9270999999999998</v>
      </c>
      <c r="U416" s="39">
        <v>44960</v>
      </c>
      <c r="V416" s="37">
        <v>4.25</v>
      </c>
    </row>
    <row r="417" spans="6:22" x14ac:dyDescent="0.2">
      <c r="F417" s="39">
        <v>44965</v>
      </c>
      <c r="G417" s="37">
        <v>3.35</v>
      </c>
      <c r="I417" s="39">
        <v>44970</v>
      </c>
      <c r="J417" s="37">
        <v>2.4</v>
      </c>
      <c r="O417" s="39">
        <v>44341</v>
      </c>
      <c r="P417" s="37">
        <v>0.01</v>
      </c>
      <c r="R417" s="39">
        <v>44960</v>
      </c>
      <c r="S417" s="37">
        <v>3.9272</v>
      </c>
      <c r="U417" s="39">
        <v>44959</v>
      </c>
      <c r="V417" s="37">
        <v>4.25</v>
      </c>
    </row>
    <row r="418" spans="6:22" x14ac:dyDescent="0.2">
      <c r="F418" s="39">
        <v>44964</v>
      </c>
      <c r="G418" s="37">
        <v>3.1</v>
      </c>
      <c r="I418" s="39">
        <v>44967</v>
      </c>
      <c r="J418" s="37">
        <v>2.4009999999999998</v>
      </c>
      <c r="O418" s="39">
        <v>44342</v>
      </c>
      <c r="P418" s="37">
        <v>0.01</v>
      </c>
      <c r="R418" s="39">
        <v>44959</v>
      </c>
      <c r="S418" s="37">
        <v>3.9264999999999999</v>
      </c>
      <c r="U418" s="39">
        <v>44958</v>
      </c>
      <c r="V418" s="37">
        <v>4.25</v>
      </c>
    </row>
    <row r="419" spans="6:22" x14ac:dyDescent="0.2">
      <c r="F419" s="39">
        <v>44963</v>
      </c>
      <c r="G419" s="37">
        <v>3.1</v>
      </c>
      <c r="I419" s="39">
        <v>44966</v>
      </c>
      <c r="J419" s="37">
        <v>2.4009999999999998</v>
      </c>
      <c r="O419" s="39">
        <v>44343</v>
      </c>
      <c r="P419" s="37">
        <v>0.01</v>
      </c>
      <c r="R419" s="39">
        <v>44958</v>
      </c>
      <c r="S419" s="37">
        <v>3.4268000000000001</v>
      </c>
      <c r="U419" s="39">
        <v>44957</v>
      </c>
      <c r="V419" s="37">
        <v>4.25</v>
      </c>
    </row>
    <row r="420" spans="6:22" x14ac:dyDescent="0.2">
      <c r="F420" s="39">
        <v>44960</v>
      </c>
      <c r="G420" s="37">
        <v>3.1</v>
      </c>
      <c r="I420" s="39">
        <v>44965</v>
      </c>
      <c r="J420" s="37">
        <v>2.4009999999999998</v>
      </c>
      <c r="O420" s="39">
        <v>44344</v>
      </c>
      <c r="P420" s="37">
        <v>0.01</v>
      </c>
      <c r="R420" s="39">
        <v>44957</v>
      </c>
      <c r="S420" s="37">
        <v>3.4268999999999998</v>
      </c>
      <c r="U420" s="39">
        <v>44956</v>
      </c>
      <c r="V420" s="37">
        <v>4.25</v>
      </c>
    </row>
    <row r="421" spans="6:22" x14ac:dyDescent="0.2">
      <c r="F421" s="39">
        <v>44959</v>
      </c>
      <c r="G421" s="37">
        <v>3.1</v>
      </c>
      <c r="I421" s="39">
        <v>44964</v>
      </c>
      <c r="J421" s="37">
        <v>1.9019999999999999</v>
      </c>
      <c r="O421" s="39">
        <v>44348</v>
      </c>
      <c r="P421" s="37">
        <v>0.01</v>
      </c>
      <c r="R421" s="39">
        <v>44956</v>
      </c>
      <c r="S421" s="37">
        <v>3.4281000000000001</v>
      </c>
      <c r="U421" s="39">
        <v>44953</v>
      </c>
      <c r="V421" s="37">
        <v>4.25</v>
      </c>
    </row>
    <row r="422" spans="6:22" x14ac:dyDescent="0.2">
      <c r="F422" s="39">
        <v>44958</v>
      </c>
      <c r="G422" s="37">
        <v>3.1</v>
      </c>
      <c r="I422" s="39">
        <v>44963</v>
      </c>
      <c r="J422" s="37">
        <v>1.901</v>
      </c>
      <c r="O422" s="39">
        <v>44349</v>
      </c>
      <c r="P422" s="37">
        <v>0.01</v>
      </c>
      <c r="R422" s="39">
        <v>44953</v>
      </c>
      <c r="S422" s="37">
        <v>3.4278</v>
      </c>
      <c r="U422" s="39">
        <v>44952</v>
      </c>
      <c r="V422" s="37">
        <v>4.25</v>
      </c>
    </row>
    <row r="423" spans="6:22" x14ac:dyDescent="0.2">
      <c r="F423" s="39">
        <v>44957</v>
      </c>
      <c r="G423" s="37">
        <v>3.1</v>
      </c>
      <c r="I423" s="39">
        <v>44960</v>
      </c>
      <c r="J423" s="37">
        <v>1.8979999999999999</v>
      </c>
      <c r="O423" s="39">
        <v>44350</v>
      </c>
      <c r="P423" s="37">
        <v>0.01</v>
      </c>
      <c r="R423" s="39">
        <v>44952</v>
      </c>
      <c r="S423" s="37">
        <v>3.4278</v>
      </c>
      <c r="U423" s="39">
        <v>44951</v>
      </c>
      <c r="V423" s="37">
        <v>4.25</v>
      </c>
    </row>
    <row r="424" spans="6:22" x14ac:dyDescent="0.2">
      <c r="F424" s="39">
        <v>44956</v>
      </c>
      <c r="G424" s="37">
        <v>3.1</v>
      </c>
      <c r="I424" s="39">
        <v>44959</v>
      </c>
      <c r="J424" s="37">
        <v>1.9019999999999999</v>
      </c>
      <c r="O424" s="39">
        <v>44351</v>
      </c>
      <c r="P424" s="37">
        <v>0.01</v>
      </c>
      <c r="R424" s="39">
        <v>44951</v>
      </c>
      <c r="S424" s="37">
        <v>3.4279000000000002</v>
      </c>
      <c r="U424" s="39">
        <v>44950</v>
      </c>
      <c r="V424" s="37">
        <v>4.25</v>
      </c>
    </row>
    <row r="425" spans="6:22" x14ac:dyDescent="0.2">
      <c r="F425" s="39">
        <v>44953</v>
      </c>
      <c r="G425" s="37">
        <v>3.1</v>
      </c>
      <c r="I425" s="39">
        <v>44958</v>
      </c>
      <c r="J425" s="37">
        <v>1.901</v>
      </c>
      <c r="O425" s="39">
        <v>44354</v>
      </c>
      <c r="P425" s="37">
        <v>0.01</v>
      </c>
      <c r="R425" s="39">
        <v>44950</v>
      </c>
      <c r="S425" s="37">
        <v>3.4281000000000001</v>
      </c>
      <c r="U425" s="39">
        <v>44949</v>
      </c>
      <c r="V425" s="37">
        <v>4.25</v>
      </c>
    </row>
    <row r="426" spans="6:22" x14ac:dyDescent="0.2">
      <c r="F426" s="39">
        <v>44951</v>
      </c>
      <c r="G426" s="37">
        <v>3.1</v>
      </c>
      <c r="I426" s="39">
        <v>44957</v>
      </c>
      <c r="J426" s="37">
        <v>1.8939999999999999</v>
      </c>
      <c r="O426" s="39">
        <v>44355</v>
      </c>
      <c r="P426" s="37">
        <v>0.01</v>
      </c>
      <c r="R426" s="39">
        <v>44949</v>
      </c>
      <c r="S426" s="37">
        <v>3.4277000000000002</v>
      </c>
      <c r="U426" s="39">
        <v>44946</v>
      </c>
      <c r="V426" s="37">
        <v>4.25</v>
      </c>
    </row>
    <row r="427" spans="6:22" x14ac:dyDescent="0.2">
      <c r="F427" s="39">
        <v>44950</v>
      </c>
      <c r="G427" s="37">
        <v>3.1</v>
      </c>
      <c r="I427" s="39">
        <v>44956</v>
      </c>
      <c r="J427" s="37">
        <v>1.9039999999999999</v>
      </c>
      <c r="O427" s="39">
        <v>44356</v>
      </c>
      <c r="P427" s="37">
        <v>0.01</v>
      </c>
      <c r="R427" s="39">
        <v>44946</v>
      </c>
      <c r="S427" s="37">
        <v>3.4277000000000002</v>
      </c>
      <c r="U427" s="39">
        <v>44945</v>
      </c>
      <c r="V427" s="37">
        <v>4.25</v>
      </c>
    </row>
    <row r="428" spans="6:22" x14ac:dyDescent="0.2">
      <c r="F428" s="39">
        <v>44949</v>
      </c>
      <c r="G428" s="37">
        <v>3.1</v>
      </c>
      <c r="I428" s="39">
        <v>44953</v>
      </c>
      <c r="J428" s="37">
        <v>1.9059999999999999</v>
      </c>
      <c r="O428" s="39">
        <v>44357</v>
      </c>
      <c r="P428" s="37">
        <v>0.01</v>
      </c>
      <c r="R428" s="39">
        <v>44945</v>
      </c>
      <c r="S428" s="37">
        <v>3.4277000000000002</v>
      </c>
      <c r="U428" s="39">
        <v>44944</v>
      </c>
      <c r="V428" s="37">
        <v>4.25</v>
      </c>
    </row>
    <row r="429" spans="6:22" x14ac:dyDescent="0.2">
      <c r="F429" s="39">
        <v>44946</v>
      </c>
      <c r="G429" s="37">
        <v>3.1</v>
      </c>
      <c r="I429" s="39">
        <v>44952</v>
      </c>
      <c r="J429" s="37">
        <v>1.9039999999999999</v>
      </c>
      <c r="O429" s="39">
        <v>44358</v>
      </c>
      <c r="P429" s="37">
        <v>0.01</v>
      </c>
      <c r="R429" s="39">
        <v>44944</v>
      </c>
      <c r="S429" s="37">
        <v>3.4281000000000001</v>
      </c>
      <c r="U429" s="39">
        <v>44943</v>
      </c>
      <c r="V429" s="37">
        <v>4.25</v>
      </c>
    </row>
    <row r="430" spans="6:22" x14ac:dyDescent="0.2">
      <c r="F430" s="39">
        <v>44945</v>
      </c>
      <c r="G430" s="37">
        <v>3.1</v>
      </c>
      <c r="I430" s="39">
        <v>44951</v>
      </c>
      <c r="J430" s="37">
        <v>1.9039999999999999</v>
      </c>
      <c r="O430" s="39">
        <v>44361</v>
      </c>
      <c r="P430" s="37">
        <v>0.01</v>
      </c>
      <c r="R430" s="39">
        <v>44943</v>
      </c>
      <c r="S430" s="37">
        <v>3.4279000000000002</v>
      </c>
      <c r="U430" s="39">
        <v>44942</v>
      </c>
      <c r="V430" s="37">
        <v>4.25</v>
      </c>
    </row>
    <row r="431" spans="6:22" x14ac:dyDescent="0.2">
      <c r="F431" s="39">
        <v>44944</v>
      </c>
      <c r="G431" s="37">
        <v>3.1</v>
      </c>
      <c r="I431" s="39">
        <v>44950</v>
      </c>
      <c r="J431" s="37">
        <v>1.9039999999999999</v>
      </c>
      <c r="O431" s="39">
        <v>44362</v>
      </c>
      <c r="P431" s="37">
        <v>0.01</v>
      </c>
      <c r="R431" s="39">
        <v>44942</v>
      </c>
      <c r="S431" s="37">
        <v>3.4279000000000002</v>
      </c>
      <c r="U431" s="39">
        <v>44939</v>
      </c>
      <c r="V431" s="37">
        <v>4.25</v>
      </c>
    </row>
    <row r="432" spans="6:22" x14ac:dyDescent="0.2">
      <c r="F432" s="39">
        <v>44943</v>
      </c>
      <c r="G432" s="37">
        <v>3.1</v>
      </c>
      <c r="I432" s="39">
        <v>44949</v>
      </c>
      <c r="J432" s="37">
        <v>1.9019999999999999</v>
      </c>
      <c r="O432" s="39">
        <v>44363</v>
      </c>
      <c r="P432" s="37">
        <v>0.01</v>
      </c>
      <c r="R432" s="39">
        <v>44939</v>
      </c>
      <c r="S432" s="37">
        <v>3.4274</v>
      </c>
      <c r="U432" s="39">
        <v>44938</v>
      </c>
      <c r="V432" s="37">
        <v>4.25</v>
      </c>
    </row>
    <row r="433" spans="6:22" x14ac:dyDescent="0.2">
      <c r="F433" s="39">
        <v>44942</v>
      </c>
      <c r="G433" s="37">
        <v>3.1</v>
      </c>
      <c r="I433" s="39">
        <v>44946</v>
      </c>
      <c r="J433" s="37">
        <v>1.903</v>
      </c>
      <c r="O433" s="39">
        <v>44364</v>
      </c>
      <c r="P433" s="37">
        <v>0.05</v>
      </c>
      <c r="R433" s="39">
        <v>44938</v>
      </c>
      <c r="S433" s="37">
        <v>3.4274</v>
      </c>
      <c r="U433" s="39">
        <v>44937</v>
      </c>
      <c r="V433" s="37">
        <v>4.25</v>
      </c>
    </row>
    <row r="434" spans="6:22" x14ac:dyDescent="0.2">
      <c r="F434" s="39">
        <v>44939</v>
      </c>
      <c r="G434" s="37">
        <v>3.1</v>
      </c>
      <c r="I434" s="39">
        <v>44945</v>
      </c>
      <c r="J434" s="37">
        <v>1.903</v>
      </c>
      <c r="O434" s="39">
        <v>44365</v>
      </c>
      <c r="P434" s="37">
        <v>0.05</v>
      </c>
      <c r="R434" s="39">
        <v>44937</v>
      </c>
      <c r="S434" s="37">
        <v>3.4274</v>
      </c>
      <c r="U434" s="39">
        <v>44936</v>
      </c>
      <c r="V434" s="37">
        <v>4.25</v>
      </c>
    </row>
    <row r="435" spans="6:22" x14ac:dyDescent="0.2">
      <c r="F435" s="39">
        <v>44938</v>
      </c>
      <c r="G435" s="37">
        <v>3.1</v>
      </c>
      <c r="I435" s="39">
        <v>44944</v>
      </c>
      <c r="J435" s="37">
        <v>1.9019999999999999</v>
      </c>
      <c r="O435" s="39">
        <v>44368</v>
      </c>
      <c r="P435" s="37">
        <v>0.05</v>
      </c>
      <c r="R435" s="39">
        <v>44936</v>
      </c>
      <c r="S435" s="37">
        <v>3.4272</v>
      </c>
      <c r="U435" s="39">
        <v>44935</v>
      </c>
      <c r="V435" s="37">
        <v>4.25</v>
      </c>
    </row>
    <row r="436" spans="6:22" x14ac:dyDescent="0.2">
      <c r="F436" s="39">
        <v>44937</v>
      </c>
      <c r="G436" s="37">
        <v>3.1</v>
      </c>
      <c r="I436" s="39">
        <v>44943</v>
      </c>
      <c r="J436" s="37">
        <v>1.901</v>
      </c>
      <c r="O436" s="39">
        <v>44369</v>
      </c>
      <c r="P436" s="37">
        <v>0.05</v>
      </c>
      <c r="R436" s="39">
        <v>44935</v>
      </c>
      <c r="S436" s="37">
        <v>3.4272999999999998</v>
      </c>
      <c r="U436" s="39">
        <v>44932</v>
      </c>
      <c r="V436" s="37">
        <v>4.25</v>
      </c>
    </row>
    <row r="437" spans="6:22" x14ac:dyDescent="0.2">
      <c r="F437" s="39">
        <v>44936</v>
      </c>
      <c r="G437" s="37">
        <v>3.1</v>
      </c>
      <c r="I437" s="39">
        <v>44942</v>
      </c>
      <c r="J437" s="37">
        <v>1.9019999999999999</v>
      </c>
      <c r="O437" s="39">
        <v>44370</v>
      </c>
      <c r="P437" s="37">
        <v>0.05</v>
      </c>
      <c r="R437" s="39">
        <v>44932</v>
      </c>
      <c r="S437" s="37">
        <v>3.4272</v>
      </c>
      <c r="U437" s="39">
        <v>44931</v>
      </c>
      <c r="V437" s="37">
        <v>4.25</v>
      </c>
    </row>
    <row r="438" spans="6:22" x14ac:dyDescent="0.2">
      <c r="F438" s="39">
        <v>44935</v>
      </c>
      <c r="G438" s="37">
        <v>3.1</v>
      </c>
      <c r="I438" s="39">
        <v>44939</v>
      </c>
      <c r="J438" s="37">
        <v>1.901</v>
      </c>
      <c r="O438" s="39">
        <v>44371</v>
      </c>
      <c r="P438" s="37">
        <v>0.05</v>
      </c>
      <c r="R438" s="39">
        <v>44931</v>
      </c>
      <c r="S438" s="37">
        <v>3.4270999999999998</v>
      </c>
      <c r="U438" s="39">
        <v>44930</v>
      </c>
      <c r="V438" s="37">
        <v>4.25</v>
      </c>
    </row>
    <row r="439" spans="6:22" x14ac:dyDescent="0.2">
      <c r="F439" s="39">
        <v>44932</v>
      </c>
      <c r="G439" s="37">
        <v>3.1</v>
      </c>
      <c r="I439" s="39">
        <v>44938</v>
      </c>
      <c r="J439" s="37">
        <v>1.9</v>
      </c>
      <c r="O439" s="39">
        <v>44372</v>
      </c>
      <c r="P439" s="37">
        <v>0.05</v>
      </c>
      <c r="R439" s="39">
        <v>44930</v>
      </c>
      <c r="S439" s="37">
        <v>3.4266999999999999</v>
      </c>
      <c r="U439" s="39">
        <v>44925</v>
      </c>
      <c r="V439" s="37">
        <v>4.25</v>
      </c>
    </row>
    <row r="440" spans="6:22" x14ac:dyDescent="0.2">
      <c r="F440" s="39">
        <v>44931</v>
      </c>
      <c r="G440" s="37">
        <v>3.1</v>
      </c>
      <c r="I440" s="39">
        <v>44937</v>
      </c>
      <c r="J440" s="37">
        <v>1.9</v>
      </c>
      <c r="O440" s="39">
        <v>44375</v>
      </c>
      <c r="P440" s="37">
        <v>0.05</v>
      </c>
      <c r="R440" s="39">
        <v>44929</v>
      </c>
      <c r="S440" s="37">
        <v>3.4268999999999998</v>
      </c>
      <c r="U440" s="39">
        <v>44924</v>
      </c>
      <c r="V440" s="37">
        <v>4.25</v>
      </c>
    </row>
    <row r="441" spans="6:22" x14ac:dyDescent="0.2">
      <c r="F441" s="39">
        <v>44930</v>
      </c>
      <c r="G441" s="37">
        <v>3.1</v>
      </c>
      <c r="I441" s="39">
        <v>44936</v>
      </c>
      <c r="J441" s="37">
        <v>1.9</v>
      </c>
      <c r="O441" s="39">
        <v>44376</v>
      </c>
      <c r="P441" s="37">
        <v>0.05</v>
      </c>
      <c r="R441" s="39">
        <v>44925</v>
      </c>
      <c r="S441" s="37">
        <v>3.4281999999999999</v>
      </c>
      <c r="U441" s="39">
        <v>44923</v>
      </c>
      <c r="V441" s="37">
        <v>4.25</v>
      </c>
    </row>
    <row r="442" spans="6:22" x14ac:dyDescent="0.2">
      <c r="F442" s="39">
        <v>44929</v>
      </c>
      <c r="G442" s="37">
        <v>3.1</v>
      </c>
      <c r="I442" s="39">
        <v>44935</v>
      </c>
      <c r="J442" s="37">
        <v>1.9</v>
      </c>
      <c r="O442" s="39">
        <v>44377</v>
      </c>
      <c r="P442" s="37">
        <v>0.05</v>
      </c>
      <c r="R442" s="39">
        <v>44924</v>
      </c>
      <c r="S442" s="37">
        <v>3.4281000000000001</v>
      </c>
      <c r="U442" s="39">
        <v>44918</v>
      </c>
      <c r="V442" s="37">
        <v>4.25</v>
      </c>
    </row>
    <row r="443" spans="6:22" x14ac:dyDescent="0.2">
      <c r="F443" s="39">
        <v>44925</v>
      </c>
      <c r="G443" s="37">
        <v>3.1</v>
      </c>
      <c r="I443" s="39">
        <v>44932</v>
      </c>
      <c r="J443" s="37">
        <v>1.8979999999999999</v>
      </c>
      <c r="O443" s="39">
        <v>44378</v>
      </c>
      <c r="P443" s="37">
        <v>0.05</v>
      </c>
      <c r="R443" s="39">
        <v>44923</v>
      </c>
      <c r="S443" s="37">
        <v>3.4281999999999999</v>
      </c>
      <c r="U443" s="39">
        <v>44917</v>
      </c>
      <c r="V443" s="37">
        <v>4.25</v>
      </c>
    </row>
    <row r="444" spans="6:22" x14ac:dyDescent="0.2">
      <c r="F444" s="39">
        <v>44924</v>
      </c>
      <c r="G444" s="37">
        <v>3.1</v>
      </c>
      <c r="I444" s="39">
        <v>44931</v>
      </c>
      <c r="J444" s="37">
        <v>1.9</v>
      </c>
      <c r="O444" s="39">
        <v>44379</v>
      </c>
      <c r="P444" s="37">
        <v>0.05</v>
      </c>
      <c r="R444" s="39">
        <v>44918</v>
      </c>
      <c r="S444" s="37">
        <v>3.4281000000000001</v>
      </c>
      <c r="U444" s="39">
        <v>44916</v>
      </c>
      <c r="V444" s="37">
        <v>4.25</v>
      </c>
    </row>
    <row r="445" spans="6:22" x14ac:dyDescent="0.2">
      <c r="F445" s="39">
        <v>44923</v>
      </c>
      <c r="G445" s="37">
        <v>3.1</v>
      </c>
      <c r="I445" s="39">
        <v>44930</v>
      </c>
      <c r="J445" s="37">
        <v>1.9039999999999999</v>
      </c>
      <c r="O445" s="39">
        <v>44383</v>
      </c>
      <c r="P445" s="37">
        <v>0.05</v>
      </c>
      <c r="R445" s="39">
        <v>44917</v>
      </c>
      <c r="S445" s="37">
        <v>3.4275000000000002</v>
      </c>
      <c r="U445" s="39">
        <v>44915</v>
      </c>
      <c r="V445" s="37">
        <v>4.25</v>
      </c>
    </row>
    <row r="446" spans="6:22" x14ac:dyDescent="0.2">
      <c r="F446" s="39">
        <v>44918</v>
      </c>
      <c r="G446" s="37">
        <v>3.1</v>
      </c>
      <c r="I446" s="39">
        <v>44929</v>
      </c>
      <c r="J446" s="37">
        <v>1.9039999999999999</v>
      </c>
      <c r="O446" s="39">
        <v>44384</v>
      </c>
      <c r="P446" s="37">
        <v>0.05</v>
      </c>
      <c r="R446" s="39">
        <v>44916</v>
      </c>
      <c r="S446" s="37">
        <v>3.4275000000000002</v>
      </c>
      <c r="U446" s="39">
        <v>44914</v>
      </c>
      <c r="V446" s="37">
        <v>4.25</v>
      </c>
    </row>
    <row r="447" spans="6:22" x14ac:dyDescent="0.2">
      <c r="F447" s="39">
        <v>44917</v>
      </c>
      <c r="G447" s="37">
        <v>3.1</v>
      </c>
      <c r="I447" s="39">
        <v>44928</v>
      </c>
      <c r="J447" s="37">
        <v>1.9059999999999999</v>
      </c>
      <c r="O447" s="39">
        <v>44385</v>
      </c>
      <c r="P447" s="37">
        <v>0.05</v>
      </c>
      <c r="R447" s="39">
        <v>44915</v>
      </c>
      <c r="S447" s="37">
        <v>3.4272999999999998</v>
      </c>
      <c r="U447" s="39">
        <v>44911</v>
      </c>
      <c r="V447" s="37">
        <v>4.25</v>
      </c>
    </row>
    <row r="448" spans="6:22" x14ac:dyDescent="0.2">
      <c r="F448" s="39">
        <v>44916</v>
      </c>
      <c r="G448" s="37">
        <v>3.1</v>
      </c>
      <c r="I448" s="39">
        <v>44925</v>
      </c>
      <c r="J448" s="37">
        <v>1.89</v>
      </c>
      <c r="O448" s="39">
        <v>44386</v>
      </c>
      <c r="P448" s="37">
        <v>0.05</v>
      </c>
      <c r="R448" s="39">
        <v>44914</v>
      </c>
      <c r="S448" s="37">
        <v>3.4268999999999998</v>
      </c>
      <c r="U448" s="39">
        <v>44910</v>
      </c>
      <c r="V448" s="37">
        <v>4.25</v>
      </c>
    </row>
    <row r="449" spans="6:22" x14ac:dyDescent="0.2">
      <c r="F449" s="39">
        <v>44915</v>
      </c>
      <c r="G449" s="37">
        <v>3.1</v>
      </c>
      <c r="I449" s="39">
        <v>44924</v>
      </c>
      <c r="J449" s="37">
        <v>1.905</v>
      </c>
      <c r="O449" s="39">
        <v>44389</v>
      </c>
      <c r="P449" s="37">
        <v>0.05</v>
      </c>
      <c r="R449" s="39">
        <v>44911</v>
      </c>
      <c r="S449" s="37">
        <v>3.4272999999999998</v>
      </c>
      <c r="U449" s="39">
        <v>44909</v>
      </c>
      <c r="V449" s="37">
        <v>4.25</v>
      </c>
    </row>
    <row r="450" spans="6:22" x14ac:dyDescent="0.2">
      <c r="F450" s="39">
        <v>44914</v>
      </c>
      <c r="G450" s="37">
        <v>3.1</v>
      </c>
      <c r="I450" s="39">
        <v>44923</v>
      </c>
      <c r="J450" s="37">
        <v>1.9059999999999999</v>
      </c>
      <c r="O450" s="39">
        <v>44390</v>
      </c>
      <c r="P450" s="37">
        <v>0.05</v>
      </c>
      <c r="R450" s="39">
        <v>44910</v>
      </c>
      <c r="S450" s="37">
        <v>3.4268999999999998</v>
      </c>
      <c r="U450" s="39">
        <v>44908</v>
      </c>
      <c r="V450" s="37">
        <v>4.25</v>
      </c>
    </row>
    <row r="451" spans="6:22" x14ac:dyDescent="0.2">
      <c r="F451" s="39">
        <v>44911</v>
      </c>
      <c r="G451" s="37">
        <v>3.1</v>
      </c>
      <c r="I451" s="39">
        <v>44922</v>
      </c>
      <c r="J451" s="37">
        <v>1.9059999999999999</v>
      </c>
      <c r="O451" s="39">
        <v>44391</v>
      </c>
      <c r="P451" s="37">
        <v>0.05</v>
      </c>
      <c r="R451" s="39">
        <v>44909</v>
      </c>
      <c r="S451" s="37">
        <v>2.9287999999999998</v>
      </c>
      <c r="U451" s="39">
        <v>44907</v>
      </c>
      <c r="V451" s="37">
        <v>4.25</v>
      </c>
    </row>
    <row r="452" spans="6:22" x14ac:dyDescent="0.2">
      <c r="F452" s="39">
        <v>44910</v>
      </c>
      <c r="G452" s="37">
        <v>3.1</v>
      </c>
      <c r="I452" s="39">
        <v>44918</v>
      </c>
      <c r="J452" s="37">
        <v>1.907</v>
      </c>
      <c r="O452" s="39">
        <v>44392</v>
      </c>
      <c r="P452" s="37">
        <v>0.05</v>
      </c>
      <c r="R452" s="39">
        <v>44908</v>
      </c>
      <c r="S452" s="37">
        <v>2.9287000000000001</v>
      </c>
      <c r="U452" s="39">
        <v>44904</v>
      </c>
      <c r="V452" s="37">
        <v>4.25</v>
      </c>
    </row>
    <row r="453" spans="6:22" x14ac:dyDescent="0.2">
      <c r="F453" s="39">
        <v>44909</v>
      </c>
      <c r="G453" s="37">
        <v>3.1</v>
      </c>
      <c r="I453" s="39">
        <v>44917</v>
      </c>
      <c r="J453" s="37">
        <v>1.9039999999999999</v>
      </c>
      <c r="O453" s="39">
        <v>44393</v>
      </c>
      <c r="P453" s="37">
        <v>0.05</v>
      </c>
      <c r="R453" s="39">
        <v>44907</v>
      </c>
      <c r="S453" s="37">
        <v>2.9289000000000001</v>
      </c>
      <c r="U453" s="39">
        <v>44903</v>
      </c>
      <c r="V453" s="37">
        <v>4.25</v>
      </c>
    </row>
    <row r="454" spans="6:22" x14ac:dyDescent="0.2">
      <c r="F454" s="39">
        <v>44908</v>
      </c>
      <c r="G454" s="37">
        <v>3.1</v>
      </c>
      <c r="I454" s="39">
        <v>44916</v>
      </c>
      <c r="J454" s="37">
        <v>1.9019999999999999</v>
      </c>
      <c r="O454" s="39">
        <v>44396</v>
      </c>
      <c r="P454" s="37">
        <v>0.05</v>
      </c>
      <c r="R454" s="39">
        <v>44904</v>
      </c>
      <c r="S454" s="37">
        <v>2.9283999999999999</v>
      </c>
      <c r="U454" s="39">
        <v>44902</v>
      </c>
      <c r="V454" s="37">
        <v>4.25</v>
      </c>
    </row>
    <row r="455" spans="6:22" x14ac:dyDescent="0.2">
      <c r="F455" s="39">
        <v>44907</v>
      </c>
      <c r="G455" s="37">
        <v>3.1</v>
      </c>
      <c r="I455" s="39">
        <v>44915</v>
      </c>
      <c r="J455" s="37">
        <v>1.403</v>
      </c>
      <c r="O455" s="39">
        <v>44397</v>
      </c>
      <c r="P455" s="37">
        <v>0.05</v>
      </c>
      <c r="R455" s="39">
        <v>44903</v>
      </c>
      <c r="S455" s="37">
        <v>2.9281000000000001</v>
      </c>
      <c r="U455" s="39">
        <v>44901</v>
      </c>
      <c r="V455" s="37">
        <v>4.25</v>
      </c>
    </row>
    <row r="456" spans="6:22" x14ac:dyDescent="0.2">
      <c r="F456" s="39">
        <v>44904</v>
      </c>
      <c r="G456" s="37">
        <v>3.1</v>
      </c>
      <c r="I456" s="39">
        <v>44914</v>
      </c>
      <c r="J456" s="37">
        <v>1.403</v>
      </c>
      <c r="O456" s="39">
        <v>44398</v>
      </c>
      <c r="P456" s="37">
        <v>0.05</v>
      </c>
      <c r="R456" s="39">
        <v>44902</v>
      </c>
      <c r="S456" s="37">
        <v>2.9275000000000002</v>
      </c>
      <c r="U456" s="39">
        <v>44900</v>
      </c>
      <c r="V456" s="37">
        <v>4.25</v>
      </c>
    </row>
    <row r="457" spans="6:22" x14ac:dyDescent="0.2">
      <c r="F457" s="39">
        <v>44903</v>
      </c>
      <c r="G457" s="37">
        <v>3.1</v>
      </c>
      <c r="I457" s="39">
        <v>44911</v>
      </c>
      <c r="J457" s="37">
        <v>1.4019999999999999</v>
      </c>
      <c r="O457" s="39">
        <v>44399</v>
      </c>
      <c r="P457" s="37">
        <v>0.05</v>
      </c>
      <c r="R457" s="39">
        <v>44901</v>
      </c>
      <c r="S457" s="37">
        <v>2.9283999999999999</v>
      </c>
      <c r="U457" s="39">
        <v>44897</v>
      </c>
      <c r="V457" s="37">
        <v>4.25</v>
      </c>
    </row>
    <row r="458" spans="6:22" x14ac:dyDescent="0.2">
      <c r="F458" s="39">
        <v>44902</v>
      </c>
      <c r="G458" s="37">
        <v>3.1</v>
      </c>
      <c r="I458" s="39">
        <v>44910</v>
      </c>
      <c r="J458" s="37">
        <v>1.403</v>
      </c>
      <c r="O458" s="39">
        <v>44400</v>
      </c>
      <c r="P458" s="37">
        <v>0.05</v>
      </c>
      <c r="R458" s="39">
        <v>44900</v>
      </c>
      <c r="S458" s="37">
        <v>2.9279000000000002</v>
      </c>
      <c r="U458" s="39">
        <v>44896</v>
      </c>
      <c r="V458" s="37">
        <v>4.25</v>
      </c>
    </row>
    <row r="459" spans="6:22" x14ac:dyDescent="0.2">
      <c r="F459" s="39">
        <v>44901</v>
      </c>
      <c r="G459" s="37">
        <v>2.85</v>
      </c>
      <c r="I459" s="39">
        <v>44909</v>
      </c>
      <c r="J459" s="37">
        <v>1.4019999999999999</v>
      </c>
      <c r="O459" s="39">
        <v>44403</v>
      </c>
      <c r="P459" s="37">
        <v>0.05</v>
      </c>
      <c r="R459" s="39">
        <v>44897</v>
      </c>
      <c r="S459" s="37">
        <v>2.9281000000000001</v>
      </c>
      <c r="U459" s="39">
        <v>44895</v>
      </c>
      <c r="V459" s="37">
        <v>4.25</v>
      </c>
    </row>
    <row r="460" spans="6:22" x14ac:dyDescent="0.2">
      <c r="F460" s="39">
        <v>44900</v>
      </c>
      <c r="G460" s="37">
        <v>2.85</v>
      </c>
      <c r="I460" s="39">
        <v>44908</v>
      </c>
      <c r="J460" s="37">
        <v>1.4</v>
      </c>
      <c r="O460" s="39">
        <v>44404</v>
      </c>
      <c r="P460" s="37">
        <v>0.05</v>
      </c>
      <c r="R460" s="39">
        <v>44896</v>
      </c>
      <c r="S460" s="37">
        <v>2.9279000000000002</v>
      </c>
      <c r="U460" s="39">
        <v>44894</v>
      </c>
      <c r="V460" s="37">
        <v>4.25</v>
      </c>
    </row>
    <row r="461" spans="6:22" x14ac:dyDescent="0.2">
      <c r="F461" s="39">
        <v>44897</v>
      </c>
      <c r="G461" s="37">
        <v>2.85</v>
      </c>
      <c r="I461" s="39">
        <v>44907</v>
      </c>
      <c r="J461" s="37">
        <v>1.4</v>
      </c>
      <c r="O461" s="39">
        <v>44405</v>
      </c>
      <c r="P461" s="37">
        <v>0.05</v>
      </c>
      <c r="R461" s="39">
        <v>44895</v>
      </c>
      <c r="S461" s="37">
        <v>2.9272999999999998</v>
      </c>
      <c r="U461" s="39">
        <v>44893</v>
      </c>
      <c r="V461" s="37">
        <v>4.25</v>
      </c>
    </row>
    <row r="462" spans="6:22" x14ac:dyDescent="0.2">
      <c r="F462" s="39">
        <v>44896</v>
      </c>
      <c r="G462" s="37">
        <v>2.85</v>
      </c>
      <c r="I462" s="39">
        <v>44904</v>
      </c>
      <c r="J462" s="37">
        <v>1.4</v>
      </c>
      <c r="O462" s="39">
        <v>44406</v>
      </c>
      <c r="P462" s="37">
        <v>0.05</v>
      </c>
      <c r="R462" s="39">
        <v>44894</v>
      </c>
      <c r="S462" s="37">
        <v>2.9281999999999999</v>
      </c>
      <c r="U462" s="39">
        <v>44890</v>
      </c>
      <c r="V462" s="37">
        <v>4.25</v>
      </c>
    </row>
    <row r="463" spans="6:22" x14ac:dyDescent="0.2">
      <c r="F463" s="39">
        <v>44895</v>
      </c>
      <c r="G463" s="37">
        <v>2.85</v>
      </c>
      <c r="I463" s="39">
        <v>44903</v>
      </c>
      <c r="J463" s="37">
        <v>1.4</v>
      </c>
      <c r="O463" s="39">
        <v>44407</v>
      </c>
      <c r="P463" s="37">
        <v>0.05</v>
      </c>
      <c r="R463" s="39">
        <v>44893</v>
      </c>
      <c r="S463" s="37">
        <v>2.9278</v>
      </c>
      <c r="U463" s="39">
        <v>44889</v>
      </c>
      <c r="V463" s="37">
        <v>4.25</v>
      </c>
    </row>
    <row r="464" spans="6:22" x14ac:dyDescent="0.2">
      <c r="F464" s="39">
        <v>44894</v>
      </c>
      <c r="G464" s="37">
        <v>2.85</v>
      </c>
      <c r="I464" s="39">
        <v>44902</v>
      </c>
      <c r="J464" s="37">
        <v>1.399</v>
      </c>
      <c r="O464" s="39">
        <v>44410</v>
      </c>
      <c r="P464" s="37">
        <v>0.05</v>
      </c>
      <c r="R464" s="39">
        <v>44890</v>
      </c>
      <c r="S464" s="37">
        <v>2.9278</v>
      </c>
      <c r="U464" s="39">
        <v>44888</v>
      </c>
      <c r="V464" s="37">
        <v>3.5</v>
      </c>
    </row>
    <row r="465" spans="6:22" x14ac:dyDescent="0.2">
      <c r="F465" s="39">
        <v>44893</v>
      </c>
      <c r="G465" s="37">
        <v>2.85</v>
      </c>
      <c r="I465" s="39">
        <v>44901</v>
      </c>
      <c r="J465" s="37">
        <v>1.4059999999999999</v>
      </c>
      <c r="O465" s="39">
        <v>44411</v>
      </c>
      <c r="P465" s="37">
        <v>0.05</v>
      </c>
      <c r="R465" s="39">
        <v>44889</v>
      </c>
      <c r="S465" s="37">
        <v>2.9277000000000002</v>
      </c>
      <c r="U465" s="39">
        <v>44887</v>
      </c>
      <c r="V465" s="37">
        <v>3.5</v>
      </c>
    </row>
    <row r="466" spans="6:22" x14ac:dyDescent="0.2">
      <c r="F466" s="39">
        <v>44890</v>
      </c>
      <c r="G466" s="37">
        <v>2.85</v>
      </c>
      <c r="I466" s="39">
        <v>44900</v>
      </c>
      <c r="J466" s="37">
        <v>1.3979999999999999</v>
      </c>
      <c r="O466" s="39">
        <v>44412</v>
      </c>
      <c r="P466" s="37">
        <v>0.05</v>
      </c>
      <c r="R466" s="39">
        <v>44888</v>
      </c>
      <c r="S466" s="37">
        <v>2.9270999999999998</v>
      </c>
      <c r="U466" s="39">
        <v>44886</v>
      </c>
      <c r="V466" s="37">
        <v>3.5</v>
      </c>
    </row>
    <row r="467" spans="6:22" x14ac:dyDescent="0.2">
      <c r="F467" s="39">
        <v>44889</v>
      </c>
      <c r="G467" s="37">
        <v>2.85</v>
      </c>
      <c r="I467" s="39">
        <v>44897</v>
      </c>
      <c r="J467" s="37">
        <v>1.4</v>
      </c>
      <c r="O467" s="39">
        <v>44413</v>
      </c>
      <c r="P467" s="37">
        <v>0.05</v>
      </c>
      <c r="R467" s="39">
        <v>44887</v>
      </c>
      <c r="S467" s="37">
        <v>2.9270999999999998</v>
      </c>
      <c r="U467" s="39">
        <v>44883</v>
      </c>
      <c r="V467" s="37">
        <v>3.5</v>
      </c>
    </row>
    <row r="468" spans="6:22" x14ac:dyDescent="0.2">
      <c r="F468" s="39">
        <v>44888</v>
      </c>
      <c r="G468" s="37">
        <v>2.85</v>
      </c>
      <c r="I468" s="39">
        <v>44896</v>
      </c>
      <c r="J468" s="37">
        <v>1.4</v>
      </c>
      <c r="O468" s="39">
        <v>44414</v>
      </c>
      <c r="P468" s="37">
        <v>0.05</v>
      </c>
      <c r="R468" s="39">
        <v>44886</v>
      </c>
      <c r="S468" s="37">
        <v>2.9275000000000002</v>
      </c>
      <c r="U468" s="39">
        <v>44882</v>
      </c>
      <c r="V468" s="37">
        <v>3.5</v>
      </c>
    </row>
    <row r="469" spans="6:22" x14ac:dyDescent="0.2">
      <c r="F469" s="39">
        <v>44887</v>
      </c>
      <c r="G469" s="37">
        <v>2.85</v>
      </c>
      <c r="I469" s="39">
        <v>44895</v>
      </c>
      <c r="J469" s="37">
        <v>1.391</v>
      </c>
      <c r="O469" s="39">
        <v>44417</v>
      </c>
      <c r="P469" s="37">
        <v>0.05</v>
      </c>
      <c r="R469" s="39">
        <v>44883</v>
      </c>
      <c r="S469" s="37">
        <v>2.9275000000000002</v>
      </c>
      <c r="U469" s="39">
        <v>44881</v>
      </c>
      <c r="V469" s="37">
        <v>3.5</v>
      </c>
    </row>
    <row r="470" spans="6:22" x14ac:dyDescent="0.2">
      <c r="F470" s="39">
        <v>44886</v>
      </c>
      <c r="G470" s="37">
        <v>2.85</v>
      </c>
      <c r="I470" s="39">
        <v>44894</v>
      </c>
      <c r="J470" s="37">
        <v>1.4019999999999999</v>
      </c>
      <c r="O470" s="39">
        <v>44418</v>
      </c>
      <c r="P470" s="37">
        <v>0.05</v>
      </c>
      <c r="R470" s="39">
        <v>44882</v>
      </c>
      <c r="S470" s="37">
        <v>2.9266000000000001</v>
      </c>
      <c r="U470" s="39">
        <v>44880</v>
      </c>
      <c r="V470" s="37">
        <v>3.5</v>
      </c>
    </row>
    <row r="471" spans="6:22" x14ac:dyDescent="0.2">
      <c r="F471" s="39">
        <v>44883</v>
      </c>
      <c r="G471" s="37">
        <v>2.85</v>
      </c>
      <c r="I471" s="39">
        <v>44893</v>
      </c>
      <c r="J471" s="37">
        <v>1.403</v>
      </c>
      <c r="O471" s="39">
        <v>44419</v>
      </c>
      <c r="P471" s="37">
        <v>0.05</v>
      </c>
      <c r="R471" s="39">
        <v>44881</v>
      </c>
      <c r="S471" s="37">
        <v>2.9264999999999999</v>
      </c>
      <c r="U471" s="39">
        <v>44879</v>
      </c>
      <c r="V471" s="37">
        <v>3.5</v>
      </c>
    </row>
    <row r="472" spans="6:22" x14ac:dyDescent="0.2">
      <c r="F472" s="39">
        <v>44882</v>
      </c>
      <c r="G472" s="37">
        <v>2.85</v>
      </c>
      <c r="I472" s="39">
        <v>44890</v>
      </c>
      <c r="J472" s="37">
        <v>1.403</v>
      </c>
      <c r="O472" s="39">
        <v>44420</v>
      </c>
      <c r="P472" s="37">
        <v>0.05</v>
      </c>
      <c r="R472" s="39">
        <v>44880</v>
      </c>
      <c r="S472" s="37">
        <v>2.9268999999999998</v>
      </c>
      <c r="U472" s="39">
        <v>44876</v>
      </c>
      <c r="V472" s="37">
        <v>3.5</v>
      </c>
    </row>
    <row r="473" spans="6:22" x14ac:dyDescent="0.2">
      <c r="F473" s="39">
        <v>44881</v>
      </c>
      <c r="G473" s="37">
        <v>2.85</v>
      </c>
      <c r="I473" s="39">
        <v>44889</v>
      </c>
      <c r="J473" s="37">
        <v>1.405</v>
      </c>
      <c r="O473" s="39">
        <v>44421</v>
      </c>
      <c r="P473" s="37">
        <v>0.05</v>
      </c>
      <c r="R473" s="39">
        <v>44879</v>
      </c>
      <c r="S473" s="37">
        <v>2.9266000000000001</v>
      </c>
      <c r="U473" s="39">
        <v>44875</v>
      </c>
      <c r="V473" s="37">
        <v>3.5</v>
      </c>
    </row>
    <row r="474" spans="6:22" x14ac:dyDescent="0.2">
      <c r="F474" s="39">
        <v>44880</v>
      </c>
      <c r="G474" s="37">
        <v>2.85</v>
      </c>
      <c r="I474" s="39">
        <v>44888</v>
      </c>
      <c r="J474" s="37">
        <v>1.405</v>
      </c>
      <c r="O474" s="39">
        <v>44424</v>
      </c>
      <c r="P474" s="37">
        <v>0.05</v>
      </c>
      <c r="R474" s="39">
        <v>44876</v>
      </c>
      <c r="S474" s="37">
        <v>2.9268000000000001</v>
      </c>
      <c r="U474" s="39">
        <v>44874</v>
      </c>
      <c r="V474" s="37">
        <v>3.5</v>
      </c>
    </row>
    <row r="475" spans="6:22" x14ac:dyDescent="0.2">
      <c r="F475" s="39">
        <v>44879</v>
      </c>
      <c r="G475" s="37">
        <v>2.85</v>
      </c>
      <c r="I475" s="39">
        <v>44887</v>
      </c>
      <c r="J475" s="37">
        <v>1.4039999999999999</v>
      </c>
      <c r="O475" s="39">
        <v>44425</v>
      </c>
      <c r="P475" s="37">
        <v>0.05</v>
      </c>
      <c r="R475" s="39">
        <v>44875</v>
      </c>
      <c r="S475" s="37">
        <v>2.9264999999999999</v>
      </c>
      <c r="U475" s="39">
        <v>44873</v>
      </c>
      <c r="V475" s="37">
        <v>3.5</v>
      </c>
    </row>
    <row r="476" spans="6:22" x14ac:dyDescent="0.2">
      <c r="F476" s="39">
        <v>44876</v>
      </c>
      <c r="G476" s="37">
        <v>2.85</v>
      </c>
      <c r="I476" s="39">
        <v>44886</v>
      </c>
      <c r="J476" s="37">
        <v>1.403</v>
      </c>
      <c r="O476" s="39">
        <v>44426</v>
      </c>
      <c r="P476" s="37">
        <v>0.05</v>
      </c>
      <c r="R476" s="39">
        <v>44874</v>
      </c>
      <c r="S476" s="37">
        <v>2.9262999999999999</v>
      </c>
      <c r="U476" s="39">
        <v>44872</v>
      </c>
      <c r="V476" s="37">
        <v>3.5</v>
      </c>
    </row>
    <row r="477" spans="6:22" x14ac:dyDescent="0.2">
      <c r="F477" s="39">
        <v>44875</v>
      </c>
      <c r="G477" s="37">
        <v>2.85</v>
      </c>
      <c r="I477" s="39">
        <v>44883</v>
      </c>
      <c r="J477" s="37">
        <v>1.403</v>
      </c>
      <c r="O477" s="39">
        <v>44427</v>
      </c>
      <c r="P477" s="37">
        <v>0.05</v>
      </c>
      <c r="R477" s="39">
        <v>44873</v>
      </c>
      <c r="S477" s="37">
        <v>2.9276</v>
      </c>
      <c r="U477" s="39">
        <v>44869</v>
      </c>
      <c r="V477" s="37">
        <v>3.5</v>
      </c>
    </row>
    <row r="478" spans="6:22" x14ac:dyDescent="0.2">
      <c r="F478" s="39">
        <v>44874</v>
      </c>
      <c r="G478" s="37">
        <v>2.85</v>
      </c>
      <c r="I478" s="39">
        <v>44882</v>
      </c>
      <c r="J478" s="37">
        <v>1.4019999999999999</v>
      </c>
      <c r="O478" s="39">
        <v>44428</v>
      </c>
      <c r="P478" s="37">
        <v>0.05</v>
      </c>
      <c r="R478" s="39">
        <v>44872</v>
      </c>
      <c r="S478" s="37">
        <v>2.9268000000000001</v>
      </c>
      <c r="U478" s="39">
        <v>44868</v>
      </c>
      <c r="V478" s="37">
        <v>3.5</v>
      </c>
    </row>
    <row r="479" spans="6:22" x14ac:dyDescent="0.2">
      <c r="F479" s="39">
        <v>44873</v>
      </c>
      <c r="G479" s="37">
        <v>2.85</v>
      </c>
      <c r="I479" s="39">
        <v>44881</v>
      </c>
      <c r="J479" s="37">
        <v>1.401</v>
      </c>
      <c r="O479" s="39">
        <v>44431</v>
      </c>
      <c r="P479" s="37">
        <v>0.05</v>
      </c>
      <c r="R479" s="39">
        <v>44869</v>
      </c>
      <c r="S479" s="37">
        <v>2.9264999999999999</v>
      </c>
      <c r="U479" s="39">
        <v>44867</v>
      </c>
      <c r="V479" s="37">
        <v>3.5</v>
      </c>
    </row>
    <row r="480" spans="6:22" x14ac:dyDescent="0.2">
      <c r="F480" s="39">
        <v>44872</v>
      </c>
      <c r="G480" s="37">
        <v>2.85</v>
      </c>
      <c r="I480" s="39">
        <v>44880</v>
      </c>
      <c r="J480" s="37">
        <v>1.4</v>
      </c>
      <c r="O480" s="39">
        <v>44432</v>
      </c>
      <c r="P480" s="37">
        <v>0.05</v>
      </c>
      <c r="R480" s="39">
        <v>44868</v>
      </c>
      <c r="S480" s="37">
        <v>2.9306000000000001</v>
      </c>
      <c r="U480" s="39">
        <v>44866</v>
      </c>
      <c r="V480" s="37">
        <v>3.5</v>
      </c>
    </row>
    <row r="481" spans="6:22" x14ac:dyDescent="0.2">
      <c r="F481" s="39">
        <v>44869</v>
      </c>
      <c r="G481" s="37">
        <v>2.85</v>
      </c>
      <c r="I481" s="39">
        <v>44879</v>
      </c>
      <c r="J481" s="37">
        <v>1.401</v>
      </c>
      <c r="O481" s="39">
        <v>44433</v>
      </c>
      <c r="P481" s="37">
        <v>0.05</v>
      </c>
      <c r="R481" s="39">
        <v>44867</v>
      </c>
      <c r="S481" s="37">
        <v>2.1859000000000002</v>
      </c>
      <c r="U481" s="39">
        <v>44865</v>
      </c>
      <c r="V481" s="37">
        <v>3.5</v>
      </c>
    </row>
    <row r="482" spans="6:22" x14ac:dyDescent="0.2">
      <c r="F482" s="39">
        <v>44868</v>
      </c>
      <c r="G482" s="37">
        <v>2.85</v>
      </c>
      <c r="I482" s="39">
        <v>44876</v>
      </c>
      <c r="J482" s="37">
        <v>1.4039999999999999</v>
      </c>
      <c r="O482" s="39">
        <v>44434</v>
      </c>
      <c r="P482" s="37">
        <v>0.05</v>
      </c>
      <c r="R482" s="39">
        <v>44866</v>
      </c>
      <c r="S482" s="37">
        <v>2.1856</v>
      </c>
      <c r="U482" s="39">
        <v>44862</v>
      </c>
      <c r="V482" s="37">
        <v>3.5</v>
      </c>
    </row>
    <row r="483" spans="6:22" x14ac:dyDescent="0.2">
      <c r="F483" s="39">
        <v>44867</v>
      </c>
      <c r="G483" s="37">
        <v>2.85</v>
      </c>
      <c r="I483" s="39">
        <v>44875</v>
      </c>
      <c r="J483" s="37">
        <v>1.4019999999999999</v>
      </c>
      <c r="O483" s="39">
        <v>44435</v>
      </c>
      <c r="P483" s="37">
        <v>0.05</v>
      </c>
      <c r="R483" s="39">
        <v>44865</v>
      </c>
      <c r="S483" s="37">
        <v>2.1838000000000002</v>
      </c>
      <c r="U483" s="39">
        <v>44861</v>
      </c>
      <c r="V483" s="37">
        <v>3.5</v>
      </c>
    </row>
    <row r="484" spans="6:22" x14ac:dyDescent="0.2">
      <c r="F484" s="39">
        <v>44866</v>
      </c>
      <c r="G484" s="37">
        <v>2.6</v>
      </c>
      <c r="I484" s="39">
        <v>44874</v>
      </c>
      <c r="J484" s="37">
        <v>1.4</v>
      </c>
      <c r="O484" s="39">
        <v>44438</v>
      </c>
      <c r="P484" s="37">
        <v>0.05</v>
      </c>
      <c r="R484" s="39">
        <v>44862</v>
      </c>
      <c r="S484" s="37">
        <v>2.1852999999999998</v>
      </c>
      <c r="U484" s="39">
        <v>44860</v>
      </c>
      <c r="V484" s="37">
        <v>3.5</v>
      </c>
    </row>
    <row r="485" spans="6:22" x14ac:dyDescent="0.2">
      <c r="F485" s="39">
        <v>44865</v>
      </c>
      <c r="G485" s="37">
        <v>2.6</v>
      </c>
      <c r="I485" s="39">
        <v>44873</v>
      </c>
      <c r="J485" s="37">
        <v>1.4</v>
      </c>
      <c r="O485" s="39">
        <v>44439</v>
      </c>
      <c r="P485" s="37">
        <v>0.05</v>
      </c>
      <c r="R485" s="39">
        <v>44861</v>
      </c>
      <c r="S485" s="37">
        <v>2.1852</v>
      </c>
      <c r="U485" s="39">
        <v>44859</v>
      </c>
      <c r="V485" s="37">
        <v>3.5</v>
      </c>
    </row>
    <row r="486" spans="6:22" x14ac:dyDescent="0.2">
      <c r="F486" s="39">
        <v>44862</v>
      </c>
      <c r="G486" s="37">
        <v>2.6</v>
      </c>
      <c r="I486" s="39">
        <v>44872</v>
      </c>
      <c r="J486" s="37">
        <v>1.4</v>
      </c>
      <c r="O486" s="39">
        <v>44440</v>
      </c>
      <c r="P486" s="37">
        <v>0.05</v>
      </c>
      <c r="R486" s="39">
        <v>44860</v>
      </c>
      <c r="S486" s="37">
        <v>2.1852</v>
      </c>
      <c r="U486" s="39">
        <v>44855</v>
      </c>
      <c r="V486" s="37">
        <v>3.5</v>
      </c>
    </row>
    <row r="487" spans="6:22" x14ac:dyDescent="0.2">
      <c r="F487" s="39">
        <v>44861</v>
      </c>
      <c r="G487" s="37">
        <v>2.6</v>
      </c>
      <c r="I487" s="39">
        <v>44869</v>
      </c>
      <c r="J487" s="37">
        <v>1.401</v>
      </c>
      <c r="O487" s="39">
        <v>44441</v>
      </c>
      <c r="P487" s="37">
        <v>0.05</v>
      </c>
      <c r="R487" s="39">
        <v>44859</v>
      </c>
      <c r="S487" s="37">
        <v>2.1861999999999999</v>
      </c>
      <c r="U487" s="39">
        <v>44854</v>
      </c>
      <c r="V487" s="37">
        <v>3.5</v>
      </c>
    </row>
    <row r="488" spans="6:22" x14ac:dyDescent="0.2">
      <c r="F488" s="39">
        <v>44860</v>
      </c>
      <c r="G488" s="37">
        <v>2.6</v>
      </c>
      <c r="I488" s="39">
        <v>44868</v>
      </c>
      <c r="J488" s="37">
        <v>1.403</v>
      </c>
      <c r="O488" s="39">
        <v>44442</v>
      </c>
      <c r="P488" s="37">
        <v>0.05</v>
      </c>
      <c r="R488" s="39">
        <v>44858</v>
      </c>
      <c r="S488" s="37">
        <v>2.1861999999999999</v>
      </c>
      <c r="U488" s="39">
        <v>44853</v>
      </c>
      <c r="V488" s="37">
        <v>3.5</v>
      </c>
    </row>
    <row r="489" spans="6:22" x14ac:dyDescent="0.2">
      <c r="F489" s="39">
        <v>44859</v>
      </c>
      <c r="G489" s="37">
        <v>2.6</v>
      </c>
      <c r="I489" s="39">
        <v>44867</v>
      </c>
      <c r="J489" s="37">
        <v>1.403</v>
      </c>
      <c r="O489" s="39">
        <v>44446</v>
      </c>
      <c r="P489" s="37">
        <v>0.05</v>
      </c>
      <c r="R489" s="39">
        <v>44855</v>
      </c>
      <c r="S489" s="37">
        <v>2.1850000000000001</v>
      </c>
      <c r="U489" s="39">
        <v>44852</v>
      </c>
      <c r="V489" s="37">
        <v>3.5</v>
      </c>
    </row>
    <row r="490" spans="6:22" x14ac:dyDescent="0.2">
      <c r="F490" s="39">
        <v>44858</v>
      </c>
      <c r="G490" s="37">
        <v>2.6</v>
      </c>
      <c r="I490" s="39">
        <v>44866</v>
      </c>
      <c r="J490" s="37">
        <v>0.65900000000000003</v>
      </c>
      <c r="O490" s="39">
        <v>44447</v>
      </c>
      <c r="P490" s="37">
        <v>0.05</v>
      </c>
      <c r="R490" s="39">
        <v>44854</v>
      </c>
      <c r="S490" s="37">
        <v>2.1850999999999998</v>
      </c>
      <c r="U490" s="39">
        <v>44851</v>
      </c>
      <c r="V490" s="37">
        <v>3.5</v>
      </c>
    </row>
    <row r="491" spans="6:22" x14ac:dyDescent="0.2">
      <c r="F491" s="39">
        <v>44855</v>
      </c>
      <c r="G491" s="37">
        <v>2.6</v>
      </c>
      <c r="I491" s="39">
        <v>44865</v>
      </c>
      <c r="J491" s="37">
        <v>0.64800000000000002</v>
      </c>
      <c r="O491" s="39">
        <v>44448</v>
      </c>
      <c r="P491" s="37">
        <v>0.05</v>
      </c>
      <c r="R491" s="39">
        <v>44853</v>
      </c>
      <c r="S491" s="37">
        <v>2.1842999999999999</v>
      </c>
      <c r="U491" s="39">
        <v>44848</v>
      </c>
      <c r="V491" s="37">
        <v>3.5</v>
      </c>
    </row>
    <row r="492" spans="6:22" x14ac:dyDescent="0.2">
      <c r="F492" s="39">
        <v>44854</v>
      </c>
      <c r="G492" s="37">
        <v>2.6</v>
      </c>
      <c r="I492" s="39">
        <v>44862</v>
      </c>
      <c r="J492" s="37">
        <v>0.65600000000000003</v>
      </c>
      <c r="O492" s="39">
        <v>44449</v>
      </c>
      <c r="P492" s="37">
        <v>0.05</v>
      </c>
      <c r="R492" s="39">
        <v>44852</v>
      </c>
      <c r="S492" s="37">
        <v>2.1842000000000001</v>
      </c>
      <c r="U492" s="39">
        <v>44847</v>
      </c>
      <c r="V492" s="37">
        <v>3.5</v>
      </c>
    </row>
    <row r="493" spans="6:22" x14ac:dyDescent="0.2">
      <c r="F493" s="39">
        <v>44853</v>
      </c>
      <c r="G493" s="37">
        <v>2.6</v>
      </c>
      <c r="I493" s="39">
        <v>44861</v>
      </c>
      <c r="J493" s="37">
        <v>0.65700000000000003</v>
      </c>
      <c r="O493" s="39">
        <v>44452</v>
      </c>
      <c r="P493" s="37">
        <v>0.05</v>
      </c>
      <c r="R493" s="39">
        <v>44851</v>
      </c>
      <c r="S493" s="37">
        <v>2.1839</v>
      </c>
      <c r="U493" s="39">
        <v>44846</v>
      </c>
      <c r="V493" s="37">
        <v>3.5</v>
      </c>
    </row>
    <row r="494" spans="6:22" x14ac:dyDescent="0.2">
      <c r="F494" s="39">
        <v>44852</v>
      </c>
      <c r="G494" s="37">
        <v>2.6</v>
      </c>
      <c r="I494" s="39">
        <v>44860</v>
      </c>
      <c r="J494" s="37">
        <v>0.65600000000000003</v>
      </c>
      <c r="O494" s="39">
        <v>44453</v>
      </c>
      <c r="P494" s="37">
        <v>0.05</v>
      </c>
      <c r="R494" s="39">
        <v>44848</v>
      </c>
      <c r="S494" s="37">
        <v>2.1844000000000001</v>
      </c>
      <c r="U494" s="39">
        <v>44845</v>
      </c>
      <c r="V494" s="37">
        <v>3.5</v>
      </c>
    </row>
    <row r="495" spans="6:22" x14ac:dyDescent="0.2">
      <c r="F495" s="39">
        <v>44851</v>
      </c>
      <c r="G495" s="37">
        <v>2.6</v>
      </c>
      <c r="I495" s="39">
        <v>44859</v>
      </c>
      <c r="J495" s="37">
        <v>0.65600000000000003</v>
      </c>
      <c r="O495" s="39">
        <v>44454</v>
      </c>
      <c r="P495" s="37">
        <v>0.05</v>
      </c>
      <c r="R495" s="39">
        <v>44847</v>
      </c>
      <c r="S495" s="37">
        <v>2.1861999999999999</v>
      </c>
      <c r="U495" s="39">
        <v>44844</v>
      </c>
      <c r="V495" s="37">
        <v>3.5</v>
      </c>
    </row>
    <row r="496" spans="6:22" x14ac:dyDescent="0.2">
      <c r="F496" s="39">
        <v>44848</v>
      </c>
      <c r="G496" s="37">
        <v>2.6</v>
      </c>
      <c r="I496" s="39">
        <v>44858</v>
      </c>
      <c r="J496" s="37">
        <v>0.65800000000000003</v>
      </c>
      <c r="O496" s="39">
        <v>44455</v>
      </c>
      <c r="P496" s="37">
        <v>0.05</v>
      </c>
      <c r="R496" s="39">
        <v>44846</v>
      </c>
      <c r="S496" s="37">
        <v>2.1859999999999999</v>
      </c>
      <c r="U496" s="39">
        <v>44841</v>
      </c>
      <c r="V496" s="37">
        <v>3.5</v>
      </c>
    </row>
    <row r="497" spans="6:22" x14ac:dyDescent="0.2">
      <c r="F497" s="39">
        <v>44847</v>
      </c>
      <c r="G497" s="37">
        <v>2.6</v>
      </c>
      <c r="I497" s="39">
        <v>44855</v>
      </c>
      <c r="J497" s="37">
        <v>0.65700000000000003</v>
      </c>
      <c r="O497" s="39">
        <v>44456</v>
      </c>
      <c r="P497" s="37">
        <v>0.05</v>
      </c>
      <c r="R497" s="39">
        <v>44845</v>
      </c>
      <c r="S497" s="37">
        <v>2.1873</v>
      </c>
      <c r="U497" s="39">
        <v>44840</v>
      </c>
      <c r="V497" s="37">
        <v>3.5</v>
      </c>
    </row>
    <row r="498" spans="6:22" x14ac:dyDescent="0.2">
      <c r="F498" s="39">
        <v>44846</v>
      </c>
      <c r="G498" s="37">
        <v>2.6</v>
      </c>
      <c r="I498" s="39">
        <v>44854</v>
      </c>
      <c r="J498" s="37">
        <v>0.65600000000000003</v>
      </c>
      <c r="O498" s="39">
        <v>44459</v>
      </c>
      <c r="P498" s="37">
        <v>0.05</v>
      </c>
      <c r="R498" s="39">
        <v>44844</v>
      </c>
      <c r="S498" s="37">
        <v>2.1863999999999999</v>
      </c>
      <c r="U498" s="39">
        <v>44839</v>
      </c>
      <c r="V498" s="37">
        <v>3</v>
      </c>
    </row>
    <row r="499" spans="6:22" x14ac:dyDescent="0.2">
      <c r="F499" s="39">
        <v>44845</v>
      </c>
      <c r="G499" s="37">
        <v>2.6</v>
      </c>
      <c r="I499" s="39">
        <v>44853</v>
      </c>
      <c r="J499" s="37">
        <v>0.65600000000000003</v>
      </c>
      <c r="O499" s="39">
        <v>44460</v>
      </c>
      <c r="P499" s="37">
        <v>0.05</v>
      </c>
      <c r="R499" s="39">
        <v>44841</v>
      </c>
      <c r="S499" s="37">
        <v>2.1876000000000002</v>
      </c>
      <c r="U499" s="39">
        <v>44838</v>
      </c>
      <c r="V499" s="37">
        <v>3</v>
      </c>
    </row>
    <row r="500" spans="6:22" x14ac:dyDescent="0.2">
      <c r="F500" s="39">
        <v>44844</v>
      </c>
      <c r="G500" s="37">
        <v>2.6</v>
      </c>
      <c r="I500" s="39">
        <v>44852</v>
      </c>
      <c r="J500" s="37">
        <v>0.65700000000000003</v>
      </c>
      <c r="O500" s="39">
        <v>44461</v>
      </c>
      <c r="P500" s="37">
        <v>0.05</v>
      </c>
      <c r="R500" s="39">
        <v>44840</v>
      </c>
      <c r="S500" s="37">
        <v>2.1869000000000001</v>
      </c>
      <c r="U500" s="39">
        <v>44837</v>
      </c>
      <c r="V500" s="37">
        <v>3</v>
      </c>
    </row>
    <row r="501" spans="6:22" x14ac:dyDescent="0.2">
      <c r="F501" s="39">
        <v>44841</v>
      </c>
      <c r="G501" s="37">
        <v>2.6</v>
      </c>
      <c r="I501" s="39">
        <v>44851</v>
      </c>
      <c r="J501" s="37">
        <v>0.65800000000000003</v>
      </c>
      <c r="O501" s="39">
        <v>44462</v>
      </c>
      <c r="P501" s="37">
        <v>0.05</v>
      </c>
      <c r="R501" s="39">
        <v>44839</v>
      </c>
      <c r="S501" s="37">
        <v>2.1865999999999999</v>
      </c>
      <c r="U501" s="39">
        <v>44834</v>
      </c>
      <c r="V501" s="37">
        <v>3</v>
      </c>
    </row>
    <row r="502" spans="6:22" x14ac:dyDescent="0.2">
      <c r="F502" s="39">
        <v>44840</v>
      </c>
      <c r="G502" s="37">
        <v>2.6</v>
      </c>
      <c r="I502" s="39">
        <v>44848</v>
      </c>
      <c r="J502" s="37">
        <v>0.65700000000000003</v>
      </c>
      <c r="O502" s="39">
        <v>44463</v>
      </c>
      <c r="P502" s="37">
        <v>0.05</v>
      </c>
      <c r="R502" s="39">
        <v>44838</v>
      </c>
      <c r="S502" s="37">
        <v>2.1859999999999999</v>
      </c>
      <c r="U502" s="39">
        <v>44833</v>
      </c>
      <c r="V502" s="37">
        <v>3</v>
      </c>
    </row>
    <row r="503" spans="6:22" x14ac:dyDescent="0.2">
      <c r="F503" s="39">
        <v>44839</v>
      </c>
      <c r="G503" s="37">
        <v>2.6</v>
      </c>
      <c r="I503" s="39">
        <v>44847</v>
      </c>
      <c r="J503" s="37">
        <v>0.65800000000000003</v>
      </c>
      <c r="O503" s="39">
        <v>44466</v>
      </c>
      <c r="P503" s="37">
        <v>0.05</v>
      </c>
      <c r="R503" s="39">
        <v>44837</v>
      </c>
      <c r="S503" s="37">
        <v>2.1880000000000002</v>
      </c>
      <c r="U503" s="39">
        <v>44832</v>
      </c>
      <c r="V503" s="37">
        <v>3</v>
      </c>
    </row>
    <row r="504" spans="6:22" x14ac:dyDescent="0.2">
      <c r="F504" s="39">
        <v>44838</v>
      </c>
      <c r="G504" s="37">
        <v>2.35</v>
      </c>
      <c r="I504" s="39">
        <v>44846</v>
      </c>
      <c r="J504" s="37">
        <v>0.65800000000000003</v>
      </c>
      <c r="O504" s="39">
        <v>44467</v>
      </c>
      <c r="P504" s="37">
        <v>0.05</v>
      </c>
      <c r="R504" s="39">
        <v>44834</v>
      </c>
      <c r="S504" s="37">
        <v>2.1901000000000002</v>
      </c>
      <c r="U504" s="39">
        <v>44831</v>
      </c>
      <c r="V504" s="37">
        <v>3</v>
      </c>
    </row>
    <row r="505" spans="6:22" x14ac:dyDescent="0.2">
      <c r="F505" s="39">
        <v>44837</v>
      </c>
      <c r="G505" s="37">
        <v>2.35</v>
      </c>
      <c r="I505" s="39">
        <v>44845</v>
      </c>
      <c r="J505" s="37">
        <v>0.65700000000000003</v>
      </c>
      <c r="O505" s="39">
        <v>44468</v>
      </c>
      <c r="P505" s="37">
        <v>0.05</v>
      </c>
      <c r="R505" s="39">
        <v>44833</v>
      </c>
      <c r="S505" s="37">
        <v>2.1890000000000001</v>
      </c>
      <c r="U505" s="39">
        <v>44827</v>
      </c>
      <c r="V505" s="37">
        <v>3</v>
      </c>
    </row>
    <row r="506" spans="6:22" x14ac:dyDescent="0.2">
      <c r="F506" s="39">
        <v>44834</v>
      </c>
      <c r="G506" s="37">
        <v>2.35</v>
      </c>
      <c r="I506" s="39">
        <v>44844</v>
      </c>
      <c r="J506" s="37">
        <v>0.65500000000000003</v>
      </c>
      <c r="O506" s="39">
        <v>44469</v>
      </c>
      <c r="P506" s="37">
        <v>0.05</v>
      </c>
      <c r="R506" s="39">
        <v>44832</v>
      </c>
      <c r="S506" s="37">
        <v>2.1890999999999998</v>
      </c>
      <c r="U506" s="39">
        <v>44826</v>
      </c>
      <c r="V506" s="37">
        <v>3</v>
      </c>
    </row>
    <row r="507" spans="6:22" x14ac:dyDescent="0.2">
      <c r="F507" s="39">
        <v>44833</v>
      </c>
      <c r="G507" s="37">
        <v>2.35</v>
      </c>
      <c r="I507" s="39">
        <v>44841</v>
      </c>
      <c r="J507" s="37">
        <v>0.65600000000000003</v>
      </c>
      <c r="O507" s="39">
        <v>44470</v>
      </c>
      <c r="P507" s="37">
        <v>0.05</v>
      </c>
      <c r="R507" s="39">
        <v>44831</v>
      </c>
      <c r="S507" s="37">
        <v>2.1890000000000001</v>
      </c>
      <c r="U507" s="39">
        <v>44825</v>
      </c>
      <c r="V507" s="37">
        <v>3</v>
      </c>
    </row>
    <row r="508" spans="6:22" x14ac:dyDescent="0.2">
      <c r="F508" s="39">
        <v>44832</v>
      </c>
      <c r="G508" s="37">
        <v>2.35</v>
      </c>
      <c r="I508" s="39">
        <v>44840</v>
      </c>
      <c r="J508" s="37">
        <v>0.65500000000000003</v>
      </c>
      <c r="O508" s="39">
        <v>44473</v>
      </c>
      <c r="P508" s="37">
        <v>0.05</v>
      </c>
      <c r="R508" s="39">
        <v>44830</v>
      </c>
      <c r="S508" s="37">
        <v>2.1890000000000001</v>
      </c>
      <c r="U508" s="39">
        <v>44824</v>
      </c>
      <c r="V508" s="37">
        <v>3</v>
      </c>
    </row>
    <row r="509" spans="6:22" x14ac:dyDescent="0.2">
      <c r="F509" s="39">
        <v>44831</v>
      </c>
      <c r="G509" s="37">
        <v>2.35</v>
      </c>
      <c r="I509" s="39">
        <v>44839</v>
      </c>
      <c r="J509" s="37">
        <v>0.65200000000000002</v>
      </c>
      <c r="O509" s="39">
        <v>44474</v>
      </c>
      <c r="P509" s="37">
        <v>0.05</v>
      </c>
      <c r="R509" s="39">
        <v>44827</v>
      </c>
      <c r="S509" s="37">
        <v>2.1884000000000001</v>
      </c>
      <c r="U509" s="39">
        <v>44823</v>
      </c>
      <c r="V509" s="37">
        <v>3</v>
      </c>
    </row>
    <row r="510" spans="6:22" x14ac:dyDescent="0.2">
      <c r="F510" s="39">
        <v>44830</v>
      </c>
      <c r="G510" s="37">
        <v>2.35</v>
      </c>
      <c r="I510" s="39">
        <v>44838</v>
      </c>
      <c r="J510" s="37">
        <v>0.65700000000000003</v>
      </c>
      <c r="O510" s="39">
        <v>44475</v>
      </c>
      <c r="P510" s="37">
        <v>0.05</v>
      </c>
      <c r="R510" s="39">
        <v>44826</v>
      </c>
      <c r="S510" s="37">
        <v>2.1876000000000002</v>
      </c>
      <c r="U510" s="39">
        <v>44820</v>
      </c>
      <c r="V510" s="37">
        <v>3</v>
      </c>
    </row>
    <row r="511" spans="6:22" x14ac:dyDescent="0.2">
      <c r="F511" s="39">
        <v>44827</v>
      </c>
      <c r="G511" s="37">
        <v>2.35</v>
      </c>
      <c r="I511" s="39">
        <v>44837</v>
      </c>
      <c r="J511" s="37">
        <v>0.65600000000000003</v>
      </c>
      <c r="O511" s="39">
        <v>44476</v>
      </c>
      <c r="P511" s="37">
        <v>0.05</v>
      </c>
      <c r="R511" s="39">
        <v>44825</v>
      </c>
      <c r="S511" s="37">
        <v>1.6902999999999999</v>
      </c>
      <c r="U511" s="39">
        <v>44819</v>
      </c>
      <c r="V511" s="37">
        <v>3</v>
      </c>
    </row>
    <row r="512" spans="6:22" x14ac:dyDescent="0.2">
      <c r="F512" s="39">
        <v>44825</v>
      </c>
      <c r="G512" s="37">
        <v>2.35</v>
      </c>
      <c r="I512" s="39">
        <v>44834</v>
      </c>
      <c r="J512" s="37">
        <v>0.64200000000000002</v>
      </c>
      <c r="O512" s="39">
        <v>44477</v>
      </c>
      <c r="P512" s="37">
        <v>0.05</v>
      </c>
      <c r="R512" s="39">
        <v>44824</v>
      </c>
      <c r="S512" s="37">
        <v>1.6910000000000001</v>
      </c>
      <c r="U512" s="39">
        <v>44818</v>
      </c>
      <c r="V512" s="37">
        <v>3</v>
      </c>
    </row>
    <row r="513" spans="6:22" x14ac:dyDescent="0.2">
      <c r="F513" s="39">
        <v>44824</v>
      </c>
      <c r="G513" s="37">
        <v>2.35</v>
      </c>
      <c r="I513" s="39">
        <v>44833</v>
      </c>
      <c r="J513" s="37">
        <v>0.66100000000000003</v>
      </c>
      <c r="O513" s="39">
        <v>44481</v>
      </c>
      <c r="P513" s="37">
        <v>0.05</v>
      </c>
      <c r="R513" s="39">
        <v>44820</v>
      </c>
      <c r="S513" s="37">
        <v>1.6906000000000001</v>
      </c>
      <c r="U513" s="39">
        <v>44817</v>
      </c>
      <c r="V513" s="37">
        <v>3</v>
      </c>
    </row>
    <row r="514" spans="6:22" x14ac:dyDescent="0.2">
      <c r="F514" s="39">
        <v>44823</v>
      </c>
      <c r="G514" s="37">
        <v>2.35</v>
      </c>
      <c r="I514" s="39">
        <v>44832</v>
      </c>
      <c r="J514" s="37">
        <v>0.66200000000000003</v>
      </c>
      <c r="O514" s="39">
        <v>44482</v>
      </c>
      <c r="P514" s="37">
        <v>0.05</v>
      </c>
      <c r="R514" s="39">
        <v>44819</v>
      </c>
      <c r="S514" s="37">
        <v>1.6910000000000001</v>
      </c>
      <c r="U514" s="39">
        <v>44816</v>
      </c>
      <c r="V514" s="37">
        <v>3</v>
      </c>
    </row>
    <row r="515" spans="6:22" x14ac:dyDescent="0.2">
      <c r="F515" s="39">
        <v>44820</v>
      </c>
      <c r="G515" s="37">
        <v>2.35</v>
      </c>
      <c r="I515" s="39">
        <v>44831</v>
      </c>
      <c r="J515" s="37">
        <v>0.66200000000000003</v>
      </c>
      <c r="O515" s="39">
        <v>44483</v>
      </c>
      <c r="P515" s="37">
        <v>0.05</v>
      </c>
      <c r="R515" s="39">
        <v>44818</v>
      </c>
      <c r="S515" s="37">
        <v>1.6914</v>
      </c>
      <c r="U515" s="39">
        <v>44813</v>
      </c>
      <c r="V515" s="37">
        <v>3</v>
      </c>
    </row>
    <row r="516" spans="6:22" x14ac:dyDescent="0.2">
      <c r="F516" s="39">
        <v>44819</v>
      </c>
      <c r="G516" s="37">
        <v>2.35</v>
      </c>
      <c r="I516" s="39">
        <v>44830</v>
      </c>
      <c r="J516" s="37">
        <v>0.66300000000000003</v>
      </c>
      <c r="O516" s="39">
        <v>44484</v>
      </c>
      <c r="P516" s="37">
        <v>0.05</v>
      </c>
      <c r="R516" s="39">
        <v>44817</v>
      </c>
      <c r="S516" s="37">
        <v>1.6911</v>
      </c>
      <c r="U516" s="39">
        <v>44812</v>
      </c>
      <c r="V516" s="37">
        <v>3</v>
      </c>
    </row>
    <row r="517" spans="6:22" x14ac:dyDescent="0.2">
      <c r="F517" s="39">
        <v>44818</v>
      </c>
      <c r="G517" s="37">
        <v>2.35</v>
      </c>
      <c r="I517" s="39">
        <v>44827</v>
      </c>
      <c r="J517" s="37">
        <v>0.66200000000000003</v>
      </c>
      <c r="O517" s="39">
        <v>44487</v>
      </c>
      <c r="P517" s="37">
        <v>0.05</v>
      </c>
      <c r="R517" s="39">
        <v>44816</v>
      </c>
      <c r="S517" s="37">
        <v>1.6911</v>
      </c>
      <c r="U517" s="39">
        <v>44811</v>
      </c>
      <c r="V517" s="37">
        <v>3</v>
      </c>
    </row>
    <row r="518" spans="6:22" x14ac:dyDescent="0.2">
      <c r="F518" s="39">
        <v>44817</v>
      </c>
      <c r="G518" s="37">
        <v>2.35</v>
      </c>
      <c r="I518" s="39">
        <v>44826</v>
      </c>
      <c r="J518" s="37">
        <v>0.66100000000000003</v>
      </c>
      <c r="O518" s="39">
        <v>44488</v>
      </c>
      <c r="P518" s="37">
        <v>0.03</v>
      </c>
      <c r="R518" s="39">
        <v>44813</v>
      </c>
      <c r="S518" s="37">
        <v>1.6919</v>
      </c>
      <c r="U518" s="39">
        <v>44810</v>
      </c>
      <c r="V518" s="37">
        <v>3</v>
      </c>
    </row>
    <row r="519" spans="6:22" x14ac:dyDescent="0.2">
      <c r="F519" s="39">
        <v>44816</v>
      </c>
      <c r="G519" s="37">
        <v>2.35</v>
      </c>
      <c r="I519" s="39">
        <v>44825</v>
      </c>
      <c r="J519" s="37">
        <v>0.66100000000000003</v>
      </c>
      <c r="O519" s="39">
        <v>44489</v>
      </c>
      <c r="P519" s="37">
        <v>0.03</v>
      </c>
      <c r="R519" s="39">
        <v>44812</v>
      </c>
      <c r="S519" s="37">
        <v>1.6902999999999999</v>
      </c>
      <c r="U519" s="39">
        <v>44809</v>
      </c>
      <c r="V519" s="37">
        <v>3</v>
      </c>
    </row>
    <row r="520" spans="6:22" x14ac:dyDescent="0.2">
      <c r="F520" s="39">
        <v>44813</v>
      </c>
      <c r="G520" s="37">
        <v>2.35</v>
      </c>
      <c r="I520" s="39">
        <v>44824</v>
      </c>
      <c r="J520" s="37">
        <v>0.65900000000000003</v>
      </c>
      <c r="O520" s="39">
        <v>44490</v>
      </c>
      <c r="P520" s="37">
        <v>0.03</v>
      </c>
      <c r="R520" s="39">
        <v>44811</v>
      </c>
      <c r="S520" s="37">
        <v>1.6907000000000001</v>
      </c>
      <c r="U520" s="39">
        <v>44806</v>
      </c>
      <c r="V520" s="37">
        <v>3</v>
      </c>
    </row>
    <row r="521" spans="6:22" x14ac:dyDescent="0.2">
      <c r="F521" s="39">
        <v>44812</v>
      </c>
      <c r="G521" s="37">
        <v>2.35</v>
      </c>
      <c r="I521" s="39">
        <v>44823</v>
      </c>
      <c r="J521" s="37">
        <v>0.65700000000000003</v>
      </c>
      <c r="O521" s="39">
        <v>44491</v>
      </c>
      <c r="P521" s="37">
        <v>0.05</v>
      </c>
      <c r="R521" s="39">
        <v>44810</v>
      </c>
      <c r="S521" s="37">
        <v>1.6913</v>
      </c>
      <c r="U521" s="39">
        <v>44805</v>
      </c>
      <c r="V521" s="37">
        <v>3</v>
      </c>
    </row>
    <row r="522" spans="6:22" x14ac:dyDescent="0.2">
      <c r="F522" s="39">
        <v>44811</v>
      </c>
      <c r="G522" s="37">
        <v>2.35</v>
      </c>
      <c r="I522" s="39">
        <v>44820</v>
      </c>
      <c r="J522" s="37">
        <v>0.66</v>
      </c>
      <c r="O522" s="39">
        <v>44494</v>
      </c>
      <c r="P522" s="37">
        <v>0.04</v>
      </c>
      <c r="R522" s="39">
        <v>44809</v>
      </c>
      <c r="S522" s="37">
        <v>1.6907000000000001</v>
      </c>
      <c r="U522" s="39">
        <v>44804</v>
      </c>
      <c r="V522" s="37">
        <v>3</v>
      </c>
    </row>
    <row r="523" spans="6:22" x14ac:dyDescent="0.2">
      <c r="F523" s="39">
        <v>44810</v>
      </c>
      <c r="G523" s="37">
        <v>1.85</v>
      </c>
      <c r="I523" s="39">
        <v>44819</v>
      </c>
      <c r="J523" s="37">
        <v>0.66</v>
      </c>
      <c r="O523" s="39">
        <v>44495</v>
      </c>
      <c r="P523" s="37">
        <v>0.05</v>
      </c>
      <c r="R523" s="39">
        <v>44806</v>
      </c>
      <c r="S523" s="37">
        <v>1.6911</v>
      </c>
      <c r="U523" s="39">
        <v>44803</v>
      </c>
      <c r="V523" s="37">
        <v>3</v>
      </c>
    </row>
    <row r="524" spans="6:22" x14ac:dyDescent="0.2">
      <c r="F524" s="39">
        <v>44809</v>
      </c>
      <c r="G524" s="37">
        <v>1.85</v>
      </c>
      <c r="I524" s="39">
        <v>44818</v>
      </c>
      <c r="J524" s="37">
        <v>0.66200000000000003</v>
      </c>
      <c r="O524" s="39">
        <v>44496</v>
      </c>
      <c r="P524" s="37">
        <v>0.05</v>
      </c>
      <c r="R524" s="39">
        <v>44805</v>
      </c>
      <c r="S524" s="37">
        <v>1.6901999999999999</v>
      </c>
      <c r="U524" s="39">
        <v>44802</v>
      </c>
      <c r="V524" s="37">
        <v>3</v>
      </c>
    </row>
    <row r="525" spans="6:22" x14ac:dyDescent="0.2">
      <c r="F525" s="39">
        <v>44806</v>
      </c>
      <c r="G525" s="37">
        <v>1.85</v>
      </c>
      <c r="I525" s="39">
        <v>44817</v>
      </c>
      <c r="J525" s="37">
        <v>-8.3000000000000004E-2</v>
      </c>
      <c r="O525" s="39">
        <v>44497</v>
      </c>
      <c r="P525" s="37">
        <v>0.05</v>
      </c>
      <c r="R525" s="39">
        <v>44804</v>
      </c>
      <c r="S525" s="37">
        <v>1.6896</v>
      </c>
      <c r="U525" s="39">
        <v>44799</v>
      </c>
      <c r="V525" s="37">
        <v>3</v>
      </c>
    </row>
    <row r="526" spans="6:22" x14ac:dyDescent="0.2">
      <c r="F526" s="39">
        <v>44805</v>
      </c>
      <c r="G526" s="37">
        <v>1.85</v>
      </c>
      <c r="I526" s="39">
        <v>44816</v>
      </c>
      <c r="J526" s="37">
        <v>-8.5999999999999993E-2</v>
      </c>
      <c r="O526" s="39">
        <v>44498</v>
      </c>
      <c r="P526" s="37">
        <v>0.05</v>
      </c>
      <c r="R526" s="39">
        <v>44803</v>
      </c>
      <c r="S526" s="37">
        <v>1.6904999999999999</v>
      </c>
      <c r="U526" s="39">
        <v>44798</v>
      </c>
      <c r="V526" s="37">
        <v>3</v>
      </c>
    </row>
    <row r="527" spans="6:22" x14ac:dyDescent="0.2">
      <c r="F527" s="39">
        <v>44804</v>
      </c>
      <c r="G527" s="37">
        <v>1.85</v>
      </c>
      <c r="I527" s="39">
        <v>44813</v>
      </c>
      <c r="J527" s="37">
        <v>-8.5000000000000006E-2</v>
      </c>
      <c r="O527" s="39">
        <v>44501</v>
      </c>
      <c r="P527" s="37">
        <v>0.05</v>
      </c>
      <c r="R527" s="39">
        <v>44799</v>
      </c>
      <c r="S527" s="37">
        <v>1.6903999999999999</v>
      </c>
      <c r="U527" s="39">
        <v>44797</v>
      </c>
      <c r="V527" s="37">
        <v>3</v>
      </c>
    </row>
    <row r="528" spans="6:22" x14ac:dyDescent="0.2">
      <c r="F528" s="39">
        <v>44803</v>
      </c>
      <c r="G528" s="37">
        <v>1.85</v>
      </c>
      <c r="I528" s="39">
        <v>44812</v>
      </c>
      <c r="J528" s="37">
        <v>-8.5999999999999993E-2</v>
      </c>
      <c r="O528" s="39">
        <v>44502</v>
      </c>
      <c r="P528" s="37">
        <v>0.05</v>
      </c>
      <c r="R528" s="39">
        <v>44798</v>
      </c>
      <c r="S528" s="37">
        <v>1.6900999999999999</v>
      </c>
      <c r="U528" s="39">
        <v>44796</v>
      </c>
      <c r="V528" s="37">
        <v>3</v>
      </c>
    </row>
    <row r="529" spans="6:22" x14ac:dyDescent="0.2">
      <c r="F529" s="39">
        <v>44802</v>
      </c>
      <c r="G529" s="37">
        <v>1.85</v>
      </c>
      <c r="I529" s="39">
        <v>44811</v>
      </c>
      <c r="J529" s="37">
        <v>-7.5999999999999998E-2</v>
      </c>
      <c r="O529" s="39">
        <v>44503</v>
      </c>
      <c r="P529" s="37">
        <v>0.05</v>
      </c>
      <c r="R529" s="39">
        <v>44797</v>
      </c>
      <c r="S529" s="37">
        <v>1.6904999999999999</v>
      </c>
      <c r="U529" s="39">
        <v>44795</v>
      </c>
      <c r="V529" s="37">
        <v>3</v>
      </c>
    </row>
    <row r="530" spans="6:22" x14ac:dyDescent="0.2">
      <c r="F530" s="39">
        <v>44799</v>
      </c>
      <c r="G530" s="37">
        <v>1.85</v>
      </c>
      <c r="I530" s="39">
        <v>44810</v>
      </c>
      <c r="J530" s="37">
        <v>-8.5000000000000006E-2</v>
      </c>
      <c r="O530" s="39">
        <v>44504</v>
      </c>
      <c r="P530" s="37">
        <v>0.05</v>
      </c>
      <c r="R530" s="39">
        <v>44796</v>
      </c>
      <c r="S530" s="37">
        <v>1.6907000000000001</v>
      </c>
      <c r="U530" s="39">
        <v>44792</v>
      </c>
      <c r="V530" s="37">
        <v>3</v>
      </c>
    </row>
    <row r="531" spans="6:22" x14ac:dyDescent="0.2">
      <c r="F531" s="39">
        <v>44798</v>
      </c>
      <c r="G531" s="37">
        <v>1.85</v>
      </c>
      <c r="I531" s="39">
        <v>44809</v>
      </c>
      <c r="J531" s="37">
        <v>-8.6999999999999994E-2</v>
      </c>
      <c r="O531" s="39">
        <v>44505</v>
      </c>
      <c r="P531" s="37">
        <v>0.05</v>
      </c>
      <c r="R531" s="39">
        <v>44795</v>
      </c>
      <c r="S531" s="37">
        <v>1.69</v>
      </c>
      <c r="U531" s="39">
        <v>44791</v>
      </c>
      <c r="V531" s="37">
        <v>3</v>
      </c>
    </row>
    <row r="532" spans="6:22" x14ac:dyDescent="0.2">
      <c r="F532" s="39">
        <v>44797</v>
      </c>
      <c r="G532" s="37">
        <v>1.85</v>
      </c>
      <c r="I532" s="39">
        <v>44806</v>
      </c>
      <c r="J532" s="37">
        <v>-8.3000000000000004E-2</v>
      </c>
      <c r="O532" s="39">
        <v>44508</v>
      </c>
      <c r="P532" s="37">
        <v>0.05</v>
      </c>
      <c r="R532" s="39">
        <v>44792</v>
      </c>
      <c r="S532" s="37">
        <v>1.6900999999999999</v>
      </c>
      <c r="U532" s="39">
        <v>44790</v>
      </c>
      <c r="V532" s="37">
        <v>2.5</v>
      </c>
    </row>
    <row r="533" spans="6:22" x14ac:dyDescent="0.2">
      <c r="F533" s="39">
        <v>44796</v>
      </c>
      <c r="G533" s="37">
        <v>1.85</v>
      </c>
      <c r="I533" s="39">
        <v>44805</v>
      </c>
      <c r="J533" s="37">
        <v>-8.4000000000000005E-2</v>
      </c>
      <c r="O533" s="39">
        <v>44509</v>
      </c>
      <c r="P533" s="37">
        <v>0.05</v>
      </c>
      <c r="R533" s="39">
        <v>44791</v>
      </c>
      <c r="S533" s="37">
        <v>1.6904999999999999</v>
      </c>
      <c r="U533" s="39">
        <v>44789</v>
      </c>
      <c r="V533" s="37">
        <v>2.5</v>
      </c>
    </row>
    <row r="534" spans="6:22" x14ac:dyDescent="0.2">
      <c r="F534" s="39">
        <v>44795</v>
      </c>
      <c r="G534" s="37">
        <v>1.85</v>
      </c>
      <c r="I534" s="39">
        <v>44804</v>
      </c>
      <c r="J534" s="37">
        <v>-9.0999999999999998E-2</v>
      </c>
      <c r="O534" s="39">
        <v>44510</v>
      </c>
      <c r="P534" s="37">
        <v>0.05</v>
      </c>
      <c r="R534" s="39">
        <v>44790</v>
      </c>
      <c r="S534" s="37">
        <v>1.6907000000000001</v>
      </c>
      <c r="U534" s="39">
        <v>44788</v>
      </c>
      <c r="V534" s="37">
        <v>2.5</v>
      </c>
    </row>
    <row r="535" spans="6:22" x14ac:dyDescent="0.2">
      <c r="F535" s="39">
        <v>44792</v>
      </c>
      <c r="G535" s="37">
        <v>1.85</v>
      </c>
      <c r="I535" s="39">
        <v>44803</v>
      </c>
      <c r="J535" s="37">
        <v>-8.4000000000000005E-2</v>
      </c>
      <c r="O535" s="39">
        <v>44512</v>
      </c>
      <c r="P535" s="37">
        <v>0.05</v>
      </c>
      <c r="R535" s="39">
        <v>44789</v>
      </c>
      <c r="S535" s="37">
        <v>1.6890000000000001</v>
      </c>
      <c r="U535" s="39">
        <v>44785</v>
      </c>
      <c r="V535" s="37">
        <v>2.5</v>
      </c>
    </row>
    <row r="536" spans="6:22" x14ac:dyDescent="0.2">
      <c r="F536" s="39">
        <v>44791</v>
      </c>
      <c r="G536" s="37">
        <v>1.85</v>
      </c>
      <c r="I536" s="39">
        <v>44802</v>
      </c>
      <c r="J536" s="37">
        <v>-8.1000000000000003E-2</v>
      </c>
      <c r="O536" s="39">
        <v>44515</v>
      </c>
      <c r="P536" s="37">
        <v>0.05</v>
      </c>
      <c r="R536" s="39">
        <v>44788</v>
      </c>
      <c r="S536" s="37">
        <v>1.6895</v>
      </c>
      <c r="U536" s="39">
        <v>44784</v>
      </c>
      <c r="V536" s="37">
        <v>2.5</v>
      </c>
    </row>
    <row r="537" spans="6:22" x14ac:dyDescent="0.2">
      <c r="F537" s="39">
        <v>44790</v>
      </c>
      <c r="G537" s="37">
        <v>1.85</v>
      </c>
      <c r="I537" s="39">
        <v>44799</v>
      </c>
      <c r="J537" s="37">
        <v>-0.08</v>
      </c>
      <c r="O537" s="39">
        <v>44516</v>
      </c>
      <c r="P537" s="37">
        <v>0.05</v>
      </c>
      <c r="R537" s="39">
        <v>44785</v>
      </c>
      <c r="S537" s="37">
        <v>1.6897</v>
      </c>
      <c r="U537" s="39">
        <v>44783</v>
      </c>
      <c r="V537" s="37">
        <v>2.5</v>
      </c>
    </row>
    <row r="538" spans="6:22" x14ac:dyDescent="0.2">
      <c r="F538" s="39">
        <v>44789</v>
      </c>
      <c r="G538" s="37">
        <v>1.85</v>
      </c>
      <c r="I538" s="39">
        <v>44798</v>
      </c>
      <c r="J538" s="37">
        <v>-0.08</v>
      </c>
      <c r="O538" s="39">
        <v>44517</v>
      </c>
      <c r="P538" s="37">
        <v>0.05</v>
      </c>
      <c r="R538" s="39">
        <v>44784</v>
      </c>
      <c r="S538" s="37">
        <v>1.6903999999999999</v>
      </c>
      <c r="U538" s="39">
        <v>44782</v>
      </c>
      <c r="V538" s="37">
        <v>2.5</v>
      </c>
    </row>
    <row r="539" spans="6:22" x14ac:dyDescent="0.2">
      <c r="F539" s="39">
        <v>44788</v>
      </c>
      <c r="G539" s="37">
        <v>1.85</v>
      </c>
      <c r="I539" s="39">
        <v>44797</v>
      </c>
      <c r="J539" s="37">
        <v>-8.2000000000000003E-2</v>
      </c>
      <c r="O539" s="39">
        <v>44518</v>
      </c>
      <c r="P539" s="37">
        <v>0.05</v>
      </c>
      <c r="R539" s="39">
        <v>44783</v>
      </c>
      <c r="S539" s="37">
        <v>1.6898</v>
      </c>
      <c r="U539" s="39">
        <v>44781</v>
      </c>
      <c r="V539" s="37">
        <v>2.5</v>
      </c>
    </row>
    <row r="540" spans="6:22" x14ac:dyDescent="0.2">
      <c r="F540" s="39">
        <v>44785</v>
      </c>
      <c r="G540" s="37">
        <v>1.85</v>
      </c>
      <c r="I540" s="39">
        <v>44796</v>
      </c>
      <c r="J540" s="37">
        <v>-0.08</v>
      </c>
      <c r="O540" s="39">
        <v>44519</v>
      </c>
      <c r="P540" s="37">
        <v>0.05</v>
      </c>
      <c r="R540" s="39">
        <v>44782</v>
      </c>
      <c r="S540" s="37">
        <v>1.6904999999999999</v>
      </c>
      <c r="U540" s="39">
        <v>44778</v>
      </c>
      <c r="V540" s="37">
        <v>2.5</v>
      </c>
    </row>
    <row r="541" spans="6:22" x14ac:dyDescent="0.2">
      <c r="F541" s="39">
        <v>44784</v>
      </c>
      <c r="G541" s="37">
        <v>1.85</v>
      </c>
      <c r="I541" s="39">
        <v>44795</v>
      </c>
      <c r="J541" s="37">
        <v>-8.2000000000000003E-2</v>
      </c>
      <c r="O541" s="39">
        <v>44522</v>
      </c>
      <c r="P541" s="37">
        <v>0.05</v>
      </c>
      <c r="R541" s="39">
        <v>44781</v>
      </c>
      <c r="S541" s="37">
        <v>1.69</v>
      </c>
      <c r="U541" s="39">
        <v>44777</v>
      </c>
      <c r="V541" s="37">
        <v>2.5</v>
      </c>
    </row>
    <row r="542" spans="6:22" x14ac:dyDescent="0.2">
      <c r="F542" s="39">
        <v>44783</v>
      </c>
      <c r="G542" s="37">
        <v>1.85</v>
      </c>
      <c r="I542" s="39">
        <v>44792</v>
      </c>
      <c r="J542" s="37">
        <v>-8.4000000000000005E-2</v>
      </c>
      <c r="O542" s="39">
        <v>44523</v>
      </c>
      <c r="P542" s="37">
        <v>0.05</v>
      </c>
      <c r="R542" s="39">
        <v>44778</v>
      </c>
      <c r="S542" s="37">
        <v>1.6902999999999999</v>
      </c>
      <c r="U542" s="39">
        <v>44776</v>
      </c>
      <c r="V542" s="37">
        <v>2.5</v>
      </c>
    </row>
    <row r="543" spans="6:22" x14ac:dyDescent="0.2">
      <c r="F543" s="39">
        <v>44782</v>
      </c>
      <c r="G543" s="37">
        <v>1.85</v>
      </c>
      <c r="I543" s="39">
        <v>44791</v>
      </c>
      <c r="J543" s="37">
        <v>-8.4000000000000005E-2</v>
      </c>
      <c r="O543" s="39">
        <v>44524</v>
      </c>
      <c r="P543" s="37">
        <v>0.05</v>
      </c>
      <c r="R543" s="39">
        <v>44777</v>
      </c>
      <c r="S543" s="37">
        <v>1.6886000000000001</v>
      </c>
      <c r="U543" s="39">
        <v>44775</v>
      </c>
      <c r="V543" s="37">
        <v>2.5</v>
      </c>
    </row>
    <row r="544" spans="6:22" x14ac:dyDescent="0.2">
      <c r="F544" s="39">
        <v>44781</v>
      </c>
      <c r="G544" s="37">
        <v>1.85</v>
      </c>
      <c r="I544" s="39">
        <v>44790</v>
      </c>
      <c r="J544" s="37">
        <v>-8.6999999999999994E-2</v>
      </c>
      <c r="O544" s="39">
        <v>44526</v>
      </c>
      <c r="P544" s="37">
        <v>0.05</v>
      </c>
      <c r="R544" s="39">
        <v>44776</v>
      </c>
      <c r="S544" s="37">
        <v>1.1911</v>
      </c>
      <c r="U544" s="39">
        <v>44774</v>
      </c>
      <c r="V544" s="37">
        <v>2.5</v>
      </c>
    </row>
    <row r="545" spans="6:22" x14ac:dyDescent="0.2">
      <c r="F545" s="39">
        <v>44778</v>
      </c>
      <c r="G545" s="37">
        <v>1.85</v>
      </c>
      <c r="I545" s="39">
        <v>44789</v>
      </c>
      <c r="J545" s="37">
        <v>-8.6999999999999994E-2</v>
      </c>
      <c r="O545" s="39">
        <v>44529</v>
      </c>
      <c r="P545" s="37">
        <v>0.05</v>
      </c>
      <c r="R545" s="39">
        <v>44775</v>
      </c>
      <c r="S545" s="37">
        <v>1.1911</v>
      </c>
      <c r="U545" s="39">
        <v>44771</v>
      </c>
      <c r="V545" s="37">
        <v>2.5</v>
      </c>
    </row>
    <row r="546" spans="6:22" x14ac:dyDescent="0.2">
      <c r="F546" s="39">
        <v>44777</v>
      </c>
      <c r="G546" s="37">
        <v>1.85</v>
      </c>
      <c r="I546" s="39">
        <v>44788</v>
      </c>
      <c r="J546" s="37">
        <v>-8.7999999999999995E-2</v>
      </c>
      <c r="O546" s="39">
        <v>44530</v>
      </c>
      <c r="P546" s="37">
        <v>0.05</v>
      </c>
      <c r="R546" s="39">
        <v>44774</v>
      </c>
      <c r="S546" s="37">
        <v>1.1910000000000001</v>
      </c>
      <c r="U546" s="39">
        <v>44770</v>
      </c>
      <c r="V546" s="37">
        <v>2.5</v>
      </c>
    </row>
    <row r="547" spans="6:22" x14ac:dyDescent="0.2">
      <c r="F547" s="39">
        <v>44776</v>
      </c>
      <c r="G547" s="37">
        <v>1.85</v>
      </c>
      <c r="I547" s="39">
        <v>44785</v>
      </c>
      <c r="J547" s="37">
        <v>-8.7999999999999995E-2</v>
      </c>
      <c r="O547" s="39">
        <v>44531</v>
      </c>
      <c r="P547" s="37">
        <v>0.05</v>
      </c>
      <c r="R547" s="39">
        <v>44771</v>
      </c>
      <c r="S547" s="37">
        <v>1.1909000000000001</v>
      </c>
      <c r="U547" s="39">
        <v>44769</v>
      </c>
      <c r="V547" s="37">
        <v>2.5</v>
      </c>
    </row>
    <row r="548" spans="6:22" x14ac:dyDescent="0.2">
      <c r="F548" s="39">
        <v>44775</v>
      </c>
      <c r="G548" s="37">
        <v>1.35</v>
      </c>
      <c r="I548" s="39">
        <v>44784</v>
      </c>
      <c r="J548" s="37">
        <v>-8.5000000000000006E-2</v>
      </c>
      <c r="O548" s="39">
        <v>44532</v>
      </c>
      <c r="P548" s="37">
        <v>0.05</v>
      </c>
      <c r="R548" s="39">
        <v>44770</v>
      </c>
      <c r="S548" s="37">
        <v>1.1909000000000001</v>
      </c>
      <c r="U548" s="39">
        <v>44768</v>
      </c>
      <c r="V548" s="37">
        <v>2.5</v>
      </c>
    </row>
    <row r="549" spans="6:22" x14ac:dyDescent="0.2">
      <c r="F549" s="39">
        <v>44774</v>
      </c>
      <c r="G549" s="37">
        <v>1.35</v>
      </c>
      <c r="I549" s="39">
        <v>44783</v>
      </c>
      <c r="J549" s="37">
        <v>-8.5999999999999993E-2</v>
      </c>
      <c r="O549" s="39">
        <v>44533</v>
      </c>
      <c r="P549" s="37">
        <v>0.05</v>
      </c>
      <c r="R549" s="39">
        <v>44769</v>
      </c>
      <c r="S549" s="37">
        <v>1.1909000000000001</v>
      </c>
      <c r="U549" s="39">
        <v>44767</v>
      </c>
      <c r="V549" s="37">
        <v>2.5</v>
      </c>
    </row>
    <row r="550" spans="6:22" x14ac:dyDescent="0.2">
      <c r="F550" s="39">
        <v>44771</v>
      </c>
      <c r="G550" s="37">
        <v>1.35</v>
      </c>
      <c r="I550" s="39">
        <v>44782</v>
      </c>
      <c r="J550" s="37">
        <v>-8.5000000000000006E-2</v>
      </c>
      <c r="O550" s="39">
        <v>44536</v>
      </c>
      <c r="P550" s="37">
        <v>0.05</v>
      </c>
      <c r="R550" s="39">
        <v>44768</v>
      </c>
      <c r="S550" s="37">
        <v>1.1909000000000001</v>
      </c>
      <c r="U550" s="39">
        <v>44764</v>
      </c>
      <c r="V550" s="37">
        <v>2.5</v>
      </c>
    </row>
    <row r="551" spans="6:22" x14ac:dyDescent="0.2">
      <c r="F551" s="39">
        <v>44770</v>
      </c>
      <c r="G551" s="37">
        <v>1.35</v>
      </c>
      <c r="I551" s="39">
        <v>44781</v>
      </c>
      <c r="J551" s="37">
        <v>-8.5000000000000006E-2</v>
      </c>
      <c r="O551" s="39">
        <v>44537</v>
      </c>
      <c r="P551" s="37">
        <v>0.05</v>
      </c>
      <c r="R551" s="39">
        <v>44767</v>
      </c>
      <c r="S551" s="37">
        <v>1.1910000000000001</v>
      </c>
      <c r="U551" s="39">
        <v>44763</v>
      </c>
      <c r="V551" s="37">
        <v>2.5</v>
      </c>
    </row>
    <row r="552" spans="6:22" x14ac:dyDescent="0.2">
      <c r="F552" s="39">
        <v>44769</v>
      </c>
      <c r="G552" s="37">
        <v>1.35</v>
      </c>
      <c r="I552" s="39">
        <v>44778</v>
      </c>
      <c r="J552" s="37">
        <v>-8.5000000000000006E-2</v>
      </c>
      <c r="O552" s="39">
        <v>44538</v>
      </c>
      <c r="P552" s="37">
        <v>0.05</v>
      </c>
      <c r="R552" s="39">
        <v>44764</v>
      </c>
      <c r="S552" s="37">
        <v>1.1904999999999999</v>
      </c>
      <c r="U552" s="39">
        <v>44762</v>
      </c>
      <c r="V552" s="37">
        <v>2.5</v>
      </c>
    </row>
    <row r="553" spans="6:22" x14ac:dyDescent="0.2">
      <c r="F553" s="39">
        <v>44768</v>
      </c>
      <c r="G553" s="37">
        <v>1.35</v>
      </c>
      <c r="I553" s="39">
        <v>44777</v>
      </c>
      <c r="J553" s="37">
        <v>-8.4000000000000005E-2</v>
      </c>
      <c r="O553" s="39">
        <v>44539</v>
      </c>
      <c r="P553" s="37">
        <v>0.05</v>
      </c>
      <c r="R553" s="39">
        <v>44763</v>
      </c>
      <c r="S553" s="37">
        <v>1.1900999999999999</v>
      </c>
      <c r="U553" s="39">
        <v>44761</v>
      </c>
      <c r="V553" s="37">
        <v>2.5</v>
      </c>
    </row>
    <row r="554" spans="6:22" x14ac:dyDescent="0.2">
      <c r="F554" s="39">
        <v>44767</v>
      </c>
      <c r="G554" s="37">
        <v>1.35</v>
      </c>
      <c r="I554" s="39">
        <v>44776</v>
      </c>
      <c r="J554" s="37">
        <v>-8.6999999999999994E-2</v>
      </c>
      <c r="O554" s="39">
        <v>44540</v>
      </c>
      <c r="P554" s="37">
        <v>0.05</v>
      </c>
      <c r="R554" s="39">
        <v>44762</v>
      </c>
      <c r="S554" s="37">
        <v>1.1906000000000001</v>
      </c>
      <c r="U554" s="39">
        <v>44760</v>
      </c>
      <c r="V554" s="37">
        <v>2.5</v>
      </c>
    </row>
    <row r="555" spans="6:22" x14ac:dyDescent="0.2">
      <c r="F555" s="39">
        <v>44764</v>
      </c>
      <c r="G555" s="37">
        <v>1.35</v>
      </c>
      <c r="I555" s="39">
        <v>44775</v>
      </c>
      <c r="J555" s="37">
        <v>-8.6999999999999994E-2</v>
      </c>
      <c r="O555" s="39">
        <v>44543</v>
      </c>
      <c r="P555" s="37">
        <v>0.05</v>
      </c>
      <c r="R555" s="39">
        <v>44761</v>
      </c>
      <c r="S555" s="37">
        <v>1.1909000000000001</v>
      </c>
      <c r="U555" s="39">
        <v>44757</v>
      </c>
      <c r="V555" s="37">
        <v>2.5</v>
      </c>
    </row>
    <row r="556" spans="6:22" x14ac:dyDescent="0.2">
      <c r="F556" s="39">
        <v>44763</v>
      </c>
      <c r="G556" s="37">
        <v>1.35</v>
      </c>
      <c r="I556" s="39">
        <v>44774</v>
      </c>
      <c r="J556" s="37">
        <v>-8.7999999999999995E-2</v>
      </c>
      <c r="O556" s="39">
        <v>44544</v>
      </c>
      <c r="P556" s="37">
        <v>0.05</v>
      </c>
      <c r="R556" s="39">
        <v>44760</v>
      </c>
      <c r="S556" s="37">
        <v>1.1912</v>
      </c>
      <c r="U556" s="39">
        <v>44756</v>
      </c>
      <c r="V556" s="37">
        <v>2.5</v>
      </c>
    </row>
    <row r="557" spans="6:22" x14ac:dyDescent="0.2">
      <c r="F557" s="39">
        <v>44762</v>
      </c>
      <c r="G557" s="37">
        <v>1.35</v>
      </c>
      <c r="I557" s="39">
        <v>44771</v>
      </c>
      <c r="J557" s="37">
        <v>-9.0999999999999998E-2</v>
      </c>
      <c r="O557" s="39">
        <v>44545</v>
      </c>
      <c r="P557" s="37">
        <v>0.05</v>
      </c>
      <c r="R557" s="39">
        <v>44757</v>
      </c>
      <c r="S557" s="37">
        <v>1.1908000000000001</v>
      </c>
      <c r="U557" s="39">
        <v>44755</v>
      </c>
      <c r="V557" s="37">
        <v>2</v>
      </c>
    </row>
    <row r="558" spans="6:22" x14ac:dyDescent="0.2">
      <c r="F558" s="39">
        <v>44761</v>
      </c>
      <c r="G558" s="37">
        <v>1.35</v>
      </c>
      <c r="I558" s="39">
        <v>44770</v>
      </c>
      <c r="J558" s="37">
        <v>-8.6999999999999994E-2</v>
      </c>
      <c r="O558" s="39">
        <v>44546</v>
      </c>
      <c r="P558" s="37">
        <v>0.05</v>
      </c>
      <c r="R558" s="39">
        <v>44756</v>
      </c>
      <c r="S558" s="37">
        <v>1.1911</v>
      </c>
      <c r="U558" s="39">
        <v>44754</v>
      </c>
      <c r="V558" s="37">
        <v>2</v>
      </c>
    </row>
    <row r="559" spans="6:22" x14ac:dyDescent="0.2">
      <c r="F559" s="39">
        <v>44760</v>
      </c>
      <c r="G559" s="37">
        <v>1.35</v>
      </c>
      <c r="I559" s="39">
        <v>44769</v>
      </c>
      <c r="J559" s="37">
        <v>-8.5000000000000006E-2</v>
      </c>
      <c r="O559" s="39">
        <v>44547</v>
      </c>
      <c r="P559" s="37">
        <v>0.05</v>
      </c>
      <c r="R559" s="39">
        <v>44755</v>
      </c>
      <c r="S559" s="37">
        <v>1.1912</v>
      </c>
      <c r="U559" s="39">
        <v>44753</v>
      </c>
      <c r="V559" s="37">
        <v>2</v>
      </c>
    </row>
    <row r="560" spans="6:22" x14ac:dyDescent="0.2">
      <c r="F560" s="39">
        <v>44757</v>
      </c>
      <c r="G560" s="37">
        <v>1.35</v>
      </c>
      <c r="I560" s="39">
        <v>44768</v>
      </c>
      <c r="J560" s="37">
        <v>-0.58099999999999996</v>
      </c>
      <c r="O560" s="39">
        <v>44550</v>
      </c>
      <c r="P560" s="37">
        <v>0.04</v>
      </c>
      <c r="R560" s="39">
        <v>44754</v>
      </c>
      <c r="S560" s="37">
        <v>1.1909000000000001</v>
      </c>
      <c r="U560" s="39">
        <v>44750</v>
      </c>
      <c r="V560" s="37">
        <v>2</v>
      </c>
    </row>
    <row r="561" spans="6:22" x14ac:dyDescent="0.2">
      <c r="F561" s="39">
        <v>44756</v>
      </c>
      <c r="G561" s="37">
        <v>1.35</v>
      </c>
      <c r="I561" s="39">
        <v>44767</v>
      </c>
      <c r="J561" s="37">
        <v>-0.58299999999999996</v>
      </c>
      <c r="O561" s="39">
        <v>44551</v>
      </c>
      <c r="P561" s="37">
        <v>0.05</v>
      </c>
      <c r="R561" s="39">
        <v>44753</v>
      </c>
      <c r="S561" s="37">
        <v>1.1909000000000001</v>
      </c>
      <c r="U561" s="39">
        <v>44749</v>
      </c>
      <c r="V561" s="37">
        <v>2</v>
      </c>
    </row>
    <row r="562" spans="6:22" x14ac:dyDescent="0.2">
      <c r="F562" s="39">
        <v>44755</v>
      </c>
      <c r="G562" s="37">
        <v>1.35</v>
      </c>
      <c r="I562" s="39">
        <v>44764</v>
      </c>
      <c r="J562" s="37">
        <v>-0.58199999999999996</v>
      </c>
      <c r="O562" s="39">
        <v>44552</v>
      </c>
      <c r="P562" s="37">
        <v>0.05</v>
      </c>
      <c r="R562" s="39">
        <v>44750</v>
      </c>
      <c r="S562" s="37">
        <v>1.1909000000000001</v>
      </c>
      <c r="U562" s="39">
        <v>44748</v>
      </c>
      <c r="V562" s="37">
        <v>2</v>
      </c>
    </row>
    <row r="563" spans="6:22" x14ac:dyDescent="0.2">
      <c r="F563" s="39">
        <v>44754</v>
      </c>
      <c r="G563" s="37">
        <v>1.35</v>
      </c>
      <c r="I563" s="39">
        <v>44763</v>
      </c>
      <c r="J563" s="37">
        <v>-0.58399999999999996</v>
      </c>
      <c r="O563" s="39">
        <v>44553</v>
      </c>
      <c r="P563" s="37">
        <v>0.05</v>
      </c>
      <c r="R563" s="39">
        <v>44749</v>
      </c>
      <c r="S563" s="37">
        <v>1.1904999999999999</v>
      </c>
      <c r="U563" s="39">
        <v>44747</v>
      </c>
      <c r="V563" s="37">
        <v>2</v>
      </c>
    </row>
    <row r="564" spans="6:22" x14ac:dyDescent="0.2">
      <c r="F564" s="39">
        <v>44753</v>
      </c>
      <c r="G564" s="37">
        <v>1.35</v>
      </c>
      <c r="I564" s="39">
        <v>44762</v>
      </c>
      <c r="J564" s="37">
        <v>-0.58199999999999996</v>
      </c>
      <c r="O564" s="39">
        <v>44557</v>
      </c>
      <c r="P564" s="37">
        <v>0.05</v>
      </c>
      <c r="R564" s="39">
        <v>44748</v>
      </c>
      <c r="S564" s="37">
        <v>1.1908000000000001</v>
      </c>
      <c r="U564" s="39">
        <v>44746</v>
      </c>
      <c r="V564" s="37">
        <v>2</v>
      </c>
    </row>
    <row r="565" spans="6:22" x14ac:dyDescent="0.2">
      <c r="F565" s="39">
        <v>44750</v>
      </c>
      <c r="G565" s="37">
        <v>1.35</v>
      </c>
      <c r="I565" s="39">
        <v>44761</v>
      </c>
      <c r="J565" s="37">
        <v>-0.58299999999999996</v>
      </c>
      <c r="O565" s="39">
        <v>44558</v>
      </c>
      <c r="P565" s="37">
        <v>0.05</v>
      </c>
      <c r="R565" s="39">
        <v>44747</v>
      </c>
      <c r="S565" s="37">
        <v>1.1907000000000001</v>
      </c>
      <c r="U565" s="39">
        <v>44743</v>
      </c>
      <c r="V565" s="37">
        <v>2</v>
      </c>
    </row>
    <row r="566" spans="6:22" x14ac:dyDescent="0.2">
      <c r="F566" s="39">
        <v>44749</v>
      </c>
      <c r="G566" s="37">
        <v>1.35</v>
      </c>
      <c r="I566" s="39">
        <v>44760</v>
      </c>
      <c r="J566" s="37">
        <v>-0.58199999999999996</v>
      </c>
      <c r="O566" s="39">
        <v>44559</v>
      </c>
      <c r="P566" s="37">
        <v>0.05</v>
      </c>
      <c r="R566" s="39">
        <v>44746</v>
      </c>
      <c r="S566" s="37">
        <v>1.1901999999999999</v>
      </c>
      <c r="U566" s="39">
        <v>44742</v>
      </c>
      <c r="V566" s="37">
        <v>2</v>
      </c>
    </row>
    <row r="567" spans="6:22" x14ac:dyDescent="0.2">
      <c r="F567" s="39">
        <v>44748</v>
      </c>
      <c r="G567" s="37">
        <v>1.35</v>
      </c>
      <c r="I567" s="39">
        <v>44757</v>
      </c>
      <c r="J567" s="37">
        <v>-0.58199999999999996</v>
      </c>
      <c r="O567" s="39">
        <v>44560</v>
      </c>
      <c r="P567" s="37">
        <v>0.05</v>
      </c>
      <c r="R567" s="39">
        <v>44743</v>
      </c>
      <c r="S567" s="37">
        <v>1.1907000000000001</v>
      </c>
      <c r="U567" s="39">
        <v>44741</v>
      </c>
      <c r="V567" s="37">
        <v>2</v>
      </c>
    </row>
    <row r="568" spans="6:22" x14ac:dyDescent="0.2">
      <c r="F568" s="39">
        <v>44747</v>
      </c>
      <c r="G568" s="37">
        <v>0.85</v>
      </c>
      <c r="I568" s="39">
        <v>44756</v>
      </c>
      <c r="J568" s="37">
        <v>-0.58199999999999996</v>
      </c>
      <c r="O568" s="39">
        <v>44561</v>
      </c>
      <c r="P568" s="37">
        <v>0.05</v>
      </c>
      <c r="R568" s="39">
        <v>44742</v>
      </c>
      <c r="S568" s="37">
        <v>1.1874</v>
      </c>
      <c r="U568" s="39">
        <v>44740</v>
      </c>
      <c r="V568" s="37">
        <v>2</v>
      </c>
    </row>
    <row r="569" spans="6:22" x14ac:dyDescent="0.2">
      <c r="F569" s="39">
        <v>44746</v>
      </c>
      <c r="G569" s="37">
        <v>0.85</v>
      </c>
      <c r="I569" s="39">
        <v>44755</v>
      </c>
      <c r="J569" s="37">
        <v>-0.58099999999999996</v>
      </c>
      <c r="O569" s="39">
        <v>44564</v>
      </c>
      <c r="P569" s="37">
        <v>0.05</v>
      </c>
      <c r="R569" s="39">
        <v>44741</v>
      </c>
      <c r="S569" s="37">
        <v>1.1887000000000001</v>
      </c>
      <c r="U569" s="39">
        <v>44739</v>
      </c>
      <c r="V569" s="37">
        <v>2</v>
      </c>
    </row>
    <row r="570" spans="6:22" x14ac:dyDescent="0.2">
      <c r="F570" s="39">
        <v>44743</v>
      </c>
      <c r="G570" s="37">
        <v>0.85</v>
      </c>
      <c r="I570" s="39">
        <v>44754</v>
      </c>
      <c r="J570" s="37">
        <v>-0.57999999999999996</v>
      </c>
      <c r="O570" s="39">
        <v>44565</v>
      </c>
      <c r="P570" s="37">
        <v>0.05</v>
      </c>
      <c r="R570" s="39">
        <v>44740</v>
      </c>
      <c r="S570" s="37">
        <v>1.1877</v>
      </c>
      <c r="U570" s="39">
        <v>44735</v>
      </c>
      <c r="V570" s="37">
        <v>2</v>
      </c>
    </row>
    <row r="571" spans="6:22" x14ac:dyDescent="0.2">
      <c r="F571" s="39">
        <v>44742</v>
      </c>
      <c r="G571" s="37">
        <v>0.85</v>
      </c>
      <c r="I571" s="39">
        <v>44753</v>
      </c>
      <c r="J571" s="37">
        <v>-0.57999999999999996</v>
      </c>
      <c r="O571" s="39">
        <v>44566</v>
      </c>
      <c r="P571" s="37">
        <v>0.05</v>
      </c>
      <c r="R571" s="39">
        <v>44739</v>
      </c>
      <c r="S571" s="37">
        <v>1.1883999999999999</v>
      </c>
      <c r="U571" s="39">
        <v>44734</v>
      </c>
      <c r="V571" s="37">
        <v>2</v>
      </c>
    </row>
    <row r="572" spans="6:22" x14ac:dyDescent="0.2">
      <c r="F572" s="39">
        <v>44741</v>
      </c>
      <c r="G572" s="37">
        <v>0.85</v>
      </c>
      <c r="I572" s="39">
        <v>44750</v>
      </c>
      <c r="J572" s="37">
        <v>-0.57899999999999996</v>
      </c>
      <c r="O572" s="39">
        <v>44567</v>
      </c>
      <c r="P572" s="37">
        <v>0.05</v>
      </c>
      <c r="R572" s="39">
        <v>44736</v>
      </c>
      <c r="S572" s="37">
        <v>1.1884999999999999</v>
      </c>
      <c r="U572" s="39">
        <v>44733</v>
      </c>
      <c r="V572" s="37">
        <v>2</v>
      </c>
    </row>
    <row r="573" spans="6:22" x14ac:dyDescent="0.2">
      <c r="F573" s="39">
        <v>44740</v>
      </c>
      <c r="G573" s="37">
        <v>0.85</v>
      </c>
      <c r="I573" s="39">
        <v>44749</v>
      </c>
      <c r="J573" s="37">
        <v>-0.57899999999999996</v>
      </c>
      <c r="O573" s="39">
        <v>44568</v>
      </c>
      <c r="P573" s="37">
        <v>0.05</v>
      </c>
      <c r="R573" s="39">
        <v>44735</v>
      </c>
      <c r="S573" s="37">
        <v>1.1884999999999999</v>
      </c>
      <c r="U573" s="39">
        <v>44732</v>
      </c>
      <c r="V573" s="37">
        <v>2</v>
      </c>
    </row>
    <row r="574" spans="6:22" x14ac:dyDescent="0.2">
      <c r="F574" s="39">
        <v>44739</v>
      </c>
      <c r="G574" s="37">
        <v>0.85</v>
      </c>
      <c r="I574" s="39">
        <v>44748</v>
      </c>
      <c r="J574" s="37">
        <v>-0.57999999999999996</v>
      </c>
      <c r="O574" s="39">
        <v>44571</v>
      </c>
      <c r="P574" s="37">
        <v>0.05</v>
      </c>
      <c r="R574" s="39">
        <v>44734</v>
      </c>
      <c r="S574" s="37">
        <v>1.1882999999999999</v>
      </c>
      <c r="U574" s="39">
        <v>44729</v>
      </c>
      <c r="V574" s="37">
        <v>2</v>
      </c>
    </row>
    <row r="575" spans="6:22" x14ac:dyDescent="0.2">
      <c r="F575" s="39">
        <v>44736</v>
      </c>
      <c r="G575" s="37">
        <v>0.85</v>
      </c>
      <c r="I575" s="39">
        <v>44747</v>
      </c>
      <c r="J575" s="37">
        <v>-0.57999999999999996</v>
      </c>
      <c r="O575" s="39">
        <v>44572</v>
      </c>
      <c r="P575" s="37">
        <v>0.05</v>
      </c>
      <c r="R575" s="39">
        <v>44733</v>
      </c>
      <c r="S575" s="37">
        <v>1.1892</v>
      </c>
      <c r="U575" s="39">
        <v>44728</v>
      </c>
      <c r="V575" s="37">
        <v>2</v>
      </c>
    </row>
    <row r="576" spans="6:22" x14ac:dyDescent="0.2">
      <c r="F576" s="39">
        <v>44735</v>
      </c>
      <c r="G576" s="37">
        <v>0.85</v>
      </c>
      <c r="I576" s="39">
        <v>44746</v>
      </c>
      <c r="J576" s="37">
        <v>-0.57999999999999996</v>
      </c>
      <c r="O576" s="39">
        <v>44573</v>
      </c>
      <c r="P576" s="37">
        <v>0.05</v>
      </c>
      <c r="R576" s="39">
        <v>44732</v>
      </c>
      <c r="S576" s="37">
        <v>1.1896</v>
      </c>
      <c r="U576" s="39">
        <v>44727</v>
      </c>
      <c r="V576" s="37">
        <v>2</v>
      </c>
    </row>
    <row r="577" spans="6:22" x14ac:dyDescent="0.2">
      <c r="F577" s="39">
        <v>44734</v>
      </c>
      <c r="G577" s="37">
        <v>0.85</v>
      </c>
      <c r="I577" s="39">
        <v>44743</v>
      </c>
      <c r="J577" s="37">
        <v>-0.57999999999999996</v>
      </c>
      <c r="O577" s="39">
        <v>44574</v>
      </c>
      <c r="P577" s="37">
        <v>0.05</v>
      </c>
      <c r="R577" s="39">
        <v>44729</v>
      </c>
      <c r="S577" s="37">
        <v>1.1895</v>
      </c>
      <c r="U577" s="39">
        <v>44726</v>
      </c>
      <c r="V577" s="37">
        <v>2</v>
      </c>
    </row>
    <row r="578" spans="6:22" x14ac:dyDescent="0.2">
      <c r="F578" s="39">
        <v>44733</v>
      </c>
      <c r="G578" s="37">
        <v>0.85</v>
      </c>
      <c r="I578" s="39">
        <v>44742</v>
      </c>
      <c r="J578" s="37">
        <v>-0.59099999999999997</v>
      </c>
      <c r="O578" s="39">
        <v>44575</v>
      </c>
      <c r="P578" s="37">
        <v>0.05</v>
      </c>
      <c r="R578" s="39">
        <v>44728</v>
      </c>
      <c r="S578" s="37">
        <v>1.1883999999999999</v>
      </c>
      <c r="U578" s="39">
        <v>44725</v>
      </c>
      <c r="V578" s="37">
        <v>2</v>
      </c>
    </row>
    <row r="579" spans="6:22" x14ac:dyDescent="0.2">
      <c r="F579" s="39">
        <v>44732</v>
      </c>
      <c r="G579" s="37">
        <v>0.85</v>
      </c>
      <c r="I579" s="39">
        <v>44741</v>
      </c>
      <c r="J579" s="37">
        <v>-0.57799999999999996</v>
      </c>
      <c r="O579" s="39">
        <v>44579</v>
      </c>
      <c r="P579" s="37">
        <v>0.05</v>
      </c>
      <c r="R579" s="39">
        <v>44727</v>
      </c>
      <c r="S579" s="37">
        <v>0.93989999999999996</v>
      </c>
      <c r="U579" s="39">
        <v>44722</v>
      </c>
      <c r="V579" s="37">
        <v>2</v>
      </c>
    </row>
    <row r="580" spans="6:22" x14ac:dyDescent="0.2">
      <c r="F580" s="39">
        <v>44729</v>
      </c>
      <c r="G580" s="37">
        <v>0.85</v>
      </c>
      <c r="I580" s="39">
        <v>44740</v>
      </c>
      <c r="J580" s="37">
        <v>-0.58099999999999996</v>
      </c>
      <c r="O580" s="39">
        <v>44580</v>
      </c>
      <c r="P580" s="37">
        <v>0.05</v>
      </c>
      <c r="R580" s="39">
        <v>44726</v>
      </c>
      <c r="S580" s="37">
        <v>0.93979999999999997</v>
      </c>
      <c r="U580" s="39">
        <v>44721</v>
      </c>
      <c r="V580" s="37">
        <v>2</v>
      </c>
    </row>
    <row r="581" spans="6:22" x14ac:dyDescent="0.2">
      <c r="F581" s="39">
        <v>44728</v>
      </c>
      <c r="G581" s="37">
        <v>0.85</v>
      </c>
      <c r="I581" s="39">
        <v>44739</v>
      </c>
      <c r="J581" s="37">
        <v>-0.57899999999999996</v>
      </c>
      <c r="O581" s="39">
        <v>44581</v>
      </c>
      <c r="P581" s="37">
        <v>0.04</v>
      </c>
      <c r="R581" s="39">
        <v>44725</v>
      </c>
      <c r="S581" s="37">
        <v>0.93959999999999999</v>
      </c>
      <c r="U581" s="39">
        <v>44720</v>
      </c>
      <c r="V581" s="37">
        <v>2</v>
      </c>
    </row>
    <row r="582" spans="6:22" x14ac:dyDescent="0.2">
      <c r="F582" s="39">
        <v>44727</v>
      </c>
      <c r="G582" s="37">
        <v>0.85</v>
      </c>
      <c r="I582" s="39">
        <v>44736</v>
      </c>
      <c r="J582" s="37">
        <v>-0.57999999999999996</v>
      </c>
      <c r="O582" s="39">
        <v>44582</v>
      </c>
      <c r="P582" s="37">
        <v>0.05</v>
      </c>
      <c r="R582" s="39">
        <v>44722</v>
      </c>
      <c r="S582" s="37">
        <v>0.94020000000000004</v>
      </c>
      <c r="U582" s="39">
        <v>44719</v>
      </c>
      <c r="V582" s="37">
        <v>2</v>
      </c>
    </row>
    <row r="583" spans="6:22" x14ac:dyDescent="0.2">
      <c r="F583" s="39">
        <v>44726</v>
      </c>
      <c r="G583" s="37">
        <v>0.85</v>
      </c>
      <c r="I583" s="39">
        <v>44735</v>
      </c>
      <c r="J583" s="37">
        <v>-0.57799999999999996</v>
      </c>
      <c r="O583" s="39">
        <v>44585</v>
      </c>
      <c r="P583" s="37">
        <v>0.04</v>
      </c>
      <c r="R583" s="39">
        <v>44721</v>
      </c>
      <c r="S583" s="37">
        <v>0.94069999999999998</v>
      </c>
      <c r="U583" s="39">
        <v>44715</v>
      </c>
      <c r="V583" s="37">
        <v>2</v>
      </c>
    </row>
    <row r="584" spans="6:22" x14ac:dyDescent="0.2">
      <c r="F584" s="39">
        <v>44722</v>
      </c>
      <c r="G584" s="37">
        <v>0.85</v>
      </c>
      <c r="I584" s="39">
        <v>44734</v>
      </c>
      <c r="J584" s="37">
        <v>-0.57899999999999996</v>
      </c>
      <c r="O584" s="39">
        <v>44586</v>
      </c>
      <c r="P584" s="37">
        <v>0.05</v>
      </c>
      <c r="R584" s="39">
        <v>44720</v>
      </c>
      <c r="S584" s="37">
        <v>0.94020000000000004</v>
      </c>
      <c r="U584" s="39">
        <v>44714</v>
      </c>
      <c r="V584" s="37">
        <v>2</v>
      </c>
    </row>
    <row r="585" spans="6:22" x14ac:dyDescent="0.2">
      <c r="F585" s="39">
        <v>44721</v>
      </c>
      <c r="G585" s="37">
        <v>0.85</v>
      </c>
      <c r="I585" s="39">
        <v>44733</v>
      </c>
      <c r="J585" s="37">
        <v>-0.58199999999999996</v>
      </c>
      <c r="O585" s="39">
        <v>44587</v>
      </c>
      <c r="P585" s="37">
        <v>0.04</v>
      </c>
      <c r="R585" s="39">
        <v>44719</v>
      </c>
      <c r="S585" s="37">
        <v>0.94030000000000002</v>
      </c>
      <c r="U585" s="39">
        <v>44713</v>
      </c>
      <c r="V585" s="37">
        <v>2</v>
      </c>
    </row>
    <row r="586" spans="6:22" x14ac:dyDescent="0.2">
      <c r="F586" s="39">
        <v>44720</v>
      </c>
      <c r="G586" s="37">
        <v>0.85</v>
      </c>
      <c r="I586" s="39">
        <v>44732</v>
      </c>
      <c r="J586" s="37">
        <v>-0.58099999999999996</v>
      </c>
      <c r="O586" s="39">
        <v>44588</v>
      </c>
      <c r="P586" s="37">
        <v>0.04</v>
      </c>
      <c r="R586" s="39">
        <v>44718</v>
      </c>
      <c r="S586" s="37">
        <v>0.93940000000000001</v>
      </c>
      <c r="U586" s="39">
        <v>44712</v>
      </c>
      <c r="V586" s="37">
        <v>2</v>
      </c>
    </row>
    <row r="587" spans="6:22" x14ac:dyDescent="0.2">
      <c r="F587" s="39">
        <v>44719</v>
      </c>
      <c r="G587" s="37">
        <v>0.35</v>
      </c>
      <c r="I587" s="39">
        <v>44729</v>
      </c>
      <c r="J587" s="37">
        <v>-0.58199999999999996</v>
      </c>
      <c r="O587" s="39">
        <v>44589</v>
      </c>
      <c r="P587" s="37">
        <v>0.05</v>
      </c>
      <c r="R587" s="39">
        <v>44713</v>
      </c>
      <c r="S587" s="37">
        <v>0.93889999999999996</v>
      </c>
      <c r="U587" s="39">
        <v>44711</v>
      </c>
      <c r="V587" s="37">
        <v>2</v>
      </c>
    </row>
    <row r="588" spans="6:22" x14ac:dyDescent="0.2">
      <c r="F588" s="39">
        <v>44718</v>
      </c>
      <c r="G588" s="37">
        <v>0.35</v>
      </c>
      <c r="I588" s="39">
        <v>44728</v>
      </c>
      <c r="J588" s="37">
        <v>-0.58199999999999996</v>
      </c>
      <c r="O588" s="39">
        <v>44592</v>
      </c>
      <c r="P588" s="37">
        <v>0.05</v>
      </c>
      <c r="R588" s="39">
        <v>44712</v>
      </c>
      <c r="S588" s="37">
        <v>0.94099999999999995</v>
      </c>
      <c r="U588" s="39">
        <v>44708</v>
      </c>
      <c r="V588" s="37">
        <v>2</v>
      </c>
    </row>
    <row r="589" spans="6:22" x14ac:dyDescent="0.2">
      <c r="F589" s="39">
        <v>44715</v>
      </c>
      <c r="G589" s="37">
        <v>0.35</v>
      </c>
      <c r="I589" s="39">
        <v>44727</v>
      </c>
      <c r="J589" s="37">
        <v>-0.57999999999999996</v>
      </c>
      <c r="O589" s="39">
        <v>44593</v>
      </c>
      <c r="P589" s="37">
        <v>0.05</v>
      </c>
      <c r="R589" s="39">
        <v>44711</v>
      </c>
      <c r="S589" s="37">
        <v>0.93840000000000001</v>
      </c>
      <c r="U589" s="39">
        <v>44707</v>
      </c>
      <c r="V589" s="37">
        <v>2</v>
      </c>
    </row>
    <row r="590" spans="6:22" x14ac:dyDescent="0.2">
      <c r="F590" s="39">
        <v>44714</v>
      </c>
      <c r="G590" s="37">
        <v>0.35</v>
      </c>
      <c r="I590" s="39">
        <v>44726</v>
      </c>
      <c r="J590" s="37">
        <v>-0.57799999999999996</v>
      </c>
      <c r="O590" s="39">
        <v>44594</v>
      </c>
      <c r="P590" s="37">
        <v>0.05</v>
      </c>
      <c r="R590" s="39">
        <v>44708</v>
      </c>
      <c r="S590" s="37">
        <v>0.93830000000000002</v>
      </c>
      <c r="U590" s="39">
        <v>44706</v>
      </c>
      <c r="V590" s="37">
        <v>1.5</v>
      </c>
    </row>
    <row r="591" spans="6:22" x14ac:dyDescent="0.2">
      <c r="F591" s="39">
        <v>44713</v>
      </c>
      <c r="G591" s="37">
        <v>0.35</v>
      </c>
      <c r="I591" s="39">
        <v>44725</v>
      </c>
      <c r="J591" s="37">
        <v>-0.57999999999999996</v>
      </c>
      <c r="O591" s="39">
        <v>44595</v>
      </c>
      <c r="P591" s="37">
        <v>0.05</v>
      </c>
      <c r="R591" s="39">
        <v>44707</v>
      </c>
      <c r="S591" s="37">
        <v>0.93879999999999997</v>
      </c>
      <c r="U591" s="39">
        <v>44705</v>
      </c>
      <c r="V591" s="37">
        <v>1.5</v>
      </c>
    </row>
    <row r="592" spans="6:22" x14ac:dyDescent="0.2">
      <c r="F592" s="39">
        <v>44712</v>
      </c>
      <c r="G592" s="37">
        <v>0.35</v>
      </c>
      <c r="I592" s="39">
        <v>44722</v>
      </c>
      <c r="J592" s="37">
        <v>-0.58099999999999996</v>
      </c>
      <c r="O592" s="39">
        <v>44596</v>
      </c>
      <c r="P592" s="37">
        <v>0.05</v>
      </c>
      <c r="R592" s="39">
        <v>44706</v>
      </c>
      <c r="S592" s="37">
        <v>0.93840000000000001</v>
      </c>
      <c r="U592" s="39">
        <v>44704</v>
      </c>
      <c r="V592" s="37">
        <v>1.5</v>
      </c>
    </row>
    <row r="593" spans="6:22" x14ac:dyDescent="0.2">
      <c r="F593" s="39">
        <v>44711</v>
      </c>
      <c r="G593" s="37">
        <v>0.35</v>
      </c>
      <c r="I593" s="39">
        <v>44721</v>
      </c>
      <c r="J593" s="37">
        <v>-0.58199999999999996</v>
      </c>
      <c r="O593" s="39">
        <v>44599</v>
      </c>
      <c r="P593" s="37">
        <v>0.05</v>
      </c>
      <c r="R593" s="39">
        <v>44705</v>
      </c>
      <c r="S593" s="37">
        <v>0.93910000000000005</v>
      </c>
      <c r="U593" s="39">
        <v>44701</v>
      </c>
      <c r="V593" s="37">
        <v>1.5</v>
      </c>
    </row>
    <row r="594" spans="6:22" x14ac:dyDescent="0.2">
      <c r="F594" s="39">
        <v>44708</v>
      </c>
      <c r="G594" s="37">
        <v>0.35</v>
      </c>
      <c r="I594" s="39">
        <v>44720</v>
      </c>
      <c r="J594" s="37">
        <v>-0.58199999999999996</v>
      </c>
      <c r="O594" s="39">
        <v>44600</v>
      </c>
      <c r="P594" s="37">
        <v>0.05</v>
      </c>
      <c r="R594" s="39">
        <v>44704</v>
      </c>
      <c r="S594" s="37">
        <v>0.93930000000000002</v>
      </c>
      <c r="U594" s="39">
        <v>44700</v>
      </c>
      <c r="V594" s="37">
        <v>1.5</v>
      </c>
    </row>
    <row r="595" spans="6:22" x14ac:dyDescent="0.2">
      <c r="F595" s="39">
        <v>44707</v>
      </c>
      <c r="G595" s="37">
        <v>0.35</v>
      </c>
      <c r="I595" s="39">
        <v>44719</v>
      </c>
      <c r="J595" s="37">
        <v>-0.58299999999999996</v>
      </c>
      <c r="O595" s="39">
        <v>44601</v>
      </c>
      <c r="P595" s="37">
        <v>0.04</v>
      </c>
      <c r="R595" s="39">
        <v>44701</v>
      </c>
      <c r="S595" s="37">
        <v>0.93889999999999996</v>
      </c>
      <c r="U595" s="39">
        <v>44699</v>
      </c>
      <c r="V595" s="37">
        <v>1.5</v>
      </c>
    </row>
    <row r="596" spans="6:22" x14ac:dyDescent="0.2">
      <c r="F596" s="39">
        <v>44706</v>
      </c>
      <c r="G596" s="37">
        <v>0.35</v>
      </c>
      <c r="I596" s="39">
        <v>44718</v>
      </c>
      <c r="J596" s="37">
        <v>-0.59</v>
      </c>
      <c r="O596" s="39">
        <v>44602</v>
      </c>
      <c r="P596" s="37">
        <v>0.05</v>
      </c>
      <c r="R596" s="39">
        <v>44700</v>
      </c>
      <c r="S596" s="37">
        <v>0.93920000000000003</v>
      </c>
      <c r="U596" s="39">
        <v>44698</v>
      </c>
      <c r="V596" s="37">
        <v>1.5</v>
      </c>
    </row>
    <row r="597" spans="6:22" x14ac:dyDescent="0.2">
      <c r="F597" s="39">
        <v>44705</v>
      </c>
      <c r="G597" s="37">
        <v>0.35</v>
      </c>
      <c r="I597" s="39">
        <v>44715</v>
      </c>
      <c r="J597" s="37">
        <v>-0.58699999999999997</v>
      </c>
      <c r="O597" s="39">
        <v>44603</v>
      </c>
      <c r="P597" s="37">
        <v>0.05</v>
      </c>
      <c r="R597" s="39">
        <v>44699</v>
      </c>
      <c r="S597" s="37">
        <v>0.93940000000000001</v>
      </c>
      <c r="U597" s="39">
        <v>44697</v>
      </c>
      <c r="V597" s="37">
        <v>1.5</v>
      </c>
    </row>
    <row r="598" spans="6:22" x14ac:dyDescent="0.2">
      <c r="F598" s="39">
        <v>44704</v>
      </c>
      <c r="G598" s="37">
        <v>0.35</v>
      </c>
      <c r="I598" s="39">
        <v>44714</v>
      </c>
      <c r="J598" s="37">
        <v>-0.58499999999999996</v>
      </c>
      <c r="O598" s="39">
        <v>44606</v>
      </c>
      <c r="P598" s="37">
        <v>0.05</v>
      </c>
      <c r="R598" s="39">
        <v>44698</v>
      </c>
      <c r="S598" s="37">
        <v>0.93979999999999997</v>
      </c>
      <c r="U598" s="39">
        <v>44694</v>
      </c>
      <c r="V598" s="37">
        <v>1.5</v>
      </c>
    </row>
    <row r="599" spans="6:22" x14ac:dyDescent="0.2">
      <c r="F599" s="39">
        <v>44701</v>
      </c>
      <c r="G599" s="37">
        <v>0.35</v>
      </c>
      <c r="I599" s="39">
        <v>44713</v>
      </c>
      <c r="J599" s="37">
        <v>-0.58199999999999996</v>
      </c>
      <c r="O599" s="39">
        <v>44607</v>
      </c>
      <c r="P599" s="37">
        <v>0.05</v>
      </c>
      <c r="R599" s="39">
        <v>44697</v>
      </c>
      <c r="S599" s="37">
        <v>0.93979999999999997</v>
      </c>
      <c r="U599" s="39">
        <v>44693</v>
      </c>
      <c r="V599" s="37">
        <v>1.5</v>
      </c>
    </row>
    <row r="600" spans="6:22" x14ac:dyDescent="0.2">
      <c r="F600" s="39">
        <v>44700</v>
      </c>
      <c r="G600" s="37">
        <v>0.35</v>
      </c>
      <c r="I600" s="39">
        <v>44712</v>
      </c>
      <c r="J600" s="37">
        <v>-0.58899999999999997</v>
      </c>
      <c r="O600" s="39">
        <v>44608</v>
      </c>
      <c r="P600" s="37">
        <v>0.05</v>
      </c>
      <c r="R600" s="39">
        <v>44694</v>
      </c>
      <c r="S600" s="37">
        <v>0.93979999999999997</v>
      </c>
      <c r="U600" s="39">
        <v>44692</v>
      </c>
      <c r="V600" s="37">
        <v>1.5</v>
      </c>
    </row>
    <row r="601" spans="6:22" x14ac:dyDescent="0.2">
      <c r="F601" s="39">
        <v>44699</v>
      </c>
      <c r="G601" s="37">
        <v>0.35</v>
      </c>
      <c r="I601" s="39">
        <v>44711</v>
      </c>
      <c r="J601" s="37">
        <v>-0.58599999999999997</v>
      </c>
      <c r="O601" s="39">
        <v>44609</v>
      </c>
      <c r="P601" s="37">
        <v>0.05</v>
      </c>
      <c r="R601" s="39">
        <v>44693</v>
      </c>
      <c r="S601" s="37">
        <v>0.94010000000000005</v>
      </c>
      <c r="U601" s="39">
        <v>44691</v>
      </c>
      <c r="V601" s="37">
        <v>1.5</v>
      </c>
    </row>
    <row r="602" spans="6:22" x14ac:dyDescent="0.2">
      <c r="F602" s="39">
        <v>44698</v>
      </c>
      <c r="G602" s="37">
        <v>0.35</v>
      </c>
      <c r="I602" s="39">
        <v>44708</v>
      </c>
      <c r="J602" s="37">
        <v>-0.58499999999999996</v>
      </c>
      <c r="O602" s="39">
        <v>44610</v>
      </c>
      <c r="P602" s="37">
        <v>0.05</v>
      </c>
      <c r="R602" s="39">
        <v>44692</v>
      </c>
      <c r="S602" s="37">
        <v>0.9405</v>
      </c>
      <c r="U602" s="39">
        <v>44690</v>
      </c>
      <c r="V602" s="37">
        <v>1.5</v>
      </c>
    </row>
    <row r="603" spans="6:22" x14ac:dyDescent="0.2">
      <c r="F603" s="39">
        <v>44697</v>
      </c>
      <c r="G603" s="37">
        <v>0.35</v>
      </c>
      <c r="I603" s="39">
        <v>44707</v>
      </c>
      <c r="J603" s="37">
        <v>-0.59</v>
      </c>
      <c r="O603" s="39">
        <v>44614</v>
      </c>
      <c r="P603" s="37">
        <v>0.05</v>
      </c>
      <c r="R603" s="39">
        <v>44691</v>
      </c>
      <c r="S603" s="37">
        <v>0.93969999999999998</v>
      </c>
      <c r="U603" s="39">
        <v>44687</v>
      </c>
      <c r="V603" s="37">
        <v>1.5</v>
      </c>
    </row>
    <row r="604" spans="6:22" x14ac:dyDescent="0.2">
      <c r="F604" s="39">
        <v>44694</v>
      </c>
      <c r="G604" s="37">
        <v>0.35</v>
      </c>
      <c r="I604" s="39">
        <v>44706</v>
      </c>
      <c r="J604" s="37">
        <v>-0.58699999999999997</v>
      </c>
      <c r="O604" s="39">
        <v>44615</v>
      </c>
      <c r="P604" s="37">
        <v>0.05</v>
      </c>
      <c r="R604" s="39">
        <v>44690</v>
      </c>
      <c r="S604" s="37">
        <v>0.94030000000000002</v>
      </c>
      <c r="U604" s="39">
        <v>44686</v>
      </c>
      <c r="V604" s="37">
        <v>1.5</v>
      </c>
    </row>
    <row r="605" spans="6:22" x14ac:dyDescent="0.2">
      <c r="F605" s="39">
        <v>44693</v>
      </c>
      <c r="G605" s="37">
        <v>0.35</v>
      </c>
      <c r="I605" s="39">
        <v>44705</v>
      </c>
      <c r="J605" s="37">
        <v>-0.58699999999999997</v>
      </c>
      <c r="O605" s="39">
        <v>44616</v>
      </c>
      <c r="P605" s="37">
        <v>0.05</v>
      </c>
      <c r="R605" s="39">
        <v>44687</v>
      </c>
      <c r="S605" s="37">
        <v>0.94089999999999996</v>
      </c>
      <c r="U605" s="39">
        <v>44685</v>
      </c>
      <c r="V605" s="37">
        <v>1.5</v>
      </c>
    </row>
    <row r="606" spans="6:22" x14ac:dyDescent="0.2">
      <c r="F606" s="39">
        <v>44692</v>
      </c>
      <c r="G606" s="37">
        <v>0.35</v>
      </c>
      <c r="I606" s="39">
        <v>44704</v>
      </c>
      <c r="J606" s="37">
        <v>-0.58599999999999997</v>
      </c>
      <c r="O606" s="39">
        <v>44617</v>
      </c>
      <c r="P606" s="37">
        <v>0.05</v>
      </c>
      <c r="R606" s="39">
        <v>44686</v>
      </c>
      <c r="S606" s="37">
        <v>0.93820000000000003</v>
      </c>
      <c r="U606" s="39">
        <v>44684</v>
      </c>
      <c r="V606" s="37">
        <v>1.5</v>
      </c>
    </row>
    <row r="607" spans="6:22" x14ac:dyDescent="0.2">
      <c r="F607" s="39">
        <v>44691</v>
      </c>
      <c r="G607" s="37">
        <v>0.35</v>
      </c>
      <c r="I607" s="39">
        <v>44701</v>
      </c>
      <c r="J607" s="37">
        <v>-0.58499999999999996</v>
      </c>
      <c r="O607" s="39">
        <v>44620</v>
      </c>
      <c r="P607" s="37">
        <v>0.05</v>
      </c>
      <c r="R607" s="39">
        <v>44685</v>
      </c>
      <c r="S607" s="37">
        <v>0.69099999999999995</v>
      </c>
      <c r="U607" s="39">
        <v>44683</v>
      </c>
      <c r="V607" s="37">
        <v>1.5</v>
      </c>
    </row>
    <row r="608" spans="6:22" x14ac:dyDescent="0.2">
      <c r="F608" s="39">
        <v>44690</v>
      </c>
      <c r="G608" s="37">
        <v>0.35</v>
      </c>
      <c r="I608" s="39">
        <v>44700</v>
      </c>
      <c r="J608" s="37">
        <v>-0.58499999999999996</v>
      </c>
      <c r="O608" s="39">
        <v>44621</v>
      </c>
      <c r="P608" s="37">
        <v>0.05</v>
      </c>
      <c r="R608" s="39">
        <v>44684</v>
      </c>
      <c r="S608" s="37">
        <v>0.69059999999999999</v>
      </c>
      <c r="U608" s="39">
        <v>44680</v>
      </c>
      <c r="V608" s="37">
        <v>1.5</v>
      </c>
    </row>
    <row r="609" spans="6:22" x14ac:dyDescent="0.2">
      <c r="F609" s="39">
        <v>44687</v>
      </c>
      <c r="G609" s="37">
        <v>0.35</v>
      </c>
      <c r="I609" s="39">
        <v>44699</v>
      </c>
      <c r="J609" s="37">
        <v>-0.58499999999999996</v>
      </c>
      <c r="O609" s="39">
        <v>44622</v>
      </c>
      <c r="P609" s="37">
        <v>0.05</v>
      </c>
      <c r="R609" s="39">
        <v>44680</v>
      </c>
      <c r="S609" s="37">
        <v>0.69069999999999998</v>
      </c>
      <c r="U609" s="39">
        <v>44679</v>
      </c>
      <c r="V609" s="37">
        <v>1.5</v>
      </c>
    </row>
    <row r="610" spans="6:22" x14ac:dyDescent="0.2">
      <c r="F610" s="39">
        <v>44686</v>
      </c>
      <c r="G610" s="37">
        <v>0.35</v>
      </c>
      <c r="I610" s="39">
        <v>44698</v>
      </c>
      <c r="J610" s="37">
        <v>-0.58499999999999996</v>
      </c>
      <c r="O610" s="39">
        <v>44623</v>
      </c>
      <c r="P610" s="37">
        <v>0.05</v>
      </c>
      <c r="R610" s="39">
        <v>44679</v>
      </c>
      <c r="S610" s="37">
        <v>0.68959999999999999</v>
      </c>
      <c r="U610" s="39">
        <v>44678</v>
      </c>
      <c r="V610" s="37">
        <v>1.5</v>
      </c>
    </row>
    <row r="611" spans="6:22" x14ac:dyDescent="0.2">
      <c r="F611" s="39">
        <v>44685</v>
      </c>
      <c r="G611" s="37">
        <v>0.35</v>
      </c>
      <c r="I611" s="39">
        <v>44697</v>
      </c>
      <c r="J611" s="37">
        <v>-0.58499999999999996</v>
      </c>
      <c r="O611" s="39">
        <v>44624</v>
      </c>
      <c r="P611" s="37">
        <v>0.05</v>
      </c>
      <c r="R611" s="39">
        <v>44678</v>
      </c>
      <c r="S611" s="37">
        <v>0.69020000000000004</v>
      </c>
      <c r="U611" s="39">
        <v>44677</v>
      </c>
      <c r="V611" s="37">
        <v>1.5</v>
      </c>
    </row>
    <row r="612" spans="6:22" x14ac:dyDescent="0.2">
      <c r="F612" s="39">
        <v>44684</v>
      </c>
      <c r="G612" s="37">
        <v>0.1</v>
      </c>
      <c r="I612" s="39">
        <v>44694</v>
      </c>
      <c r="J612" s="37">
        <v>-0.58599999999999997</v>
      </c>
      <c r="O612" s="39">
        <v>44627</v>
      </c>
      <c r="P612" s="37">
        <v>0.05</v>
      </c>
      <c r="R612" s="39">
        <v>44677</v>
      </c>
      <c r="S612" s="37">
        <v>0.69030000000000002</v>
      </c>
      <c r="U612" s="39">
        <v>44673</v>
      </c>
      <c r="V612" s="37">
        <v>1.5</v>
      </c>
    </row>
    <row r="613" spans="6:22" x14ac:dyDescent="0.2">
      <c r="F613" s="39">
        <v>44683</v>
      </c>
      <c r="G613" s="37">
        <v>0.1</v>
      </c>
      <c r="I613" s="39">
        <v>44693</v>
      </c>
      <c r="J613" s="37">
        <v>-0.57699999999999996</v>
      </c>
      <c r="O613" s="39">
        <v>44628</v>
      </c>
      <c r="P613" s="37">
        <v>0.05</v>
      </c>
      <c r="R613" s="39">
        <v>44676</v>
      </c>
      <c r="S613" s="37">
        <v>0.68989999999999996</v>
      </c>
      <c r="U613" s="39">
        <v>44672</v>
      </c>
      <c r="V613" s="37">
        <v>1.5</v>
      </c>
    </row>
    <row r="614" spans="6:22" x14ac:dyDescent="0.2">
      <c r="F614" s="39">
        <v>44680</v>
      </c>
      <c r="G614" s="37">
        <v>0.1</v>
      </c>
      <c r="I614" s="39">
        <v>44692</v>
      </c>
      <c r="J614" s="37">
        <v>-0.58399999999999996</v>
      </c>
      <c r="O614" s="39">
        <v>44629</v>
      </c>
      <c r="P614" s="37">
        <v>0.05</v>
      </c>
      <c r="R614" s="39">
        <v>44673</v>
      </c>
      <c r="S614" s="37">
        <v>0.6905</v>
      </c>
      <c r="U614" s="39">
        <v>44671</v>
      </c>
      <c r="V614" s="37">
        <v>1.5</v>
      </c>
    </row>
    <row r="615" spans="6:22" x14ac:dyDescent="0.2">
      <c r="F615" s="39">
        <v>44679</v>
      </c>
      <c r="G615" s="37">
        <v>0.1</v>
      </c>
      <c r="I615" s="39">
        <v>44691</v>
      </c>
      <c r="J615" s="37">
        <v>-0.58399999999999996</v>
      </c>
      <c r="O615" s="39">
        <v>44630</v>
      </c>
      <c r="P615" s="37">
        <v>0.05</v>
      </c>
      <c r="R615" s="39">
        <v>44672</v>
      </c>
      <c r="S615" s="37">
        <v>0.69040000000000001</v>
      </c>
      <c r="U615" s="39">
        <v>44670</v>
      </c>
      <c r="V615" s="37">
        <v>1.5</v>
      </c>
    </row>
    <row r="616" spans="6:22" x14ac:dyDescent="0.2">
      <c r="F616" s="39">
        <v>44678</v>
      </c>
      <c r="G616" s="37">
        <v>0.1</v>
      </c>
      <c r="I616" s="39">
        <v>44690</v>
      </c>
      <c r="J616" s="37">
        <v>-0.58599999999999997</v>
      </c>
      <c r="O616" s="39">
        <v>44631</v>
      </c>
      <c r="P616" s="37">
        <v>0.05</v>
      </c>
      <c r="R616" s="39">
        <v>44671</v>
      </c>
      <c r="S616" s="37">
        <v>0.69040000000000001</v>
      </c>
      <c r="U616" s="39">
        <v>44665</v>
      </c>
      <c r="V616" s="37">
        <v>1.5</v>
      </c>
    </row>
    <row r="617" spans="6:22" x14ac:dyDescent="0.2">
      <c r="F617" s="39">
        <v>44677</v>
      </c>
      <c r="G617" s="37">
        <v>0.1</v>
      </c>
      <c r="I617" s="39">
        <v>44687</v>
      </c>
      <c r="J617" s="37">
        <v>-0.58499999999999996</v>
      </c>
      <c r="O617" s="39">
        <v>44634</v>
      </c>
      <c r="P617" s="37">
        <v>0.05</v>
      </c>
      <c r="R617" s="39">
        <v>44670</v>
      </c>
      <c r="S617" s="37">
        <v>0.69020000000000004</v>
      </c>
      <c r="U617" s="39">
        <v>44664</v>
      </c>
      <c r="V617" s="37">
        <v>1</v>
      </c>
    </row>
    <row r="618" spans="6:22" x14ac:dyDescent="0.2">
      <c r="F618" s="39">
        <v>44673</v>
      </c>
      <c r="G618" s="37">
        <v>0.1</v>
      </c>
      <c r="I618" s="39">
        <v>44686</v>
      </c>
      <c r="J618" s="37">
        <v>-0.58499999999999996</v>
      </c>
      <c r="O618" s="39">
        <v>44635</v>
      </c>
      <c r="P618" s="37">
        <v>0.05</v>
      </c>
      <c r="R618" s="39">
        <v>44665</v>
      </c>
      <c r="S618" s="37">
        <v>0.69079999999999997</v>
      </c>
      <c r="U618" s="39">
        <v>44663</v>
      </c>
      <c r="V618" s="37">
        <v>1</v>
      </c>
    </row>
    <row r="619" spans="6:22" x14ac:dyDescent="0.2">
      <c r="F619" s="39">
        <v>44672</v>
      </c>
      <c r="G619" s="37">
        <v>0.1</v>
      </c>
      <c r="I619" s="39">
        <v>44685</v>
      </c>
      <c r="J619" s="37">
        <v>-0.58499999999999996</v>
      </c>
      <c r="O619" s="39">
        <v>44636</v>
      </c>
      <c r="P619" s="37">
        <v>0.05</v>
      </c>
      <c r="R619" s="39">
        <v>44664</v>
      </c>
      <c r="S619" s="37">
        <v>0.6905</v>
      </c>
      <c r="U619" s="39">
        <v>44662</v>
      </c>
      <c r="V619" s="37">
        <v>1</v>
      </c>
    </row>
    <row r="620" spans="6:22" x14ac:dyDescent="0.2">
      <c r="F620" s="39">
        <v>44671</v>
      </c>
      <c r="G620" s="37">
        <v>0.1</v>
      </c>
      <c r="I620" s="39">
        <v>44684</v>
      </c>
      <c r="J620" s="37">
        <v>-0.57899999999999996</v>
      </c>
      <c r="O620" s="39">
        <v>44637</v>
      </c>
      <c r="P620" s="37">
        <v>0.3</v>
      </c>
      <c r="R620" s="39">
        <v>44663</v>
      </c>
      <c r="S620" s="37">
        <v>0.69059999999999999</v>
      </c>
      <c r="U620" s="39">
        <v>44659</v>
      </c>
      <c r="V620" s="37">
        <v>1</v>
      </c>
    </row>
    <row r="621" spans="6:22" x14ac:dyDescent="0.2">
      <c r="F621" s="39">
        <v>44670</v>
      </c>
      <c r="G621" s="37">
        <v>0.1</v>
      </c>
      <c r="I621" s="39">
        <v>44683</v>
      </c>
      <c r="J621" s="37">
        <v>-0.58299999999999996</v>
      </c>
      <c r="O621" s="39">
        <v>44638</v>
      </c>
      <c r="P621" s="37">
        <v>0.3</v>
      </c>
      <c r="R621" s="39">
        <v>44662</v>
      </c>
      <c r="S621" s="37">
        <v>0.69020000000000004</v>
      </c>
      <c r="U621" s="39">
        <v>44658</v>
      </c>
      <c r="V621" s="37">
        <v>1</v>
      </c>
    </row>
    <row r="622" spans="6:22" x14ac:dyDescent="0.2">
      <c r="F622" s="39">
        <v>44665</v>
      </c>
      <c r="G622" s="37">
        <v>0.1</v>
      </c>
      <c r="I622" s="39">
        <v>44680</v>
      </c>
      <c r="J622" s="37">
        <v>-0.58599999999999997</v>
      </c>
      <c r="O622" s="39">
        <v>44641</v>
      </c>
      <c r="P622" s="37">
        <v>0.28999999999999998</v>
      </c>
      <c r="R622" s="39">
        <v>44659</v>
      </c>
      <c r="S622" s="37">
        <v>0.69120000000000004</v>
      </c>
      <c r="U622" s="39">
        <v>44657</v>
      </c>
      <c r="V622" s="37">
        <v>1</v>
      </c>
    </row>
    <row r="623" spans="6:22" x14ac:dyDescent="0.2">
      <c r="F623" s="39">
        <v>44664</v>
      </c>
      <c r="G623" s="37">
        <v>0.1</v>
      </c>
      <c r="I623" s="39">
        <v>44679</v>
      </c>
      <c r="J623" s="37">
        <v>-0.58299999999999996</v>
      </c>
      <c r="O623" s="39">
        <v>44642</v>
      </c>
      <c r="P623" s="37">
        <v>0.28000000000000003</v>
      </c>
      <c r="R623" s="39">
        <v>44658</v>
      </c>
      <c r="S623" s="37">
        <v>0.69140000000000001</v>
      </c>
      <c r="U623" s="39">
        <v>44656</v>
      </c>
      <c r="V623" s="37">
        <v>1</v>
      </c>
    </row>
    <row r="624" spans="6:22" x14ac:dyDescent="0.2">
      <c r="F624" s="39">
        <v>44663</v>
      </c>
      <c r="G624" s="37">
        <v>0.1</v>
      </c>
      <c r="I624" s="39">
        <v>44678</v>
      </c>
      <c r="J624" s="37">
        <v>-0.58299999999999996</v>
      </c>
      <c r="O624" s="39">
        <v>44643</v>
      </c>
      <c r="P624" s="37">
        <v>0.27</v>
      </c>
      <c r="R624" s="39">
        <v>44657</v>
      </c>
      <c r="S624" s="37">
        <v>0.69189999999999996</v>
      </c>
      <c r="U624" s="39">
        <v>44655</v>
      </c>
      <c r="V624" s="37">
        <v>1</v>
      </c>
    </row>
    <row r="625" spans="6:22" x14ac:dyDescent="0.2">
      <c r="F625" s="39">
        <v>44662</v>
      </c>
      <c r="G625" s="37">
        <v>0.1</v>
      </c>
      <c r="I625" s="39">
        <v>44677</v>
      </c>
      <c r="J625" s="37">
        <v>-0.58199999999999996</v>
      </c>
      <c r="O625" s="39">
        <v>44644</v>
      </c>
      <c r="P625" s="37">
        <v>0.27</v>
      </c>
      <c r="R625" s="39">
        <v>44656</v>
      </c>
      <c r="S625" s="37">
        <v>0.6915</v>
      </c>
      <c r="U625" s="39">
        <v>44652</v>
      </c>
      <c r="V625" s="37">
        <v>1</v>
      </c>
    </row>
    <row r="626" spans="6:22" x14ac:dyDescent="0.2">
      <c r="F626" s="39">
        <v>44659</v>
      </c>
      <c r="G626" s="37">
        <v>0.1</v>
      </c>
      <c r="I626" s="39">
        <v>44676</v>
      </c>
      <c r="J626" s="37">
        <v>-0.58499999999999996</v>
      </c>
      <c r="O626" s="39">
        <v>44645</v>
      </c>
      <c r="P626" s="37">
        <v>0.28000000000000003</v>
      </c>
      <c r="R626" s="39">
        <v>44655</v>
      </c>
      <c r="S626" s="37">
        <v>0.69130000000000003</v>
      </c>
      <c r="U626" s="39">
        <v>44651</v>
      </c>
      <c r="V626" s="37">
        <v>1</v>
      </c>
    </row>
    <row r="627" spans="6:22" x14ac:dyDescent="0.2">
      <c r="F627" s="39">
        <v>44658</v>
      </c>
      <c r="G627" s="37">
        <v>0.1</v>
      </c>
      <c r="I627" s="39">
        <v>44673</v>
      </c>
      <c r="J627" s="37">
        <v>-0.58299999999999996</v>
      </c>
      <c r="O627" s="39">
        <v>44648</v>
      </c>
      <c r="P627" s="37">
        <v>0.28000000000000003</v>
      </c>
      <c r="R627" s="39">
        <v>44652</v>
      </c>
      <c r="S627" s="37">
        <v>0.69059999999999999</v>
      </c>
      <c r="U627" s="39">
        <v>44650</v>
      </c>
      <c r="V627" s="37">
        <v>1</v>
      </c>
    </row>
    <row r="628" spans="6:22" x14ac:dyDescent="0.2">
      <c r="F628" s="39">
        <v>44657</v>
      </c>
      <c r="G628" s="37">
        <v>0.1</v>
      </c>
      <c r="I628" s="39">
        <v>44672</v>
      </c>
      <c r="J628" s="37">
        <v>-0.58499999999999996</v>
      </c>
      <c r="O628" s="39">
        <v>44649</v>
      </c>
      <c r="P628" s="37">
        <v>0.28000000000000003</v>
      </c>
      <c r="R628" s="39">
        <v>44651</v>
      </c>
      <c r="S628" s="37">
        <v>0.68959999999999999</v>
      </c>
      <c r="U628" s="39">
        <v>44649</v>
      </c>
      <c r="V628" s="37">
        <v>1</v>
      </c>
    </row>
    <row r="629" spans="6:22" x14ac:dyDescent="0.2">
      <c r="F629" s="39">
        <v>44656</v>
      </c>
      <c r="G629" s="37">
        <v>0.1</v>
      </c>
      <c r="I629" s="39">
        <v>44671</v>
      </c>
      <c r="J629" s="37">
        <v>-0.58299999999999996</v>
      </c>
      <c r="O629" s="39">
        <v>44650</v>
      </c>
      <c r="P629" s="37">
        <v>0.27</v>
      </c>
      <c r="R629" s="39">
        <v>44650</v>
      </c>
      <c r="S629" s="37">
        <v>0.69</v>
      </c>
      <c r="U629" s="39">
        <v>44648</v>
      </c>
      <c r="V629" s="37">
        <v>1</v>
      </c>
    </row>
    <row r="630" spans="6:22" x14ac:dyDescent="0.2">
      <c r="F630" s="39">
        <v>44655</v>
      </c>
      <c r="G630" s="37">
        <v>0.1</v>
      </c>
      <c r="I630" s="39">
        <v>44670</v>
      </c>
      <c r="J630" s="37">
        <v>-0.57999999999999996</v>
      </c>
      <c r="O630" s="39">
        <v>44651</v>
      </c>
      <c r="P630" s="37">
        <v>0.28999999999999998</v>
      </c>
      <c r="R630" s="39">
        <v>44649</v>
      </c>
      <c r="S630" s="37">
        <v>0.69069999999999998</v>
      </c>
      <c r="U630" s="39">
        <v>44645</v>
      </c>
      <c r="V630" s="37">
        <v>1</v>
      </c>
    </row>
    <row r="631" spans="6:22" x14ac:dyDescent="0.2">
      <c r="F631" s="39">
        <v>44652</v>
      </c>
      <c r="G631" s="37">
        <v>0.1</v>
      </c>
      <c r="I631" s="39">
        <v>44665</v>
      </c>
      <c r="J631" s="37">
        <v>-0.58599999999999997</v>
      </c>
      <c r="O631" s="39">
        <v>44652</v>
      </c>
      <c r="P631" s="37">
        <v>0.3</v>
      </c>
      <c r="R631" s="39">
        <v>44648</v>
      </c>
      <c r="S631" s="37">
        <v>0.69010000000000005</v>
      </c>
      <c r="U631" s="39">
        <v>44644</v>
      </c>
      <c r="V631" s="37">
        <v>1</v>
      </c>
    </row>
    <row r="632" spans="6:22" x14ac:dyDescent="0.2">
      <c r="F632" s="39">
        <v>44651</v>
      </c>
      <c r="G632" s="37">
        <v>0.1</v>
      </c>
      <c r="I632" s="39">
        <v>44664</v>
      </c>
      <c r="J632" s="37">
        <v>-0.58499999999999996</v>
      </c>
      <c r="O632" s="39">
        <v>44655</v>
      </c>
      <c r="P632" s="37">
        <v>0.3</v>
      </c>
      <c r="R632" s="39">
        <v>44645</v>
      </c>
      <c r="S632" s="37">
        <v>0.6905</v>
      </c>
      <c r="U632" s="39">
        <v>44643</v>
      </c>
      <c r="V632" s="37">
        <v>1</v>
      </c>
    </row>
    <row r="633" spans="6:22" x14ac:dyDescent="0.2">
      <c r="F633" s="39">
        <v>44650</v>
      </c>
      <c r="G633" s="37">
        <v>0.1</v>
      </c>
      <c r="I633" s="39">
        <v>44663</v>
      </c>
      <c r="J633" s="37">
        <v>-0.58299999999999996</v>
      </c>
      <c r="O633" s="39">
        <v>44656</v>
      </c>
      <c r="P633" s="37">
        <v>0.3</v>
      </c>
      <c r="R633" s="39">
        <v>44644</v>
      </c>
      <c r="S633" s="37">
        <v>0.69069999999999998</v>
      </c>
      <c r="U633" s="39">
        <v>44642</v>
      </c>
      <c r="V633" s="37">
        <v>1</v>
      </c>
    </row>
    <row r="634" spans="6:22" x14ac:dyDescent="0.2">
      <c r="F634" s="39">
        <v>44649</v>
      </c>
      <c r="G634" s="37">
        <v>0.1</v>
      </c>
      <c r="I634" s="39">
        <v>44662</v>
      </c>
      <c r="J634" s="37">
        <v>-0.58399999999999996</v>
      </c>
      <c r="O634" s="39">
        <v>44657</v>
      </c>
      <c r="P634" s="37">
        <v>0.3</v>
      </c>
      <c r="R634" s="39">
        <v>44643</v>
      </c>
      <c r="S634" s="37">
        <v>0.69079999999999997</v>
      </c>
      <c r="U634" s="39">
        <v>44641</v>
      </c>
      <c r="V634" s="37">
        <v>1</v>
      </c>
    </row>
    <row r="635" spans="6:22" x14ac:dyDescent="0.2">
      <c r="F635" s="39">
        <v>44648</v>
      </c>
      <c r="G635" s="37">
        <v>0.1</v>
      </c>
      <c r="I635" s="39">
        <v>44659</v>
      </c>
      <c r="J635" s="37">
        <v>-0.58299999999999996</v>
      </c>
      <c r="O635" s="39">
        <v>44658</v>
      </c>
      <c r="P635" s="37">
        <v>0.3</v>
      </c>
      <c r="R635" s="39">
        <v>44642</v>
      </c>
      <c r="S635" s="37">
        <v>0.69059999999999999</v>
      </c>
      <c r="U635" s="39">
        <v>44638</v>
      </c>
      <c r="V635" s="37">
        <v>1</v>
      </c>
    </row>
    <row r="636" spans="6:22" x14ac:dyDescent="0.2">
      <c r="F636" s="39">
        <v>44645</v>
      </c>
      <c r="G636" s="37">
        <v>0.1</v>
      </c>
      <c r="I636" s="39">
        <v>44658</v>
      </c>
      <c r="J636" s="37">
        <v>-0.58199999999999996</v>
      </c>
      <c r="O636" s="39">
        <v>44659</v>
      </c>
      <c r="P636" s="37">
        <v>0.3</v>
      </c>
      <c r="R636" s="39">
        <v>44641</v>
      </c>
      <c r="S636" s="37">
        <v>0.69120000000000004</v>
      </c>
      <c r="U636" s="39">
        <v>44637</v>
      </c>
      <c r="V636" s="37">
        <v>1</v>
      </c>
    </row>
    <row r="637" spans="6:22" x14ac:dyDescent="0.2">
      <c r="F637" s="39">
        <v>44644</v>
      </c>
      <c r="G637" s="37">
        <v>0.1</v>
      </c>
      <c r="I637" s="39">
        <v>44657</v>
      </c>
      <c r="J637" s="37">
        <v>-0.58399999999999996</v>
      </c>
      <c r="O637" s="39">
        <v>44662</v>
      </c>
      <c r="P637" s="37">
        <v>0.3</v>
      </c>
      <c r="R637" s="39">
        <v>44638</v>
      </c>
      <c r="S637" s="37">
        <v>0.69130000000000003</v>
      </c>
      <c r="U637" s="39">
        <v>44636</v>
      </c>
      <c r="V637" s="37">
        <v>1</v>
      </c>
    </row>
    <row r="638" spans="6:22" x14ac:dyDescent="0.2">
      <c r="F638" s="39">
        <v>44643</v>
      </c>
      <c r="G638" s="37">
        <v>0.1</v>
      </c>
      <c r="I638" s="39">
        <v>44656</v>
      </c>
      <c r="J638" s="37">
        <v>-0.58599999999999997</v>
      </c>
      <c r="O638" s="39">
        <v>44663</v>
      </c>
      <c r="P638" s="37">
        <v>0.28999999999999998</v>
      </c>
      <c r="R638" s="39">
        <v>44637</v>
      </c>
      <c r="S638" s="37">
        <v>0.68859999999999999</v>
      </c>
      <c r="U638" s="39">
        <v>44635</v>
      </c>
      <c r="V638" s="37">
        <v>1</v>
      </c>
    </row>
    <row r="639" spans="6:22" x14ac:dyDescent="0.2">
      <c r="F639" s="39">
        <v>44642</v>
      </c>
      <c r="G639" s="37">
        <v>0.1</v>
      </c>
      <c r="I639" s="39">
        <v>44655</v>
      </c>
      <c r="J639" s="37">
        <v>-0.58499999999999996</v>
      </c>
      <c r="O639" s="39">
        <v>44664</v>
      </c>
      <c r="P639" s="37">
        <v>0.28999999999999998</v>
      </c>
      <c r="R639" s="39">
        <v>44636</v>
      </c>
      <c r="S639" s="37">
        <v>0.44500000000000001</v>
      </c>
      <c r="U639" s="39">
        <v>44634</v>
      </c>
      <c r="V639" s="37">
        <v>1</v>
      </c>
    </row>
    <row r="640" spans="6:22" x14ac:dyDescent="0.2">
      <c r="F640" s="39">
        <v>44641</v>
      </c>
      <c r="G640" s="37">
        <v>0.1</v>
      </c>
      <c r="I640" s="39">
        <v>44652</v>
      </c>
      <c r="J640" s="37">
        <v>-0.58199999999999996</v>
      </c>
      <c r="O640" s="39">
        <v>44665</v>
      </c>
      <c r="P640" s="37">
        <v>0.28999999999999998</v>
      </c>
      <c r="R640" s="39">
        <v>44635</v>
      </c>
      <c r="S640" s="37">
        <v>0.44500000000000001</v>
      </c>
      <c r="U640" s="39">
        <v>44631</v>
      </c>
      <c r="V640" s="37">
        <v>1</v>
      </c>
    </row>
    <row r="641" spans="6:22" x14ac:dyDescent="0.2">
      <c r="F641" s="39">
        <v>44638</v>
      </c>
      <c r="G641" s="37">
        <v>0.1</v>
      </c>
      <c r="I641" s="39">
        <v>44651</v>
      </c>
      <c r="J641" s="37">
        <v>-0.59299999999999997</v>
      </c>
      <c r="O641" s="39">
        <v>44669</v>
      </c>
      <c r="P641" s="37">
        <v>0.28999999999999998</v>
      </c>
      <c r="R641" s="39">
        <v>44634</v>
      </c>
      <c r="S641" s="37">
        <v>0.44450000000000001</v>
      </c>
      <c r="U641" s="39">
        <v>44630</v>
      </c>
      <c r="V641" s="37">
        <v>1</v>
      </c>
    </row>
    <row r="642" spans="6:22" x14ac:dyDescent="0.2">
      <c r="F642" s="39">
        <v>44637</v>
      </c>
      <c r="G642" s="37">
        <v>0.1</v>
      </c>
      <c r="I642" s="39">
        <v>44650</v>
      </c>
      <c r="J642" s="37">
        <v>-0.57899999999999996</v>
      </c>
      <c r="O642" s="39">
        <v>44670</v>
      </c>
      <c r="P642" s="37">
        <v>0.28000000000000003</v>
      </c>
      <c r="R642" s="39">
        <v>44631</v>
      </c>
      <c r="S642" s="37">
        <v>0.44490000000000002</v>
      </c>
      <c r="U642" s="39">
        <v>44629</v>
      </c>
      <c r="V642" s="37">
        <v>1</v>
      </c>
    </row>
    <row r="643" spans="6:22" x14ac:dyDescent="0.2">
      <c r="F643" s="39">
        <v>44636</v>
      </c>
      <c r="G643" s="37">
        <v>0.1</v>
      </c>
      <c r="I643" s="39">
        <v>44649</v>
      </c>
      <c r="J643" s="37">
        <v>-0.57899999999999996</v>
      </c>
      <c r="O643" s="39">
        <v>44671</v>
      </c>
      <c r="P643" s="37">
        <v>0.27</v>
      </c>
      <c r="R643" s="39">
        <v>44630</v>
      </c>
      <c r="S643" s="37">
        <v>0.4451</v>
      </c>
      <c r="U643" s="39">
        <v>44628</v>
      </c>
      <c r="V643" s="37">
        <v>1</v>
      </c>
    </row>
    <row r="644" spans="6:22" x14ac:dyDescent="0.2">
      <c r="F644" s="39">
        <v>44635</v>
      </c>
      <c r="G644" s="37">
        <v>0.1</v>
      </c>
      <c r="I644" s="39">
        <v>44648</v>
      </c>
      <c r="J644" s="37">
        <v>-0.57999999999999996</v>
      </c>
      <c r="O644" s="39">
        <v>44672</v>
      </c>
      <c r="P644" s="37">
        <v>0.26</v>
      </c>
      <c r="R644" s="39">
        <v>44629</v>
      </c>
      <c r="S644" s="37">
        <v>0.44440000000000002</v>
      </c>
      <c r="U644" s="39">
        <v>44627</v>
      </c>
      <c r="V644" s="37">
        <v>1</v>
      </c>
    </row>
    <row r="645" spans="6:22" x14ac:dyDescent="0.2">
      <c r="F645" s="39">
        <v>44634</v>
      </c>
      <c r="G645" s="37">
        <v>0.1</v>
      </c>
      <c r="I645" s="39">
        <v>44645</v>
      </c>
      <c r="J645" s="37">
        <v>-0.58099999999999996</v>
      </c>
      <c r="O645" s="39">
        <v>44673</v>
      </c>
      <c r="P645" s="37">
        <v>0.27</v>
      </c>
      <c r="R645" s="39">
        <v>44628</v>
      </c>
      <c r="S645" s="37">
        <v>0.44440000000000002</v>
      </c>
      <c r="U645" s="39">
        <v>44624</v>
      </c>
      <c r="V645" s="37">
        <v>1</v>
      </c>
    </row>
    <row r="646" spans="6:22" x14ac:dyDescent="0.2">
      <c r="F646" s="39">
        <v>44631</v>
      </c>
      <c r="G646" s="37">
        <v>0.1</v>
      </c>
      <c r="I646" s="39">
        <v>44644</v>
      </c>
      <c r="J646" s="37">
        <v>-0.57899999999999996</v>
      </c>
      <c r="O646" s="39">
        <v>44676</v>
      </c>
      <c r="P646" s="37">
        <v>0.27</v>
      </c>
      <c r="R646" s="39">
        <v>44627</v>
      </c>
      <c r="S646" s="37">
        <v>0.44479999999999997</v>
      </c>
      <c r="U646" s="39">
        <v>44623</v>
      </c>
      <c r="V646" s="37">
        <v>1</v>
      </c>
    </row>
    <row r="647" spans="6:22" x14ac:dyDescent="0.2">
      <c r="F647" s="39">
        <v>44630</v>
      </c>
      <c r="G647" s="37">
        <v>0.1</v>
      </c>
      <c r="I647" s="39">
        <v>44643</v>
      </c>
      <c r="J647" s="37">
        <v>-0.57799999999999996</v>
      </c>
      <c r="O647" s="39">
        <v>44677</v>
      </c>
      <c r="P647" s="37">
        <v>0.27</v>
      </c>
      <c r="R647" s="39">
        <v>44624</v>
      </c>
      <c r="S647" s="37">
        <v>0.44500000000000001</v>
      </c>
      <c r="U647" s="39">
        <v>44622</v>
      </c>
      <c r="V647" s="37">
        <v>1</v>
      </c>
    </row>
    <row r="648" spans="6:22" x14ac:dyDescent="0.2">
      <c r="F648" s="39">
        <v>44629</v>
      </c>
      <c r="G648" s="37">
        <v>0.1</v>
      </c>
      <c r="I648" s="39">
        <v>44642</v>
      </c>
      <c r="J648" s="37">
        <v>-0.57799999999999996</v>
      </c>
      <c r="O648" s="39">
        <v>44678</v>
      </c>
      <c r="P648" s="37">
        <v>0.28000000000000003</v>
      </c>
      <c r="R648" s="39">
        <v>44623</v>
      </c>
      <c r="S648" s="37">
        <v>0.44519999999999998</v>
      </c>
      <c r="U648" s="39">
        <v>44621</v>
      </c>
      <c r="V648" s="37">
        <v>1</v>
      </c>
    </row>
    <row r="649" spans="6:22" x14ac:dyDescent="0.2">
      <c r="F649" s="39">
        <v>44628</v>
      </c>
      <c r="G649" s="37">
        <v>0.1</v>
      </c>
      <c r="I649" s="39">
        <v>44641</v>
      </c>
      <c r="J649" s="37">
        <v>-0.57799999999999996</v>
      </c>
      <c r="O649" s="39">
        <v>44679</v>
      </c>
      <c r="P649" s="37">
        <v>0.28000000000000003</v>
      </c>
      <c r="R649" s="39">
        <v>44622</v>
      </c>
      <c r="S649" s="37">
        <v>0.44500000000000001</v>
      </c>
      <c r="U649" s="39">
        <v>44620</v>
      </c>
      <c r="V649" s="37">
        <v>1</v>
      </c>
    </row>
    <row r="650" spans="6:22" x14ac:dyDescent="0.2">
      <c r="F650" s="39">
        <v>44627</v>
      </c>
      <c r="G650" s="37">
        <v>0.1</v>
      </c>
      <c r="I650" s="39">
        <v>44638</v>
      </c>
      <c r="J650" s="37">
        <v>-0.57799999999999996</v>
      </c>
      <c r="O650" s="39">
        <v>44680</v>
      </c>
      <c r="P650" s="37">
        <v>0.28000000000000003</v>
      </c>
      <c r="R650" s="39">
        <v>44621</v>
      </c>
      <c r="S650" s="37">
        <v>0.4451</v>
      </c>
      <c r="U650" s="39">
        <v>44617</v>
      </c>
      <c r="V650" s="37">
        <v>1</v>
      </c>
    </row>
    <row r="651" spans="6:22" x14ac:dyDescent="0.2">
      <c r="F651" s="39">
        <v>44624</v>
      </c>
      <c r="G651" s="37">
        <v>0.1</v>
      </c>
      <c r="I651" s="39">
        <v>44637</v>
      </c>
      <c r="J651" s="37">
        <v>-0.57799999999999996</v>
      </c>
      <c r="O651" s="39">
        <v>44683</v>
      </c>
      <c r="P651" s="37">
        <v>0.3</v>
      </c>
      <c r="R651" s="39">
        <v>44620</v>
      </c>
      <c r="S651" s="37">
        <v>0.4451</v>
      </c>
      <c r="U651" s="39">
        <v>44616</v>
      </c>
      <c r="V651" s="37">
        <v>1</v>
      </c>
    </row>
    <row r="652" spans="6:22" x14ac:dyDescent="0.2">
      <c r="F652" s="39">
        <v>44623</v>
      </c>
      <c r="G652" s="37">
        <v>0.1</v>
      </c>
      <c r="I652" s="39">
        <v>44636</v>
      </c>
      <c r="J652" s="37">
        <v>-0.57699999999999996</v>
      </c>
      <c r="O652" s="39">
        <v>44684</v>
      </c>
      <c r="P652" s="37">
        <v>0.3</v>
      </c>
      <c r="R652" s="39">
        <v>44617</v>
      </c>
      <c r="S652" s="37">
        <v>0.44490000000000002</v>
      </c>
      <c r="U652" s="39">
        <v>44615</v>
      </c>
      <c r="V652" s="37">
        <v>0.75</v>
      </c>
    </row>
    <row r="653" spans="6:22" x14ac:dyDescent="0.2">
      <c r="F653" s="39">
        <v>44622</v>
      </c>
      <c r="G653" s="37">
        <v>0.1</v>
      </c>
      <c r="I653" s="39">
        <v>44635</v>
      </c>
      <c r="J653" s="37">
        <v>-0.57299999999999995</v>
      </c>
      <c r="O653" s="39">
        <v>44685</v>
      </c>
      <c r="P653" s="37">
        <v>0.3</v>
      </c>
      <c r="R653" s="39">
        <v>44616</v>
      </c>
      <c r="S653" s="37">
        <v>0.4451</v>
      </c>
      <c r="U653" s="39">
        <v>44614</v>
      </c>
      <c r="V653" s="37">
        <v>0.75</v>
      </c>
    </row>
    <row r="654" spans="6:22" x14ac:dyDescent="0.2">
      <c r="F654" s="39">
        <v>44621</v>
      </c>
      <c r="G654" s="37">
        <v>0.1</v>
      </c>
      <c r="I654" s="39">
        <v>44634</v>
      </c>
      <c r="J654" s="37">
        <v>-0.57699999999999996</v>
      </c>
      <c r="O654" s="39">
        <v>44686</v>
      </c>
      <c r="P654" s="37">
        <v>0.79</v>
      </c>
      <c r="R654" s="39">
        <v>44615</v>
      </c>
      <c r="S654" s="37">
        <v>0.4451</v>
      </c>
      <c r="U654" s="39">
        <v>44613</v>
      </c>
      <c r="V654" s="37">
        <v>0.75</v>
      </c>
    </row>
    <row r="655" spans="6:22" x14ac:dyDescent="0.2">
      <c r="F655" s="39">
        <v>44620</v>
      </c>
      <c r="G655" s="37">
        <v>0.1</v>
      </c>
      <c r="I655" s="39">
        <v>44631</v>
      </c>
      <c r="J655" s="37">
        <v>-0.57699999999999996</v>
      </c>
      <c r="O655" s="39">
        <v>44687</v>
      </c>
      <c r="P655" s="37">
        <v>0.78</v>
      </c>
      <c r="R655" s="39">
        <v>44614</v>
      </c>
      <c r="S655" s="37">
        <v>0.44490000000000002</v>
      </c>
      <c r="U655" s="39">
        <v>44610</v>
      </c>
      <c r="V655" s="37">
        <v>0.75</v>
      </c>
    </row>
    <row r="656" spans="6:22" x14ac:dyDescent="0.2">
      <c r="F656" s="39">
        <v>44617</v>
      </c>
      <c r="G656" s="37">
        <v>0.1</v>
      </c>
      <c r="I656" s="39">
        <v>44630</v>
      </c>
      <c r="J656" s="37">
        <v>-0.57599999999999996</v>
      </c>
      <c r="O656" s="39">
        <v>44690</v>
      </c>
      <c r="P656" s="37">
        <v>0.78</v>
      </c>
      <c r="R656" s="39">
        <v>44613</v>
      </c>
      <c r="S656" s="37">
        <v>0.44419999999999998</v>
      </c>
      <c r="U656" s="39">
        <v>44609</v>
      </c>
      <c r="V656" s="37">
        <v>0.75</v>
      </c>
    </row>
    <row r="657" spans="6:22" x14ac:dyDescent="0.2">
      <c r="F657" s="39">
        <v>44616</v>
      </c>
      <c r="G657" s="37">
        <v>0.1</v>
      </c>
      <c r="I657" s="39">
        <v>44629</v>
      </c>
      <c r="J657" s="37">
        <v>-0.57999999999999996</v>
      </c>
      <c r="O657" s="39">
        <v>44691</v>
      </c>
      <c r="P657" s="37">
        <v>0.78</v>
      </c>
      <c r="R657" s="39">
        <v>44610</v>
      </c>
      <c r="S657" s="37">
        <v>0.44529999999999997</v>
      </c>
      <c r="U657" s="39">
        <v>44608</v>
      </c>
      <c r="V657" s="37">
        <v>0.75</v>
      </c>
    </row>
    <row r="658" spans="6:22" x14ac:dyDescent="0.2">
      <c r="F658" s="39">
        <v>44615</v>
      </c>
      <c r="G658" s="37">
        <v>0.1</v>
      </c>
      <c r="I658" s="39">
        <v>44628</v>
      </c>
      <c r="J658" s="37">
        <v>-0.57899999999999996</v>
      </c>
      <c r="O658" s="39">
        <v>44692</v>
      </c>
      <c r="P658" s="37">
        <v>0.78</v>
      </c>
      <c r="R658" s="39">
        <v>44609</v>
      </c>
      <c r="S658" s="37">
        <v>0.44490000000000002</v>
      </c>
      <c r="U658" s="39">
        <v>44607</v>
      </c>
      <c r="V658" s="37">
        <v>0.75</v>
      </c>
    </row>
    <row r="659" spans="6:22" x14ac:dyDescent="0.2">
      <c r="F659" s="39">
        <v>44614</v>
      </c>
      <c r="G659" s="37">
        <v>0.1</v>
      </c>
      <c r="I659" s="39">
        <v>44627</v>
      </c>
      <c r="J659" s="37">
        <v>-0.57899999999999996</v>
      </c>
      <c r="O659" s="39">
        <v>44693</v>
      </c>
      <c r="P659" s="37">
        <v>0.79</v>
      </c>
      <c r="R659" s="39">
        <v>44608</v>
      </c>
      <c r="S659" s="37">
        <v>0.44490000000000002</v>
      </c>
      <c r="U659" s="39">
        <v>44606</v>
      </c>
      <c r="V659" s="37">
        <v>0.75</v>
      </c>
    </row>
    <row r="660" spans="6:22" x14ac:dyDescent="0.2">
      <c r="F660" s="39">
        <v>44613</v>
      </c>
      <c r="G660" s="37">
        <v>0.1</v>
      </c>
      <c r="I660" s="39">
        <v>44624</v>
      </c>
      <c r="J660" s="37">
        <v>-0.57699999999999996</v>
      </c>
      <c r="O660" s="39">
        <v>44694</v>
      </c>
      <c r="P660" s="37">
        <v>0.79</v>
      </c>
      <c r="R660" s="39">
        <v>44607</v>
      </c>
      <c r="S660" s="37">
        <v>0.44500000000000001</v>
      </c>
      <c r="U660" s="39">
        <v>44603</v>
      </c>
      <c r="V660" s="37">
        <v>0.75</v>
      </c>
    </row>
    <row r="661" spans="6:22" x14ac:dyDescent="0.2">
      <c r="F661" s="39">
        <v>44610</v>
      </c>
      <c r="G661" s="37">
        <v>0.1</v>
      </c>
      <c r="I661" s="39">
        <v>44623</v>
      </c>
      <c r="J661" s="37">
        <v>-0.57899999999999996</v>
      </c>
      <c r="O661" s="39">
        <v>44697</v>
      </c>
      <c r="P661" s="37">
        <v>0.8</v>
      </c>
      <c r="R661" s="39">
        <v>44606</v>
      </c>
      <c r="S661" s="37">
        <v>0.44479999999999997</v>
      </c>
      <c r="U661" s="39">
        <v>44602</v>
      </c>
      <c r="V661" s="37">
        <v>0.75</v>
      </c>
    </row>
    <row r="662" spans="6:22" x14ac:dyDescent="0.2">
      <c r="F662" s="39">
        <v>44609</v>
      </c>
      <c r="G662" s="37">
        <v>0.1</v>
      </c>
      <c r="I662" s="39">
        <v>44622</v>
      </c>
      <c r="J662" s="37">
        <v>-0.57799999999999996</v>
      </c>
      <c r="O662" s="39">
        <v>44698</v>
      </c>
      <c r="P662" s="37">
        <v>0.8</v>
      </c>
      <c r="R662" s="39">
        <v>44603</v>
      </c>
      <c r="S662" s="37">
        <v>0.44519999999999998</v>
      </c>
      <c r="U662" s="39">
        <v>44601</v>
      </c>
      <c r="V662" s="37">
        <v>0.75</v>
      </c>
    </row>
    <row r="663" spans="6:22" x14ac:dyDescent="0.2">
      <c r="F663" s="39">
        <v>44608</v>
      </c>
      <c r="G663" s="37">
        <v>0.1</v>
      </c>
      <c r="I663" s="39">
        <v>44621</v>
      </c>
      <c r="J663" s="37">
        <v>-0.57699999999999996</v>
      </c>
      <c r="O663" s="39">
        <v>44699</v>
      </c>
      <c r="P663" s="37">
        <v>0.79</v>
      </c>
      <c r="R663" s="39">
        <v>44602</v>
      </c>
      <c r="S663" s="37">
        <v>0.44550000000000001</v>
      </c>
      <c r="U663" s="39">
        <v>44600</v>
      </c>
      <c r="V663" s="37">
        <v>0.75</v>
      </c>
    </row>
    <row r="664" spans="6:22" x14ac:dyDescent="0.2">
      <c r="F664" s="39">
        <v>44607</v>
      </c>
      <c r="G664" s="37">
        <v>0.1</v>
      </c>
      <c r="I664" s="39">
        <v>44620</v>
      </c>
      <c r="J664" s="37">
        <v>-0.57999999999999996</v>
      </c>
      <c r="O664" s="39">
        <v>44700</v>
      </c>
      <c r="P664" s="37">
        <v>0.79</v>
      </c>
      <c r="R664" s="39">
        <v>44601</v>
      </c>
      <c r="S664" s="37">
        <v>0.44500000000000001</v>
      </c>
      <c r="U664" s="39">
        <v>44596</v>
      </c>
      <c r="V664" s="37">
        <v>0.75</v>
      </c>
    </row>
    <row r="665" spans="6:22" x14ac:dyDescent="0.2">
      <c r="F665" s="39">
        <v>44606</v>
      </c>
      <c r="G665" s="37">
        <v>0.1</v>
      </c>
      <c r="I665" s="39">
        <v>44617</v>
      </c>
      <c r="J665" s="37">
        <v>-0.57499999999999996</v>
      </c>
      <c r="O665" s="39">
        <v>44701</v>
      </c>
      <c r="P665" s="37">
        <v>0.78</v>
      </c>
      <c r="R665" s="39">
        <v>44600</v>
      </c>
      <c r="S665" s="37">
        <v>0.44479999999999997</v>
      </c>
      <c r="U665" s="39">
        <v>44595</v>
      </c>
      <c r="V665" s="37">
        <v>0.75</v>
      </c>
    </row>
    <row r="666" spans="6:22" x14ac:dyDescent="0.2">
      <c r="F666" s="39">
        <v>44603</v>
      </c>
      <c r="G666" s="37">
        <v>0.1</v>
      </c>
      <c r="I666" s="39">
        <v>44616</v>
      </c>
      <c r="J666" s="37">
        <v>-0.57599999999999996</v>
      </c>
      <c r="O666" s="39">
        <v>44704</v>
      </c>
      <c r="P666" s="37">
        <v>0.78</v>
      </c>
      <c r="R666" s="39">
        <v>44599</v>
      </c>
      <c r="S666" s="37">
        <v>0.44569999999999999</v>
      </c>
      <c r="U666" s="39">
        <v>44594</v>
      </c>
      <c r="V666" s="37">
        <v>0.75</v>
      </c>
    </row>
    <row r="667" spans="6:22" x14ac:dyDescent="0.2">
      <c r="F667" s="39">
        <v>44602</v>
      </c>
      <c r="G667" s="37">
        <v>0.1</v>
      </c>
      <c r="I667" s="39">
        <v>44615</v>
      </c>
      <c r="J667" s="37">
        <v>-0.57599999999999996</v>
      </c>
      <c r="O667" s="39">
        <v>44705</v>
      </c>
      <c r="P667" s="37">
        <v>0.78</v>
      </c>
      <c r="R667" s="39">
        <v>44596</v>
      </c>
      <c r="S667" s="37">
        <v>0.44529999999999997</v>
      </c>
      <c r="U667" s="39">
        <v>44593</v>
      </c>
      <c r="V667" s="37">
        <v>0.75</v>
      </c>
    </row>
    <row r="668" spans="6:22" x14ac:dyDescent="0.2">
      <c r="F668" s="39">
        <v>44601</v>
      </c>
      <c r="G668" s="37">
        <v>0.1</v>
      </c>
      <c r="I668" s="39">
        <v>44614</v>
      </c>
      <c r="J668" s="37">
        <v>-0.57499999999999996</v>
      </c>
      <c r="O668" s="39">
        <v>44706</v>
      </c>
      <c r="P668" s="37">
        <v>0.78</v>
      </c>
      <c r="R668" s="39">
        <v>44595</v>
      </c>
      <c r="S668" s="37">
        <v>0.44030000000000002</v>
      </c>
      <c r="U668" s="39">
        <v>44592</v>
      </c>
      <c r="V668" s="37">
        <v>0.75</v>
      </c>
    </row>
    <row r="669" spans="6:22" x14ac:dyDescent="0.2">
      <c r="F669" s="39">
        <v>44600</v>
      </c>
      <c r="G669" s="37">
        <v>0.1</v>
      </c>
      <c r="I669" s="39">
        <v>44613</v>
      </c>
      <c r="J669" s="37">
        <v>-0.57599999999999996</v>
      </c>
      <c r="O669" s="39">
        <v>44707</v>
      </c>
      <c r="P669" s="37">
        <v>0.78</v>
      </c>
      <c r="R669" s="39">
        <v>44594</v>
      </c>
      <c r="S669" s="37">
        <v>0.19600000000000001</v>
      </c>
      <c r="U669" s="39">
        <v>44589</v>
      </c>
      <c r="V669" s="37">
        <v>0.75</v>
      </c>
    </row>
    <row r="670" spans="6:22" x14ac:dyDescent="0.2">
      <c r="F670" s="39">
        <v>44599</v>
      </c>
      <c r="G670" s="37">
        <v>0.1</v>
      </c>
      <c r="I670" s="39">
        <v>44610</v>
      </c>
      <c r="J670" s="37">
        <v>-0.57599999999999996</v>
      </c>
      <c r="O670" s="39">
        <v>44708</v>
      </c>
      <c r="P670" s="37">
        <v>0.78</v>
      </c>
      <c r="R670" s="39">
        <v>44593</v>
      </c>
      <c r="S670" s="37">
        <v>0.19570000000000001</v>
      </c>
      <c r="U670" s="39">
        <v>44588</v>
      </c>
      <c r="V670" s="37">
        <v>0.75</v>
      </c>
    </row>
    <row r="671" spans="6:22" x14ac:dyDescent="0.2">
      <c r="F671" s="39">
        <v>44596</v>
      </c>
      <c r="G671" s="37">
        <v>0.1</v>
      </c>
      <c r="I671" s="39">
        <v>44609</v>
      </c>
      <c r="J671" s="37">
        <v>-0.57599999999999996</v>
      </c>
      <c r="O671" s="39">
        <v>44712</v>
      </c>
      <c r="P671" s="37">
        <v>0.79</v>
      </c>
      <c r="R671" s="39">
        <v>44592</v>
      </c>
      <c r="S671" s="37">
        <v>0.19889999999999999</v>
      </c>
      <c r="U671" s="39">
        <v>44587</v>
      </c>
      <c r="V671" s="37">
        <v>0.75</v>
      </c>
    </row>
    <row r="672" spans="6:22" x14ac:dyDescent="0.2">
      <c r="F672" s="39">
        <v>44595</v>
      </c>
      <c r="G672" s="37">
        <v>0.1</v>
      </c>
      <c r="I672" s="39">
        <v>44608</v>
      </c>
      <c r="J672" s="37">
        <v>-0.57599999999999996</v>
      </c>
      <c r="O672" s="39">
        <v>44713</v>
      </c>
      <c r="P672" s="37">
        <v>0.8</v>
      </c>
      <c r="R672" s="39">
        <v>44589</v>
      </c>
      <c r="S672" s="37">
        <v>0.19570000000000001</v>
      </c>
      <c r="U672" s="39">
        <v>44586</v>
      </c>
      <c r="V672" s="37">
        <v>0.75</v>
      </c>
    </row>
    <row r="673" spans="6:22" x14ac:dyDescent="0.2">
      <c r="F673" s="39">
        <v>44594</v>
      </c>
      <c r="G673" s="37">
        <v>0.1</v>
      </c>
      <c r="I673" s="39">
        <v>44607</v>
      </c>
      <c r="J673" s="37">
        <v>-0.57599999999999996</v>
      </c>
      <c r="O673" s="39">
        <v>44714</v>
      </c>
      <c r="P673" s="37">
        <v>0.79</v>
      </c>
      <c r="R673" s="39">
        <v>44588</v>
      </c>
      <c r="S673" s="37">
        <v>0.19570000000000001</v>
      </c>
      <c r="U673" s="39">
        <v>44585</v>
      </c>
      <c r="V673" s="37">
        <v>0.75</v>
      </c>
    </row>
    <row r="674" spans="6:22" x14ac:dyDescent="0.2">
      <c r="F674" s="39">
        <v>44593</v>
      </c>
      <c r="G674" s="37">
        <v>0.1</v>
      </c>
      <c r="I674" s="39">
        <v>44606</v>
      </c>
      <c r="J674" s="37">
        <v>-0.57799999999999996</v>
      </c>
      <c r="O674" s="39">
        <v>44715</v>
      </c>
      <c r="P674" s="37">
        <v>0.78</v>
      </c>
      <c r="R674" s="39">
        <v>44587</v>
      </c>
      <c r="S674" s="37">
        <v>0.1956</v>
      </c>
      <c r="U674" s="39">
        <v>44582</v>
      </c>
      <c r="V674" s="37">
        <v>0.75</v>
      </c>
    </row>
    <row r="675" spans="6:22" x14ac:dyDescent="0.2">
      <c r="F675" s="39">
        <v>44592</v>
      </c>
      <c r="G675" s="37">
        <v>0.1</v>
      </c>
      <c r="I675" s="39">
        <v>44603</v>
      </c>
      <c r="J675" s="37">
        <v>-0.57799999999999996</v>
      </c>
      <c r="O675" s="39">
        <v>44718</v>
      </c>
      <c r="P675" s="37">
        <v>0.78</v>
      </c>
      <c r="R675" s="39">
        <v>44586</v>
      </c>
      <c r="S675" s="37">
        <v>0.19539999999999999</v>
      </c>
      <c r="U675" s="39">
        <v>44581</v>
      </c>
      <c r="V675" s="37">
        <v>0.75</v>
      </c>
    </row>
    <row r="676" spans="6:22" x14ac:dyDescent="0.2">
      <c r="F676" s="39">
        <v>44589</v>
      </c>
      <c r="G676" s="37">
        <v>0.1</v>
      </c>
      <c r="I676" s="39">
        <v>44602</v>
      </c>
      <c r="J676" s="37">
        <v>-0.57199999999999995</v>
      </c>
      <c r="O676" s="39">
        <v>44719</v>
      </c>
      <c r="P676" s="37">
        <v>0.77</v>
      </c>
      <c r="R676" s="39">
        <v>44585</v>
      </c>
      <c r="S676" s="37">
        <v>0.19550000000000001</v>
      </c>
      <c r="U676" s="39">
        <v>44580</v>
      </c>
      <c r="V676" s="37">
        <v>0.75</v>
      </c>
    </row>
    <row r="677" spans="6:22" x14ac:dyDescent="0.2">
      <c r="F677" s="39">
        <v>44588</v>
      </c>
      <c r="G677" s="37">
        <v>0.1</v>
      </c>
      <c r="I677" s="39">
        <v>44601</v>
      </c>
      <c r="J677" s="37">
        <v>-0.57799999999999996</v>
      </c>
      <c r="O677" s="39">
        <v>44720</v>
      </c>
      <c r="P677" s="37">
        <v>0.76</v>
      </c>
      <c r="R677" s="39">
        <v>44582</v>
      </c>
      <c r="S677" s="37">
        <v>0.19670000000000001</v>
      </c>
      <c r="U677" s="39">
        <v>44579</v>
      </c>
      <c r="V677" s="37">
        <v>0.75</v>
      </c>
    </row>
    <row r="678" spans="6:22" x14ac:dyDescent="0.2">
      <c r="F678" s="39">
        <v>44586</v>
      </c>
      <c r="G678" s="37">
        <v>0.1</v>
      </c>
      <c r="I678" s="39">
        <v>44600</v>
      </c>
      <c r="J678" s="37">
        <v>-0.57399999999999995</v>
      </c>
      <c r="O678" s="39">
        <v>44721</v>
      </c>
      <c r="P678" s="37">
        <v>0.75</v>
      </c>
      <c r="R678" s="39">
        <v>44581</v>
      </c>
      <c r="S678" s="37">
        <v>0.1966</v>
      </c>
      <c r="U678" s="39">
        <v>44578</v>
      </c>
      <c r="V678" s="37">
        <v>0.75</v>
      </c>
    </row>
    <row r="679" spans="6:22" x14ac:dyDescent="0.2">
      <c r="F679" s="39">
        <v>44585</v>
      </c>
      <c r="G679" s="37">
        <v>0.1</v>
      </c>
      <c r="I679" s="39">
        <v>44599</v>
      </c>
      <c r="J679" s="37">
        <v>-0.57799999999999996</v>
      </c>
      <c r="O679" s="39">
        <v>44722</v>
      </c>
      <c r="P679" s="37">
        <v>0.75</v>
      </c>
      <c r="R679" s="39">
        <v>44580</v>
      </c>
      <c r="S679" s="37">
        <v>0.19639999999999999</v>
      </c>
      <c r="U679" s="39">
        <v>44575</v>
      </c>
      <c r="V679" s="37">
        <v>0.75</v>
      </c>
    </row>
    <row r="680" spans="6:22" x14ac:dyDescent="0.2">
      <c r="F680" s="39">
        <v>44582</v>
      </c>
      <c r="G680" s="37">
        <v>0.1</v>
      </c>
      <c r="I680" s="39">
        <v>44596</v>
      </c>
      <c r="J680" s="37">
        <v>-0.57799999999999996</v>
      </c>
      <c r="O680" s="39">
        <v>44725</v>
      </c>
      <c r="P680" s="37">
        <v>0.73</v>
      </c>
      <c r="R680" s="39">
        <v>44579</v>
      </c>
      <c r="S680" s="37">
        <v>0.19589999999999999</v>
      </c>
      <c r="U680" s="39">
        <v>44574</v>
      </c>
      <c r="V680" s="37">
        <v>0.75</v>
      </c>
    </row>
    <row r="681" spans="6:22" x14ac:dyDescent="0.2">
      <c r="F681" s="39">
        <v>44581</v>
      </c>
      <c r="G681" s="37">
        <v>0.1</v>
      </c>
      <c r="I681" s="39">
        <v>44595</v>
      </c>
      <c r="J681" s="37">
        <v>-0.57699999999999996</v>
      </c>
      <c r="O681" s="39">
        <v>44726</v>
      </c>
      <c r="P681" s="37">
        <v>0.69</v>
      </c>
      <c r="R681" s="39">
        <v>44578</v>
      </c>
      <c r="S681" s="37">
        <v>0.19600000000000001</v>
      </c>
      <c r="U681" s="39">
        <v>44573</v>
      </c>
      <c r="V681" s="37">
        <v>0.75</v>
      </c>
    </row>
    <row r="682" spans="6:22" x14ac:dyDescent="0.2">
      <c r="F682" s="39">
        <v>44580</v>
      </c>
      <c r="G682" s="37">
        <v>0.1</v>
      </c>
      <c r="I682" s="39">
        <v>44594</v>
      </c>
      <c r="J682" s="37">
        <v>-0.57799999999999996</v>
      </c>
      <c r="O682" s="39">
        <v>44727</v>
      </c>
      <c r="P682" s="37">
        <v>0.7</v>
      </c>
      <c r="R682" s="39">
        <v>44575</v>
      </c>
      <c r="S682" s="37">
        <v>0.19589999999999999</v>
      </c>
      <c r="U682" s="39">
        <v>44572</v>
      </c>
      <c r="V682" s="37">
        <v>0.75</v>
      </c>
    </row>
    <row r="683" spans="6:22" x14ac:dyDescent="0.2">
      <c r="F683" s="39">
        <v>44579</v>
      </c>
      <c r="G683" s="37">
        <v>0.1</v>
      </c>
      <c r="I683" s="39">
        <v>44593</v>
      </c>
      <c r="J683" s="37">
        <v>-0.57799999999999996</v>
      </c>
      <c r="O683" s="39">
        <v>44728</v>
      </c>
      <c r="P683" s="37">
        <v>1.45</v>
      </c>
      <c r="R683" s="39">
        <v>44574</v>
      </c>
      <c r="S683" s="37">
        <v>0.19589999999999999</v>
      </c>
      <c r="U683" s="39">
        <v>44571</v>
      </c>
      <c r="V683" s="37">
        <v>0.75</v>
      </c>
    </row>
    <row r="684" spans="6:22" x14ac:dyDescent="0.2">
      <c r="F684" s="39">
        <v>44578</v>
      </c>
      <c r="G684" s="37">
        <v>0.1</v>
      </c>
      <c r="I684" s="39">
        <v>44592</v>
      </c>
      <c r="J684" s="37">
        <v>-0.57899999999999996</v>
      </c>
      <c r="O684" s="39">
        <v>44729</v>
      </c>
      <c r="P684" s="37">
        <v>1.45</v>
      </c>
      <c r="R684" s="39">
        <v>44573</v>
      </c>
      <c r="S684" s="37">
        <v>0.1958</v>
      </c>
      <c r="U684" s="39">
        <v>44568</v>
      </c>
      <c r="V684" s="37">
        <v>0.75</v>
      </c>
    </row>
    <row r="685" spans="6:22" x14ac:dyDescent="0.2">
      <c r="F685" s="39">
        <v>44575</v>
      </c>
      <c r="G685" s="37">
        <v>0.1</v>
      </c>
      <c r="I685" s="39">
        <v>44589</v>
      </c>
      <c r="J685" s="37">
        <v>-0.57299999999999995</v>
      </c>
      <c r="O685" s="39">
        <v>44733</v>
      </c>
      <c r="P685" s="37">
        <v>1.45</v>
      </c>
      <c r="R685" s="39">
        <v>44572</v>
      </c>
      <c r="S685" s="37">
        <v>0.19520000000000001</v>
      </c>
      <c r="U685" s="39">
        <v>44567</v>
      </c>
      <c r="V685" s="37">
        <v>0.75</v>
      </c>
    </row>
    <row r="686" spans="6:22" x14ac:dyDescent="0.2">
      <c r="F686" s="39">
        <v>44574</v>
      </c>
      <c r="G686" s="37">
        <v>0.1</v>
      </c>
      <c r="I686" s="39">
        <v>44588</v>
      </c>
      <c r="J686" s="37">
        <v>-0.57299999999999995</v>
      </c>
      <c r="O686" s="39">
        <v>44734</v>
      </c>
      <c r="P686" s="37">
        <v>1.45</v>
      </c>
      <c r="R686" s="39">
        <v>44571</v>
      </c>
      <c r="S686" s="37">
        <v>0.1948</v>
      </c>
      <c r="U686" s="39">
        <v>44566</v>
      </c>
      <c r="V686" s="37">
        <v>0.75</v>
      </c>
    </row>
    <row r="687" spans="6:22" x14ac:dyDescent="0.2">
      <c r="F687" s="39">
        <v>44573</v>
      </c>
      <c r="G687" s="37">
        <v>0.1</v>
      </c>
      <c r="I687" s="39">
        <v>44587</v>
      </c>
      <c r="J687" s="37">
        <v>-0.57599999999999996</v>
      </c>
      <c r="O687" s="39">
        <v>44735</v>
      </c>
      <c r="P687" s="37">
        <v>1.44</v>
      </c>
      <c r="R687" s="39">
        <v>44568</v>
      </c>
      <c r="S687" s="37">
        <v>0.19500000000000001</v>
      </c>
      <c r="U687" s="39">
        <v>44561</v>
      </c>
      <c r="V687" s="37">
        <v>0.75</v>
      </c>
    </row>
    <row r="688" spans="6:22" x14ac:dyDescent="0.2">
      <c r="F688" s="39">
        <v>44572</v>
      </c>
      <c r="G688" s="37">
        <v>0.1</v>
      </c>
      <c r="I688" s="39">
        <v>44586</v>
      </c>
      <c r="J688" s="37">
        <v>-0.57799999999999996</v>
      </c>
      <c r="O688" s="39">
        <v>44736</v>
      </c>
      <c r="P688" s="37">
        <v>1.46</v>
      </c>
      <c r="R688" s="39">
        <v>44567</v>
      </c>
      <c r="S688" s="37">
        <v>0.19470000000000001</v>
      </c>
      <c r="U688" s="39">
        <v>44560</v>
      </c>
      <c r="V688" s="37">
        <v>0.75</v>
      </c>
    </row>
    <row r="689" spans="6:22" x14ac:dyDescent="0.2">
      <c r="F689" s="39">
        <v>44571</v>
      </c>
      <c r="G689" s="37">
        <v>0.1</v>
      </c>
      <c r="I689" s="39">
        <v>44585</v>
      </c>
      <c r="J689" s="37">
        <v>-0.57899999999999996</v>
      </c>
      <c r="O689" s="39">
        <v>44739</v>
      </c>
      <c r="P689" s="37">
        <v>1.5</v>
      </c>
      <c r="R689" s="39">
        <v>44566</v>
      </c>
      <c r="S689" s="37">
        <v>0.1948</v>
      </c>
      <c r="U689" s="39">
        <v>44559</v>
      </c>
      <c r="V689" s="37">
        <v>0.75</v>
      </c>
    </row>
    <row r="690" spans="6:22" x14ac:dyDescent="0.2">
      <c r="F690" s="39">
        <v>44568</v>
      </c>
      <c r="G690" s="37">
        <v>0.1</v>
      </c>
      <c r="I690" s="39">
        <v>44582</v>
      </c>
      <c r="J690" s="37">
        <v>-0.57899999999999996</v>
      </c>
      <c r="O690" s="39">
        <v>44740</v>
      </c>
      <c r="P690" s="37">
        <v>1.52</v>
      </c>
      <c r="R690" s="39">
        <v>44565</v>
      </c>
      <c r="S690" s="37">
        <v>0.19470000000000001</v>
      </c>
      <c r="U690" s="39">
        <v>44554</v>
      </c>
      <c r="V690" s="37">
        <v>0.75</v>
      </c>
    </row>
    <row r="691" spans="6:22" x14ac:dyDescent="0.2">
      <c r="F691" s="39">
        <v>44567</v>
      </c>
      <c r="G691" s="37">
        <v>0.1</v>
      </c>
      <c r="I691" s="39">
        <v>44581</v>
      </c>
      <c r="J691" s="37">
        <v>-0.57899999999999996</v>
      </c>
      <c r="O691" s="39">
        <v>44741</v>
      </c>
      <c r="P691" s="37">
        <v>1.51</v>
      </c>
      <c r="R691" s="39">
        <v>44561</v>
      </c>
      <c r="S691" s="37">
        <v>0.19059999999999999</v>
      </c>
      <c r="U691" s="39">
        <v>44553</v>
      </c>
      <c r="V691" s="37">
        <v>0.75</v>
      </c>
    </row>
    <row r="692" spans="6:22" x14ac:dyDescent="0.2">
      <c r="F692" s="39">
        <v>44566</v>
      </c>
      <c r="G692" s="37">
        <v>0.1</v>
      </c>
      <c r="I692" s="39">
        <v>44580</v>
      </c>
      <c r="J692" s="37">
        <v>-0.57799999999999996</v>
      </c>
      <c r="O692" s="39">
        <v>44742</v>
      </c>
      <c r="P692" s="37">
        <v>1.5</v>
      </c>
      <c r="R692" s="39">
        <v>44560</v>
      </c>
      <c r="S692" s="37">
        <v>0.19220000000000001</v>
      </c>
      <c r="U692" s="39">
        <v>44552</v>
      </c>
      <c r="V692" s="37">
        <v>0.75</v>
      </c>
    </row>
    <row r="693" spans="6:22" x14ac:dyDescent="0.2">
      <c r="F693" s="39">
        <v>44565</v>
      </c>
      <c r="G693" s="37">
        <v>0.1</v>
      </c>
      <c r="I693" s="39">
        <v>44579</v>
      </c>
      <c r="J693" s="37">
        <v>-0.57899999999999996</v>
      </c>
      <c r="O693" s="39">
        <v>44743</v>
      </c>
      <c r="P693" s="37">
        <v>1.52</v>
      </c>
      <c r="R693" s="39">
        <v>44559</v>
      </c>
      <c r="S693" s="37">
        <v>0.19220000000000001</v>
      </c>
      <c r="U693" s="39">
        <v>44551</v>
      </c>
      <c r="V693" s="37">
        <v>0.75</v>
      </c>
    </row>
    <row r="694" spans="6:22" x14ac:dyDescent="0.2">
      <c r="F694" s="39">
        <v>44561</v>
      </c>
      <c r="G694" s="37">
        <v>0.1</v>
      </c>
      <c r="I694" s="39">
        <v>44578</v>
      </c>
      <c r="J694" s="37">
        <v>-0.57799999999999996</v>
      </c>
      <c r="O694" s="39">
        <v>44747</v>
      </c>
      <c r="P694" s="37">
        <v>1.54</v>
      </c>
      <c r="R694" s="39">
        <v>44554</v>
      </c>
      <c r="S694" s="37">
        <v>0.19289999999999999</v>
      </c>
      <c r="U694" s="39">
        <v>44550</v>
      </c>
      <c r="V694" s="37">
        <v>0.75</v>
      </c>
    </row>
    <row r="695" spans="6:22" x14ac:dyDescent="0.2">
      <c r="F695" s="39">
        <v>44560</v>
      </c>
      <c r="G695" s="37">
        <v>0.1</v>
      </c>
      <c r="I695" s="39">
        <v>44575</v>
      </c>
      <c r="J695" s="37">
        <v>-0.57799999999999996</v>
      </c>
      <c r="O695" s="39">
        <v>44748</v>
      </c>
      <c r="P695" s="37">
        <v>1.54</v>
      </c>
      <c r="R695" s="39">
        <v>44553</v>
      </c>
      <c r="S695" s="37">
        <v>0.1928</v>
      </c>
      <c r="U695" s="39">
        <v>44547</v>
      </c>
      <c r="V695" s="37">
        <v>0.75</v>
      </c>
    </row>
    <row r="696" spans="6:22" x14ac:dyDescent="0.2">
      <c r="F696" s="39">
        <v>44559</v>
      </c>
      <c r="G696" s="37">
        <v>0.1</v>
      </c>
      <c r="I696" s="39">
        <v>44574</v>
      </c>
      <c r="J696" s="37">
        <v>-0.57799999999999996</v>
      </c>
      <c r="O696" s="39">
        <v>44749</v>
      </c>
      <c r="P696" s="37">
        <v>1.54</v>
      </c>
      <c r="R696" s="39">
        <v>44552</v>
      </c>
      <c r="S696" s="37">
        <v>0.19259999999999999</v>
      </c>
      <c r="U696" s="39">
        <v>44546</v>
      </c>
      <c r="V696" s="37">
        <v>0.75</v>
      </c>
    </row>
    <row r="697" spans="6:22" x14ac:dyDescent="0.2">
      <c r="F697" s="39">
        <v>44554</v>
      </c>
      <c r="G697" s="37">
        <v>0.1</v>
      </c>
      <c r="I697" s="39">
        <v>44573</v>
      </c>
      <c r="J697" s="37">
        <v>-0.57799999999999996</v>
      </c>
      <c r="O697" s="39">
        <v>44750</v>
      </c>
      <c r="P697" s="37">
        <v>1.53</v>
      </c>
      <c r="R697" s="39">
        <v>44551</v>
      </c>
      <c r="S697" s="37">
        <v>0.19320000000000001</v>
      </c>
      <c r="U697" s="39">
        <v>44545</v>
      </c>
      <c r="V697" s="37">
        <v>0.75</v>
      </c>
    </row>
    <row r="698" spans="6:22" x14ac:dyDescent="0.2">
      <c r="F698" s="39">
        <v>44553</v>
      </c>
      <c r="G698" s="37">
        <v>0.1</v>
      </c>
      <c r="I698" s="39">
        <v>44572</v>
      </c>
      <c r="J698" s="37">
        <v>-0.57899999999999996</v>
      </c>
      <c r="O698" s="39">
        <v>44753</v>
      </c>
      <c r="P698" s="37">
        <v>1.53</v>
      </c>
      <c r="R698" s="39">
        <v>44550</v>
      </c>
      <c r="S698" s="37">
        <v>0.1938</v>
      </c>
      <c r="U698" s="39">
        <v>44544</v>
      </c>
      <c r="V698" s="37">
        <v>0.75</v>
      </c>
    </row>
    <row r="699" spans="6:22" x14ac:dyDescent="0.2">
      <c r="F699" s="39">
        <v>44552</v>
      </c>
      <c r="G699" s="37">
        <v>0.1</v>
      </c>
      <c r="I699" s="39">
        <v>44571</v>
      </c>
      <c r="J699" s="37">
        <v>-0.57899999999999996</v>
      </c>
      <c r="O699" s="39">
        <v>44754</v>
      </c>
      <c r="P699" s="37">
        <v>1.54</v>
      </c>
      <c r="R699" s="39">
        <v>44547</v>
      </c>
      <c r="S699" s="37">
        <v>0.19370000000000001</v>
      </c>
      <c r="U699" s="39">
        <v>44543</v>
      </c>
      <c r="V699" s="37">
        <v>0.75</v>
      </c>
    </row>
    <row r="700" spans="6:22" x14ac:dyDescent="0.2">
      <c r="F700" s="39">
        <v>44551</v>
      </c>
      <c r="G700" s="37">
        <v>0.1</v>
      </c>
      <c r="I700" s="39">
        <v>44568</v>
      </c>
      <c r="J700" s="37">
        <v>-0.57999999999999996</v>
      </c>
      <c r="O700" s="39">
        <v>44755</v>
      </c>
      <c r="P700" s="37">
        <v>1.53</v>
      </c>
      <c r="R700" s="39">
        <v>44546</v>
      </c>
      <c r="S700" s="37">
        <v>0.16220000000000001</v>
      </c>
      <c r="U700" s="39">
        <v>44540</v>
      </c>
      <c r="V700" s="37">
        <v>0.75</v>
      </c>
    </row>
    <row r="701" spans="6:22" x14ac:dyDescent="0.2">
      <c r="F701" s="39">
        <v>44550</v>
      </c>
      <c r="G701" s="37">
        <v>0.1</v>
      </c>
      <c r="I701" s="39">
        <v>44567</v>
      </c>
      <c r="J701" s="37">
        <v>-0.57799999999999996</v>
      </c>
      <c r="O701" s="39">
        <v>44756</v>
      </c>
      <c r="P701" s="37">
        <v>1.53</v>
      </c>
      <c r="R701" s="39">
        <v>44545</v>
      </c>
      <c r="S701" s="37">
        <v>4.4999999999999998E-2</v>
      </c>
      <c r="U701" s="39">
        <v>44539</v>
      </c>
      <c r="V701" s="37">
        <v>0.75</v>
      </c>
    </row>
    <row r="702" spans="6:22" x14ac:dyDescent="0.2">
      <c r="F702" s="39">
        <v>44547</v>
      </c>
      <c r="G702" s="37">
        <v>0.1</v>
      </c>
      <c r="I702" s="39">
        <v>44566</v>
      </c>
      <c r="J702" s="37">
        <v>-0.57799999999999996</v>
      </c>
      <c r="O702" s="39">
        <v>44757</v>
      </c>
      <c r="P702" s="37">
        <v>1.54</v>
      </c>
      <c r="R702" s="39">
        <v>44544</v>
      </c>
      <c r="S702" s="37">
        <v>4.53E-2</v>
      </c>
      <c r="U702" s="39">
        <v>44538</v>
      </c>
      <c r="V702" s="37">
        <v>0.75</v>
      </c>
    </row>
    <row r="703" spans="6:22" x14ac:dyDescent="0.2">
      <c r="F703" s="39">
        <v>44546</v>
      </c>
      <c r="G703" s="37">
        <v>0.1</v>
      </c>
      <c r="I703" s="39">
        <v>44565</v>
      </c>
      <c r="J703" s="37">
        <v>-0.57799999999999996</v>
      </c>
      <c r="O703" s="39">
        <v>44760</v>
      </c>
      <c r="P703" s="37">
        <v>1.54</v>
      </c>
      <c r="R703" s="39">
        <v>44543</v>
      </c>
      <c r="S703" s="37">
        <v>4.53E-2</v>
      </c>
      <c r="U703" s="39">
        <v>44537</v>
      </c>
      <c r="V703" s="37">
        <v>0.75</v>
      </c>
    </row>
    <row r="704" spans="6:22" x14ac:dyDescent="0.2">
      <c r="F704" s="39">
        <v>44545</v>
      </c>
      <c r="G704" s="37">
        <v>0.1</v>
      </c>
      <c r="I704" s="39">
        <v>44564</v>
      </c>
      <c r="J704" s="37">
        <v>-0.57799999999999996</v>
      </c>
      <c r="O704" s="39">
        <v>44761</v>
      </c>
      <c r="P704" s="37">
        <v>1.54</v>
      </c>
      <c r="R704" s="39">
        <v>44540</v>
      </c>
      <c r="S704" s="37">
        <v>4.5100000000000001E-2</v>
      </c>
      <c r="U704" s="39">
        <v>44536</v>
      </c>
      <c r="V704" s="37">
        <v>0.75</v>
      </c>
    </row>
    <row r="705" spans="6:22" x14ac:dyDescent="0.2">
      <c r="F705" s="39">
        <v>44544</v>
      </c>
      <c r="G705" s="37">
        <v>0.1</v>
      </c>
      <c r="I705" s="39">
        <v>44561</v>
      </c>
      <c r="J705" s="37">
        <v>-0.59</v>
      </c>
      <c r="O705" s="39">
        <v>44762</v>
      </c>
      <c r="P705" s="37">
        <v>1.53</v>
      </c>
      <c r="R705" s="39">
        <v>44539</v>
      </c>
      <c r="S705" s="37">
        <v>4.58E-2</v>
      </c>
      <c r="U705" s="39">
        <v>44533</v>
      </c>
      <c r="V705" s="37">
        <v>0.75</v>
      </c>
    </row>
    <row r="706" spans="6:22" x14ac:dyDescent="0.2">
      <c r="F706" s="39">
        <v>44543</v>
      </c>
      <c r="G706" s="37">
        <v>0.1</v>
      </c>
      <c r="I706" s="39">
        <v>44560</v>
      </c>
      <c r="J706" s="37">
        <v>-0.57999999999999996</v>
      </c>
      <c r="O706" s="39">
        <v>44763</v>
      </c>
      <c r="P706" s="37">
        <v>1.53</v>
      </c>
      <c r="R706" s="39">
        <v>44538</v>
      </c>
      <c r="S706" s="37">
        <v>4.5699999999999998E-2</v>
      </c>
      <c r="U706" s="39">
        <v>44532</v>
      </c>
      <c r="V706" s="37">
        <v>0.75</v>
      </c>
    </row>
    <row r="707" spans="6:22" x14ac:dyDescent="0.2">
      <c r="F707" s="39">
        <v>44540</v>
      </c>
      <c r="G707" s="37">
        <v>0.1</v>
      </c>
      <c r="I707" s="39">
        <v>44559</v>
      </c>
      <c r="J707" s="37">
        <v>-0.57799999999999996</v>
      </c>
      <c r="O707" s="39">
        <v>44764</v>
      </c>
      <c r="P707" s="37">
        <v>1.52</v>
      </c>
      <c r="R707" s="39">
        <v>44537</v>
      </c>
      <c r="S707" s="37">
        <v>4.53E-2</v>
      </c>
      <c r="U707" s="39">
        <v>44531</v>
      </c>
      <c r="V707" s="37">
        <v>0.75</v>
      </c>
    </row>
    <row r="708" spans="6:22" x14ac:dyDescent="0.2">
      <c r="F708" s="39">
        <v>44539</v>
      </c>
      <c r="G708" s="37">
        <v>0.1</v>
      </c>
      <c r="I708" s="39">
        <v>44558</v>
      </c>
      <c r="J708" s="37">
        <v>-0.57499999999999996</v>
      </c>
      <c r="O708" s="39">
        <v>44767</v>
      </c>
      <c r="P708" s="37">
        <v>1.53</v>
      </c>
      <c r="R708" s="39">
        <v>44536</v>
      </c>
      <c r="S708" s="37">
        <v>4.5600000000000002E-2</v>
      </c>
      <c r="U708" s="39">
        <v>44530</v>
      </c>
      <c r="V708" s="37">
        <v>0.75</v>
      </c>
    </row>
    <row r="709" spans="6:22" x14ac:dyDescent="0.2">
      <c r="F709" s="39">
        <v>44538</v>
      </c>
      <c r="G709" s="37">
        <v>0.1</v>
      </c>
      <c r="I709" s="39">
        <v>44557</v>
      </c>
      <c r="J709" s="37">
        <v>-0.57599999999999996</v>
      </c>
      <c r="O709" s="39">
        <v>44768</v>
      </c>
      <c r="P709" s="37">
        <v>1.53</v>
      </c>
      <c r="R709" s="39">
        <v>44533</v>
      </c>
      <c r="S709" s="37">
        <v>4.5699999999999998E-2</v>
      </c>
      <c r="U709" s="39">
        <v>44529</v>
      </c>
      <c r="V709" s="37">
        <v>0.75</v>
      </c>
    </row>
    <row r="710" spans="6:22" x14ac:dyDescent="0.2">
      <c r="F710" s="39">
        <v>44537</v>
      </c>
      <c r="G710" s="37">
        <v>0.1</v>
      </c>
      <c r="I710" s="39">
        <v>44554</v>
      </c>
      <c r="J710" s="37">
        <v>-0.57999999999999996</v>
      </c>
      <c r="O710" s="39">
        <v>44769</v>
      </c>
      <c r="P710" s="37">
        <v>1.53</v>
      </c>
      <c r="R710" s="39">
        <v>44532</v>
      </c>
      <c r="S710" s="37">
        <v>4.5699999999999998E-2</v>
      </c>
      <c r="U710" s="39">
        <v>44526</v>
      </c>
      <c r="V710" s="37">
        <v>0.75</v>
      </c>
    </row>
    <row r="711" spans="6:22" x14ac:dyDescent="0.2">
      <c r="F711" s="39">
        <v>44536</v>
      </c>
      <c r="G711" s="37">
        <v>0.1</v>
      </c>
      <c r="I711" s="39">
        <v>44553</v>
      </c>
      <c r="J711" s="37">
        <v>-0.57599999999999996</v>
      </c>
      <c r="O711" s="39">
        <v>44770</v>
      </c>
      <c r="P711" s="37">
        <v>2.2799999999999998</v>
      </c>
      <c r="R711" s="39">
        <v>44531</v>
      </c>
      <c r="S711" s="37">
        <v>4.5900000000000003E-2</v>
      </c>
      <c r="U711" s="39">
        <v>44525</v>
      </c>
      <c r="V711" s="37">
        <v>0.75</v>
      </c>
    </row>
    <row r="712" spans="6:22" x14ac:dyDescent="0.2">
      <c r="F712" s="39">
        <v>44533</v>
      </c>
      <c r="G712" s="37">
        <v>0.1</v>
      </c>
      <c r="I712" s="39">
        <v>44552</v>
      </c>
      <c r="J712" s="37">
        <v>-0.57399999999999995</v>
      </c>
      <c r="O712" s="39">
        <v>44771</v>
      </c>
      <c r="P712" s="37">
        <v>2.27</v>
      </c>
      <c r="R712" s="39">
        <v>44530</v>
      </c>
      <c r="S712" s="37">
        <v>4.5499999999999999E-2</v>
      </c>
      <c r="U712" s="39">
        <v>44524</v>
      </c>
      <c r="V712" s="37">
        <v>0.5</v>
      </c>
    </row>
    <row r="713" spans="6:22" x14ac:dyDescent="0.2">
      <c r="F713" s="39">
        <v>44532</v>
      </c>
      <c r="G713" s="37">
        <v>0.1</v>
      </c>
      <c r="I713" s="39">
        <v>44551</v>
      </c>
      <c r="J713" s="37">
        <v>-0.57099999999999995</v>
      </c>
      <c r="O713" s="39">
        <v>44774</v>
      </c>
      <c r="P713" s="37">
        <v>2.2799999999999998</v>
      </c>
      <c r="R713" s="39">
        <v>44529</v>
      </c>
      <c r="S713" s="37">
        <v>4.6399999999999997E-2</v>
      </c>
      <c r="U713" s="39">
        <v>44523</v>
      </c>
      <c r="V713" s="37">
        <v>0.5</v>
      </c>
    </row>
    <row r="714" spans="6:22" x14ac:dyDescent="0.2">
      <c r="F714" s="39">
        <v>44531</v>
      </c>
      <c r="G714" s="37">
        <v>0.1</v>
      </c>
      <c r="I714" s="39">
        <v>44550</v>
      </c>
      <c r="J714" s="37">
        <v>-0.57599999999999996</v>
      </c>
      <c r="O714" s="39">
        <v>44775</v>
      </c>
      <c r="P714" s="37">
        <v>2.2999999999999998</v>
      </c>
      <c r="R714" s="39">
        <v>44526</v>
      </c>
      <c r="S714" s="37">
        <v>4.6100000000000002E-2</v>
      </c>
      <c r="U714" s="39">
        <v>44522</v>
      </c>
      <c r="V714" s="37">
        <v>0.5</v>
      </c>
    </row>
    <row r="715" spans="6:22" x14ac:dyDescent="0.2">
      <c r="F715" s="39">
        <v>44530</v>
      </c>
      <c r="G715" s="37">
        <v>0.1</v>
      </c>
      <c r="I715" s="39">
        <v>44547</v>
      </c>
      <c r="J715" s="37">
        <v>-0.57599999999999996</v>
      </c>
      <c r="O715" s="39">
        <v>44776</v>
      </c>
      <c r="P715" s="37">
        <v>2.29</v>
      </c>
      <c r="R715" s="39">
        <v>44525</v>
      </c>
      <c r="S715" s="37">
        <v>4.65E-2</v>
      </c>
      <c r="U715" s="39">
        <v>44519</v>
      </c>
      <c r="V715" s="37">
        <v>0.5</v>
      </c>
    </row>
    <row r="716" spans="6:22" x14ac:dyDescent="0.2">
      <c r="F716" s="39">
        <v>44529</v>
      </c>
      <c r="G716" s="37">
        <v>0.1</v>
      </c>
      <c r="I716" s="39">
        <v>44546</v>
      </c>
      <c r="J716" s="37">
        <v>-0.57699999999999996</v>
      </c>
      <c r="O716" s="39">
        <v>44777</v>
      </c>
      <c r="P716" s="37">
        <v>2.29</v>
      </c>
      <c r="R716" s="39">
        <v>44524</v>
      </c>
      <c r="S716" s="37">
        <v>4.6199999999999998E-2</v>
      </c>
      <c r="U716" s="39">
        <v>44518</v>
      </c>
      <c r="V716" s="37">
        <v>0.5</v>
      </c>
    </row>
    <row r="717" spans="6:22" x14ac:dyDescent="0.2">
      <c r="F717" s="39">
        <v>44526</v>
      </c>
      <c r="G717" s="37">
        <v>0.1</v>
      </c>
      <c r="I717" s="39">
        <v>44545</v>
      </c>
      <c r="J717" s="37">
        <v>-0.57699999999999996</v>
      </c>
      <c r="O717" s="39">
        <v>44778</v>
      </c>
      <c r="P717" s="37">
        <v>2.2799999999999998</v>
      </c>
      <c r="R717" s="39">
        <v>44523</v>
      </c>
      <c r="S717" s="37">
        <v>4.6600000000000003E-2</v>
      </c>
      <c r="U717" s="39">
        <v>44517</v>
      </c>
      <c r="V717" s="37">
        <v>0.5</v>
      </c>
    </row>
    <row r="718" spans="6:22" x14ac:dyDescent="0.2">
      <c r="F718" s="39">
        <v>44525</v>
      </c>
      <c r="G718" s="37">
        <v>0.1</v>
      </c>
      <c r="I718" s="39">
        <v>44544</v>
      </c>
      <c r="J718" s="37">
        <v>-0.57699999999999996</v>
      </c>
      <c r="O718" s="39">
        <v>44781</v>
      </c>
      <c r="P718" s="37">
        <v>2.2799999999999998</v>
      </c>
      <c r="R718" s="39">
        <v>44522</v>
      </c>
      <c r="S718" s="37">
        <v>4.6800000000000001E-2</v>
      </c>
      <c r="U718" s="39">
        <v>44516</v>
      </c>
      <c r="V718" s="37">
        <v>0.5</v>
      </c>
    </row>
    <row r="719" spans="6:22" x14ac:dyDescent="0.2">
      <c r="F719" s="39">
        <v>44524</v>
      </c>
      <c r="G719" s="37">
        <v>0.1</v>
      </c>
      <c r="I719" s="39">
        <v>44543</v>
      </c>
      <c r="J719" s="37">
        <v>-0.57899999999999996</v>
      </c>
      <c r="O719" s="39">
        <v>44782</v>
      </c>
      <c r="P719" s="37">
        <v>2.29</v>
      </c>
      <c r="R719" s="39">
        <v>44519</v>
      </c>
      <c r="S719" s="37">
        <v>4.6399999999999997E-2</v>
      </c>
      <c r="U719" s="39">
        <v>44515</v>
      </c>
      <c r="V719" s="37">
        <v>0.5</v>
      </c>
    </row>
    <row r="720" spans="6:22" x14ac:dyDescent="0.2">
      <c r="F720" s="39">
        <v>44523</v>
      </c>
      <c r="G720" s="37">
        <v>0.1</v>
      </c>
      <c r="I720" s="39">
        <v>44540</v>
      </c>
      <c r="J720" s="37">
        <v>-0.57699999999999996</v>
      </c>
      <c r="O720" s="39">
        <v>44783</v>
      </c>
      <c r="P720" s="37">
        <v>2.2799999999999998</v>
      </c>
      <c r="R720" s="39">
        <v>44518</v>
      </c>
      <c r="S720" s="37">
        <v>4.6699999999999998E-2</v>
      </c>
      <c r="U720" s="39">
        <v>44512</v>
      </c>
      <c r="V720" s="37">
        <v>0.5</v>
      </c>
    </row>
    <row r="721" spans="6:22" x14ac:dyDescent="0.2">
      <c r="F721" s="39">
        <v>44522</v>
      </c>
      <c r="G721" s="37">
        <v>0.1</v>
      </c>
      <c r="I721" s="39">
        <v>44539</v>
      </c>
      <c r="J721" s="37">
        <v>-0.57799999999999996</v>
      </c>
      <c r="O721" s="39">
        <v>44784</v>
      </c>
      <c r="P721" s="37">
        <v>2.2799999999999998</v>
      </c>
      <c r="R721" s="39">
        <v>44517</v>
      </c>
      <c r="S721" s="37">
        <v>4.6899999999999997E-2</v>
      </c>
      <c r="U721" s="39">
        <v>44511</v>
      </c>
      <c r="V721" s="37">
        <v>0.5</v>
      </c>
    </row>
    <row r="722" spans="6:22" x14ac:dyDescent="0.2">
      <c r="F722" s="39">
        <v>44519</v>
      </c>
      <c r="G722" s="37">
        <v>0.1</v>
      </c>
      <c r="I722" s="39">
        <v>44538</v>
      </c>
      <c r="J722" s="37">
        <v>-0.57699999999999996</v>
      </c>
      <c r="O722" s="39">
        <v>44785</v>
      </c>
      <c r="P722" s="37">
        <v>2.2799999999999998</v>
      </c>
      <c r="R722" s="39">
        <v>44516</v>
      </c>
      <c r="S722" s="37">
        <v>4.65E-2</v>
      </c>
      <c r="U722" s="39">
        <v>44510</v>
      </c>
      <c r="V722" s="37">
        <v>0.5</v>
      </c>
    </row>
    <row r="723" spans="6:22" x14ac:dyDescent="0.2">
      <c r="F723" s="39">
        <v>44518</v>
      </c>
      <c r="G723" s="37">
        <v>0.1</v>
      </c>
      <c r="I723" s="39">
        <v>44537</v>
      </c>
      <c r="J723" s="37">
        <v>-0.57699999999999996</v>
      </c>
      <c r="O723" s="39">
        <v>44788</v>
      </c>
      <c r="P723" s="37">
        <v>2.29</v>
      </c>
      <c r="R723" s="39">
        <v>44515</v>
      </c>
      <c r="S723" s="37">
        <v>4.7300000000000002E-2</v>
      </c>
      <c r="U723" s="39">
        <v>44509</v>
      </c>
      <c r="V723" s="37">
        <v>0.5</v>
      </c>
    </row>
    <row r="724" spans="6:22" x14ac:dyDescent="0.2">
      <c r="F724" s="39">
        <v>44517</v>
      </c>
      <c r="G724" s="37">
        <v>0.1</v>
      </c>
      <c r="I724" s="39">
        <v>44536</v>
      </c>
      <c r="J724" s="37">
        <v>-0.57799999999999996</v>
      </c>
      <c r="O724" s="39">
        <v>44789</v>
      </c>
      <c r="P724" s="37">
        <v>2.29</v>
      </c>
      <c r="R724" s="39">
        <v>44512</v>
      </c>
      <c r="S724" s="37">
        <v>4.7E-2</v>
      </c>
      <c r="U724" s="39">
        <v>44508</v>
      </c>
      <c r="V724" s="37">
        <v>0.5</v>
      </c>
    </row>
    <row r="725" spans="6:22" x14ac:dyDescent="0.2">
      <c r="F725" s="39">
        <v>44516</v>
      </c>
      <c r="G725" s="37">
        <v>0.1</v>
      </c>
      <c r="I725" s="39">
        <v>44533</v>
      </c>
      <c r="J725" s="37">
        <v>-0.57799999999999996</v>
      </c>
      <c r="O725" s="39">
        <v>44790</v>
      </c>
      <c r="P725" s="37">
        <v>2.29</v>
      </c>
      <c r="R725" s="39">
        <v>44511</v>
      </c>
      <c r="S725" s="37">
        <v>4.6600000000000003E-2</v>
      </c>
      <c r="U725" s="39">
        <v>44505</v>
      </c>
      <c r="V725" s="37">
        <v>0.5</v>
      </c>
    </row>
    <row r="726" spans="6:22" x14ac:dyDescent="0.2">
      <c r="F726" s="39">
        <v>44515</v>
      </c>
      <c r="G726" s="37">
        <v>0.1</v>
      </c>
      <c r="I726" s="39">
        <v>44532</v>
      </c>
      <c r="J726" s="37">
        <v>-0.57499999999999996</v>
      </c>
      <c r="O726" s="39">
        <v>44791</v>
      </c>
      <c r="P726" s="37">
        <v>2.2799999999999998</v>
      </c>
      <c r="R726" s="39">
        <v>44510</v>
      </c>
      <c r="S726" s="37">
        <v>4.65E-2</v>
      </c>
      <c r="U726" s="39">
        <v>44504</v>
      </c>
      <c r="V726" s="37">
        <v>0.5</v>
      </c>
    </row>
    <row r="727" spans="6:22" x14ac:dyDescent="0.2">
      <c r="F727" s="39">
        <v>44512</v>
      </c>
      <c r="G727" s="37">
        <v>0.1</v>
      </c>
      <c r="I727" s="39">
        <v>44531</v>
      </c>
      <c r="J727" s="37">
        <v>-0.57399999999999995</v>
      </c>
      <c r="O727" s="39">
        <v>44792</v>
      </c>
      <c r="P727" s="37">
        <v>2.2799999999999998</v>
      </c>
      <c r="R727" s="39">
        <v>44509</v>
      </c>
      <c r="S727" s="37">
        <v>4.6800000000000001E-2</v>
      </c>
      <c r="U727" s="39">
        <v>44503</v>
      </c>
      <c r="V727" s="37">
        <v>0.5</v>
      </c>
    </row>
    <row r="728" spans="6:22" x14ac:dyDescent="0.2">
      <c r="F728" s="39">
        <v>44511</v>
      </c>
      <c r="G728" s="37">
        <v>0.1</v>
      </c>
      <c r="I728" s="39">
        <v>44530</v>
      </c>
      <c r="J728" s="37">
        <v>-0.57499999999999996</v>
      </c>
      <c r="O728" s="39">
        <v>44795</v>
      </c>
      <c r="P728" s="37">
        <v>2.2799999999999998</v>
      </c>
      <c r="R728" s="39">
        <v>44508</v>
      </c>
      <c r="S728" s="37">
        <v>4.6699999999999998E-2</v>
      </c>
      <c r="U728" s="39">
        <v>44502</v>
      </c>
      <c r="V728" s="37">
        <v>0.5</v>
      </c>
    </row>
    <row r="729" spans="6:22" x14ac:dyDescent="0.2">
      <c r="F729" s="39">
        <v>44510</v>
      </c>
      <c r="G729" s="37">
        <v>0.1</v>
      </c>
      <c r="I729" s="39">
        <v>44529</v>
      </c>
      <c r="J729" s="37">
        <v>-0.57299999999999995</v>
      </c>
      <c r="O729" s="39">
        <v>44796</v>
      </c>
      <c r="P729" s="37">
        <v>2.27</v>
      </c>
      <c r="R729" s="39">
        <v>44505</v>
      </c>
      <c r="S729" s="37">
        <v>4.6800000000000001E-2</v>
      </c>
      <c r="U729" s="39">
        <v>44501</v>
      </c>
      <c r="V729" s="37">
        <v>0.5</v>
      </c>
    </row>
    <row r="730" spans="6:22" x14ac:dyDescent="0.2">
      <c r="F730" s="39">
        <v>44509</v>
      </c>
      <c r="G730" s="37">
        <v>0.1</v>
      </c>
      <c r="I730" s="39">
        <v>44526</v>
      </c>
      <c r="J730" s="37">
        <v>-0.57299999999999995</v>
      </c>
      <c r="O730" s="39">
        <v>44797</v>
      </c>
      <c r="P730" s="37">
        <v>2.27</v>
      </c>
      <c r="R730" s="39">
        <v>44504</v>
      </c>
      <c r="S730" s="37">
        <v>4.8300000000000003E-2</v>
      </c>
      <c r="U730" s="39">
        <v>44498</v>
      </c>
      <c r="V730" s="37">
        <v>0.5</v>
      </c>
    </row>
    <row r="731" spans="6:22" x14ac:dyDescent="0.2">
      <c r="F731" s="39">
        <v>44508</v>
      </c>
      <c r="G731" s="37">
        <v>0.1</v>
      </c>
      <c r="I731" s="39">
        <v>44525</v>
      </c>
      <c r="J731" s="37">
        <v>-0.57299999999999995</v>
      </c>
      <c r="O731" s="39">
        <v>44798</v>
      </c>
      <c r="P731" s="37">
        <v>2.2799999999999998</v>
      </c>
      <c r="R731" s="39">
        <v>44503</v>
      </c>
      <c r="S731" s="37">
        <v>4.8099999999999997E-2</v>
      </c>
      <c r="U731" s="39">
        <v>44497</v>
      </c>
      <c r="V731" s="37">
        <v>0.5</v>
      </c>
    </row>
    <row r="732" spans="6:22" x14ac:dyDescent="0.2">
      <c r="F732" s="39">
        <v>44505</v>
      </c>
      <c r="G732" s="37">
        <v>0.1</v>
      </c>
      <c r="I732" s="39">
        <v>44524</v>
      </c>
      <c r="J732" s="37">
        <v>-0.56999999999999995</v>
      </c>
      <c r="O732" s="39">
        <v>44799</v>
      </c>
      <c r="P732" s="37">
        <v>2.2799999999999998</v>
      </c>
      <c r="R732" s="39">
        <v>44502</v>
      </c>
      <c r="S732" s="37">
        <v>4.8000000000000001E-2</v>
      </c>
      <c r="U732" s="39">
        <v>44496</v>
      </c>
      <c r="V732" s="37">
        <v>0.5</v>
      </c>
    </row>
    <row r="733" spans="6:22" x14ac:dyDescent="0.2">
      <c r="F733" s="39">
        <v>44504</v>
      </c>
      <c r="G733" s="37">
        <v>0.1</v>
      </c>
      <c r="I733" s="39">
        <v>44523</v>
      </c>
      <c r="J733" s="37">
        <v>-0.57399999999999995</v>
      </c>
      <c r="O733" s="39">
        <v>44802</v>
      </c>
      <c r="P733" s="37">
        <v>2.2799999999999998</v>
      </c>
      <c r="R733" s="39">
        <v>44501</v>
      </c>
      <c r="S733" s="37">
        <v>4.7699999999999999E-2</v>
      </c>
      <c r="U733" s="39">
        <v>44495</v>
      </c>
      <c r="V733" s="37">
        <v>0.5</v>
      </c>
    </row>
    <row r="734" spans="6:22" x14ac:dyDescent="0.2">
      <c r="F734" s="39">
        <v>44503</v>
      </c>
      <c r="G734" s="37">
        <v>0.1</v>
      </c>
      <c r="I734" s="39">
        <v>44522</v>
      </c>
      <c r="J734" s="37">
        <v>-0.57299999999999995</v>
      </c>
      <c r="O734" s="39">
        <v>44803</v>
      </c>
      <c r="P734" s="37">
        <v>2.29</v>
      </c>
      <c r="R734" s="39">
        <v>44498</v>
      </c>
      <c r="S734" s="37">
        <v>5.0299999999999997E-2</v>
      </c>
      <c r="U734" s="39">
        <v>44491</v>
      </c>
      <c r="V734" s="37">
        <v>0.5</v>
      </c>
    </row>
    <row r="735" spans="6:22" x14ac:dyDescent="0.2">
      <c r="F735" s="39">
        <v>44502</v>
      </c>
      <c r="G735" s="37">
        <v>0.1</v>
      </c>
      <c r="I735" s="39">
        <v>44519</v>
      </c>
      <c r="J735" s="37">
        <v>-0.57299999999999995</v>
      </c>
      <c r="O735" s="39">
        <v>44804</v>
      </c>
      <c r="P735" s="37">
        <v>2.29</v>
      </c>
      <c r="R735" s="39">
        <v>44497</v>
      </c>
      <c r="S735" s="37">
        <v>4.8099999999999997E-2</v>
      </c>
      <c r="U735" s="39">
        <v>44490</v>
      </c>
      <c r="V735" s="37">
        <v>0.5</v>
      </c>
    </row>
    <row r="736" spans="6:22" x14ac:dyDescent="0.2">
      <c r="F736" s="39">
        <v>44501</v>
      </c>
      <c r="G736" s="37">
        <v>0.1</v>
      </c>
      <c r="I736" s="39">
        <v>44518</v>
      </c>
      <c r="J736" s="37">
        <v>-0.57099999999999995</v>
      </c>
      <c r="O736" s="39">
        <v>44805</v>
      </c>
      <c r="P736" s="37">
        <v>2.29</v>
      </c>
      <c r="R736" s="39">
        <v>44496</v>
      </c>
      <c r="S736" s="37">
        <v>4.8500000000000001E-2</v>
      </c>
      <c r="U736" s="39">
        <v>44489</v>
      </c>
      <c r="V736" s="37">
        <v>0.5</v>
      </c>
    </row>
    <row r="737" spans="6:22" x14ac:dyDescent="0.2">
      <c r="F737" s="39">
        <v>44498</v>
      </c>
      <c r="G737" s="37">
        <v>0.1</v>
      </c>
      <c r="I737" s="39">
        <v>44517</v>
      </c>
      <c r="J737" s="37">
        <v>-0.57099999999999995</v>
      </c>
      <c r="O737" s="39">
        <v>44806</v>
      </c>
      <c r="P737" s="37">
        <v>2.29</v>
      </c>
      <c r="R737" s="39">
        <v>44495</v>
      </c>
      <c r="S737" s="37">
        <v>4.9799999999999997E-2</v>
      </c>
      <c r="U737" s="39">
        <v>44488</v>
      </c>
      <c r="V737" s="37">
        <v>0.5</v>
      </c>
    </row>
    <row r="738" spans="6:22" x14ac:dyDescent="0.2">
      <c r="F738" s="39">
        <v>44497</v>
      </c>
      <c r="G738" s="37">
        <v>0.1</v>
      </c>
      <c r="I738" s="39">
        <v>44516</v>
      </c>
      <c r="J738" s="37">
        <v>-0.57099999999999995</v>
      </c>
      <c r="O738" s="39">
        <v>44810</v>
      </c>
      <c r="P738" s="37">
        <v>2.29</v>
      </c>
      <c r="R738" s="39">
        <v>44494</v>
      </c>
      <c r="S738" s="37">
        <v>4.9799999999999997E-2</v>
      </c>
      <c r="U738" s="39">
        <v>44487</v>
      </c>
      <c r="V738" s="37">
        <v>0.5</v>
      </c>
    </row>
    <row r="739" spans="6:22" x14ac:dyDescent="0.2">
      <c r="F739" s="39">
        <v>44496</v>
      </c>
      <c r="G739" s="37">
        <v>0.1</v>
      </c>
      <c r="I739" s="39">
        <v>44515</v>
      </c>
      <c r="J739" s="37">
        <v>-0.56899999999999995</v>
      </c>
      <c r="O739" s="39">
        <v>44811</v>
      </c>
      <c r="P739" s="37">
        <v>2.2799999999999998</v>
      </c>
      <c r="R739" s="39">
        <v>44491</v>
      </c>
      <c r="S739" s="37">
        <v>0.05</v>
      </c>
      <c r="U739" s="39">
        <v>44484</v>
      </c>
      <c r="V739" s="37">
        <v>0.5</v>
      </c>
    </row>
    <row r="740" spans="6:22" x14ac:dyDescent="0.2">
      <c r="F740" s="39">
        <v>44495</v>
      </c>
      <c r="G740" s="37">
        <v>0.1</v>
      </c>
      <c r="I740" s="39">
        <v>44512</v>
      </c>
      <c r="J740" s="37">
        <v>-0.57199999999999995</v>
      </c>
      <c r="O740" s="39">
        <v>44812</v>
      </c>
      <c r="P740" s="37">
        <v>2.2799999999999998</v>
      </c>
      <c r="R740" s="39">
        <v>44490</v>
      </c>
      <c r="S740" s="37">
        <v>0.05</v>
      </c>
      <c r="U740" s="39">
        <v>44483</v>
      </c>
      <c r="V740" s="37">
        <v>0.5</v>
      </c>
    </row>
    <row r="741" spans="6:22" x14ac:dyDescent="0.2">
      <c r="F741" s="39">
        <v>44494</v>
      </c>
      <c r="G741" s="37">
        <v>0.1</v>
      </c>
      <c r="I741" s="39">
        <v>44511</v>
      </c>
      <c r="J741" s="37">
        <v>-0.57499999999999996</v>
      </c>
      <c r="O741" s="39">
        <v>44813</v>
      </c>
      <c r="P741" s="37">
        <v>2.2799999999999998</v>
      </c>
      <c r="R741" s="39">
        <v>44489</v>
      </c>
      <c r="S741" s="37">
        <v>5.0099999999999999E-2</v>
      </c>
      <c r="U741" s="39">
        <v>44482</v>
      </c>
      <c r="V741" s="37">
        <v>0.5</v>
      </c>
    </row>
    <row r="742" spans="6:22" x14ac:dyDescent="0.2">
      <c r="F742" s="39">
        <v>44491</v>
      </c>
      <c r="G742" s="37">
        <v>0.1</v>
      </c>
      <c r="I742" s="39">
        <v>44510</v>
      </c>
      <c r="J742" s="37">
        <v>-0.57599999999999996</v>
      </c>
      <c r="O742" s="39">
        <v>44816</v>
      </c>
      <c r="P742" s="37">
        <v>2.2799999999999998</v>
      </c>
      <c r="R742" s="39">
        <v>44488</v>
      </c>
      <c r="S742" s="37">
        <v>4.99E-2</v>
      </c>
      <c r="U742" s="39">
        <v>44481</v>
      </c>
      <c r="V742" s="37">
        <v>0.5</v>
      </c>
    </row>
    <row r="743" spans="6:22" x14ac:dyDescent="0.2">
      <c r="F743" s="39">
        <v>44490</v>
      </c>
      <c r="G743" s="37">
        <v>0.1</v>
      </c>
      <c r="I743" s="39">
        <v>44509</v>
      </c>
      <c r="J743" s="37">
        <v>-0.57499999999999996</v>
      </c>
      <c r="O743" s="39">
        <v>44817</v>
      </c>
      <c r="P743" s="37">
        <v>2.2799999999999998</v>
      </c>
      <c r="R743" s="39">
        <v>44487</v>
      </c>
      <c r="S743" s="37">
        <v>5.04E-2</v>
      </c>
      <c r="U743" s="39">
        <v>44480</v>
      </c>
      <c r="V743" s="37">
        <v>0.5</v>
      </c>
    </row>
    <row r="744" spans="6:22" x14ac:dyDescent="0.2">
      <c r="F744" s="39">
        <v>44489</v>
      </c>
      <c r="G744" s="37">
        <v>0.1</v>
      </c>
      <c r="I744" s="39">
        <v>44508</v>
      </c>
      <c r="J744" s="37">
        <v>-0.57499999999999996</v>
      </c>
      <c r="O744" s="39">
        <v>44818</v>
      </c>
      <c r="P744" s="37">
        <v>2.27</v>
      </c>
      <c r="R744" s="39">
        <v>44484</v>
      </c>
      <c r="S744" s="37">
        <v>5.0200000000000002E-2</v>
      </c>
      <c r="U744" s="39">
        <v>44477</v>
      </c>
      <c r="V744" s="37">
        <v>0.5</v>
      </c>
    </row>
    <row r="745" spans="6:22" x14ac:dyDescent="0.2">
      <c r="F745" s="39">
        <v>44488</v>
      </c>
      <c r="G745" s="37">
        <v>0.1</v>
      </c>
      <c r="I745" s="39">
        <v>44505</v>
      </c>
      <c r="J745" s="37">
        <v>-0.57199999999999995</v>
      </c>
      <c r="O745" s="39">
        <v>44819</v>
      </c>
      <c r="P745" s="37">
        <v>2.2799999999999998</v>
      </c>
      <c r="R745" s="39">
        <v>44483</v>
      </c>
      <c r="S745" s="37">
        <v>5.0799999999999998E-2</v>
      </c>
      <c r="U745" s="39">
        <v>44476</v>
      </c>
      <c r="V745" s="37">
        <v>0.5</v>
      </c>
    </row>
    <row r="746" spans="6:22" x14ac:dyDescent="0.2">
      <c r="F746" s="39">
        <v>44487</v>
      </c>
      <c r="G746" s="37">
        <v>0.1</v>
      </c>
      <c r="I746" s="39">
        <v>44504</v>
      </c>
      <c r="J746" s="37">
        <v>-0.57299999999999995</v>
      </c>
      <c r="O746" s="39">
        <v>44820</v>
      </c>
      <c r="P746" s="37">
        <v>2.27</v>
      </c>
      <c r="R746" s="39">
        <v>44482</v>
      </c>
      <c r="S746" s="37">
        <v>5.0799999999999998E-2</v>
      </c>
      <c r="U746" s="39">
        <v>44475</v>
      </c>
      <c r="V746" s="37">
        <v>0.25</v>
      </c>
    </row>
    <row r="747" spans="6:22" x14ac:dyDescent="0.2">
      <c r="F747" s="39">
        <v>44484</v>
      </c>
      <c r="G747" s="37">
        <v>0.1</v>
      </c>
      <c r="I747" s="39">
        <v>44503</v>
      </c>
      <c r="J747" s="37">
        <v>-0.57399999999999995</v>
      </c>
      <c r="O747" s="39">
        <v>44823</v>
      </c>
      <c r="P747" s="37">
        <v>2.27</v>
      </c>
      <c r="R747" s="39">
        <v>44481</v>
      </c>
      <c r="S747" s="37">
        <v>5.1400000000000001E-2</v>
      </c>
      <c r="U747" s="39">
        <v>44474</v>
      </c>
      <c r="V747" s="37">
        <v>0.25</v>
      </c>
    </row>
    <row r="748" spans="6:22" x14ac:dyDescent="0.2">
      <c r="F748" s="39">
        <v>44483</v>
      </c>
      <c r="G748" s="37">
        <v>0.1</v>
      </c>
      <c r="I748" s="39">
        <v>44502</v>
      </c>
      <c r="J748" s="37">
        <v>-0.56899999999999995</v>
      </c>
      <c r="O748" s="39">
        <v>44824</v>
      </c>
      <c r="P748" s="37">
        <v>2.2599999999999998</v>
      </c>
      <c r="R748" s="39">
        <v>44480</v>
      </c>
      <c r="S748" s="37">
        <v>5.0500000000000003E-2</v>
      </c>
      <c r="U748" s="39">
        <v>44473</v>
      </c>
      <c r="V748" s="37">
        <v>0.25</v>
      </c>
    </row>
    <row r="749" spans="6:22" x14ac:dyDescent="0.2">
      <c r="F749" s="39">
        <v>44482</v>
      </c>
      <c r="G749" s="37">
        <v>0.1</v>
      </c>
      <c r="I749" s="39">
        <v>44501</v>
      </c>
      <c r="J749" s="37">
        <v>-0.57899999999999996</v>
      </c>
      <c r="O749" s="39">
        <v>44825</v>
      </c>
      <c r="P749" s="37">
        <v>2.25</v>
      </c>
      <c r="R749" s="39">
        <v>44477</v>
      </c>
      <c r="S749" s="37">
        <v>5.0700000000000002E-2</v>
      </c>
      <c r="U749" s="39">
        <v>44470</v>
      </c>
      <c r="V749" s="37">
        <v>0.25</v>
      </c>
    </row>
    <row r="750" spans="6:22" x14ac:dyDescent="0.2">
      <c r="F750" s="39">
        <v>44481</v>
      </c>
      <c r="G750" s="37">
        <v>0.1</v>
      </c>
      <c r="I750" s="39">
        <v>44498</v>
      </c>
      <c r="J750" s="37">
        <v>-0.57799999999999996</v>
      </c>
      <c r="O750" s="39">
        <v>44826</v>
      </c>
      <c r="P750" s="37">
        <v>2.99</v>
      </c>
      <c r="R750" s="39">
        <v>44476</v>
      </c>
      <c r="S750" s="37">
        <v>5.1200000000000002E-2</v>
      </c>
      <c r="U750" s="39">
        <v>44469</v>
      </c>
      <c r="V750" s="37">
        <v>0.25</v>
      </c>
    </row>
    <row r="751" spans="6:22" x14ac:dyDescent="0.2">
      <c r="F751" s="39">
        <v>44480</v>
      </c>
      <c r="G751" s="37">
        <v>0.1</v>
      </c>
      <c r="I751" s="39">
        <v>44497</v>
      </c>
      <c r="J751" s="37">
        <v>-0.57299999999999995</v>
      </c>
      <c r="O751" s="39">
        <v>44827</v>
      </c>
      <c r="P751" s="37">
        <v>2.99</v>
      </c>
      <c r="R751" s="39">
        <v>44475</v>
      </c>
      <c r="S751" s="37">
        <v>5.1299999999999998E-2</v>
      </c>
      <c r="U751" s="39">
        <v>44468</v>
      </c>
      <c r="V751" s="37">
        <v>0.25</v>
      </c>
    </row>
    <row r="752" spans="6:22" x14ac:dyDescent="0.2">
      <c r="F752" s="39">
        <v>44477</v>
      </c>
      <c r="G752" s="37">
        <v>0.1</v>
      </c>
      <c r="I752" s="39">
        <v>44496</v>
      </c>
      <c r="J752" s="37">
        <v>-0.57299999999999995</v>
      </c>
      <c r="O752" s="39">
        <v>44830</v>
      </c>
      <c r="P752" s="37">
        <v>2.99</v>
      </c>
      <c r="R752" s="39">
        <v>44474</v>
      </c>
      <c r="S752" s="37">
        <v>5.0500000000000003E-2</v>
      </c>
      <c r="U752" s="39">
        <v>44467</v>
      </c>
      <c r="V752" s="37">
        <v>0.25</v>
      </c>
    </row>
    <row r="753" spans="6:22" x14ac:dyDescent="0.2">
      <c r="F753" s="39">
        <v>44476</v>
      </c>
      <c r="G753" s="37">
        <v>0.1</v>
      </c>
      <c r="I753" s="39">
        <v>44495</v>
      </c>
      <c r="J753" s="37">
        <v>-0.56999999999999995</v>
      </c>
      <c r="O753" s="39">
        <v>44831</v>
      </c>
      <c r="P753" s="37">
        <v>2.98</v>
      </c>
      <c r="R753" s="39">
        <v>44473</v>
      </c>
      <c r="S753" s="37">
        <v>5.0299999999999997E-2</v>
      </c>
      <c r="U753" s="39">
        <v>44466</v>
      </c>
      <c r="V753" s="37">
        <v>0.25</v>
      </c>
    </row>
    <row r="754" spans="6:22" x14ac:dyDescent="0.2">
      <c r="F754" s="39">
        <v>44475</v>
      </c>
      <c r="G754" s="37">
        <v>0.1</v>
      </c>
      <c r="I754" s="39">
        <v>44494</v>
      </c>
      <c r="J754" s="37">
        <v>-0.57099999999999995</v>
      </c>
      <c r="O754" s="39">
        <v>44832</v>
      </c>
      <c r="P754" s="37">
        <v>2.98</v>
      </c>
      <c r="R754" s="39">
        <v>44470</v>
      </c>
      <c r="S754" s="37">
        <v>0.05</v>
      </c>
      <c r="U754" s="39">
        <v>44463</v>
      </c>
      <c r="V754" s="37">
        <v>0.25</v>
      </c>
    </row>
    <row r="755" spans="6:22" x14ac:dyDescent="0.2">
      <c r="F755" s="39">
        <v>44474</v>
      </c>
      <c r="G755" s="37">
        <v>0.1</v>
      </c>
      <c r="I755" s="39">
        <v>44491</v>
      </c>
      <c r="J755" s="37">
        <v>-0.56899999999999995</v>
      </c>
      <c r="O755" s="39">
        <v>44833</v>
      </c>
      <c r="P755" s="37">
        <v>2.96</v>
      </c>
      <c r="R755" s="39">
        <v>44469</v>
      </c>
      <c r="S755" s="37">
        <v>4.7899999999999998E-2</v>
      </c>
      <c r="U755" s="39">
        <v>44462</v>
      </c>
      <c r="V755" s="37">
        <v>0.25</v>
      </c>
    </row>
    <row r="756" spans="6:22" x14ac:dyDescent="0.2">
      <c r="F756" s="39">
        <v>44473</v>
      </c>
      <c r="G756" s="37">
        <v>0.1</v>
      </c>
      <c r="I756" s="39">
        <v>44490</v>
      </c>
      <c r="J756" s="37">
        <v>-0.57299999999999995</v>
      </c>
      <c r="O756" s="39">
        <v>44834</v>
      </c>
      <c r="P756" s="37">
        <v>2.98</v>
      </c>
      <c r="R756" s="39">
        <v>44468</v>
      </c>
      <c r="S756" s="37">
        <v>4.9299999999999997E-2</v>
      </c>
      <c r="U756" s="39">
        <v>44461</v>
      </c>
      <c r="V756" s="37">
        <v>0.25</v>
      </c>
    </row>
    <row r="757" spans="6:22" x14ac:dyDescent="0.2">
      <c r="F757" s="39">
        <v>44470</v>
      </c>
      <c r="G757" s="37">
        <v>0.1</v>
      </c>
      <c r="I757" s="39">
        <v>44489</v>
      </c>
      <c r="J757" s="37">
        <v>-0.57099999999999995</v>
      </c>
      <c r="O757" s="39">
        <v>44837</v>
      </c>
      <c r="P757" s="37">
        <v>3</v>
      </c>
      <c r="R757" s="39">
        <v>44467</v>
      </c>
      <c r="S757" s="37">
        <v>4.9500000000000002E-2</v>
      </c>
      <c r="U757" s="39">
        <v>44460</v>
      </c>
      <c r="V757" s="37">
        <v>0.25</v>
      </c>
    </row>
    <row r="758" spans="6:22" x14ac:dyDescent="0.2">
      <c r="F758" s="39">
        <v>44469</v>
      </c>
      <c r="G758" s="37">
        <v>0.1</v>
      </c>
      <c r="I758" s="39">
        <v>44488</v>
      </c>
      <c r="J758" s="37">
        <v>-0.57299999999999995</v>
      </c>
      <c r="O758" s="39">
        <v>44838</v>
      </c>
      <c r="P758" s="37">
        <v>3.04</v>
      </c>
      <c r="R758" s="39">
        <v>44466</v>
      </c>
      <c r="S758" s="37">
        <v>4.9599999999999998E-2</v>
      </c>
      <c r="U758" s="39">
        <v>44459</v>
      </c>
      <c r="V758" s="37">
        <v>0.25</v>
      </c>
    </row>
    <row r="759" spans="6:22" x14ac:dyDescent="0.2">
      <c r="F759" s="39">
        <v>44468</v>
      </c>
      <c r="G759" s="37">
        <v>0.1</v>
      </c>
      <c r="I759" s="39">
        <v>44487</v>
      </c>
      <c r="J759" s="37">
        <v>-0.57399999999999995</v>
      </c>
      <c r="O759" s="39">
        <v>44839</v>
      </c>
      <c r="P759" s="37">
        <v>3.04</v>
      </c>
      <c r="R759" s="39">
        <v>44463</v>
      </c>
      <c r="S759" s="37">
        <v>0.05</v>
      </c>
      <c r="U759" s="39">
        <v>44456</v>
      </c>
      <c r="V759" s="37">
        <v>0.25</v>
      </c>
    </row>
    <row r="760" spans="6:22" x14ac:dyDescent="0.2">
      <c r="F760" s="39">
        <v>44467</v>
      </c>
      <c r="G760" s="37">
        <v>0.1</v>
      </c>
      <c r="I760" s="39">
        <v>44484</v>
      </c>
      <c r="J760" s="37">
        <v>-0.57199999999999995</v>
      </c>
      <c r="O760" s="39">
        <v>44840</v>
      </c>
      <c r="P760" s="37">
        <v>3.05</v>
      </c>
      <c r="R760" s="39">
        <v>44462</v>
      </c>
      <c r="S760" s="37">
        <v>4.9000000000000002E-2</v>
      </c>
      <c r="U760" s="39">
        <v>44455</v>
      </c>
      <c r="V760" s="37">
        <v>0.25</v>
      </c>
    </row>
    <row r="761" spans="6:22" x14ac:dyDescent="0.2">
      <c r="F761" s="39">
        <v>44466</v>
      </c>
      <c r="G761" s="37">
        <v>0.1</v>
      </c>
      <c r="I761" s="39">
        <v>44483</v>
      </c>
      <c r="J761" s="37">
        <v>-0.56999999999999995</v>
      </c>
      <c r="O761" s="39">
        <v>44841</v>
      </c>
      <c r="P761" s="37">
        <v>3.05</v>
      </c>
      <c r="R761" s="39">
        <v>44461</v>
      </c>
      <c r="S761" s="37">
        <v>4.99E-2</v>
      </c>
      <c r="U761" s="39">
        <v>44454</v>
      </c>
      <c r="V761" s="37">
        <v>0.25</v>
      </c>
    </row>
    <row r="762" spans="6:22" x14ac:dyDescent="0.2">
      <c r="F762" s="39">
        <v>44463</v>
      </c>
      <c r="G762" s="37">
        <v>0.1</v>
      </c>
      <c r="I762" s="39">
        <v>44482</v>
      </c>
      <c r="J762" s="37">
        <v>-0.56899999999999995</v>
      </c>
      <c r="O762" s="39">
        <v>44845</v>
      </c>
      <c r="P762" s="37">
        <v>3.05</v>
      </c>
      <c r="R762" s="39">
        <v>44460</v>
      </c>
      <c r="S762" s="37">
        <v>0.05</v>
      </c>
      <c r="U762" s="39">
        <v>44453</v>
      </c>
      <c r="V762" s="37">
        <v>0.25</v>
      </c>
    </row>
    <row r="763" spans="6:22" x14ac:dyDescent="0.2">
      <c r="F763" s="39">
        <v>44462</v>
      </c>
      <c r="G763" s="37">
        <v>0.1</v>
      </c>
      <c r="I763" s="39">
        <v>44481</v>
      </c>
      <c r="J763" s="37">
        <v>-0.56200000000000006</v>
      </c>
      <c r="O763" s="39">
        <v>44846</v>
      </c>
      <c r="P763" s="37">
        <v>3.04</v>
      </c>
      <c r="R763" s="39">
        <v>44459</v>
      </c>
      <c r="S763" s="37">
        <v>0.05</v>
      </c>
      <c r="U763" s="39">
        <v>44452</v>
      </c>
      <c r="V763" s="37">
        <v>0.25</v>
      </c>
    </row>
    <row r="764" spans="6:22" x14ac:dyDescent="0.2">
      <c r="F764" s="39">
        <v>44461</v>
      </c>
      <c r="G764" s="37">
        <v>0.1</v>
      </c>
      <c r="I764" s="39">
        <v>44480</v>
      </c>
      <c r="J764" s="37">
        <v>-0.56999999999999995</v>
      </c>
      <c r="O764" s="39">
        <v>44847</v>
      </c>
      <c r="P764" s="37">
        <v>3.04</v>
      </c>
      <c r="R764" s="39">
        <v>44456</v>
      </c>
      <c r="S764" s="37">
        <v>5.0200000000000002E-2</v>
      </c>
      <c r="U764" s="39">
        <v>44449</v>
      </c>
      <c r="V764" s="37">
        <v>0.25</v>
      </c>
    </row>
    <row r="765" spans="6:22" x14ac:dyDescent="0.2">
      <c r="F765" s="39">
        <v>44460</v>
      </c>
      <c r="G765" s="37">
        <v>0.1</v>
      </c>
      <c r="I765" s="39">
        <v>44477</v>
      </c>
      <c r="J765" s="37">
        <v>-0.56799999999999995</v>
      </c>
      <c r="O765" s="39">
        <v>44848</v>
      </c>
      <c r="P765" s="37">
        <v>3.04</v>
      </c>
      <c r="R765" s="39">
        <v>44455</v>
      </c>
      <c r="S765" s="37">
        <v>5.0099999999999999E-2</v>
      </c>
      <c r="U765" s="39">
        <v>44448</v>
      </c>
      <c r="V765" s="37">
        <v>0.25</v>
      </c>
    </row>
    <row r="766" spans="6:22" x14ac:dyDescent="0.2">
      <c r="F766" s="39">
        <v>44459</v>
      </c>
      <c r="G766" s="37">
        <v>0.1</v>
      </c>
      <c r="I766" s="39">
        <v>44476</v>
      </c>
      <c r="J766" s="37">
        <v>-0.56799999999999995</v>
      </c>
      <c r="O766" s="39">
        <v>44851</v>
      </c>
      <c r="P766" s="37">
        <v>3.05</v>
      </c>
      <c r="R766" s="39">
        <v>44454</v>
      </c>
      <c r="S766" s="37">
        <v>4.99E-2</v>
      </c>
      <c r="U766" s="39">
        <v>44447</v>
      </c>
      <c r="V766" s="37">
        <v>0.25</v>
      </c>
    </row>
    <row r="767" spans="6:22" x14ac:dyDescent="0.2">
      <c r="F767" s="39">
        <v>44456</v>
      </c>
      <c r="G767" s="37">
        <v>0.1</v>
      </c>
      <c r="I767" s="39">
        <v>44475</v>
      </c>
      <c r="J767" s="37">
        <v>-0.56899999999999995</v>
      </c>
      <c r="O767" s="39">
        <v>44852</v>
      </c>
      <c r="P767" s="37">
        <v>3.04</v>
      </c>
      <c r="R767" s="39">
        <v>44453</v>
      </c>
      <c r="S767" s="37">
        <v>4.99E-2</v>
      </c>
      <c r="U767" s="39">
        <v>44446</v>
      </c>
      <c r="V767" s="37">
        <v>0.25</v>
      </c>
    </row>
    <row r="768" spans="6:22" x14ac:dyDescent="0.2">
      <c r="F768" s="39">
        <v>44455</v>
      </c>
      <c r="G768" s="37">
        <v>0.1</v>
      </c>
      <c r="I768" s="39">
        <v>44474</v>
      </c>
      <c r="J768" s="37">
        <v>-0.56899999999999995</v>
      </c>
      <c r="O768" s="39">
        <v>44853</v>
      </c>
      <c r="P768" s="37">
        <v>3.04</v>
      </c>
      <c r="R768" s="39">
        <v>44452</v>
      </c>
      <c r="S768" s="37">
        <v>5.0599999999999999E-2</v>
      </c>
      <c r="U768" s="39">
        <v>44445</v>
      </c>
      <c r="V768" s="37">
        <v>0.25</v>
      </c>
    </row>
    <row r="769" spans="6:22" x14ac:dyDescent="0.2">
      <c r="F769" s="39">
        <v>44454</v>
      </c>
      <c r="G769" s="37">
        <v>0.1</v>
      </c>
      <c r="I769" s="39">
        <v>44473</v>
      </c>
      <c r="J769" s="37">
        <v>-0.56899999999999995</v>
      </c>
      <c r="O769" s="39">
        <v>44854</v>
      </c>
      <c r="P769" s="37">
        <v>3.03</v>
      </c>
      <c r="R769" s="39">
        <v>44449</v>
      </c>
      <c r="S769" s="37">
        <v>5.0900000000000001E-2</v>
      </c>
      <c r="U769" s="39">
        <v>44442</v>
      </c>
      <c r="V769" s="37">
        <v>0.25</v>
      </c>
    </row>
    <row r="770" spans="6:22" x14ac:dyDescent="0.2">
      <c r="F770" s="39">
        <v>44453</v>
      </c>
      <c r="G770" s="37">
        <v>0.1</v>
      </c>
      <c r="I770" s="39">
        <v>44470</v>
      </c>
      <c r="J770" s="37">
        <v>-0.57099999999999995</v>
      </c>
      <c r="O770" s="39">
        <v>44855</v>
      </c>
      <c r="P770" s="37">
        <v>3.02</v>
      </c>
      <c r="R770" s="39">
        <v>44448</v>
      </c>
      <c r="S770" s="37">
        <v>5.0299999999999997E-2</v>
      </c>
      <c r="U770" s="39">
        <v>44441</v>
      </c>
      <c r="V770" s="37">
        <v>0.25</v>
      </c>
    </row>
    <row r="771" spans="6:22" x14ac:dyDescent="0.2">
      <c r="F771" s="39">
        <v>44452</v>
      </c>
      <c r="G771" s="37">
        <v>0.1</v>
      </c>
      <c r="I771" s="39">
        <v>44469</v>
      </c>
      <c r="J771" s="37">
        <v>-0.57999999999999996</v>
      </c>
      <c r="O771" s="39">
        <v>44858</v>
      </c>
      <c r="P771" s="37">
        <v>3.01</v>
      </c>
      <c r="R771" s="39">
        <v>44447</v>
      </c>
      <c r="S771" s="37">
        <v>5.0500000000000003E-2</v>
      </c>
      <c r="U771" s="39">
        <v>44440</v>
      </c>
      <c r="V771" s="37">
        <v>0.25</v>
      </c>
    </row>
    <row r="772" spans="6:22" x14ac:dyDescent="0.2">
      <c r="F772" s="39">
        <v>44449</v>
      </c>
      <c r="G772" s="37">
        <v>0.1</v>
      </c>
      <c r="I772" s="39">
        <v>44468</v>
      </c>
      <c r="J772" s="37">
        <v>-0.57199999999999995</v>
      </c>
      <c r="O772" s="39">
        <v>44859</v>
      </c>
      <c r="P772" s="37">
        <v>3.02</v>
      </c>
      <c r="R772" s="39">
        <v>44446</v>
      </c>
      <c r="S772" s="37">
        <v>5.0700000000000002E-2</v>
      </c>
      <c r="U772" s="39">
        <v>44439</v>
      </c>
      <c r="V772" s="37">
        <v>0.25</v>
      </c>
    </row>
    <row r="773" spans="6:22" x14ac:dyDescent="0.2">
      <c r="F773" s="39">
        <v>44448</v>
      </c>
      <c r="G773" s="37">
        <v>0.1</v>
      </c>
      <c r="I773" s="39">
        <v>44467</v>
      </c>
      <c r="J773" s="37">
        <v>-0.57299999999999995</v>
      </c>
      <c r="O773" s="39">
        <v>44860</v>
      </c>
      <c r="P773" s="37">
        <v>3.03</v>
      </c>
      <c r="R773" s="39">
        <v>44445</v>
      </c>
      <c r="S773" s="37">
        <v>5.0299999999999997E-2</v>
      </c>
      <c r="U773" s="39">
        <v>44438</v>
      </c>
      <c r="V773" s="37">
        <v>0.25</v>
      </c>
    </row>
    <row r="774" spans="6:22" x14ac:dyDescent="0.2">
      <c r="F774" s="39">
        <v>44447</v>
      </c>
      <c r="G774" s="37">
        <v>0.1</v>
      </c>
      <c r="I774" s="39">
        <v>44466</v>
      </c>
      <c r="J774" s="37">
        <v>-0.57099999999999995</v>
      </c>
      <c r="O774" s="39">
        <v>44861</v>
      </c>
      <c r="P774" s="37">
        <v>3.04</v>
      </c>
      <c r="R774" s="39">
        <v>44442</v>
      </c>
      <c r="S774" s="37">
        <v>4.99E-2</v>
      </c>
      <c r="U774" s="39">
        <v>44435</v>
      </c>
      <c r="V774" s="37">
        <v>0.25</v>
      </c>
    </row>
    <row r="775" spans="6:22" x14ac:dyDescent="0.2">
      <c r="F775" s="39">
        <v>44446</v>
      </c>
      <c r="G775" s="37">
        <v>0.1</v>
      </c>
      <c r="I775" s="39">
        <v>44463</v>
      </c>
      <c r="J775" s="37">
        <v>-0.56899999999999995</v>
      </c>
      <c r="O775" s="39">
        <v>44862</v>
      </c>
      <c r="P775" s="37">
        <v>3.05</v>
      </c>
      <c r="R775" s="39">
        <v>44441</v>
      </c>
      <c r="S775" s="37">
        <v>5.0099999999999999E-2</v>
      </c>
      <c r="U775" s="39">
        <v>44434</v>
      </c>
      <c r="V775" s="37">
        <v>0.25</v>
      </c>
    </row>
    <row r="776" spans="6:22" x14ac:dyDescent="0.2">
      <c r="F776" s="39">
        <v>44445</v>
      </c>
      <c r="G776" s="37">
        <v>0.1</v>
      </c>
      <c r="I776" s="39">
        <v>44462</v>
      </c>
      <c r="J776" s="37">
        <v>-0.56999999999999995</v>
      </c>
      <c r="O776" s="39">
        <v>44865</v>
      </c>
      <c r="P776" s="37">
        <v>3.05</v>
      </c>
      <c r="R776" s="39">
        <v>44440</v>
      </c>
      <c r="S776" s="37">
        <v>5.0299999999999997E-2</v>
      </c>
      <c r="U776" s="39">
        <v>44433</v>
      </c>
      <c r="V776" s="37">
        <v>0.25</v>
      </c>
    </row>
    <row r="777" spans="6:22" x14ac:dyDescent="0.2">
      <c r="F777" s="39">
        <v>44442</v>
      </c>
      <c r="G777" s="37">
        <v>0.1</v>
      </c>
      <c r="I777" s="39">
        <v>44461</v>
      </c>
      <c r="J777" s="37">
        <v>-0.56599999999999995</v>
      </c>
      <c r="O777" s="39">
        <v>44866</v>
      </c>
      <c r="P777" s="37">
        <v>3.05</v>
      </c>
      <c r="R777" s="39">
        <v>44439</v>
      </c>
      <c r="S777" s="37">
        <v>5.0200000000000002E-2</v>
      </c>
      <c r="U777" s="39">
        <v>44432</v>
      </c>
      <c r="V777" s="37">
        <v>0.25</v>
      </c>
    </row>
    <row r="778" spans="6:22" x14ac:dyDescent="0.2">
      <c r="F778" s="39">
        <v>44441</v>
      </c>
      <c r="G778" s="37">
        <v>0.1</v>
      </c>
      <c r="I778" s="39">
        <v>44460</v>
      </c>
      <c r="J778" s="37">
        <v>-0.57099999999999995</v>
      </c>
      <c r="O778" s="39">
        <v>44867</v>
      </c>
      <c r="P778" s="37">
        <v>3.05</v>
      </c>
      <c r="R778" s="39">
        <v>44435</v>
      </c>
      <c r="S778" s="37">
        <v>5.0700000000000002E-2</v>
      </c>
      <c r="U778" s="39">
        <v>44431</v>
      </c>
      <c r="V778" s="37">
        <v>0.25</v>
      </c>
    </row>
    <row r="779" spans="6:22" x14ac:dyDescent="0.2">
      <c r="F779" s="39">
        <v>44440</v>
      </c>
      <c r="G779" s="37">
        <v>0.1</v>
      </c>
      <c r="I779" s="39">
        <v>44459</v>
      </c>
      <c r="J779" s="37">
        <v>-0.56599999999999995</v>
      </c>
      <c r="O779" s="39">
        <v>44868</v>
      </c>
      <c r="P779" s="37">
        <v>3.8</v>
      </c>
      <c r="R779" s="39">
        <v>44434</v>
      </c>
      <c r="S779" s="37">
        <v>5.0500000000000003E-2</v>
      </c>
      <c r="U779" s="39">
        <v>44428</v>
      </c>
      <c r="V779" s="37">
        <v>0.25</v>
      </c>
    </row>
    <row r="780" spans="6:22" x14ac:dyDescent="0.2">
      <c r="F780" s="39">
        <v>44439</v>
      </c>
      <c r="G780" s="37">
        <v>0.1</v>
      </c>
      <c r="I780" s="39">
        <v>44456</v>
      </c>
      <c r="J780" s="37">
        <v>-0.57099999999999995</v>
      </c>
      <c r="O780" s="39">
        <v>44869</v>
      </c>
      <c r="P780" s="37">
        <v>3.8</v>
      </c>
      <c r="R780" s="39">
        <v>44433</v>
      </c>
      <c r="S780" s="37">
        <v>5.04E-2</v>
      </c>
      <c r="U780" s="39">
        <v>44427</v>
      </c>
      <c r="V780" s="37">
        <v>0.25</v>
      </c>
    </row>
    <row r="781" spans="6:22" x14ac:dyDescent="0.2">
      <c r="F781" s="39">
        <v>44438</v>
      </c>
      <c r="G781" s="37">
        <v>0.1</v>
      </c>
      <c r="I781" s="39">
        <v>44455</v>
      </c>
      <c r="J781" s="37">
        <v>-0.56699999999999995</v>
      </c>
      <c r="O781" s="39">
        <v>44872</v>
      </c>
      <c r="P781" s="37">
        <v>3.78</v>
      </c>
      <c r="R781" s="39">
        <v>44432</v>
      </c>
      <c r="S781" s="37">
        <v>5.0500000000000003E-2</v>
      </c>
      <c r="U781" s="39">
        <v>44426</v>
      </c>
      <c r="V781" s="37">
        <v>0.25</v>
      </c>
    </row>
    <row r="782" spans="6:22" x14ac:dyDescent="0.2">
      <c r="F782" s="39">
        <v>44435</v>
      </c>
      <c r="G782" s="37">
        <v>0.1</v>
      </c>
      <c r="I782" s="39">
        <v>44454</v>
      </c>
      <c r="J782" s="37">
        <v>-0.57299999999999995</v>
      </c>
      <c r="O782" s="39">
        <v>44873</v>
      </c>
      <c r="P782" s="37">
        <v>3.78</v>
      </c>
      <c r="R782" s="39">
        <v>44431</v>
      </c>
      <c r="S782" s="37">
        <v>5.0500000000000003E-2</v>
      </c>
      <c r="U782" s="39">
        <v>44425</v>
      </c>
      <c r="V782" s="37">
        <v>0.25</v>
      </c>
    </row>
    <row r="783" spans="6:22" x14ac:dyDescent="0.2">
      <c r="F783" s="39">
        <v>44434</v>
      </c>
      <c r="G783" s="37">
        <v>0.1</v>
      </c>
      <c r="I783" s="39">
        <v>44453</v>
      </c>
      <c r="J783" s="37">
        <v>-0.56799999999999995</v>
      </c>
      <c r="O783" s="39">
        <v>44874</v>
      </c>
      <c r="P783" s="37">
        <v>3.78</v>
      </c>
      <c r="R783" s="39">
        <v>44428</v>
      </c>
      <c r="S783" s="37">
        <v>5.0799999999999998E-2</v>
      </c>
      <c r="U783" s="39">
        <v>44424</v>
      </c>
      <c r="V783" s="37">
        <v>0.25</v>
      </c>
    </row>
    <row r="784" spans="6:22" x14ac:dyDescent="0.2">
      <c r="F784" s="39">
        <v>44433</v>
      </c>
      <c r="G784" s="37">
        <v>0.1</v>
      </c>
      <c r="I784" s="39">
        <v>44452</v>
      </c>
      <c r="J784" s="37">
        <v>-0.57099999999999995</v>
      </c>
      <c r="O784" s="39">
        <v>44875</v>
      </c>
      <c r="P784" s="37">
        <v>3.78</v>
      </c>
      <c r="R784" s="39">
        <v>44427</v>
      </c>
      <c r="S784" s="37">
        <v>5.0999999999999997E-2</v>
      </c>
      <c r="U784" s="39">
        <v>44421</v>
      </c>
      <c r="V784" s="37">
        <v>0.25</v>
      </c>
    </row>
    <row r="785" spans="6:22" x14ac:dyDescent="0.2">
      <c r="F785" s="39">
        <v>44432</v>
      </c>
      <c r="G785" s="37">
        <v>0.1</v>
      </c>
      <c r="I785" s="39">
        <v>44449</v>
      </c>
      <c r="J785" s="37">
        <v>-0.56999999999999995</v>
      </c>
      <c r="O785" s="39">
        <v>44879</v>
      </c>
      <c r="P785" s="37">
        <v>3.79</v>
      </c>
      <c r="R785" s="39">
        <v>44426</v>
      </c>
      <c r="S785" s="37">
        <v>5.0500000000000003E-2</v>
      </c>
      <c r="U785" s="39">
        <v>44420</v>
      </c>
      <c r="V785" s="37">
        <v>0.25</v>
      </c>
    </row>
    <row r="786" spans="6:22" x14ac:dyDescent="0.2">
      <c r="F786" s="39">
        <v>44431</v>
      </c>
      <c r="G786" s="37">
        <v>0.1</v>
      </c>
      <c r="I786" s="39">
        <v>44448</v>
      </c>
      <c r="J786" s="37">
        <v>-0.56999999999999995</v>
      </c>
      <c r="O786" s="39">
        <v>44880</v>
      </c>
      <c r="P786" s="37">
        <v>3.8</v>
      </c>
      <c r="R786" s="39">
        <v>44425</v>
      </c>
      <c r="S786" s="37">
        <v>5.0299999999999997E-2</v>
      </c>
      <c r="U786" s="39">
        <v>44419</v>
      </c>
      <c r="V786" s="37">
        <v>0.25</v>
      </c>
    </row>
    <row r="787" spans="6:22" x14ac:dyDescent="0.2">
      <c r="F787" s="39">
        <v>44428</v>
      </c>
      <c r="G787" s="37">
        <v>0.1</v>
      </c>
      <c r="I787" s="39">
        <v>44447</v>
      </c>
      <c r="J787" s="37">
        <v>-0.56899999999999995</v>
      </c>
      <c r="O787" s="39">
        <v>44881</v>
      </c>
      <c r="P787" s="37">
        <v>3.81</v>
      </c>
      <c r="R787" s="39">
        <v>44424</v>
      </c>
      <c r="S787" s="37">
        <v>5.0500000000000003E-2</v>
      </c>
      <c r="U787" s="39">
        <v>44418</v>
      </c>
      <c r="V787" s="37">
        <v>0.25</v>
      </c>
    </row>
    <row r="788" spans="6:22" x14ac:dyDescent="0.2">
      <c r="F788" s="39">
        <v>44427</v>
      </c>
      <c r="G788" s="37">
        <v>0.1</v>
      </c>
      <c r="I788" s="39">
        <v>44446</v>
      </c>
      <c r="J788" s="37">
        <v>-0.56899999999999995</v>
      </c>
      <c r="O788" s="39">
        <v>44882</v>
      </c>
      <c r="P788" s="37">
        <v>3.8</v>
      </c>
      <c r="R788" s="39">
        <v>44421</v>
      </c>
      <c r="S788" s="37">
        <v>5.04E-2</v>
      </c>
      <c r="U788" s="39">
        <v>44417</v>
      </c>
      <c r="V788" s="37">
        <v>0.25</v>
      </c>
    </row>
    <row r="789" spans="6:22" x14ac:dyDescent="0.2">
      <c r="F789" s="39">
        <v>44426</v>
      </c>
      <c r="G789" s="37">
        <v>0.1</v>
      </c>
      <c r="I789" s="39">
        <v>44445</v>
      </c>
      <c r="J789" s="37">
        <v>-0.56899999999999995</v>
      </c>
      <c r="O789" s="39">
        <v>44883</v>
      </c>
      <c r="P789" s="37">
        <v>3.8</v>
      </c>
      <c r="R789" s="39">
        <v>44420</v>
      </c>
      <c r="S789" s="37">
        <v>5.04E-2</v>
      </c>
      <c r="U789" s="39">
        <v>44414</v>
      </c>
      <c r="V789" s="37">
        <v>0.25</v>
      </c>
    </row>
    <row r="790" spans="6:22" x14ac:dyDescent="0.2">
      <c r="F790" s="39">
        <v>44425</v>
      </c>
      <c r="G790" s="37">
        <v>0.1</v>
      </c>
      <c r="I790" s="39">
        <v>44442</v>
      </c>
      <c r="J790" s="37">
        <v>-0.56799999999999995</v>
      </c>
      <c r="O790" s="39">
        <v>44886</v>
      </c>
      <c r="P790" s="37">
        <v>3.8</v>
      </c>
      <c r="R790" s="39">
        <v>44419</v>
      </c>
      <c r="S790" s="37">
        <v>5.0299999999999997E-2</v>
      </c>
      <c r="U790" s="39">
        <v>44413</v>
      </c>
      <c r="V790" s="37">
        <v>0.25</v>
      </c>
    </row>
    <row r="791" spans="6:22" x14ac:dyDescent="0.2">
      <c r="F791" s="39">
        <v>44424</v>
      </c>
      <c r="G791" s="37">
        <v>0.1</v>
      </c>
      <c r="I791" s="39">
        <v>44441</v>
      </c>
      <c r="J791" s="37">
        <v>-0.56899999999999995</v>
      </c>
      <c r="O791" s="39">
        <v>44887</v>
      </c>
      <c r="P791" s="37">
        <v>3.8</v>
      </c>
      <c r="R791" s="39">
        <v>44418</v>
      </c>
      <c r="S791" s="37">
        <v>5.0099999999999999E-2</v>
      </c>
      <c r="U791" s="39">
        <v>44412</v>
      </c>
      <c r="V791" s="37">
        <v>0.25</v>
      </c>
    </row>
    <row r="792" spans="6:22" x14ac:dyDescent="0.2">
      <c r="F792" s="39">
        <v>44421</v>
      </c>
      <c r="G792" s="37">
        <v>0.1</v>
      </c>
      <c r="I792" s="39">
        <v>44440</v>
      </c>
      <c r="J792" s="37">
        <v>-0.56899999999999995</v>
      </c>
      <c r="O792" s="39">
        <v>44888</v>
      </c>
      <c r="P792" s="37">
        <v>3.79</v>
      </c>
      <c r="R792" s="39">
        <v>44417</v>
      </c>
      <c r="S792" s="37">
        <v>4.9799999999999997E-2</v>
      </c>
      <c r="U792" s="39">
        <v>44411</v>
      </c>
      <c r="V792" s="37">
        <v>0.25</v>
      </c>
    </row>
    <row r="793" spans="6:22" x14ac:dyDescent="0.2">
      <c r="F793" s="39">
        <v>44420</v>
      </c>
      <c r="G793" s="37">
        <v>0.1</v>
      </c>
      <c r="I793" s="39">
        <v>44439</v>
      </c>
      <c r="J793" s="37">
        <v>-0.56999999999999995</v>
      </c>
      <c r="O793" s="39">
        <v>44890</v>
      </c>
      <c r="P793" s="37">
        <v>3.8</v>
      </c>
      <c r="R793" s="39">
        <v>44414</v>
      </c>
      <c r="S793" s="37">
        <v>5.0299999999999997E-2</v>
      </c>
      <c r="U793" s="39">
        <v>44410</v>
      </c>
      <c r="V793" s="37">
        <v>0.25</v>
      </c>
    </row>
    <row r="794" spans="6:22" x14ac:dyDescent="0.2">
      <c r="F794" s="39">
        <v>44419</v>
      </c>
      <c r="G794" s="37">
        <v>0.1</v>
      </c>
      <c r="I794" s="39">
        <v>44438</v>
      </c>
      <c r="J794" s="37">
        <v>-0.56799999999999995</v>
      </c>
      <c r="O794" s="39">
        <v>44893</v>
      </c>
      <c r="P794" s="37">
        <v>3.8</v>
      </c>
      <c r="R794" s="39">
        <v>44413</v>
      </c>
      <c r="S794" s="37">
        <v>5.0299999999999997E-2</v>
      </c>
      <c r="U794" s="39">
        <v>44407</v>
      </c>
      <c r="V794" s="37">
        <v>0.25</v>
      </c>
    </row>
    <row r="795" spans="6:22" x14ac:dyDescent="0.2">
      <c r="F795" s="39">
        <v>44418</v>
      </c>
      <c r="G795" s="37">
        <v>0.1</v>
      </c>
      <c r="I795" s="39">
        <v>44435</v>
      </c>
      <c r="J795" s="37">
        <v>-0.56999999999999995</v>
      </c>
      <c r="O795" s="39">
        <v>44894</v>
      </c>
      <c r="P795" s="37">
        <v>3.81</v>
      </c>
      <c r="R795" s="39">
        <v>44412</v>
      </c>
      <c r="S795" s="37">
        <v>5.04E-2</v>
      </c>
      <c r="U795" s="39">
        <v>44406</v>
      </c>
      <c r="V795" s="37">
        <v>0.25</v>
      </c>
    </row>
    <row r="796" spans="6:22" x14ac:dyDescent="0.2">
      <c r="F796" s="39">
        <v>44417</v>
      </c>
      <c r="G796" s="37">
        <v>0.1</v>
      </c>
      <c r="I796" s="39">
        <v>44434</v>
      </c>
      <c r="J796" s="37">
        <v>-0.56999999999999995</v>
      </c>
      <c r="O796" s="39">
        <v>44895</v>
      </c>
      <c r="P796" s="37">
        <v>3.82</v>
      </c>
      <c r="R796" s="39">
        <v>44411</v>
      </c>
      <c r="S796" s="37">
        <v>5.0299999999999997E-2</v>
      </c>
      <c r="U796" s="39">
        <v>44405</v>
      </c>
      <c r="V796" s="37">
        <v>0.25</v>
      </c>
    </row>
    <row r="797" spans="6:22" x14ac:dyDescent="0.2">
      <c r="F797" s="39">
        <v>44414</v>
      </c>
      <c r="G797" s="37">
        <v>0.1</v>
      </c>
      <c r="I797" s="39">
        <v>44433</v>
      </c>
      <c r="J797" s="37">
        <v>-0.56399999999999995</v>
      </c>
      <c r="O797" s="39">
        <v>44896</v>
      </c>
      <c r="P797" s="37">
        <v>3.82</v>
      </c>
      <c r="R797" s="39">
        <v>44410</v>
      </c>
      <c r="S797" s="37">
        <v>5.04E-2</v>
      </c>
      <c r="U797" s="39">
        <v>44404</v>
      </c>
      <c r="V797" s="37">
        <v>0.25</v>
      </c>
    </row>
    <row r="798" spans="6:22" x14ac:dyDescent="0.2">
      <c r="F798" s="39">
        <v>44413</v>
      </c>
      <c r="G798" s="37">
        <v>0.1</v>
      </c>
      <c r="I798" s="39">
        <v>44432</v>
      </c>
      <c r="J798" s="37">
        <v>-0.56699999999999995</v>
      </c>
      <c r="O798" s="39">
        <v>44897</v>
      </c>
      <c r="P798" s="37">
        <v>3.81</v>
      </c>
      <c r="R798" s="39">
        <v>44407</v>
      </c>
      <c r="S798" s="37">
        <v>5.0599999999999999E-2</v>
      </c>
      <c r="U798" s="39">
        <v>44403</v>
      </c>
      <c r="V798" s="37">
        <v>0.25</v>
      </c>
    </row>
    <row r="799" spans="6:22" x14ac:dyDescent="0.2">
      <c r="F799" s="39">
        <v>44412</v>
      </c>
      <c r="G799" s="37">
        <v>0.1</v>
      </c>
      <c r="I799" s="39">
        <v>44431</v>
      </c>
      <c r="J799" s="37">
        <v>-0.56799999999999995</v>
      </c>
      <c r="O799" s="39">
        <v>44900</v>
      </c>
      <c r="P799" s="37">
        <v>3.81</v>
      </c>
      <c r="R799" s="39">
        <v>44406</v>
      </c>
      <c r="S799" s="37">
        <v>5.04E-2</v>
      </c>
      <c r="U799" s="39">
        <v>44400</v>
      </c>
      <c r="V799" s="37">
        <v>0.25</v>
      </c>
    </row>
    <row r="800" spans="6:22" x14ac:dyDescent="0.2">
      <c r="F800" s="39">
        <v>44411</v>
      </c>
      <c r="G800" s="37">
        <v>0.1</v>
      </c>
      <c r="I800" s="39">
        <v>44428</v>
      </c>
      <c r="J800" s="37">
        <v>-0.56699999999999995</v>
      </c>
      <c r="O800" s="39">
        <v>44901</v>
      </c>
      <c r="P800" s="37">
        <v>3.8</v>
      </c>
      <c r="R800" s="39">
        <v>44405</v>
      </c>
      <c r="S800" s="37">
        <v>5.0700000000000002E-2</v>
      </c>
      <c r="U800" s="39">
        <v>44399</v>
      </c>
      <c r="V800" s="37">
        <v>0.25</v>
      </c>
    </row>
    <row r="801" spans="6:22" x14ac:dyDescent="0.2">
      <c r="F801" s="39">
        <v>44410</v>
      </c>
      <c r="G801" s="37">
        <v>0.1</v>
      </c>
      <c r="I801" s="39">
        <v>44427</v>
      </c>
      <c r="J801" s="37">
        <v>-0.56699999999999995</v>
      </c>
      <c r="O801" s="39">
        <v>44902</v>
      </c>
      <c r="P801" s="37">
        <v>3.8</v>
      </c>
      <c r="R801" s="39">
        <v>44404</v>
      </c>
      <c r="S801" s="37">
        <v>5.0700000000000002E-2</v>
      </c>
      <c r="U801" s="39">
        <v>44398</v>
      </c>
      <c r="V801" s="37">
        <v>0.25</v>
      </c>
    </row>
    <row r="802" spans="6:22" x14ac:dyDescent="0.2">
      <c r="F802" s="39">
        <v>44407</v>
      </c>
      <c r="G802" s="37">
        <v>0.1</v>
      </c>
      <c r="I802" s="39">
        <v>44426</v>
      </c>
      <c r="J802" s="37">
        <v>-0.56699999999999995</v>
      </c>
      <c r="O802" s="39">
        <v>44903</v>
      </c>
      <c r="P802" s="37">
        <v>3.8</v>
      </c>
      <c r="R802" s="39">
        <v>44403</v>
      </c>
      <c r="S802" s="37">
        <v>5.0200000000000002E-2</v>
      </c>
      <c r="U802" s="39">
        <v>44397</v>
      </c>
      <c r="V802" s="37">
        <v>0.25</v>
      </c>
    </row>
    <row r="803" spans="6:22" x14ac:dyDescent="0.2">
      <c r="F803" s="39">
        <v>44406</v>
      </c>
      <c r="G803" s="37">
        <v>0.1</v>
      </c>
      <c r="I803" s="39">
        <v>44425</v>
      </c>
      <c r="J803" s="37">
        <v>-0.56799999999999995</v>
      </c>
      <c r="O803" s="39">
        <v>44904</v>
      </c>
      <c r="P803" s="37">
        <v>3.8</v>
      </c>
      <c r="R803" s="39">
        <v>44400</v>
      </c>
      <c r="S803" s="37">
        <v>5.0700000000000002E-2</v>
      </c>
      <c r="U803" s="39">
        <v>44396</v>
      </c>
      <c r="V803" s="37">
        <v>0.25</v>
      </c>
    </row>
    <row r="804" spans="6:22" x14ac:dyDescent="0.2">
      <c r="F804" s="39">
        <v>44405</v>
      </c>
      <c r="G804" s="37">
        <v>0.1</v>
      </c>
      <c r="I804" s="39">
        <v>44424</v>
      </c>
      <c r="J804" s="37">
        <v>-0.56899999999999995</v>
      </c>
      <c r="O804" s="39">
        <v>44907</v>
      </c>
      <c r="P804" s="37">
        <v>3.8</v>
      </c>
      <c r="R804" s="39">
        <v>44399</v>
      </c>
      <c r="S804" s="37">
        <v>5.0700000000000002E-2</v>
      </c>
      <c r="U804" s="39">
        <v>44393</v>
      </c>
      <c r="V804" s="37">
        <v>0.25</v>
      </c>
    </row>
    <row r="805" spans="6:22" x14ac:dyDescent="0.2">
      <c r="F805" s="39">
        <v>44404</v>
      </c>
      <c r="G805" s="37">
        <v>0.1</v>
      </c>
      <c r="I805" s="39">
        <v>44421</v>
      </c>
      <c r="J805" s="37">
        <v>-0.56899999999999995</v>
      </c>
      <c r="O805" s="39">
        <v>44908</v>
      </c>
      <c r="P805" s="37">
        <v>3.8</v>
      </c>
      <c r="R805" s="39">
        <v>44398</v>
      </c>
      <c r="S805" s="37">
        <v>5.0700000000000002E-2</v>
      </c>
      <c r="U805" s="39">
        <v>44392</v>
      </c>
      <c r="V805" s="37">
        <v>0.25</v>
      </c>
    </row>
    <row r="806" spans="6:22" x14ac:dyDescent="0.2">
      <c r="F806" s="39">
        <v>44403</v>
      </c>
      <c r="G806" s="37">
        <v>0.1</v>
      </c>
      <c r="I806" s="39">
        <v>44420</v>
      </c>
      <c r="J806" s="37">
        <v>-0.56799999999999995</v>
      </c>
      <c r="O806" s="39">
        <v>44909</v>
      </c>
      <c r="P806" s="37">
        <v>3.8</v>
      </c>
      <c r="R806" s="39">
        <v>44397</v>
      </c>
      <c r="S806" s="37">
        <v>5.0999999999999997E-2</v>
      </c>
      <c r="U806" s="39">
        <v>44391</v>
      </c>
      <c r="V806" s="37">
        <v>0.25</v>
      </c>
    </row>
    <row r="807" spans="6:22" x14ac:dyDescent="0.2">
      <c r="F807" s="39">
        <v>44400</v>
      </c>
      <c r="G807" s="37">
        <v>0.1</v>
      </c>
      <c r="I807" s="39">
        <v>44419</v>
      </c>
      <c r="J807" s="37">
        <v>-0.56699999999999995</v>
      </c>
      <c r="O807" s="39">
        <v>44910</v>
      </c>
      <c r="P807" s="37">
        <v>4.32</v>
      </c>
      <c r="R807" s="39">
        <v>44396</v>
      </c>
      <c r="S807" s="37">
        <v>5.0799999999999998E-2</v>
      </c>
      <c r="U807" s="39">
        <v>44390</v>
      </c>
      <c r="V807" s="37">
        <v>0.25</v>
      </c>
    </row>
    <row r="808" spans="6:22" x14ac:dyDescent="0.2">
      <c r="F808" s="39">
        <v>44399</v>
      </c>
      <c r="G808" s="37">
        <v>0.1</v>
      </c>
      <c r="I808" s="39">
        <v>44418</v>
      </c>
      <c r="J808" s="37">
        <v>-0.56699999999999995</v>
      </c>
      <c r="O808" s="39">
        <v>44911</v>
      </c>
      <c r="P808" s="37">
        <v>4.32</v>
      </c>
      <c r="R808" s="39">
        <v>44393</v>
      </c>
      <c r="S808" s="37">
        <v>5.0599999999999999E-2</v>
      </c>
      <c r="U808" s="39">
        <v>44389</v>
      </c>
      <c r="V808" s="37">
        <v>0.25</v>
      </c>
    </row>
    <row r="809" spans="6:22" x14ac:dyDescent="0.2">
      <c r="F809" s="39">
        <v>44398</v>
      </c>
      <c r="G809" s="37">
        <v>0.1</v>
      </c>
      <c r="I809" s="39">
        <v>44417</v>
      </c>
      <c r="J809" s="37">
        <v>-0.56799999999999995</v>
      </c>
      <c r="O809" s="39">
        <v>44914</v>
      </c>
      <c r="P809" s="37">
        <v>4.3</v>
      </c>
      <c r="R809" s="39">
        <v>44392</v>
      </c>
      <c r="S809" s="37">
        <v>5.0799999999999998E-2</v>
      </c>
      <c r="U809" s="39">
        <v>44386</v>
      </c>
      <c r="V809" s="37">
        <v>0.25</v>
      </c>
    </row>
    <row r="810" spans="6:22" x14ac:dyDescent="0.2">
      <c r="F810" s="39">
        <v>44397</v>
      </c>
      <c r="G810" s="37">
        <v>0.1</v>
      </c>
      <c r="I810" s="39">
        <v>44414</v>
      </c>
      <c r="J810" s="37">
        <v>-0.56899999999999995</v>
      </c>
      <c r="O810" s="39">
        <v>44915</v>
      </c>
      <c r="P810" s="37">
        <v>4.3</v>
      </c>
      <c r="R810" s="39">
        <v>44391</v>
      </c>
      <c r="S810" s="37">
        <v>5.0799999999999998E-2</v>
      </c>
      <c r="U810" s="39">
        <v>44385</v>
      </c>
      <c r="V810" s="37">
        <v>0.25</v>
      </c>
    </row>
    <row r="811" spans="6:22" x14ac:dyDescent="0.2">
      <c r="F811" s="39">
        <v>44396</v>
      </c>
      <c r="G811" s="37">
        <v>0.1</v>
      </c>
      <c r="I811" s="39">
        <v>44413</v>
      </c>
      <c r="J811" s="37">
        <v>-0.56599999999999995</v>
      </c>
      <c r="O811" s="39">
        <v>44916</v>
      </c>
      <c r="P811" s="37">
        <v>4.3</v>
      </c>
      <c r="R811" s="39">
        <v>44390</v>
      </c>
      <c r="S811" s="37">
        <v>5.0700000000000002E-2</v>
      </c>
      <c r="U811" s="39">
        <v>44384</v>
      </c>
      <c r="V811" s="37">
        <v>0.25</v>
      </c>
    </row>
    <row r="812" spans="6:22" x14ac:dyDescent="0.2">
      <c r="F812" s="39">
        <v>44393</v>
      </c>
      <c r="G812" s="37">
        <v>0.1</v>
      </c>
      <c r="I812" s="39">
        <v>44412</v>
      </c>
      <c r="J812" s="37">
        <v>-0.56999999999999995</v>
      </c>
      <c r="O812" s="39">
        <v>44917</v>
      </c>
      <c r="P812" s="37">
        <v>4.3</v>
      </c>
      <c r="R812" s="39">
        <v>44389</v>
      </c>
      <c r="S812" s="37">
        <v>5.0299999999999997E-2</v>
      </c>
      <c r="U812" s="39">
        <v>44383</v>
      </c>
      <c r="V812" s="37">
        <v>0.25</v>
      </c>
    </row>
    <row r="813" spans="6:22" x14ac:dyDescent="0.2">
      <c r="F813" s="39">
        <v>44392</v>
      </c>
      <c r="G813" s="37">
        <v>0.1</v>
      </c>
      <c r="I813" s="39">
        <v>44411</v>
      </c>
      <c r="J813" s="37">
        <v>-0.56999999999999995</v>
      </c>
      <c r="O813" s="39">
        <v>44918</v>
      </c>
      <c r="P813" s="37">
        <v>4.3</v>
      </c>
      <c r="R813" s="39">
        <v>44386</v>
      </c>
      <c r="S813" s="37">
        <v>5.04E-2</v>
      </c>
      <c r="U813" s="39">
        <v>44382</v>
      </c>
      <c r="V813" s="37">
        <v>0.25</v>
      </c>
    </row>
    <row r="814" spans="6:22" x14ac:dyDescent="0.2">
      <c r="F814" s="39">
        <v>44391</v>
      </c>
      <c r="G814" s="37">
        <v>0.1</v>
      </c>
      <c r="I814" s="39">
        <v>44410</v>
      </c>
      <c r="J814" s="37">
        <v>-0.56499999999999995</v>
      </c>
      <c r="O814" s="39">
        <v>44922</v>
      </c>
      <c r="P814" s="37">
        <v>4.3</v>
      </c>
      <c r="R814" s="39">
        <v>44385</v>
      </c>
      <c r="S814" s="37">
        <v>5.0799999999999998E-2</v>
      </c>
      <c r="U814" s="39">
        <v>44379</v>
      </c>
      <c r="V814" s="37">
        <v>0.25</v>
      </c>
    </row>
    <row r="815" spans="6:22" x14ac:dyDescent="0.2">
      <c r="F815" s="39">
        <v>44390</v>
      </c>
      <c r="G815" s="37">
        <v>0.1</v>
      </c>
      <c r="I815" s="39">
        <v>44407</v>
      </c>
      <c r="J815" s="37">
        <v>-0.57099999999999995</v>
      </c>
      <c r="O815" s="39">
        <v>44923</v>
      </c>
      <c r="P815" s="37">
        <v>4.3</v>
      </c>
      <c r="R815" s="39">
        <v>44384</v>
      </c>
      <c r="S815" s="37">
        <v>5.0599999999999999E-2</v>
      </c>
      <c r="U815" s="39">
        <v>44378</v>
      </c>
      <c r="V815" s="37">
        <v>0.25</v>
      </c>
    </row>
    <row r="816" spans="6:22" x14ac:dyDescent="0.2">
      <c r="F816" s="39">
        <v>44389</v>
      </c>
      <c r="G816" s="37">
        <v>0.1</v>
      </c>
      <c r="I816" s="39">
        <v>44406</v>
      </c>
      <c r="J816" s="37">
        <v>-0.56699999999999995</v>
      </c>
      <c r="O816" s="39">
        <v>44924</v>
      </c>
      <c r="P816" s="37">
        <v>4.3</v>
      </c>
      <c r="R816" s="39">
        <v>44383</v>
      </c>
      <c r="S816" s="37">
        <v>5.0200000000000002E-2</v>
      </c>
      <c r="U816" s="39">
        <v>44377</v>
      </c>
      <c r="V816" s="37">
        <v>0.25</v>
      </c>
    </row>
    <row r="817" spans="6:22" x14ac:dyDescent="0.2">
      <c r="F817" s="39">
        <v>44386</v>
      </c>
      <c r="G817" s="37">
        <v>0.1</v>
      </c>
      <c r="I817" s="39">
        <v>44405</v>
      </c>
      <c r="J817" s="37">
        <v>-0.56699999999999995</v>
      </c>
      <c r="O817" s="39">
        <v>44925</v>
      </c>
      <c r="P817" s="37">
        <v>4.3</v>
      </c>
      <c r="R817" s="39">
        <v>44382</v>
      </c>
      <c r="S817" s="37">
        <v>5.04E-2</v>
      </c>
      <c r="U817" s="39">
        <v>44376</v>
      </c>
      <c r="V817" s="37">
        <v>0.25</v>
      </c>
    </row>
    <row r="818" spans="6:22" x14ac:dyDescent="0.2">
      <c r="F818" s="39">
        <v>44385</v>
      </c>
      <c r="G818" s="37">
        <v>0.1</v>
      </c>
      <c r="I818" s="39">
        <v>44404</v>
      </c>
      <c r="J818" s="37">
        <v>-0.56299999999999994</v>
      </c>
      <c r="O818" s="39">
        <v>44929</v>
      </c>
      <c r="P818" s="37">
        <v>4.3099999999999996</v>
      </c>
      <c r="R818" s="39">
        <v>44379</v>
      </c>
      <c r="S818" s="37">
        <v>5.0500000000000003E-2</v>
      </c>
      <c r="U818" s="39">
        <v>44375</v>
      </c>
      <c r="V818" s="37">
        <v>0.25</v>
      </c>
    </row>
    <row r="819" spans="6:22" x14ac:dyDescent="0.2">
      <c r="F819" s="39">
        <v>44384</v>
      </c>
      <c r="G819" s="37">
        <v>0.1</v>
      </c>
      <c r="I819" s="39">
        <v>44403</v>
      </c>
      <c r="J819" s="37">
        <v>-0.56699999999999995</v>
      </c>
      <c r="O819" s="39">
        <v>44930</v>
      </c>
      <c r="P819" s="37">
        <v>4.3</v>
      </c>
      <c r="R819" s="39">
        <v>44378</v>
      </c>
      <c r="S819" s="37">
        <v>4.9599999999999998E-2</v>
      </c>
      <c r="U819" s="39">
        <v>44372</v>
      </c>
      <c r="V819" s="37">
        <v>0.25</v>
      </c>
    </row>
    <row r="820" spans="6:22" x14ac:dyDescent="0.2">
      <c r="F820" s="39">
        <v>44383</v>
      </c>
      <c r="G820" s="37">
        <v>0.1</v>
      </c>
      <c r="I820" s="39">
        <v>44400</v>
      </c>
      <c r="J820" s="37">
        <v>-0.56699999999999995</v>
      </c>
      <c r="O820" s="39">
        <v>44931</v>
      </c>
      <c r="P820" s="37">
        <v>4.3099999999999996</v>
      </c>
      <c r="R820" s="39">
        <v>44377</v>
      </c>
      <c r="S820" s="37">
        <v>4.6600000000000003E-2</v>
      </c>
      <c r="U820" s="39">
        <v>44371</v>
      </c>
      <c r="V820" s="37">
        <v>0.25</v>
      </c>
    </row>
    <row r="821" spans="6:22" x14ac:dyDescent="0.2">
      <c r="F821" s="39">
        <v>44382</v>
      </c>
      <c r="G821" s="37">
        <v>0.1</v>
      </c>
      <c r="I821" s="39">
        <v>44399</v>
      </c>
      <c r="J821" s="37">
        <v>-0.56299999999999994</v>
      </c>
      <c r="O821" s="39">
        <v>44932</v>
      </c>
      <c r="P821" s="37">
        <v>4.3099999999999996</v>
      </c>
      <c r="R821" s="39">
        <v>44376</v>
      </c>
      <c r="S821" s="37">
        <v>4.9299999999999997E-2</v>
      </c>
      <c r="U821" s="39">
        <v>44370</v>
      </c>
      <c r="V821" s="37">
        <v>0.25</v>
      </c>
    </row>
    <row r="822" spans="6:22" x14ac:dyDescent="0.2">
      <c r="F822" s="39">
        <v>44379</v>
      </c>
      <c r="G822" s="37">
        <v>0.1</v>
      </c>
      <c r="I822" s="39">
        <v>44398</v>
      </c>
      <c r="J822" s="37">
        <v>-0.56799999999999995</v>
      </c>
      <c r="O822" s="39">
        <v>44935</v>
      </c>
      <c r="P822" s="37">
        <v>4.3099999999999996</v>
      </c>
      <c r="R822" s="39">
        <v>44375</v>
      </c>
      <c r="S822" s="37">
        <v>4.9500000000000002E-2</v>
      </c>
      <c r="U822" s="39">
        <v>44369</v>
      </c>
      <c r="V822" s="37">
        <v>0.25</v>
      </c>
    </row>
    <row r="823" spans="6:22" x14ac:dyDescent="0.2">
      <c r="F823" s="39">
        <v>44378</v>
      </c>
      <c r="G823" s="37">
        <v>0.1</v>
      </c>
      <c r="I823" s="39">
        <v>44397</v>
      </c>
      <c r="J823" s="37">
        <v>-0.56699999999999995</v>
      </c>
      <c r="O823" s="39">
        <v>44936</v>
      </c>
      <c r="P823" s="37">
        <v>4.3099999999999996</v>
      </c>
      <c r="R823" s="39">
        <v>44372</v>
      </c>
      <c r="S823" s="37">
        <v>5.0200000000000002E-2</v>
      </c>
      <c r="U823" s="39">
        <v>44368</v>
      </c>
      <c r="V823" s="37">
        <v>0.25</v>
      </c>
    </row>
    <row r="824" spans="6:22" x14ac:dyDescent="0.2">
      <c r="F824" s="39">
        <v>44377</v>
      </c>
      <c r="G824" s="37">
        <v>0.1</v>
      </c>
      <c r="I824" s="39">
        <v>44396</v>
      </c>
      <c r="J824" s="37">
        <v>-0.56599999999999995</v>
      </c>
      <c r="O824" s="39">
        <v>44937</v>
      </c>
      <c r="P824" s="37">
        <v>4.3</v>
      </c>
      <c r="R824" s="39">
        <v>44371</v>
      </c>
      <c r="S824" s="37">
        <v>0.05</v>
      </c>
      <c r="U824" s="39">
        <v>44365</v>
      </c>
      <c r="V824" s="37">
        <v>0.25</v>
      </c>
    </row>
    <row r="825" spans="6:22" x14ac:dyDescent="0.2">
      <c r="F825" s="39">
        <v>44376</v>
      </c>
      <c r="G825" s="37">
        <v>0.1</v>
      </c>
      <c r="I825" s="39">
        <v>44393</v>
      </c>
      <c r="J825" s="37">
        <v>-0.56699999999999995</v>
      </c>
      <c r="O825" s="39">
        <v>44938</v>
      </c>
      <c r="P825" s="37">
        <v>4.3</v>
      </c>
      <c r="R825" s="39">
        <v>44370</v>
      </c>
      <c r="S825" s="37">
        <v>0.05</v>
      </c>
      <c r="U825" s="39">
        <v>44364</v>
      </c>
      <c r="V825" s="37">
        <v>0.25</v>
      </c>
    </row>
    <row r="826" spans="6:22" x14ac:dyDescent="0.2">
      <c r="F826" s="39">
        <v>44375</v>
      </c>
      <c r="G826" s="37">
        <v>0.1</v>
      </c>
      <c r="I826" s="39">
        <v>44392</v>
      </c>
      <c r="J826" s="37">
        <v>-0.56599999999999995</v>
      </c>
      <c r="O826" s="39">
        <v>44939</v>
      </c>
      <c r="P826" s="37">
        <v>4.3</v>
      </c>
      <c r="R826" s="39">
        <v>44369</v>
      </c>
      <c r="S826" s="37">
        <v>5.0200000000000002E-2</v>
      </c>
      <c r="U826" s="39">
        <v>44363</v>
      </c>
      <c r="V826" s="37">
        <v>0.25</v>
      </c>
    </row>
    <row r="827" spans="6:22" x14ac:dyDescent="0.2">
      <c r="F827" s="39">
        <v>44372</v>
      </c>
      <c r="G827" s="37">
        <v>0.1</v>
      </c>
      <c r="I827" s="39">
        <v>44391</v>
      </c>
      <c r="J827" s="37">
        <v>-0.56599999999999995</v>
      </c>
      <c r="O827" s="39">
        <v>44943</v>
      </c>
      <c r="P827" s="37">
        <v>4.3099999999999996</v>
      </c>
      <c r="R827" s="39">
        <v>44368</v>
      </c>
      <c r="S827" s="37">
        <v>4.9799999999999997E-2</v>
      </c>
      <c r="U827" s="39">
        <v>44362</v>
      </c>
      <c r="V827" s="37">
        <v>0.25</v>
      </c>
    </row>
    <row r="828" spans="6:22" x14ac:dyDescent="0.2">
      <c r="F828" s="39">
        <v>44371</v>
      </c>
      <c r="G828" s="37">
        <v>0.1</v>
      </c>
      <c r="I828" s="39">
        <v>44390</v>
      </c>
      <c r="J828" s="37">
        <v>-0.56599999999999995</v>
      </c>
      <c r="O828" s="39">
        <v>44944</v>
      </c>
      <c r="P828" s="37">
        <v>4.3</v>
      </c>
      <c r="R828" s="39">
        <v>44365</v>
      </c>
      <c r="S828" s="37">
        <v>5.0200000000000002E-2</v>
      </c>
      <c r="U828" s="39">
        <v>44361</v>
      </c>
      <c r="V828" s="37">
        <v>0.25</v>
      </c>
    </row>
    <row r="829" spans="6:22" x14ac:dyDescent="0.2">
      <c r="F829" s="39">
        <v>44370</v>
      </c>
      <c r="G829" s="37">
        <v>0.1</v>
      </c>
      <c r="I829" s="39">
        <v>44389</v>
      </c>
      <c r="J829" s="37">
        <v>-0.56799999999999995</v>
      </c>
      <c r="O829" s="39">
        <v>44945</v>
      </c>
      <c r="P829" s="37">
        <v>4.3099999999999996</v>
      </c>
      <c r="R829" s="39">
        <v>44364</v>
      </c>
      <c r="S829" s="37">
        <v>0.05</v>
      </c>
      <c r="U829" s="39">
        <v>44358</v>
      </c>
      <c r="V829" s="37">
        <v>0.25</v>
      </c>
    </row>
    <row r="830" spans="6:22" x14ac:dyDescent="0.2">
      <c r="F830" s="39">
        <v>44369</v>
      </c>
      <c r="G830" s="37">
        <v>0.1</v>
      </c>
      <c r="I830" s="39">
        <v>44386</v>
      </c>
      <c r="J830" s="37">
        <v>-0.56599999999999995</v>
      </c>
      <c r="O830" s="39">
        <v>44946</v>
      </c>
      <c r="P830" s="37">
        <v>4.3</v>
      </c>
      <c r="R830" s="39">
        <v>44363</v>
      </c>
      <c r="S830" s="37">
        <v>0.05</v>
      </c>
      <c r="U830" s="39">
        <v>44357</v>
      </c>
      <c r="V830" s="37">
        <v>0.25</v>
      </c>
    </row>
    <row r="831" spans="6:22" x14ac:dyDescent="0.2">
      <c r="F831" s="39">
        <v>44368</v>
      </c>
      <c r="G831" s="37">
        <v>0.1</v>
      </c>
      <c r="I831" s="39">
        <v>44385</v>
      </c>
      <c r="J831" s="37">
        <v>-0.56599999999999995</v>
      </c>
      <c r="O831" s="39">
        <v>44949</v>
      </c>
      <c r="P831" s="37">
        <v>4.3</v>
      </c>
      <c r="R831" s="39">
        <v>44362</v>
      </c>
      <c r="S831" s="37">
        <v>4.99E-2</v>
      </c>
      <c r="U831" s="39">
        <v>44356</v>
      </c>
      <c r="V831" s="37">
        <v>0.25</v>
      </c>
    </row>
    <row r="832" spans="6:22" x14ac:dyDescent="0.2">
      <c r="F832" s="39">
        <v>44365</v>
      </c>
      <c r="G832" s="37">
        <v>0.1</v>
      </c>
      <c r="I832" s="39">
        <v>44384</v>
      </c>
      <c r="J832" s="37">
        <v>-0.56499999999999995</v>
      </c>
      <c r="O832" s="39">
        <v>44950</v>
      </c>
      <c r="P832" s="37">
        <v>4.3</v>
      </c>
      <c r="R832" s="39">
        <v>44361</v>
      </c>
      <c r="S832" s="37">
        <v>4.99E-2</v>
      </c>
      <c r="U832" s="39">
        <v>44355</v>
      </c>
      <c r="V832" s="37">
        <v>0.25</v>
      </c>
    </row>
    <row r="833" spans="6:22" x14ac:dyDescent="0.2">
      <c r="F833" s="39">
        <v>44364</v>
      </c>
      <c r="G833" s="37">
        <v>0.1</v>
      </c>
      <c r="I833" s="39">
        <v>44383</v>
      </c>
      <c r="J833" s="37">
        <v>-0.56499999999999995</v>
      </c>
      <c r="O833" s="39">
        <v>44951</v>
      </c>
      <c r="P833" s="37">
        <v>4.3099999999999996</v>
      </c>
      <c r="R833" s="39">
        <v>44358</v>
      </c>
      <c r="S833" s="37">
        <v>5.0099999999999999E-2</v>
      </c>
      <c r="U833" s="39">
        <v>44351</v>
      </c>
      <c r="V833" s="37">
        <v>0.25</v>
      </c>
    </row>
    <row r="834" spans="6:22" x14ac:dyDescent="0.2">
      <c r="F834" s="39">
        <v>44363</v>
      </c>
      <c r="G834" s="37">
        <v>0.1</v>
      </c>
      <c r="I834" s="39">
        <v>44382</v>
      </c>
      <c r="J834" s="37">
        <v>-0.56599999999999995</v>
      </c>
      <c r="O834" s="39">
        <v>44952</v>
      </c>
      <c r="P834" s="37">
        <v>4.3</v>
      </c>
      <c r="R834" s="39">
        <v>44357</v>
      </c>
      <c r="S834" s="37">
        <v>4.99E-2</v>
      </c>
      <c r="U834" s="39">
        <v>44350</v>
      </c>
      <c r="V834" s="37">
        <v>0.25</v>
      </c>
    </row>
    <row r="835" spans="6:22" x14ac:dyDescent="0.2">
      <c r="F835" s="39">
        <v>44362</v>
      </c>
      <c r="G835" s="37">
        <v>0.1</v>
      </c>
      <c r="I835" s="39">
        <v>44379</v>
      </c>
      <c r="J835" s="37">
        <v>-0.56499999999999995</v>
      </c>
      <c r="O835" s="39">
        <v>44953</v>
      </c>
      <c r="P835" s="37">
        <v>4.3</v>
      </c>
      <c r="R835" s="39">
        <v>44356</v>
      </c>
      <c r="S835" s="37">
        <v>5.0200000000000002E-2</v>
      </c>
      <c r="U835" s="39">
        <v>44349</v>
      </c>
      <c r="V835" s="37">
        <v>0.25</v>
      </c>
    </row>
    <row r="836" spans="6:22" x14ac:dyDescent="0.2">
      <c r="F836" s="39">
        <v>44358</v>
      </c>
      <c r="G836" s="37">
        <v>0.1</v>
      </c>
      <c r="I836" s="39">
        <v>44378</v>
      </c>
      <c r="J836" s="37">
        <v>-0.56499999999999995</v>
      </c>
      <c r="O836" s="39">
        <v>44956</v>
      </c>
      <c r="P836" s="37">
        <v>4.3</v>
      </c>
      <c r="R836" s="39">
        <v>44355</v>
      </c>
      <c r="S836" s="37">
        <v>5.0500000000000003E-2</v>
      </c>
      <c r="U836" s="39">
        <v>44348</v>
      </c>
      <c r="V836" s="37">
        <v>0.25</v>
      </c>
    </row>
    <row r="837" spans="6:22" x14ac:dyDescent="0.2">
      <c r="F837" s="39">
        <v>44357</v>
      </c>
      <c r="G837" s="37">
        <v>0.1</v>
      </c>
      <c r="I837" s="39">
        <v>44377</v>
      </c>
      <c r="J837" s="37">
        <v>-0.58099999999999996</v>
      </c>
      <c r="O837" s="39">
        <v>44957</v>
      </c>
      <c r="P837" s="37">
        <v>4.3099999999999996</v>
      </c>
      <c r="R837" s="39">
        <v>44354</v>
      </c>
      <c r="S837" s="37">
        <v>5.04E-2</v>
      </c>
      <c r="U837" s="39">
        <v>44347</v>
      </c>
      <c r="V837" s="37">
        <v>0.25</v>
      </c>
    </row>
    <row r="838" spans="6:22" x14ac:dyDescent="0.2">
      <c r="F838" s="39">
        <v>44356</v>
      </c>
      <c r="G838" s="37">
        <v>0.1</v>
      </c>
      <c r="I838" s="39">
        <v>44376</v>
      </c>
      <c r="J838" s="37">
        <v>-0.56799999999999995</v>
      </c>
      <c r="O838" s="39">
        <v>44958</v>
      </c>
      <c r="P838" s="37">
        <v>4.3099999999999996</v>
      </c>
      <c r="R838" s="39">
        <v>44351</v>
      </c>
      <c r="S838" s="37">
        <v>0.05</v>
      </c>
      <c r="U838" s="39">
        <v>44344</v>
      </c>
      <c r="V838" s="37">
        <v>0.25</v>
      </c>
    </row>
    <row r="839" spans="6:22" x14ac:dyDescent="0.2">
      <c r="F839" s="39">
        <v>44355</v>
      </c>
      <c r="G839" s="37">
        <v>0.1</v>
      </c>
      <c r="I839" s="39">
        <v>44375</v>
      </c>
      <c r="J839" s="37">
        <v>-0.56599999999999995</v>
      </c>
      <c r="O839" s="39">
        <v>44959</v>
      </c>
      <c r="P839" s="37">
        <v>4.5599999999999996</v>
      </c>
      <c r="R839" s="39">
        <v>44350</v>
      </c>
      <c r="S839" s="37">
        <v>5.0200000000000002E-2</v>
      </c>
      <c r="U839" s="39">
        <v>44343</v>
      </c>
      <c r="V839" s="37">
        <v>0.25</v>
      </c>
    </row>
    <row r="840" spans="6:22" x14ac:dyDescent="0.2">
      <c r="F840" s="39">
        <v>44354</v>
      </c>
      <c r="G840" s="37">
        <v>0.1</v>
      </c>
      <c r="I840" s="39">
        <v>44372</v>
      </c>
      <c r="J840" s="37">
        <v>-0.56499999999999995</v>
      </c>
      <c r="O840" s="39">
        <v>44960</v>
      </c>
      <c r="P840" s="37">
        <v>4.55</v>
      </c>
      <c r="R840" s="39">
        <v>44349</v>
      </c>
      <c r="S840" s="37">
        <v>4.9799999999999997E-2</v>
      </c>
      <c r="U840" s="39">
        <v>44342</v>
      </c>
      <c r="V840" s="37">
        <v>0.25</v>
      </c>
    </row>
    <row r="841" spans="6:22" x14ac:dyDescent="0.2">
      <c r="F841" s="39">
        <v>44351</v>
      </c>
      <c r="G841" s="37">
        <v>0.1</v>
      </c>
      <c r="I841" s="39">
        <v>44371</v>
      </c>
      <c r="J841" s="37">
        <v>-0.56499999999999995</v>
      </c>
      <c r="O841" s="39">
        <v>44963</v>
      </c>
      <c r="P841" s="37">
        <v>4.55</v>
      </c>
      <c r="R841" s="39">
        <v>44348</v>
      </c>
      <c r="S841" s="37">
        <v>4.9799999999999997E-2</v>
      </c>
      <c r="U841" s="39">
        <v>44341</v>
      </c>
      <c r="V841" s="37">
        <v>0.25</v>
      </c>
    </row>
    <row r="842" spans="6:22" x14ac:dyDescent="0.2">
      <c r="F842" s="39">
        <v>44350</v>
      </c>
      <c r="G842" s="37">
        <v>0.1</v>
      </c>
      <c r="I842" s="39">
        <v>44370</v>
      </c>
      <c r="J842" s="37">
        <v>-0.56299999999999994</v>
      </c>
      <c r="O842" s="39">
        <v>44964</v>
      </c>
      <c r="P842" s="37">
        <v>4.55</v>
      </c>
      <c r="R842" s="39">
        <v>44344</v>
      </c>
      <c r="S842" s="37">
        <v>5.16E-2</v>
      </c>
      <c r="U842" s="39">
        <v>44340</v>
      </c>
      <c r="V842" s="37">
        <v>0.25</v>
      </c>
    </row>
    <row r="843" spans="6:22" x14ac:dyDescent="0.2">
      <c r="F843" s="39">
        <v>44349</v>
      </c>
      <c r="G843" s="37">
        <v>0.1</v>
      </c>
      <c r="I843" s="39">
        <v>44369</v>
      </c>
      <c r="J843" s="37">
        <v>-0.56399999999999995</v>
      </c>
      <c r="O843" s="39">
        <v>44965</v>
      </c>
      <c r="P843" s="37">
        <v>4.55</v>
      </c>
      <c r="R843" s="39">
        <v>44343</v>
      </c>
      <c r="S843" s="37">
        <v>5.0099999999999999E-2</v>
      </c>
      <c r="U843" s="39">
        <v>44337</v>
      </c>
      <c r="V843" s="37">
        <v>0.25</v>
      </c>
    </row>
    <row r="844" spans="6:22" x14ac:dyDescent="0.2">
      <c r="F844" s="39">
        <v>44348</v>
      </c>
      <c r="G844" s="37">
        <v>0.1</v>
      </c>
      <c r="I844" s="39">
        <v>44368</v>
      </c>
      <c r="J844" s="37">
        <v>-0.56399999999999995</v>
      </c>
      <c r="O844" s="39">
        <v>44966</v>
      </c>
      <c r="P844" s="37">
        <v>4.55</v>
      </c>
      <c r="R844" s="39">
        <v>44342</v>
      </c>
      <c r="S844" s="37">
        <v>0.05</v>
      </c>
      <c r="U844" s="39">
        <v>44336</v>
      </c>
      <c r="V844" s="37">
        <v>0.25</v>
      </c>
    </row>
    <row r="845" spans="6:22" x14ac:dyDescent="0.2">
      <c r="F845" s="39">
        <v>44347</v>
      </c>
      <c r="G845" s="37">
        <v>0.1</v>
      </c>
      <c r="I845" s="39">
        <v>44365</v>
      </c>
      <c r="J845" s="37">
        <v>-0.56299999999999994</v>
      </c>
      <c r="O845" s="39">
        <v>44967</v>
      </c>
      <c r="P845" s="37">
        <v>4.55</v>
      </c>
      <c r="R845" s="39">
        <v>44341</v>
      </c>
      <c r="S845" s="37">
        <v>4.9599999999999998E-2</v>
      </c>
      <c r="U845" s="39">
        <v>44335</v>
      </c>
      <c r="V845" s="37">
        <v>0.25</v>
      </c>
    </row>
    <row r="846" spans="6:22" x14ac:dyDescent="0.2">
      <c r="F846" s="39">
        <v>44344</v>
      </c>
      <c r="G846" s="37">
        <v>0.1</v>
      </c>
      <c r="I846" s="39">
        <v>44364</v>
      </c>
      <c r="J846" s="37">
        <v>-0.56299999999999994</v>
      </c>
      <c r="O846" s="39">
        <v>44970</v>
      </c>
      <c r="P846" s="37">
        <v>4.55</v>
      </c>
      <c r="R846" s="39">
        <v>44340</v>
      </c>
      <c r="S846" s="37">
        <v>4.9700000000000001E-2</v>
      </c>
      <c r="U846" s="39">
        <v>44334</v>
      </c>
      <c r="V846" s="37">
        <v>0.25</v>
      </c>
    </row>
    <row r="847" spans="6:22" x14ac:dyDescent="0.2">
      <c r="F847" s="39">
        <v>44343</v>
      </c>
      <c r="G847" s="37">
        <v>0.1</v>
      </c>
      <c r="I847" s="39">
        <v>44363</v>
      </c>
      <c r="J847" s="37">
        <v>-0.56200000000000006</v>
      </c>
      <c r="O847" s="39">
        <v>44971</v>
      </c>
      <c r="P847" s="37">
        <v>4.55</v>
      </c>
      <c r="R847" s="39">
        <v>44337</v>
      </c>
      <c r="S847" s="37">
        <v>4.9500000000000002E-2</v>
      </c>
      <c r="U847" s="39">
        <v>44333</v>
      </c>
      <c r="V847" s="37">
        <v>0.25</v>
      </c>
    </row>
    <row r="848" spans="6:22" x14ac:dyDescent="0.2">
      <c r="F848" s="39">
        <v>44342</v>
      </c>
      <c r="G848" s="37">
        <v>0.1</v>
      </c>
      <c r="I848" s="39">
        <v>44362</v>
      </c>
      <c r="J848" s="37">
        <v>-0.56100000000000005</v>
      </c>
      <c r="O848" s="39">
        <v>44972</v>
      </c>
      <c r="P848" s="37">
        <v>4.55</v>
      </c>
      <c r="R848" s="39">
        <v>44336</v>
      </c>
      <c r="S848" s="37">
        <v>4.9299999999999997E-2</v>
      </c>
      <c r="U848" s="39">
        <v>44330</v>
      </c>
      <c r="V848" s="37">
        <v>0.25</v>
      </c>
    </row>
    <row r="849" spans="6:22" x14ac:dyDescent="0.2">
      <c r="F849" s="39">
        <v>44341</v>
      </c>
      <c r="G849" s="37">
        <v>0.1</v>
      </c>
      <c r="I849" s="39">
        <v>44361</v>
      </c>
      <c r="J849" s="37">
        <v>-0.56499999999999995</v>
      </c>
      <c r="O849" s="39">
        <v>44973</v>
      </c>
      <c r="P849" s="37">
        <v>4.55</v>
      </c>
      <c r="R849" s="39">
        <v>44335</v>
      </c>
      <c r="S849" s="37">
        <v>4.9000000000000002E-2</v>
      </c>
      <c r="U849" s="39">
        <v>44329</v>
      </c>
      <c r="V849" s="37">
        <v>0.25</v>
      </c>
    </row>
    <row r="850" spans="6:22" x14ac:dyDescent="0.2">
      <c r="F850" s="39">
        <v>44340</v>
      </c>
      <c r="G850" s="37">
        <v>0.1</v>
      </c>
      <c r="I850" s="39">
        <v>44358</v>
      </c>
      <c r="J850" s="37">
        <v>-0.56599999999999995</v>
      </c>
      <c r="O850" s="39">
        <v>44974</v>
      </c>
      <c r="P850" s="37">
        <v>4.55</v>
      </c>
      <c r="R850" s="39">
        <v>44334</v>
      </c>
      <c r="S850" s="37">
        <v>4.9299999999999997E-2</v>
      </c>
      <c r="U850" s="39">
        <v>44328</v>
      </c>
      <c r="V850" s="37">
        <v>0.25</v>
      </c>
    </row>
    <row r="851" spans="6:22" x14ac:dyDescent="0.2">
      <c r="F851" s="39">
        <v>44337</v>
      </c>
      <c r="G851" s="37">
        <v>0.1</v>
      </c>
      <c r="I851" s="39">
        <v>44357</v>
      </c>
      <c r="J851" s="37">
        <v>-0.56100000000000005</v>
      </c>
      <c r="O851" s="39">
        <v>44978</v>
      </c>
      <c r="P851" s="37">
        <v>4.55</v>
      </c>
      <c r="R851" s="39">
        <v>44333</v>
      </c>
      <c r="S851" s="37">
        <v>4.8300000000000003E-2</v>
      </c>
      <c r="U851" s="39">
        <v>44327</v>
      </c>
      <c r="V851" s="37">
        <v>0.25</v>
      </c>
    </row>
    <row r="852" spans="6:22" x14ac:dyDescent="0.2">
      <c r="F852" s="39">
        <v>44336</v>
      </c>
      <c r="G852" s="37">
        <v>0.1</v>
      </c>
      <c r="I852" s="39">
        <v>44356</v>
      </c>
      <c r="J852" s="37">
        <v>-0.56399999999999995</v>
      </c>
      <c r="O852" s="39">
        <v>44979</v>
      </c>
      <c r="P852" s="37">
        <v>4.55</v>
      </c>
      <c r="R852" s="39">
        <v>44330</v>
      </c>
      <c r="S852" s="37">
        <v>4.9700000000000001E-2</v>
      </c>
      <c r="U852" s="39">
        <v>44326</v>
      </c>
      <c r="V852" s="37">
        <v>0.25</v>
      </c>
    </row>
    <row r="853" spans="6:22" x14ac:dyDescent="0.2">
      <c r="F853" s="39">
        <v>44335</v>
      </c>
      <c r="G853" s="37">
        <v>0.1</v>
      </c>
      <c r="I853" s="39">
        <v>44355</v>
      </c>
      <c r="J853" s="37">
        <v>-0.56299999999999994</v>
      </c>
      <c r="O853" s="39">
        <v>44980</v>
      </c>
      <c r="P853" s="37">
        <v>4.55</v>
      </c>
      <c r="R853" s="39">
        <v>44329</v>
      </c>
      <c r="S853" s="37">
        <v>4.9399999999999999E-2</v>
      </c>
      <c r="U853" s="39">
        <v>44323</v>
      </c>
      <c r="V853" s="37">
        <v>0.25</v>
      </c>
    </row>
    <row r="854" spans="6:22" x14ac:dyDescent="0.2">
      <c r="F854" s="39">
        <v>44334</v>
      </c>
      <c r="G854" s="37">
        <v>0.1</v>
      </c>
      <c r="I854" s="39">
        <v>44354</v>
      </c>
      <c r="J854" s="37">
        <v>-0.56399999999999995</v>
      </c>
      <c r="O854" s="39">
        <v>44981</v>
      </c>
      <c r="P854" s="37">
        <v>4.55</v>
      </c>
      <c r="R854" s="39">
        <v>44328</v>
      </c>
      <c r="S854" s="37">
        <v>4.9200000000000001E-2</v>
      </c>
      <c r="U854" s="39">
        <v>44322</v>
      </c>
      <c r="V854" s="37">
        <v>0.25</v>
      </c>
    </row>
    <row r="855" spans="6:22" x14ac:dyDescent="0.2">
      <c r="F855" s="39">
        <v>44333</v>
      </c>
      <c r="G855" s="37">
        <v>0.1</v>
      </c>
      <c r="I855" s="39">
        <v>44351</v>
      </c>
      <c r="J855" s="37">
        <v>-0.56299999999999994</v>
      </c>
      <c r="O855" s="39">
        <v>44984</v>
      </c>
      <c r="P855" s="37">
        <v>4.55</v>
      </c>
      <c r="R855" s="39">
        <v>44327</v>
      </c>
      <c r="S855" s="37">
        <v>4.8800000000000003E-2</v>
      </c>
      <c r="U855" s="39">
        <v>44321</v>
      </c>
      <c r="V855" s="37">
        <v>0.25</v>
      </c>
    </row>
    <row r="856" spans="6:22" x14ac:dyDescent="0.2">
      <c r="F856" s="39">
        <v>44330</v>
      </c>
      <c r="G856" s="37">
        <v>0.1</v>
      </c>
      <c r="I856" s="39">
        <v>44350</v>
      </c>
      <c r="J856" s="37">
        <v>-0.56299999999999994</v>
      </c>
      <c r="O856" s="39">
        <v>44985</v>
      </c>
      <c r="P856" s="37">
        <v>4.55</v>
      </c>
      <c r="R856" s="39">
        <v>44326</v>
      </c>
      <c r="S856" s="37">
        <v>4.9000000000000002E-2</v>
      </c>
      <c r="U856" s="39">
        <v>44320</v>
      </c>
      <c r="V856" s="37">
        <v>0.25</v>
      </c>
    </row>
    <row r="857" spans="6:22" x14ac:dyDescent="0.2">
      <c r="F857" s="39">
        <v>44329</v>
      </c>
      <c r="G857" s="37">
        <v>0.1</v>
      </c>
      <c r="I857" s="39">
        <v>44349</v>
      </c>
      <c r="J857" s="37">
        <v>-0.56299999999999994</v>
      </c>
      <c r="O857" s="39">
        <v>44986</v>
      </c>
      <c r="P857" s="37">
        <v>4.55</v>
      </c>
      <c r="R857" s="39">
        <v>44323</v>
      </c>
      <c r="S857" s="37">
        <v>4.9799999999999997E-2</v>
      </c>
      <c r="U857" s="39">
        <v>44319</v>
      </c>
      <c r="V857" s="37">
        <v>0.25</v>
      </c>
    </row>
    <row r="858" spans="6:22" x14ac:dyDescent="0.2">
      <c r="F858" s="39">
        <v>44328</v>
      </c>
      <c r="G858" s="37">
        <v>0.1</v>
      </c>
      <c r="I858" s="39">
        <v>44348</v>
      </c>
      <c r="J858" s="37">
        <v>-0.56399999999999995</v>
      </c>
      <c r="O858" s="39">
        <v>44987</v>
      </c>
      <c r="P858" s="37">
        <v>4.55</v>
      </c>
      <c r="R858" s="39">
        <v>44322</v>
      </c>
      <c r="S858" s="37">
        <v>4.9099999999999998E-2</v>
      </c>
      <c r="U858" s="39">
        <v>44316</v>
      </c>
      <c r="V858" s="37">
        <v>0.25</v>
      </c>
    </row>
    <row r="859" spans="6:22" x14ac:dyDescent="0.2">
      <c r="F859" s="39">
        <v>44327</v>
      </c>
      <c r="G859" s="37">
        <v>0.1</v>
      </c>
      <c r="I859" s="39">
        <v>44347</v>
      </c>
      <c r="J859" s="37">
        <v>-0.57099999999999995</v>
      </c>
      <c r="O859" s="39">
        <v>44988</v>
      </c>
      <c r="P859" s="37">
        <v>4.55</v>
      </c>
      <c r="R859" s="39">
        <v>44321</v>
      </c>
      <c r="S859" s="37">
        <v>4.87E-2</v>
      </c>
      <c r="U859" s="39">
        <v>44315</v>
      </c>
      <c r="V859" s="37">
        <v>0.25</v>
      </c>
    </row>
    <row r="860" spans="6:22" x14ac:dyDescent="0.2">
      <c r="F860" s="39">
        <v>44326</v>
      </c>
      <c r="G860" s="37">
        <v>0.1</v>
      </c>
      <c r="I860" s="39">
        <v>44344</v>
      </c>
      <c r="J860" s="37">
        <v>-0.56599999999999995</v>
      </c>
      <c r="O860" s="39">
        <v>44991</v>
      </c>
      <c r="P860" s="37">
        <v>4.55</v>
      </c>
      <c r="R860" s="39">
        <v>44320</v>
      </c>
      <c r="S860" s="37">
        <v>4.9599999999999998E-2</v>
      </c>
      <c r="U860" s="39">
        <v>44314</v>
      </c>
      <c r="V860" s="37">
        <v>0.25</v>
      </c>
    </row>
    <row r="861" spans="6:22" x14ac:dyDescent="0.2">
      <c r="F861" s="39">
        <v>44323</v>
      </c>
      <c r="G861" s="37">
        <v>0.1</v>
      </c>
      <c r="I861" s="39">
        <v>44343</v>
      </c>
      <c r="J861" s="37">
        <v>-0.56399999999999995</v>
      </c>
      <c r="O861" s="39">
        <v>44992</v>
      </c>
      <c r="P861" s="37">
        <v>4.55</v>
      </c>
      <c r="R861" s="39">
        <v>44316</v>
      </c>
      <c r="S861" s="37">
        <v>5.0900000000000001E-2</v>
      </c>
      <c r="U861" s="39">
        <v>44313</v>
      </c>
      <c r="V861" s="37">
        <v>0.25</v>
      </c>
    </row>
    <row r="862" spans="6:22" x14ac:dyDescent="0.2">
      <c r="F862" s="39">
        <v>44322</v>
      </c>
      <c r="G862" s="37">
        <v>0.1</v>
      </c>
      <c r="I862" s="39">
        <v>44342</v>
      </c>
      <c r="J862" s="37">
        <v>-0.56499999999999995</v>
      </c>
      <c r="O862" s="39">
        <v>44993</v>
      </c>
      <c r="P862" s="37">
        <v>4.55</v>
      </c>
      <c r="R862" s="39">
        <v>44315</v>
      </c>
      <c r="S862" s="37">
        <v>4.99E-2</v>
      </c>
      <c r="U862" s="39">
        <v>44309</v>
      </c>
      <c r="V862" s="37">
        <v>0.25</v>
      </c>
    </row>
    <row r="863" spans="6:22" x14ac:dyDescent="0.2">
      <c r="F863" s="39">
        <v>44321</v>
      </c>
      <c r="G863" s="37">
        <v>0.1</v>
      </c>
      <c r="I863" s="39">
        <v>44341</v>
      </c>
      <c r="J863" s="37">
        <v>-0.56499999999999995</v>
      </c>
      <c r="O863" s="39">
        <v>44994</v>
      </c>
      <c r="P863" s="37">
        <v>4.55</v>
      </c>
      <c r="R863" s="39">
        <v>44314</v>
      </c>
      <c r="S863" s="37">
        <v>4.9599999999999998E-2</v>
      </c>
      <c r="U863" s="39">
        <v>44308</v>
      </c>
      <c r="V863" s="37">
        <v>0.25</v>
      </c>
    </row>
    <row r="864" spans="6:22" x14ac:dyDescent="0.2">
      <c r="F864" s="39">
        <v>44320</v>
      </c>
      <c r="G864" s="37">
        <v>0.1</v>
      </c>
      <c r="I864" s="39">
        <v>44340</v>
      </c>
      <c r="J864" s="37">
        <v>-0.56599999999999995</v>
      </c>
      <c r="O864" s="39">
        <v>44995</v>
      </c>
      <c r="P864" s="37">
        <v>4.55</v>
      </c>
      <c r="R864" s="39">
        <v>44313</v>
      </c>
      <c r="S864" s="37">
        <v>4.9500000000000002E-2</v>
      </c>
      <c r="U864" s="39">
        <v>44307</v>
      </c>
      <c r="V864" s="37">
        <v>0.25</v>
      </c>
    </row>
    <row r="865" spans="6:22" x14ac:dyDescent="0.2">
      <c r="F865" s="39">
        <v>44319</v>
      </c>
      <c r="G865" s="37">
        <v>0.1</v>
      </c>
      <c r="I865" s="39">
        <v>44337</v>
      </c>
      <c r="J865" s="37">
        <v>-0.56399999999999995</v>
      </c>
      <c r="O865" s="39">
        <v>44998</v>
      </c>
      <c r="P865" s="37">
        <v>4.55</v>
      </c>
      <c r="R865" s="39">
        <v>44312</v>
      </c>
      <c r="S865" s="37">
        <v>4.8599999999999997E-2</v>
      </c>
      <c r="U865" s="39">
        <v>44306</v>
      </c>
      <c r="V865" s="37">
        <v>0.25</v>
      </c>
    </row>
    <row r="866" spans="6:22" x14ac:dyDescent="0.2">
      <c r="F866" s="39">
        <v>44316</v>
      </c>
      <c r="G866" s="37">
        <v>0.1</v>
      </c>
      <c r="I866" s="39">
        <v>44336</v>
      </c>
      <c r="J866" s="37">
        <v>-0.56299999999999994</v>
      </c>
      <c r="O866" s="39">
        <v>44999</v>
      </c>
      <c r="P866" s="37">
        <v>4.55</v>
      </c>
      <c r="R866" s="39">
        <v>44309</v>
      </c>
      <c r="S866" s="37">
        <v>4.9099999999999998E-2</v>
      </c>
      <c r="U866" s="39">
        <v>44305</v>
      </c>
      <c r="V866" s="37">
        <v>0.25</v>
      </c>
    </row>
    <row r="867" spans="6:22" x14ac:dyDescent="0.2">
      <c r="F867" s="39">
        <v>44315</v>
      </c>
      <c r="G867" s="37">
        <v>0.1</v>
      </c>
      <c r="I867" s="39">
        <v>44335</v>
      </c>
      <c r="J867" s="37">
        <v>-0.56399999999999995</v>
      </c>
      <c r="O867" s="39">
        <v>45000</v>
      </c>
      <c r="P867" s="37">
        <v>4.58</v>
      </c>
      <c r="R867" s="39">
        <v>44308</v>
      </c>
      <c r="S867" s="37">
        <v>4.87E-2</v>
      </c>
      <c r="U867" s="39">
        <v>44302</v>
      </c>
      <c r="V867" s="37">
        <v>0.25</v>
      </c>
    </row>
    <row r="868" spans="6:22" x14ac:dyDescent="0.2">
      <c r="F868" s="39">
        <v>44314</v>
      </c>
      <c r="G868" s="37">
        <v>0.1</v>
      </c>
      <c r="I868" s="39">
        <v>44334</v>
      </c>
      <c r="J868" s="37">
        <v>-0.55800000000000005</v>
      </c>
      <c r="O868" s="39">
        <v>45001</v>
      </c>
      <c r="P868" s="37">
        <v>4.57</v>
      </c>
      <c r="R868" s="39">
        <v>44307</v>
      </c>
      <c r="S868" s="37">
        <v>4.8099999999999997E-2</v>
      </c>
      <c r="U868" s="39">
        <v>44301</v>
      </c>
      <c r="V868" s="37">
        <v>0.25</v>
      </c>
    </row>
    <row r="869" spans="6:22" x14ac:dyDescent="0.2">
      <c r="F869" s="39">
        <v>44313</v>
      </c>
      <c r="G869" s="37">
        <v>0.1</v>
      </c>
      <c r="I869" s="39">
        <v>44333</v>
      </c>
      <c r="J869" s="37">
        <v>-0.56499999999999995</v>
      </c>
      <c r="O869" s="39">
        <v>45002</v>
      </c>
      <c r="P869" s="37">
        <v>4.55</v>
      </c>
      <c r="R869" s="39">
        <v>44306</v>
      </c>
      <c r="S869" s="37">
        <v>4.8000000000000001E-2</v>
      </c>
      <c r="U869" s="39">
        <v>44300</v>
      </c>
      <c r="V869" s="37">
        <v>0.25</v>
      </c>
    </row>
    <row r="870" spans="6:22" x14ac:dyDescent="0.2">
      <c r="F870" s="39">
        <v>44312</v>
      </c>
      <c r="G870" s="37">
        <v>0.1</v>
      </c>
      <c r="I870" s="39">
        <v>44330</v>
      </c>
      <c r="J870" s="37">
        <v>-0.56399999999999995</v>
      </c>
      <c r="O870" s="39">
        <v>45005</v>
      </c>
      <c r="P870" s="37">
        <v>4.55</v>
      </c>
      <c r="R870" s="39">
        <v>44305</v>
      </c>
      <c r="S870" s="37">
        <v>4.82E-2</v>
      </c>
      <c r="U870" s="39">
        <v>44299</v>
      </c>
      <c r="V870" s="37">
        <v>0.25</v>
      </c>
    </row>
    <row r="871" spans="6:22" x14ac:dyDescent="0.2">
      <c r="F871" s="39">
        <v>44309</v>
      </c>
      <c r="G871" s="37">
        <v>0.1</v>
      </c>
      <c r="I871" s="39">
        <v>44329</v>
      </c>
      <c r="J871" s="37">
        <v>-0.56399999999999995</v>
      </c>
      <c r="O871" s="39">
        <v>45006</v>
      </c>
      <c r="P871" s="37">
        <v>4.55</v>
      </c>
      <c r="R871" s="39">
        <v>44302</v>
      </c>
      <c r="S871" s="37">
        <v>4.8000000000000001E-2</v>
      </c>
      <c r="U871" s="39">
        <v>44298</v>
      </c>
      <c r="V871" s="37">
        <v>0.25</v>
      </c>
    </row>
    <row r="872" spans="6:22" x14ac:dyDescent="0.2">
      <c r="F872" s="39">
        <v>44308</v>
      </c>
      <c r="G872" s="37">
        <v>0.1</v>
      </c>
      <c r="I872" s="39">
        <v>44328</v>
      </c>
      <c r="J872" s="37">
        <v>-0.56399999999999995</v>
      </c>
      <c r="O872" s="39">
        <v>45007</v>
      </c>
      <c r="P872" s="37">
        <v>4.55</v>
      </c>
      <c r="R872" s="39">
        <v>44301</v>
      </c>
      <c r="S872" s="37">
        <v>4.7699999999999999E-2</v>
      </c>
      <c r="U872" s="39">
        <v>44295</v>
      </c>
      <c r="V872" s="37">
        <v>0.25</v>
      </c>
    </row>
    <row r="873" spans="6:22" x14ac:dyDescent="0.2">
      <c r="F873" s="39">
        <v>44307</v>
      </c>
      <c r="G873" s="37">
        <v>0.1</v>
      </c>
      <c r="I873" s="39">
        <v>44327</v>
      </c>
      <c r="J873" s="37">
        <v>-0.56399999999999995</v>
      </c>
      <c r="O873" s="39">
        <v>45008</v>
      </c>
      <c r="P873" s="37">
        <v>4.8</v>
      </c>
      <c r="R873" s="39">
        <v>44300</v>
      </c>
      <c r="S873" s="37">
        <v>4.82E-2</v>
      </c>
      <c r="U873" s="39">
        <v>44294</v>
      </c>
      <c r="V873" s="37">
        <v>0.25</v>
      </c>
    </row>
    <row r="874" spans="6:22" x14ac:dyDescent="0.2">
      <c r="F874" s="39">
        <v>44306</v>
      </c>
      <c r="G874" s="37">
        <v>0.1</v>
      </c>
      <c r="I874" s="39">
        <v>44326</v>
      </c>
      <c r="J874" s="37">
        <v>-0.56699999999999995</v>
      </c>
      <c r="O874" s="39">
        <v>45009</v>
      </c>
      <c r="P874" s="37">
        <v>4.8</v>
      </c>
      <c r="R874" s="39">
        <v>44299</v>
      </c>
      <c r="S874" s="37">
        <v>4.8099999999999997E-2</v>
      </c>
      <c r="U874" s="39">
        <v>44293</v>
      </c>
      <c r="V874" s="37">
        <v>0.25</v>
      </c>
    </row>
    <row r="875" spans="6:22" x14ac:dyDescent="0.2">
      <c r="F875" s="39">
        <v>44305</v>
      </c>
      <c r="G875" s="37">
        <v>0.1</v>
      </c>
      <c r="I875" s="39">
        <v>44323</v>
      </c>
      <c r="J875" s="37">
        <v>-0.56299999999999994</v>
      </c>
      <c r="O875" s="39">
        <v>45012</v>
      </c>
      <c r="P875" s="37">
        <v>4.8099999999999996</v>
      </c>
      <c r="R875" s="39">
        <v>44298</v>
      </c>
      <c r="S875" s="37">
        <v>4.82E-2</v>
      </c>
      <c r="U875" s="39">
        <v>44292</v>
      </c>
      <c r="V875" s="37">
        <v>0.25</v>
      </c>
    </row>
    <row r="876" spans="6:22" x14ac:dyDescent="0.2">
      <c r="F876" s="39">
        <v>44302</v>
      </c>
      <c r="G876" s="37">
        <v>0.1</v>
      </c>
      <c r="I876" s="39">
        <v>44322</v>
      </c>
      <c r="J876" s="37">
        <v>-0.56499999999999995</v>
      </c>
      <c r="O876" s="39">
        <v>45013</v>
      </c>
      <c r="P876" s="37">
        <v>4.84</v>
      </c>
      <c r="R876" s="39">
        <v>44295</v>
      </c>
      <c r="S876" s="37">
        <v>4.8399999999999999E-2</v>
      </c>
      <c r="U876" s="39">
        <v>44287</v>
      </c>
      <c r="V876" s="37">
        <v>0.25</v>
      </c>
    </row>
    <row r="877" spans="6:22" x14ac:dyDescent="0.2">
      <c r="F877" s="39">
        <v>44301</v>
      </c>
      <c r="G877" s="37">
        <v>0.1</v>
      </c>
      <c r="I877" s="39">
        <v>44321</v>
      </c>
      <c r="J877" s="37">
        <v>-0.56599999999999995</v>
      </c>
      <c r="O877" s="39">
        <v>45014</v>
      </c>
      <c r="P877" s="37">
        <v>4.83</v>
      </c>
      <c r="R877" s="39">
        <v>44294</v>
      </c>
      <c r="S877" s="37">
        <v>4.8300000000000003E-2</v>
      </c>
      <c r="U877" s="39">
        <v>44286</v>
      </c>
      <c r="V877" s="37">
        <v>0.25</v>
      </c>
    </row>
    <row r="878" spans="6:22" x14ac:dyDescent="0.2">
      <c r="F878" s="39">
        <v>44300</v>
      </c>
      <c r="G878" s="37">
        <v>0.1</v>
      </c>
      <c r="I878" s="39">
        <v>44320</v>
      </c>
      <c r="J878" s="37">
        <v>-0.56399999999999995</v>
      </c>
      <c r="O878" s="39">
        <v>45015</v>
      </c>
      <c r="P878" s="37">
        <v>4.82</v>
      </c>
      <c r="R878" s="39">
        <v>44293</v>
      </c>
      <c r="S878" s="37">
        <v>4.8300000000000003E-2</v>
      </c>
      <c r="U878" s="39">
        <v>44285</v>
      </c>
      <c r="V878" s="37">
        <v>0.25</v>
      </c>
    </row>
    <row r="879" spans="6:22" x14ac:dyDescent="0.2">
      <c r="F879" s="39">
        <v>44299</v>
      </c>
      <c r="G879" s="37">
        <v>0.1</v>
      </c>
      <c r="I879" s="39">
        <v>44319</v>
      </c>
      <c r="J879" s="37">
        <v>-0.56699999999999995</v>
      </c>
      <c r="O879" s="39">
        <v>45016</v>
      </c>
      <c r="P879" s="37">
        <v>4.87</v>
      </c>
      <c r="R879" s="39">
        <v>44292</v>
      </c>
      <c r="S879" s="37">
        <v>4.82E-2</v>
      </c>
      <c r="U879" s="39">
        <v>44284</v>
      </c>
      <c r="V879" s="37">
        <v>0.25</v>
      </c>
    </row>
    <row r="880" spans="6:22" x14ac:dyDescent="0.2">
      <c r="F880" s="39">
        <v>44298</v>
      </c>
      <c r="G880" s="37">
        <v>0.1</v>
      </c>
      <c r="I880" s="39">
        <v>44316</v>
      </c>
      <c r="J880" s="37">
        <v>-0.56899999999999995</v>
      </c>
      <c r="O880" s="39">
        <v>45019</v>
      </c>
      <c r="P880" s="37">
        <v>4.84</v>
      </c>
      <c r="R880" s="39">
        <v>44287</v>
      </c>
      <c r="S880" s="37">
        <v>4.7500000000000001E-2</v>
      </c>
      <c r="U880" s="39">
        <v>44281</v>
      </c>
      <c r="V880" s="37">
        <v>0.25</v>
      </c>
    </row>
    <row r="881" spans="6:22" x14ac:dyDescent="0.2">
      <c r="F881" s="39">
        <v>44295</v>
      </c>
      <c r="G881" s="37">
        <v>0.1</v>
      </c>
      <c r="I881" s="39">
        <v>44315</v>
      </c>
      <c r="J881" s="37">
        <v>-0.56599999999999995</v>
      </c>
      <c r="O881" s="39">
        <v>45020</v>
      </c>
      <c r="P881" s="37">
        <v>4.83</v>
      </c>
      <c r="R881" s="39">
        <v>44286</v>
      </c>
      <c r="S881" s="37">
        <v>4.6600000000000003E-2</v>
      </c>
      <c r="U881" s="39">
        <v>44280</v>
      </c>
      <c r="V881" s="37">
        <v>0.25</v>
      </c>
    </row>
    <row r="882" spans="6:22" x14ac:dyDescent="0.2">
      <c r="F882" s="39">
        <v>44294</v>
      </c>
      <c r="G882" s="37">
        <v>0.1</v>
      </c>
      <c r="I882" s="39">
        <v>44314</v>
      </c>
      <c r="J882" s="37">
        <v>-0.56599999999999995</v>
      </c>
      <c r="O882" s="39">
        <v>45021</v>
      </c>
      <c r="P882" s="37">
        <v>4.8099999999999996</v>
      </c>
      <c r="R882" s="39">
        <v>44285</v>
      </c>
      <c r="S882" s="37">
        <v>4.7500000000000001E-2</v>
      </c>
      <c r="U882" s="39">
        <v>44279</v>
      </c>
      <c r="V882" s="37">
        <v>0.25</v>
      </c>
    </row>
    <row r="883" spans="6:22" x14ac:dyDescent="0.2">
      <c r="F883" s="39">
        <v>44293</v>
      </c>
      <c r="G883" s="37">
        <v>0.1</v>
      </c>
      <c r="I883" s="39">
        <v>44313</v>
      </c>
      <c r="J883" s="37">
        <v>-0.56000000000000005</v>
      </c>
      <c r="O883" s="39">
        <v>45022</v>
      </c>
      <c r="P883" s="37">
        <v>4.8099999999999996</v>
      </c>
      <c r="R883" s="39">
        <v>44284</v>
      </c>
      <c r="S883" s="37">
        <v>4.8000000000000001E-2</v>
      </c>
      <c r="U883" s="39">
        <v>44278</v>
      </c>
      <c r="V883" s="37">
        <v>0.25</v>
      </c>
    </row>
    <row r="884" spans="6:22" x14ac:dyDescent="0.2">
      <c r="F884" s="39">
        <v>44292</v>
      </c>
      <c r="G884" s="37">
        <v>0.1</v>
      </c>
      <c r="I884" s="39">
        <v>44312</v>
      </c>
      <c r="J884" s="37">
        <v>-0.56699999999999995</v>
      </c>
      <c r="O884" s="39">
        <v>45026</v>
      </c>
      <c r="P884" s="37">
        <v>4.8099999999999996</v>
      </c>
      <c r="R884" s="39">
        <v>44281</v>
      </c>
      <c r="S884" s="37">
        <v>4.8099999999999997E-2</v>
      </c>
      <c r="U884" s="39">
        <v>44277</v>
      </c>
      <c r="V884" s="37">
        <v>0.25</v>
      </c>
    </row>
    <row r="885" spans="6:22" x14ac:dyDescent="0.2">
      <c r="F885" s="39">
        <v>44287</v>
      </c>
      <c r="G885" s="37">
        <v>0.1</v>
      </c>
      <c r="I885" s="39">
        <v>44309</v>
      </c>
      <c r="J885" s="37">
        <v>-0.56499999999999995</v>
      </c>
      <c r="O885" s="39">
        <v>45027</v>
      </c>
      <c r="P885" s="37">
        <v>4.8</v>
      </c>
      <c r="R885" s="39">
        <v>44280</v>
      </c>
      <c r="S885" s="37">
        <v>4.8099999999999997E-2</v>
      </c>
      <c r="U885" s="39">
        <v>44274</v>
      </c>
      <c r="V885" s="37">
        <v>0.25</v>
      </c>
    </row>
    <row r="886" spans="6:22" x14ac:dyDescent="0.2">
      <c r="F886" s="39">
        <v>44286</v>
      </c>
      <c r="G886" s="37">
        <v>0.1</v>
      </c>
      <c r="I886" s="39">
        <v>44308</v>
      </c>
      <c r="J886" s="37">
        <v>-0.56499999999999995</v>
      </c>
      <c r="O886" s="39">
        <v>45028</v>
      </c>
      <c r="P886" s="37">
        <v>4.8</v>
      </c>
      <c r="R886" s="39">
        <v>44279</v>
      </c>
      <c r="S886" s="37">
        <v>4.8099999999999997E-2</v>
      </c>
      <c r="U886" s="39">
        <v>44273</v>
      </c>
      <c r="V886" s="37">
        <v>0.25</v>
      </c>
    </row>
    <row r="887" spans="6:22" x14ac:dyDescent="0.2">
      <c r="F887" s="39">
        <v>44285</v>
      </c>
      <c r="G887" s="37">
        <v>0.1</v>
      </c>
      <c r="I887" s="39">
        <v>44307</v>
      </c>
      <c r="J887" s="37">
        <v>-0.56499999999999995</v>
      </c>
      <c r="O887" s="39">
        <v>45029</v>
      </c>
      <c r="P887" s="37">
        <v>4.8</v>
      </c>
      <c r="R887" s="39">
        <v>44278</v>
      </c>
      <c r="S887" s="37">
        <v>4.8099999999999997E-2</v>
      </c>
      <c r="U887" s="39">
        <v>44272</v>
      </c>
      <c r="V887" s="37">
        <v>0.25</v>
      </c>
    </row>
    <row r="888" spans="6:22" x14ac:dyDescent="0.2">
      <c r="F888" s="39">
        <v>44284</v>
      </c>
      <c r="G888" s="37">
        <v>0.1</v>
      </c>
      <c r="I888" s="39">
        <v>44306</v>
      </c>
      <c r="J888" s="37">
        <v>-0.56699999999999995</v>
      </c>
      <c r="O888" s="39">
        <v>45030</v>
      </c>
      <c r="P888" s="37">
        <v>4.8</v>
      </c>
      <c r="R888" s="39">
        <v>44277</v>
      </c>
      <c r="S888" s="37">
        <v>4.8899999999999999E-2</v>
      </c>
      <c r="U888" s="39">
        <v>44271</v>
      </c>
      <c r="V888" s="37">
        <v>0.25</v>
      </c>
    </row>
    <row r="889" spans="6:22" x14ac:dyDescent="0.2">
      <c r="F889" s="39">
        <v>44281</v>
      </c>
      <c r="G889" s="37">
        <v>0.1</v>
      </c>
      <c r="I889" s="39">
        <v>44305</v>
      </c>
      <c r="J889" s="37">
        <v>-0.56699999999999995</v>
      </c>
      <c r="O889" s="39">
        <v>45033</v>
      </c>
      <c r="P889" s="37">
        <v>4.8</v>
      </c>
      <c r="R889" s="39">
        <v>44274</v>
      </c>
      <c r="S889" s="37">
        <v>4.8500000000000001E-2</v>
      </c>
      <c r="U889" s="39">
        <v>44270</v>
      </c>
      <c r="V889" s="37">
        <v>0.25</v>
      </c>
    </row>
    <row r="890" spans="6:22" x14ac:dyDescent="0.2">
      <c r="F890" s="39">
        <v>44280</v>
      </c>
      <c r="G890" s="37">
        <v>0.1</v>
      </c>
      <c r="I890" s="39">
        <v>44302</v>
      </c>
      <c r="J890" s="37">
        <v>-0.56499999999999995</v>
      </c>
      <c r="O890" s="39">
        <v>45034</v>
      </c>
      <c r="P890" s="37">
        <v>4.8</v>
      </c>
      <c r="R890" s="39">
        <v>44273</v>
      </c>
      <c r="S890" s="37">
        <v>4.9299999999999997E-2</v>
      </c>
      <c r="U890" s="39">
        <v>44267</v>
      </c>
      <c r="V890" s="37">
        <v>0.25</v>
      </c>
    </row>
    <row r="891" spans="6:22" x14ac:dyDescent="0.2">
      <c r="F891" s="39">
        <v>44279</v>
      </c>
      <c r="G891" s="37">
        <v>0.1</v>
      </c>
      <c r="I891" s="39">
        <v>44301</v>
      </c>
      <c r="J891" s="37">
        <v>-0.56599999999999995</v>
      </c>
      <c r="O891" s="39">
        <v>45035</v>
      </c>
      <c r="P891" s="37">
        <v>4.8</v>
      </c>
      <c r="R891" s="39">
        <v>44272</v>
      </c>
      <c r="S891" s="37">
        <v>4.9399999999999999E-2</v>
      </c>
      <c r="U891" s="39">
        <v>44266</v>
      </c>
      <c r="V891" s="37">
        <v>0.25</v>
      </c>
    </row>
    <row r="892" spans="6:22" x14ac:dyDescent="0.2">
      <c r="F892" s="39">
        <v>44278</v>
      </c>
      <c r="G892" s="37">
        <v>0.1</v>
      </c>
      <c r="I892" s="39">
        <v>44300</v>
      </c>
      <c r="J892" s="37">
        <v>-0.56000000000000005</v>
      </c>
      <c r="O892" s="39">
        <v>45036</v>
      </c>
      <c r="P892" s="37">
        <v>4.8</v>
      </c>
      <c r="R892" s="39">
        <v>44271</v>
      </c>
      <c r="S892" s="37">
        <v>4.9299999999999997E-2</v>
      </c>
      <c r="U892" s="39">
        <v>44265</v>
      </c>
      <c r="V892" s="37">
        <v>0.25</v>
      </c>
    </row>
    <row r="893" spans="6:22" x14ac:dyDescent="0.2">
      <c r="F893" s="39">
        <v>44277</v>
      </c>
      <c r="G893" s="37">
        <v>0.1</v>
      </c>
      <c r="I893" s="39">
        <v>44299</v>
      </c>
      <c r="J893" s="37">
        <v>-0.56299999999999994</v>
      </c>
      <c r="O893" s="39">
        <v>45037</v>
      </c>
      <c r="P893" s="37">
        <v>4.8</v>
      </c>
      <c r="R893" s="39">
        <v>44270</v>
      </c>
      <c r="S893" s="37">
        <v>4.9700000000000001E-2</v>
      </c>
      <c r="U893" s="39">
        <v>44264</v>
      </c>
      <c r="V893" s="37">
        <v>0.25</v>
      </c>
    </row>
    <row r="894" spans="6:22" x14ac:dyDescent="0.2">
      <c r="F894" s="39">
        <v>44274</v>
      </c>
      <c r="G894" s="37">
        <v>0.1</v>
      </c>
      <c r="I894" s="39">
        <v>44298</v>
      </c>
      <c r="J894" s="37">
        <v>-0.56699999999999995</v>
      </c>
      <c r="O894" s="39">
        <v>45040</v>
      </c>
      <c r="P894" s="37">
        <v>4.8</v>
      </c>
      <c r="R894" s="39">
        <v>44267</v>
      </c>
      <c r="S894" s="37">
        <v>4.9000000000000002E-2</v>
      </c>
      <c r="U894" s="39">
        <v>44263</v>
      </c>
      <c r="V894" s="37">
        <v>0.25</v>
      </c>
    </row>
    <row r="895" spans="6:22" x14ac:dyDescent="0.2">
      <c r="F895" s="39">
        <v>44273</v>
      </c>
      <c r="G895" s="37">
        <v>0.1</v>
      </c>
      <c r="I895" s="39">
        <v>44295</v>
      </c>
      <c r="J895" s="37">
        <v>-0.56799999999999995</v>
      </c>
      <c r="O895" s="39">
        <v>45041</v>
      </c>
      <c r="P895" s="37">
        <v>4.8</v>
      </c>
      <c r="R895" s="39">
        <v>44266</v>
      </c>
      <c r="S895" s="37">
        <v>4.8500000000000001E-2</v>
      </c>
      <c r="U895" s="39">
        <v>44260</v>
      </c>
      <c r="V895" s="37">
        <v>0.25</v>
      </c>
    </row>
    <row r="896" spans="6:22" x14ac:dyDescent="0.2">
      <c r="F896" s="39">
        <v>44272</v>
      </c>
      <c r="G896" s="37">
        <v>0.1</v>
      </c>
      <c r="I896" s="39">
        <v>44294</v>
      </c>
      <c r="J896" s="37">
        <v>-0.56999999999999995</v>
      </c>
      <c r="O896" s="39">
        <v>45042</v>
      </c>
      <c r="P896" s="37">
        <v>4.8</v>
      </c>
      <c r="R896" s="39">
        <v>44265</v>
      </c>
      <c r="S896" s="37">
        <v>4.8500000000000001E-2</v>
      </c>
      <c r="U896" s="39">
        <v>44259</v>
      </c>
      <c r="V896" s="37">
        <v>0.25</v>
      </c>
    </row>
    <row r="897" spans="6:22" x14ac:dyDescent="0.2">
      <c r="F897" s="39">
        <v>44271</v>
      </c>
      <c r="G897" s="37">
        <v>0.1</v>
      </c>
      <c r="I897" s="39">
        <v>44293</v>
      </c>
      <c r="J897" s="37">
        <v>-0.56699999999999995</v>
      </c>
      <c r="O897" s="39">
        <v>45043</v>
      </c>
      <c r="P897" s="37">
        <v>4.8099999999999996</v>
      </c>
      <c r="R897" s="39">
        <v>44264</v>
      </c>
      <c r="S897" s="37">
        <v>4.9000000000000002E-2</v>
      </c>
      <c r="U897" s="39">
        <v>44258</v>
      </c>
      <c r="V897" s="37">
        <v>0.25</v>
      </c>
    </row>
    <row r="898" spans="6:22" x14ac:dyDescent="0.2">
      <c r="F898" s="39">
        <v>44270</v>
      </c>
      <c r="G898" s="37">
        <v>0.1</v>
      </c>
      <c r="I898" s="39">
        <v>44292</v>
      </c>
      <c r="J898" s="37">
        <v>-0.56699999999999995</v>
      </c>
      <c r="O898" s="39">
        <v>45044</v>
      </c>
      <c r="P898" s="37">
        <v>4.8099999999999996</v>
      </c>
      <c r="R898" s="39">
        <v>44263</v>
      </c>
      <c r="S898" s="37">
        <v>4.9099999999999998E-2</v>
      </c>
      <c r="U898" s="39">
        <v>44257</v>
      </c>
      <c r="V898" s="37">
        <v>0.25</v>
      </c>
    </row>
    <row r="899" spans="6:22" x14ac:dyDescent="0.2">
      <c r="F899" s="39">
        <v>44267</v>
      </c>
      <c r="G899" s="37">
        <v>0.1</v>
      </c>
      <c r="I899" s="39">
        <v>44287</v>
      </c>
      <c r="J899" s="37">
        <v>-0.56599999999999995</v>
      </c>
      <c r="O899" s="39">
        <v>45047</v>
      </c>
      <c r="P899" s="37">
        <v>4.8099999999999996</v>
      </c>
      <c r="R899" s="39">
        <v>44260</v>
      </c>
      <c r="S899" s="37">
        <v>4.8800000000000003E-2</v>
      </c>
      <c r="U899" s="39">
        <v>44256</v>
      </c>
      <c r="V899" s="37">
        <v>0.25</v>
      </c>
    </row>
    <row r="900" spans="6:22" x14ac:dyDescent="0.2">
      <c r="F900" s="39">
        <v>44266</v>
      </c>
      <c r="G900" s="37">
        <v>0.1</v>
      </c>
      <c r="I900" s="39">
        <v>44286</v>
      </c>
      <c r="J900" s="37">
        <v>-0.57399999999999995</v>
      </c>
      <c r="O900" s="39">
        <v>45048</v>
      </c>
      <c r="P900" s="37">
        <v>4.8099999999999996</v>
      </c>
      <c r="R900" s="39">
        <v>44259</v>
      </c>
      <c r="S900" s="37">
        <v>4.9399999999999999E-2</v>
      </c>
      <c r="U900" s="39">
        <v>44253</v>
      </c>
      <c r="V900" s="37">
        <v>0.25</v>
      </c>
    </row>
    <row r="901" spans="6:22" x14ac:dyDescent="0.2">
      <c r="F901" s="39">
        <v>44265</v>
      </c>
      <c r="G901" s="37">
        <v>0.1</v>
      </c>
      <c r="I901" s="39">
        <v>44285</v>
      </c>
      <c r="J901" s="37">
        <v>-0.56999999999999995</v>
      </c>
      <c r="O901" s="39">
        <v>45049</v>
      </c>
      <c r="P901" s="37">
        <v>4.8099999999999996</v>
      </c>
      <c r="R901" s="39">
        <v>44258</v>
      </c>
      <c r="S901" s="37">
        <v>4.9000000000000002E-2</v>
      </c>
      <c r="U901" s="39">
        <v>44252</v>
      </c>
      <c r="V901" s="37">
        <v>0.25</v>
      </c>
    </row>
    <row r="902" spans="6:22" x14ac:dyDescent="0.2">
      <c r="F902" s="39">
        <v>44264</v>
      </c>
      <c r="G902" s="37">
        <v>0.1</v>
      </c>
      <c r="I902" s="39">
        <v>44284</v>
      </c>
      <c r="J902" s="37">
        <v>-0.56999999999999995</v>
      </c>
      <c r="O902" s="39">
        <v>45050</v>
      </c>
      <c r="P902" s="37">
        <v>5.0599999999999996</v>
      </c>
      <c r="R902" s="39">
        <v>44257</v>
      </c>
      <c r="S902" s="37">
        <v>4.9099999999999998E-2</v>
      </c>
      <c r="U902" s="39">
        <v>44251</v>
      </c>
      <c r="V902" s="37">
        <v>0.25</v>
      </c>
    </row>
    <row r="903" spans="6:22" x14ac:dyDescent="0.2">
      <c r="F903" s="39">
        <v>44263</v>
      </c>
      <c r="G903" s="37">
        <v>0.1</v>
      </c>
      <c r="I903" s="39">
        <v>44281</v>
      </c>
      <c r="J903" s="37">
        <v>-0.56799999999999995</v>
      </c>
      <c r="O903" s="39">
        <v>45051</v>
      </c>
      <c r="P903" s="37">
        <v>5.0599999999999996</v>
      </c>
      <c r="R903" s="39">
        <v>44256</v>
      </c>
      <c r="S903" s="37">
        <v>4.8800000000000003E-2</v>
      </c>
      <c r="U903" s="39">
        <v>44250</v>
      </c>
      <c r="V903" s="37">
        <v>0.25</v>
      </c>
    </row>
    <row r="904" spans="6:22" x14ac:dyDescent="0.2">
      <c r="F904" s="39">
        <v>44260</v>
      </c>
      <c r="G904" s="37">
        <v>0.1</v>
      </c>
      <c r="I904" s="39">
        <v>44280</v>
      </c>
      <c r="J904" s="37">
        <v>-0.56399999999999995</v>
      </c>
      <c r="O904" s="39">
        <v>45054</v>
      </c>
      <c r="P904" s="37">
        <v>5.0599999999999996</v>
      </c>
      <c r="R904" s="39">
        <v>44253</v>
      </c>
      <c r="S904" s="37">
        <v>5.1200000000000002E-2</v>
      </c>
      <c r="U904" s="39">
        <v>44249</v>
      </c>
      <c r="V904" s="37">
        <v>0.25</v>
      </c>
    </row>
    <row r="905" spans="6:22" x14ac:dyDescent="0.2">
      <c r="F905" s="39">
        <v>44259</v>
      </c>
      <c r="G905" s="37">
        <v>0.1</v>
      </c>
      <c r="I905" s="39">
        <v>44279</v>
      </c>
      <c r="J905" s="37">
        <v>-0.56399999999999995</v>
      </c>
      <c r="O905" s="39">
        <v>45055</v>
      </c>
      <c r="P905" s="37">
        <v>5.0599999999999996</v>
      </c>
      <c r="R905" s="39">
        <v>44252</v>
      </c>
      <c r="S905" s="37">
        <v>4.9099999999999998E-2</v>
      </c>
      <c r="U905" s="39">
        <v>44246</v>
      </c>
      <c r="V905" s="37">
        <v>0.25</v>
      </c>
    </row>
    <row r="906" spans="6:22" x14ac:dyDescent="0.2">
      <c r="F906" s="39">
        <v>44258</v>
      </c>
      <c r="G906" s="37">
        <v>0.1</v>
      </c>
      <c r="I906" s="39">
        <v>44278</v>
      </c>
      <c r="J906" s="37">
        <v>-0.56299999999999994</v>
      </c>
      <c r="O906" s="39">
        <v>45056</v>
      </c>
      <c r="P906" s="37">
        <v>5.0599999999999996</v>
      </c>
      <c r="R906" s="39">
        <v>44251</v>
      </c>
      <c r="S906" s="37">
        <v>4.9000000000000002E-2</v>
      </c>
      <c r="U906" s="39">
        <v>44245</v>
      </c>
      <c r="V906" s="37">
        <v>0.25</v>
      </c>
    </row>
    <row r="907" spans="6:22" x14ac:dyDescent="0.2">
      <c r="F907" s="39">
        <v>44257</v>
      </c>
      <c r="G907" s="37">
        <v>0.1</v>
      </c>
      <c r="I907" s="39">
        <v>44277</v>
      </c>
      <c r="J907" s="37">
        <v>-0.56599999999999995</v>
      </c>
      <c r="O907" s="39">
        <v>45057</v>
      </c>
      <c r="P907" s="37">
        <v>5.05</v>
      </c>
      <c r="R907" s="39">
        <v>44250</v>
      </c>
      <c r="S907" s="37">
        <v>4.8599999999999997E-2</v>
      </c>
      <c r="U907" s="39">
        <v>44244</v>
      </c>
      <c r="V907" s="37">
        <v>0.25</v>
      </c>
    </row>
    <row r="908" spans="6:22" x14ac:dyDescent="0.2">
      <c r="F908" s="39">
        <v>44256</v>
      </c>
      <c r="G908" s="37">
        <v>0.1</v>
      </c>
      <c r="I908" s="39">
        <v>44274</v>
      </c>
      <c r="J908" s="37">
        <v>-0.56499999999999995</v>
      </c>
      <c r="O908" s="39">
        <v>45058</v>
      </c>
      <c r="P908" s="37">
        <v>5.05</v>
      </c>
      <c r="R908" s="39">
        <v>44249</v>
      </c>
      <c r="S908" s="37">
        <v>4.9000000000000002E-2</v>
      </c>
      <c r="U908" s="39">
        <v>44243</v>
      </c>
      <c r="V908" s="37">
        <v>0.25</v>
      </c>
    </row>
    <row r="909" spans="6:22" x14ac:dyDescent="0.2">
      <c r="F909" s="39">
        <v>44253</v>
      </c>
      <c r="G909" s="37">
        <v>0.1</v>
      </c>
      <c r="I909" s="39">
        <v>44273</v>
      </c>
      <c r="J909" s="37">
        <v>-0.56599999999999995</v>
      </c>
      <c r="O909" s="39">
        <v>45061</v>
      </c>
      <c r="P909" s="37">
        <v>5.0599999999999996</v>
      </c>
      <c r="R909" s="39">
        <v>44246</v>
      </c>
      <c r="S909" s="37">
        <v>4.8899999999999999E-2</v>
      </c>
      <c r="U909" s="39">
        <v>44242</v>
      </c>
      <c r="V909" s="37">
        <v>0.25</v>
      </c>
    </row>
    <row r="910" spans="6:22" x14ac:dyDescent="0.2">
      <c r="F910" s="39">
        <v>44252</v>
      </c>
      <c r="G910" s="37">
        <v>0.1</v>
      </c>
      <c r="I910" s="39">
        <v>44272</v>
      </c>
      <c r="J910" s="37">
        <v>-0.56100000000000005</v>
      </c>
      <c r="O910" s="39">
        <v>45062</v>
      </c>
      <c r="P910" s="37">
        <v>5.05</v>
      </c>
      <c r="R910" s="39">
        <v>44245</v>
      </c>
      <c r="S910" s="37">
        <v>4.9000000000000002E-2</v>
      </c>
      <c r="U910" s="39">
        <v>44239</v>
      </c>
      <c r="V910" s="37">
        <v>0.25</v>
      </c>
    </row>
    <row r="911" spans="6:22" x14ac:dyDescent="0.2">
      <c r="F911" s="39">
        <v>44251</v>
      </c>
      <c r="G911" s="37">
        <v>0.1</v>
      </c>
      <c r="I911" s="39">
        <v>44271</v>
      </c>
      <c r="J911" s="37">
        <v>-0.56200000000000006</v>
      </c>
      <c r="O911" s="39">
        <v>45063</v>
      </c>
      <c r="P911" s="37">
        <v>5.05</v>
      </c>
      <c r="R911" s="39">
        <v>44244</v>
      </c>
      <c r="S911" s="37">
        <v>4.87E-2</v>
      </c>
      <c r="U911" s="39">
        <v>44238</v>
      </c>
      <c r="V911" s="37">
        <v>0.25</v>
      </c>
    </row>
    <row r="912" spans="6:22" x14ac:dyDescent="0.2">
      <c r="F912" s="39">
        <v>44250</v>
      </c>
      <c r="G912" s="37">
        <v>0.1</v>
      </c>
      <c r="I912" s="39">
        <v>44270</v>
      </c>
      <c r="J912" s="37">
        <v>-0.56399999999999995</v>
      </c>
      <c r="O912" s="39">
        <v>45064</v>
      </c>
      <c r="P912" s="37">
        <v>5.05</v>
      </c>
      <c r="R912" s="39">
        <v>44243</v>
      </c>
      <c r="S912" s="37">
        <v>4.8300000000000003E-2</v>
      </c>
      <c r="U912" s="39">
        <v>44237</v>
      </c>
      <c r="V912" s="37">
        <v>0.25</v>
      </c>
    </row>
    <row r="913" spans="6:22" x14ac:dyDescent="0.2">
      <c r="F913" s="39">
        <v>44249</v>
      </c>
      <c r="G913" s="37">
        <v>0.1</v>
      </c>
      <c r="I913" s="39">
        <v>44267</v>
      </c>
      <c r="J913" s="37">
        <v>-0.56200000000000006</v>
      </c>
      <c r="O913" s="39">
        <v>45065</v>
      </c>
      <c r="P913" s="37">
        <v>5.05</v>
      </c>
      <c r="R913" s="39">
        <v>44242</v>
      </c>
      <c r="S913" s="37">
        <v>4.8000000000000001E-2</v>
      </c>
      <c r="U913" s="39">
        <v>44236</v>
      </c>
      <c r="V913" s="37">
        <v>0.25</v>
      </c>
    </row>
    <row r="914" spans="6:22" x14ac:dyDescent="0.2">
      <c r="F914" s="39">
        <v>44246</v>
      </c>
      <c r="G914" s="37">
        <v>0.1</v>
      </c>
      <c r="I914" s="39">
        <v>44266</v>
      </c>
      <c r="J914" s="37">
        <v>-0.56100000000000005</v>
      </c>
      <c r="O914" s="39">
        <v>45068</v>
      </c>
      <c r="P914" s="37">
        <v>5.05</v>
      </c>
      <c r="R914" s="39">
        <v>44239</v>
      </c>
      <c r="S914" s="37">
        <v>4.8099999999999997E-2</v>
      </c>
      <c r="U914" s="39">
        <v>44232</v>
      </c>
      <c r="V914" s="37">
        <v>0.25</v>
      </c>
    </row>
    <row r="915" spans="6:22" x14ac:dyDescent="0.2">
      <c r="F915" s="39">
        <v>44245</v>
      </c>
      <c r="G915" s="37">
        <v>0.1</v>
      </c>
      <c r="I915" s="39">
        <v>44265</v>
      </c>
      <c r="J915" s="37">
        <v>-0.56200000000000006</v>
      </c>
      <c r="O915" s="39">
        <v>45069</v>
      </c>
      <c r="P915" s="37">
        <v>5.05</v>
      </c>
      <c r="R915" s="39">
        <v>44238</v>
      </c>
      <c r="S915" s="37">
        <v>4.8399999999999999E-2</v>
      </c>
      <c r="U915" s="39">
        <v>44231</v>
      </c>
      <c r="V915" s="37">
        <v>0.25</v>
      </c>
    </row>
    <row r="916" spans="6:22" x14ac:dyDescent="0.2">
      <c r="F916" s="39">
        <v>44244</v>
      </c>
      <c r="G916" s="37">
        <v>0.1</v>
      </c>
      <c r="I916" s="39">
        <v>44264</v>
      </c>
      <c r="J916" s="37">
        <v>-0.56000000000000005</v>
      </c>
      <c r="O916" s="39">
        <v>45070</v>
      </c>
      <c r="P916" s="37">
        <v>5.05</v>
      </c>
      <c r="R916" s="39">
        <v>44237</v>
      </c>
      <c r="S916" s="37">
        <v>4.8300000000000003E-2</v>
      </c>
      <c r="U916" s="39">
        <v>44230</v>
      </c>
      <c r="V916" s="37">
        <v>0.25</v>
      </c>
    </row>
    <row r="917" spans="6:22" x14ac:dyDescent="0.2">
      <c r="F917" s="39">
        <v>44243</v>
      </c>
      <c r="G917" s="37">
        <v>0.1</v>
      </c>
      <c r="I917" s="39">
        <v>44263</v>
      </c>
      <c r="J917" s="37">
        <v>-0.55800000000000005</v>
      </c>
      <c r="O917" s="39">
        <v>45071</v>
      </c>
      <c r="P917" s="37">
        <v>5.0599999999999996</v>
      </c>
      <c r="R917" s="39">
        <v>44236</v>
      </c>
      <c r="S917" s="37">
        <v>4.82E-2</v>
      </c>
      <c r="U917" s="39">
        <v>44229</v>
      </c>
      <c r="V917" s="37">
        <v>0.25</v>
      </c>
    </row>
    <row r="918" spans="6:22" x14ac:dyDescent="0.2">
      <c r="F918" s="39">
        <v>44242</v>
      </c>
      <c r="G918" s="37">
        <v>0.1</v>
      </c>
      <c r="I918" s="39">
        <v>44260</v>
      </c>
      <c r="J918" s="37">
        <v>-0.56200000000000006</v>
      </c>
      <c r="O918" s="39">
        <v>45072</v>
      </c>
      <c r="P918" s="37">
        <v>5.0599999999999996</v>
      </c>
      <c r="R918" s="39">
        <v>44235</v>
      </c>
      <c r="S918" s="37">
        <v>4.8000000000000001E-2</v>
      </c>
      <c r="U918" s="39">
        <v>44228</v>
      </c>
      <c r="V918" s="37">
        <v>0.25</v>
      </c>
    </row>
    <row r="919" spans="6:22" x14ac:dyDescent="0.2">
      <c r="F919" s="39">
        <v>44239</v>
      </c>
      <c r="G919" s="37">
        <v>0.1</v>
      </c>
      <c r="I919" s="39">
        <v>44259</v>
      </c>
      <c r="J919" s="37">
        <v>-0.56499999999999995</v>
      </c>
      <c r="O919" s="39">
        <v>45076</v>
      </c>
      <c r="P919" s="37">
        <v>5.0599999999999996</v>
      </c>
      <c r="R919" s="39">
        <v>44232</v>
      </c>
      <c r="S919" s="37">
        <v>4.82E-2</v>
      </c>
      <c r="U919" s="39">
        <v>44225</v>
      </c>
      <c r="V919" s="37">
        <v>0.25</v>
      </c>
    </row>
    <row r="920" spans="6:22" x14ac:dyDescent="0.2">
      <c r="F920" s="39">
        <v>44238</v>
      </c>
      <c r="G920" s="37">
        <v>0.1</v>
      </c>
      <c r="I920" s="39">
        <v>44258</v>
      </c>
      <c r="J920" s="37">
        <v>-0.56499999999999995</v>
      </c>
      <c r="O920" s="39">
        <v>45077</v>
      </c>
      <c r="P920" s="37">
        <v>5.08</v>
      </c>
      <c r="R920" s="39">
        <v>44231</v>
      </c>
      <c r="S920" s="37">
        <v>4.8399999999999999E-2</v>
      </c>
      <c r="U920" s="39">
        <v>44224</v>
      </c>
      <c r="V920" s="37">
        <v>0.25</v>
      </c>
    </row>
    <row r="921" spans="6:22" x14ac:dyDescent="0.2">
      <c r="F921" s="39">
        <v>44237</v>
      </c>
      <c r="G921" s="37">
        <v>0.1</v>
      </c>
      <c r="I921" s="39">
        <v>44257</v>
      </c>
      <c r="J921" s="37">
        <v>-0.56499999999999995</v>
      </c>
      <c r="O921" s="39">
        <v>45078</v>
      </c>
      <c r="P921" s="37">
        <v>5.08</v>
      </c>
      <c r="R921" s="39">
        <v>44230</v>
      </c>
      <c r="S921" s="37">
        <v>4.8599999999999997E-2</v>
      </c>
      <c r="U921" s="39">
        <v>44223</v>
      </c>
      <c r="V921" s="37">
        <v>0.25</v>
      </c>
    </row>
    <row r="922" spans="6:22" x14ac:dyDescent="0.2">
      <c r="F922" s="39">
        <v>44236</v>
      </c>
      <c r="G922" s="37">
        <v>0.1</v>
      </c>
      <c r="I922" s="39">
        <v>44256</v>
      </c>
      <c r="J922" s="37">
        <v>-0.56299999999999994</v>
      </c>
      <c r="O922" s="39">
        <v>45079</v>
      </c>
      <c r="P922" s="37">
        <v>5.07</v>
      </c>
      <c r="R922" s="39">
        <v>44229</v>
      </c>
      <c r="S922" s="37">
        <v>4.8500000000000001E-2</v>
      </c>
      <c r="U922" s="39">
        <v>44222</v>
      </c>
      <c r="V922" s="37">
        <v>0.25</v>
      </c>
    </row>
    <row r="923" spans="6:22" x14ac:dyDescent="0.2">
      <c r="F923" s="39">
        <v>44235</v>
      </c>
      <c r="G923" s="37">
        <v>0.1</v>
      </c>
      <c r="I923" s="39">
        <v>44253</v>
      </c>
      <c r="J923" s="37">
        <v>-0.56599999999999995</v>
      </c>
      <c r="O923" s="39">
        <v>45082</v>
      </c>
      <c r="P923" s="37">
        <v>5.0599999999999996</v>
      </c>
      <c r="R923" s="39">
        <v>44228</v>
      </c>
      <c r="S923" s="37">
        <v>4.8000000000000001E-2</v>
      </c>
      <c r="U923" s="39">
        <v>44221</v>
      </c>
      <c r="V923" s="37">
        <v>0.25</v>
      </c>
    </row>
    <row r="924" spans="6:22" x14ac:dyDescent="0.2">
      <c r="F924" s="39">
        <v>44232</v>
      </c>
      <c r="G924" s="37">
        <v>0.1</v>
      </c>
      <c r="I924" s="39">
        <v>44252</v>
      </c>
      <c r="J924" s="37">
        <v>-0.56399999999999995</v>
      </c>
      <c r="O924" s="39">
        <v>45083</v>
      </c>
      <c r="P924" s="37">
        <v>5.05</v>
      </c>
      <c r="R924" s="39">
        <v>44225</v>
      </c>
      <c r="S924" s="37">
        <v>5.2900000000000003E-2</v>
      </c>
      <c r="U924" s="39">
        <v>44218</v>
      </c>
      <c r="V924" s="37">
        <v>0.25</v>
      </c>
    </row>
    <row r="925" spans="6:22" x14ac:dyDescent="0.2">
      <c r="F925" s="39">
        <v>44231</v>
      </c>
      <c r="G925" s="37">
        <v>0.1</v>
      </c>
      <c r="I925" s="39">
        <v>44251</v>
      </c>
      <c r="J925" s="37">
        <v>-0.56399999999999995</v>
      </c>
      <c r="O925" s="39">
        <v>45084</v>
      </c>
      <c r="P925" s="37">
        <v>5.05</v>
      </c>
      <c r="R925" s="39">
        <v>44224</v>
      </c>
      <c r="S925" s="37">
        <v>4.87E-2</v>
      </c>
      <c r="U925" s="39">
        <v>44217</v>
      </c>
      <c r="V925" s="37">
        <v>0.25</v>
      </c>
    </row>
    <row r="926" spans="6:22" x14ac:dyDescent="0.2">
      <c r="F926" s="39">
        <v>44230</v>
      </c>
      <c r="G926" s="37">
        <v>0.1</v>
      </c>
      <c r="I926" s="39">
        <v>44250</v>
      </c>
      <c r="J926" s="37">
        <v>-0.56499999999999995</v>
      </c>
      <c r="O926" s="39">
        <v>45085</v>
      </c>
      <c r="P926" s="37">
        <v>5.05</v>
      </c>
      <c r="R926" s="39">
        <v>44223</v>
      </c>
      <c r="S926" s="37">
        <v>4.8899999999999999E-2</v>
      </c>
      <c r="U926" s="39">
        <v>44216</v>
      </c>
      <c r="V926" s="37">
        <v>0.25</v>
      </c>
    </row>
    <row r="927" spans="6:22" x14ac:dyDescent="0.2">
      <c r="F927" s="39">
        <v>44229</v>
      </c>
      <c r="G927" s="37">
        <v>0.1</v>
      </c>
      <c r="I927" s="39">
        <v>44249</v>
      </c>
      <c r="J927" s="37">
        <v>-0.56399999999999995</v>
      </c>
      <c r="O927" s="39">
        <v>45086</v>
      </c>
      <c r="P927" s="37">
        <v>5.05</v>
      </c>
      <c r="R927" s="39">
        <v>44222</v>
      </c>
      <c r="S927" s="37">
        <v>4.8899999999999999E-2</v>
      </c>
      <c r="U927" s="39">
        <v>44215</v>
      </c>
      <c r="V927" s="37">
        <v>0.25</v>
      </c>
    </row>
    <row r="928" spans="6:22" x14ac:dyDescent="0.2">
      <c r="F928" s="39">
        <v>44228</v>
      </c>
      <c r="G928" s="37">
        <v>0.1</v>
      </c>
      <c r="I928" s="39">
        <v>44246</v>
      </c>
      <c r="J928" s="37">
        <v>-0.56299999999999994</v>
      </c>
      <c r="O928" s="39">
        <v>45089</v>
      </c>
      <c r="P928" s="37">
        <v>5.05</v>
      </c>
      <c r="R928" s="39">
        <v>44221</v>
      </c>
      <c r="S928" s="37">
        <v>4.9299999999999997E-2</v>
      </c>
      <c r="U928" s="39">
        <v>44214</v>
      </c>
      <c r="V928" s="37">
        <v>0.25</v>
      </c>
    </row>
    <row r="929" spans="6:22" x14ac:dyDescent="0.2">
      <c r="F929" s="39">
        <v>44225</v>
      </c>
      <c r="G929" s="37">
        <v>0.1</v>
      </c>
      <c r="I929" s="39">
        <v>44245</v>
      </c>
      <c r="J929" s="37">
        <v>-0.56200000000000006</v>
      </c>
      <c r="O929" s="39">
        <v>45090</v>
      </c>
      <c r="P929" s="37">
        <v>5.05</v>
      </c>
      <c r="R929" s="39">
        <v>44218</v>
      </c>
      <c r="S929" s="37">
        <v>4.9599999999999998E-2</v>
      </c>
      <c r="U929" s="39">
        <v>44211</v>
      </c>
      <c r="V929" s="37">
        <v>0.25</v>
      </c>
    </row>
    <row r="930" spans="6:22" x14ac:dyDescent="0.2">
      <c r="F930" s="39">
        <v>44224</v>
      </c>
      <c r="G930" s="37">
        <v>0.1</v>
      </c>
      <c r="I930" s="39">
        <v>44244</v>
      </c>
      <c r="J930" s="37">
        <v>-0.56299999999999994</v>
      </c>
      <c r="O930" s="39">
        <v>45091</v>
      </c>
      <c r="P930" s="37">
        <v>5.05</v>
      </c>
      <c r="R930" s="39">
        <v>44217</v>
      </c>
      <c r="S930" s="37">
        <v>4.9399999999999999E-2</v>
      </c>
      <c r="U930" s="39">
        <v>44210</v>
      </c>
      <c r="V930" s="37">
        <v>0.25</v>
      </c>
    </row>
    <row r="931" spans="6:22" x14ac:dyDescent="0.2">
      <c r="F931" s="39">
        <v>44223</v>
      </c>
      <c r="G931" s="37">
        <v>0.1</v>
      </c>
      <c r="I931" s="39">
        <v>44243</v>
      </c>
      <c r="J931" s="37">
        <v>-0.56399999999999995</v>
      </c>
      <c r="O931" s="39">
        <v>45092</v>
      </c>
      <c r="P931" s="37">
        <v>5.0599999999999996</v>
      </c>
      <c r="R931" s="39">
        <v>44216</v>
      </c>
      <c r="S931" s="37">
        <v>4.9200000000000001E-2</v>
      </c>
      <c r="U931" s="39">
        <v>44209</v>
      </c>
      <c r="V931" s="37">
        <v>0.25</v>
      </c>
    </row>
    <row r="932" spans="6:22" x14ac:dyDescent="0.2">
      <c r="F932" s="39">
        <v>44221</v>
      </c>
      <c r="G932" s="37">
        <v>0.1</v>
      </c>
      <c r="I932" s="39">
        <v>44242</v>
      </c>
      <c r="J932" s="37">
        <v>-0.56299999999999994</v>
      </c>
      <c r="O932" s="39">
        <v>45093</v>
      </c>
      <c r="P932" s="37">
        <v>5.05</v>
      </c>
      <c r="R932" s="39">
        <v>44215</v>
      </c>
      <c r="S932" s="37">
        <v>0.05</v>
      </c>
      <c r="U932" s="39">
        <v>44208</v>
      </c>
      <c r="V932" s="37">
        <v>0.25</v>
      </c>
    </row>
    <row r="933" spans="6:22" x14ac:dyDescent="0.2">
      <c r="F933" s="39">
        <v>44218</v>
      </c>
      <c r="G933" s="37">
        <v>0.1</v>
      </c>
      <c r="I933" s="39">
        <v>44239</v>
      </c>
      <c r="J933" s="37">
        <v>-0.56399999999999995</v>
      </c>
      <c r="O933" s="39">
        <v>45097</v>
      </c>
      <c r="P933" s="37">
        <v>5.05</v>
      </c>
      <c r="R933" s="39">
        <v>44214</v>
      </c>
      <c r="S933" s="37">
        <v>4.9500000000000002E-2</v>
      </c>
      <c r="U933" s="39">
        <v>44207</v>
      </c>
      <c r="V933" s="37">
        <v>0.25</v>
      </c>
    </row>
    <row r="934" spans="6:22" x14ac:dyDescent="0.2">
      <c r="F934" s="39">
        <v>44217</v>
      </c>
      <c r="G934" s="37">
        <v>0.1</v>
      </c>
      <c r="I934" s="39">
        <v>44238</v>
      </c>
      <c r="J934" s="37">
        <v>-0.56499999999999995</v>
      </c>
      <c r="O934" s="39">
        <v>45098</v>
      </c>
      <c r="P934" s="37">
        <v>5.05</v>
      </c>
      <c r="R934" s="39">
        <v>44211</v>
      </c>
      <c r="S934" s="37">
        <v>4.9799999999999997E-2</v>
      </c>
      <c r="U934" s="39">
        <v>44204</v>
      </c>
      <c r="V934" s="37">
        <v>0.25</v>
      </c>
    </row>
    <row r="935" spans="6:22" x14ac:dyDescent="0.2">
      <c r="F935" s="39">
        <v>44216</v>
      </c>
      <c r="G935" s="37">
        <v>0.1</v>
      </c>
      <c r="I935" s="39">
        <v>44237</v>
      </c>
      <c r="J935" s="37">
        <v>-0.56399999999999995</v>
      </c>
      <c r="O935" s="39">
        <v>45099</v>
      </c>
      <c r="P935" s="37">
        <v>5.05</v>
      </c>
      <c r="R935" s="39">
        <v>44210</v>
      </c>
      <c r="S935" s="37">
        <v>0.05</v>
      </c>
      <c r="U935" s="39">
        <v>44203</v>
      </c>
      <c r="V935" s="37">
        <v>0.25</v>
      </c>
    </row>
    <row r="936" spans="6:22" x14ac:dyDescent="0.2">
      <c r="F936" s="39">
        <v>44215</v>
      </c>
      <c r="G936" s="37">
        <v>0.1</v>
      </c>
      <c r="I936" s="39">
        <v>44236</v>
      </c>
      <c r="J936" s="37">
        <v>-0.56399999999999995</v>
      </c>
      <c r="O936" s="39">
        <v>45100</v>
      </c>
      <c r="P936" s="37">
        <v>5.05</v>
      </c>
      <c r="R936" s="39">
        <v>44209</v>
      </c>
      <c r="S936" s="37">
        <v>4.9599999999999998E-2</v>
      </c>
      <c r="U936" s="39">
        <v>44202</v>
      </c>
      <c r="V936" s="37">
        <v>0.25</v>
      </c>
    </row>
    <row r="937" spans="6:22" x14ac:dyDescent="0.2">
      <c r="F937" s="39">
        <v>44214</v>
      </c>
      <c r="G937" s="37">
        <v>0.1</v>
      </c>
      <c r="I937" s="39">
        <v>44235</v>
      </c>
      <c r="J937" s="37">
        <v>-0.56299999999999994</v>
      </c>
      <c r="O937" s="39">
        <v>45103</v>
      </c>
      <c r="P937" s="37">
        <v>5.05</v>
      </c>
      <c r="R937" s="39">
        <v>44208</v>
      </c>
      <c r="S937" s="37">
        <v>4.87E-2</v>
      </c>
      <c r="U937" s="39">
        <v>44201</v>
      </c>
      <c r="V937" s="37">
        <v>0.25</v>
      </c>
    </row>
    <row r="938" spans="6:22" x14ac:dyDescent="0.2">
      <c r="F938" s="39">
        <v>44211</v>
      </c>
      <c r="G938" s="37">
        <v>0.1</v>
      </c>
      <c r="I938" s="39">
        <v>44232</v>
      </c>
      <c r="J938" s="37">
        <v>-0.56499999999999995</v>
      </c>
      <c r="O938" s="39">
        <v>45104</v>
      </c>
      <c r="P938" s="37">
        <v>5.05</v>
      </c>
      <c r="R938" s="39">
        <v>44207</v>
      </c>
      <c r="S938" s="37">
        <v>4.8800000000000003E-2</v>
      </c>
      <c r="U938" s="39">
        <v>44196</v>
      </c>
      <c r="V938" s="37">
        <v>0.25</v>
      </c>
    </row>
    <row r="939" spans="6:22" x14ac:dyDescent="0.2">
      <c r="F939" s="39">
        <v>44210</v>
      </c>
      <c r="G939" s="37">
        <v>0.1</v>
      </c>
      <c r="I939" s="39">
        <v>44231</v>
      </c>
      <c r="J939" s="37">
        <v>-0.56399999999999995</v>
      </c>
      <c r="O939" s="39">
        <v>45105</v>
      </c>
      <c r="P939" s="37">
        <v>5.0599999999999996</v>
      </c>
      <c r="R939" s="39">
        <v>44204</v>
      </c>
      <c r="S939" s="37">
        <v>4.9700000000000001E-2</v>
      </c>
      <c r="U939" s="39">
        <v>44195</v>
      </c>
      <c r="V939" s="37">
        <v>0.25</v>
      </c>
    </row>
    <row r="940" spans="6:22" x14ac:dyDescent="0.2">
      <c r="F940" s="39">
        <v>44209</v>
      </c>
      <c r="G940" s="37">
        <v>0.1</v>
      </c>
      <c r="I940" s="39">
        <v>44230</v>
      </c>
      <c r="J940" s="37">
        <v>-0.55800000000000005</v>
      </c>
      <c r="O940" s="39">
        <v>45106</v>
      </c>
      <c r="P940" s="37">
        <v>5.0599999999999996</v>
      </c>
      <c r="R940" s="39">
        <v>44203</v>
      </c>
      <c r="S940" s="37">
        <v>4.9099999999999998E-2</v>
      </c>
      <c r="U940" s="39">
        <v>44194</v>
      </c>
      <c r="V940" s="37">
        <v>0.25</v>
      </c>
    </row>
    <row r="941" spans="6:22" x14ac:dyDescent="0.2">
      <c r="F941" s="39">
        <v>44208</v>
      </c>
      <c r="G941" s="37">
        <v>0.1</v>
      </c>
      <c r="I941" s="39">
        <v>44229</v>
      </c>
      <c r="J941" s="37">
        <v>-0.56399999999999995</v>
      </c>
      <c r="O941" s="39">
        <v>45107</v>
      </c>
      <c r="P941" s="37">
        <v>5.09</v>
      </c>
      <c r="R941" s="39">
        <v>44202</v>
      </c>
      <c r="S941" s="37">
        <v>4.8800000000000003E-2</v>
      </c>
      <c r="U941" s="39">
        <v>44189</v>
      </c>
      <c r="V941" s="37">
        <v>0.25</v>
      </c>
    </row>
    <row r="942" spans="6:22" x14ac:dyDescent="0.2">
      <c r="F942" s="39">
        <v>44207</v>
      </c>
      <c r="G942" s="37">
        <v>0.1</v>
      </c>
      <c r="I942" s="39">
        <v>44228</v>
      </c>
      <c r="J942" s="37">
        <v>-0.56599999999999995</v>
      </c>
      <c r="O942" s="39">
        <v>45110</v>
      </c>
      <c r="P942" s="37">
        <v>5.0599999999999996</v>
      </c>
      <c r="R942" s="39">
        <v>44201</v>
      </c>
      <c r="S942" s="37">
        <v>4.8500000000000001E-2</v>
      </c>
      <c r="U942" s="39">
        <v>44188</v>
      </c>
      <c r="V942" s="37">
        <v>0.25</v>
      </c>
    </row>
    <row r="943" spans="6:22" x14ac:dyDescent="0.2">
      <c r="F943" s="39">
        <v>44204</v>
      </c>
      <c r="G943" s="37">
        <v>0.1</v>
      </c>
      <c r="I943" s="39">
        <v>44225</v>
      </c>
      <c r="J943" s="37">
        <v>-0.56399999999999995</v>
      </c>
      <c r="O943" s="39">
        <v>45112</v>
      </c>
      <c r="P943" s="37">
        <v>5.0599999999999996</v>
      </c>
      <c r="R943" s="39">
        <v>44200</v>
      </c>
      <c r="S943" s="37">
        <v>4.7899999999999998E-2</v>
      </c>
      <c r="U943" s="39">
        <v>44187</v>
      </c>
      <c r="V943" s="37">
        <v>0.25</v>
      </c>
    </row>
    <row r="944" spans="6:22" x14ac:dyDescent="0.2">
      <c r="F944" s="39">
        <v>44203</v>
      </c>
      <c r="G944" s="37">
        <v>0.1</v>
      </c>
      <c r="I944" s="39">
        <v>44224</v>
      </c>
      <c r="J944" s="37">
        <v>-0.56100000000000005</v>
      </c>
      <c r="O944" s="39">
        <v>45113</v>
      </c>
      <c r="P944" s="37">
        <v>5.0599999999999996</v>
      </c>
      <c r="R944" s="39">
        <v>44196</v>
      </c>
      <c r="S944" s="37">
        <v>3.9399999999999998E-2</v>
      </c>
      <c r="U944" s="39">
        <v>44186</v>
      </c>
      <c r="V944" s="37">
        <v>0.25</v>
      </c>
    </row>
    <row r="945" spans="6:22" x14ac:dyDescent="0.2">
      <c r="F945" s="39">
        <v>44202</v>
      </c>
      <c r="G945" s="37">
        <v>0.1</v>
      </c>
      <c r="I945" s="39">
        <v>44223</v>
      </c>
      <c r="J945" s="37">
        <v>-0.56299999999999994</v>
      </c>
      <c r="O945" s="39">
        <v>45114</v>
      </c>
      <c r="P945" s="37">
        <v>5.0599999999999996</v>
      </c>
      <c r="R945" s="39">
        <v>44195</v>
      </c>
      <c r="S945" s="37">
        <v>4.8000000000000001E-2</v>
      </c>
      <c r="U945" s="39">
        <v>44183</v>
      </c>
      <c r="V945" s="37">
        <v>0.25</v>
      </c>
    </row>
    <row r="946" spans="6:22" x14ac:dyDescent="0.2">
      <c r="F946" s="39">
        <v>44201</v>
      </c>
      <c r="G946" s="37">
        <v>0.1</v>
      </c>
      <c r="I946" s="39">
        <v>44222</v>
      </c>
      <c r="J946" s="37">
        <v>-0.55800000000000005</v>
      </c>
      <c r="O946" s="39">
        <v>45117</v>
      </c>
      <c r="P946" s="37">
        <v>5.0599999999999996</v>
      </c>
      <c r="R946" s="39">
        <v>44194</v>
      </c>
      <c r="S946" s="37">
        <v>4.8300000000000003E-2</v>
      </c>
      <c r="U946" s="39">
        <v>44182</v>
      </c>
      <c r="V946" s="37">
        <v>0.25</v>
      </c>
    </row>
    <row r="947" spans="6:22" x14ac:dyDescent="0.2">
      <c r="F947" s="39">
        <v>44200</v>
      </c>
      <c r="G947" s="37">
        <v>0.1</v>
      </c>
      <c r="I947" s="39">
        <v>44221</v>
      </c>
      <c r="J947" s="37">
        <v>-0.56399999999999995</v>
      </c>
      <c r="O947" s="39">
        <v>45118</v>
      </c>
      <c r="P947" s="37">
        <v>5.0599999999999996</v>
      </c>
      <c r="R947" s="39">
        <v>44189</v>
      </c>
      <c r="S947" s="37">
        <v>4.7399999999999998E-2</v>
      </c>
      <c r="U947" s="39">
        <v>44181</v>
      </c>
      <c r="V947" s="37">
        <v>0.25</v>
      </c>
    </row>
    <row r="948" spans="6:22" x14ac:dyDescent="0.2">
      <c r="F948" s="39">
        <v>44196</v>
      </c>
      <c r="G948" s="37">
        <v>0.1</v>
      </c>
      <c r="I948" s="39">
        <v>44218</v>
      </c>
      <c r="J948" s="37">
        <v>-0.56100000000000005</v>
      </c>
      <c r="O948" s="39">
        <v>45119</v>
      </c>
      <c r="P948" s="37">
        <v>5.05</v>
      </c>
      <c r="R948" s="39">
        <v>44188</v>
      </c>
      <c r="S948" s="37">
        <v>4.7800000000000002E-2</v>
      </c>
      <c r="U948" s="39">
        <v>44180</v>
      </c>
      <c r="V948" s="37">
        <v>0.25</v>
      </c>
    </row>
    <row r="949" spans="6:22" x14ac:dyDescent="0.2">
      <c r="F949" s="39">
        <v>44195</v>
      </c>
      <c r="G949" s="37">
        <v>0.1</v>
      </c>
      <c r="I949" s="39">
        <v>44217</v>
      </c>
      <c r="J949" s="37">
        <v>-0.56200000000000006</v>
      </c>
      <c r="O949" s="39">
        <v>45120</v>
      </c>
      <c r="P949" s="37">
        <v>5.0599999999999996</v>
      </c>
      <c r="R949" s="39">
        <v>44187</v>
      </c>
      <c r="S949" s="37">
        <v>4.8000000000000001E-2</v>
      </c>
      <c r="U949" s="39">
        <v>44179</v>
      </c>
      <c r="V949" s="37">
        <v>0.25</v>
      </c>
    </row>
    <row r="950" spans="6:22" x14ac:dyDescent="0.2">
      <c r="F950" s="39">
        <v>44194</v>
      </c>
      <c r="G950" s="37">
        <v>0.1</v>
      </c>
      <c r="I950" s="39">
        <v>44216</v>
      </c>
      <c r="J950" s="37">
        <v>-0.56399999999999995</v>
      </c>
      <c r="O950" s="39">
        <v>45121</v>
      </c>
      <c r="P950" s="37">
        <v>5.05</v>
      </c>
      <c r="R950" s="39">
        <v>44186</v>
      </c>
      <c r="S950" s="37">
        <v>4.7699999999999999E-2</v>
      </c>
      <c r="U950" s="39">
        <v>44176</v>
      </c>
      <c r="V950" s="37">
        <v>0.25</v>
      </c>
    </row>
    <row r="951" spans="6:22" x14ac:dyDescent="0.2">
      <c r="F951" s="39">
        <v>44189</v>
      </c>
      <c r="G951" s="37">
        <v>0.1</v>
      </c>
      <c r="I951" s="39">
        <v>44215</v>
      </c>
      <c r="J951" s="37">
        <v>-0.56399999999999995</v>
      </c>
      <c r="O951" s="39">
        <v>45124</v>
      </c>
      <c r="P951" s="37">
        <v>5.0599999999999996</v>
      </c>
      <c r="R951" s="39">
        <v>44183</v>
      </c>
      <c r="S951" s="37">
        <v>4.8300000000000003E-2</v>
      </c>
      <c r="U951" s="39">
        <v>44175</v>
      </c>
      <c r="V951" s="37">
        <v>0.25</v>
      </c>
    </row>
    <row r="952" spans="6:22" x14ac:dyDescent="0.2">
      <c r="F952" s="39">
        <v>44188</v>
      </c>
      <c r="G952" s="37">
        <v>0.1</v>
      </c>
      <c r="I952" s="39">
        <v>44214</v>
      </c>
      <c r="J952" s="37">
        <v>-0.56499999999999995</v>
      </c>
      <c r="O952" s="39">
        <v>45125</v>
      </c>
      <c r="P952" s="37">
        <v>5.0599999999999996</v>
      </c>
      <c r="R952" s="39">
        <v>44182</v>
      </c>
      <c r="S952" s="37">
        <v>4.87E-2</v>
      </c>
      <c r="U952" s="39">
        <v>44174</v>
      </c>
      <c r="V952" s="37">
        <v>0.25</v>
      </c>
    </row>
    <row r="953" spans="6:22" x14ac:dyDescent="0.2">
      <c r="F953" s="39">
        <v>44187</v>
      </c>
      <c r="G953" s="37">
        <v>0.1</v>
      </c>
      <c r="I953" s="39">
        <v>44211</v>
      </c>
      <c r="J953" s="37">
        <v>-0.56599999999999995</v>
      </c>
      <c r="O953" s="39">
        <v>45126</v>
      </c>
      <c r="P953" s="37">
        <v>5.05</v>
      </c>
      <c r="R953" s="39">
        <v>44181</v>
      </c>
      <c r="S953" s="37">
        <v>4.7800000000000002E-2</v>
      </c>
      <c r="U953" s="39">
        <v>44173</v>
      </c>
      <c r="V953" s="37">
        <v>0.25</v>
      </c>
    </row>
    <row r="954" spans="6:22" x14ac:dyDescent="0.2">
      <c r="F954" s="39">
        <v>44186</v>
      </c>
      <c r="G954" s="37">
        <v>0.1</v>
      </c>
      <c r="I954" s="39">
        <v>44210</v>
      </c>
      <c r="J954" s="37">
        <v>-0.56399999999999995</v>
      </c>
      <c r="O954" s="39">
        <v>45127</v>
      </c>
      <c r="P954" s="37">
        <v>5.0599999999999996</v>
      </c>
      <c r="R954" s="39">
        <v>44180</v>
      </c>
      <c r="S954" s="37">
        <v>4.9099999999999998E-2</v>
      </c>
      <c r="U954" s="39">
        <v>44172</v>
      </c>
      <c r="V954" s="37">
        <v>0.25</v>
      </c>
    </row>
    <row r="955" spans="6:22" x14ac:dyDescent="0.2">
      <c r="F955" s="39">
        <v>44183</v>
      </c>
      <c r="G955" s="37">
        <v>0.1</v>
      </c>
      <c r="I955" s="39">
        <v>44209</v>
      </c>
      <c r="J955" s="37">
        <v>-0.56200000000000006</v>
      </c>
      <c r="O955" s="39">
        <v>45128</v>
      </c>
      <c r="P955" s="37">
        <v>5.05</v>
      </c>
      <c r="R955" s="39">
        <v>44179</v>
      </c>
      <c r="S955" s="37">
        <v>4.9399999999999999E-2</v>
      </c>
      <c r="U955" s="39">
        <v>44169</v>
      </c>
      <c r="V955" s="37">
        <v>0.25</v>
      </c>
    </row>
    <row r="956" spans="6:22" x14ac:dyDescent="0.2">
      <c r="F956" s="39">
        <v>44182</v>
      </c>
      <c r="G956" s="37">
        <v>0.1</v>
      </c>
      <c r="I956" s="39">
        <v>44208</v>
      </c>
      <c r="J956" s="37">
        <v>-0.56299999999999994</v>
      </c>
      <c r="O956" s="39">
        <v>45131</v>
      </c>
      <c r="P956" s="37">
        <v>5.05</v>
      </c>
      <c r="R956" s="39">
        <v>44176</v>
      </c>
      <c r="S956" s="37">
        <v>5.0200000000000002E-2</v>
      </c>
      <c r="U956" s="39">
        <v>44168</v>
      </c>
      <c r="V956" s="37">
        <v>0.25</v>
      </c>
    </row>
    <row r="957" spans="6:22" x14ac:dyDescent="0.2">
      <c r="F957" s="39">
        <v>44181</v>
      </c>
      <c r="G957" s="37">
        <v>0.1</v>
      </c>
      <c r="I957" s="39">
        <v>44207</v>
      </c>
      <c r="J957" s="37">
        <v>-0.56399999999999995</v>
      </c>
      <c r="O957" s="39">
        <v>45132</v>
      </c>
      <c r="P957" s="37">
        <v>5.0599999999999996</v>
      </c>
      <c r="R957" s="39">
        <v>44175</v>
      </c>
      <c r="S957" s="37">
        <v>5.0799999999999998E-2</v>
      </c>
      <c r="U957" s="39">
        <v>44167</v>
      </c>
      <c r="V957" s="37">
        <v>0.25</v>
      </c>
    </row>
    <row r="958" spans="6:22" x14ac:dyDescent="0.2">
      <c r="F958" s="39">
        <v>44180</v>
      </c>
      <c r="G958" s="37">
        <v>0.1</v>
      </c>
      <c r="I958" s="39">
        <v>44204</v>
      </c>
      <c r="J958" s="37">
        <v>-0.56200000000000006</v>
      </c>
      <c r="O958" s="39">
        <v>45133</v>
      </c>
      <c r="P958" s="37">
        <v>5.0599999999999996</v>
      </c>
      <c r="R958" s="39">
        <v>44174</v>
      </c>
      <c r="S958" s="37">
        <v>5.1400000000000001E-2</v>
      </c>
      <c r="U958" s="39">
        <v>44166</v>
      </c>
      <c r="V958" s="37">
        <v>0.25</v>
      </c>
    </row>
    <row r="959" spans="6:22" x14ac:dyDescent="0.2">
      <c r="F959" s="39">
        <v>44179</v>
      </c>
      <c r="G959" s="37">
        <v>0.1</v>
      </c>
      <c r="I959" s="39">
        <v>44203</v>
      </c>
      <c r="J959" s="37">
        <v>-0.56499999999999995</v>
      </c>
      <c r="O959" s="39">
        <v>45134</v>
      </c>
      <c r="P959" s="37">
        <v>5.31</v>
      </c>
      <c r="R959" s="39">
        <v>44173</v>
      </c>
      <c r="S959" s="37">
        <v>5.0999999999999997E-2</v>
      </c>
      <c r="U959" s="39">
        <v>44165</v>
      </c>
      <c r="V959" s="37">
        <v>0.25</v>
      </c>
    </row>
    <row r="960" spans="6:22" x14ac:dyDescent="0.2">
      <c r="F960" s="39">
        <v>44176</v>
      </c>
      <c r="G960" s="37">
        <v>0.1</v>
      </c>
      <c r="I960" s="39">
        <v>44202</v>
      </c>
      <c r="J960" s="37">
        <v>-0.56599999999999995</v>
      </c>
      <c r="O960" s="39">
        <v>45135</v>
      </c>
      <c r="P960" s="37">
        <v>5.3</v>
      </c>
      <c r="R960" s="39">
        <v>44172</v>
      </c>
      <c r="S960" s="37">
        <v>5.0999999999999997E-2</v>
      </c>
      <c r="U960" s="39">
        <v>44162</v>
      </c>
      <c r="V960" s="37">
        <v>0.25</v>
      </c>
    </row>
    <row r="961" spans="6:22" x14ac:dyDescent="0.2">
      <c r="F961" s="39">
        <v>44175</v>
      </c>
      <c r="G961" s="37">
        <v>0.1</v>
      </c>
      <c r="I961" s="39">
        <v>44201</v>
      </c>
      <c r="J961" s="37">
        <v>-0.56299999999999994</v>
      </c>
      <c r="O961" s="39">
        <v>45138</v>
      </c>
      <c r="P961" s="37">
        <v>5.31</v>
      </c>
      <c r="R961" s="39">
        <v>44169</v>
      </c>
      <c r="S961" s="37">
        <v>5.1299999999999998E-2</v>
      </c>
      <c r="U961" s="39">
        <v>44161</v>
      </c>
      <c r="V961" s="37">
        <v>0.25</v>
      </c>
    </row>
    <row r="962" spans="6:22" x14ac:dyDescent="0.2">
      <c r="F962" s="39">
        <v>44174</v>
      </c>
      <c r="G962" s="37">
        <v>0.1</v>
      </c>
      <c r="I962" s="39">
        <v>44200</v>
      </c>
      <c r="J962" s="37">
        <v>-0.56599999999999995</v>
      </c>
      <c r="O962" s="39">
        <v>45139</v>
      </c>
      <c r="P962" s="37">
        <v>5.31</v>
      </c>
      <c r="R962" s="39">
        <v>44168</v>
      </c>
      <c r="S962" s="37">
        <v>5.1900000000000002E-2</v>
      </c>
      <c r="U962" s="39">
        <v>44160</v>
      </c>
      <c r="V962" s="37">
        <v>0.25</v>
      </c>
    </row>
    <row r="963" spans="6:22" x14ac:dyDescent="0.2">
      <c r="F963" s="39">
        <v>44173</v>
      </c>
      <c r="G963" s="37">
        <v>0.1</v>
      </c>
      <c r="I963" s="39">
        <v>44196</v>
      </c>
      <c r="J963" s="37">
        <v>-0.58299999999999996</v>
      </c>
      <c r="O963" s="39">
        <v>45140</v>
      </c>
      <c r="P963" s="37">
        <v>5.3</v>
      </c>
      <c r="R963" s="39">
        <v>44167</v>
      </c>
      <c r="S963" s="37">
        <v>5.2299999999999999E-2</v>
      </c>
      <c r="U963" s="39">
        <v>44159</v>
      </c>
      <c r="V963" s="37">
        <v>0.25</v>
      </c>
    </row>
    <row r="964" spans="6:22" x14ac:dyDescent="0.2">
      <c r="F964" s="39">
        <v>44172</v>
      </c>
      <c r="G964" s="37">
        <v>0.1</v>
      </c>
      <c r="I964" s="39">
        <v>44195</v>
      </c>
      <c r="J964" s="37">
        <v>-0.55500000000000005</v>
      </c>
      <c r="O964" s="39">
        <v>45141</v>
      </c>
      <c r="P964" s="37">
        <v>5.3</v>
      </c>
      <c r="R964" s="39">
        <v>44166</v>
      </c>
      <c r="S964" s="37">
        <v>5.28E-2</v>
      </c>
      <c r="U964" s="39">
        <v>44158</v>
      </c>
      <c r="V964" s="37">
        <v>0.25</v>
      </c>
    </row>
    <row r="965" spans="6:22" x14ac:dyDescent="0.2">
      <c r="F965" s="39">
        <v>44169</v>
      </c>
      <c r="G965" s="37">
        <v>0.1</v>
      </c>
      <c r="I965" s="39">
        <v>44194</v>
      </c>
      <c r="J965" s="37">
        <v>-0.55700000000000005</v>
      </c>
      <c r="O965" s="39">
        <v>45142</v>
      </c>
      <c r="P965" s="37">
        <v>5.3</v>
      </c>
      <c r="R965" s="39">
        <v>44165</v>
      </c>
      <c r="S965" s="37">
        <v>5.3999999999999999E-2</v>
      </c>
      <c r="U965" s="39">
        <v>44155</v>
      </c>
      <c r="V965" s="37">
        <v>0.25</v>
      </c>
    </row>
    <row r="966" spans="6:22" x14ac:dyDescent="0.2">
      <c r="F966" s="39">
        <v>44168</v>
      </c>
      <c r="G966" s="37">
        <v>0.1</v>
      </c>
      <c r="I966" s="39">
        <v>44193</v>
      </c>
      <c r="J966" s="37">
        <v>-0.55300000000000005</v>
      </c>
      <c r="O966" s="39">
        <v>45145</v>
      </c>
      <c r="P966" s="37">
        <v>5.3</v>
      </c>
      <c r="R966" s="39">
        <v>44162</v>
      </c>
      <c r="S966" s="37">
        <v>5.4199999999999998E-2</v>
      </c>
      <c r="U966" s="39">
        <v>44154</v>
      </c>
      <c r="V966" s="37">
        <v>0.25</v>
      </c>
    </row>
    <row r="967" spans="6:22" x14ac:dyDescent="0.2">
      <c r="F967" s="39">
        <v>44167</v>
      </c>
      <c r="G967" s="37">
        <v>0.1</v>
      </c>
      <c r="I967" s="39">
        <v>44189</v>
      </c>
      <c r="J967" s="37">
        <v>-0.55500000000000005</v>
      </c>
      <c r="O967" s="39">
        <v>45146</v>
      </c>
      <c r="P967" s="37">
        <v>5.3</v>
      </c>
      <c r="R967" s="39">
        <v>44161</v>
      </c>
      <c r="S967" s="37">
        <v>5.3499999999999999E-2</v>
      </c>
      <c r="U967" s="39">
        <v>44153</v>
      </c>
      <c r="V967" s="37">
        <v>0.25</v>
      </c>
    </row>
    <row r="968" spans="6:22" x14ac:dyDescent="0.2">
      <c r="F968" s="39">
        <v>44166</v>
      </c>
      <c r="G968" s="37">
        <v>0.1</v>
      </c>
      <c r="I968" s="39">
        <v>44188</v>
      </c>
      <c r="J968" s="37">
        <v>-0.55900000000000005</v>
      </c>
      <c r="O968" s="39">
        <v>45147</v>
      </c>
      <c r="P968" s="37">
        <v>5.3</v>
      </c>
      <c r="R968" s="39">
        <v>44160</v>
      </c>
      <c r="S968" s="37">
        <v>5.3499999999999999E-2</v>
      </c>
      <c r="U968" s="39">
        <v>44152</v>
      </c>
      <c r="V968" s="37">
        <v>0.25</v>
      </c>
    </row>
    <row r="969" spans="6:22" x14ac:dyDescent="0.2">
      <c r="F969" s="39">
        <v>44165</v>
      </c>
      <c r="G969" s="37">
        <v>0.1</v>
      </c>
      <c r="I969" s="39">
        <v>44187</v>
      </c>
      <c r="J969" s="37">
        <v>-0.55800000000000005</v>
      </c>
      <c r="O969" s="39">
        <v>45148</v>
      </c>
      <c r="P969" s="37">
        <v>5.3</v>
      </c>
      <c r="R969" s="39">
        <v>44159</v>
      </c>
      <c r="S969" s="37">
        <v>5.3600000000000002E-2</v>
      </c>
      <c r="U969" s="39">
        <v>44151</v>
      </c>
      <c r="V969" s="37">
        <v>0.25</v>
      </c>
    </row>
    <row r="970" spans="6:22" x14ac:dyDescent="0.2">
      <c r="F970" s="39">
        <v>44162</v>
      </c>
      <c r="G970" s="37">
        <v>0.1</v>
      </c>
      <c r="I970" s="39">
        <v>44186</v>
      </c>
      <c r="J970" s="37">
        <v>-0.55700000000000005</v>
      </c>
      <c r="O970" s="39">
        <v>45149</v>
      </c>
      <c r="P970" s="37">
        <v>5.3</v>
      </c>
      <c r="R970" s="39">
        <v>44158</v>
      </c>
      <c r="S970" s="37">
        <v>5.3600000000000002E-2</v>
      </c>
      <c r="U970" s="39">
        <v>44148</v>
      </c>
      <c r="V970" s="37">
        <v>0.25</v>
      </c>
    </row>
    <row r="971" spans="6:22" x14ac:dyDescent="0.2">
      <c r="F971" s="39">
        <v>44161</v>
      </c>
      <c r="G971" s="37">
        <v>0.1</v>
      </c>
      <c r="I971" s="39">
        <v>44183</v>
      </c>
      <c r="J971" s="37">
        <v>-0.55800000000000005</v>
      </c>
      <c r="O971" s="39">
        <v>45152</v>
      </c>
      <c r="P971" s="37">
        <v>5.3</v>
      </c>
      <c r="R971" s="39">
        <v>44155</v>
      </c>
      <c r="S971" s="37">
        <v>5.4300000000000001E-2</v>
      </c>
      <c r="U971" s="39">
        <v>44147</v>
      </c>
      <c r="V971" s="37">
        <v>0.25</v>
      </c>
    </row>
    <row r="972" spans="6:22" x14ac:dyDescent="0.2">
      <c r="F972" s="39">
        <v>44160</v>
      </c>
      <c r="G972" s="37">
        <v>0.1</v>
      </c>
      <c r="I972" s="39">
        <v>44182</v>
      </c>
      <c r="J972" s="37">
        <v>-0.55600000000000005</v>
      </c>
      <c r="O972" s="39">
        <v>45153</v>
      </c>
      <c r="P972" s="37">
        <v>5.3</v>
      </c>
      <c r="R972" s="39">
        <v>44154</v>
      </c>
      <c r="S972" s="37">
        <v>5.3600000000000002E-2</v>
      </c>
      <c r="U972" s="39">
        <v>44146</v>
      </c>
      <c r="V972" s="37">
        <v>0.25</v>
      </c>
    </row>
    <row r="973" spans="6:22" x14ac:dyDescent="0.2">
      <c r="F973" s="39">
        <v>44159</v>
      </c>
      <c r="G973" s="37">
        <v>0.1</v>
      </c>
      <c r="I973" s="39">
        <v>44181</v>
      </c>
      <c r="J973" s="37">
        <v>-0.55700000000000005</v>
      </c>
      <c r="O973" s="39">
        <v>45154</v>
      </c>
      <c r="P973" s="37">
        <v>5.3</v>
      </c>
      <c r="R973" s="39">
        <v>44153</v>
      </c>
      <c r="S973" s="37">
        <v>5.3800000000000001E-2</v>
      </c>
      <c r="U973" s="39">
        <v>44145</v>
      </c>
      <c r="V973" s="37">
        <v>0.25</v>
      </c>
    </row>
    <row r="974" spans="6:22" x14ac:dyDescent="0.2">
      <c r="F974" s="39">
        <v>44158</v>
      </c>
      <c r="G974" s="37">
        <v>0.1</v>
      </c>
      <c r="I974" s="39">
        <v>44180</v>
      </c>
      <c r="J974" s="37">
        <v>-0.55100000000000005</v>
      </c>
      <c r="O974" s="39">
        <v>45155</v>
      </c>
      <c r="P974" s="37">
        <v>5.3</v>
      </c>
      <c r="R974" s="39">
        <v>44152</v>
      </c>
      <c r="S974" s="37">
        <v>5.33E-2</v>
      </c>
      <c r="U974" s="39">
        <v>44144</v>
      </c>
      <c r="V974" s="37">
        <v>0.25</v>
      </c>
    </row>
    <row r="975" spans="6:22" x14ac:dyDescent="0.2">
      <c r="F975" s="39">
        <v>44155</v>
      </c>
      <c r="G975" s="37">
        <v>0.1</v>
      </c>
      <c r="I975" s="39">
        <v>44179</v>
      </c>
      <c r="J975" s="37">
        <v>-0.55800000000000005</v>
      </c>
      <c r="O975" s="39">
        <v>45156</v>
      </c>
      <c r="P975" s="37">
        <v>5.3</v>
      </c>
      <c r="R975" s="39">
        <v>44151</v>
      </c>
      <c r="S975" s="37">
        <v>5.3900000000000003E-2</v>
      </c>
      <c r="U975" s="39">
        <v>44141</v>
      </c>
      <c r="V975" s="37">
        <v>0.25</v>
      </c>
    </row>
    <row r="976" spans="6:22" x14ac:dyDescent="0.2">
      <c r="F976" s="39">
        <v>44154</v>
      </c>
      <c r="G976" s="37">
        <v>0.1</v>
      </c>
      <c r="I976" s="39">
        <v>44176</v>
      </c>
      <c r="J976" s="37">
        <v>-0.55700000000000005</v>
      </c>
      <c r="O976" s="39">
        <v>45159</v>
      </c>
      <c r="P976" s="37">
        <v>5.3</v>
      </c>
      <c r="R976" s="39">
        <v>44148</v>
      </c>
      <c r="S976" s="37">
        <v>5.3600000000000002E-2</v>
      </c>
      <c r="U976" s="39">
        <v>44140</v>
      </c>
      <c r="V976" s="37">
        <v>0.25</v>
      </c>
    </row>
    <row r="977" spans="6:22" x14ac:dyDescent="0.2">
      <c r="F977" s="39">
        <v>44153</v>
      </c>
      <c r="G977" s="37">
        <v>0.1</v>
      </c>
      <c r="I977" s="39">
        <v>44175</v>
      </c>
      <c r="J977" s="37">
        <v>-0.55600000000000005</v>
      </c>
      <c r="O977" s="39">
        <v>45160</v>
      </c>
      <c r="P977" s="37">
        <v>5.3</v>
      </c>
      <c r="R977" s="39">
        <v>44147</v>
      </c>
      <c r="S977" s="37">
        <v>5.4199999999999998E-2</v>
      </c>
      <c r="U977" s="39">
        <v>44139</v>
      </c>
      <c r="V977" s="37">
        <v>0.25</v>
      </c>
    </row>
    <row r="978" spans="6:22" x14ac:dyDescent="0.2">
      <c r="F978" s="39">
        <v>44152</v>
      </c>
      <c r="G978" s="37">
        <v>0.1</v>
      </c>
      <c r="I978" s="39">
        <v>44174</v>
      </c>
      <c r="J978" s="37">
        <v>-0.55600000000000005</v>
      </c>
      <c r="O978" s="39">
        <v>45161</v>
      </c>
      <c r="P978" s="37">
        <v>5.3</v>
      </c>
      <c r="R978" s="39">
        <v>44146</v>
      </c>
      <c r="S978" s="37">
        <v>5.3499999999999999E-2</v>
      </c>
      <c r="U978" s="39">
        <v>44138</v>
      </c>
      <c r="V978" s="37">
        <v>0.25</v>
      </c>
    </row>
    <row r="979" spans="6:22" x14ac:dyDescent="0.2">
      <c r="F979" s="39">
        <v>44151</v>
      </c>
      <c r="G979" s="37">
        <v>0.1</v>
      </c>
      <c r="I979" s="39">
        <v>44173</v>
      </c>
      <c r="J979" s="37">
        <v>-0.55900000000000005</v>
      </c>
      <c r="O979" s="39">
        <v>45162</v>
      </c>
      <c r="P979" s="37">
        <v>5.3</v>
      </c>
      <c r="R979" s="39">
        <v>44145</v>
      </c>
      <c r="S979" s="37">
        <v>5.33E-2</v>
      </c>
      <c r="U979" s="39">
        <v>44137</v>
      </c>
      <c r="V979" s="37">
        <v>0.25</v>
      </c>
    </row>
    <row r="980" spans="6:22" x14ac:dyDescent="0.2">
      <c r="F980" s="39">
        <v>44148</v>
      </c>
      <c r="G980" s="37">
        <v>0.1</v>
      </c>
      <c r="I980" s="39">
        <v>44172</v>
      </c>
      <c r="J980" s="37">
        <v>-0.55500000000000005</v>
      </c>
      <c r="O980" s="39">
        <v>45163</v>
      </c>
      <c r="P980" s="37">
        <v>5.3</v>
      </c>
      <c r="R980" s="39">
        <v>44144</v>
      </c>
      <c r="S980" s="37">
        <v>5.3199999999999997E-2</v>
      </c>
      <c r="U980" s="39">
        <v>44134</v>
      </c>
      <c r="V980" s="37">
        <v>0.25</v>
      </c>
    </row>
    <row r="981" spans="6:22" x14ac:dyDescent="0.2">
      <c r="F981" s="39">
        <v>44147</v>
      </c>
      <c r="G981" s="37">
        <v>0.1</v>
      </c>
      <c r="I981" s="39">
        <v>44169</v>
      </c>
      <c r="J981" s="37">
        <v>-0.55500000000000005</v>
      </c>
      <c r="O981" s="39">
        <v>45166</v>
      </c>
      <c r="P981" s="37">
        <v>5.3</v>
      </c>
      <c r="R981" s="39">
        <v>44141</v>
      </c>
      <c r="S981" s="37">
        <v>5.3400000000000003E-2</v>
      </c>
      <c r="U981" s="39">
        <v>44133</v>
      </c>
      <c r="V981" s="37">
        <v>0.25</v>
      </c>
    </row>
    <row r="982" spans="6:22" x14ac:dyDescent="0.2">
      <c r="F982" s="39">
        <v>44146</v>
      </c>
      <c r="G982" s="37">
        <v>0.1</v>
      </c>
      <c r="I982" s="39">
        <v>44168</v>
      </c>
      <c r="J982" s="37">
        <v>-0.55600000000000005</v>
      </c>
      <c r="O982" s="39">
        <v>45167</v>
      </c>
      <c r="P982" s="37">
        <v>5.3</v>
      </c>
      <c r="R982" s="39">
        <v>44140</v>
      </c>
      <c r="S982" s="37">
        <v>5.33E-2</v>
      </c>
      <c r="U982" s="39">
        <v>44132</v>
      </c>
      <c r="V982" s="37">
        <v>0.25</v>
      </c>
    </row>
    <row r="983" spans="6:22" x14ac:dyDescent="0.2">
      <c r="F983" s="39">
        <v>44145</v>
      </c>
      <c r="G983" s="37">
        <v>0.1</v>
      </c>
      <c r="I983" s="39">
        <v>44167</v>
      </c>
      <c r="J983" s="37">
        <v>-0.55600000000000005</v>
      </c>
      <c r="O983" s="39">
        <v>45168</v>
      </c>
      <c r="P983" s="37">
        <v>5.3</v>
      </c>
      <c r="R983" s="39">
        <v>44139</v>
      </c>
      <c r="S983" s="37">
        <v>5.3699999999999998E-2</v>
      </c>
      <c r="U983" s="39">
        <v>44131</v>
      </c>
      <c r="V983" s="37">
        <v>0.25</v>
      </c>
    </row>
    <row r="984" spans="6:22" x14ac:dyDescent="0.2">
      <c r="F984" s="39">
        <v>44144</v>
      </c>
      <c r="G984" s="37">
        <v>0.1</v>
      </c>
      <c r="I984" s="39">
        <v>44166</v>
      </c>
      <c r="J984" s="37">
        <v>-0.55700000000000005</v>
      </c>
      <c r="O984" s="39">
        <v>45169</v>
      </c>
      <c r="P984" s="37">
        <v>5.31</v>
      </c>
      <c r="R984" s="39">
        <v>44138</v>
      </c>
      <c r="S984" s="37">
        <v>5.33E-2</v>
      </c>
      <c r="U984" s="39">
        <v>44127</v>
      </c>
      <c r="V984" s="37">
        <v>0.25</v>
      </c>
    </row>
    <row r="985" spans="6:22" x14ac:dyDescent="0.2">
      <c r="F985" s="39">
        <v>44141</v>
      </c>
      <c r="G985" s="37">
        <v>0.1</v>
      </c>
      <c r="I985" s="39">
        <v>44165</v>
      </c>
      <c r="J985" s="37">
        <v>-0.56000000000000005</v>
      </c>
      <c r="O985" s="39">
        <v>45170</v>
      </c>
      <c r="P985" s="37">
        <v>5.31</v>
      </c>
      <c r="R985" s="39">
        <v>44137</v>
      </c>
      <c r="S985" s="37">
        <v>5.3900000000000003E-2</v>
      </c>
      <c r="U985" s="39">
        <v>44126</v>
      </c>
      <c r="V985" s="37">
        <v>0.25</v>
      </c>
    </row>
    <row r="986" spans="6:22" x14ac:dyDescent="0.2">
      <c r="F986" s="39">
        <v>44140</v>
      </c>
      <c r="G986" s="37">
        <v>0.1</v>
      </c>
      <c r="I986" s="39">
        <v>44162</v>
      </c>
      <c r="J986" s="37">
        <v>-0.55700000000000005</v>
      </c>
      <c r="O986" s="39">
        <v>45174</v>
      </c>
      <c r="P986" s="37">
        <v>5.31</v>
      </c>
      <c r="R986" s="39">
        <v>44134</v>
      </c>
      <c r="S986" s="37">
        <v>5.4699999999999999E-2</v>
      </c>
      <c r="U986" s="39">
        <v>44125</v>
      </c>
      <c r="V986" s="37">
        <v>0.25</v>
      </c>
    </row>
    <row r="987" spans="6:22" x14ac:dyDescent="0.2">
      <c r="F987" s="39">
        <v>44139</v>
      </c>
      <c r="G987" s="37">
        <v>0.1</v>
      </c>
      <c r="I987" s="39">
        <v>44161</v>
      </c>
      <c r="J987" s="37">
        <v>-0.55600000000000005</v>
      </c>
      <c r="O987" s="39">
        <v>45175</v>
      </c>
      <c r="P987" s="37">
        <v>5.3</v>
      </c>
      <c r="R987" s="39">
        <v>44133</v>
      </c>
      <c r="S987" s="37">
        <v>5.4300000000000001E-2</v>
      </c>
      <c r="U987" s="39">
        <v>44124</v>
      </c>
      <c r="V987" s="37">
        <v>0.25</v>
      </c>
    </row>
    <row r="988" spans="6:22" x14ac:dyDescent="0.2">
      <c r="F988" s="39">
        <v>44138</v>
      </c>
      <c r="G988" s="37">
        <v>0.25</v>
      </c>
      <c r="I988" s="39">
        <v>44160</v>
      </c>
      <c r="J988" s="37">
        <v>-0.55400000000000005</v>
      </c>
      <c r="O988" s="39">
        <v>45176</v>
      </c>
      <c r="P988" s="37">
        <v>5.31</v>
      </c>
      <c r="R988" s="39">
        <v>44132</v>
      </c>
      <c r="S988" s="37">
        <v>5.3999999999999999E-2</v>
      </c>
      <c r="U988" s="39">
        <v>44123</v>
      </c>
      <c r="V988" s="37">
        <v>0.25</v>
      </c>
    </row>
    <row r="989" spans="6:22" x14ac:dyDescent="0.2">
      <c r="F989" s="39">
        <v>44137</v>
      </c>
      <c r="G989" s="37">
        <v>0.25</v>
      </c>
      <c r="I989" s="39">
        <v>44159</v>
      </c>
      <c r="J989" s="37">
        <v>-0.55600000000000005</v>
      </c>
      <c r="O989" s="39">
        <v>45177</v>
      </c>
      <c r="P989" s="37">
        <v>5.3</v>
      </c>
      <c r="R989" s="39">
        <v>44131</v>
      </c>
      <c r="S989" s="37">
        <v>5.4199999999999998E-2</v>
      </c>
      <c r="U989" s="39">
        <v>44120</v>
      </c>
      <c r="V989" s="37">
        <v>0.25</v>
      </c>
    </row>
    <row r="990" spans="6:22" x14ac:dyDescent="0.2">
      <c r="F990" s="39">
        <v>44134</v>
      </c>
      <c r="G990" s="37">
        <v>0.25</v>
      </c>
      <c r="I990" s="39">
        <v>44158</v>
      </c>
      <c r="J990" s="37">
        <v>-0.55700000000000005</v>
      </c>
      <c r="O990" s="39">
        <v>45180</v>
      </c>
      <c r="P990" s="37">
        <v>5.3</v>
      </c>
      <c r="R990" s="39">
        <v>44130</v>
      </c>
      <c r="S990" s="37">
        <v>5.4100000000000002E-2</v>
      </c>
      <c r="U990" s="39">
        <v>44119</v>
      </c>
      <c r="V990" s="37">
        <v>0.25</v>
      </c>
    </row>
    <row r="991" spans="6:22" x14ac:dyDescent="0.2">
      <c r="F991" s="39">
        <v>44133</v>
      </c>
      <c r="G991" s="37">
        <v>0.25</v>
      </c>
      <c r="I991" s="39">
        <v>44155</v>
      </c>
      <c r="J991" s="37">
        <v>-0.55700000000000005</v>
      </c>
      <c r="O991" s="39">
        <v>45181</v>
      </c>
      <c r="P991" s="37">
        <v>5.3</v>
      </c>
      <c r="R991" s="39">
        <v>44127</v>
      </c>
      <c r="S991" s="37">
        <v>5.3800000000000001E-2</v>
      </c>
      <c r="U991" s="39">
        <v>44118</v>
      </c>
      <c r="V991" s="37">
        <v>0.25</v>
      </c>
    </row>
    <row r="992" spans="6:22" x14ac:dyDescent="0.2">
      <c r="F992" s="39">
        <v>44132</v>
      </c>
      <c r="G992" s="37">
        <v>0.25</v>
      </c>
      <c r="I992" s="39">
        <v>44154</v>
      </c>
      <c r="J992" s="37">
        <v>-0.55700000000000005</v>
      </c>
      <c r="O992" s="39">
        <v>45182</v>
      </c>
      <c r="P992" s="37">
        <v>5.3</v>
      </c>
      <c r="R992" s="39">
        <v>44126</v>
      </c>
      <c r="S992" s="37">
        <v>5.4300000000000001E-2</v>
      </c>
      <c r="U992" s="39">
        <v>44117</v>
      </c>
      <c r="V992" s="37">
        <v>0.25</v>
      </c>
    </row>
    <row r="993" spans="6:22" x14ac:dyDescent="0.2">
      <c r="F993" s="39">
        <v>44131</v>
      </c>
      <c r="G993" s="37">
        <v>0.25</v>
      </c>
      <c r="I993" s="39">
        <v>44153</v>
      </c>
      <c r="J993" s="37">
        <v>-0.55700000000000005</v>
      </c>
      <c r="O993" s="39">
        <v>45183</v>
      </c>
      <c r="P993" s="37">
        <v>5.3</v>
      </c>
      <c r="R993" s="39">
        <v>44125</v>
      </c>
      <c r="S993" s="37">
        <v>5.3600000000000002E-2</v>
      </c>
      <c r="U993" s="39">
        <v>44116</v>
      </c>
      <c r="V993" s="37">
        <v>0.25</v>
      </c>
    </row>
    <row r="994" spans="6:22" x14ac:dyDescent="0.2">
      <c r="F994" s="39">
        <v>44130</v>
      </c>
      <c r="G994" s="37">
        <v>0.25</v>
      </c>
      <c r="I994" s="39">
        <v>44152</v>
      </c>
      <c r="J994" s="37">
        <v>-0.55700000000000005</v>
      </c>
      <c r="O994" s="39">
        <v>45184</v>
      </c>
      <c r="P994" s="37">
        <v>5.31</v>
      </c>
      <c r="R994" s="39">
        <v>44124</v>
      </c>
      <c r="S994" s="37">
        <v>5.33E-2</v>
      </c>
      <c r="U994" s="39">
        <v>44113</v>
      </c>
      <c r="V994" s="37">
        <v>0.25</v>
      </c>
    </row>
    <row r="995" spans="6:22" x14ac:dyDescent="0.2">
      <c r="F995" s="39">
        <v>44127</v>
      </c>
      <c r="G995" s="37">
        <v>0.25</v>
      </c>
      <c r="I995" s="39">
        <v>44151</v>
      </c>
      <c r="J995" s="37">
        <v>-0.55800000000000005</v>
      </c>
      <c r="O995" s="39">
        <v>45187</v>
      </c>
      <c r="P995" s="37">
        <v>5.31</v>
      </c>
      <c r="R995" s="39">
        <v>44123</v>
      </c>
      <c r="S995" s="37">
        <v>5.3499999999999999E-2</v>
      </c>
      <c r="U995" s="39">
        <v>44112</v>
      </c>
      <c r="V995" s="37">
        <v>0.25</v>
      </c>
    </row>
    <row r="996" spans="6:22" x14ac:dyDescent="0.2">
      <c r="F996" s="39">
        <v>44126</v>
      </c>
      <c r="G996" s="37">
        <v>0.25</v>
      </c>
      <c r="I996" s="39">
        <v>44148</v>
      </c>
      <c r="J996" s="37">
        <v>-0.55600000000000005</v>
      </c>
      <c r="O996" s="39">
        <v>45188</v>
      </c>
      <c r="P996" s="37">
        <v>5.31</v>
      </c>
      <c r="R996" s="39">
        <v>44120</v>
      </c>
      <c r="S996" s="37">
        <v>5.33E-2</v>
      </c>
      <c r="U996" s="39">
        <v>44111</v>
      </c>
      <c r="V996" s="37">
        <v>0.25</v>
      </c>
    </row>
    <row r="997" spans="6:22" x14ac:dyDescent="0.2">
      <c r="F997" s="39">
        <v>44125</v>
      </c>
      <c r="G997" s="37">
        <v>0.25</v>
      </c>
      <c r="I997" s="39">
        <v>44147</v>
      </c>
      <c r="J997" s="37">
        <v>-0.54800000000000004</v>
      </c>
      <c r="O997" s="39">
        <v>45189</v>
      </c>
      <c r="P997" s="37">
        <v>5.3</v>
      </c>
      <c r="R997" s="39">
        <v>44119</v>
      </c>
      <c r="S997" s="37">
        <v>5.3400000000000003E-2</v>
      </c>
      <c r="U997" s="39">
        <v>44110</v>
      </c>
      <c r="V997" s="37">
        <v>0.25</v>
      </c>
    </row>
    <row r="998" spans="6:22" x14ac:dyDescent="0.2">
      <c r="F998" s="39">
        <v>44124</v>
      </c>
      <c r="G998" s="37">
        <v>0.25</v>
      </c>
      <c r="I998" s="39">
        <v>44146</v>
      </c>
      <c r="J998" s="37">
        <v>-0.55800000000000005</v>
      </c>
      <c r="O998" s="39">
        <v>45190</v>
      </c>
      <c r="P998" s="37">
        <v>5.3</v>
      </c>
      <c r="R998" s="39">
        <v>44118</v>
      </c>
      <c r="S998" s="37">
        <v>5.3800000000000001E-2</v>
      </c>
      <c r="U998" s="39">
        <v>44109</v>
      </c>
      <c r="V998" s="37">
        <v>0.25</v>
      </c>
    </row>
    <row r="999" spans="6:22" x14ac:dyDescent="0.2">
      <c r="F999" s="39">
        <v>44123</v>
      </c>
      <c r="G999" s="37">
        <v>0.25</v>
      </c>
      <c r="I999" s="39">
        <v>44145</v>
      </c>
      <c r="J999" s="37">
        <v>-0.55700000000000005</v>
      </c>
      <c r="O999" s="39">
        <v>45191</v>
      </c>
      <c r="P999" s="37">
        <v>5.3</v>
      </c>
      <c r="R999" s="39">
        <v>44117</v>
      </c>
      <c r="S999" s="37">
        <v>5.3100000000000001E-2</v>
      </c>
      <c r="U999" s="39">
        <v>44106</v>
      </c>
      <c r="V999" s="37">
        <v>0.25</v>
      </c>
    </row>
    <row r="1000" spans="6:22" x14ac:dyDescent="0.2">
      <c r="F1000" s="39">
        <v>44120</v>
      </c>
      <c r="G1000" s="37">
        <v>0.25</v>
      </c>
      <c r="I1000" s="39">
        <v>44144</v>
      </c>
      <c r="J1000" s="37">
        <v>-0.55800000000000005</v>
      </c>
      <c r="O1000" s="39">
        <v>45194</v>
      </c>
      <c r="P1000" s="37">
        <v>5.31</v>
      </c>
      <c r="R1000" s="39">
        <v>44116</v>
      </c>
      <c r="S1000" s="37">
        <v>5.4199999999999998E-2</v>
      </c>
      <c r="U1000" s="39">
        <v>44105</v>
      </c>
      <c r="V1000" s="37">
        <v>0.25</v>
      </c>
    </row>
    <row r="1001" spans="6:22" x14ac:dyDescent="0.2">
      <c r="F1001" s="39">
        <v>44119</v>
      </c>
      <c r="G1001" s="37">
        <v>0.25</v>
      </c>
      <c r="I1001" s="39">
        <v>44141</v>
      </c>
      <c r="J1001" s="37">
        <v>-0.55800000000000005</v>
      </c>
      <c r="O1001" s="39">
        <v>45195</v>
      </c>
      <c r="P1001" s="37">
        <v>5.31</v>
      </c>
      <c r="R1001" s="39">
        <v>44113</v>
      </c>
      <c r="S1001" s="37">
        <v>5.3800000000000001E-2</v>
      </c>
      <c r="U1001" s="39">
        <v>44104</v>
      </c>
      <c r="V1001" s="37">
        <v>0.25</v>
      </c>
    </row>
    <row r="1002" spans="6:22" x14ac:dyDescent="0.2">
      <c r="F1002" s="39">
        <v>44118</v>
      </c>
      <c r="G1002" s="37">
        <v>0.25</v>
      </c>
      <c r="I1002" s="39">
        <v>44140</v>
      </c>
      <c r="J1002" s="37">
        <v>-0.55600000000000005</v>
      </c>
      <c r="O1002" s="39">
        <v>45196</v>
      </c>
      <c r="P1002" s="37">
        <v>5.32</v>
      </c>
      <c r="R1002" s="39">
        <v>44112</v>
      </c>
      <c r="S1002" s="37">
        <v>5.3900000000000003E-2</v>
      </c>
      <c r="U1002" s="39">
        <v>44103</v>
      </c>
      <c r="V1002" s="37">
        <v>0.25</v>
      </c>
    </row>
    <row r="1003" spans="6:22" x14ac:dyDescent="0.2">
      <c r="F1003" s="39">
        <v>44117</v>
      </c>
      <c r="G1003" s="37">
        <v>0.25</v>
      </c>
      <c r="I1003" s="39">
        <v>44139</v>
      </c>
      <c r="J1003" s="37">
        <v>-0.55800000000000005</v>
      </c>
      <c r="O1003" s="39">
        <v>45197</v>
      </c>
      <c r="P1003" s="37">
        <v>5.31</v>
      </c>
      <c r="R1003" s="39">
        <v>44111</v>
      </c>
      <c r="S1003" s="37">
        <v>5.3999999999999999E-2</v>
      </c>
      <c r="U1003" s="39">
        <v>44102</v>
      </c>
      <c r="V1003" s="37">
        <v>0.25</v>
      </c>
    </row>
    <row r="1004" spans="6:22" x14ac:dyDescent="0.2">
      <c r="F1004" s="39">
        <v>44116</v>
      </c>
      <c r="G1004" s="37">
        <v>0.25</v>
      </c>
      <c r="I1004" s="39">
        <v>44138</v>
      </c>
      <c r="J1004" s="37">
        <v>-0.55300000000000005</v>
      </c>
      <c r="O1004" s="39">
        <v>45198</v>
      </c>
      <c r="P1004" s="37">
        <v>5.31</v>
      </c>
      <c r="R1004" s="39">
        <v>44110</v>
      </c>
      <c r="S1004" s="37">
        <v>5.3699999999999998E-2</v>
      </c>
      <c r="U1004" s="39">
        <v>44099</v>
      </c>
      <c r="V1004" s="37">
        <v>0.25</v>
      </c>
    </row>
    <row r="1005" spans="6:22" x14ac:dyDescent="0.2">
      <c r="F1005" s="39">
        <v>44113</v>
      </c>
      <c r="G1005" s="37">
        <v>0.25</v>
      </c>
      <c r="I1005" s="39">
        <v>44137</v>
      </c>
      <c r="J1005" s="37">
        <v>-0.55500000000000005</v>
      </c>
      <c r="O1005" s="39">
        <v>45201</v>
      </c>
      <c r="P1005" s="37">
        <v>5.32</v>
      </c>
      <c r="R1005" s="39">
        <v>44109</v>
      </c>
      <c r="S1005" s="37">
        <v>5.3900000000000003E-2</v>
      </c>
      <c r="U1005" s="39">
        <v>44098</v>
      </c>
      <c r="V1005" s="37">
        <v>0.25</v>
      </c>
    </row>
    <row r="1006" spans="6:22" x14ac:dyDescent="0.2">
      <c r="F1006" s="39">
        <v>44112</v>
      </c>
      <c r="G1006" s="37">
        <v>0.25</v>
      </c>
      <c r="I1006" s="39">
        <v>44134</v>
      </c>
      <c r="J1006" s="37">
        <v>-0.55700000000000005</v>
      </c>
      <c r="O1006" s="39">
        <v>45202</v>
      </c>
      <c r="P1006" s="37">
        <v>5.33</v>
      </c>
      <c r="R1006" s="39">
        <v>44106</v>
      </c>
      <c r="S1006" s="37">
        <v>5.3900000000000003E-2</v>
      </c>
      <c r="U1006" s="39">
        <v>44097</v>
      </c>
      <c r="V1006" s="37">
        <v>0.25</v>
      </c>
    </row>
    <row r="1007" spans="6:22" x14ac:dyDescent="0.2">
      <c r="F1007" s="39">
        <v>44111</v>
      </c>
      <c r="G1007" s="37">
        <v>0.25</v>
      </c>
      <c r="I1007" s="39">
        <v>44133</v>
      </c>
      <c r="J1007" s="37">
        <v>-0.55200000000000005</v>
      </c>
      <c r="O1007" s="39">
        <v>45203</v>
      </c>
      <c r="P1007" s="37">
        <v>5.32</v>
      </c>
      <c r="R1007" s="39">
        <v>44105</v>
      </c>
      <c r="S1007" s="37">
        <v>5.3800000000000001E-2</v>
      </c>
      <c r="U1007" s="39">
        <v>44096</v>
      </c>
      <c r="V1007" s="37">
        <v>0.25</v>
      </c>
    </row>
    <row r="1008" spans="6:22" x14ac:dyDescent="0.2">
      <c r="F1008" s="39">
        <v>44110</v>
      </c>
      <c r="G1008" s="37">
        <v>0.25</v>
      </c>
      <c r="I1008" s="39">
        <v>44132</v>
      </c>
      <c r="J1008" s="37">
        <v>-0.55500000000000005</v>
      </c>
      <c r="O1008" s="39">
        <v>45204</v>
      </c>
      <c r="P1008" s="37">
        <v>5.32</v>
      </c>
      <c r="R1008" s="39">
        <v>44104</v>
      </c>
      <c r="S1008" s="37">
        <v>5.0900000000000001E-2</v>
      </c>
      <c r="U1008" s="39">
        <v>44095</v>
      </c>
      <c r="V1008" s="37">
        <v>0.25</v>
      </c>
    </row>
    <row r="1009" spans="6:22" x14ac:dyDescent="0.2">
      <c r="F1009" s="39">
        <v>44109</v>
      </c>
      <c r="G1009" s="37">
        <v>0.25</v>
      </c>
      <c r="I1009" s="39">
        <v>44131</v>
      </c>
      <c r="J1009" s="37">
        <v>-0.55400000000000005</v>
      </c>
      <c r="O1009" s="39">
        <v>45205</v>
      </c>
      <c r="P1009" s="37">
        <v>5.31</v>
      </c>
      <c r="R1009" s="39">
        <v>44103</v>
      </c>
      <c r="S1009" s="37">
        <v>5.33E-2</v>
      </c>
      <c r="U1009" s="39">
        <v>44092</v>
      </c>
      <c r="V1009" s="37">
        <v>0.25</v>
      </c>
    </row>
    <row r="1010" spans="6:22" x14ac:dyDescent="0.2">
      <c r="F1010" s="39">
        <v>44106</v>
      </c>
      <c r="G1010" s="37">
        <v>0.25</v>
      </c>
      <c r="I1010" s="39">
        <v>44130</v>
      </c>
      <c r="J1010" s="37">
        <v>-0.55200000000000005</v>
      </c>
      <c r="O1010" s="39">
        <v>45209</v>
      </c>
      <c r="P1010" s="37">
        <v>5.31</v>
      </c>
      <c r="R1010" s="39">
        <v>44102</v>
      </c>
      <c r="S1010" s="37">
        <v>5.4100000000000002E-2</v>
      </c>
      <c r="U1010" s="39">
        <v>44091</v>
      </c>
      <c r="V1010" s="37">
        <v>0.25</v>
      </c>
    </row>
    <row r="1011" spans="6:22" x14ac:dyDescent="0.2">
      <c r="F1011" s="39">
        <v>44105</v>
      </c>
      <c r="G1011" s="37">
        <v>0.25</v>
      </c>
      <c r="I1011" s="39">
        <v>44127</v>
      </c>
      <c r="J1011" s="37">
        <v>-0.55300000000000005</v>
      </c>
      <c r="O1011" s="39">
        <v>45210</v>
      </c>
      <c r="P1011" s="37">
        <v>5.31</v>
      </c>
      <c r="R1011" s="39">
        <v>44099</v>
      </c>
      <c r="S1011" s="37">
        <v>5.4100000000000002E-2</v>
      </c>
      <c r="U1011" s="39">
        <v>44090</v>
      </c>
      <c r="V1011" s="37">
        <v>0.25</v>
      </c>
    </row>
    <row r="1012" spans="6:22" x14ac:dyDescent="0.2">
      <c r="F1012" s="39">
        <v>44104</v>
      </c>
      <c r="G1012" s="37">
        <v>0.25</v>
      </c>
      <c r="I1012" s="39">
        <v>44126</v>
      </c>
      <c r="J1012" s="37">
        <v>-0.55400000000000005</v>
      </c>
      <c r="O1012" s="39">
        <v>45211</v>
      </c>
      <c r="P1012" s="37">
        <v>5.31</v>
      </c>
      <c r="R1012" s="39">
        <v>44098</v>
      </c>
      <c r="S1012" s="37">
        <v>5.3900000000000003E-2</v>
      </c>
      <c r="U1012" s="39">
        <v>44089</v>
      </c>
      <c r="V1012" s="37">
        <v>0.25</v>
      </c>
    </row>
    <row r="1013" spans="6:22" x14ac:dyDescent="0.2">
      <c r="F1013" s="39">
        <v>44103</v>
      </c>
      <c r="G1013" s="37">
        <v>0.25</v>
      </c>
      <c r="I1013" s="39">
        <v>44125</v>
      </c>
      <c r="J1013" s="37">
        <v>-0.55200000000000005</v>
      </c>
      <c r="O1013" s="39">
        <v>45212</v>
      </c>
      <c r="P1013" s="37">
        <v>5.31</v>
      </c>
      <c r="R1013" s="39">
        <v>44097</v>
      </c>
      <c r="S1013" s="37">
        <v>5.3900000000000003E-2</v>
      </c>
      <c r="U1013" s="39">
        <v>44088</v>
      </c>
      <c r="V1013" s="37">
        <v>0.25</v>
      </c>
    </row>
    <row r="1014" spans="6:22" x14ac:dyDescent="0.2">
      <c r="F1014" s="39">
        <v>44102</v>
      </c>
      <c r="G1014" s="37">
        <v>0.25</v>
      </c>
      <c r="I1014" s="39">
        <v>44124</v>
      </c>
      <c r="J1014" s="37">
        <v>-0.55300000000000005</v>
      </c>
      <c r="O1014" s="39">
        <v>45215</v>
      </c>
      <c r="P1014" s="37">
        <v>5.31</v>
      </c>
      <c r="R1014" s="39">
        <v>44096</v>
      </c>
      <c r="S1014" s="37">
        <v>5.4100000000000002E-2</v>
      </c>
      <c r="U1014" s="39">
        <v>44085</v>
      </c>
      <c r="V1014" s="37">
        <v>0.25</v>
      </c>
    </row>
    <row r="1015" spans="6:22" x14ac:dyDescent="0.2">
      <c r="F1015" s="39">
        <v>44099</v>
      </c>
      <c r="G1015" s="37">
        <v>0.25</v>
      </c>
      <c r="I1015" s="39">
        <v>44123</v>
      </c>
      <c r="J1015" s="37">
        <v>-0.55300000000000005</v>
      </c>
      <c r="O1015" s="39">
        <v>45216</v>
      </c>
      <c r="P1015" s="37">
        <v>5.31</v>
      </c>
      <c r="R1015" s="39">
        <v>44095</v>
      </c>
      <c r="S1015" s="37">
        <v>5.3800000000000001E-2</v>
      </c>
      <c r="U1015" s="39">
        <v>44084</v>
      </c>
      <c r="V1015" s="37">
        <v>0.25</v>
      </c>
    </row>
    <row r="1016" spans="6:22" x14ac:dyDescent="0.2">
      <c r="F1016" s="39">
        <v>44098</v>
      </c>
      <c r="G1016" s="37">
        <v>0.25</v>
      </c>
      <c r="I1016" s="39">
        <v>44120</v>
      </c>
      <c r="J1016" s="37">
        <v>-0.55300000000000005</v>
      </c>
      <c r="O1016" s="39">
        <v>45217</v>
      </c>
      <c r="P1016" s="37">
        <v>5.3</v>
      </c>
      <c r="R1016" s="39">
        <v>44092</v>
      </c>
      <c r="S1016" s="37">
        <v>5.3999999999999999E-2</v>
      </c>
      <c r="U1016" s="39">
        <v>44083</v>
      </c>
      <c r="V1016" s="37">
        <v>0.25</v>
      </c>
    </row>
    <row r="1017" spans="6:22" x14ac:dyDescent="0.2">
      <c r="F1017" s="39">
        <v>44097</v>
      </c>
      <c r="G1017" s="37">
        <v>0.25</v>
      </c>
      <c r="I1017" s="39">
        <v>44119</v>
      </c>
      <c r="J1017" s="37">
        <v>-0.55600000000000005</v>
      </c>
      <c r="O1017" s="39">
        <v>45218</v>
      </c>
      <c r="P1017" s="37">
        <v>5.3</v>
      </c>
      <c r="R1017" s="39">
        <v>44091</v>
      </c>
      <c r="S1017" s="37">
        <v>5.4600000000000003E-2</v>
      </c>
      <c r="U1017" s="39">
        <v>44082</v>
      </c>
      <c r="V1017" s="37">
        <v>0.25</v>
      </c>
    </row>
    <row r="1018" spans="6:22" x14ac:dyDescent="0.2">
      <c r="F1018" s="39">
        <v>44096</v>
      </c>
      <c r="G1018" s="37">
        <v>0.25</v>
      </c>
      <c r="I1018" s="39">
        <v>44118</v>
      </c>
      <c r="J1018" s="37">
        <v>-0.55600000000000005</v>
      </c>
      <c r="O1018" s="39">
        <v>45219</v>
      </c>
      <c r="P1018" s="37">
        <v>5.3</v>
      </c>
      <c r="R1018" s="39">
        <v>44090</v>
      </c>
      <c r="S1018" s="37">
        <v>5.5800000000000002E-2</v>
      </c>
      <c r="U1018" s="39">
        <v>44081</v>
      </c>
      <c r="V1018" s="37">
        <v>0.25</v>
      </c>
    </row>
    <row r="1019" spans="6:22" x14ac:dyDescent="0.2">
      <c r="F1019" s="39">
        <v>44095</v>
      </c>
      <c r="G1019" s="37">
        <v>0.25</v>
      </c>
      <c r="I1019" s="39">
        <v>44117</v>
      </c>
      <c r="J1019" s="37">
        <v>-0.55500000000000005</v>
      </c>
      <c r="O1019" s="39">
        <v>45222</v>
      </c>
      <c r="P1019" s="37">
        <v>5.3</v>
      </c>
      <c r="R1019" s="39">
        <v>44089</v>
      </c>
      <c r="S1019" s="37">
        <v>5.5599999999999997E-2</v>
      </c>
      <c r="U1019" s="39">
        <v>44078</v>
      </c>
      <c r="V1019" s="37">
        <v>0.25</v>
      </c>
    </row>
    <row r="1020" spans="6:22" x14ac:dyDescent="0.2">
      <c r="F1020" s="39">
        <v>44092</v>
      </c>
      <c r="G1020" s="37">
        <v>0.25</v>
      </c>
      <c r="I1020" s="39">
        <v>44116</v>
      </c>
      <c r="J1020" s="37">
        <v>-0.55600000000000005</v>
      </c>
      <c r="O1020" s="39">
        <v>45223</v>
      </c>
      <c r="P1020" s="37">
        <v>5.3</v>
      </c>
      <c r="R1020" s="39">
        <v>44088</v>
      </c>
      <c r="S1020" s="37">
        <v>5.57E-2</v>
      </c>
      <c r="U1020" s="39">
        <v>44077</v>
      </c>
      <c r="V1020" s="37">
        <v>0.25</v>
      </c>
    </row>
    <row r="1021" spans="6:22" x14ac:dyDescent="0.2">
      <c r="F1021" s="39">
        <v>44091</v>
      </c>
      <c r="G1021" s="37">
        <v>0.25</v>
      </c>
      <c r="I1021" s="39">
        <v>44113</v>
      </c>
      <c r="J1021" s="37">
        <v>-0.55300000000000005</v>
      </c>
      <c r="O1021" s="39">
        <v>45224</v>
      </c>
      <c r="P1021" s="37">
        <v>5.3</v>
      </c>
      <c r="R1021" s="39">
        <v>44085</v>
      </c>
      <c r="S1021" s="37">
        <v>5.6899999999999999E-2</v>
      </c>
      <c r="U1021" s="39">
        <v>44076</v>
      </c>
      <c r="V1021" s="37">
        <v>0.25</v>
      </c>
    </row>
    <row r="1022" spans="6:22" x14ac:dyDescent="0.2">
      <c r="F1022" s="39">
        <v>44090</v>
      </c>
      <c r="G1022" s="37">
        <v>0.25</v>
      </c>
      <c r="I1022" s="39">
        <v>44112</v>
      </c>
      <c r="J1022" s="37">
        <v>-0.55300000000000005</v>
      </c>
      <c r="O1022" s="39">
        <v>45225</v>
      </c>
      <c r="P1022" s="37">
        <v>5.31</v>
      </c>
      <c r="R1022" s="39">
        <v>44084</v>
      </c>
      <c r="S1022" s="37">
        <v>5.5199999999999999E-2</v>
      </c>
      <c r="U1022" s="39">
        <v>44075</v>
      </c>
      <c r="V1022" s="37">
        <v>0.25</v>
      </c>
    </row>
    <row r="1023" spans="6:22" x14ac:dyDescent="0.2">
      <c r="F1023" s="39">
        <v>44089</v>
      </c>
      <c r="G1023" s="37">
        <v>0.25</v>
      </c>
      <c r="I1023" s="39">
        <v>44111</v>
      </c>
      <c r="J1023" s="37">
        <v>-0.55500000000000005</v>
      </c>
      <c r="O1023" s="39">
        <v>45226</v>
      </c>
      <c r="P1023" s="37">
        <v>5.31</v>
      </c>
      <c r="R1023" s="39">
        <v>44083</v>
      </c>
      <c r="S1023" s="37">
        <v>5.5E-2</v>
      </c>
      <c r="U1023" s="39">
        <v>44074</v>
      </c>
      <c r="V1023" s="37">
        <v>0.25</v>
      </c>
    </row>
    <row r="1024" spans="6:22" x14ac:dyDescent="0.2">
      <c r="F1024" s="39">
        <v>44088</v>
      </c>
      <c r="G1024" s="37">
        <v>0.25</v>
      </c>
      <c r="I1024" s="39">
        <v>44110</v>
      </c>
      <c r="J1024" s="37">
        <v>-0.55600000000000005</v>
      </c>
      <c r="O1024" s="39">
        <v>45229</v>
      </c>
      <c r="P1024" s="37">
        <v>5.31</v>
      </c>
      <c r="R1024" s="39">
        <v>44082</v>
      </c>
      <c r="S1024" s="37">
        <v>5.57E-2</v>
      </c>
      <c r="U1024" s="39">
        <v>44071</v>
      </c>
      <c r="V1024" s="37">
        <v>0.25</v>
      </c>
    </row>
    <row r="1025" spans="6:22" x14ac:dyDescent="0.2">
      <c r="F1025" s="39">
        <v>44085</v>
      </c>
      <c r="G1025" s="37">
        <v>0.25</v>
      </c>
      <c r="I1025" s="39">
        <v>44109</v>
      </c>
      <c r="J1025" s="37">
        <v>-0.55500000000000005</v>
      </c>
      <c r="O1025" s="39">
        <v>45230</v>
      </c>
      <c r="P1025" s="37">
        <v>5.35</v>
      </c>
      <c r="R1025" s="39">
        <v>44081</v>
      </c>
      <c r="S1025" s="37">
        <v>5.5599999999999997E-2</v>
      </c>
      <c r="U1025" s="39">
        <v>44070</v>
      </c>
      <c r="V1025" s="37">
        <v>0.25</v>
      </c>
    </row>
    <row r="1026" spans="6:22" x14ac:dyDescent="0.2">
      <c r="F1026" s="39">
        <v>44084</v>
      </c>
      <c r="G1026" s="37">
        <v>0.25</v>
      </c>
      <c r="I1026" s="39">
        <v>44106</v>
      </c>
      <c r="J1026" s="37">
        <v>-0.55500000000000005</v>
      </c>
      <c r="O1026" s="39">
        <v>45231</v>
      </c>
      <c r="P1026" s="37">
        <v>5.32</v>
      </c>
      <c r="R1026" s="39">
        <v>44078</v>
      </c>
      <c r="S1026" s="37">
        <v>5.6000000000000001E-2</v>
      </c>
      <c r="U1026" s="39">
        <v>44069</v>
      </c>
      <c r="V1026" s="37">
        <v>0.25</v>
      </c>
    </row>
    <row r="1027" spans="6:22" x14ac:dyDescent="0.2">
      <c r="F1027" s="39">
        <v>44083</v>
      </c>
      <c r="G1027" s="37">
        <v>0.25</v>
      </c>
      <c r="I1027" s="39">
        <v>44105</v>
      </c>
      <c r="J1027" s="37">
        <v>-0.55800000000000005</v>
      </c>
      <c r="O1027" s="39">
        <v>45232</v>
      </c>
      <c r="P1027" s="37">
        <v>5.33</v>
      </c>
      <c r="R1027" s="39">
        <v>44077</v>
      </c>
      <c r="S1027" s="37">
        <v>5.6099999999999997E-2</v>
      </c>
      <c r="U1027" s="39">
        <v>44068</v>
      </c>
      <c r="V1027" s="37">
        <v>0.25</v>
      </c>
    </row>
    <row r="1028" spans="6:22" x14ac:dyDescent="0.2">
      <c r="F1028" s="39">
        <v>44082</v>
      </c>
      <c r="G1028" s="37">
        <v>0.25</v>
      </c>
      <c r="I1028" s="39">
        <v>44104</v>
      </c>
      <c r="J1028" s="37">
        <v>-0.56999999999999995</v>
      </c>
      <c r="O1028" s="39">
        <v>45233</v>
      </c>
      <c r="P1028" s="37">
        <v>5.32</v>
      </c>
      <c r="R1028" s="39">
        <v>44076</v>
      </c>
      <c r="S1028" s="37">
        <v>5.4699999999999999E-2</v>
      </c>
      <c r="U1028" s="39">
        <v>44067</v>
      </c>
      <c r="V1028" s="37">
        <v>0.25</v>
      </c>
    </row>
    <row r="1029" spans="6:22" x14ac:dyDescent="0.2">
      <c r="F1029" s="39">
        <v>44081</v>
      </c>
      <c r="G1029" s="37">
        <v>0.25</v>
      </c>
      <c r="I1029" s="39">
        <v>44103</v>
      </c>
      <c r="J1029" s="37">
        <v>-0.55600000000000005</v>
      </c>
      <c r="O1029" s="39">
        <v>45236</v>
      </c>
      <c r="P1029" s="37">
        <v>5.32</v>
      </c>
      <c r="R1029" s="39">
        <v>44075</v>
      </c>
      <c r="S1029" s="37">
        <v>5.5199999999999999E-2</v>
      </c>
      <c r="U1029" s="39">
        <v>44064</v>
      </c>
      <c r="V1029" s="37">
        <v>0.25</v>
      </c>
    </row>
    <row r="1030" spans="6:22" x14ac:dyDescent="0.2">
      <c r="F1030" s="39">
        <v>44078</v>
      </c>
      <c r="G1030" s="37">
        <v>0.25</v>
      </c>
      <c r="I1030" s="39">
        <v>44102</v>
      </c>
      <c r="J1030" s="37">
        <v>-0.55500000000000005</v>
      </c>
      <c r="O1030" s="39">
        <v>45237</v>
      </c>
      <c r="P1030" s="37">
        <v>5.32</v>
      </c>
      <c r="R1030" s="39">
        <v>44071</v>
      </c>
      <c r="S1030" s="37">
        <v>5.45E-2</v>
      </c>
      <c r="U1030" s="39">
        <v>44063</v>
      </c>
      <c r="V1030" s="37">
        <v>0.25</v>
      </c>
    </row>
    <row r="1031" spans="6:22" x14ac:dyDescent="0.2">
      <c r="F1031" s="39">
        <v>44077</v>
      </c>
      <c r="G1031" s="37">
        <v>0.25</v>
      </c>
      <c r="I1031" s="39">
        <v>44099</v>
      </c>
      <c r="J1031" s="37">
        <v>-0.55400000000000005</v>
      </c>
      <c r="O1031" s="39">
        <v>45238</v>
      </c>
      <c r="P1031" s="37">
        <v>5.32</v>
      </c>
      <c r="R1031" s="39">
        <v>44070</v>
      </c>
      <c r="S1031" s="37">
        <v>5.5899999999999998E-2</v>
      </c>
      <c r="U1031" s="39">
        <v>44062</v>
      </c>
      <c r="V1031" s="37">
        <v>0.25</v>
      </c>
    </row>
    <row r="1032" spans="6:22" x14ac:dyDescent="0.2">
      <c r="F1032" s="39">
        <v>44076</v>
      </c>
      <c r="G1032" s="37">
        <v>0.25</v>
      </c>
      <c r="I1032" s="39">
        <v>44098</v>
      </c>
      <c r="J1032" s="37">
        <v>-0.55300000000000005</v>
      </c>
      <c r="O1032" s="39">
        <v>45239</v>
      </c>
      <c r="P1032" s="37">
        <v>5.32</v>
      </c>
      <c r="R1032" s="39">
        <v>44069</v>
      </c>
      <c r="S1032" s="37">
        <v>5.4699999999999999E-2</v>
      </c>
      <c r="U1032" s="39">
        <v>44061</v>
      </c>
      <c r="V1032" s="37">
        <v>0.25</v>
      </c>
    </row>
    <row r="1033" spans="6:22" x14ac:dyDescent="0.2">
      <c r="F1033" s="39">
        <v>44075</v>
      </c>
      <c r="G1033" s="37">
        <v>0.25</v>
      </c>
      <c r="I1033" s="39">
        <v>44097</v>
      </c>
      <c r="J1033" s="37">
        <v>-0.55100000000000005</v>
      </c>
      <c r="O1033" s="39">
        <v>45240</v>
      </c>
      <c r="P1033" s="37">
        <v>5.32</v>
      </c>
      <c r="R1033" s="39">
        <v>44068</v>
      </c>
      <c r="S1033" s="37">
        <v>5.5300000000000002E-2</v>
      </c>
      <c r="U1033" s="39">
        <v>44060</v>
      </c>
      <c r="V1033" s="37">
        <v>0.25</v>
      </c>
    </row>
    <row r="1034" spans="6:22" x14ac:dyDescent="0.2">
      <c r="F1034" s="39">
        <v>44074</v>
      </c>
      <c r="G1034" s="37">
        <v>0.25</v>
      </c>
      <c r="I1034" s="39">
        <v>44096</v>
      </c>
      <c r="J1034" s="37">
        <v>-0.55200000000000005</v>
      </c>
      <c r="O1034" s="39">
        <v>45243</v>
      </c>
      <c r="P1034" s="37">
        <v>5.32</v>
      </c>
      <c r="R1034" s="39">
        <v>44067</v>
      </c>
      <c r="S1034" s="37">
        <v>5.45E-2</v>
      </c>
      <c r="U1034" s="39">
        <v>44057</v>
      </c>
      <c r="V1034" s="37">
        <v>0.25</v>
      </c>
    </row>
    <row r="1035" spans="6:22" x14ac:dyDescent="0.2">
      <c r="F1035" s="39">
        <v>44071</v>
      </c>
      <c r="G1035" s="37">
        <v>0.25</v>
      </c>
      <c r="I1035" s="39">
        <v>44095</v>
      </c>
      <c r="J1035" s="37">
        <v>-0.55200000000000005</v>
      </c>
      <c r="O1035" s="39">
        <v>45244</v>
      </c>
      <c r="P1035" s="37">
        <v>5.32</v>
      </c>
      <c r="R1035" s="39">
        <v>44064</v>
      </c>
      <c r="S1035" s="37">
        <v>5.5599999999999997E-2</v>
      </c>
      <c r="U1035" s="39">
        <v>44056</v>
      </c>
      <c r="V1035" s="37">
        <v>0.25</v>
      </c>
    </row>
    <row r="1036" spans="6:22" x14ac:dyDescent="0.2">
      <c r="F1036" s="39">
        <v>44070</v>
      </c>
      <c r="G1036" s="37">
        <v>0.25</v>
      </c>
      <c r="I1036" s="39">
        <v>44092</v>
      </c>
      <c r="J1036" s="37">
        <v>-0.55200000000000005</v>
      </c>
      <c r="O1036" s="39">
        <v>45245</v>
      </c>
      <c r="P1036" s="37">
        <v>5.32</v>
      </c>
      <c r="R1036" s="39">
        <v>44063</v>
      </c>
      <c r="S1036" s="37">
        <v>5.57E-2</v>
      </c>
      <c r="U1036" s="39">
        <v>44055</v>
      </c>
      <c r="V1036" s="37">
        <v>0.25</v>
      </c>
    </row>
    <row r="1037" spans="6:22" x14ac:dyDescent="0.2">
      <c r="F1037" s="39">
        <v>44069</v>
      </c>
      <c r="G1037" s="37">
        <v>0.25</v>
      </c>
      <c r="I1037" s="39">
        <v>44091</v>
      </c>
      <c r="J1037" s="37">
        <v>-0.55300000000000005</v>
      </c>
      <c r="O1037" s="39">
        <v>45246</v>
      </c>
      <c r="P1037" s="37">
        <v>5.32</v>
      </c>
      <c r="R1037" s="39">
        <v>44062</v>
      </c>
      <c r="S1037" s="37">
        <v>5.62E-2</v>
      </c>
      <c r="U1037" s="39">
        <v>44054</v>
      </c>
      <c r="V1037" s="37">
        <v>0.25</v>
      </c>
    </row>
    <row r="1038" spans="6:22" x14ac:dyDescent="0.2">
      <c r="F1038" s="39">
        <v>44068</v>
      </c>
      <c r="G1038" s="37">
        <v>0.25</v>
      </c>
      <c r="I1038" s="39">
        <v>44090</v>
      </c>
      <c r="J1038" s="37">
        <v>-0.55600000000000005</v>
      </c>
      <c r="O1038" s="39">
        <v>45247</v>
      </c>
      <c r="P1038" s="37">
        <v>5.32</v>
      </c>
      <c r="R1038" s="39">
        <v>44061</v>
      </c>
      <c r="S1038" s="37">
        <v>5.5300000000000002E-2</v>
      </c>
      <c r="U1038" s="39">
        <v>44053</v>
      </c>
      <c r="V1038" s="37">
        <v>0.25</v>
      </c>
    </row>
    <row r="1039" spans="6:22" x14ac:dyDescent="0.2">
      <c r="F1039" s="39">
        <v>44067</v>
      </c>
      <c r="G1039" s="37">
        <v>0.25</v>
      </c>
      <c r="I1039" s="39">
        <v>44089</v>
      </c>
      <c r="J1039" s="37">
        <v>-0.55100000000000005</v>
      </c>
      <c r="O1039" s="39">
        <v>45250</v>
      </c>
      <c r="P1039" s="37">
        <v>5.31</v>
      </c>
      <c r="R1039" s="39">
        <v>44060</v>
      </c>
      <c r="S1039" s="37">
        <v>5.6300000000000003E-2</v>
      </c>
      <c r="U1039" s="39">
        <v>44050</v>
      </c>
      <c r="V1039" s="37">
        <v>0.25</v>
      </c>
    </row>
    <row r="1040" spans="6:22" x14ac:dyDescent="0.2">
      <c r="F1040" s="39">
        <v>44064</v>
      </c>
      <c r="G1040" s="37">
        <v>0.25</v>
      </c>
      <c r="I1040" s="39">
        <v>44088</v>
      </c>
      <c r="J1040" s="37">
        <v>-0.55500000000000005</v>
      </c>
      <c r="O1040" s="39">
        <v>45251</v>
      </c>
      <c r="P1040" s="37">
        <v>5.31</v>
      </c>
      <c r="R1040" s="39">
        <v>44057</v>
      </c>
      <c r="S1040" s="37">
        <v>5.6800000000000003E-2</v>
      </c>
      <c r="U1040" s="39">
        <v>44049</v>
      </c>
      <c r="V1040" s="37">
        <v>0.25</v>
      </c>
    </row>
    <row r="1041" spans="6:22" x14ac:dyDescent="0.2">
      <c r="F1041" s="39">
        <v>44063</v>
      </c>
      <c r="G1041" s="37">
        <v>0.25</v>
      </c>
      <c r="I1041" s="39">
        <v>44085</v>
      </c>
      <c r="J1041" s="37">
        <v>-0.55300000000000005</v>
      </c>
      <c r="O1041" s="39">
        <v>45252</v>
      </c>
      <c r="P1041" s="37">
        <v>5.31</v>
      </c>
      <c r="R1041" s="39">
        <v>44056</v>
      </c>
      <c r="S1041" s="37">
        <v>5.7099999999999998E-2</v>
      </c>
      <c r="U1041" s="39">
        <v>44048</v>
      </c>
      <c r="V1041" s="37">
        <v>0.25</v>
      </c>
    </row>
    <row r="1042" spans="6:22" x14ac:dyDescent="0.2">
      <c r="F1042" s="39">
        <v>44062</v>
      </c>
      <c r="G1042" s="37">
        <v>0.25</v>
      </c>
      <c r="I1042" s="39">
        <v>44084</v>
      </c>
      <c r="J1042" s="37">
        <v>-0.55400000000000005</v>
      </c>
      <c r="O1042" s="39">
        <v>45254</v>
      </c>
      <c r="P1042" s="37">
        <v>5.32</v>
      </c>
      <c r="R1042" s="39">
        <v>44055</v>
      </c>
      <c r="S1042" s="37">
        <v>5.6300000000000003E-2</v>
      </c>
      <c r="U1042" s="39">
        <v>44047</v>
      </c>
      <c r="V1042" s="37">
        <v>0.25</v>
      </c>
    </row>
    <row r="1043" spans="6:22" x14ac:dyDescent="0.2">
      <c r="F1043" s="39">
        <v>44061</v>
      </c>
      <c r="G1043" s="37">
        <v>0.25</v>
      </c>
      <c r="I1043" s="39">
        <v>44083</v>
      </c>
      <c r="J1043" s="37">
        <v>-0.55400000000000005</v>
      </c>
      <c r="O1043" s="39">
        <v>45257</v>
      </c>
      <c r="P1043" s="37">
        <v>5.32</v>
      </c>
      <c r="R1043" s="39">
        <v>44054</v>
      </c>
      <c r="S1043" s="37">
        <v>5.6099999999999997E-2</v>
      </c>
      <c r="U1043" s="39">
        <v>44046</v>
      </c>
      <c r="V1043" s="37">
        <v>0.25</v>
      </c>
    </row>
    <row r="1044" spans="6:22" x14ac:dyDescent="0.2">
      <c r="F1044" s="39">
        <v>44060</v>
      </c>
      <c r="G1044" s="37">
        <v>0.25</v>
      </c>
      <c r="I1044" s="39">
        <v>44082</v>
      </c>
      <c r="J1044" s="37">
        <v>-0.55300000000000005</v>
      </c>
      <c r="O1044" s="39">
        <v>45258</v>
      </c>
      <c r="P1044" s="37">
        <v>5.32</v>
      </c>
      <c r="R1044" s="39">
        <v>44053</v>
      </c>
      <c r="S1044" s="37">
        <v>5.7200000000000001E-2</v>
      </c>
      <c r="U1044" s="39">
        <v>44043</v>
      </c>
      <c r="V1044" s="37">
        <v>0.25</v>
      </c>
    </row>
    <row r="1045" spans="6:22" x14ac:dyDescent="0.2">
      <c r="F1045" s="39">
        <v>44057</v>
      </c>
      <c r="G1045" s="37">
        <v>0.25</v>
      </c>
      <c r="I1045" s="39">
        <v>44081</v>
      </c>
      <c r="J1045" s="37">
        <v>-0.55100000000000005</v>
      </c>
      <c r="O1045" s="39">
        <v>45259</v>
      </c>
      <c r="P1045" s="37">
        <v>5.31</v>
      </c>
      <c r="R1045" s="39">
        <v>44050</v>
      </c>
      <c r="S1045" s="37">
        <v>5.8400000000000001E-2</v>
      </c>
      <c r="U1045" s="39">
        <v>44042</v>
      </c>
      <c r="V1045" s="37">
        <v>0.25</v>
      </c>
    </row>
    <row r="1046" spans="6:22" x14ac:dyDescent="0.2">
      <c r="F1046" s="39">
        <v>44056</v>
      </c>
      <c r="G1046" s="37">
        <v>0.25</v>
      </c>
      <c r="I1046" s="39">
        <v>44078</v>
      </c>
      <c r="J1046" s="37">
        <v>-0.55200000000000005</v>
      </c>
      <c r="O1046" s="39">
        <v>45260</v>
      </c>
      <c r="P1046" s="37">
        <v>5.33</v>
      </c>
      <c r="R1046" s="39">
        <v>44049</v>
      </c>
      <c r="S1046" s="37">
        <v>5.7299999999999997E-2</v>
      </c>
      <c r="U1046" s="39">
        <v>44041</v>
      </c>
      <c r="V1046" s="37">
        <v>0.25</v>
      </c>
    </row>
    <row r="1047" spans="6:22" x14ac:dyDescent="0.2">
      <c r="F1047" s="39">
        <v>44055</v>
      </c>
      <c r="G1047" s="37">
        <v>0.25</v>
      </c>
      <c r="I1047" s="39">
        <v>44077</v>
      </c>
      <c r="J1047" s="37">
        <v>-0.55100000000000005</v>
      </c>
      <c r="O1047" s="39">
        <v>45261</v>
      </c>
      <c r="P1047" s="37">
        <v>5.39</v>
      </c>
      <c r="R1047" s="39">
        <v>44048</v>
      </c>
      <c r="S1047" s="37">
        <v>5.7200000000000001E-2</v>
      </c>
      <c r="U1047" s="39">
        <v>44040</v>
      </c>
      <c r="V1047" s="37">
        <v>0.25</v>
      </c>
    </row>
    <row r="1048" spans="6:22" x14ac:dyDescent="0.2">
      <c r="F1048" s="39">
        <v>44054</v>
      </c>
      <c r="G1048" s="37">
        <v>0.25</v>
      </c>
      <c r="I1048" s="39">
        <v>44076</v>
      </c>
      <c r="J1048" s="37">
        <v>-0.55500000000000005</v>
      </c>
      <c r="O1048" s="39">
        <v>45264</v>
      </c>
      <c r="P1048" s="37">
        <v>5.37</v>
      </c>
      <c r="R1048" s="39">
        <v>44047</v>
      </c>
      <c r="S1048" s="37">
        <v>5.6800000000000003E-2</v>
      </c>
      <c r="U1048" s="39">
        <v>44039</v>
      </c>
      <c r="V1048" s="37">
        <v>0.25</v>
      </c>
    </row>
    <row r="1049" spans="6:22" x14ac:dyDescent="0.2">
      <c r="F1049" s="39">
        <v>44053</v>
      </c>
      <c r="G1049" s="37">
        <v>0.25</v>
      </c>
      <c r="I1049" s="39">
        <v>44075</v>
      </c>
      <c r="J1049" s="37">
        <v>-0.55400000000000005</v>
      </c>
      <c r="O1049" s="39">
        <v>45265</v>
      </c>
      <c r="P1049" s="37">
        <v>5.33</v>
      </c>
      <c r="R1049" s="39">
        <v>44046</v>
      </c>
      <c r="S1049" s="37">
        <v>5.74E-2</v>
      </c>
      <c r="U1049" s="39">
        <v>44036</v>
      </c>
      <c r="V1049" s="37">
        <v>0.25</v>
      </c>
    </row>
    <row r="1050" spans="6:22" x14ac:dyDescent="0.2">
      <c r="F1050" s="39">
        <v>44050</v>
      </c>
      <c r="G1050" s="37">
        <v>0.25</v>
      </c>
      <c r="I1050" s="39">
        <v>44074</v>
      </c>
      <c r="J1050" s="37">
        <v>-0.55700000000000005</v>
      </c>
      <c r="O1050" s="39">
        <v>45266</v>
      </c>
      <c r="P1050" s="37">
        <v>5.32</v>
      </c>
      <c r="R1050" s="39">
        <v>44043</v>
      </c>
      <c r="S1050" s="37">
        <v>6.0299999999999999E-2</v>
      </c>
      <c r="U1050" s="39">
        <v>44035</v>
      </c>
      <c r="V1050" s="37">
        <v>0.25</v>
      </c>
    </row>
    <row r="1051" spans="6:22" x14ac:dyDescent="0.2">
      <c r="F1051" s="39">
        <v>44049</v>
      </c>
      <c r="G1051" s="37">
        <v>0.25</v>
      </c>
      <c r="I1051" s="39">
        <v>44071</v>
      </c>
      <c r="J1051" s="37">
        <v>-0.55200000000000005</v>
      </c>
      <c r="O1051" s="39">
        <v>45267</v>
      </c>
      <c r="P1051" s="37">
        <v>5.32</v>
      </c>
      <c r="R1051" s="39">
        <v>44042</v>
      </c>
      <c r="S1051" s="37">
        <v>6.0100000000000001E-2</v>
      </c>
      <c r="U1051" s="39">
        <v>44034</v>
      </c>
      <c r="V1051" s="37">
        <v>0.25</v>
      </c>
    </row>
    <row r="1052" spans="6:22" x14ac:dyDescent="0.2">
      <c r="F1052" s="39">
        <v>44048</v>
      </c>
      <c r="G1052" s="37">
        <v>0.25</v>
      </c>
      <c r="I1052" s="39">
        <v>44070</v>
      </c>
      <c r="J1052" s="37">
        <v>-0.55200000000000005</v>
      </c>
      <c r="O1052" s="39">
        <v>45268</v>
      </c>
      <c r="P1052" s="37">
        <v>5.32</v>
      </c>
      <c r="R1052" s="39">
        <v>44041</v>
      </c>
      <c r="S1052" s="37">
        <v>5.91E-2</v>
      </c>
      <c r="U1052" s="39">
        <v>44033</v>
      </c>
      <c r="V1052" s="37">
        <v>0.25</v>
      </c>
    </row>
    <row r="1053" spans="6:22" x14ac:dyDescent="0.2">
      <c r="F1053" s="39">
        <v>44047</v>
      </c>
      <c r="G1053" s="37">
        <v>0.25</v>
      </c>
      <c r="I1053" s="39">
        <v>44069</v>
      </c>
      <c r="J1053" s="37">
        <v>-0.55400000000000005</v>
      </c>
      <c r="O1053" s="39">
        <v>45271</v>
      </c>
      <c r="P1053" s="37">
        <v>5.32</v>
      </c>
      <c r="R1053" s="39">
        <v>44040</v>
      </c>
      <c r="S1053" s="37">
        <v>5.9799999999999999E-2</v>
      </c>
      <c r="U1053" s="39">
        <v>44032</v>
      </c>
      <c r="V1053" s="37">
        <v>0.25</v>
      </c>
    </row>
    <row r="1054" spans="6:22" x14ac:dyDescent="0.2">
      <c r="F1054" s="39">
        <v>44046</v>
      </c>
      <c r="G1054" s="37">
        <v>0.25</v>
      </c>
      <c r="I1054" s="39">
        <v>44068</v>
      </c>
      <c r="J1054" s="37">
        <v>-0.55300000000000005</v>
      </c>
      <c r="O1054" s="39">
        <v>45272</v>
      </c>
      <c r="P1054" s="37">
        <v>5.31</v>
      </c>
      <c r="R1054" s="39">
        <v>44039</v>
      </c>
      <c r="S1054" s="37">
        <v>5.8400000000000001E-2</v>
      </c>
      <c r="U1054" s="39">
        <v>44029</v>
      </c>
      <c r="V1054" s="37">
        <v>0.25</v>
      </c>
    </row>
    <row r="1055" spans="6:22" x14ac:dyDescent="0.2">
      <c r="F1055" s="39">
        <v>44043</v>
      </c>
      <c r="G1055" s="37">
        <v>0.25</v>
      </c>
      <c r="I1055" s="39">
        <v>44067</v>
      </c>
      <c r="J1055" s="37">
        <v>-0.55200000000000005</v>
      </c>
      <c r="O1055" s="39">
        <v>45273</v>
      </c>
      <c r="P1055" s="37">
        <v>5.31</v>
      </c>
      <c r="R1055" s="39">
        <v>44036</v>
      </c>
      <c r="S1055" s="37">
        <v>5.8799999999999998E-2</v>
      </c>
      <c r="U1055" s="39">
        <v>44028</v>
      </c>
      <c r="V1055" s="37">
        <v>0.25</v>
      </c>
    </row>
    <row r="1056" spans="6:22" x14ac:dyDescent="0.2">
      <c r="F1056" s="39">
        <v>44042</v>
      </c>
      <c r="G1056" s="37">
        <v>0.25</v>
      </c>
      <c r="I1056" s="39">
        <v>44064</v>
      </c>
      <c r="J1056" s="37">
        <v>-0.55400000000000005</v>
      </c>
      <c r="O1056" s="39">
        <v>45274</v>
      </c>
      <c r="P1056" s="37">
        <v>5.31</v>
      </c>
      <c r="R1056" s="39">
        <v>44035</v>
      </c>
      <c r="S1056" s="37">
        <v>5.8400000000000001E-2</v>
      </c>
      <c r="U1056" s="39">
        <v>44027</v>
      </c>
      <c r="V1056" s="37">
        <v>0.25</v>
      </c>
    </row>
    <row r="1057" spans="6:22" x14ac:dyDescent="0.2">
      <c r="F1057" s="39">
        <v>44041</v>
      </c>
      <c r="G1057" s="37">
        <v>0.25</v>
      </c>
      <c r="I1057" s="39">
        <v>44063</v>
      </c>
      <c r="J1057" s="37">
        <v>-0.55300000000000005</v>
      </c>
      <c r="O1057" s="39">
        <v>45275</v>
      </c>
      <c r="P1057" s="37">
        <v>5.32</v>
      </c>
      <c r="R1057" s="39">
        <v>44034</v>
      </c>
      <c r="S1057" s="37">
        <v>5.8700000000000002E-2</v>
      </c>
      <c r="U1057" s="39">
        <v>44026</v>
      </c>
      <c r="V1057" s="37">
        <v>0.25</v>
      </c>
    </row>
    <row r="1058" spans="6:22" x14ac:dyDescent="0.2">
      <c r="F1058" s="39">
        <v>44040</v>
      </c>
      <c r="G1058" s="37">
        <v>0.25</v>
      </c>
      <c r="I1058" s="39">
        <v>44062</v>
      </c>
      <c r="J1058" s="37">
        <v>-0.55300000000000005</v>
      </c>
      <c r="O1058" s="39">
        <v>45278</v>
      </c>
      <c r="P1058" s="37">
        <v>5.32</v>
      </c>
      <c r="R1058" s="39">
        <v>44033</v>
      </c>
      <c r="S1058" s="37">
        <v>6.0199999999999997E-2</v>
      </c>
      <c r="U1058" s="39">
        <v>44025</v>
      </c>
      <c r="V1058" s="37">
        <v>0.25</v>
      </c>
    </row>
    <row r="1059" spans="6:22" x14ac:dyDescent="0.2">
      <c r="F1059" s="39">
        <v>44039</v>
      </c>
      <c r="G1059" s="37">
        <v>0.25</v>
      </c>
      <c r="I1059" s="39">
        <v>44061</v>
      </c>
      <c r="J1059" s="37">
        <v>-0.55400000000000005</v>
      </c>
      <c r="O1059" s="39">
        <v>45279</v>
      </c>
      <c r="P1059" s="37">
        <v>5.31</v>
      </c>
      <c r="R1059" s="39">
        <v>44032</v>
      </c>
      <c r="S1059" s="37">
        <v>6.0100000000000001E-2</v>
      </c>
      <c r="U1059" s="39">
        <v>44022</v>
      </c>
      <c r="V1059" s="37">
        <v>0.25</v>
      </c>
    </row>
    <row r="1060" spans="6:22" x14ac:dyDescent="0.2">
      <c r="F1060" s="39">
        <v>44036</v>
      </c>
      <c r="G1060" s="37">
        <v>0.25</v>
      </c>
      <c r="I1060" s="39">
        <v>44060</v>
      </c>
      <c r="J1060" s="37">
        <v>-0.55300000000000005</v>
      </c>
      <c r="O1060" s="39">
        <v>45280</v>
      </c>
      <c r="P1060" s="37">
        <v>5.31</v>
      </c>
      <c r="R1060" s="39">
        <v>44029</v>
      </c>
      <c r="S1060" s="37">
        <v>0.06</v>
      </c>
      <c r="U1060" s="39">
        <v>44021</v>
      </c>
      <c r="V1060" s="37">
        <v>0.25</v>
      </c>
    </row>
    <row r="1061" spans="6:22" x14ac:dyDescent="0.2">
      <c r="F1061" s="39">
        <v>44035</v>
      </c>
      <c r="G1061" s="37">
        <v>0.25</v>
      </c>
      <c r="I1061" s="39">
        <v>44057</v>
      </c>
      <c r="J1061" s="37">
        <v>-0.54900000000000004</v>
      </c>
      <c r="O1061" s="39">
        <v>45281</v>
      </c>
      <c r="P1061" s="37">
        <v>5.31</v>
      </c>
      <c r="R1061" s="39">
        <v>44028</v>
      </c>
      <c r="S1061" s="37">
        <v>6.1800000000000001E-2</v>
      </c>
      <c r="U1061" s="39">
        <v>44020</v>
      </c>
      <c r="V1061" s="37">
        <v>0.25</v>
      </c>
    </row>
    <row r="1062" spans="6:22" x14ac:dyDescent="0.2">
      <c r="F1062" s="39">
        <v>44034</v>
      </c>
      <c r="G1062" s="37">
        <v>0.25</v>
      </c>
      <c r="I1062" s="39">
        <v>44056</v>
      </c>
      <c r="J1062" s="37">
        <v>-0.55200000000000005</v>
      </c>
      <c r="O1062" s="39">
        <v>45282</v>
      </c>
      <c r="P1062" s="37">
        <v>5.32</v>
      </c>
      <c r="R1062" s="39">
        <v>44027</v>
      </c>
      <c r="S1062" s="37">
        <v>6.0900000000000003E-2</v>
      </c>
      <c r="U1062" s="39">
        <v>44019</v>
      </c>
      <c r="V1062" s="37">
        <v>0.25</v>
      </c>
    </row>
    <row r="1063" spans="6:22" x14ac:dyDescent="0.2">
      <c r="F1063" s="39">
        <v>44033</v>
      </c>
      <c r="G1063" s="37">
        <v>0.25</v>
      </c>
      <c r="I1063" s="39">
        <v>44055</v>
      </c>
      <c r="J1063" s="37">
        <v>-0.55200000000000005</v>
      </c>
      <c r="O1063" s="39">
        <v>45286</v>
      </c>
      <c r="P1063" s="37">
        <v>5.35</v>
      </c>
      <c r="R1063" s="39">
        <v>44026</v>
      </c>
      <c r="S1063" s="37">
        <v>6.0499999999999998E-2</v>
      </c>
      <c r="U1063" s="39">
        <v>44018</v>
      </c>
      <c r="V1063" s="37">
        <v>0.25</v>
      </c>
    </row>
    <row r="1064" spans="6:22" x14ac:dyDescent="0.2">
      <c r="F1064" s="39">
        <v>44032</v>
      </c>
      <c r="G1064" s="37">
        <v>0.25</v>
      </c>
      <c r="I1064" s="39">
        <v>44054</v>
      </c>
      <c r="J1064" s="37">
        <v>-0.55200000000000005</v>
      </c>
      <c r="O1064" s="39">
        <v>45287</v>
      </c>
      <c r="P1064" s="37">
        <v>5.39</v>
      </c>
      <c r="R1064" s="39">
        <v>44025</v>
      </c>
      <c r="S1064" s="37">
        <v>5.9900000000000002E-2</v>
      </c>
      <c r="U1064" s="39">
        <v>44015</v>
      </c>
      <c r="V1064" s="37">
        <v>0.25</v>
      </c>
    </row>
    <row r="1065" spans="6:22" x14ac:dyDescent="0.2">
      <c r="F1065" s="39">
        <v>44029</v>
      </c>
      <c r="G1065" s="37">
        <v>0.25</v>
      </c>
      <c r="I1065" s="39">
        <v>44053</v>
      </c>
      <c r="J1065" s="37">
        <v>-0.55400000000000005</v>
      </c>
      <c r="O1065" s="39">
        <v>45288</v>
      </c>
      <c r="P1065" s="37">
        <v>5.4</v>
      </c>
      <c r="R1065" s="39">
        <v>44022</v>
      </c>
      <c r="S1065" s="37">
        <v>5.9900000000000002E-2</v>
      </c>
      <c r="U1065" s="39">
        <v>44014</v>
      </c>
      <c r="V1065" s="37">
        <v>0.25</v>
      </c>
    </row>
    <row r="1066" spans="6:22" x14ac:dyDescent="0.2">
      <c r="F1066" s="39">
        <v>44028</v>
      </c>
      <c r="G1066" s="37">
        <v>0.25</v>
      </c>
      <c r="I1066" s="39">
        <v>44050</v>
      </c>
      <c r="J1066" s="37">
        <v>-0.55300000000000005</v>
      </c>
      <c r="O1066" s="39">
        <v>45289</v>
      </c>
      <c r="P1066" s="37">
        <v>5.38</v>
      </c>
      <c r="R1066" s="39">
        <v>44021</v>
      </c>
      <c r="S1066" s="37">
        <v>5.9400000000000001E-2</v>
      </c>
      <c r="U1066" s="39">
        <v>44013</v>
      </c>
      <c r="V1066" s="37">
        <v>0.25</v>
      </c>
    </row>
    <row r="1067" spans="6:22" x14ac:dyDescent="0.2">
      <c r="F1067" s="39">
        <v>44027</v>
      </c>
      <c r="G1067" s="37">
        <v>0.25</v>
      </c>
      <c r="I1067" s="39">
        <v>44049</v>
      </c>
      <c r="J1067" s="37">
        <v>-0.55300000000000005</v>
      </c>
      <c r="O1067" s="39">
        <v>45293</v>
      </c>
      <c r="P1067" s="37">
        <v>5.4</v>
      </c>
      <c r="R1067" s="39">
        <v>44020</v>
      </c>
      <c r="S1067" s="37">
        <v>5.96E-2</v>
      </c>
      <c r="U1067" s="39">
        <v>44012</v>
      </c>
      <c r="V1067" s="37">
        <v>0.25</v>
      </c>
    </row>
    <row r="1068" spans="6:22" x14ac:dyDescent="0.2">
      <c r="F1068" s="39">
        <v>44026</v>
      </c>
      <c r="G1068" s="37">
        <v>0.25</v>
      </c>
      <c r="I1068" s="39">
        <v>44048</v>
      </c>
      <c r="J1068" s="37">
        <v>-0.55200000000000005</v>
      </c>
      <c r="O1068" s="39">
        <v>45294</v>
      </c>
      <c r="P1068" s="37">
        <v>5.39</v>
      </c>
      <c r="R1068" s="39">
        <v>44019</v>
      </c>
      <c r="S1068" s="37">
        <v>5.8999999999999997E-2</v>
      </c>
      <c r="U1068" s="39">
        <v>44011</v>
      </c>
      <c r="V1068" s="37">
        <v>0.25</v>
      </c>
    </row>
    <row r="1069" spans="6:22" x14ac:dyDescent="0.2">
      <c r="F1069" s="39">
        <v>44025</v>
      </c>
      <c r="G1069" s="37">
        <v>0.25</v>
      </c>
      <c r="I1069" s="39">
        <v>44047</v>
      </c>
      <c r="J1069" s="37">
        <v>-0.55100000000000005</v>
      </c>
      <c r="O1069" s="39">
        <v>45295</v>
      </c>
      <c r="P1069" s="37">
        <v>5.32</v>
      </c>
      <c r="R1069" s="39">
        <v>44018</v>
      </c>
      <c r="S1069" s="37">
        <v>5.9200000000000003E-2</v>
      </c>
      <c r="U1069" s="39">
        <v>44008</v>
      </c>
      <c r="V1069" s="37">
        <v>0.25</v>
      </c>
    </row>
    <row r="1070" spans="6:22" x14ac:dyDescent="0.2">
      <c r="F1070" s="39">
        <v>44022</v>
      </c>
      <c r="G1070" s="37">
        <v>0.25</v>
      </c>
      <c r="I1070" s="39">
        <v>44046</v>
      </c>
      <c r="J1070" s="37">
        <v>-0.55200000000000005</v>
      </c>
      <c r="O1070" s="39">
        <v>45296</v>
      </c>
      <c r="P1070" s="37">
        <v>5.31</v>
      </c>
      <c r="R1070" s="39">
        <v>44015</v>
      </c>
      <c r="S1070" s="37">
        <v>6.08E-2</v>
      </c>
      <c r="U1070" s="39">
        <v>44007</v>
      </c>
      <c r="V1070" s="37">
        <v>0.25</v>
      </c>
    </row>
    <row r="1071" spans="6:22" x14ac:dyDescent="0.2">
      <c r="F1071" s="39">
        <v>44021</v>
      </c>
      <c r="G1071" s="37">
        <v>0.25</v>
      </c>
      <c r="I1071" s="39">
        <v>44043</v>
      </c>
      <c r="J1071" s="37">
        <v>-0.55000000000000004</v>
      </c>
      <c r="O1071" s="39">
        <v>45299</v>
      </c>
      <c r="P1071" s="37">
        <v>5.31</v>
      </c>
      <c r="R1071" s="39">
        <v>44014</v>
      </c>
      <c r="S1071" s="37">
        <v>6.08E-2</v>
      </c>
      <c r="U1071" s="39">
        <v>44006</v>
      </c>
      <c r="V1071" s="37">
        <v>0.25</v>
      </c>
    </row>
    <row r="1072" spans="6:22" x14ac:dyDescent="0.2">
      <c r="F1072" s="39">
        <v>44020</v>
      </c>
      <c r="G1072" s="37">
        <v>0.25</v>
      </c>
      <c r="I1072" s="39">
        <v>44042</v>
      </c>
      <c r="J1072" s="37">
        <v>-0.55200000000000005</v>
      </c>
      <c r="O1072" s="39">
        <v>45300</v>
      </c>
      <c r="P1072" s="37">
        <v>5.31</v>
      </c>
      <c r="R1072" s="39">
        <v>44013</v>
      </c>
      <c r="S1072" s="37">
        <v>6.1100000000000002E-2</v>
      </c>
      <c r="U1072" s="39">
        <v>44005</v>
      </c>
      <c r="V1072" s="37">
        <v>0.25</v>
      </c>
    </row>
    <row r="1073" spans="6:22" x14ac:dyDescent="0.2">
      <c r="F1073" s="39">
        <v>44019</v>
      </c>
      <c r="G1073" s="37">
        <v>0.25</v>
      </c>
      <c r="I1073" s="39">
        <v>44041</v>
      </c>
      <c r="J1073" s="37">
        <v>-0.55300000000000005</v>
      </c>
      <c r="O1073" s="39">
        <v>45301</v>
      </c>
      <c r="P1073" s="37">
        <v>5.31</v>
      </c>
      <c r="R1073" s="39">
        <v>44012</v>
      </c>
      <c r="S1073" s="37">
        <v>6.0299999999999999E-2</v>
      </c>
      <c r="U1073" s="39">
        <v>44004</v>
      </c>
      <c r="V1073" s="37">
        <v>0.25</v>
      </c>
    </row>
    <row r="1074" spans="6:22" x14ac:dyDescent="0.2">
      <c r="F1074" s="39">
        <v>44018</v>
      </c>
      <c r="G1074" s="37">
        <v>0.25</v>
      </c>
      <c r="I1074" s="39">
        <v>44040</v>
      </c>
      <c r="J1074" s="37">
        <v>-0.55100000000000005</v>
      </c>
      <c r="O1074" s="39">
        <v>45302</v>
      </c>
      <c r="P1074" s="37">
        <v>5.31</v>
      </c>
      <c r="R1074" s="39">
        <v>44011</v>
      </c>
      <c r="S1074" s="37">
        <v>6.1899999999999997E-2</v>
      </c>
      <c r="U1074" s="39">
        <v>44001</v>
      </c>
      <c r="V1074" s="37">
        <v>0.25</v>
      </c>
    </row>
    <row r="1075" spans="6:22" x14ac:dyDescent="0.2">
      <c r="F1075" s="39">
        <v>44015</v>
      </c>
      <c r="G1075" s="37">
        <v>0.25</v>
      </c>
      <c r="I1075" s="39">
        <v>44039</v>
      </c>
      <c r="J1075" s="37">
        <v>-0.55200000000000005</v>
      </c>
      <c r="O1075" s="39">
        <v>45303</v>
      </c>
      <c r="P1075" s="37">
        <v>5.31</v>
      </c>
      <c r="R1075" s="39">
        <v>44008</v>
      </c>
      <c r="S1075" s="37">
        <v>6.3299999999999995E-2</v>
      </c>
      <c r="U1075" s="39">
        <v>44000</v>
      </c>
      <c r="V1075" s="37">
        <v>0.25</v>
      </c>
    </row>
    <row r="1076" spans="6:22" x14ac:dyDescent="0.2">
      <c r="F1076" s="39">
        <v>44014</v>
      </c>
      <c r="G1076" s="37">
        <v>0.25</v>
      </c>
      <c r="I1076" s="39">
        <v>44036</v>
      </c>
      <c r="J1076" s="37">
        <v>-0.55100000000000005</v>
      </c>
      <c r="O1076" s="39">
        <v>45307</v>
      </c>
      <c r="P1076" s="37">
        <v>5.32</v>
      </c>
      <c r="R1076" s="39">
        <v>44007</v>
      </c>
      <c r="S1076" s="37">
        <v>6.3E-2</v>
      </c>
      <c r="U1076" s="39">
        <v>43999</v>
      </c>
      <c r="V1076" s="37">
        <v>0.25</v>
      </c>
    </row>
    <row r="1077" spans="6:22" x14ac:dyDescent="0.2">
      <c r="F1077" s="39">
        <v>44013</v>
      </c>
      <c r="G1077" s="37">
        <v>0.25</v>
      </c>
      <c r="I1077" s="39">
        <v>44035</v>
      </c>
      <c r="J1077" s="37">
        <v>-0.55000000000000004</v>
      </c>
      <c r="O1077" s="39">
        <v>45308</v>
      </c>
      <c r="P1077" s="37">
        <v>5.32</v>
      </c>
      <c r="R1077" s="39">
        <v>44006</v>
      </c>
      <c r="S1077" s="37">
        <v>6.2600000000000003E-2</v>
      </c>
      <c r="U1077" s="39">
        <v>43998</v>
      </c>
      <c r="V1077" s="37">
        <v>0.25</v>
      </c>
    </row>
    <row r="1078" spans="6:22" x14ac:dyDescent="0.2">
      <c r="F1078" s="39">
        <v>44012</v>
      </c>
      <c r="G1078" s="37">
        <v>0.25</v>
      </c>
      <c r="I1078" s="39">
        <v>44034</v>
      </c>
      <c r="J1078" s="37">
        <v>-0.55000000000000004</v>
      </c>
      <c r="O1078" s="39">
        <v>45309</v>
      </c>
      <c r="P1078" s="37">
        <v>5.31</v>
      </c>
      <c r="R1078" s="39">
        <v>44005</v>
      </c>
      <c r="S1078" s="37">
        <v>6.2100000000000002E-2</v>
      </c>
      <c r="U1078" s="39">
        <v>43997</v>
      </c>
      <c r="V1078" s="37">
        <v>0.25</v>
      </c>
    </row>
    <row r="1079" spans="6:22" x14ac:dyDescent="0.2">
      <c r="F1079" s="39">
        <v>44011</v>
      </c>
      <c r="G1079" s="37">
        <v>0.25</v>
      </c>
      <c r="I1079" s="39">
        <v>44033</v>
      </c>
      <c r="J1079" s="37">
        <v>-0.54900000000000004</v>
      </c>
      <c r="O1079" s="39">
        <v>45310</v>
      </c>
      <c r="P1079" s="37">
        <v>5.31</v>
      </c>
      <c r="R1079" s="39">
        <v>44004</v>
      </c>
      <c r="S1079" s="37">
        <v>6.3600000000000004E-2</v>
      </c>
      <c r="U1079" s="39">
        <v>43994</v>
      </c>
      <c r="V1079" s="37">
        <v>0.25</v>
      </c>
    </row>
    <row r="1080" spans="6:22" x14ac:dyDescent="0.2">
      <c r="F1080" s="39">
        <v>44008</v>
      </c>
      <c r="G1080" s="37">
        <v>0.25</v>
      </c>
      <c r="I1080" s="39">
        <v>44032</v>
      </c>
      <c r="J1080" s="37">
        <v>-0.55100000000000005</v>
      </c>
      <c r="O1080" s="39">
        <v>45313</v>
      </c>
      <c r="P1080" s="37">
        <v>5.31</v>
      </c>
      <c r="R1080" s="39">
        <v>44001</v>
      </c>
      <c r="S1080" s="37">
        <v>6.3700000000000007E-2</v>
      </c>
      <c r="U1080" s="39">
        <v>43993</v>
      </c>
      <c r="V1080" s="37">
        <v>0.25</v>
      </c>
    </row>
    <row r="1081" spans="6:22" x14ac:dyDescent="0.2">
      <c r="F1081" s="39">
        <v>44007</v>
      </c>
      <c r="G1081" s="37">
        <v>0.25</v>
      </c>
      <c r="I1081" s="39">
        <v>44029</v>
      </c>
      <c r="J1081" s="37">
        <v>-0.55100000000000005</v>
      </c>
      <c r="O1081" s="39">
        <v>45314</v>
      </c>
      <c r="P1081" s="37">
        <v>5.31</v>
      </c>
      <c r="R1081" s="39">
        <v>44000</v>
      </c>
      <c r="S1081" s="37">
        <v>6.2399999999999997E-2</v>
      </c>
      <c r="U1081" s="39">
        <v>43992</v>
      </c>
      <c r="V1081" s="37">
        <v>0.25</v>
      </c>
    </row>
    <row r="1082" spans="6:22" x14ac:dyDescent="0.2">
      <c r="F1082" s="39">
        <v>44006</v>
      </c>
      <c r="G1082" s="37">
        <v>0.25</v>
      </c>
      <c r="I1082" s="39">
        <v>44028</v>
      </c>
      <c r="J1082" s="37">
        <v>-0.54100000000000004</v>
      </c>
      <c r="O1082" s="39">
        <v>45315</v>
      </c>
      <c r="P1082" s="37">
        <v>5.31</v>
      </c>
      <c r="R1082" s="39">
        <v>43999</v>
      </c>
      <c r="S1082" s="37">
        <v>6.3600000000000004E-2</v>
      </c>
      <c r="U1082" s="39">
        <v>43991</v>
      </c>
      <c r="V1082" s="37">
        <v>0.25</v>
      </c>
    </row>
    <row r="1083" spans="6:22" x14ac:dyDescent="0.2">
      <c r="F1083" s="39">
        <v>44005</v>
      </c>
      <c r="G1083" s="37">
        <v>0.25</v>
      </c>
      <c r="I1083" s="39">
        <v>44027</v>
      </c>
      <c r="J1083" s="37">
        <v>-0.55100000000000005</v>
      </c>
      <c r="O1083" s="39">
        <v>45316</v>
      </c>
      <c r="P1083" s="37">
        <v>5.32</v>
      </c>
      <c r="R1083" s="39">
        <v>43998</v>
      </c>
      <c r="S1083" s="37">
        <v>6.2700000000000006E-2</v>
      </c>
      <c r="U1083" s="39">
        <v>43990</v>
      </c>
      <c r="V1083" s="37">
        <v>0.25</v>
      </c>
    </row>
    <row r="1084" spans="6:22" x14ac:dyDescent="0.2">
      <c r="F1084" s="39">
        <v>44004</v>
      </c>
      <c r="G1084" s="37">
        <v>0.25</v>
      </c>
      <c r="I1084" s="39">
        <v>44026</v>
      </c>
      <c r="J1084" s="37">
        <v>-0.55100000000000005</v>
      </c>
      <c r="O1084" s="39">
        <v>45317</v>
      </c>
      <c r="P1084" s="37">
        <v>5.32</v>
      </c>
      <c r="R1084" s="39">
        <v>43997</v>
      </c>
      <c r="S1084" s="37">
        <v>6.3399999999999998E-2</v>
      </c>
      <c r="U1084" s="39">
        <v>43987</v>
      </c>
      <c r="V1084" s="37">
        <v>0.25</v>
      </c>
    </row>
    <row r="1085" spans="6:22" x14ac:dyDescent="0.2">
      <c r="F1085" s="39">
        <v>44001</v>
      </c>
      <c r="G1085" s="37">
        <v>0.25</v>
      </c>
      <c r="I1085" s="39">
        <v>44025</v>
      </c>
      <c r="J1085" s="37">
        <v>-0.55200000000000005</v>
      </c>
      <c r="O1085" s="39">
        <v>45320</v>
      </c>
      <c r="P1085" s="37">
        <v>5.31</v>
      </c>
      <c r="R1085" s="39">
        <v>43994</v>
      </c>
      <c r="S1085" s="37">
        <v>6.5100000000000005E-2</v>
      </c>
      <c r="U1085" s="39">
        <v>43986</v>
      </c>
      <c r="V1085" s="37">
        <v>0.25</v>
      </c>
    </row>
    <row r="1086" spans="6:22" x14ac:dyDescent="0.2">
      <c r="F1086" s="39">
        <v>44000</v>
      </c>
      <c r="G1086" s="37">
        <v>0.25</v>
      </c>
      <c r="I1086" s="39">
        <v>44022</v>
      </c>
      <c r="J1086" s="37">
        <v>-0.54900000000000004</v>
      </c>
      <c r="O1086" s="39">
        <v>45321</v>
      </c>
      <c r="P1086" s="37">
        <v>5.31</v>
      </c>
      <c r="R1086" s="39">
        <v>43993</v>
      </c>
      <c r="S1086" s="37">
        <v>6.5100000000000005E-2</v>
      </c>
      <c r="U1086" s="39">
        <v>43985</v>
      </c>
      <c r="V1086" s="37">
        <v>0.25</v>
      </c>
    </row>
    <row r="1087" spans="6:22" x14ac:dyDescent="0.2">
      <c r="F1087" s="39">
        <v>43999</v>
      </c>
      <c r="G1087" s="37">
        <v>0.25</v>
      </c>
      <c r="I1087" s="39">
        <v>44021</v>
      </c>
      <c r="J1087" s="37">
        <v>-0.54900000000000004</v>
      </c>
      <c r="O1087" s="39">
        <v>45322</v>
      </c>
      <c r="P1087" s="37">
        <v>5.32</v>
      </c>
      <c r="R1087" s="39">
        <v>43992</v>
      </c>
      <c r="S1087" s="37">
        <v>6.5699999999999995E-2</v>
      </c>
      <c r="U1087" s="39">
        <v>43984</v>
      </c>
      <c r="V1087" s="37">
        <v>0.25</v>
      </c>
    </row>
    <row r="1088" spans="6:22" x14ac:dyDescent="0.2">
      <c r="F1088" s="39">
        <v>43998</v>
      </c>
      <c r="G1088" s="37">
        <v>0.25</v>
      </c>
      <c r="I1088" s="39">
        <v>44020</v>
      </c>
      <c r="J1088" s="37">
        <v>-0.54900000000000004</v>
      </c>
      <c r="O1088" s="39">
        <v>45323</v>
      </c>
      <c r="P1088" s="37">
        <v>5.32</v>
      </c>
      <c r="R1088" s="39">
        <v>43991</v>
      </c>
      <c r="S1088" s="37">
        <v>6.6000000000000003E-2</v>
      </c>
      <c r="U1088" s="39">
        <v>43980</v>
      </c>
      <c r="V1088" s="37">
        <v>0.25</v>
      </c>
    </row>
    <row r="1089" spans="6:22" x14ac:dyDescent="0.2">
      <c r="F1089" s="39">
        <v>43997</v>
      </c>
      <c r="G1089" s="37">
        <v>0.25</v>
      </c>
      <c r="I1089" s="39">
        <v>44019</v>
      </c>
      <c r="J1089" s="37">
        <v>-0.55000000000000004</v>
      </c>
      <c r="O1089" s="39">
        <v>45324</v>
      </c>
      <c r="P1089" s="37">
        <v>5.32</v>
      </c>
      <c r="R1089" s="39">
        <v>43990</v>
      </c>
      <c r="S1089" s="37">
        <v>6.6000000000000003E-2</v>
      </c>
      <c r="U1089" s="39">
        <v>43979</v>
      </c>
      <c r="V1089" s="37">
        <v>0.25</v>
      </c>
    </row>
    <row r="1090" spans="6:22" x14ac:dyDescent="0.2">
      <c r="F1090" s="39">
        <v>43994</v>
      </c>
      <c r="G1090" s="37">
        <v>0.25</v>
      </c>
      <c r="I1090" s="39">
        <v>44018</v>
      </c>
      <c r="J1090" s="37">
        <v>-0.55000000000000004</v>
      </c>
      <c r="O1090" s="39">
        <v>45327</v>
      </c>
      <c r="P1090" s="37">
        <v>5.31</v>
      </c>
      <c r="R1090" s="39">
        <v>43987</v>
      </c>
      <c r="S1090" s="37">
        <v>6.7900000000000002E-2</v>
      </c>
      <c r="U1090" s="39">
        <v>43978</v>
      </c>
      <c r="V1090" s="37">
        <v>0.25</v>
      </c>
    </row>
    <row r="1091" spans="6:22" x14ac:dyDescent="0.2">
      <c r="F1091" s="39">
        <v>43993</v>
      </c>
      <c r="G1091" s="37">
        <v>0.25</v>
      </c>
      <c r="I1091" s="39">
        <v>44015</v>
      </c>
      <c r="J1091" s="37">
        <v>-0.54900000000000004</v>
      </c>
      <c r="O1091" s="39">
        <v>45328</v>
      </c>
      <c r="P1091" s="37">
        <v>5.31</v>
      </c>
      <c r="R1091" s="39">
        <v>43986</v>
      </c>
      <c r="S1091" s="37">
        <v>6.93E-2</v>
      </c>
      <c r="U1091" s="39">
        <v>43977</v>
      </c>
      <c r="V1091" s="37">
        <v>0.25</v>
      </c>
    </row>
    <row r="1092" spans="6:22" x14ac:dyDescent="0.2">
      <c r="F1092" s="39">
        <v>43992</v>
      </c>
      <c r="G1092" s="37">
        <v>0.25</v>
      </c>
      <c r="I1092" s="39">
        <v>44014</v>
      </c>
      <c r="J1092" s="37">
        <v>-0.54800000000000004</v>
      </c>
      <c r="O1092" s="39">
        <v>45329</v>
      </c>
      <c r="P1092" s="37">
        <v>5.31</v>
      </c>
      <c r="R1092" s="39">
        <v>43985</v>
      </c>
      <c r="S1092" s="37">
        <v>6.8500000000000005E-2</v>
      </c>
      <c r="U1092" s="39">
        <v>43976</v>
      </c>
      <c r="V1092" s="37">
        <v>0.25</v>
      </c>
    </row>
    <row r="1093" spans="6:22" x14ac:dyDescent="0.2">
      <c r="F1093" s="39">
        <v>43991</v>
      </c>
      <c r="G1093" s="37">
        <v>0.25</v>
      </c>
      <c r="I1093" s="39">
        <v>44013</v>
      </c>
      <c r="J1093" s="37">
        <v>-0.54800000000000004</v>
      </c>
      <c r="O1093" s="39">
        <v>45330</v>
      </c>
      <c r="P1093" s="37">
        <v>5.31</v>
      </c>
      <c r="R1093" s="39">
        <v>43984</v>
      </c>
      <c r="S1093" s="37">
        <v>6.8599999999999994E-2</v>
      </c>
      <c r="U1093" s="39">
        <v>43973</v>
      </c>
      <c r="V1093" s="37">
        <v>0.25</v>
      </c>
    </row>
    <row r="1094" spans="6:22" x14ac:dyDescent="0.2">
      <c r="F1094" s="39">
        <v>43987</v>
      </c>
      <c r="G1094" s="37">
        <v>0.25</v>
      </c>
      <c r="I1094" s="39">
        <v>44012</v>
      </c>
      <c r="J1094" s="37">
        <v>-0.55500000000000005</v>
      </c>
      <c r="O1094" s="39">
        <v>45331</v>
      </c>
      <c r="P1094" s="37">
        <v>5.31</v>
      </c>
      <c r="R1094" s="39">
        <v>43983</v>
      </c>
      <c r="S1094" s="37">
        <v>6.6500000000000004E-2</v>
      </c>
      <c r="U1094" s="39">
        <v>43972</v>
      </c>
      <c r="V1094" s="37">
        <v>0.25</v>
      </c>
    </row>
    <row r="1095" spans="6:22" x14ac:dyDescent="0.2">
      <c r="F1095" s="39">
        <v>43986</v>
      </c>
      <c r="G1095" s="37">
        <v>0.25</v>
      </c>
      <c r="I1095" s="39">
        <v>44011</v>
      </c>
      <c r="J1095" s="37">
        <v>-0.54500000000000004</v>
      </c>
      <c r="O1095" s="39">
        <v>45334</v>
      </c>
      <c r="P1095" s="37">
        <v>5.31</v>
      </c>
      <c r="R1095" s="39">
        <v>43980</v>
      </c>
      <c r="S1095" s="37">
        <v>6.7900000000000002E-2</v>
      </c>
      <c r="U1095" s="39">
        <v>43971</v>
      </c>
      <c r="V1095" s="37">
        <v>0.25</v>
      </c>
    </row>
    <row r="1096" spans="6:22" x14ac:dyDescent="0.2">
      <c r="F1096" s="39">
        <v>43985</v>
      </c>
      <c r="G1096" s="37">
        <v>0.25</v>
      </c>
      <c r="I1096" s="39">
        <v>44008</v>
      </c>
      <c r="J1096" s="37">
        <v>-0.54700000000000004</v>
      </c>
      <c r="O1096" s="39">
        <v>45335</v>
      </c>
      <c r="P1096" s="37">
        <v>5.31</v>
      </c>
      <c r="R1096" s="39">
        <v>43979</v>
      </c>
      <c r="S1096" s="37">
        <v>6.8000000000000005E-2</v>
      </c>
      <c r="U1096" s="39">
        <v>43970</v>
      </c>
      <c r="V1096" s="37">
        <v>0.25</v>
      </c>
    </row>
    <row r="1097" spans="6:22" x14ac:dyDescent="0.2">
      <c r="F1097" s="39">
        <v>43984</v>
      </c>
      <c r="G1097" s="37">
        <v>0.25</v>
      </c>
      <c r="I1097" s="39">
        <v>44007</v>
      </c>
      <c r="J1097" s="37">
        <v>-0.54700000000000004</v>
      </c>
      <c r="O1097" s="39">
        <v>45336</v>
      </c>
      <c r="P1097" s="37">
        <v>5.3</v>
      </c>
      <c r="R1097" s="39">
        <v>43978</v>
      </c>
      <c r="S1097" s="37">
        <v>6.7699999999999996E-2</v>
      </c>
      <c r="U1097" s="39">
        <v>43969</v>
      </c>
      <c r="V1097" s="37">
        <v>0.25</v>
      </c>
    </row>
    <row r="1098" spans="6:22" x14ac:dyDescent="0.2">
      <c r="F1098" s="39">
        <v>43983</v>
      </c>
      <c r="G1098" s="37">
        <v>0.25</v>
      </c>
      <c r="I1098" s="39">
        <v>44006</v>
      </c>
      <c r="J1098" s="37">
        <v>-0.54600000000000004</v>
      </c>
      <c r="O1098" s="39">
        <v>45337</v>
      </c>
      <c r="P1098" s="37">
        <v>5.31</v>
      </c>
      <c r="R1098" s="39">
        <v>43977</v>
      </c>
      <c r="S1098" s="37">
        <v>6.7100000000000007E-2</v>
      </c>
      <c r="U1098" s="39">
        <v>43966</v>
      </c>
      <c r="V1098" s="37">
        <v>0.25</v>
      </c>
    </row>
    <row r="1099" spans="6:22" x14ac:dyDescent="0.2">
      <c r="F1099" s="39">
        <v>43980</v>
      </c>
      <c r="G1099" s="37">
        <v>0.25</v>
      </c>
      <c r="I1099" s="39">
        <v>44005</v>
      </c>
      <c r="J1099" s="37">
        <v>-0.54400000000000004</v>
      </c>
      <c r="O1099" s="39">
        <v>45338</v>
      </c>
      <c r="P1099" s="37">
        <v>5.3</v>
      </c>
      <c r="R1099" s="39">
        <v>43973</v>
      </c>
      <c r="S1099" s="37">
        <v>6.83E-2</v>
      </c>
      <c r="U1099" s="39">
        <v>43965</v>
      </c>
      <c r="V1099" s="37">
        <v>0.25</v>
      </c>
    </row>
    <row r="1100" spans="6:22" x14ac:dyDescent="0.2">
      <c r="F1100" s="39">
        <v>43979</v>
      </c>
      <c r="G1100" s="37">
        <v>0.25</v>
      </c>
      <c r="I1100" s="39">
        <v>44004</v>
      </c>
      <c r="J1100" s="37">
        <v>-0.54500000000000004</v>
      </c>
      <c r="O1100" s="39">
        <v>45342</v>
      </c>
      <c r="P1100" s="37">
        <v>5.3</v>
      </c>
      <c r="R1100" s="39">
        <v>43972</v>
      </c>
      <c r="S1100" s="37">
        <v>6.83E-2</v>
      </c>
      <c r="U1100" s="39">
        <v>43964</v>
      </c>
      <c r="V1100" s="37">
        <v>0.25</v>
      </c>
    </row>
    <row r="1101" spans="6:22" x14ac:dyDescent="0.2">
      <c r="F1101" s="39">
        <v>43978</v>
      </c>
      <c r="G1101" s="37">
        <v>0.25</v>
      </c>
      <c r="I1101" s="39">
        <v>44001</v>
      </c>
      <c r="J1101" s="37">
        <v>-0.54600000000000004</v>
      </c>
      <c r="O1101" s="39">
        <v>45343</v>
      </c>
      <c r="P1101" s="37">
        <v>5.3</v>
      </c>
      <c r="R1101" s="39">
        <v>43971</v>
      </c>
      <c r="S1101" s="37">
        <v>6.88E-2</v>
      </c>
      <c r="U1101" s="39">
        <v>43963</v>
      </c>
      <c r="V1101" s="37">
        <v>0.25</v>
      </c>
    </row>
    <row r="1102" spans="6:22" x14ac:dyDescent="0.2">
      <c r="F1102" s="39">
        <v>43977</v>
      </c>
      <c r="G1102" s="37">
        <v>0.25</v>
      </c>
      <c r="I1102" s="39">
        <v>44000</v>
      </c>
      <c r="J1102" s="37">
        <v>-0.54400000000000004</v>
      </c>
      <c r="O1102" s="39">
        <v>45344</v>
      </c>
      <c r="P1102" s="37">
        <v>5.3</v>
      </c>
      <c r="R1102" s="39">
        <v>43970</v>
      </c>
      <c r="S1102" s="37">
        <v>6.8000000000000005E-2</v>
      </c>
      <c r="U1102" s="39">
        <v>43962</v>
      </c>
      <c r="V1102" s="37">
        <v>0.25</v>
      </c>
    </row>
    <row r="1103" spans="6:22" x14ac:dyDescent="0.2">
      <c r="F1103" s="39">
        <v>43976</v>
      </c>
      <c r="G1103" s="37">
        <v>0.25</v>
      </c>
      <c r="I1103" s="39">
        <v>43999</v>
      </c>
      <c r="J1103" s="37">
        <v>-0.54400000000000004</v>
      </c>
      <c r="O1103" s="39">
        <v>45345</v>
      </c>
      <c r="P1103" s="37">
        <v>5.31</v>
      </c>
      <c r="R1103" s="39">
        <v>43969</v>
      </c>
      <c r="S1103" s="37">
        <v>6.83E-2</v>
      </c>
      <c r="U1103" s="39">
        <v>43959</v>
      </c>
      <c r="V1103" s="37">
        <v>0.25</v>
      </c>
    </row>
    <row r="1104" spans="6:22" x14ac:dyDescent="0.2">
      <c r="F1104" s="39">
        <v>43973</v>
      </c>
      <c r="G1104" s="37">
        <v>0.25</v>
      </c>
      <c r="I1104" s="39">
        <v>43998</v>
      </c>
      <c r="J1104" s="37">
        <v>-0.54600000000000004</v>
      </c>
      <c r="O1104" s="39">
        <v>45348</v>
      </c>
      <c r="P1104" s="37">
        <v>5.31</v>
      </c>
      <c r="R1104" s="39">
        <v>43966</v>
      </c>
      <c r="S1104" s="37">
        <v>6.7500000000000004E-2</v>
      </c>
      <c r="U1104" s="39">
        <v>43958</v>
      </c>
      <c r="V1104" s="37">
        <v>0.25</v>
      </c>
    </row>
    <row r="1105" spans="6:22" x14ac:dyDescent="0.2">
      <c r="F1105" s="39">
        <v>43972</v>
      </c>
      <c r="G1105" s="37">
        <v>0.25</v>
      </c>
      <c r="I1105" s="39">
        <v>43997</v>
      </c>
      <c r="J1105" s="37">
        <v>-0.54700000000000004</v>
      </c>
      <c r="O1105" s="39">
        <v>45349</v>
      </c>
      <c r="P1105" s="37">
        <v>5.31</v>
      </c>
      <c r="R1105" s="39">
        <v>43965</v>
      </c>
      <c r="S1105" s="37">
        <v>6.7199999999999996E-2</v>
      </c>
      <c r="U1105" s="39">
        <v>43957</v>
      </c>
      <c r="V1105" s="37">
        <v>0.25</v>
      </c>
    </row>
    <row r="1106" spans="6:22" x14ac:dyDescent="0.2">
      <c r="F1106" s="39">
        <v>43971</v>
      </c>
      <c r="G1106" s="37">
        <v>0.25</v>
      </c>
      <c r="I1106" s="39">
        <v>43994</v>
      </c>
      <c r="J1106" s="37">
        <v>-0.54600000000000004</v>
      </c>
      <c r="O1106" s="39">
        <v>45350</v>
      </c>
      <c r="P1106" s="37">
        <v>5.31</v>
      </c>
      <c r="R1106" s="39">
        <v>43964</v>
      </c>
      <c r="S1106" s="37">
        <v>6.8400000000000002E-2</v>
      </c>
      <c r="U1106" s="39">
        <v>43956</v>
      </c>
      <c r="V1106" s="37">
        <v>0.25</v>
      </c>
    </row>
    <row r="1107" spans="6:22" x14ac:dyDescent="0.2">
      <c r="F1107" s="39">
        <v>43970</v>
      </c>
      <c r="G1107" s="37">
        <v>0.25</v>
      </c>
      <c r="I1107" s="39">
        <v>43993</v>
      </c>
      <c r="J1107" s="37">
        <v>-0.54700000000000004</v>
      </c>
      <c r="O1107" s="39">
        <v>45351</v>
      </c>
      <c r="P1107" s="37">
        <v>5.32</v>
      </c>
      <c r="R1107" s="39">
        <v>43963</v>
      </c>
      <c r="S1107" s="37">
        <v>6.6699999999999995E-2</v>
      </c>
      <c r="U1107" s="39">
        <v>43955</v>
      </c>
      <c r="V1107" s="37">
        <v>0.25</v>
      </c>
    </row>
    <row r="1108" spans="6:22" x14ac:dyDescent="0.2">
      <c r="F1108" s="39">
        <v>43969</v>
      </c>
      <c r="G1108" s="37">
        <v>0.25</v>
      </c>
      <c r="I1108" s="39">
        <v>43992</v>
      </c>
      <c r="J1108" s="37">
        <v>-0.54800000000000004</v>
      </c>
      <c r="O1108" s="39">
        <v>45352</v>
      </c>
      <c r="P1108" s="37">
        <v>5.31</v>
      </c>
      <c r="R1108" s="39">
        <v>43962</v>
      </c>
      <c r="S1108" s="37">
        <v>6.6699999999999995E-2</v>
      </c>
      <c r="U1108" s="39">
        <v>43952</v>
      </c>
      <c r="V1108" s="37">
        <v>0.25</v>
      </c>
    </row>
    <row r="1109" spans="6:22" x14ac:dyDescent="0.2">
      <c r="F1109" s="39">
        <v>43966</v>
      </c>
      <c r="G1109" s="37">
        <v>0.25</v>
      </c>
      <c r="I1109" s="39">
        <v>43991</v>
      </c>
      <c r="J1109" s="37">
        <v>-0.54200000000000004</v>
      </c>
      <c r="O1109" s="39">
        <v>45355</v>
      </c>
      <c r="P1109" s="37">
        <v>5.31</v>
      </c>
      <c r="R1109" s="39">
        <v>43958</v>
      </c>
      <c r="S1109" s="37">
        <v>6.7400000000000002E-2</v>
      </c>
      <c r="U1109" s="39">
        <v>43951</v>
      </c>
      <c r="V1109" s="37">
        <v>0.25</v>
      </c>
    </row>
    <row r="1110" spans="6:22" x14ac:dyDescent="0.2">
      <c r="F1110" s="39">
        <v>43965</v>
      </c>
      <c r="G1110" s="37">
        <v>0.25</v>
      </c>
      <c r="I1110" s="39">
        <v>43990</v>
      </c>
      <c r="J1110" s="37">
        <v>-0.54700000000000004</v>
      </c>
      <c r="O1110" s="39">
        <v>45356</v>
      </c>
      <c r="P1110" s="37">
        <v>5.31</v>
      </c>
      <c r="R1110" s="39">
        <v>43957</v>
      </c>
      <c r="S1110" s="37">
        <v>6.6799999999999998E-2</v>
      </c>
      <c r="U1110" s="39">
        <v>43950</v>
      </c>
      <c r="V1110" s="37">
        <v>0.25</v>
      </c>
    </row>
    <row r="1111" spans="6:22" x14ac:dyDescent="0.2">
      <c r="F1111" s="39">
        <v>43964</v>
      </c>
      <c r="G1111" s="37">
        <v>0.25</v>
      </c>
      <c r="I1111" s="39">
        <v>43987</v>
      </c>
      <c r="J1111" s="37">
        <v>-0.54400000000000004</v>
      </c>
      <c r="O1111" s="39">
        <v>45357</v>
      </c>
      <c r="P1111" s="37">
        <v>5.31</v>
      </c>
      <c r="R1111" s="39">
        <v>43956</v>
      </c>
      <c r="S1111" s="37">
        <v>6.6500000000000004E-2</v>
      </c>
      <c r="U1111" s="39">
        <v>43949</v>
      </c>
      <c r="V1111" s="37">
        <v>0.25</v>
      </c>
    </row>
    <row r="1112" spans="6:22" x14ac:dyDescent="0.2">
      <c r="F1112" s="39">
        <v>43963</v>
      </c>
      <c r="G1112" s="37">
        <v>0.25</v>
      </c>
      <c r="I1112" s="39">
        <v>43986</v>
      </c>
      <c r="J1112" s="37">
        <v>-0.54500000000000004</v>
      </c>
      <c r="O1112" s="39">
        <v>45358</v>
      </c>
      <c r="P1112" s="37">
        <v>5.31</v>
      </c>
      <c r="R1112" s="39">
        <v>43955</v>
      </c>
      <c r="S1112" s="37">
        <v>6.59E-2</v>
      </c>
      <c r="U1112" s="39">
        <v>43945</v>
      </c>
      <c r="V1112" s="37">
        <v>0.25</v>
      </c>
    </row>
    <row r="1113" spans="6:22" x14ac:dyDescent="0.2">
      <c r="F1113" s="39">
        <v>43962</v>
      </c>
      <c r="G1113" s="37">
        <v>0.25</v>
      </c>
      <c r="I1113" s="39">
        <v>43985</v>
      </c>
      <c r="J1113" s="37">
        <v>-0.54300000000000004</v>
      </c>
      <c r="O1113" s="39">
        <v>45359</v>
      </c>
      <c r="P1113" s="37">
        <v>5.31</v>
      </c>
      <c r="R1113" s="39">
        <v>43952</v>
      </c>
      <c r="S1113" s="37">
        <v>6.5799999999999997E-2</v>
      </c>
      <c r="U1113" s="39">
        <v>43944</v>
      </c>
      <c r="V1113" s="37">
        <v>0.25</v>
      </c>
    </row>
    <row r="1114" spans="6:22" x14ac:dyDescent="0.2">
      <c r="F1114" s="39">
        <v>43959</v>
      </c>
      <c r="G1114" s="37">
        <v>0.25</v>
      </c>
      <c r="I1114" s="39">
        <v>43984</v>
      </c>
      <c r="J1114" s="37">
        <v>-0.54200000000000004</v>
      </c>
      <c r="O1114" s="39">
        <v>45362</v>
      </c>
      <c r="P1114" s="37">
        <v>5.31</v>
      </c>
      <c r="R1114" s="39">
        <v>43951</v>
      </c>
      <c r="S1114" s="37">
        <v>6.6600000000000006E-2</v>
      </c>
      <c r="U1114" s="39">
        <v>43943</v>
      </c>
      <c r="V1114" s="37">
        <v>0.25</v>
      </c>
    </row>
    <row r="1115" spans="6:22" x14ac:dyDescent="0.2">
      <c r="F1115" s="39">
        <v>43958</v>
      </c>
      <c r="G1115" s="37">
        <v>0.25</v>
      </c>
      <c r="I1115" s="39">
        <v>43983</v>
      </c>
      <c r="J1115" s="37">
        <v>-0.54600000000000004</v>
      </c>
      <c r="O1115" s="39">
        <v>45363</v>
      </c>
      <c r="P1115" s="37">
        <v>5.31</v>
      </c>
      <c r="R1115" s="39">
        <v>43950</v>
      </c>
      <c r="S1115" s="37">
        <v>6.7299999999999999E-2</v>
      </c>
      <c r="U1115" s="39">
        <v>43942</v>
      </c>
      <c r="V1115" s="37">
        <v>0.25</v>
      </c>
    </row>
    <row r="1116" spans="6:22" x14ac:dyDescent="0.2">
      <c r="F1116" s="39">
        <v>43957</v>
      </c>
      <c r="G1116" s="37">
        <v>0.25</v>
      </c>
      <c r="I1116" s="39">
        <v>43980</v>
      </c>
      <c r="J1116" s="37">
        <v>-0.54</v>
      </c>
      <c r="O1116" s="39">
        <v>45364</v>
      </c>
      <c r="P1116" s="37">
        <v>5.31</v>
      </c>
      <c r="R1116" s="39">
        <v>43949</v>
      </c>
      <c r="S1116" s="37">
        <v>6.6500000000000004E-2</v>
      </c>
      <c r="U1116" s="39">
        <v>43941</v>
      </c>
      <c r="V1116" s="37">
        <v>0.25</v>
      </c>
    </row>
    <row r="1117" spans="6:22" x14ac:dyDescent="0.2">
      <c r="F1117" s="39">
        <v>43956</v>
      </c>
      <c r="G1117" s="37">
        <v>0.25</v>
      </c>
      <c r="I1117" s="39">
        <v>43979</v>
      </c>
      <c r="J1117" s="37">
        <v>-0.54100000000000004</v>
      </c>
      <c r="O1117" s="39">
        <v>45365</v>
      </c>
      <c r="P1117" s="37">
        <v>5.31</v>
      </c>
      <c r="R1117" s="39">
        <v>43948</v>
      </c>
      <c r="S1117" s="37">
        <v>6.5199999999999994E-2</v>
      </c>
      <c r="U1117" s="39">
        <v>43938</v>
      </c>
      <c r="V1117" s="37">
        <v>0.25</v>
      </c>
    </row>
    <row r="1118" spans="6:22" x14ac:dyDescent="0.2">
      <c r="F1118" s="39">
        <v>43955</v>
      </c>
      <c r="G1118" s="37">
        <v>0.25</v>
      </c>
      <c r="I1118" s="39">
        <v>43978</v>
      </c>
      <c r="J1118" s="37">
        <v>-0.54100000000000004</v>
      </c>
      <c r="O1118" s="39">
        <v>45366</v>
      </c>
      <c r="P1118" s="37">
        <v>5.31</v>
      </c>
      <c r="R1118" s="39">
        <v>43945</v>
      </c>
      <c r="S1118" s="37">
        <v>6.6199999999999995E-2</v>
      </c>
      <c r="U1118" s="39">
        <v>43937</v>
      </c>
      <c r="V1118" s="37">
        <v>0.25</v>
      </c>
    </row>
    <row r="1119" spans="6:22" x14ac:dyDescent="0.2">
      <c r="F1119" s="39">
        <v>43952</v>
      </c>
      <c r="G1119" s="37">
        <v>0.25</v>
      </c>
      <c r="I1119" s="39">
        <v>43977</v>
      </c>
      <c r="J1119" s="37">
        <v>-0.54100000000000004</v>
      </c>
      <c r="O1119" s="39">
        <v>45369</v>
      </c>
      <c r="P1119" s="37">
        <v>5.31</v>
      </c>
      <c r="R1119" s="39">
        <v>43944</v>
      </c>
      <c r="S1119" s="37">
        <v>6.7299999999999999E-2</v>
      </c>
      <c r="U1119" s="39">
        <v>43936</v>
      </c>
      <c r="V1119" s="37">
        <v>0.25</v>
      </c>
    </row>
    <row r="1120" spans="6:22" x14ac:dyDescent="0.2">
      <c r="F1120" s="39">
        <v>43951</v>
      </c>
      <c r="G1120" s="37">
        <v>0.25</v>
      </c>
      <c r="I1120" s="39">
        <v>43976</v>
      </c>
      <c r="J1120" s="37">
        <v>-0.54</v>
      </c>
      <c r="O1120" s="39">
        <v>45370</v>
      </c>
      <c r="P1120" s="37">
        <v>5.31</v>
      </c>
      <c r="R1120" s="39">
        <v>43943</v>
      </c>
      <c r="S1120" s="37">
        <v>6.83E-2</v>
      </c>
      <c r="U1120" s="39">
        <v>43935</v>
      </c>
      <c r="V1120" s="37">
        <v>0.25</v>
      </c>
    </row>
    <row r="1121" spans="6:22" x14ac:dyDescent="0.2">
      <c r="F1121" s="39">
        <v>43950</v>
      </c>
      <c r="G1121" s="37">
        <v>0.25</v>
      </c>
      <c r="I1121" s="39">
        <v>43973</v>
      </c>
      <c r="J1121" s="37">
        <v>-0.53900000000000003</v>
      </c>
      <c r="O1121" s="39">
        <v>45371</v>
      </c>
      <c r="P1121" s="37">
        <v>5.31</v>
      </c>
      <c r="R1121" s="39">
        <v>43942</v>
      </c>
      <c r="S1121" s="37">
        <v>6.7199999999999996E-2</v>
      </c>
      <c r="U1121" s="39">
        <v>43930</v>
      </c>
      <c r="V1121" s="37">
        <v>0.25</v>
      </c>
    </row>
    <row r="1122" spans="6:22" x14ac:dyDescent="0.2">
      <c r="F1122" s="39">
        <v>43949</v>
      </c>
      <c r="G1122" s="37">
        <v>0.25</v>
      </c>
      <c r="I1122" s="39">
        <v>43972</v>
      </c>
      <c r="J1122" s="37">
        <v>-0.54500000000000004</v>
      </c>
      <c r="O1122" s="39">
        <v>45372</v>
      </c>
      <c r="P1122" s="37">
        <v>5.31</v>
      </c>
      <c r="R1122" s="39">
        <v>43941</v>
      </c>
      <c r="S1122" s="37">
        <v>6.6100000000000006E-2</v>
      </c>
      <c r="U1122" s="39">
        <v>43929</v>
      </c>
      <c r="V1122" s="37">
        <v>0.25</v>
      </c>
    </row>
    <row r="1123" spans="6:22" x14ac:dyDescent="0.2">
      <c r="F1123" s="39">
        <v>43948</v>
      </c>
      <c r="G1123" s="37">
        <v>0.25</v>
      </c>
      <c r="I1123" s="39">
        <v>43971</v>
      </c>
      <c r="J1123" s="37">
        <v>-0.54500000000000004</v>
      </c>
      <c r="O1123" s="39">
        <v>45373</v>
      </c>
      <c r="P1123" s="37">
        <v>5.31</v>
      </c>
      <c r="R1123" s="39">
        <v>43938</v>
      </c>
      <c r="S1123" s="37">
        <v>6.4299999999999996E-2</v>
      </c>
      <c r="U1123" s="39">
        <v>43928</v>
      </c>
      <c r="V1123" s="37">
        <v>0.25</v>
      </c>
    </row>
    <row r="1124" spans="6:22" x14ac:dyDescent="0.2">
      <c r="F1124" s="39">
        <v>43945</v>
      </c>
      <c r="G1124" s="37">
        <v>0.25</v>
      </c>
      <c r="I1124" s="39">
        <v>43970</v>
      </c>
      <c r="J1124" s="37">
        <v>-0.54200000000000004</v>
      </c>
      <c r="O1124" s="39">
        <v>45376</v>
      </c>
      <c r="P1124" s="37">
        <v>5.31</v>
      </c>
      <c r="R1124" s="39">
        <v>43937</v>
      </c>
      <c r="S1124" s="37">
        <v>6.3200000000000006E-2</v>
      </c>
      <c r="U1124" s="39">
        <v>43927</v>
      </c>
      <c r="V1124" s="37">
        <v>0.25</v>
      </c>
    </row>
    <row r="1125" spans="6:22" x14ac:dyDescent="0.2">
      <c r="F1125" s="39">
        <v>43944</v>
      </c>
      <c r="G1125" s="37">
        <v>0.25</v>
      </c>
      <c r="I1125" s="39">
        <v>43969</v>
      </c>
      <c r="J1125" s="37">
        <v>-0.54200000000000004</v>
      </c>
      <c r="O1125" s="39">
        <v>45377</v>
      </c>
      <c r="P1125" s="37">
        <v>5.32</v>
      </c>
      <c r="R1125" s="39">
        <v>43936</v>
      </c>
      <c r="S1125" s="37">
        <v>6.3399999999999998E-2</v>
      </c>
      <c r="U1125" s="39">
        <v>43924</v>
      </c>
      <c r="V1125" s="37">
        <v>0.25</v>
      </c>
    </row>
    <row r="1126" spans="6:22" x14ac:dyDescent="0.2">
      <c r="F1126" s="39">
        <v>43943</v>
      </c>
      <c r="G1126" s="37">
        <v>0.25</v>
      </c>
      <c r="I1126" s="39">
        <v>43966</v>
      </c>
      <c r="J1126" s="37">
        <v>-0.54300000000000004</v>
      </c>
      <c r="O1126" s="39">
        <v>45378</v>
      </c>
      <c r="P1126" s="37">
        <v>5.33</v>
      </c>
      <c r="R1126" s="39">
        <v>43935</v>
      </c>
      <c r="S1126" s="37">
        <v>6.3500000000000001E-2</v>
      </c>
      <c r="U1126" s="39">
        <v>43923</v>
      </c>
      <c r="V1126" s="37">
        <v>0.25</v>
      </c>
    </row>
    <row r="1127" spans="6:22" x14ac:dyDescent="0.2">
      <c r="F1127" s="39">
        <v>43942</v>
      </c>
      <c r="G1127" s="37">
        <v>0.25</v>
      </c>
      <c r="I1127" s="39">
        <v>43965</v>
      </c>
      <c r="J1127" s="37">
        <v>-0.54100000000000004</v>
      </c>
      <c r="O1127" s="39">
        <v>45379</v>
      </c>
      <c r="P1127" s="37">
        <v>5.34</v>
      </c>
      <c r="R1127" s="39">
        <v>43930</v>
      </c>
      <c r="S1127" s="37">
        <v>6.6000000000000003E-2</v>
      </c>
      <c r="U1127" s="39">
        <v>43922</v>
      </c>
      <c r="V1127" s="37">
        <v>0.25</v>
      </c>
    </row>
    <row r="1128" spans="6:22" x14ac:dyDescent="0.2">
      <c r="F1128" s="39">
        <v>43941</v>
      </c>
      <c r="G1128" s="37">
        <v>0.25</v>
      </c>
      <c r="I1128" s="39">
        <v>43964</v>
      </c>
      <c r="J1128" s="37">
        <v>-0.54200000000000004</v>
      </c>
      <c r="O1128" s="39">
        <v>45383</v>
      </c>
      <c r="P1128" s="37">
        <v>5.35</v>
      </c>
      <c r="R1128" s="39">
        <v>43929</v>
      </c>
      <c r="S1128" s="37">
        <v>6.4100000000000004E-2</v>
      </c>
      <c r="U1128" s="39">
        <v>43921</v>
      </c>
      <c r="V1128" s="37">
        <v>0.25</v>
      </c>
    </row>
    <row r="1129" spans="6:22" x14ac:dyDescent="0.2">
      <c r="F1129" s="39">
        <v>43938</v>
      </c>
      <c r="G1129" s="37">
        <v>0.25</v>
      </c>
      <c r="I1129" s="39">
        <v>43963</v>
      </c>
      <c r="J1129" s="37">
        <v>-0.54300000000000004</v>
      </c>
      <c r="O1129" s="39">
        <v>45384</v>
      </c>
      <c r="P1129" s="37">
        <v>5.34</v>
      </c>
      <c r="R1129" s="39">
        <v>43928</v>
      </c>
      <c r="S1129" s="37">
        <v>6.6100000000000006E-2</v>
      </c>
      <c r="U1129" s="39">
        <v>43920</v>
      </c>
      <c r="V1129" s="37">
        <v>0.25</v>
      </c>
    </row>
    <row r="1130" spans="6:22" x14ac:dyDescent="0.2">
      <c r="F1130" s="39">
        <v>43937</v>
      </c>
      <c r="G1130" s="37">
        <v>0.25</v>
      </c>
      <c r="I1130" s="39">
        <v>43962</v>
      </c>
      <c r="J1130" s="37">
        <v>-0.54400000000000004</v>
      </c>
      <c r="O1130" s="39">
        <v>45385</v>
      </c>
      <c r="P1130" s="37">
        <v>5.32</v>
      </c>
      <c r="R1130" s="39">
        <v>43927</v>
      </c>
      <c r="S1130" s="37">
        <v>6.5699999999999995E-2</v>
      </c>
      <c r="U1130" s="39">
        <v>43917</v>
      </c>
      <c r="V1130" s="37">
        <v>0.25</v>
      </c>
    </row>
    <row r="1131" spans="6:22" x14ac:dyDescent="0.2">
      <c r="F1131" s="39">
        <v>43936</v>
      </c>
      <c r="G1131" s="37">
        <v>0.25</v>
      </c>
      <c r="I1131" s="39">
        <v>43959</v>
      </c>
      <c r="J1131" s="37">
        <v>-0.54100000000000004</v>
      </c>
      <c r="O1131" s="39">
        <v>45386</v>
      </c>
      <c r="P1131" s="37">
        <v>5.32</v>
      </c>
      <c r="R1131" s="39">
        <v>43924</v>
      </c>
      <c r="S1131" s="37">
        <v>6.4000000000000001E-2</v>
      </c>
      <c r="U1131" s="39">
        <v>43916</v>
      </c>
      <c r="V1131" s="37">
        <v>0.25</v>
      </c>
    </row>
    <row r="1132" spans="6:22" x14ac:dyDescent="0.2">
      <c r="F1132" s="39">
        <v>43935</v>
      </c>
      <c r="G1132" s="37">
        <v>0.25</v>
      </c>
      <c r="I1132" s="39">
        <v>43958</v>
      </c>
      <c r="J1132" s="37">
        <v>-0.54100000000000004</v>
      </c>
      <c r="O1132" s="39">
        <v>45387</v>
      </c>
      <c r="P1132" s="37">
        <v>5.32</v>
      </c>
      <c r="R1132" s="39">
        <v>43923</v>
      </c>
      <c r="S1132" s="37">
        <v>6.5299999999999997E-2</v>
      </c>
      <c r="U1132" s="39">
        <v>43915</v>
      </c>
      <c r="V1132" s="37">
        <v>0.25</v>
      </c>
    </row>
    <row r="1133" spans="6:22" x14ac:dyDescent="0.2">
      <c r="F1133" s="39">
        <v>43930</v>
      </c>
      <c r="G1133" s="37">
        <v>0.25</v>
      </c>
      <c r="I1133" s="39">
        <v>43957</v>
      </c>
      <c r="J1133" s="37">
        <v>-0.54200000000000004</v>
      </c>
      <c r="O1133" s="39">
        <v>45390</v>
      </c>
      <c r="P1133" s="37">
        <v>5.31</v>
      </c>
      <c r="R1133" s="39">
        <v>43922</v>
      </c>
      <c r="S1133" s="37">
        <v>7.1199999999999999E-2</v>
      </c>
      <c r="U1133" s="39">
        <v>43914</v>
      </c>
      <c r="V1133" s="37">
        <v>0.25</v>
      </c>
    </row>
    <row r="1134" spans="6:22" x14ac:dyDescent="0.2">
      <c r="F1134" s="39">
        <v>43929</v>
      </c>
      <c r="G1134" s="37">
        <v>0.25</v>
      </c>
      <c r="I1134" s="39">
        <v>43956</v>
      </c>
      <c r="J1134" s="37">
        <v>-0.53900000000000003</v>
      </c>
      <c r="O1134" s="39">
        <v>45391</v>
      </c>
      <c r="P1134" s="37">
        <v>5.31</v>
      </c>
      <c r="R1134" s="39">
        <v>43921</v>
      </c>
      <c r="S1134" s="37">
        <v>7.2900000000000006E-2</v>
      </c>
      <c r="U1134" s="39">
        <v>43913</v>
      </c>
      <c r="V1134" s="37">
        <v>0.25</v>
      </c>
    </row>
    <row r="1135" spans="6:22" x14ac:dyDescent="0.2">
      <c r="F1135" s="39">
        <v>43928</v>
      </c>
      <c r="G1135" s="37">
        <v>0.25</v>
      </c>
      <c r="I1135" s="39">
        <v>43955</v>
      </c>
      <c r="J1135" s="37">
        <v>-0.54300000000000004</v>
      </c>
      <c r="O1135" s="39">
        <v>45392</v>
      </c>
      <c r="P1135" s="37">
        <v>5.31</v>
      </c>
      <c r="R1135" s="39">
        <v>43920</v>
      </c>
      <c r="S1135" s="37">
        <v>7.1400000000000005E-2</v>
      </c>
      <c r="U1135" s="39">
        <v>43910</v>
      </c>
      <c r="V1135" s="37">
        <v>0.25</v>
      </c>
    </row>
    <row r="1136" spans="6:22" x14ac:dyDescent="0.2">
      <c r="F1136" s="39">
        <v>43927</v>
      </c>
      <c r="G1136" s="37">
        <v>0.25</v>
      </c>
      <c r="I1136" s="39">
        <v>43951</v>
      </c>
      <c r="J1136" s="37">
        <v>-0.53100000000000003</v>
      </c>
      <c r="O1136" s="39">
        <v>45393</v>
      </c>
      <c r="P1136" s="37">
        <v>5.31</v>
      </c>
      <c r="R1136" s="39">
        <v>43917</v>
      </c>
      <c r="S1136" s="37">
        <v>7.0999999999999994E-2</v>
      </c>
      <c r="U1136" s="39">
        <v>43909</v>
      </c>
      <c r="V1136" s="37">
        <v>0.25</v>
      </c>
    </row>
    <row r="1137" spans="6:22" x14ac:dyDescent="0.2">
      <c r="F1137" s="39">
        <v>43924</v>
      </c>
      <c r="G1137" s="37">
        <v>0.25</v>
      </c>
      <c r="I1137" s="39">
        <v>43950</v>
      </c>
      <c r="J1137" s="37">
        <v>-0.54300000000000004</v>
      </c>
      <c r="O1137" s="39">
        <v>45394</v>
      </c>
      <c r="P1137" s="37">
        <v>5.31</v>
      </c>
      <c r="R1137" s="39">
        <v>43916</v>
      </c>
      <c r="S1137" s="37">
        <v>7.2900000000000006E-2</v>
      </c>
      <c r="U1137" s="39">
        <v>43908</v>
      </c>
      <c r="V1137" s="37">
        <v>0.25</v>
      </c>
    </row>
    <row r="1138" spans="6:22" x14ac:dyDescent="0.2">
      <c r="F1138" s="39">
        <v>43923</v>
      </c>
      <c r="G1138" s="37">
        <v>0.25</v>
      </c>
      <c r="I1138" s="39">
        <v>43949</v>
      </c>
      <c r="J1138" s="37">
        <v>-0.54100000000000004</v>
      </c>
      <c r="O1138" s="39">
        <v>45397</v>
      </c>
      <c r="P1138" s="37">
        <v>5.32</v>
      </c>
      <c r="R1138" s="39">
        <v>43915</v>
      </c>
      <c r="S1138" s="37">
        <v>7.4999999999999997E-2</v>
      </c>
      <c r="U1138" s="39">
        <v>43907</v>
      </c>
      <c r="V1138" s="37">
        <v>0.25</v>
      </c>
    </row>
    <row r="1139" spans="6:22" x14ac:dyDescent="0.2">
      <c r="F1139" s="39">
        <v>43922</v>
      </c>
      <c r="G1139" s="37">
        <v>0.25</v>
      </c>
      <c r="I1139" s="39">
        <v>43948</v>
      </c>
      <c r="J1139" s="37">
        <v>-0.53900000000000003</v>
      </c>
      <c r="O1139" s="39">
        <v>45398</v>
      </c>
      <c r="P1139" s="37">
        <v>5.31</v>
      </c>
      <c r="R1139" s="39">
        <v>43914</v>
      </c>
      <c r="S1139" s="37">
        <v>7.3599999999999999E-2</v>
      </c>
      <c r="U1139" s="39">
        <v>43906</v>
      </c>
      <c r="V1139" s="37">
        <v>1</v>
      </c>
    </row>
    <row r="1140" spans="6:22" x14ac:dyDescent="0.2">
      <c r="F1140" s="39">
        <v>43921</v>
      </c>
      <c r="G1140" s="37">
        <v>0.25</v>
      </c>
      <c r="I1140" s="39">
        <v>43945</v>
      </c>
      <c r="J1140" s="37">
        <v>-0.53900000000000003</v>
      </c>
      <c r="O1140" s="39">
        <v>45399</v>
      </c>
      <c r="P1140" s="37">
        <v>5.31</v>
      </c>
      <c r="R1140" s="39">
        <v>43913</v>
      </c>
      <c r="S1140" s="37">
        <v>7.2300000000000003E-2</v>
      </c>
      <c r="U1140" s="39">
        <v>43903</v>
      </c>
      <c r="V1140" s="37">
        <v>1</v>
      </c>
    </row>
    <row r="1141" spans="6:22" x14ac:dyDescent="0.2">
      <c r="F1141" s="39">
        <v>43920</v>
      </c>
      <c r="G1141" s="37">
        <v>0.25</v>
      </c>
      <c r="I1141" s="39">
        <v>43944</v>
      </c>
      <c r="J1141" s="37">
        <v>-0.53900000000000003</v>
      </c>
      <c r="O1141" s="39">
        <v>45400</v>
      </c>
      <c r="P1141" s="37">
        <v>5.3</v>
      </c>
      <c r="R1141" s="39">
        <v>43910</v>
      </c>
      <c r="S1141" s="37">
        <v>7.0599999999999996E-2</v>
      </c>
      <c r="U1141" s="39">
        <v>43902</v>
      </c>
      <c r="V1141" s="37">
        <v>1</v>
      </c>
    </row>
    <row r="1142" spans="6:22" x14ac:dyDescent="0.2">
      <c r="F1142" s="39">
        <v>43917</v>
      </c>
      <c r="G1142" s="37">
        <v>0.25</v>
      </c>
      <c r="I1142" s="39">
        <v>43943</v>
      </c>
      <c r="J1142" s="37">
        <v>-0.53900000000000003</v>
      </c>
      <c r="O1142" s="39">
        <v>45401</v>
      </c>
      <c r="P1142" s="37">
        <v>5.31</v>
      </c>
      <c r="R1142" s="39">
        <v>43909</v>
      </c>
      <c r="S1142" s="37">
        <v>0.21340000000000001</v>
      </c>
      <c r="U1142" s="39">
        <v>43901</v>
      </c>
      <c r="V1142" s="37">
        <v>1</v>
      </c>
    </row>
    <row r="1143" spans="6:22" x14ac:dyDescent="0.2">
      <c r="F1143" s="39">
        <v>43916</v>
      </c>
      <c r="G1143" s="37">
        <v>0.25</v>
      </c>
      <c r="I1143" s="39">
        <v>43942</v>
      </c>
      <c r="J1143" s="37">
        <v>-0.54100000000000004</v>
      </c>
      <c r="O1143" s="39">
        <v>45404</v>
      </c>
      <c r="P1143" s="37">
        <v>5.31</v>
      </c>
      <c r="R1143" s="39">
        <v>43908</v>
      </c>
      <c r="S1143" s="37">
        <v>0.21479999999999999</v>
      </c>
      <c r="U1143" s="39">
        <v>43900</v>
      </c>
      <c r="V1143" s="37">
        <v>1</v>
      </c>
    </row>
    <row r="1144" spans="6:22" x14ac:dyDescent="0.2">
      <c r="F1144" s="39">
        <v>43915</v>
      </c>
      <c r="G1144" s="37">
        <v>0.25</v>
      </c>
      <c r="I1144" s="39">
        <v>43941</v>
      </c>
      <c r="J1144" s="37">
        <v>-0.54100000000000004</v>
      </c>
      <c r="O1144" s="39">
        <v>45405</v>
      </c>
      <c r="P1144" s="37">
        <v>5.31</v>
      </c>
      <c r="R1144" s="39">
        <v>43907</v>
      </c>
      <c r="S1144" s="37">
        <v>0.2135</v>
      </c>
      <c r="U1144" s="39">
        <v>43899</v>
      </c>
      <c r="V1144" s="37">
        <v>1</v>
      </c>
    </row>
    <row r="1145" spans="6:22" x14ac:dyDescent="0.2">
      <c r="F1145" s="39">
        <v>43914</v>
      </c>
      <c r="G1145" s="37">
        <v>0.25</v>
      </c>
      <c r="I1145" s="39">
        <v>43938</v>
      </c>
      <c r="J1145" s="37">
        <v>-0.53800000000000003</v>
      </c>
      <c r="O1145" s="39">
        <v>45406</v>
      </c>
      <c r="P1145" s="37">
        <v>5.31</v>
      </c>
      <c r="R1145" s="39">
        <v>43906</v>
      </c>
      <c r="S1145" s="37">
        <v>0.20960000000000001</v>
      </c>
      <c r="U1145" s="39">
        <v>43896</v>
      </c>
      <c r="V1145" s="37">
        <v>1</v>
      </c>
    </row>
    <row r="1146" spans="6:22" x14ac:dyDescent="0.2">
      <c r="F1146" s="39">
        <v>43913</v>
      </c>
      <c r="G1146" s="37">
        <v>0.25</v>
      </c>
      <c r="I1146" s="39">
        <v>43937</v>
      </c>
      <c r="J1146" s="37">
        <v>-0.53400000000000003</v>
      </c>
      <c r="O1146" s="39">
        <v>45407</v>
      </c>
      <c r="P1146" s="37">
        <v>5.31</v>
      </c>
      <c r="R1146" s="39">
        <v>43903</v>
      </c>
      <c r="S1146" s="37">
        <v>0.20930000000000001</v>
      </c>
      <c r="U1146" s="39">
        <v>43895</v>
      </c>
      <c r="V1146" s="37">
        <v>1</v>
      </c>
    </row>
    <row r="1147" spans="6:22" x14ac:dyDescent="0.2">
      <c r="F1147" s="39">
        <v>43910</v>
      </c>
      <c r="G1147" s="37">
        <v>0.25</v>
      </c>
      <c r="I1147" s="39">
        <v>43936</v>
      </c>
      <c r="J1147" s="37">
        <v>-0.53500000000000003</v>
      </c>
      <c r="O1147" s="39">
        <v>45408</v>
      </c>
      <c r="P1147" s="37">
        <v>5.32</v>
      </c>
      <c r="R1147" s="39">
        <v>43902</v>
      </c>
      <c r="S1147" s="37">
        <v>0.20930000000000001</v>
      </c>
      <c r="U1147" s="39">
        <v>43894</v>
      </c>
      <c r="V1147" s="37">
        <v>1</v>
      </c>
    </row>
    <row r="1148" spans="6:22" x14ac:dyDescent="0.2">
      <c r="F1148" s="39">
        <v>43909</v>
      </c>
      <c r="G1148" s="37">
        <v>0.5</v>
      </c>
      <c r="I1148" s="39">
        <v>43935</v>
      </c>
      <c r="J1148" s="37">
        <v>-0.53400000000000003</v>
      </c>
      <c r="O1148" s="39">
        <v>45411</v>
      </c>
      <c r="P1148" s="37">
        <v>5.32</v>
      </c>
      <c r="R1148" s="39">
        <v>43901</v>
      </c>
      <c r="S1148" s="37">
        <v>0.2092</v>
      </c>
      <c r="U1148" s="39">
        <v>43893</v>
      </c>
      <c r="V1148" s="37">
        <v>1</v>
      </c>
    </row>
    <row r="1149" spans="6:22" x14ac:dyDescent="0.2">
      <c r="F1149" s="39">
        <v>43908</v>
      </c>
      <c r="G1149" s="37">
        <v>0.5</v>
      </c>
      <c r="I1149" s="39">
        <v>43930</v>
      </c>
      <c r="J1149" s="37">
        <v>-0.53600000000000003</v>
      </c>
      <c r="O1149" s="39">
        <v>45412</v>
      </c>
      <c r="P1149" s="37">
        <v>5.34</v>
      </c>
      <c r="R1149" s="39">
        <v>43900</v>
      </c>
      <c r="S1149" s="37">
        <v>0.70909999999999995</v>
      </c>
      <c r="U1149" s="39">
        <v>43892</v>
      </c>
      <c r="V1149" s="37">
        <v>1</v>
      </c>
    </row>
    <row r="1150" spans="6:22" x14ac:dyDescent="0.2">
      <c r="F1150" s="39">
        <v>43907</v>
      </c>
      <c r="G1150" s="37">
        <v>0.5</v>
      </c>
      <c r="I1150" s="39">
        <v>43929</v>
      </c>
      <c r="J1150" s="37">
        <v>-0.53500000000000003</v>
      </c>
      <c r="O1150" s="39">
        <v>45413</v>
      </c>
      <c r="P1150" s="37">
        <v>5.32</v>
      </c>
      <c r="R1150" s="39">
        <v>43899</v>
      </c>
      <c r="S1150" s="37">
        <v>0.70909999999999995</v>
      </c>
      <c r="U1150" s="39">
        <v>43889</v>
      </c>
      <c r="V1150" s="37">
        <v>1</v>
      </c>
    </row>
    <row r="1151" spans="6:22" x14ac:dyDescent="0.2">
      <c r="F1151" s="39">
        <v>43906</v>
      </c>
      <c r="G1151" s="37">
        <v>0.5</v>
      </c>
      <c r="I1151" s="39">
        <v>43928</v>
      </c>
      <c r="J1151" s="37">
        <v>-0.53300000000000003</v>
      </c>
      <c r="O1151" s="39">
        <v>45414</v>
      </c>
      <c r="P1151" s="37">
        <v>5.31</v>
      </c>
      <c r="R1151" s="39">
        <v>43896</v>
      </c>
      <c r="S1151" s="37">
        <v>0.7087</v>
      </c>
      <c r="U1151" s="39">
        <v>43888</v>
      </c>
      <c r="V1151" s="37">
        <v>1</v>
      </c>
    </row>
    <row r="1152" spans="6:22" x14ac:dyDescent="0.2">
      <c r="F1152" s="39">
        <v>43903</v>
      </c>
      <c r="G1152" s="37">
        <v>0.5</v>
      </c>
      <c r="I1152" s="39">
        <v>43927</v>
      </c>
      <c r="J1152" s="37">
        <v>-0.53300000000000003</v>
      </c>
      <c r="O1152" s="39">
        <v>45415</v>
      </c>
      <c r="P1152" s="37">
        <v>5.31</v>
      </c>
      <c r="R1152" s="39">
        <v>43895</v>
      </c>
      <c r="S1152" s="37">
        <v>0.70889999999999997</v>
      </c>
      <c r="U1152" s="39">
        <v>43887</v>
      </c>
      <c r="V1152" s="37">
        <v>1</v>
      </c>
    </row>
    <row r="1153" spans="6:22" x14ac:dyDescent="0.2">
      <c r="F1153" s="39">
        <v>43902</v>
      </c>
      <c r="G1153" s="37">
        <v>0.5</v>
      </c>
      <c r="I1153" s="39">
        <v>43924</v>
      </c>
      <c r="J1153" s="37">
        <v>-0.53900000000000003</v>
      </c>
      <c r="O1153" s="39">
        <v>45418</v>
      </c>
      <c r="P1153" s="37">
        <v>5.31</v>
      </c>
      <c r="R1153" s="39">
        <v>43894</v>
      </c>
      <c r="S1153" s="37">
        <v>0.71</v>
      </c>
      <c r="U1153" s="39">
        <v>43886</v>
      </c>
      <c r="V1153" s="37">
        <v>1</v>
      </c>
    </row>
    <row r="1154" spans="6:22" x14ac:dyDescent="0.2">
      <c r="F1154" s="39">
        <v>43901</v>
      </c>
      <c r="G1154" s="37">
        <v>0.5</v>
      </c>
      <c r="I1154" s="39">
        <v>43923</v>
      </c>
      <c r="J1154" s="37">
        <v>-0.53400000000000003</v>
      </c>
      <c r="O1154" s="39">
        <v>45419</v>
      </c>
      <c r="P1154" s="37">
        <v>5.31</v>
      </c>
      <c r="R1154" s="39">
        <v>43893</v>
      </c>
      <c r="S1154" s="37">
        <v>0.70979999999999999</v>
      </c>
      <c r="U1154" s="39">
        <v>43885</v>
      </c>
      <c r="V1154" s="37">
        <v>1</v>
      </c>
    </row>
    <row r="1155" spans="6:22" x14ac:dyDescent="0.2">
      <c r="F1155" s="39">
        <v>43900</v>
      </c>
      <c r="G1155" s="37">
        <v>0.5</v>
      </c>
      <c r="I1155" s="39">
        <v>43922</v>
      </c>
      <c r="J1155" s="37">
        <v>-0.52700000000000002</v>
      </c>
      <c r="O1155" s="39">
        <v>45420</v>
      </c>
      <c r="P1155" s="37">
        <v>5.31</v>
      </c>
      <c r="R1155" s="39">
        <v>43892</v>
      </c>
      <c r="S1155" s="37">
        <v>0.70889999999999997</v>
      </c>
      <c r="U1155" s="39">
        <v>43882</v>
      </c>
      <c r="V1155" s="37">
        <v>1</v>
      </c>
    </row>
    <row r="1156" spans="6:22" x14ac:dyDescent="0.2">
      <c r="F1156" s="39">
        <v>43899</v>
      </c>
      <c r="G1156" s="37">
        <v>0.5</v>
      </c>
      <c r="I1156" s="39">
        <v>43921</v>
      </c>
      <c r="J1156" s="37">
        <v>-0.52200000000000002</v>
      </c>
      <c r="O1156" s="39">
        <v>45421</v>
      </c>
      <c r="P1156" s="37">
        <v>5.31</v>
      </c>
      <c r="R1156" s="39">
        <v>43889</v>
      </c>
      <c r="S1156" s="37">
        <v>0.70979999999999999</v>
      </c>
      <c r="U1156" s="39">
        <v>43881</v>
      </c>
      <c r="V1156" s="37">
        <v>1</v>
      </c>
    </row>
    <row r="1157" spans="6:22" x14ac:dyDescent="0.2">
      <c r="F1157" s="39">
        <v>43896</v>
      </c>
      <c r="G1157" s="37">
        <v>0.5</v>
      </c>
      <c r="I1157" s="39">
        <v>43920</v>
      </c>
      <c r="J1157" s="37">
        <v>-0.52800000000000002</v>
      </c>
      <c r="O1157" s="39">
        <v>45422</v>
      </c>
      <c r="P1157" s="37">
        <v>5.31</v>
      </c>
      <c r="R1157" s="39">
        <v>43888</v>
      </c>
      <c r="S1157" s="37">
        <v>0.71060000000000001</v>
      </c>
      <c r="U1157" s="39">
        <v>43880</v>
      </c>
      <c r="V1157" s="37">
        <v>1</v>
      </c>
    </row>
    <row r="1158" spans="6:22" x14ac:dyDescent="0.2">
      <c r="F1158" s="39">
        <v>43895</v>
      </c>
      <c r="G1158" s="37">
        <v>0.5</v>
      </c>
      <c r="I1158" s="39">
        <v>43917</v>
      </c>
      <c r="J1158" s="37">
        <v>-0.53</v>
      </c>
      <c r="O1158" s="39">
        <v>45425</v>
      </c>
      <c r="P1158" s="37">
        <v>5.31</v>
      </c>
      <c r="R1158" s="39">
        <v>43887</v>
      </c>
      <c r="S1158" s="37">
        <v>0.71140000000000003</v>
      </c>
      <c r="U1158" s="39">
        <v>43879</v>
      </c>
      <c r="V1158" s="37">
        <v>1</v>
      </c>
    </row>
    <row r="1159" spans="6:22" x14ac:dyDescent="0.2">
      <c r="F1159" s="39">
        <v>43894</v>
      </c>
      <c r="G1159" s="37">
        <v>0.5</v>
      </c>
      <c r="I1159" s="39">
        <v>43916</v>
      </c>
      <c r="J1159" s="37">
        <v>-0.52900000000000003</v>
      </c>
      <c r="O1159" s="39">
        <v>45426</v>
      </c>
      <c r="P1159" s="37">
        <v>5.31</v>
      </c>
      <c r="R1159" s="39">
        <v>43886</v>
      </c>
      <c r="S1159" s="37">
        <v>0.71089999999999998</v>
      </c>
      <c r="U1159" s="39">
        <v>43878</v>
      </c>
      <c r="V1159" s="37">
        <v>1</v>
      </c>
    </row>
    <row r="1160" spans="6:22" x14ac:dyDescent="0.2">
      <c r="F1160" s="39">
        <v>43893</v>
      </c>
      <c r="G1160" s="37">
        <v>0.75</v>
      </c>
      <c r="I1160" s="39">
        <v>43915</v>
      </c>
      <c r="J1160" s="37">
        <v>-0.52700000000000002</v>
      </c>
      <c r="O1160" s="39">
        <v>45427</v>
      </c>
      <c r="P1160" s="37">
        <v>5.31</v>
      </c>
      <c r="R1160" s="39">
        <v>43885</v>
      </c>
      <c r="S1160" s="37">
        <v>0.71050000000000002</v>
      </c>
      <c r="U1160" s="39">
        <v>43875</v>
      </c>
      <c r="V1160" s="37">
        <v>1</v>
      </c>
    </row>
    <row r="1161" spans="6:22" x14ac:dyDescent="0.2">
      <c r="F1161" s="39">
        <v>43892</v>
      </c>
      <c r="G1161" s="37">
        <v>0.75</v>
      </c>
      <c r="I1161" s="39">
        <v>43914</v>
      </c>
      <c r="J1161" s="37">
        <v>-0.52700000000000002</v>
      </c>
      <c r="O1161" s="39">
        <v>45428</v>
      </c>
      <c r="P1161" s="37">
        <v>5.31</v>
      </c>
      <c r="R1161" s="39">
        <v>43882</v>
      </c>
      <c r="S1161" s="37">
        <v>0.71120000000000005</v>
      </c>
      <c r="U1161" s="39">
        <v>43874</v>
      </c>
      <c r="V1161" s="37">
        <v>1</v>
      </c>
    </row>
    <row r="1162" spans="6:22" x14ac:dyDescent="0.2">
      <c r="F1162" s="39">
        <v>43889</v>
      </c>
      <c r="G1162" s="37">
        <v>0.75</v>
      </c>
      <c r="I1162" s="39">
        <v>43913</v>
      </c>
      <c r="J1162" s="37">
        <v>-0.52500000000000002</v>
      </c>
      <c r="O1162" s="39">
        <v>45429</v>
      </c>
      <c r="P1162" s="37">
        <v>5.31</v>
      </c>
      <c r="R1162" s="39">
        <v>43881</v>
      </c>
      <c r="S1162" s="37">
        <v>0.71099999999999997</v>
      </c>
      <c r="U1162" s="39">
        <v>43873</v>
      </c>
      <c r="V1162" s="37">
        <v>1</v>
      </c>
    </row>
    <row r="1163" spans="6:22" x14ac:dyDescent="0.2">
      <c r="F1163" s="39">
        <v>43888</v>
      </c>
      <c r="G1163" s="37">
        <v>0.75</v>
      </c>
      <c r="I1163" s="39">
        <v>43910</v>
      </c>
      <c r="J1163" s="37">
        <v>-0.52400000000000002</v>
      </c>
      <c r="O1163" s="39">
        <v>45432</v>
      </c>
      <c r="P1163" s="37">
        <v>5.31</v>
      </c>
      <c r="R1163" s="39">
        <v>43880</v>
      </c>
      <c r="S1163" s="37">
        <v>0.71020000000000005</v>
      </c>
      <c r="U1163" s="39">
        <v>43872</v>
      </c>
      <c r="V1163" s="37">
        <v>1</v>
      </c>
    </row>
    <row r="1164" spans="6:22" x14ac:dyDescent="0.2">
      <c r="F1164" s="39">
        <v>43887</v>
      </c>
      <c r="G1164" s="37">
        <v>0.75</v>
      </c>
      <c r="I1164" s="39">
        <v>43909</v>
      </c>
      <c r="J1164" s="37">
        <v>-0.52600000000000002</v>
      </c>
      <c r="O1164" s="39">
        <v>45433</v>
      </c>
      <c r="P1164" s="37">
        <v>5.31</v>
      </c>
      <c r="R1164" s="39">
        <v>43879</v>
      </c>
      <c r="S1164" s="37">
        <v>0.70950000000000002</v>
      </c>
      <c r="U1164" s="39">
        <v>43871</v>
      </c>
      <c r="V1164" s="37">
        <v>1</v>
      </c>
    </row>
    <row r="1165" spans="6:22" x14ac:dyDescent="0.2">
      <c r="F1165" s="39">
        <v>43886</v>
      </c>
      <c r="G1165" s="37">
        <v>0.75</v>
      </c>
      <c r="I1165" s="39">
        <v>43908</v>
      </c>
      <c r="J1165" s="37">
        <v>-0.52900000000000003</v>
      </c>
      <c r="O1165" s="39">
        <v>45434</v>
      </c>
      <c r="P1165" s="37">
        <v>5.31</v>
      </c>
      <c r="R1165" s="39">
        <v>43878</v>
      </c>
      <c r="S1165" s="37">
        <v>0.70920000000000005</v>
      </c>
      <c r="U1165" s="39">
        <v>43868</v>
      </c>
      <c r="V1165" s="37">
        <v>1</v>
      </c>
    </row>
    <row r="1166" spans="6:22" x14ac:dyDescent="0.2">
      <c r="F1166" s="39">
        <v>43885</v>
      </c>
      <c r="G1166" s="37">
        <v>0.75</v>
      </c>
      <c r="I1166" s="39">
        <v>43907</v>
      </c>
      <c r="J1166" s="37">
        <v>-0.53100000000000003</v>
      </c>
      <c r="O1166" s="39">
        <v>45435</v>
      </c>
      <c r="P1166" s="37">
        <v>5.31</v>
      </c>
      <c r="R1166" s="39">
        <v>43875</v>
      </c>
      <c r="S1166" s="37">
        <v>0.71030000000000004</v>
      </c>
      <c r="U1166" s="39">
        <v>43866</v>
      </c>
      <c r="V1166" s="37">
        <v>1</v>
      </c>
    </row>
    <row r="1167" spans="6:22" x14ac:dyDescent="0.2">
      <c r="F1167" s="39">
        <v>43882</v>
      </c>
      <c r="G1167" s="37">
        <v>0.75</v>
      </c>
      <c r="I1167" s="39">
        <v>43906</v>
      </c>
      <c r="J1167" s="37">
        <v>-0.53600000000000003</v>
      </c>
      <c r="O1167" s="39">
        <v>45436</v>
      </c>
      <c r="P1167" s="37">
        <v>5.32</v>
      </c>
      <c r="R1167" s="39">
        <v>43874</v>
      </c>
      <c r="S1167" s="37">
        <v>0.71060000000000001</v>
      </c>
      <c r="U1167" s="39">
        <v>43865</v>
      </c>
      <c r="V1167" s="37">
        <v>1</v>
      </c>
    </row>
    <row r="1168" spans="6:22" x14ac:dyDescent="0.2">
      <c r="F1168" s="39">
        <v>43881</v>
      </c>
      <c r="G1168" s="37">
        <v>0.75</v>
      </c>
      <c r="I1168" s="39">
        <v>43903</v>
      </c>
      <c r="J1168" s="37">
        <v>-0.54100000000000004</v>
      </c>
      <c r="O1168" s="39">
        <v>45440</v>
      </c>
      <c r="P1168" s="37">
        <v>5.32</v>
      </c>
      <c r="R1168" s="39">
        <v>43873</v>
      </c>
      <c r="S1168" s="37">
        <v>0.70979999999999999</v>
      </c>
      <c r="U1168" s="39">
        <v>43864</v>
      </c>
      <c r="V1168" s="37">
        <v>1</v>
      </c>
    </row>
    <row r="1169" spans="6:22" x14ac:dyDescent="0.2">
      <c r="F1169" s="39">
        <v>43880</v>
      </c>
      <c r="G1169" s="37">
        <v>0.75</v>
      </c>
      <c r="I1169" s="39">
        <v>43902</v>
      </c>
      <c r="J1169" s="37">
        <v>-0.54</v>
      </c>
      <c r="O1169" s="39">
        <v>45441</v>
      </c>
      <c r="P1169" s="37">
        <v>5.33</v>
      </c>
      <c r="R1169" s="39">
        <v>43872</v>
      </c>
      <c r="S1169" s="37">
        <v>0.7097</v>
      </c>
      <c r="U1169" s="39">
        <v>43861</v>
      </c>
      <c r="V1169" s="37">
        <v>1</v>
      </c>
    </row>
    <row r="1170" spans="6:22" x14ac:dyDescent="0.2">
      <c r="F1170" s="39">
        <v>43879</v>
      </c>
      <c r="G1170" s="37">
        <v>0.75</v>
      </c>
      <c r="I1170" s="39">
        <v>43901</v>
      </c>
      <c r="J1170" s="37">
        <v>-0.54300000000000004</v>
      </c>
      <c r="O1170" s="39">
        <v>45442</v>
      </c>
      <c r="P1170" s="37">
        <v>5.33</v>
      </c>
      <c r="R1170" s="39">
        <v>43871</v>
      </c>
      <c r="S1170" s="37">
        <v>0.70950000000000002</v>
      </c>
      <c r="U1170" s="39">
        <v>43860</v>
      </c>
      <c r="V1170" s="37">
        <v>1</v>
      </c>
    </row>
    <row r="1171" spans="6:22" x14ac:dyDescent="0.2">
      <c r="F1171" s="39">
        <v>43878</v>
      </c>
      <c r="G1171" s="37">
        <v>0.75</v>
      </c>
      <c r="I1171" s="39">
        <v>43900</v>
      </c>
      <c r="J1171" s="37">
        <v>-0.54100000000000004</v>
      </c>
      <c r="O1171" s="39">
        <v>45443</v>
      </c>
      <c r="P1171" s="37">
        <v>5.34</v>
      </c>
      <c r="R1171" s="39">
        <v>43868</v>
      </c>
      <c r="S1171" s="37">
        <v>0.71120000000000005</v>
      </c>
      <c r="U1171" s="39">
        <v>43859</v>
      </c>
      <c r="V1171" s="37">
        <v>1</v>
      </c>
    </row>
    <row r="1172" spans="6:22" x14ac:dyDescent="0.2">
      <c r="F1172" s="39">
        <v>43875</v>
      </c>
      <c r="G1172" s="37">
        <v>0.75</v>
      </c>
      <c r="I1172" s="39">
        <v>43899</v>
      </c>
      <c r="J1172" s="37">
        <v>-0.53900000000000003</v>
      </c>
      <c r="O1172" s="39">
        <v>45446</v>
      </c>
      <c r="P1172" s="37">
        <v>5.35</v>
      </c>
      <c r="R1172" s="39">
        <v>43867</v>
      </c>
      <c r="S1172" s="37">
        <v>0.7107</v>
      </c>
      <c r="U1172" s="39">
        <v>43858</v>
      </c>
      <c r="V1172" s="37">
        <v>1</v>
      </c>
    </row>
    <row r="1173" spans="6:22" x14ac:dyDescent="0.2">
      <c r="F1173" s="39">
        <v>43874</v>
      </c>
      <c r="G1173" s="37">
        <v>0.75</v>
      </c>
      <c r="I1173" s="39">
        <v>43896</v>
      </c>
      <c r="J1173" s="37">
        <v>-0.54100000000000004</v>
      </c>
      <c r="O1173" s="39">
        <v>45447</v>
      </c>
      <c r="P1173" s="37">
        <v>5.33</v>
      </c>
      <c r="R1173" s="39">
        <v>43866</v>
      </c>
      <c r="S1173" s="37">
        <v>0.7107</v>
      </c>
      <c r="U1173" s="39">
        <v>43857</v>
      </c>
      <c r="V1173" s="37">
        <v>1</v>
      </c>
    </row>
    <row r="1174" spans="6:22" x14ac:dyDescent="0.2">
      <c r="F1174" s="39">
        <v>43873</v>
      </c>
      <c r="G1174" s="37">
        <v>0.75</v>
      </c>
      <c r="I1174" s="39">
        <v>43895</v>
      </c>
      <c r="J1174" s="37">
        <v>-0.54</v>
      </c>
      <c r="O1174" s="39">
        <v>45448</v>
      </c>
      <c r="P1174" s="37">
        <v>5.33</v>
      </c>
      <c r="R1174" s="39">
        <v>43865</v>
      </c>
      <c r="S1174" s="37">
        <v>0.71040000000000003</v>
      </c>
      <c r="U1174" s="39">
        <v>43854</v>
      </c>
      <c r="V1174" s="37">
        <v>1</v>
      </c>
    </row>
    <row r="1175" spans="6:22" x14ac:dyDescent="0.2">
      <c r="F1175" s="39">
        <v>43872</v>
      </c>
      <c r="G1175" s="37">
        <v>0.75</v>
      </c>
      <c r="I1175" s="39">
        <v>43894</v>
      </c>
      <c r="J1175" s="37">
        <v>-0.54100000000000004</v>
      </c>
      <c r="O1175" s="39">
        <v>45449</v>
      </c>
      <c r="P1175" s="37">
        <v>5.33</v>
      </c>
      <c r="R1175" s="39">
        <v>43864</v>
      </c>
      <c r="S1175" s="37">
        <v>0.71040000000000003</v>
      </c>
      <c r="U1175" s="39">
        <v>43853</v>
      </c>
      <c r="V1175" s="37">
        <v>1</v>
      </c>
    </row>
    <row r="1176" spans="6:22" x14ac:dyDescent="0.2">
      <c r="F1176" s="39">
        <v>43871</v>
      </c>
      <c r="G1176" s="37">
        <v>0.75</v>
      </c>
      <c r="I1176" s="39">
        <v>43893</v>
      </c>
      <c r="J1176" s="37">
        <v>-0.54200000000000004</v>
      </c>
      <c r="O1176" s="39">
        <v>45450</v>
      </c>
      <c r="P1176" s="37">
        <v>5.33</v>
      </c>
      <c r="R1176" s="39">
        <v>43861</v>
      </c>
      <c r="S1176" s="37">
        <v>0.7117</v>
      </c>
      <c r="U1176" s="39">
        <v>43852</v>
      </c>
      <c r="V1176" s="37">
        <v>1</v>
      </c>
    </row>
    <row r="1177" spans="6:22" x14ac:dyDescent="0.2">
      <c r="F1177" s="39">
        <v>43868</v>
      </c>
      <c r="G1177" s="37">
        <v>0.75</v>
      </c>
      <c r="I1177" s="39">
        <v>43892</v>
      </c>
      <c r="J1177" s="37">
        <v>-0.54200000000000004</v>
      </c>
      <c r="O1177" s="39">
        <v>45453</v>
      </c>
      <c r="P1177" s="37">
        <v>5.32</v>
      </c>
      <c r="R1177" s="39">
        <v>43860</v>
      </c>
      <c r="S1177" s="37">
        <v>0.70989999999999998</v>
      </c>
      <c r="U1177" s="39">
        <v>43851</v>
      </c>
      <c r="V1177" s="37">
        <v>1</v>
      </c>
    </row>
    <row r="1178" spans="6:22" x14ac:dyDescent="0.2">
      <c r="F1178" s="39">
        <v>43867</v>
      </c>
      <c r="G1178" s="37">
        <v>0.75</v>
      </c>
      <c r="I1178" s="39">
        <v>43889</v>
      </c>
      <c r="J1178" s="37">
        <v>-0.54</v>
      </c>
      <c r="O1178" s="39">
        <v>45454</v>
      </c>
      <c r="P1178" s="37">
        <v>5.32</v>
      </c>
      <c r="R1178" s="39">
        <v>43859</v>
      </c>
      <c r="S1178" s="37">
        <v>0.71030000000000004</v>
      </c>
      <c r="U1178" s="39">
        <v>43850</v>
      </c>
      <c r="V1178" s="37">
        <v>1</v>
      </c>
    </row>
    <row r="1179" spans="6:22" x14ac:dyDescent="0.2">
      <c r="F1179" s="39">
        <v>43866</v>
      </c>
      <c r="G1179" s="37">
        <v>0.75</v>
      </c>
      <c r="I1179" s="39">
        <v>43888</v>
      </c>
      <c r="J1179" s="37">
        <v>-0.53800000000000003</v>
      </c>
      <c r="O1179" s="39">
        <v>45455</v>
      </c>
      <c r="P1179" s="37">
        <v>5.31</v>
      </c>
      <c r="R1179" s="39">
        <v>43858</v>
      </c>
      <c r="S1179" s="37">
        <v>0.70960000000000001</v>
      </c>
      <c r="U1179" s="39">
        <v>43847</v>
      </c>
      <c r="V1179" s="37">
        <v>1</v>
      </c>
    </row>
    <row r="1180" spans="6:22" x14ac:dyDescent="0.2">
      <c r="F1180" s="39">
        <v>43865</v>
      </c>
      <c r="G1180" s="37">
        <v>0.75</v>
      </c>
      <c r="I1180" s="39">
        <v>43887</v>
      </c>
      <c r="J1180" s="37">
        <v>-0.53900000000000003</v>
      </c>
      <c r="O1180" s="39">
        <v>45456</v>
      </c>
      <c r="P1180" s="37">
        <v>5.31</v>
      </c>
      <c r="R1180" s="39">
        <v>43857</v>
      </c>
      <c r="S1180" s="37">
        <v>0.70889999999999997</v>
      </c>
      <c r="U1180" s="39">
        <v>43846</v>
      </c>
      <c r="V1180" s="37">
        <v>1</v>
      </c>
    </row>
    <row r="1181" spans="6:22" x14ac:dyDescent="0.2">
      <c r="F1181" s="39">
        <v>43864</v>
      </c>
      <c r="G1181" s="37">
        <v>0.75</v>
      </c>
      <c r="I1181" s="39">
        <v>43886</v>
      </c>
      <c r="J1181" s="37">
        <v>-0.53900000000000003</v>
      </c>
      <c r="O1181" s="39">
        <v>45457</v>
      </c>
      <c r="P1181" s="37">
        <v>5.31</v>
      </c>
      <c r="R1181" s="39">
        <v>43854</v>
      </c>
      <c r="S1181" s="37">
        <v>0.71060000000000001</v>
      </c>
      <c r="U1181" s="39">
        <v>43845</v>
      </c>
      <c r="V1181" s="37">
        <v>1</v>
      </c>
    </row>
    <row r="1182" spans="6:22" x14ac:dyDescent="0.2">
      <c r="F1182" s="39">
        <v>43861</v>
      </c>
      <c r="G1182" s="37">
        <v>0.75</v>
      </c>
      <c r="I1182" s="39">
        <v>43885</v>
      </c>
      <c r="J1182" s="37">
        <v>-0.54</v>
      </c>
      <c r="O1182" s="39">
        <v>45460</v>
      </c>
      <c r="P1182" s="37">
        <v>5.33</v>
      </c>
      <c r="R1182" s="39">
        <v>43853</v>
      </c>
      <c r="S1182" s="37">
        <v>0.71040000000000003</v>
      </c>
      <c r="U1182" s="39">
        <v>43844</v>
      </c>
      <c r="V1182" s="37">
        <v>1</v>
      </c>
    </row>
    <row r="1183" spans="6:22" x14ac:dyDescent="0.2">
      <c r="F1183" s="39">
        <v>43860</v>
      </c>
      <c r="G1183" s="37">
        <v>0.75</v>
      </c>
      <c r="I1183" s="39">
        <v>43882</v>
      </c>
      <c r="J1183" s="37">
        <v>-0.53900000000000003</v>
      </c>
      <c r="O1183" s="39">
        <v>45461</v>
      </c>
      <c r="P1183" s="37">
        <v>5.33</v>
      </c>
      <c r="R1183" s="39">
        <v>43852</v>
      </c>
      <c r="S1183" s="37">
        <v>0.7117</v>
      </c>
      <c r="U1183" s="39">
        <v>43843</v>
      </c>
      <c r="V1183" s="37">
        <v>1</v>
      </c>
    </row>
    <row r="1184" spans="6:22" x14ac:dyDescent="0.2">
      <c r="F1184" s="39">
        <v>43859</v>
      </c>
      <c r="G1184" s="37">
        <v>0.75</v>
      </c>
      <c r="I1184" s="39">
        <v>43881</v>
      </c>
      <c r="J1184" s="37">
        <v>-0.53800000000000003</v>
      </c>
      <c r="O1184" s="39">
        <v>45463</v>
      </c>
      <c r="P1184" s="37">
        <v>5.32</v>
      </c>
      <c r="R1184" s="39">
        <v>43851</v>
      </c>
      <c r="S1184" s="37">
        <v>0.7117</v>
      </c>
      <c r="U1184" s="39">
        <v>43840</v>
      </c>
      <c r="V1184" s="37">
        <v>1</v>
      </c>
    </row>
    <row r="1185" spans="6:22" x14ac:dyDescent="0.2">
      <c r="F1185" s="39">
        <v>43858</v>
      </c>
      <c r="G1185" s="37">
        <v>0.75</v>
      </c>
      <c r="I1185" s="39">
        <v>43880</v>
      </c>
      <c r="J1185" s="37">
        <v>-0.53800000000000003</v>
      </c>
      <c r="O1185" s="39">
        <v>45464</v>
      </c>
      <c r="P1185" s="37">
        <v>5.31</v>
      </c>
      <c r="R1185" s="39">
        <v>43850</v>
      </c>
      <c r="S1185" s="37">
        <v>0.7117</v>
      </c>
      <c r="U1185" s="39">
        <v>43839</v>
      </c>
      <c r="V1185" s="37">
        <v>1</v>
      </c>
    </row>
    <row r="1186" spans="6:22" x14ac:dyDescent="0.2">
      <c r="F1186" s="39">
        <v>43854</v>
      </c>
      <c r="G1186" s="37">
        <v>0.75</v>
      </c>
      <c r="I1186" s="39">
        <v>43879</v>
      </c>
      <c r="J1186" s="37">
        <v>-0.53600000000000003</v>
      </c>
      <c r="O1186" s="39">
        <v>45467</v>
      </c>
      <c r="P1186" s="37">
        <v>5.31</v>
      </c>
      <c r="R1186" s="39">
        <v>43847</v>
      </c>
      <c r="S1186" s="37">
        <v>0.71199999999999997</v>
      </c>
      <c r="U1186" s="39">
        <v>43838</v>
      </c>
      <c r="V1186" s="37">
        <v>1</v>
      </c>
    </row>
    <row r="1187" spans="6:22" x14ac:dyDescent="0.2">
      <c r="F1187" s="39">
        <v>43853</v>
      </c>
      <c r="G1187" s="37">
        <v>0.75</v>
      </c>
      <c r="I1187" s="39">
        <v>43878</v>
      </c>
      <c r="J1187" s="37">
        <v>-0.54100000000000004</v>
      </c>
      <c r="O1187" s="39">
        <v>45468</v>
      </c>
      <c r="P1187" s="37">
        <v>5.33</v>
      </c>
      <c r="R1187" s="39">
        <v>43846</v>
      </c>
      <c r="S1187" s="37">
        <v>0.7117</v>
      </c>
      <c r="U1187" s="39">
        <v>43837</v>
      </c>
      <c r="V1187" s="37">
        <v>1</v>
      </c>
    </row>
    <row r="1188" spans="6:22" x14ac:dyDescent="0.2">
      <c r="F1188" s="39">
        <v>43852</v>
      </c>
      <c r="G1188" s="37">
        <v>0.75</v>
      </c>
      <c r="I1188" s="39">
        <v>43875</v>
      </c>
      <c r="J1188" s="37">
        <v>-0.53800000000000003</v>
      </c>
      <c r="O1188" s="39">
        <v>45469</v>
      </c>
      <c r="P1188" s="37">
        <v>5.34</v>
      </c>
      <c r="R1188" s="39">
        <v>43845</v>
      </c>
      <c r="S1188" s="37">
        <v>0.71250000000000002</v>
      </c>
      <c r="U1188" s="39">
        <v>43836</v>
      </c>
      <c r="V1188" s="37">
        <v>1</v>
      </c>
    </row>
    <row r="1189" spans="6:22" x14ac:dyDescent="0.2">
      <c r="F1189" s="39">
        <v>43851</v>
      </c>
      <c r="G1189" s="37">
        <v>0.75</v>
      </c>
      <c r="I1189" s="39">
        <v>43874</v>
      </c>
      <c r="J1189" s="37">
        <v>-0.54</v>
      </c>
      <c r="O1189" s="39">
        <v>45470</v>
      </c>
      <c r="P1189" s="37">
        <v>5.34</v>
      </c>
      <c r="R1189" s="39">
        <v>43844</v>
      </c>
      <c r="S1189" s="37">
        <v>0.71109999999999995</v>
      </c>
      <c r="U1189" s="39">
        <v>43833</v>
      </c>
      <c r="V1189" s="37">
        <v>1</v>
      </c>
    </row>
    <row r="1190" spans="6:22" x14ac:dyDescent="0.2">
      <c r="F1190" s="39">
        <v>43850</v>
      </c>
      <c r="G1190" s="37">
        <v>0.75</v>
      </c>
      <c r="I1190" s="39">
        <v>43873</v>
      </c>
      <c r="J1190" s="37">
        <v>-0.54100000000000004</v>
      </c>
      <c r="O1190" s="39">
        <v>45471</v>
      </c>
      <c r="P1190" s="37">
        <v>5.33</v>
      </c>
      <c r="R1190" s="39">
        <v>43843</v>
      </c>
      <c r="S1190" s="37">
        <v>0.7107</v>
      </c>
      <c r="U1190" s="39">
        <v>43830</v>
      </c>
      <c r="V1190" s="37">
        <v>1</v>
      </c>
    </row>
    <row r="1191" spans="6:22" x14ac:dyDescent="0.2">
      <c r="F1191" s="39">
        <v>43847</v>
      </c>
      <c r="G1191" s="37">
        <v>0.75</v>
      </c>
      <c r="I1191" s="39">
        <v>43872</v>
      </c>
      <c r="J1191" s="37">
        <v>-0.54100000000000004</v>
      </c>
      <c r="O1191" s="39">
        <v>45474</v>
      </c>
      <c r="P1191" s="37">
        <v>5.4</v>
      </c>
      <c r="R1191" s="39">
        <v>43840</v>
      </c>
      <c r="S1191" s="37">
        <v>0.7117</v>
      </c>
      <c r="U1191" s="39">
        <v>43829</v>
      </c>
      <c r="V1191" s="37">
        <v>1</v>
      </c>
    </row>
    <row r="1192" spans="6:22" x14ac:dyDescent="0.2">
      <c r="F1192" s="39">
        <v>43846</v>
      </c>
      <c r="G1192" s="37">
        <v>0.75</v>
      </c>
      <c r="I1192" s="39">
        <v>43871</v>
      </c>
      <c r="J1192" s="37">
        <v>-0.53700000000000003</v>
      </c>
      <c r="O1192" s="39">
        <v>45475</v>
      </c>
      <c r="P1192" s="37">
        <v>5.35</v>
      </c>
      <c r="R1192" s="39">
        <v>43839</v>
      </c>
      <c r="S1192" s="37">
        <v>0.71230000000000004</v>
      </c>
      <c r="U1192" s="39">
        <v>43826</v>
      </c>
      <c r="V1192" s="37">
        <v>1</v>
      </c>
    </row>
    <row r="1193" spans="6:22" x14ac:dyDescent="0.2">
      <c r="F1193" s="39">
        <v>43845</v>
      </c>
      <c r="G1193" s="37">
        <v>0.75</v>
      </c>
      <c r="I1193" s="39">
        <v>43868</v>
      </c>
      <c r="J1193" s="37">
        <v>-0.53700000000000003</v>
      </c>
      <c r="O1193" s="39">
        <v>45476</v>
      </c>
      <c r="P1193" s="37">
        <v>5.33</v>
      </c>
      <c r="R1193" s="39">
        <v>43838</v>
      </c>
      <c r="S1193" s="37">
        <v>0.71240000000000003</v>
      </c>
      <c r="U1193" s="39">
        <v>43823</v>
      </c>
      <c r="V1193" s="37">
        <v>1</v>
      </c>
    </row>
    <row r="1194" spans="6:22" x14ac:dyDescent="0.2">
      <c r="F1194" s="39">
        <v>43844</v>
      </c>
      <c r="G1194" s="37">
        <v>0.75</v>
      </c>
      <c r="I1194" s="39">
        <v>43867</v>
      </c>
      <c r="J1194" s="37">
        <v>-0.53500000000000003</v>
      </c>
      <c r="O1194" s="39">
        <v>45478</v>
      </c>
      <c r="P1194" s="37">
        <v>5.32</v>
      </c>
      <c r="R1194" s="39">
        <v>43837</v>
      </c>
      <c r="S1194" s="37">
        <v>0.71199999999999997</v>
      </c>
      <c r="U1194" s="39">
        <v>43822</v>
      </c>
      <c r="V1194" s="37">
        <v>1</v>
      </c>
    </row>
    <row r="1195" spans="6:22" x14ac:dyDescent="0.2">
      <c r="F1195" s="39">
        <v>43843</v>
      </c>
      <c r="G1195" s="37">
        <v>0.75</v>
      </c>
      <c r="I1195" s="39">
        <v>43866</v>
      </c>
      <c r="J1195" s="37">
        <v>-0.53600000000000003</v>
      </c>
      <c r="O1195" s="39">
        <v>45481</v>
      </c>
      <c r="P1195" s="37">
        <v>5.32</v>
      </c>
      <c r="R1195" s="39">
        <v>43836</v>
      </c>
      <c r="S1195" s="37">
        <v>0.71240000000000003</v>
      </c>
      <c r="U1195" s="39">
        <v>43819</v>
      </c>
      <c r="V1195" s="37">
        <v>1</v>
      </c>
    </row>
    <row r="1196" spans="6:22" x14ac:dyDescent="0.2">
      <c r="F1196" s="39">
        <v>43840</v>
      </c>
      <c r="G1196" s="37">
        <v>0.75</v>
      </c>
      <c r="I1196" s="39">
        <v>43865</v>
      </c>
      <c r="J1196" s="37">
        <v>-0.53600000000000003</v>
      </c>
      <c r="O1196" s="39">
        <v>45482</v>
      </c>
      <c r="P1196" s="37">
        <v>5.34</v>
      </c>
      <c r="R1196" s="39">
        <v>43833</v>
      </c>
      <c r="S1196" s="37">
        <v>0.71099999999999997</v>
      </c>
      <c r="U1196" s="39">
        <v>43818</v>
      </c>
      <c r="V1196" s="37">
        <v>1</v>
      </c>
    </row>
    <row r="1197" spans="6:22" x14ac:dyDescent="0.2">
      <c r="F1197" s="39">
        <v>43839</v>
      </c>
      <c r="G1197" s="37">
        <v>0.75</v>
      </c>
      <c r="I1197" s="39">
        <v>43864</v>
      </c>
      <c r="J1197" s="37">
        <v>-0.53700000000000003</v>
      </c>
      <c r="O1197" s="39">
        <v>45483</v>
      </c>
      <c r="P1197" s="37">
        <v>5.34</v>
      </c>
      <c r="R1197" s="39">
        <v>43832</v>
      </c>
      <c r="S1197" s="37">
        <v>0.71250000000000002</v>
      </c>
      <c r="U1197" s="39">
        <v>43817</v>
      </c>
      <c r="V1197" s="37">
        <v>1</v>
      </c>
    </row>
    <row r="1198" spans="6:22" x14ac:dyDescent="0.2">
      <c r="F1198" s="39">
        <v>43838</v>
      </c>
      <c r="G1198" s="37">
        <v>0.75</v>
      </c>
      <c r="I1198" s="39">
        <v>43861</v>
      </c>
      <c r="J1198" s="37">
        <v>-0.53900000000000003</v>
      </c>
      <c r="O1198" s="39">
        <v>45484</v>
      </c>
      <c r="P1198" s="37">
        <v>5.34</v>
      </c>
      <c r="R1198" s="39">
        <v>43830</v>
      </c>
      <c r="S1198" s="37">
        <v>0.70979999999999999</v>
      </c>
      <c r="U1198" s="39">
        <v>43816</v>
      </c>
      <c r="V1198" s="37">
        <v>1</v>
      </c>
    </row>
    <row r="1199" spans="6:22" x14ac:dyDescent="0.2">
      <c r="F1199" s="39">
        <v>43837</v>
      </c>
      <c r="G1199" s="37">
        <v>0.75</v>
      </c>
      <c r="I1199" s="39">
        <v>43860</v>
      </c>
      <c r="J1199" s="37">
        <v>-0.53900000000000003</v>
      </c>
      <c r="O1199" s="39">
        <v>45485</v>
      </c>
      <c r="P1199" s="37">
        <v>5.34</v>
      </c>
      <c r="R1199" s="39">
        <v>43829</v>
      </c>
      <c r="S1199" s="37">
        <v>0.7107</v>
      </c>
      <c r="U1199" s="39">
        <v>43815</v>
      </c>
      <c r="V1199" s="37">
        <v>1</v>
      </c>
    </row>
    <row r="1200" spans="6:22" x14ac:dyDescent="0.2">
      <c r="F1200" s="39">
        <v>43836</v>
      </c>
      <c r="G1200" s="37">
        <v>0.75</v>
      </c>
      <c r="I1200" s="39">
        <v>43859</v>
      </c>
      <c r="J1200" s="37">
        <v>-0.54</v>
      </c>
      <c r="O1200" s="39">
        <v>45488</v>
      </c>
      <c r="P1200" s="37">
        <v>5.34</v>
      </c>
      <c r="R1200" s="39">
        <v>43826</v>
      </c>
      <c r="S1200" s="37">
        <v>0.71</v>
      </c>
      <c r="U1200" s="39">
        <v>43812</v>
      </c>
      <c r="V1200" s="37">
        <v>1</v>
      </c>
    </row>
    <row r="1201" spans="6:22" x14ac:dyDescent="0.2">
      <c r="F1201" s="39">
        <v>43833</v>
      </c>
      <c r="G1201" s="37">
        <v>0.75</v>
      </c>
      <c r="I1201" s="39">
        <v>43858</v>
      </c>
      <c r="J1201" s="37">
        <v>-0.53600000000000003</v>
      </c>
      <c r="O1201" s="39">
        <v>45489</v>
      </c>
      <c r="P1201" s="37">
        <v>5.35</v>
      </c>
      <c r="R1201" s="39">
        <v>43823</v>
      </c>
      <c r="S1201" s="37">
        <v>0.70940000000000003</v>
      </c>
      <c r="U1201" s="39">
        <v>43811</v>
      </c>
      <c r="V1201" s="37">
        <v>1</v>
      </c>
    </row>
    <row r="1202" spans="6:22" x14ac:dyDescent="0.2">
      <c r="F1202" s="39">
        <v>43832</v>
      </c>
      <c r="G1202" s="37">
        <v>0.75</v>
      </c>
      <c r="I1202" s="39">
        <v>43857</v>
      </c>
      <c r="J1202" s="37">
        <v>-0.53800000000000003</v>
      </c>
      <c r="O1202" s="39">
        <v>45490</v>
      </c>
      <c r="P1202" s="37">
        <v>5.35</v>
      </c>
      <c r="R1202" s="39">
        <v>43822</v>
      </c>
      <c r="S1202" s="37">
        <v>0.71020000000000005</v>
      </c>
      <c r="U1202" s="39">
        <v>43810</v>
      </c>
      <c r="V1202" s="37">
        <v>1</v>
      </c>
    </row>
    <row r="1203" spans="6:22" x14ac:dyDescent="0.2">
      <c r="F1203" s="39">
        <v>43830</v>
      </c>
      <c r="G1203" s="37">
        <v>0.75</v>
      </c>
      <c r="I1203" s="39">
        <v>43854</v>
      </c>
      <c r="J1203" s="37">
        <v>-0.53700000000000003</v>
      </c>
      <c r="O1203" s="39">
        <v>45491</v>
      </c>
      <c r="P1203" s="37">
        <v>5.34</v>
      </c>
      <c r="R1203" s="39">
        <v>43819</v>
      </c>
      <c r="S1203" s="37">
        <v>0.71079999999999999</v>
      </c>
      <c r="U1203" s="39">
        <v>43809</v>
      </c>
      <c r="V1203" s="37">
        <v>1</v>
      </c>
    </row>
    <row r="1204" spans="6:22" x14ac:dyDescent="0.2">
      <c r="F1204" s="39">
        <v>43829</v>
      </c>
      <c r="G1204" s="37">
        <v>0.75</v>
      </c>
      <c r="I1204" s="39">
        <v>43853</v>
      </c>
      <c r="J1204" s="37">
        <v>-0.53700000000000003</v>
      </c>
      <c r="O1204" s="39">
        <v>45492</v>
      </c>
      <c r="P1204" s="37">
        <v>5.34</v>
      </c>
      <c r="R1204" s="39">
        <v>43818</v>
      </c>
      <c r="S1204" s="37">
        <v>0.71130000000000004</v>
      </c>
      <c r="U1204" s="39">
        <v>43808</v>
      </c>
      <c r="V1204" s="37">
        <v>1</v>
      </c>
    </row>
    <row r="1205" spans="6:22" x14ac:dyDescent="0.2">
      <c r="F1205" s="39">
        <v>43826</v>
      </c>
      <c r="G1205" s="37">
        <v>0.75</v>
      </c>
      <c r="I1205" s="39">
        <v>43852</v>
      </c>
      <c r="J1205" s="37">
        <v>-0.53600000000000003</v>
      </c>
      <c r="O1205" s="39">
        <v>45495</v>
      </c>
      <c r="P1205" s="37">
        <v>5.33</v>
      </c>
      <c r="R1205" s="39">
        <v>43817</v>
      </c>
      <c r="S1205" s="37">
        <v>0.71060000000000001</v>
      </c>
      <c r="U1205" s="39">
        <v>43805</v>
      </c>
      <c r="V1205" s="37">
        <v>1</v>
      </c>
    </row>
    <row r="1206" spans="6:22" x14ac:dyDescent="0.2">
      <c r="F1206" s="39">
        <v>43823</v>
      </c>
      <c r="G1206" s="37">
        <v>0.75</v>
      </c>
      <c r="I1206" s="39">
        <v>43851</v>
      </c>
      <c r="J1206" s="37">
        <v>-0.53500000000000003</v>
      </c>
      <c r="O1206" s="39">
        <v>45496</v>
      </c>
      <c r="P1206" s="37">
        <v>5.34</v>
      </c>
      <c r="R1206" s="39">
        <v>43816</v>
      </c>
      <c r="S1206" s="37">
        <v>0.71040000000000003</v>
      </c>
      <c r="U1206" s="39">
        <v>43804</v>
      </c>
      <c r="V1206" s="37">
        <v>1</v>
      </c>
    </row>
    <row r="1207" spans="6:22" x14ac:dyDescent="0.2">
      <c r="F1207" s="39">
        <v>43822</v>
      </c>
      <c r="G1207" s="37">
        <v>0.75</v>
      </c>
      <c r="I1207" s="39">
        <v>43850</v>
      </c>
      <c r="J1207" s="37">
        <v>-0.53800000000000003</v>
      </c>
      <c r="O1207" s="39">
        <v>45497</v>
      </c>
      <c r="P1207" s="37">
        <v>5.34</v>
      </c>
      <c r="R1207" s="39">
        <v>43815</v>
      </c>
      <c r="S1207" s="37">
        <v>0.71109999999999995</v>
      </c>
      <c r="U1207" s="39">
        <v>43803</v>
      </c>
      <c r="V1207" s="37">
        <v>1</v>
      </c>
    </row>
    <row r="1208" spans="6:22" x14ac:dyDescent="0.2">
      <c r="F1208" s="39">
        <v>43819</v>
      </c>
      <c r="G1208" s="37">
        <v>0.75</v>
      </c>
      <c r="I1208" s="39">
        <v>43847</v>
      </c>
      <c r="J1208" s="37">
        <v>-0.53700000000000003</v>
      </c>
      <c r="O1208" s="39">
        <v>45498</v>
      </c>
      <c r="P1208" s="37">
        <v>5.35</v>
      </c>
      <c r="R1208" s="39">
        <v>43812</v>
      </c>
      <c r="S1208" s="37">
        <v>0.71130000000000004</v>
      </c>
      <c r="U1208" s="39">
        <v>43802</v>
      </c>
      <c r="V1208" s="37">
        <v>1</v>
      </c>
    </row>
    <row r="1209" spans="6:22" x14ac:dyDescent="0.2">
      <c r="F1209" s="39">
        <v>43818</v>
      </c>
      <c r="G1209" s="37">
        <v>0.75</v>
      </c>
      <c r="I1209" s="39">
        <v>43846</v>
      </c>
      <c r="J1209" s="37">
        <v>-0.53600000000000003</v>
      </c>
      <c r="O1209" s="39">
        <v>45499</v>
      </c>
      <c r="P1209" s="37">
        <v>5.35</v>
      </c>
      <c r="R1209" s="39">
        <v>43811</v>
      </c>
      <c r="S1209" s="37">
        <v>0.71040000000000003</v>
      </c>
      <c r="U1209" s="39">
        <v>43801</v>
      </c>
      <c r="V1209" s="37">
        <v>1</v>
      </c>
    </row>
    <row r="1210" spans="6:22" x14ac:dyDescent="0.2">
      <c r="F1210" s="39">
        <v>43817</v>
      </c>
      <c r="G1210" s="37">
        <v>0.75</v>
      </c>
      <c r="I1210" s="39">
        <v>43845</v>
      </c>
      <c r="J1210" s="37">
        <v>-0.53800000000000003</v>
      </c>
      <c r="O1210" s="39">
        <v>45502</v>
      </c>
      <c r="P1210" s="37">
        <v>5.33</v>
      </c>
      <c r="R1210" s="39">
        <v>43810</v>
      </c>
      <c r="S1210" s="37">
        <v>0.70979999999999999</v>
      </c>
      <c r="U1210" s="39">
        <v>43798</v>
      </c>
      <c r="V1210" s="37">
        <v>1</v>
      </c>
    </row>
    <row r="1211" spans="6:22" x14ac:dyDescent="0.2">
      <c r="F1211" s="39">
        <v>43816</v>
      </c>
      <c r="G1211" s="37">
        <v>0.75</v>
      </c>
      <c r="I1211" s="39">
        <v>43844</v>
      </c>
      <c r="J1211" s="37">
        <v>-0.53800000000000003</v>
      </c>
      <c r="O1211" s="39">
        <v>45503</v>
      </c>
      <c r="P1211" s="37">
        <v>5.33</v>
      </c>
      <c r="R1211" s="39">
        <v>43809</v>
      </c>
      <c r="S1211" s="37">
        <v>0.71030000000000004</v>
      </c>
      <c r="U1211" s="39">
        <v>43797</v>
      </c>
      <c r="V1211" s="37">
        <v>1</v>
      </c>
    </row>
    <row r="1212" spans="6:22" x14ac:dyDescent="0.2">
      <c r="F1212" s="39">
        <v>43815</v>
      </c>
      <c r="G1212" s="37">
        <v>0.75</v>
      </c>
      <c r="I1212" s="39">
        <v>43843</v>
      </c>
      <c r="J1212" s="37">
        <v>-0.53700000000000003</v>
      </c>
      <c r="O1212" s="39">
        <v>45504</v>
      </c>
      <c r="P1212" s="37">
        <v>5.38</v>
      </c>
      <c r="R1212" s="39">
        <v>43808</v>
      </c>
      <c r="S1212" s="37">
        <v>0.70950000000000002</v>
      </c>
      <c r="U1212" s="39">
        <v>43796</v>
      </c>
      <c r="V1212" s="37">
        <v>1</v>
      </c>
    </row>
    <row r="1213" spans="6:22" x14ac:dyDescent="0.2">
      <c r="F1213" s="39">
        <v>43812</v>
      </c>
      <c r="G1213" s="37">
        <v>0.75</v>
      </c>
      <c r="I1213" s="39">
        <v>43840</v>
      </c>
      <c r="J1213" s="37">
        <v>-0.53800000000000003</v>
      </c>
      <c r="O1213" s="39">
        <v>45505</v>
      </c>
      <c r="P1213" s="37">
        <v>5.35</v>
      </c>
      <c r="R1213" s="39">
        <v>43805</v>
      </c>
      <c r="S1213" s="37">
        <v>0.70860000000000001</v>
      </c>
      <c r="U1213" s="39">
        <v>43795</v>
      </c>
      <c r="V1213" s="37">
        <v>1</v>
      </c>
    </row>
    <row r="1214" spans="6:22" x14ac:dyDescent="0.2">
      <c r="F1214" s="39">
        <v>43811</v>
      </c>
      <c r="G1214" s="37">
        <v>0.75</v>
      </c>
      <c r="I1214" s="39">
        <v>43839</v>
      </c>
      <c r="J1214" s="37">
        <v>-0.53900000000000003</v>
      </c>
      <c r="O1214" s="39">
        <v>45506</v>
      </c>
      <c r="P1214" s="37">
        <v>5.35</v>
      </c>
      <c r="R1214" s="39">
        <v>43804</v>
      </c>
      <c r="S1214" s="37">
        <v>0.7097</v>
      </c>
      <c r="U1214" s="39">
        <v>43794</v>
      </c>
      <c r="V1214" s="37">
        <v>1</v>
      </c>
    </row>
    <row r="1215" spans="6:22" x14ac:dyDescent="0.2">
      <c r="F1215" s="39">
        <v>43810</v>
      </c>
      <c r="G1215" s="37">
        <v>0.75</v>
      </c>
      <c r="I1215" s="39">
        <v>43838</v>
      </c>
      <c r="J1215" s="37">
        <v>-0.53600000000000003</v>
      </c>
      <c r="O1215" s="39">
        <v>45509</v>
      </c>
      <c r="P1215" s="37">
        <v>5.32</v>
      </c>
      <c r="R1215" s="39">
        <v>43803</v>
      </c>
      <c r="S1215" s="37">
        <v>0.70909999999999995</v>
      </c>
      <c r="U1215" s="39">
        <v>43791</v>
      </c>
      <c r="V1215" s="37">
        <v>1</v>
      </c>
    </row>
    <row r="1216" spans="6:22" x14ac:dyDescent="0.2">
      <c r="F1216" s="39">
        <v>43809</v>
      </c>
      <c r="G1216" s="37">
        <v>0.75</v>
      </c>
      <c r="I1216" s="39">
        <v>43837</v>
      </c>
      <c r="J1216" s="37">
        <v>-0.54</v>
      </c>
      <c r="O1216" s="39">
        <v>45510</v>
      </c>
      <c r="P1216" s="37">
        <v>5.33</v>
      </c>
      <c r="R1216" s="39">
        <v>43802</v>
      </c>
      <c r="S1216" s="37">
        <v>0.70920000000000005</v>
      </c>
      <c r="U1216" s="39">
        <v>43790</v>
      </c>
      <c r="V1216" s="37">
        <v>1</v>
      </c>
    </row>
    <row r="1217" spans="6:22" x14ac:dyDescent="0.2">
      <c r="F1217" s="39">
        <v>43808</v>
      </c>
      <c r="G1217" s="37">
        <v>0.75</v>
      </c>
      <c r="I1217" s="39">
        <v>43836</v>
      </c>
      <c r="J1217" s="37">
        <v>-0.53900000000000003</v>
      </c>
      <c r="O1217" s="39">
        <v>45511</v>
      </c>
      <c r="P1217" s="37">
        <v>5.33</v>
      </c>
      <c r="R1217" s="39">
        <v>43801</v>
      </c>
      <c r="S1217" s="37">
        <v>0.70909999999999995</v>
      </c>
      <c r="U1217" s="39">
        <v>43789</v>
      </c>
      <c r="V1217" s="37">
        <v>1</v>
      </c>
    </row>
    <row r="1218" spans="6:22" x14ac:dyDescent="0.2">
      <c r="F1218" s="39">
        <v>43805</v>
      </c>
      <c r="G1218" s="37">
        <v>0.75</v>
      </c>
      <c r="I1218" s="39">
        <v>43833</v>
      </c>
      <c r="J1218" s="37">
        <v>-0.53700000000000003</v>
      </c>
      <c r="O1218" s="39">
        <v>45512</v>
      </c>
      <c r="P1218" s="37">
        <v>5.34</v>
      </c>
      <c r="R1218" s="39">
        <v>43798</v>
      </c>
      <c r="S1218" s="37">
        <v>0.71230000000000004</v>
      </c>
      <c r="U1218" s="39">
        <v>43788</v>
      </c>
      <c r="V1218" s="37">
        <v>1</v>
      </c>
    </row>
    <row r="1219" spans="6:22" x14ac:dyDescent="0.2">
      <c r="F1219" s="39">
        <v>43804</v>
      </c>
      <c r="G1219" s="37">
        <v>0.75</v>
      </c>
      <c r="I1219" s="39">
        <v>43832</v>
      </c>
      <c r="J1219" s="37">
        <v>-0.53900000000000003</v>
      </c>
      <c r="O1219" s="39">
        <v>45513</v>
      </c>
      <c r="P1219" s="37">
        <v>5.34</v>
      </c>
      <c r="R1219" s="39">
        <v>43797</v>
      </c>
      <c r="S1219" s="37">
        <v>0.71</v>
      </c>
      <c r="U1219" s="39">
        <v>43787</v>
      </c>
      <c r="V1219" s="37">
        <v>1</v>
      </c>
    </row>
    <row r="1220" spans="6:22" x14ac:dyDescent="0.2">
      <c r="F1220" s="39">
        <v>43803</v>
      </c>
      <c r="G1220" s="37">
        <v>0.75</v>
      </c>
      <c r="I1220" s="39">
        <v>43830</v>
      </c>
      <c r="J1220" s="37">
        <v>-0.53100000000000003</v>
      </c>
      <c r="O1220" s="39">
        <v>45516</v>
      </c>
      <c r="P1220" s="37">
        <v>5.34</v>
      </c>
      <c r="R1220" s="39">
        <v>43796</v>
      </c>
      <c r="S1220" s="37">
        <v>0.71050000000000002</v>
      </c>
      <c r="U1220" s="39">
        <v>43784</v>
      </c>
      <c r="V1220" s="37">
        <v>1</v>
      </c>
    </row>
    <row r="1221" spans="6:22" x14ac:dyDescent="0.2">
      <c r="F1221" s="39">
        <v>43802</v>
      </c>
      <c r="G1221" s="37">
        <v>0.75</v>
      </c>
      <c r="I1221" s="39">
        <v>43829</v>
      </c>
      <c r="J1221" s="37">
        <v>-0.54100000000000004</v>
      </c>
      <c r="O1221" s="39">
        <v>45517</v>
      </c>
      <c r="P1221" s="37">
        <v>5.34</v>
      </c>
      <c r="R1221" s="39">
        <v>43795</v>
      </c>
      <c r="S1221" s="37">
        <v>0.7097</v>
      </c>
      <c r="U1221" s="39">
        <v>43783</v>
      </c>
      <c r="V1221" s="37">
        <v>1</v>
      </c>
    </row>
    <row r="1222" spans="6:22" x14ac:dyDescent="0.2">
      <c r="F1222" s="39">
        <v>43801</v>
      </c>
      <c r="G1222" s="37">
        <v>0.75</v>
      </c>
      <c r="I1222" s="39">
        <v>43826</v>
      </c>
      <c r="J1222" s="37">
        <v>-0.54200000000000004</v>
      </c>
      <c r="O1222" s="39">
        <v>45518</v>
      </c>
      <c r="P1222" s="37">
        <v>5.33</v>
      </c>
      <c r="R1222" s="39">
        <v>43794</v>
      </c>
      <c r="S1222" s="37">
        <v>0.7097</v>
      </c>
      <c r="U1222" s="39">
        <v>43782</v>
      </c>
      <c r="V1222" s="37">
        <v>1</v>
      </c>
    </row>
    <row r="1223" spans="6:22" x14ac:dyDescent="0.2">
      <c r="F1223" s="39">
        <v>43798</v>
      </c>
      <c r="G1223" s="37">
        <v>0.75</v>
      </c>
      <c r="I1223" s="39">
        <v>43823</v>
      </c>
      <c r="J1223" s="37">
        <v>-0.54900000000000004</v>
      </c>
      <c r="O1223" s="39">
        <v>45519</v>
      </c>
      <c r="P1223" s="37">
        <v>5.35</v>
      </c>
      <c r="R1223" s="39">
        <v>43791</v>
      </c>
      <c r="S1223" s="37">
        <v>0.71040000000000003</v>
      </c>
      <c r="U1223" s="39">
        <v>43781</v>
      </c>
      <c r="V1223" s="37">
        <v>1</v>
      </c>
    </row>
    <row r="1224" spans="6:22" x14ac:dyDescent="0.2">
      <c r="F1224" s="39">
        <v>43797</v>
      </c>
      <c r="G1224" s="37">
        <v>0.75</v>
      </c>
      <c r="I1224" s="39">
        <v>43822</v>
      </c>
      <c r="J1224" s="37">
        <v>-0.54500000000000004</v>
      </c>
      <c r="O1224" s="39">
        <v>45520</v>
      </c>
      <c r="P1224" s="37">
        <v>5.32</v>
      </c>
      <c r="R1224" s="39">
        <v>43790</v>
      </c>
      <c r="S1224" s="37">
        <v>0.7107</v>
      </c>
      <c r="U1224" s="39">
        <v>43780</v>
      </c>
      <c r="V1224" s="37">
        <v>1</v>
      </c>
    </row>
    <row r="1225" spans="6:22" x14ac:dyDescent="0.2">
      <c r="F1225" s="39">
        <v>43796</v>
      </c>
      <c r="G1225" s="37">
        <v>0.75</v>
      </c>
      <c r="I1225" s="39">
        <v>43819</v>
      </c>
      <c r="J1225" s="37">
        <v>-0.54</v>
      </c>
      <c r="O1225" s="39">
        <v>45523</v>
      </c>
      <c r="P1225" s="37">
        <v>5.32</v>
      </c>
      <c r="R1225" s="39">
        <v>43789</v>
      </c>
      <c r="S1225" s="37">
        <v>0.71079999999999999</v>
      </c>
      <c r="U1225" s="39">
        <v>43777</v>
      </c>
      <c r="V1225" s="37">
        <v>1</v>
      </c>
    </row>
    <row r="1226" spans="6:22" x14ac:dyDescent="0.2">
      <c r="F1226" s="39">
        <v>43795</v>
      </c>
      <c r="G1226" s="37">
        <v>0.75</v>
      </c>
      <c r="I1226" s="39">
        <v>43818</v>
      </c>
      <c r="J1226" s="37">
        <v>-0.54</v>
      </c>
      <c r="O1226" s="39">
        <v>45524</v>
      </c>
      <c r="P1226" s="37">
        <v>5.32</v>
      </c>
      <c r="R1226" s="39">
        <v>43788</v>
      </c>
      <c r="S1226" s="37">
        <v>0.71060000000000001</v>
      </c>
      <c r="U1226" s="39">
        <v>43776</v>
      </c>
      <c r="V1226" s="37">
        <v>1</v>
      </c>
    </row>
    <row r="1227" spans="6:22" x14ac:dyDescent="0.2">
      <c r="F1227" s="39">
        <v>43794</v>
      </c>
      <c r="G1227" s="37">
        <v>0.75</v>
      </c>
      <c r="I1227" s="39">
        <v>43817</v>
      </c>
      <c r="J1227" s="37">
        <v>-0.54</v>
      </c>
      <c r="O1227" s="39">
        <v>45525</v>
      </c>
      <c r="P1227" s="37">
        <v>5.31</v>
      </c>
      <c r="R1227" s="39">
        <v>43787</v>
      </c>
      <c r="S1227" s="37">
        <v>0.70989999999999998</v>
      </c>
      <c r="U1227" s="39">
        <v>43775</v>
      </c>
      <c r="V1227" s="37">
        <v>1</v>
      </c>
    </row>
    <row r="1228" spans="6:22" x14ac:dyDescent="0.2">
      <c r="F1228" s="39">
        <v>43791</v>
      </c>
      <c r="G1228" s="37">
        <v>0.75</v>
      </c>
      <c r="I1228" s="39">
        <v>43816</v>
      </c>
      <c r="J1228" s="37">
        <v>-0.53600000000000003</v>
      </c>
      <c r="O1228" s="39">
        <v>45526</v>
      </c>
      <c r="P1228" s="37">
        <v>5.31</v>
      </c>
      <c r="R1228" s="39">
        <v>43784</v>
      </c>
      <c r="S1228" s="37">
        <v>0.70850000000000002</v>
      </c>
      <c r="U1228" s="39">
        <v>43774</v>
      </c>
      <c r="V1228" s="37">
        <v>1</v>
      </c>
    </row>
    <row r="1229" spans="6:22" x14ac:dyDescent="0.2">
      <c r="F1229" s="39">
        <v>43790</v>
      </c>
      <c r="G1229" s="37">
        <v>0.75</v>
      </c>
      <c r="I1229" s="39">
        <v>43815</v>
      </c>
      <c r="J1229" s="37">
        <v>-0.54300000000000004</v>
      </c>
      <c r="O1229" s="39">
        <v>45527</v>
      </c>
      <c r="P1229" s="37">
        <v>5.33</v>
      </c>
      <c r="R1229" s="39">
        <v>43783</v>
      </c>
      <c r="S1229" s="37">
        <v>0.70909999999999995</v>
      </c>
      <c r="U1229" s="39">
        <v>43773</v>
      </c>
      <c r="V1229" s="37">
        <v>1</v>
      </c>
    </row>
    <row r="1230" spans="6:22" x14ac:dyDescent="0.2">
      <c r="F1230" s="39">
        <v>43789</v>
      </c>
      <c r="G1230" s="37">
        <v>0.75</v>
      </c>
      <c r="I1230" s="39">
        <v>43812</v>
      </c>
      <c r="J1230" s="37">
        <v>-0.54300000000000004</v>
      </c>
      <c r="O1230" s="39">
        <v>45530</v>
      </c>
      <c r="P1230" s="37">
        <v>5.34</v>
      </c>
      <c r="R1230" s="39">
        <v>43782</v>
      </c>
      <c r="S1230" s="37">
        <v>0.71089999999999998</v>
      </c>
      <c r="U1230" s="39">
        <v>43770</v>
      </c>
      <c r="V1230" s="37">
        <v>1</v>
      </c>
    </row>
    <row r="1231" spans="6:22" x14ac:dyDescent="0.2">
      <c r="F1231" s="39">
        <v>43788</v>
      </c>
      <c r="G1231" s="37">
        <v>0.75</v>
      </c>
      <c r="I1231" s="39">
        <v>43811</v>
      </c>
      <c r="J1231" s="37">
        <v>-0.54400000000000004</v>
      </c>
      <c r="O1231" s="39">
        <v>45531</v>
      </c>
      <c r="P1231" s="37">
        <v>5.35</v>
      </c>
      <c r="R1231" s="39">
        <v>43781</v>
      </c>
      <c r="S1231" s="37">
        <v>0.71030000000000004</v>
      </c>
      <c r="U1231" s="39">
        <v>43769</v>
      </c>
      <c r="V1231" s="37">
        <v>1</v>
      </c>
    </row>
    <row r="1232" spans="6:22" x14ac:dyDescent="0.2">
      <c r="F1232" s="39">
        <v>43787</v>
      </c>
      <c r="G1232" s="37">
        <v>0.75</v>
      </c>
      <c r="I1232" s="39">
        <v>43810</v>
      </c>
      <c r="J1232" s="37">
        <v>-0.54400000000000004</v>
      </c>
      <c r="O1232" s="39">
        <v>45532</v>
      </c>
      <c r="P1232" s="37">
        <v>5.35</v>
      </c>
      <c r="R1232" s="39">
        <v>43780</v>
      </c>
      <c r="S1232" s="37">
        <v>0.71120000000000005</v>
      </c>
      <c r="U1232" s="39">
        <v>43768</v>
      </c>
      <c r="V1232" s="37">
        <v>1</v>
      </c>
    </row>
    <row r="1233" spans="6:22" x14ac:dyDescent="0.2">
      <c r="F1233" s="39">
        <v>43784</v>
      </c>
      <c r="G1233" s="37">
        <v>0.75</v>
      </c>
      <c r="I1233" s="39">
        <v>43809</v>
      </c>
      <c r="J1233" s="37">
        <v>-0.54400000000000004</v>
      </c>
      <c r="O1233" s="39">
        <v>45533</v>
      </c>
      <c r="P1233" s="37">
        <v>5.33</v>
      </c>
      <c r="R1233" s="39">
        <v>43777</v>
      </c>
      <c r="S1233" s="37">
        <v>0.71</v>
      </c>
      <c r="U1233" s="39">
        <v>43767</v>
      </c>
      <c r="V1233" s="37">
        <v>1</v>
      </c>
    </row>
    <row r="1234" spans="6:22" x14ac:dyDescent="0.2">
      <c r="F1234" s="39">
        <v>43783</v>
      </c>
      <c r="G1234" s="37">
        <v>0.75</v>
      </c>
      <c r="I1234" s="39">
        <v>43808</v>
      </c>
      <c r="J1234" s="37">
        <v>-0.54100000000000004</v>
      </c>
      <c r="O1234" s="39">
        <v>45534</v>
      </c>
      <c r="P1234" s="37">
        <v>5.32</v>
      </c>
      <c r="R1234" s="39">
        <v>43776</v>
      </c>
      <c r="S1234" s="37">
        <v>0.71079999999999999</v>
      </c>
      <c r="U1234" s="39">
        <v>43763</v>
      </c>
      <c r="V1234" s="37">
        <v>1</v>
      </c>
    </row>
    <row r="1235" spans="6:22" x14ac:dyDescent="0.2">
      <c r="F1235" s="39">
        <v>43782</v>
      </c>
      <c r="G1235" s="37">
        <v>0.75</v>
      </c>
      <c r="I1235" s="39">
        <v>43805</v>
      </c>
      <c r="J1235" s="37">
        <v>-0.54100000000000004</v>
      </c>
      <c r="O1235" s="39">
        <v>45538</v>
      </c>
      <c r="P1235" s="37">
        <v>5.34</v>
      </c>
      <c r="R1235" s="39">
        <v>43775</v>
      </c>
      <c r="S1235" s="37">
        <v>0.71150000000000002</v>
      </c>
      <c r="U1235" s="39">
        <v>43762</v>
      </c>
      <c r="V1235" s="37">
        <v>1</v>
      </c>
    </row>
    <row r="1236" spans="6:22" x14ac:dyDescent="0.2">
      <c r="F1236" s="39">
        <v>43781</v>
      </c>
      <c r="G1236" s="37">
        <v>0.75</v>
      </c>
      <c r="I1236" s="39">
        <v>43804</v>
      </c>
      <c r="J1236" s="37">
        <v>-0.54</v>
      </c>
      <c r="O1236" s="39">
        <v>45539</v>
      </c>
      <c r="P1236" s="37">
        <v>5.35</v>
      </c>
      <c r="R1236" s="39">
        <v>43774</v>
      </c>
      <c r="S1236" s="37">
        <v>0.71050000000000002</v>
      </c>
      <c r="U1236" s="39">
        <v>43761</v>
      </c>
      <c r="V1236" s="37">
        <v>1</v>
      </c>
    </row>
    <row r="1237" spans="6:22" x14ac:dyDescent="0.2">
      <c r="F1237" s="39">
        <v>43780</v>
      </c>
      <c r="G1237" s="37">
        <v>0.75</v>
      </c>
      <c r="I1237" s="39">
        <v>43803</v>
      </c>
      <c r="J1237" s="37">
        <v>-0.54</v>
      </c>
      <c r="O1237" s="39">
        <v>45540</v>
      </c>
      <c r="P1237" s="37">
        <v>5.35</v>
      </c>
      <c r="R1237" s="39">
        <v>43773</v>
      </c>
      <c r="S1237" s="37">
        <v>0.7117</v>
      </c>
      <c r="U1237" s="39">
        <v>43760</v>
      </c>
      <c r="V1237" s="37">
        <v>1</v>
      </c>
    </row>
    <row r="1238" spans="6:22" x14ac:dyDescent="0.2">
      <c r="F1238" s="39">
        <v>43777</v>
      </c>
      <c r="G1238" s="37">
        <v>0.75</v>
      </c>
      <c r="I1238" s="39">
        <v>43802</v>
      </c>
      <c r="J1238" s="37">
        <v>-0.53900000000000003</v>
      </c>
      <c r="O1238" s="39">
        <v>45541</v>
      </c>
      <c r="P1238" s="37">
        <v>5.34</v>
      </c>
      <c r="R1238" s="39">
        <v>43770</v>
      </c>
      <c r="S1238" s="37">
        <v>0.71189999999999998</v>
      </c>
      <c r="U1238" s="39">
        <v>43759</v>
      </c>
      <c r="V1238" s="37">
        <v>1</v>
      </c>
    </row>
    <row r="1239" spans="6:22" x14ac:dyDescent="0.2">
      <c r="F1239" s="39">
        <v>43776</v>
      </c>
      <c r="G1239" s="37">
        <v>0.75</v>
      </c>
      <c r="I1239" s="39">
        <v>43801</v>
      </c>
      <c r="J1239" s="37">
        <v>-0.54100000000000004</v>
      </c>
      <c r="O1239" s="39">
        <v>45544</v>
      </c>
      <c r="P1239" s="37">
        <v>5.34</v>
      </c>
      <c r="R1239" s="39">
        <v>43769</v>
      </c>
      <c r="S1239" s="37">
        <v>0.71060000000000001</v>
      </c>
      <c r="U1239" s="39">
        <v>43756</v>
      </c>
      <c r="V1239" s="37">
        <v>1</v>
      </c>
    </row>
    <row r="1240" spans="6:22" x14ac:dyDescent="0.2">
      <c r="F1240" s="39">
        <v>43775</v>
      </c>
      <c r="G1240" s="37">
        <v>0.75</v>
      </c>
      <c r="I1240" s="39">
        <v>43798</v>
      </c>
      <c r="J1240" s="37">
        <v>-0.53200000000000003</v>
      </c>
      <c r="O1240" s="39">
        <v>45545</v>
      </c>
      <c r="P1240" s="37">
        <v>5.33</v>
      </c>
      <c r="R1240" s="39">
        <v>43768</v>
      </c>
      <c r="S1240" s="37">
        <v>0.7107</v>
      </c>
      <c r="U1240" s="39">
        <v>43755</v>
      </c>
      <c r="V1240" s="37">
        <v>1</v>
      </c>
    </row>
    <row r="1241" spans="6:22" x14ac:dyDescent="0.2">
      <c r="F1241" s="39">
        <v>43774</v>
      </c>
      <c r="G1241" s="37">
        <v>0.75</v>
      </c>
      <c r="I1241" s="39">
        <v>43797</v>
      </c>
      <c r="J1241" s="37">
        <v>-0.53100000000000003</v>
      </c>
      <c r="O1241" s="39">
        <v>45546</v>
      </c>
      <c r="P1241" s="37">
        <v>5.32</v>
      </c>
      <c r="R1241" s="39">
        <v>43767</v>
      </c>
      <c r="S1241" s="37">
        <v>0.7107</v>
      </c>
      <c r="U1241" s="39">
        <v>43754</v>
      </c>
      <c r="V1241" s="37">
        <v>1</v>
      </c>
    </row>
    <row r="1242" spans="6:22" x14ac:dyDescent="0.2">
      <c r="F1242" s="39">
        <v>43773</v>
      </c>
      <c r="G1242" s="37">
        <v>0.75</v>
      </c>
      <c r="I1242" s="39">
        <v>43796</v>
      </c>
      <c r="J1242" s="37">
        <v>-0.53300000000000003</v>
      </c>
      <c r="O1242" s="39">
        <v>45547</v>
      </c>
      <c r="P1242" s="37">
        <v>5.33</v>
      </c>
      <c r="R1242" s="39">
        <v>43766</v>
      </c>
      <c r="S1242" s="37">
        <v>0.71060000000000001</v>
      </c>
      <c r="U1242" s="39">
        <v>43753</v>
      </c>
      <c r="V1242" s="37">
        <v>1</v>
      </c>
    </row>
    <row r="1243" spans="6:22" x14ac:dyDescent="0.2">
      <c r="F1243" s="39">
        <v>43770</v>
      </c>
      <c r="G1243" s="37">
        <v>0.75</v>
      </c>
      <c r="I1243" s="39">
        <v>43795</v>
      </c>
      <c r="J1243" s="37">
        <v>-0.53300000000000003</v>
      </c>
      <c r="O1243" s="39">
        <v>45548</v>
      </c>
      <c r="P1243" s="37">
        <v>5.33</v>
      </c>
      <c r="R1243" s="39">
        <v>43763</v>
      </c>
      <c r="S1243" s="37">
        <v>0.7097</v>
      </c>
      <c r="U1243" s="39">
        <v>43752</v>
      </c>
      <c r="V1243" s="37">
        <v>1</v>
      </c>
    </row>
    <row r="1244" spans="6:22" x14ac:dyDescent="0.2">
      <c r="F1244" s="39">
        <v>43769</v>
      </c>
      <c r="G1244" s="37">
        <v>0.75</v>
      </c>
      <c r="I1244" s="39">
        <v>43794</v>
      </c>
      <c r="J1244" s="37">
        <v>-0.53300000000000003</v>
      </c>
      <c r="O1244" s="39">
        <v>45551</v>
      </c>
      <c r="P1244" s="37">
        <v>5.38</v>
      </c>
      <c r="R1244" s="39">
        <v>43762</v>
      </c>
      <c r="S1244" s="37">
        <v>0.71079999999999999</v>
      </c>
      <c r="U1244" s="39">
        <v>43749</v>
      </c>
      <c r="V1244" s="37">
        <v>1</v>
      </c>
    </row>
    <row r="1245" spans="6:22" x14ac:dyDescent="0.2">
      <c r="F1245" s="39">
        <v>43768</v>
      </c>
      <c r="G1245" s="37">
        <v>0.75</v>
      </c>
      <c r="I1245" s="39">
        <v>43791</v>
      </c>
      <c r="J1245" s="37">
        <v>-0.53600000000000003</v>
      </c>
      <c r="O1245" s="39">
        <v>45552</v>
      </c>
      <c r="P1245" s="37">
        <v>5.38</v>
      </c>
      <c r="R1245" s="39">
        <v>43761</v>
      </c>
      <c r="S1245" s="37">
        <v>0.71240000000000003</v>
      </c>
      <c r="U1245" s="39">
        <v>43748</v>
      </c>
      <c r="V1245" s="37">
        <v>1</v>
      </c>
    </row>
    <row r="1246" spans="6:22" x14ac:dyDescent="0.2">
      <c r="F1246" s="39">
        <v>43767</v>
      </c>
      <c r="G1246" s="37">
        <v>0.75</v>
      </c>
      <c r="I1246" s="39">
        <v>43790</v>
      </c>
      <c r="J1246" s="37">
        <v>-0.54200000000000004</v>
      </c>
      <c r="O1246" s="39">
        <v>45553</v>
      </c>
      <c r="P1246" s="37">
        <v>5.33</v>
      </c>
      <c r="R1246" s="39">
        <v>43760</v>
      </c>
      <c r="S1246" s="37">
        <v>0.71160000000000001</v>
      </c>
      <c r="U1246" s="39">
        <v>43747</v>
      </c>
      <c r="V1246" s="37">
        <v>1</v>
      </c>
    </row>
    <row r="1247" spans="6:22" x14ac:dyDescent="0.2">
      <c r="F1247" s="39">
        <v>43766</v>
      </c>
      <c r="G1247" s="37">
        <v>0.75</v>
      </c>
      <c r="I1247" s="39">
        <v>43789</v>
      </c>
      <c r="J1247" s="37">
        <v>-0.51100000000000001</v>
      </c>
      <c r="O1247" s="39">
        <v>45554</v>
      </c>
      <c r="P1247" s="37">
        <v>4.82</v>
      </c>
      <c r="R1247" s="39">
        <v>43759</v>
      </c>
      <c r="S1247" s="37">
        <v>0.71109999999999995</v>
      </c>
      <c r="U1247" s="39">
        <v>43746</v>
      </c>
      <c r="V1247" s="37">
        <v>1</v>
      </c>
    </row>
    <row r="1248" spans="6:22" x14ac:dyDescent="0.2">
      <c r="F1248" s="39">
        <v>43763</v>
      </c>
      <c r="G1248" s="37">
        <v>0.75</v>
      </c>
      <c r="I1248" s="39">
        <v>43788</v>
      </c>
      <c r="J1248" s="37">
        <v>-0.54200000000000004</v>
      </c>
      <c r="O1248" s="39">
        <v>45555</v>
      </c>
      <c r="P1248" s="37">
        <v>4.83</v>
      </c>
      <c r="R1248" s="39">
        <v>43756</v>
      </c>
      <c r="S1248" s="37">
        <v>0.71009999999999995</v>
      </c>
      <c r="U1248" s="39">
        <v>43745</v>
      </c>
      <c r="V1248" s="37">
        <v>1</v>
      </c>
    </row>
    <row r="1249" spans="6:22" x14ac:dyDescent="0.2">
      <c r="F1249" s="39">
        <v>43762</v>
      </c>
      <c r="G1249" s="37">
        <v>0.75</v>
      </c>
      <c r="I1249" s="39">
        <v>43787</v>
      </c>
      <c r="J1249" s="37">
        <v>-0.54100000000000004</v>
      </c>
      <c r="O1249" s="39">
        <v>45558</v>
      </c>
      <c r="P1249" s="37">
        <v>4.83</v>
      </c>
      <c r="R1249" s="39">
        <v>43755</v>
      </c>
      <c r="S1249" s="37">
        <v>0.7107</v>
      </c>
      <c r="U1249" s="39">
        <v>43742</v>
      </c>
      <c r="V1249" s="37">
        <v>1</v>
      </c>
    </row>
    <row r="1250" spans="6:22" x14ac:dyDescent="0.2">
      <c r="F1250" s="39">
        <v>43761</v>
      </c>
      <c r="G1250" s="37">
        <v>0.75</v>
      </c>
      <c r="I1250" s="39">
        <v>43784</v>
      </c>
      <c r="J1250" s="37">
        <v>-0.54100000000000004</v>
      </c>
      <c r="O1250" s="39">
        <v>45559</v>
      </c>
      <c r="P1250" s="37">
        <v>4.84</v>
      </c>
      <c r="R1250" s="39">
        <v>43754</v>
      </c>
      <c r="S1250" s="37">
        <v>0.71089999999999998</v>
      </c>
      <c r="U1250" s="39">
        <v>43741</v>
      </c>
      <c r="V1250" s="37">
        <v>1</v>
      </c>
    </row>
    <row r="1251" spans="6:22" x14ac:dyDescent="0.2">
      <c r="F1251" s="39">
        <v>43760</v>
      </c>
      <c r="G1251" s="37">
        <v>0.75</v>
      </c>
      <c r="I1251" s="39">
        <v>43783</v>
      </c>
      <c r="J1251" s="37">
        <v>-0.53600000000000003</v>
      </c>
      <c r="O1251" s="39">
        <v>45560</v>
      </c>
      <c r="P1251" s="37">
        <v>4.84</v>
      </c>
      <c r="R1251" s="39">
        <v>43753</v>
      </c>
      <c r="S1251" s="37">
        <v>0.71109999999999995</v>
      </c>
      <c r="U1251" s="39">
        <v>43740</v>
      </c>
      <c r="V1251" s="37">
        <v>1</v>
      </c>
    </row>
    <row r="1252" spans="6:22" x14ac:dyDescent="0.2">
      <c r="F1252" s="39">
        <v>43759</v>
      </c>
      <c r="G1252" s="37">
        <v>0.75</v>
      </c>
      <c r="I1252" s="39">
        <v>43782</v>
      </c>
      <c r="J1252" s="37">
        <v>-0.53100000000000003</v>
      </c>
      <c r="O1252" s="39">
        <v>45561</v>
      </c>
      <c r="P1252" s="37">
        <v>4.83</v>
      </c>
      <c r="R1252" s="39">
        <v>43752</v>
      </c>
      <c r="S1252" s="37">
        <v>0.71060000000000001</v>
      </c>
      <c r="U1252" s="39">
        <v>43739</v>
      </c>
      <c r="V1252" s="37">
        <v>1</v>
      </c>
    </row>
    <row r="1253" spans="6:22" ht="15" x14ac:dyDescent="0.25">
      <c r="F1253" s="39">
        <v>43756</v>
      </c>
      <c r="G1253" s="37">
        <v>0.75</v>
      </c>
      <c r="I1253" s="39">
        <v>43781</v>
      </c>
      <c r="J1253" s="37">
        <v>-0.53700000000000003</v>
      </c>
      <c r="O1253"/>
      <c r="P1253"/>
      <c r="R1253" s="39">
        <v>43749</v>
      </c>
      <c r="S1253" s="37">
        <v>0.71079999999999999</v>
      </c>
      <c r="U1253" s="39">
        <v>43738</v>
      </c>
      <c r="V1253" s="37">
        <v>1</v>
      </c>
    </row>
    <row r="1254" spans="6:22" ht="15" x14ac:dyDescent="0.25">
      <c r="F1254" s="39">
        <v>43755</v>
      </c>
      <c r="G1254" s="37">
        <v>0.75</v>
      </c>
      <c r="I1254" s="39">
        <v>43780</v>
      </c>
      <c r="J1254" s="37">
        <v>-0.54100000000000004</v>
      </c>
      <c r="O1254"/>
      <c r="P1254"/>
      <c r="R1254" s="39">
        <v>43748</v>
      </c>
      <c r="S1254" s="37">
        <v>0.71150000000000002</v>
      </c>
      <c r="U1254" s="39">
        <v>43735</v>
      </c>
      <c r="V1254" s="37">
        <v>1</v>
      </c>
    </row>
    <row r="1255" spans="6:22" ht="15" x14ac:dyDescent="0.25">
      <c r="F1255" s="39">
        <v>43754</v>
      </c>
      <c r="G1255" s="37">
        <v>0.75</v>
      </c>
      <c r="I1255" s="39">
        <v>43777</v>
      </c>
      <c r="J1255" s="37">
        <v>-0.54</v>
      </c>
      <c r="O1255"/>
      <c r="P1255"/>
      <c r="R1255" s="39">
        <v>43747</v>
      </c>
      <c r="S1255" s="37">
        <v>0.71120000000000005</v>
      </c>
      <c r="U1255" s="39">
        <v>43734</v>
      </c>
      <c r="V1255" s="37">
        <v>1</v>
      </c>
    </row>
    <row r="1256" spans="6:22" ht="15" x14ac:dyDescent="0.25">
      <c r="F1256" s="39">
        <v>43753</v>
      </c>
      <c r="G1256" s="37">
        <v>0.75</v>
      </c>
      <c r="I1256" s="39">
        <v>43776</v>
      </c>
      <c r="J1256" s="37">
        <v>-0.53700000000000003</v>
      </c>
      <c r="O1256"/>
      <c r="P1256"/>
      <c r="R1256" s="39">
        <v>43746</v>
      </c>
      <c r="S1256" s="37">
        <v>0.7107</v>
      </c>
      <c r="U1256" s="39">
        <v>43733</v>
      </c>
      <c r="V1256" s="37">
        <v>1</v>
      </c>
    </row>
    <row r="1257" spans="6:22" ht="15" x14ac:dyDescent="0.25">
      <c r="F1257" s="39">
        <v>43752</v>
      </c>
      <c r="G1257" s="37">
        <v>0.75</v>
      </c>
      <c r="I1257" s="39">
        <v>43775</v>
      </c>
      <c r="J1257" s="37">
        <v>-0.53900000000000003</v>
      </c>
      <c r="O1257"/>
      <c r="P1257"/>
      <c r="R1257" s="39">
        <v>43745</v>
      </c>
      <c r="S1257" s="37">
        <v>0.71109999999999995</v>
      </c>
      <c r="U1257" s="39">
        <v>43732</v>
      </c>
      <c r="V1257" s="37">
        <v>1</v>
      </c>
    </row>
    <row r="1258" spans="6:22" ht="15" x14ac:dyDescent="0.25">
      <c r="F1258" s="39">
        <v>43749</v>
      </c>
      <c r="G1258" s="37">
        <v>0.75</v>
      </c>
      <c r="I1258" s="39">
        <v>43774</v>
      </c>
      <c r="J1258" s="37">
        <v>-0.54100000000000004</v>
      </c>
      <c r="O1258"/>
      <c r="P1258"/>
      <c r="R1258" s="39">
        <v>43742</v>
      </c>
      <c r="S1258" s="37">
        <v>0.71179999999999999</v>
      </c>
      <c r="U1258" s="39">
        <v>43731</v>
      </c>
      <c r="V1258" s="37">
        <v>1</v>
      </c>
    </row>
    <row r="1259" spans="6:22" ht="15" x14ac:dyDescent="0.25">
      <c r="F1259" s="39">
        <v>43748</v>
      </c>
      <c r="G1259" s="37">
        <v>0.75</v>
      </c>
      <c r="I1259" s="39">
        <v>43773</v>
      </c>
      <c r="J1259" s="37">
        <v>-0.53600000000000003</v>
      </c>
      <c r="O1259"/>
      <c r="P1259"/>
      <c r="R1259" s="39">
        <v>43741</v>
      </c>
      <c r="S1259" s="37">
        <v>0.70979999999999999</v>
      </c>
      <c r="U1259" s="39">
        <v>43728</v>
      </c>
      <c r="V1259" s="37">
        <v>1</v>
      </c>
    </row>
    <row r="1260" spans="6:22" ht="15" x14ac:dyDescent="0.25">
      <c r="F1260" s="39">
        <v>43747</v>
      </c>
      <c r="G1260" s="37">
        <v>0.75</v>
      </c>
      <c r="I1260" s="39">
        <v>43770</v>
      </c>
      <c r="J1260" s="37">
        <v>-0.54900000000000004</v>
      </c>
      <c r="O1260"/>
      <c r="P1260"/>
      <c r="R1260" s="39">
        <v>43740</v>
      </c>
      <c r="S1260" s="37">
        <v>0.70979999999999999</v>
      </c>
      <c r="U1260" s="39">
        <v>43727</v>
      </c>
      <c r="V1260" s="37">
        <v>1</v>
      </c>
    </row>
    <row r="1261" spans="6:22" ht="15" x14ac:dyDescent="0.25">
      <c r="F1261" s="39">
        <v>43746</v>
      </c>
      <c r="G1261" s="37">
        <v>0.75</v>
      </c>
      <c r="I1261" s="39">
        <v>43769</v>
      </c>
      <c r="J1261" s="37">
        <v>-0.54300000000000004</v>
      </c>
      <c r="O1261"/>
      <c r="P1261"/>
      <c r="R1261" s="39">
        <v>43739</v>
      </c>
      <c r="S1261" s="37">
        <v>0.71079999999999999</v>
      </c>
      <c r="U1261" s="39">
        <v>43726</v>
      </c>
      <c r="V1261" s="37">
        <v>1</v>
      </c>
    </row>
    <row r="1262" spans="6:22" ht="15" x14ac:dyDescent="0.25">
      <c r="F1262" s="39">
        <v>43745</v>
      </c>
      <c r="G1262" s="37">
        <v>0.75</v>
      </c>
      <c r="I1262" s="39">
        <v>43768</v>
      </c>
      <c r="J1262" s="37">
        <v>-0.54500000000000004</v>
      </c>
      <c r="O1262"/>
      <c r="P1262"/>
      <c r="R1262" s="39">
        <v>43738</v>
      </c>
      <c r="S1262" s="37">
        <v>0.71009999999999995</v>
      </c>
      <c r="U1262" s="39">
        <v>43725</v>
      </c>
      <c r="V1262" s="37">
        <v>1</v>
      </c>
    </row>
    <row r="1263" spans="6:22" ht="15" x14ac:dyDescent="0.25">
      <c r="F1263" s="39">
        <v>43742</v>
      </c>
      <c r="G1263" s="37">
        <v>0.75</v>
      </c>
      <c r="I1263" s="39">
        <v>43767</v>
      </c>
      <c r="J1263" s="37">
        <v>-0.54500000000000004</v>
      </c>
      <c r="O1263"/>
      <c r="P1263"/>
      <c r="R1263" s="39">
        <v>43735</v>
      </c>
      <c r="S1263" s="37">
        <v>0.71089999999999998</v>
      </c>
      <c r="U1263" s="39">
        <v>43724</v>
      </c>
      <c r="V1263" s="37">
        <v>1</v>
      </c>
    </row>
    <row r="1264" spans="6:22" ht="15" x14ac:dyDescent="0.25">
      <c r="F1264" s="39">
        <v>43741</v>
      </c>
      <c r="G1264" s="37">
        <v>0.75</v>
      </c>
      <c r="I1264" s="39">
        <v>43766</v>
      </c>
      <c r="J1264" s="37">
        <v>-0.54800000000000004</v>
      </c>
      <c r="O1264"/>
      <c r="P1264"/>
      <c r="R1264" s="39">
        <v>43734</v>
      </c>
      <c r="S1264" s="37">
        <v>0.71089999999999998</v>
      </c>
      <c r="U1264" s="39">
        <v>43721</v>
      </c>
      <c r="V1264" s="37">
        <v>1</v>
      </c>
    </row>
    <row r="1265" spans="6:22" ht="15" x14ac:dyDescent="0.25">
      <c r="F1265" s="39">
        <v>43740</v>
      </c>
      <c r="G1265" s="37">
        <v>0.75</v>
      </c>
      <c r="I1265" s="39">
        <v>43763</v>
      </c>
      <c r="J1265" s="37">
        <v>-0.54800000000000004</v>
      </c>
      <c r="O1265"/>
      <c r="P1265"/>
      <c r="R1265" s="39">
        <v>43733</v>
      </c>
      <c r="S1265" s="37">
        <v>0.70989999999999998</v>
      </c>
      <c r="U1265" s="39">
        <v>43720</v>
      </c>
      <c r="V1265" s="37">
        <v>1</v>
      </c>
    </row>
    <row r="1266" spans="6:22" ht="15" x14ac:dyDescent="0.25">
      <c r="F1266" s="39">
        <v>43739</v>
      </c>
      <c r="G1266" s="37">
        <v>1</v>
      </c>
      <c r="I1266" s="39">
        <v>43762</v>
      </c>
      <c r="J1266" s="37">
        <v>-0.54800000000000004</v>
      </c>
      <c r="O1266"/>
      <c r="P1266"/>
      <c r="R1266" s="39">
        <v>43732</v>
      </c>
      <c r="S1266" s="37">
        <v>0.71050000000000002</v>
      </c>
      <c r="U1266" s="39">
        <v>43719</v>
      </c>
      <c r="V1266" s="37">
        <v>1</v>
      </c>
    </row>
    <row r="1267" spans="6:22" ht="15" x14ac:dyDescent="0.25">
      <c r="F1267" s="39">
        <v>43738</v>
      </c>
      <c r="G1267" s="37">
        <v>1</v>
      </c>
      <c r="I1267" s="39">
        <v>43761</v>
      </c>
      <c r="J1267" s="37">
        <v>-0.54700000000000004</v>
      </c>
      <c r="O1267"/>
      <c r="P1267"/>
      <c r="R1267" s="39">
        <v>43731</v>
      </c>
      <c r="S1267" s="37">
        <v>0.70989999999999998</v>
      </c>
      <c r="U1267" s="39">
        <v>43718</v>
      </c>
      <c r="V1267" s="37">
        <v>1</v>
      </c>
    </row>
    <row r="1268" spans="6:22" ht="15" x14ac:dyDescent="0.25">
      <c r="F1268" s="39">
        <v>43735</v>
      </c>
      <c r="G1268" s="37">
        <v>1</v>
      </c>
      <c r="I1268" s="39">
        <v>43760</v>
      </c>
      <c r="J1268" s="37">
        <v>-0.54800000000000004</v>
      </c>
      <c r="O1268"/>
      <c r="P1268"/>
      <c r="R1268" s="39">
        <v>43728</v>
      </c>
      <c r="S1268" s="37">
        <v>0.70930000000000004</v>
      </c>
      <c r="U1268" s="39">
        <v>43717</v>
      </c>
      <c r="V1268" s="37">
        <v>1</v>
      </c>
    </row>
    <row r="1269" spans="6:22" ht="15" x14ac:dyDescent="0.25">
      <c r="F1269" s="39">
        <v>43734</v>
      </c>
      <c r="G1269" s="37">
        <v>1</v>
      </c>
      <c r="I1269" s="39">
        <v>43759</v>
      </c>
      <c r="J1269" s="37">
        <v>-0.54900000000000004</v>
      </c>
      <c r="O1269"/>
      <c r="P1269"/>
      <c r="R1269" s="39">
        <v>43727</v>
      </c>
      <c r="S1269" s="37">
        <v>0.71040000000000003</v>
      </c>
      <c r="U1269" s="39">
        <v>43714</v>
      </c>
      <c r="V1269" s="37">
        <v>1</v>
      </c>
    </row>
    <row r="1270" spans="6:22" ht="15" x14ac:dyDescent="0.25">
      <c r="F1270" s="39">
        <v>43733</v>
      </c>
      <c r="G1270" s="37">
        <v>1</v>
      </c>
      <c r="I1270" s="39">
        <v>43756</v>
      </c>
      <c r="J1270" s="37">
        <v>-0.54700000000000004</v>
      </c>
      <c r="O1270"/>
      <c r="P1270"/>
      <c r="R1270" s="39">
        <v>43726</v>
      </c>
      <c r="S1270" s="37">
        <v>0.71040000000000003</v>
      </c>
      <c r="U1270" s="39">
        <v>43713</v>
      </c>
      <c r="V1270" s="37">
        <v>1</v>
      </c>
    </row>
    <row r="1271" spans="6:22" ht="15" x14ac:dyDescent="0.25">
      <c r="F1271" s="39">
        <v>43732</v>
      </c>
      <c r="G1271" s="37">
        <v>1</v>
      </c>
      <c r="I1271" s="39">
        <v>43755</v>
      </c>
      <c r="J1271" s="37">
        <v>-0.54800000000000004</v>
      </c>
      <c r="O1271"/>
      <c r="P1271"/>
      <c r="R1271" s="39">
        <v>43725</v>
      </c>
      <c r="S1271" s="37">
        <v>0.71099999999999997</v>
      </c>
      <c r="U1271" s="39">
        <v>43712</v>
      </c>
      <c r="V1271" s="37">
        <v>1</v>
      </c>
    </row>
    <row r="1272" spans="6:22" ht="15" x14ac:dyDescent="0.25">
      <c r="F1272" s="39">
        <v>43731</v>
      </c>
      <c r="G1272" s="37">
        <v>1</v>
      </c>
      <c r="I1272" s="39">
        <v>43754</v>
      </c>
      <c r="J1272" s="37">
        <v>-0.54800000000000004</v>
      </c>
      <c r="O1272"/>
      <c r="P1272"/>
      <c r="R1272" s="39">
        <v>43724</v>
      </c>
      <c r="S1272" s="37">
        <v>0.70989999999999998</v>
      </c>
      <c r="U1272" s="39">
        <v>43711</v>
      </c>
      <c r="V1272" s="37">
        <v>1</v>
      </c>
    </row>
    <row r="1273" spans="6:22" ht="15" x14ac:dyDescent="0.25">
      <c r="F1273" s="39">
        <v>43728</v>
      </c>
      <c r="G1273" s="37">
        <v>1</v>
      </c>
      <c r="I1273" s="39">
        <v>43753</v>
      </c>
      <c r="J1273" s="37">
        <v>-0.55100000000000005</v>
      </c>
      <c r="O1273"/>
      <c r="P1273"/>
      <c r="R1273" s="39">
        <v>43721</v>
      </c>
      <c r="S1273" s="37">
        <v>0.70799999999999996</v>
      </c>
      <c r="U1273" s="39">
        <v>43710</v>
      </c>
      <c r="V1273" s="37">
        <v>1</v>
      </c>
    </row>
    <row r="1274" spans="6:22" ht="15" x14ac:dyDescent="0.25">
      <c r="F1274" s="39">
        <v>43727</v>
      </c>
      <c r="G1274" s="37">
        <v>1</v>
      </c>
      <c r="I1274" s="39">
        <v>43752</v>
      </c>
      <c r="J1274" s="37">
        <v>-0.54900000000000004</v>
      </c>
      <c r="O1274"/>
      <c r="P1274"/>
      <c r="R1274" s="39">
        <v>43720</v>
      </c>
      <c r="S1274" s="37">
        <v>0.70960000000000001</v>
      </c>
      <c r="U1274" s="39">
        <v>43707</v>
      </c>
      <c r="V1274" s="37">
        <v>1</v>
      </c>
    </row>
    <row r="1275" spans="6:22" ht="15" x14ac:dyDescent="0.25">
      <c r="F1275" s="39">
        <v>43726</v>
      </c>
      <c r="G1275" s="37">
        <v>1</v>
      </c>
      <c r="I1275" s="39">
        <v>43749</v>
      </c>
      <c r="J1275" s="37">
        <v>-0.55000000000000004</v>
      </c>
      <c r="O1275"/>
      <c r="P1275"/>
      <c r="R1275" s="39">
        <v>43719</v>
      </c>
      <c r="S1275" s="37">
        <v>0.70909999999999995</v>
      </c>
      <c r="U1275" s="39">
        <v>43706</v>
      </c>
      <c r="V1275" s="37">
        <v>1</v>
      </c>
    </row>
    <row r="1276" spans="6:22" ht="15" x14ac:dyDescent="0.25">
      <c r="F1276" s="39">
        <v>43725</v>
      </c>
      <c r="G1276" s="37">
        <v>1</v>
      </c>
      <c r="I1276" s="39">
        <v>43748</v>
      </c>
      <c r="J1276" s="37">
        <v>-0.55200000000000005</v>
      </c>
      <c r="O1276"/>
      <c r="P1276"/>
      <c r="R1276" s="39">
        <v>43718</v>
      </c>
      <c r="S1276" s="37">
        <v>0.7087</v>
      </c>
      <c r="U1276" s="39">
        <v>43705</v>
      </c>
      <c r="V1276" s="37">
        <v>1</v>
      </c>
    </row>
    <row r="1277" spans="6:22" ht="15" x14ac:dyDescent="0.25">
      <c r="F1277" s="39">
        <v>43724</v>
      </c>
      <c r="G1277" s="37">
        <v>1</v>
      </c>
      <c r="I1277" s="39">
        <v>43747</v>
      </c>
      <c r="J1277" s="37">
        <v>-0.55200000000000005</v>
      </c>
      <c r="O1277"/>
      <c r="P1277"/>
      <c r="R1277" s="39">
        <v>43717</v>
      </c>
      <c r="S1277" s="37">
        <v>0.70960000000000001</v>
      </c>
      <c r="U1277" s="39">
        <v>43704</v>
      </c>
      <c r="V1277" s="37">
        <v>1</v>
      </c>
    </row>
    <row r="1278" spans="6:22" ht="15" x14ac:dyDescent="0.25">
      <c r="F1278" s="39">
        <v>43721</v>
      </c>
      <c r="G1278" s="37">
        <v>1</v>
      </c>
      <c r="I1278" s="39">
        <v>43746</v>
      </c>
      <c r="J1278" s="37">
        <v>-0.55200000000000005</v>
      </c>
      <c r="O1278"/>
      <c r="P1278"/>
      <c r="R1278" s="39">
        <v>43714</v>
      </c>
      <c r="S1278" s="37">
        <v>0.70979999999999999</v>
      </c>
      <c r="U1278" s="39">
        <v>43703</v>
      </c>
      <c r="V1278" s="37">
        <v>1</v>
      </c>
    </row>
    <row r="1279" spans="6:22" ht="15" x14ac:dyDescent="0.25">
      <c r="F1279" s="39">
        <v>43720</v>
      </c>
      <c r="G1279" s="37">
        <v>1</v>
      </c>
      <c r="I1279" s="39">
        <v>43745</v>
      </c>
      <c r="J1279" s="37">
        <v>-0.55400000000000005</v>
      </c>
      <c r="O1279"/>
      <c r="P1279"/>
      <c r="R1279" s="39">
        <v>43713</v>
      </c>
      <c r="S1279" s="37">
        <v>0.70989999999999998</v>
      </c>
      <c r="U1279" s="39">
        <v>43700</v>
      </c>
      <c r="V1279" s="37">
        <v>1</v>
      </c>
    </row>
    <row r="1280" spans="6:22" ht="15" x14ac:dyDescent="0.25">
      <c r="F1280" s="39">
        <v>43719</v>
      </c>
      <c r="G1280" s="37">
        <v>1</v>
      </c>
      <c r="I1280" s="39">
        <v>43742</v>
      </c>
      <c r="J1280" s="37">
        <v>-0.55300000000000005</v>
      </c>
      <c r="O1280"/>
      <c r="P1280"/>
      <c r="R1280" s="39">
        <v>43712</v>
      </c>
      <c r="S1280" s="37">
        <v>0.70950000000000002</v>
      </c>
      <c r="U1280" s="39">
        <v>43699</v>
      </c>
      <c r="V1280" s="37">
        <v>1</v>
      </c>
    </row>
    <row r="1281" spans="6:22" ht="15" x14ac:dyDescent="0.25">
      <c r="F1281" s="39">
        <v>43718</v>
      </c>
      <c r="G1281" s="37">
        <v>1</v>
      </c>
      <c r="I1281" s="39">
        <v>43741</v>
      </c>
      <c r="J1281" s="37">
        <v>-0.55500000000000005</v>
      </c>
      <c r="O1281"/>
      <c r="P1281"/>
      <c r="R1281" s="39">
        <v>43711</v>
      </c>
      <c r="S1281" s="37">
        <v>0.70989999999999998</v>
      </c>
      <c r="U1281" s="39">
        <v>43698</v>
      </c>
      <c r="V1281" s="37">
        <v>1</v>
      </c>
    </row>
    <row r="1282" spans="6:22" ht="15" x14ac:dyDescent="0.25">
      <c r="F1282" s="39">
        <v>43717</v>
      </c>
      <c r="G1282" s="37">
        <v>1</v>
      </c>
      <c r="I1282" s="39">
        <v>43740</v>
      </c>
      <c r="J1282" s="37">
        <v>-0.55100000000000005</v>
      </c>
      <c r="O1282"/>
      <c r="P1282"/>
      <c r="R1282" s="39">
        <v>43710</v>
      </c>
      <c r="S1282" s="37">
        <v>0.70909999999999995</v>
      </c>
      <c r="U1282" s="39">
        <v>43697</v>
      </c>
      <c r="V1282" s="37">
        <v>1</v>
      </c>
    </row>
    <row r="1283" spans="6:22" ht="15" x14ac:dyDescent="0.25">
      <c r="F1283" s="39">
        <v>43714</v>
      </c>
      <c r="G1283" s="37">
        <v>1</v>
      </c>
      <c r="I1283" s="39">
        <v>43739</v>
      </c>
      <c r="J1283" s="37">
        <v>-0.54900000000000004</v>
      </c>
      <c r="O1283"/>
      <c r="P1283"/>
      <c r="R1283" s="39">
        <v>43707</v>
      </c>
      <c r="S1283" s="37">
        <v>0.71030000000000004</v>
      </c>
      <c r="U1283" s="39">
        <v>43696</v>
      </c>
      <c r="V1283" s="37">
        <v>1</v>
      </c>
    </row>
    <row r="1284" spans="6:22" ht="15" x14ac:dyDescent="0.25">
      <c r="F1284" s="39">
        <v>43713</v>
      </c>
      <c r="G1284" s="37">
        <v>1</v>
      </c>
      <c r="O1284"/>
      <c r="P1284"/>
      <c r="R1284" s="39">
        <v>43706</v>
      </c>
      <c r="S1284" s="37">
        <v>0.71009999999999995</v>
      </c>
      <c r="U1284" s="39">
        <v>43693</v>
      </c>
      <c r="V1284" s="37">
        <v>1</v>
      </c>
    </row>
    <row r="1285" spans="6:22" ht="15" x14ac:dyDescent="0.25">
      <c r="F1285" s="39">
        <v>43712</v>
      </c>
      <c r="G1285" s="37">
        <v>1</v>
      </c>
      <c r="O1285"/>
      <c r="P1285"/>
      <c r="R1285" s="39">
        <v>43705</v>
      </c>
      <c r="S1285" s="37">
        <v>0.71130000000000004</v>
      </c>
      <c r="U1285" s="39">
        <v>43692</v>
      </c>
      <c r="V1285" s="37">
        <v>1</v>
      </c>
    </row>
    <row r="1286" spans="6:22" ht="15" x14ac:dyDescent="0.25">
      <c r="F1286" s="39">
        <v>43711</v>
      </c>
      <c r="G1286" s="37">
        <v>1</v>
      </c>
      <c r="O1286"/>
      <c r="P1286"/>
      <c r="R1286" s="39">
        <v>43704</v>
      </c>
      <c r="S1286" s="37">
        <v>0.7107</v>
      </c>
      <c r="U1286" s="39">
        <v>43691</v>
      </c>
      <c r="V1286" s="37">
        <v>1</v>
      </c>
    </row>
    <row r="1287" spans="6:22" ht="15" x14ac:dyDescent="0.25">
      <c r="F1287" s="39">
        <v>43710</v>
      </c>
      <c r="G1287" s="37">
        <v>1</v>
      </c>
      <c r="O1287"/>
      <c r="P1287"/>
      <c r="R1287" s="39">
        <v>43700</v>
      </c>
      <c r="S1287" s="37">
        <v>0.71160000000000001</v>
      </c>
      <c r="U1287" s="39">
        <v>43690</v>
      </c>
      <c r="V1287" s="37">
        <v>1</v>
      </c>
    </row>
    <row r="1288" spans="6:22" ht="15" x14ac:dyDescent="0.25">
      <c r="F1288" s="39">
        <v>43707</v>
      </c>
      <c r="G1288" s="37">
        <v>1</v>
      </c>
      <c r="O1288"/>
      <c r="P1288"/>
      <c r="R1288" s="39">
        <v>43699</v>
      </c>
      <c r="S1288" s="37">
        <v>0.71099999999999997</v>
      </c>
      <c r="U1288" s="39">
        <v>43689</v>
      </c>
      <c r="V1288" s="37">
        <v>1</v>
      </c>
    </row>
    <row r="1289" spans="6:22" ht="15" x14ac:dyDescent="0.25">
      <c r="F1289" s="39">
        <v>43706</v>
      </c>
      <c r="G1289" s="37">
        <v>1</v>
      </c>
      <c r="O1289"/>
      <c r="P1289"/>
      <c r="R1289" s="39">
        <v>43698</v>
      </c>
      <c r="S1289" s="37">
        <v>0.7127</v>
      </c>
      <c r="U1289" s="39">
        <v>43686</v>
      </c>
      <c r="V1289" s="37">
        <v>1</v>
      </c>
    </row>
    <row r="1290" spans="6:22" ht="15" x14ac:dyDescent="0.25">
      <c r="F1290" s="39">
        <v>43705</v>
      </c>
      <c r="G1290" s="37">
        <v>1</v>
      </c>
      <c r="O1290"/>
      <c r="P1290"/>
      <c r="R1290" s="39">
        <v>43697</v>
      </c>
      <c r="S1290" s="37">
        <v>0.71020000000000005</v>
      </c>
      <c r="U1290" s="39">
        <v>43685</v>
      </c>
      <c r="V1290" s="37">
        <v>1</v>
      </c>
    </row>
    <row r="1291" spans="6:22" ht="15" x14ac:dyDescent="0.25">
      <c r="F1291" s="39">
        <v>43704</v>
      </c>
      <c r="G1291" s="37">
        <v>1</v>
      </c>
      <c r="O1291"/>
      <c r="P1291"/>
      <c r="R1291" s="39">
        <v>43696</v>
      </c>
      <c r="S1291" s="37">
        <v>0.71</v>
      </c>
      <c r="U1291" s="39">
        <v>43684</v>
      </c>
      <c r="V1291" s="37">
        <v>1.5</v>
      </c>
    </row>
    <row r="1292" spans="6:22" ht="15" x14ac:dyDescent="0.25">
      <c r="F1292" s="39">
        <v>43703</v>
      </c>
      <c r="G1292" s="37">
        <v>1</v>
      </c>
      <c r="O1292"/>
      <c r="P1292"/>
      <c r="R1292" s="39">
        <v>43693</v>
      </c>
      <c r="S1292" s="37">
        <v>0.71120000000000005</v>
      </c>
      <c r="U1292" s="39">
        <v>43683</v>
      </c>
      <c r="V1292" s="37">
        <v>1.5</v>
      </c>
    </row>
    <row r="1293" spans="6:22" ht="15" x14ac:dyDescent="0.25">
      <c r="F1293" s="39">
        <v>43700</v>
      </c>
      <c r="G1293" s="37">
        <v>1</v>
      </c>
      <c r="O1293"/>
      <c r="P1293"/>
      <c r="R1293" s="39">
        <v>43692</v>
      </c>
      <c r="S1293" s="37">
        <v>0.70979999999999999</v>
      </c>
      <c r="U1293" s="39">
        <v>43682</v>
      </c>
      <c r="V1293" s="37">
        <v>1.5</v>
      </c>
    </row>
    <row r="1294" spans="6:22" ht="15" x14ac:dyDescent="0.25">
      <c r="F1294" s="39">
        <v>43699</v>
      </c>
      <c r="G1294" s="37">
        <v>1</v>
      </c>
      <c r="O1294"/>
      <c r="P1294"/>
      <c r="R1294" s="39">
        <v>43691</v>
      </c>
      <c r="S1294" s="37">
        <v>0.71</v>
      </c>
      <c r="U1294" s="39">
        <v>43679</v>
      </c>
      <c r="V1294" s="37">
        <v>1.5</v>
      </c>
    </row>
    <row r="1295" spans="6:22" ht="15" x14ac:dyDescent="0.25">
      <c r="F1295" s="39">
        <v>43698</v>
      </c>
      <c r="G1295" s="37">
        <v>1</v>
      </c>
      <c r="O1295"/>
      <c r="P1295"/>
      <c r="R1295" s="39">
        <v>43690</v>
      </c>
      <c r="S1295" s="37">
        <v>0.70940000000000003</v>
      </c>
      <c r="U1295" s="39">
        <v>43678</v>
      </c>
      <c r="V1295" s="37">
        <v>1.5</v>
      </c>
    </row>
    <row r="1296" spans="6:22" ht="15" x14ac:dyDescent="0.25">
      <c r="F1296" s="39">
        <v>43697</v>
      </c>
      <c r="G1296" s="37">
        <v>1</v>
      </c>
      <c r="O1296"/>
      <c r="P1296"/>
      <c r="R1296" s="39">
        <v>43689</v>
      </c>
      <c r="S1296" s="37">
        <v>0.70899999999999996</v>
      </c>
      <c r="U1296" s="39">
        <v>43677</v>
      </c>
      <c r="V1296" s="37">
        <v>1.5</v>
      </c>
    </row>
    <row r="1297" spans="6:22" ht="15" x14ac:dyDescent="0.25">
      <c r="F1297" s="39">
        <v>43696</v>
      </c>
      <c r="G1297" s="37">
        <v>1</v>
      </c>
      <c r="O1297"/>
      <c r="P1297"/>
      <c r="R1297" s="39">
        <v>43686</v>
      </c>
      <c r="S1297" s="37">
        <v>0.70989999999999998</v>
      </c>
      <c r="U1297" s="39">
        <v>43676</v>
      </c>
      <c r="V1297" s="37">
        <v>1.5</v>
      </c>
    </row>
    <row r="1298" spans="6:22" ht="15" x14ac:dyDescent="0.25">
      <c r="F1298" s="39">
        <v>43693</v>
      </c>
      <c r="G1298" s="37">
        <v>1</v>
      </c>
      <c r="O1298"/>
      <c r="P1298"/>
      <c r="R1298" s="39">
        <v>43685</v>
      </c>
      <c r="S1298" s="37">
        <v>0.70920000000000005</v>
      </c>
      <c r="U1298" s="39">
        <v>43675</v>
      </c>
      <c r="V1298" s="37">
        <v>1.5</v>
      </c>
    </row>
    <row r="1299" spans="6:22" ht="15" x14ac:dyDescent="0.25">
      <c r="F1299" s="39">
        <v>43692</v>
      </c>
      <c r="G1299" s="37">
        <v>1</v>
      </c>
      <c r="O1299"/>
      <c r="P1299"/>
      <c r="R1299" s="39">
        <v>43684</v>
      </c>
      <c r="S1299" s="37">
        <v>0.70979999999999999</v>
      </c>
      <c r="U1299" s="39">
        <v>43672</v>
      </c>
      <c r="V1299" s="37">
        <v>1.5</v>
      </c>
    </row>
    <row r="1300" spans="6:22" ht="15" x14ac:dyDescent="0.25">
      <c r="F1300" s="39">
        <v>43691</v>
      </c>
      <c r="G1300" s="37">
        <v>1</v>
      </c>
      <c r="O1300"/>
      <c r="P1300"/>
      <c r="R1300" s="39">
        <v>43683</v>
      </c>
      <c r="S1300" s="37">
        <v>0.70960000000000001</v>
      </c>
      <c r="U1300" s="39">
        <v>43671</v>
      </c>
      <c r="V1300" s="37">
        <v>1.5</v>
      </c>
    </row>
    <row r="1301" spans="6:22" ht="15" x14ac:dyDescent="0.25">
      <c r="F1301" s="39">
        <v>43690</v>
      </c>
      <c r="G1301" s="37">
        <v>1</v>
      </c>
      <c r="O1301"/>
      <c r="P1301"/>
      <c r="R1301" s="39">
        <v>43682</v>
      </c>
      <c r="S1301" s="37">
        <v>0.70920000000000005</v>
      </c>
      <c r="U1301" s="39">
        <v>43670</v>
      </c>
      <c r="V1301" s="37">
        <v>1.5</v>
      </c>
    </row>
    <row r="1302" spans="6:22" ht="15" x14ac:dyDescent="0.25">
      <c r="F1302" s="39">
        <v>43689</v>
      </c>
      <c r="G1302" s="37">
        <v>1</v>
      </c>
      <c r="O1302"/>
      <c r="P1302"/>
      <c r="R1302" s="39">
        <v>43679</v>
      </c>
      <c r="S1302" s="37">
        <v>0.70830000000000004</v>
      </c>
      <c r="U1302" s="39">
        <v>43669</v>
      </c>
      <c r="V1302" s="37">
        <v>1.5</v>
      </c>
    </row>
    <row r="1303" spans="6:22" ht="15" x14ac:dyDescent="0.25">
      <c r="F1303" s="39">
        <v>43686</v>
      </c>
      <c r="G1303" s="37">
        <v>1</v>
      </c>
      <c r="O1303"/>
      <c r="P1303"/>
      <c r="R1303" s="39">
        <v>43678</v>
      </c>
      <c r="S1303" s="37">
        <v>0.7087</v>
      </c>
      <c r="U1303" s="39">
        <v>43668</v>
      </c>
      <c r="V1303" s="37">
        <v>1.5</v>
      </c>
    </row>
    <row r="1304" spans="6:22" ht="15" x14ac:dyDescent="0.25">
      <c r="F1304" s="39">
        <v>43685</v>
      </c>
      <c r="G1304" s="37">
        <v>1</v>
      </c>
      <c r="O1304"/>
      <c r="P1304"/>
      <c r="R1304" s="39">
        <v>43677</v>
      </c>
      <c r="S1304" s="37">
        <v>0.70809999999999995</v>
      </c>
      <c r="U1304" s="39">
        <v>43665</v>
      </c>
      <c r="V1304" s="37">
        <v>1.5</v>
      </c>
    </row>
    <row r="1305" spans="6:22" ht="15" x14ac:dyDescent="0.25">
      <c r="F1305" s="39">
        <v>43684</v>
      </c>
      <c r="G1305" s="37">
        <v>1</v>
      </c>
      <c r="O1305"/>
      <c r="P1305"/>
      <c r="R1305" s="39">
        <v>43676</v>
      </c>
      <c r="S1305" s="37">
        <v>0.70920000000000005</v>
      </c>
      <c r="U1305" s="39">
        <v>43664</v>
      </c>
      <c r="V1305" s="37">
        <v>1.5</v>
      </c>
    </row>
    <row r="1306" spans="6:22" ht="15" x14ac:dyDescent="0.25">
      <c r="F1306" s="39">
        <v>43683</v>
      </c>
      <c r="G1306" s="37">
        <v>1</v>
      </c>
      <c r="O1306"/>
      <c r="P1306"/>
      <c r="R1306" s="39">
        <v>43675</v>
      </c>
      <c r="S1306" s="37">
        <v>0.7087</v>
      </c>
      <c r="U1306" s="39">
        <v>43663</v>
      </c>
      <c r="V1306" s="37">
        <v>1.5</v>
      </c>
    </row>
    <row r="1307" spans="6:22" ht="15" x14ac:dyDescent="0.25">
      <c r="F1307" s="39">
        <v>43682</v>
      </c>
      <c r="G1307" s="37">
        <v>1</v>
      </c>
      <c r="O1307"/>
      <c r="P1307"/>
      <c r="R1307" s="39">
        <v>43672</v>
      </c>
      <c r="S1307" s="37">
        <v>0.7097</v>
      </c>
      <c r="U1307" s="39">
        <v>43662</v>
      </c>
      <c r="V1307" s="37">
        <v>1.5</v>
      </c>
    </row>
    <row r="1308" spans="6:22" ht="15" x14ac:dyDescent="0.25">
      <c r="F1308" s="39">
        <v>43679</v>
      </c>
      <c r="G1308" s="37">
        <v>1</v>
      </c>
      <c r="O1308"/>
      <c r="P1308"/>
      <c r="R1308" s="39">
        <v>43671</v>
      </c>
      <c r="S1308" s="37">
        <v>0.70909999999999995</v>
      </c>
      <c r="U1308" s="39">
        <v>43661</v>
      </c>
      <c r="V1308" s="37">
        <v>1.5</v>
      </c>
    </row>
    <row r="1309" spans="6:22" ht="15" x14ac:dyDescent="0.25">
      <c r="F1309" s="39">
        <v>43678</v>
      </c>
      <c r="G1309" s="37">
        <v>1</v>
      </c>
      <c r="O1309"/>
      <c r="P1309"/>
      <c r="R1309" s="39">
        <v>43670</v>
      </c>
      <c r="S1309" s="37">
        <v>0.70950000000000002</v>
      </c>
      <c r="U1309" s="39">
        <v>43658</v>
      </c>
      <c r="V1309" s="37">
        <v>1.5</v>
      </c>
    </row>
    <row r="1310" spans="6:22" ht="15" x14ac:dyDescent="0.25">
      <c r="F1310" s="39">
        <v>43677</v>
      </c>
      <c r="G1310" s="37">
        <v>1</v>
      </c>
      <c r="O1310"/>
      <c r="P1310"/>
      <c r="R1310" s="39">
        <v>43669</v>
      </c>
      <c r="S1310" s="37">
        <v>0.70950000000000002</v>
      </c>
      <c r="U1310" s="39">
        <v>43657</v>
      </c>
      <c r="V1310" s="37">
        <v>1.5</v>
      </c>
    </row>
    <row r="1311" spans="6:22" ht="15" x14ac:dyDescent="0.25">
      <c r="F1311" s="39">
        <v>43676</v>
      </c>
      <c r="G1311" s="37">
        <v>1</v>
      </c>
      <c r="O1311"/>
      <c r="P1311"/>
      <c r="R1311" s="39">
        <v>43668</v>
      </c>
      <c r="S1311" s="37">
        <v>0.70760000000000001</v>
      </c>
      <c r="U1311" s="39">
        <v>43656</v>
      </c>
      <c r="V1311" s="37">
        <v>1.5</v>
      </c>
    </row>
    <row r="1312" spans="6:22" ht="15" x14ac:dyDescent="0.25">
      <c r="F1312" s="39">
        <v>43675</v>
      </c>
      <c r="G1312" s="37">
        <v>1</v>
      </c>
      <c r="O1312"/>
      <c r="P1312"/>
      <c r="R1312" s="39">
        <v>43665</v>
      </c>
      <c r="S1312" s="37">
        <v>0.70940000000000003</v>
      </c>
      <c r="U1312" s="39">
        <v>43655</v>
      </c>
      <c r="V1312" s="37">
        <v>1.5</v>
      </c>
    </row>
    <row r="1313" spans="6:22" ht="15" x14ac:dyDescent="0.25">
      <c r="F1313" s="39">
        <v>43672</v>
      </c>
      <c r="G1313" s="37">
        <v>1</v>
      </c>
      <c r="O1313"/>
      <c r="P1313"/>
      <c r="R1313" s="39">
        <v>43664</v>
      </c>
      <c r="S1313" s="37">
        <v>0.70960000000000001</v>
      </c>
      <c r="U1313" s="39">
        <v>43654</v>
      </c>
      <c r="V1313" s="37">
        <v>1.5</v>
      </c>
    </row>
    <row r="1314" spans="6:22" ht="15" x14ac:dyDescent="0.25">
      <c r="F1314" s="39">
        <v>43671</v>
      </c>
      <c r="G1314" s="37">
        <v>1</v>
      </c>
      <c r="O1314"/>
      <c r="P1314"/>
      <c r="R1314" s="39">
        <v>43663</v>
      </c>
      <c r="S1314" s="37">
        <v>0.70930000000000004</v>
      </c>
      <c r="U1314" s="39">
        <v>43651</v>
      </c>
      <c r="V1314" s="37">
        <v>1.5</v>
      </c>
    </row>
    <row r="1315" spans="6:22" ht="15" x14ac:dyDescent="0.25">
      <c r="F1315" s="39">
        <v>43670</v>
      </c>
      <c r="G1315" s="37">
        <v>1</v>
      </c>
      <c r="O1315"/>
      <c r="P1315"/>
      <c r="R1315" s="39">
        <v>43662</v>
      </c>
      <c r="S1315" s="37">
        <v>0.7087</v>
      </c>
      <c r="U1315" s="39">
        <v>43650</v>
      </c>
      <c r="V1315" s="37">
        <v>1.5</v>
      </c>
    </row>
    <row r="1316" spans="6:22" ht="15" x14ac:dyDescent="0.25">
      <c r="F1316" s="39">
        <v>43669</v>
      </c>
      <c r="G1316" s="37">
        <v>1</v>
      </c>
      <c r="O1316"/>
      <c r="P1316"/>
      <c r="R1316" s="39">
        <v>43661</v>
      </c>
      <c r="S1316" s="37">
        <v>0.70950000000000002</v>
      </c>
      <c r="U1316" s="39">
        <v>43649</v>
      </c>
      <c r="V1316" s="37">
        <v>1.5</v>
      </c>
    </row>
    <row r="1317" spans="6:22" ht="15" x14ac:dyDescent="0.25">
      <c r="F1317" s="39">
        <v>43668</v>
      </c>
      <c r="G1317" s="37">
        <v>1</v>
      </c>
      <c r="O1317"/>
      <c r="P1317"/>
      <c r="R1317" s="39">
        <v>43658</v>
      </c>
      <c r="S1317" s="37">
        <v>0.71</v>
      </c>
      <c r="U1317" s="39">
        <v>43648</v>
      </c>
      <c r="V1317" s="37">
        <v>1.5</v>
      </c>
    </row>
    <row r="1318" spans="6:22" ht="15" x14ac:dyDescent="0.25">
      <c r="F1318" s="39">
        <v>43665</v>
      </c>
      <c r="G1318" s="37">
        <v>1</v>
      </c>
      <c r="O1318"/>
      <c r="P1318"/>
      <c r="R1318" s="39">
        <v>43657</v>
      </c>
      <c r="S1318" s="37">
        <v>0.70899999999999996</v>
      </c>
      <c r="U1318" s="39">
        <v>43647</v>
      </c>
      <c r="V1318" s="37">
        <v>1.5</v>
      </c>
    </row>
    <row r="1319" spans="6:22" ht="15" x14ac:dyDescent="0.25">
      <c r="F1319" s="39">
        <v>43664</v>
      </c>
      <c r="G1319" s="37">
        <v>1</v>
      </c>
      <c r="O1319"/>
      <c r="P1319"/>
      <c r="R1319" s="39">
        <v>43656</v>
      </c>
      <c r="S1319" s="37">
        <v>0.70899999999999996</v>
      </c>
      <c r="U1319" s="39">
        <v>43644</v>
      </c>
      <c r="V1319" s="37">
        <v>1.5</v>
      </c>
    </row>
    <row r="1320" spans="6:22" ht="15" x14ac:dyDescent="0.25">
      <c r="F1320" s="39">
        <v>43663</v>
      </c>
      <c r="G1320" s="37">
        <v>1</v>
      </c>
      <c r="O1320"/>
      <c r="P1320"/>
      <c r="R1320" s="39">
        <v>43655</v>
      </c>
      <c r="S1320" s="37">
        <v>0.70889999999999997</v>
      </c>
      <c r="U1320" s="39">
        <v>43643</v>
      </c>
      <c r="V1320" s="37">
        <v>1.5</v>
      </c>
    </row>
    <row r="1321" spans="6:22" ht="15" x14ac:dyDescent="0.25">
      <c r="F1321" s="39">
        <v>43662</v>
      </c>
      <c r="G1321" s="37">
        <v>1</v>
      </c>
      <c r="O1321"/>
      <c r="P1321"/>
      <c r="R1321" s="39">
        <v>43654</v>
      </c>
      <c r="S1321" s="37">
        <v>0.70879999999999999</v>
      </c>
      <c r="U1321" s="39">
        <v>43642</v>
      </c>
      <c r="V1321" s="37">
        <v>1.5</v>
      </c>
    </row>
    <row r="1322" spans="6:22" ht="15" x14ac:dyDescent="0.25">
      <c r="F1322" s="39">
        <v>43661</v>
      </c>
      <c r="G1322" s="37">
        <v>1</v>
      </c>
      <c r="O1322"/>
      <c r="P1322"/>
      <c r="R1322" s="39">
        <v>43651</v>
      </c>
      <c r="S1322" s="37">
        <v>0.7077</v>
      </c>
      <c r="U1322" s="39">
        <v>43641</v>
      </c>
      <c r="V1322" s="37">
        <v>1.5</v>
      </c>
    </row>
    <row r="1323" spans="6:22" ht="15" x14ac:dyDescent="0.25">
      <c r="F1323" s="39">
        <v>43658</v>
      </c>
      <c r="G1323" s="37">
        <v>1</v>
      </c>
      <c r="O1323"/>
      <c r="P1323"/>
      <c r="R1323" s="39">
        <v>43650</v>
      </c>
      <c r="S1323" s="37">
        <v>0.70930000000000004</v>
      </c>
      <c r="U1323" s="39">
        <v>43640</v>
      </c>
      <c r="V1323" s="37">
        <v>1.5</v>
      </c>
    </row>
    <row r="1324" spans="6:22" ht="15" x14ac:dyDescent="0.25">
      <c r="F1324" s="39">
        <v>43657</v>
      </c>
      <c r="G1324" s="37">
        <v>1</v>
      </c>
      <c r="O1324"/>
      <c r="P1324"/>
      <c r="R1324" s="39">
        <v>43649</v>
      </c>
      <c r="S1324" s="37">
        <v>0.70889999999999997</v>
      </c>
      <c r="U1324" s="39">
        <v>43637</v>
      </c>
      <c r="V1324" s="37">
        <v>1.5</v>
      </c>
    </row>
    <row r="1325" spans="6:22" ht="15" x14ac:dyDescent="0.25">
      <c r="F1325" s="39">
        <v>43656</v>
      </c>
      <c r="G1325" s="37">
        <v>1</v>
      </c>
      <c r="O1325"/>
      <c r="P1325"/>
      <c r="R1325" s="39">
        <v>43648</v>
      </c>
      <c r="S1325" s="37">
        <v>0.70820000000000005</v>
      </c>
      <c r="U1325" s="39">
        <v>43636</v>
      </c>
      <c r="V1325" s="37">
        <v>1.5</v>
      </c>
    </row>
    <row r="1326" spans="6:22" ht="15" x14ac:dyDescent="0.25">
      <c r="F1326" s="39">
        <v>43655</v>
      </c>
      <c r="G1326" s="37">
        <v>1</v>
      </c>
      <c r="O1326"/>
      <c r="P1326"/>
      <c r="R1326" s="39">
        <v>43647</v>
      </c>
      <c r="S1326" s="37">
        <v>0.70930000000000004</v>
      </c>
      <c r="U1326" s="39">
        <v>43635</v>
      </c>
      <c r="V1326" s="37">
        <v>1.5</v>
      </c>
    </row>
    <row r="1327" spans="6:22" ht="15" x14ac:dyDescent="0.25">
      <c r="F1327" s="39">
        <v>43654</v>
      </c>
      <c r="G1327" s="37">
        <v>1</v>
      </c>
      <c r="O1327"/>
      <c r="P1327"/>
      <c r="R1327" s="39">
        <v>43644</v>
      </c>
      <c r="S1327" s="37">
        <v>0.70599999999999996</v>
      </c>
      <c r="U1327" s="39">
        <v>43634</v>
      </c>
      <c r="V1327" s="37">
        <v>1.5</v>
      </c>
    </row>
    <row r="1328" spans="6:22" ht="15" x14ac:dyDescent="0.25">
      <c r="F1328" s="39">
        <v>43651</v>
      </c>
      <c r="G1328" s="37">
        <v>1</v>
      </c>
      <c r="O1328"/>
      <c r="P1328"/>
      <c r="R1328" s="39">
        <v>43643</v>
      </c>
      <c r="S1328" s="37">
        <v>0.70860000000000001</v>
      </c>
      <c r="U1328" s="39">
        <v>43633</v>
      </c>
      <c r="V1328" s="37">
        <v>1.5</v>
      </c>
    </row>
    <row r="1329" spans="6:22" ht="15" x14ac:dyDescent="0.25">
      <c r="F1329" s="39">
        <v>43650</v>
      </c>
      <c r="G1329" s="37">
        <v>1</v>
      </c>
      <c r="O1329"/>
      <c r="P1329"/>
      <c r="R1329" s="39">
        <v>43642</v>
      </c>
      <c r="S1329" s="37">
        <v>0.70840000000000003</v>
      </c>
      <c r="U1329" s="39">
        <v>43630</v>
      </c>
      <c r="V1329" s="37">
        <v>1.5</v>
      </c>
    </row>
    <row r="1330" spans="6:22" ht="15" x14ac:dyDescent="0.25">
      <c r="F1330" s="39">
        <v>43649</v>
      </c>
      <c r="G1330" s="37">
        <v>1</v>
      </c>
      <c r="O1330"/>
      <c r="P1330"/>
      <c r="R1330" s="39">
        <v>43641</v>
      </c>
      <c r="S1330" s="37">
        <v>0.71</v>
      </c>
      <c r="U1330" s="39">
        <v>43629</v>
      </c>
      <c r="V1330" s="37">
        <v>1.5</v>
      </c>
    </row>
    <row r="1331" spans="6:22" ht="15" x14ac:dyDescent="0.25">
      <c r="F1331" s="39">
        <v>43648</v>
      </c>
      <c r="G1331" s="37">
        <v>1.25</v>
      </c>
      <c r="O1331"/>
      <c r="P1331"/>
      <c r="R1331" s="39">
        <v>43640</v>
      </c>
      <c r="S1331" s="37">
        <v>0.70850000000000002</v>
      </c>
      <c r="U1331" s="39">
        <v>43628</v>
      </c>
      <c r="V1331" s="37">
        <v>1.5</v>
      </c>
    </row>
    <row r="1332" spans="6:22" ht="15" x14ac:dyDescent="0.25">
      <c r="F1332" s="39">
        <v>43647</v>
      </c>
      <c r="G1332" s="37">
        <v>1.25</v>
      </c>
      <c r="O1332"/>
      <c r="P1332"/>
      <c r="R1332" s="39">
        <v>43637</v>
      </c>
      <c r="S1332" s="37">
        <v>0.70940000000000003</v>
      </c>
      <c r="U1332" s="39">
        <v>43627</v>
      </c>
      <c r="V1332" s="37">
        <v>1.5</v>
      </c>
    </row>
    <row r="1333" spans="6:22" ht="15" x14ac:dyDescent="0.25">
      <c r="F1333" s="39">
        <v>43644</v>
      </c>
      <c r="G1333" s="37">
        <v>1.25</v>
      </c>
      <c r="O1333"/>
      <c r="P1333"/>
      <c r="R1333" s="39">
        <v>43636</v>
      </c>
      <c r="S1333" s="37">
        <v>0.70920000000000005</v>
      </c>
      <c r="U1333" s="39">
        <v>43626</v>
      </c>
      <c r="V1333" s="37">
        <v>1.5</v>
      </c>
    </row>
    <row r="1334" spans="6:22" ht="15" x14ac:dyDescent="0.25">
      <c r="F1334" s="39">
        <v>43643</v>
      </c>
      <c r="G1334" s="37">
        <v>1.25</v>
      </c>
      <c r="O1334"/>
      <c r="P1334"/>
      <c r="R1334" s="39">
        <v>43635</v>
      </c>
      <c r="S1334" s="37">
        <v>0.70889999999999997</v>
      </c>
      <c r="U1334" s="39">
        <v>43623</v>
      </c>
      <c r="V1334" s="37">
        <v>1.5</v>
      </c>
    </row>
    <row r="1335" spans="6:22" ht="15" x14ac:dyDescent="0.25">
      <c r="F1335" s="39">
        <v>43642</v>
      </c>
      <c r="G1335" s="37">
        <v>1.25</v>
      </c>
      <c r="O1335"/>
      <c r="P1335"/>
      <c r="R1335" s="39">
        <v>43634</v>
      </c>
      <c r="S1335" s="37">
        <v>0.70820000000000005</v>
      </c>
      <c r="U1335" s="39">
        <v>43622</v>
      </c>
      <c r="V1335" s="37">
        <v>1.5</v>
      </c>
    </row>
    <row r="1336" spans="6:22" ht="15" x14ac:dyDescent="0.25">
      <c r="F1336" s="39">
        <v>43641</v>
      </c>
      <c r="G1336" s="37">
        <v>1.25</v>
      </c>
      <c r="O1336"/>
      <c r="P1336"/>
      <c r="R1336" s="39">
        <v>43633</v>
      </c>
      <c r="S1336" s="37">
        <v>0.70799999999999996</v>
      </c>
      <c r="U1336" s="39">
        <v>43621</v>
      </c>
      <c r="V1336" s="37">
        <v>1.5</v>
      </c>
    </row>
    <row r="1337" spans="6:22" ht="15" x14ac:dyDescent="0.25">
      <c r="F1337" s="39">
        <v>43640</v>
      </c>
      <c r="G1337" s="37">
        <v>1.25</v>
      </c>
      <c r="O1337"/>
      <c r="P1337"/>
      <c r="R1337" s="39">
        <v>43630</v>
      </c>
      <c r="S1337" s="37">
        <v>0.70779999999999998</v>
      </c>
      <c r="U1337" s="39">
        <v>43620</v>
      </c>
      <c r="V1337" s="37">
        <v>1.5</v>
      </c>
    </row>
    <row r="1338" spans="6:22" ht="15" x14ac:dyDescent="0.25">
      <c r="F1338" s="39">
        <v>43637</v>
      </c>
      <c r="G1338" s="37">
        <v>1.25</v>
      </c>
      <c r="O1338"/>
      <c r="P1338"/>
      <c r="R1338" s="39">
        <v>43629</v>
      </c>
      <c r="S1338" s="37">
        <v>0.70830000000000004</v>
      </c>
      <c r="U1338" s="39">
        <v>43616</v>
      </c>
      <c r="V1338" s="37">
        <v>1.5</v>
      </c>
    </row>
    <row r="1339" spans="6:22" ht="15" x14ac:dyDescent="0.25">
      <c r="F1339" s="39">
        <v>43636</v>
      </c>
      <c r="G1339" s="37">
        <v>1.25</v>
      </c>
      <c r="O1339"/>
      <c r="P1339"/>
      <c r="R1339" s="39">
        <v>43628</v>
      </c>
      <c r="S1339" s="37">
        <v>0.70860000000000001</v>
      </c>
      <c r="U1339" s="39">
        <v>43615</v>
      </c>
      <c r="V1339" s="37">
        <v>1.5</v>
      </c>
    </row>
    <row r="1340" spans="6:22" ht="15" x14ac:dyDescent="0.25">
      <c r="F1340" s="39">
        <v>43635</v>
      </c>
      <c r="G1340" s="37">
        <v>1.25</v>
      </c>
      <c r="O1340"/>
      <c r="P1340"/>
      <c r="R1340" s="39">
        <v>43627</v>
      </c>
      <c r="S1340" s="37">
        <v>0.70820000000000005</v>
      </c>
      <c r="U1340" s="39">
        <v>43614</v>
      </c>
      <c r="V1340" s="37">
        <v>1.5</v>
      </c>
    </row>
    <row r="1341" spans="6:22" ht="15" x14ac:dyDescent="0.25">
      <c r="F1341" s="39">
        <v>43634</v>
      </c>
      <c r="G1341" s="37">
        <v>1.25</v>
      </c>
      <c r="O1341"/>
      <c r="P1341"/>
      <c r="R1341" s="39">
        <v>43626</v>
      </c>
      <c r="S1341" s="37">
        <v>0.70820000000000005</v>
      </c>
      <c r="U1341" s="39">
        <v>43613</v>
      </c>
      <c r="V1341" s="37">
        <v>1.5</v>
      </c>
    </row>
    <row r="1342" spans="6:22" ht="15" x14ac:dyDescent="0.25">
      <c r="F1342" s="39">
        <v>43633</v>
      </c>
      <c r="G1342" s="37">
        <v>1.25</v>
      </c>
      <c r="O1342"/>
      <c r="P1342"/>
      <c r="R1342" s="39">
        <v>43623</v>
      </c>
      <c r="S1342" s="37">
        <v>0.70899999999999996</v>
      </c>
      <c r="U1342" s="39">
        <v>43612</v>
      </c>
      <c r="V1342" s="37">
        <v>1.5</v>
      </c>
    </row>
    <row r="1343" spans="6:22" ht="15" x14ac:dyDescent="0.25">
      <c r="F1343" s="39">
        <v>43630</v>
      </c>
      <c r="G1343" s="37">
        <v>1.25</v>
      </c>
      <c r="O1343"/>
      <c r="P1343"/>
      <c r="R1343" s="39">
        <v>43622</v>
      </c>
      <c r="S1343" s="37">
        <v>0.70920000000000005</v>
      </c>
      <c r="U1343" s="39">
        <v>43609</v>
      </c>
      <c r="V1343" s="37">
        <v>1.5</v>
      </c>
    </row>
    <row r="1344" spans="6:22" ht="15" x14ac:dyDescent="0.25">
      <c r="F1344" s="39">
        <v>43629</v>
      </c>
      <c r="G1344" s="37">
        <v>1.25</v>
      </c>
      <c r="O1344"/>
      <c r="P1344"/>
      <c r="R1344" s="39">
        <v>43621</v>
      </c>
      <c r="S1344" s="37">
        <v>0.70940000000000003</v>
      </c>
      <c r="U1344" s="39">
        <v>43608</v>
      </c>
      <c r="V1344" s="37">
        <v>1.5</v>
      </c>
    </row>
    <row r="1345" spans="6:22" ht="15" x14ac:dyDescent="0.25">
      <c r="F1345" s="39">
        <v>43628</v>
      </c>
      <c r="G1345" s="37">
        <v>1.25</v>
      </c>
      <c r="O1345"/>
      <c r="P1345"/>
      <c r="R1345" s="39">
        <v>43620</v>
      </c>
      <c r="S1345" s="37">
        <v>0.70840000000000003</v>
      </c>
      <c r="U1345" s="39">
        <v>43607</v>
      </c>
      <c r="V1345" s="37">
        <v>1.5</v>
      </c>
    </row>
    <row r="1346" spans="6:22" ht="15" x14ac:dyDescent="0.25">
      <c r="F1346" s="39">
        <v>43627</v>
      </c>
      <c r="G1346" s="37">
        <v>1.25</v>
      </c>
      <c r="O1346"/>
      <c r="P1346"/>
      <c r="R1346" s="39">
        <v>43619</v>
      </c>
      <c r="S1346" s="37">
        <v>0.70840000000000003</v>
      </c>
      <c r="U1346" s="39">
        <v>43606</v>
      </c>
      <c r="V1346" s="37">
        <v>1.5</v>
      </c>
    </row>
    <row r="1347" spans="6:22" ht="15" x14ac:dyDescent="0.25">
      <c r="F1347" s="39">
        <v>43623</v>
      </c>
      <c r="G1347" s="37">
        <v>1.25</v>
      </c>
      <c r="O1347"/>
      <c r="P1347"/>
      <c r="R1347" s="39">
        <v>43616</v>
      </c>
      <c r="S1347" s="37">
        <v>0.70779999999999998</v>
      </c>
      <c r="U1347" s="39">
        <v>43605</v>
      </c>
      <c r="V1347" s="37">
        <v>1.5</v>
      </c>
    </row>
    <row r="1348" spans="6:22" ht="15" x14ac:dyDescent="0.25">
      <c r="F1348" s="39">
        <v>43622</v>
      </c>
      <c r="G1348" s="37">
        <v>1.25</v>
      </c>
      <c r="O1348"/>
      <c r="P1348"/>
      <c r="R1348" s="39">
        <v>43615</v>
      </c>
      <c r="S1348" s="37">
        <v>0.70850000000000002</v>
      </c>
      <c r="U1348" s="39">
        <v>43602</v>
      </c>
      <c r="V1348" s="37">
        <v>1.5</v>
      </c>
    </row>
    <row r="1349" spans="6:22" ht="15" x14ac:dyDescent="0.25">
      <c r="F1349" s="39">
        <v>43621</v>
      </c>
      <c r="G1349" s="37">
        <v>1.25</v>
      </c>
      <c r="O1349"/>
      <c r="P1349"/>
      <c r="R1349" s="39">
        <v>43614</v>
      </c>
      <c r="S1349" s="37">
        <v>0.70730000000000004</v>
      </c>
      <c r="U1349" s="39">
        <v>43601</v>
      </c>
      <c r="V1349" s="37">
        <v>1.5</v>
      </c>
    </row>
    <row r="1350" spans="6:22" ht="15" x14ac:dyDescent="0.25">
      <c r="F1350" s="39">
        <v>43620</v>
      </c>
      <c r="G1350" s="37">
        <v>1.5</v>
      </c>
      <c r="O1350"/>
      <c r="P1350"/>
      <c r="R1350" s="39">
        <v>43613</v>
      </c>
      <c r="S1350" s="37">
        <v>0.70820000000000005</v>
      </c>
      <c r="U1350" s="39">
        <v>43600</v>
      </c>
      <c r="V1350" s="37">
        <v>1.5</v>
      </c>
    </row>
    <row r="1351" spans="6:22" ht="15" x14ac:dyDescent="0.25">
      <c r="F1351" s="39">
        <v>43619</v>
      </c>
      <c r="G1351" s="37">
        <v>1.5</v>
      </c>
      <c r="O1351"/>
      <c r="P1351"/>
      <c r="R1351" s="39">
        <v>43609</v>
      </c>
      <c r="S1351" s="37">
        <v>0.70860000000000001</v>
      </c>
      <c r="U1351" s="39">
        <v>43599</v>
      </c>
      <c r="V1351" s="37">
        <v>1.5</v>
      </c>
    </row>
    <row r="1352" spans="6:22" ht="15" x14ac:dyDescent="0.25">
      <c r="F1352" s="39">
        <v>43616</v>
      </c>
      <c r="G1352" s="37">
        <v>1.5</v>
      </c>
      <c r="O1352"/>
      <c r="P1352"/>
      <c r="R1352" s="39">
        <v>43608</v>
      </c>
      <c r="S1352" s="37">
        <v>0.71</v>
      </c>
      <c r="U1352" s="39">
        <v>43598</v>
      </c>
      <c r="V1352" s="37">
        <v>1.5</v>
      </c>
    </row>
    <row r="1353" spans="6:22" ht="15" x14ac:dyDescent="0.25">
      <c r="F1353" s="39">
        <v>43615</v>
      </c>
      <c r="G1353" s="37">
        <v>1.5</v>
      </c>
      <c r="O1353"/>
      <c r="P1353"/>
      <c r="R1353" s="39">
        <v>43607</v>
      </c>
      <c r="S1353" s="37">
        <v>0.71060000000000001</v>
      </c>
      <c r="U1353" s="39">
        <v>43595</v>
      </c>
      <c r="V1353" s="37">
        <v>1.5</v>
      </c>
    </row>
    <row r="1354" spans="6:22" ht="15" x14ac:dyDescent="0.25">
      <c r="F1354" s="39">
        <v>43614</v>
      </c>
      <c r="G1354" s="37">
        <v>1.5</v>
      </c>
      <c r="O1354"/>
      <c r="P1354"/>
      <c r="R1354" s="39">
        <v>43606</v>
      </c>
      <c r="S1354" s="37">
        <v>0.70930000000000004</v>
      </c>
      <c r="U1354" s="39">
        <v>43594</v>
      </c>
      <c r="V1354" s="37">
        <v>1.5</v>
      </c>
    </row>
    <row r="1355" spans="6:22" ht="15" x14ac:dyDescent="0.25">
      <c r="F1355" s="39">
        <v>43613</v>
      </c>
      <c r="G1355" s="37">
        <v>1.5</v>
      </c>
      <c r="O1355"/>
      <c r="P1355"/>
      <c r="R1355" s="39">
        <v>43605</v>
      </c>
      <c r="S1355" s="37">
        <v>0.70960000000000001</v>
      </c>
      <c r="U1355" s="39">
        <v>43593</v>
      </c>
      <c r="V1355" s="37">
        <v>1.75</v>
      </c>
    </row>
    <row r="1356" spans="6:22" ht="15" x14ac:dyDescent="0.25">
      <c r="F1356" s="39">
        <v>43612</v>
      </c>
      <c r="G1356" s="37">
        <v>1.5</v>
      </c>
      <c r="O1356"/>
      <c r="P1356"/>
      <c r="R1356" s="39">
        <v>43602</v>
      </c>
      <c r="S1356" s="37">
        <v>0.70940000000000003</v>
      </c>
      <c r="U1356" s="39">
        <v>43592</v>
      </c>
      <c r="V1356" s="37">
        <v>1.75</v>
      </c>
    </row>
    <row r="1357" spans="6:22" ht="15" x14ac:dyDescent="0.25">
      <c r="F1357" s="39">
        <v>43609</v>
      </c>
      <c r="G1357" s="37">
        <v>1.5</v>
      </c>
      <c r="O1357"/>
      <c r="P1357"/>
      <c r="R1357" s="39">
        <v>43601</v>
      </c>
      <c r="S1357" s="37">
        <v>0.71</v>
      </c>
      <c r="U1357" s="39">
        <v>43591</v>
      </c>
      <c r="V1357" s="37">
        <v>1.75</v>
      </c>
    </row>
    <row r="1358" spans="6:22" ht="15" x14ac:dyDescent="0.25">
      <c r="F1358" s="39">
        <v>43608</v>
      </c>
      <c r="G1358" s="37">
        <v>1.5</v>
      </c>
      <c r="O1358"/>
      <c r="P1358"/>
      <c r="R1358" s="39">
        <v>43600</v>
      </c>
      <c r="S1358" s="37">
        <v>0.70960000000000001</v>
      </c>
      <c r="U1358" s="39">
        <v>43588</v>
      </c>
      <c r="V1358" s="37">
        <v>1.75</v>
      </c>
    </row>
    <row r="1359" spans="6:22" ht="15" x14ac:dyDescent="0.25">
      <c r="F1359" s="39">
        <v>43607</v>
      </c>
      <c r="G1359" s="37">
        <v>1.5</v>
      </c>
      <c r="O1359"/>
      <c r="P1359"/>
      <c r="R1359" s="39">
        <v>43599</v>
      </c>
      <c r="S1359" s="37">
        <v>0.70950000000000002</v>
      </c>
      <c r="U1359" s="39">
        <v>43587</v>
      </c>
      <c r="V1359" s="37">
        <v>1.75</v>
      </c>
    </row>
    <row r="1360" spans="6:22" ht="15" x14ac:dyDescent="0.25">
      <c r="F1360" s="39">
        <v>43606</v>
      </c>
      <c r="G1360" s="37">
        <v>1.5</v>
      </c>
      <c r="O1360"/>
      <c r="P1360"/>
      <c r="R1360" s="39">
        <v>43598</v>
      </c>
      <c r="S1360" s="37">
        <v>0.70960000000000001</v>
      </c>
      <c r="U1360" s="39">
        <v>43586</v>
      </c>
      <c r="V1360" s="37">
        <v>1.75</v>
      </c>
    </row>
    <row r="1361" spans="6:22" ht="15" x14ac:dyDescent="0.25">
      <c r="F1361" s="39">
        <v>43605</v>
      </c>
      <c r="G1361" s="37">
        <v>1.5</v>
      </c>
      <c r="O1361"/>
      <c r="P1361"/>
      <c r="R1361" s="39">
        <v>43595</v>
      </c>
      <c r="S1361" s="37">
        <v>0.70979999999999999</v>
      </c>
      <c r="U1361" s="39">
        <v>43585</v>
      </c>
      <c r="V1361" s="37">
        <v>1.75</v>
      </c>
    </row>
    <row r="1362" spans="6:22" ht="15" x14ac:dyDescent="0.25">
      <c r="F1362" s="39">
        <v>43602</v>
      </c>
      <c r="G1362" s="37">
        <v>1.5</v>
      </c>
      <c r="O1362"/>
      <c r="P1362"/>
      <c r="R1362" s="39">
        <v>43594</v>
      </c>
      <c r="S1362" s="37">
        <v>0.71030000000000004</v>
      </c>
      <c r="U1362" s="39">
        <v>43584</v>
      </c>
      <c r="V1362" s="37">
        <v>1.75</v>
      </c>
    </row>
    <row r="1363" spans="6:22" ht="15" x14ac:dyDescent="0.25">
      <c r="F1363" s="39">
        <v>43601</v>
      </c>
      <c r="G1363" s="37">
        <v>1.5</v>
      </c>
      <c r="O1363"/>
      <c r="P1363"/>
      <c r="R1363" s="39">
        <v>43593</v>
      </c>
      <c r="S1363" s="37">
        <v>0.70920000000000005</v>
      </c>
      <c r="U1363" s="39">
        <v>43581</v>
      </c>
      <c r="V1363" s="37">
        <v>1.75</v>
      </c>
    </row>
    <row r="1364" spans="6:22" ht="15" x14ac:dyDescent="0.25">
      <c r="F1364" s="39">
        <v>43600</v>
      </c>
      <c r="G1364" s="37">
        <v>1.5</v>
      </c>
      <c r="O1364"/>
      <c r="P1364"/>
      <c r="R1364" s="39">
        <v>43592</v>
      </c>
      <c r="S1364" s="37">
        <v>0.70940000000000003</v>
      </c>
      <c r="U1364" s="39">
        <v>43579</v>
      </c>
      <c r="V1364" s="37">
        <v>1.75</v>
      </c>
    </row>
    <row r="1365" spans="6:22" ht="15" x14ac:dyDescent="0.25">
      <c r="F1365" s="39">
        <v>43599</v>
      </c>
      <c r="G1365" s="37">
        <v>1.5</v>
      </c>
      <c r="O1365"/>
      <c r="P1365"/>
      <c r="R1365" s="39">
        <v>43588</v>
      </c>
      <c r="S1365" s="37">
        <v>0.70979999999999999</v>
      </c>
      <c r="U1365" s="39">
        <v>43578</v>
      </c>
      <c r="V1365" s="37">
        <v>1.75</v>
      </c>
    </row>
    <row r="1366" spans="6:22" ht="15" x14ac:dyDescent="0.25">
      <c r="F1366" s="39">
        <v>43598</v>
      </c>
      <c r="G1366" s="37">
        <v>1.5</v>
      </c>
      <c r="O1366"/>
      <c r="P1366"/>
      <c r="R1366" s="39">
        <v>43587</v>
      </c>
      <c r="S1366" s="37">
        <v>0.7107</v>
      </c>
      <c r="U1366" s="39">
        <v>43573</v>
      </c>
      <c r="V1366" s="37">
        <v>1.75</v>
      </c>
    </row>
    <row r="1367" spans="6:22" ht="15" x14ac:dyDescent="0.25">
      <c r="F1367" s="39">
        <v>43595</v>
      </c>
      <c r="G1367" s="37">
        <v>1.5</v>
      </c>
      <c r="O1367"/>
      <c r="P1367"/>
      <c r="R1367" s="39">
        <v>43586</v>
      </c>
      <c r="S1367" s="37">
        <v>0.71030000000000004</v>
      </c>
      <c r="U1367" s="39">
        <v>43572</v>
      </c>
      <c r="V1367" s="37">
        <v>1.75</v>
      </c>
    </row>
    <row r="1368" spans="6:22" ht="15" x14ac:dyDescent="0.25">
      <c r="F1368" s="39">
        <v>43594</v>
      </c>
      <c r="G1368" s="37">
        <v>1.5</v>
      </c>
      <c r="O1368"/>
      <c r="P1368"/>
      <c r="R1368" s="39">
        <v>43585</v>
      </c>
      <c r="S1368" s="37">
        <v>0.71089999999999998</v>
      </c>
      <c r="U1368" s="39">
        <v>43571</v>
      </c>
      <c r="V1368" s="37">
        <v>1.75</v>
      </c>
    </row>
    <row r="1369" spans="6:22" ht="15" x14ac:dyDescent="0.25">
      <c r="F1369" s="39">
        <v>43593</v>
      </c>
      <c r="G1369" s="37">
        <v>1.5</v>
      </c>
      <c r="O1369"/>
      <c r="P1369"/>
      <c r="R1369" s="39">
        <v>43584</v>
      </c>
      <c r="S1369" s="37">
        <v>0.7097</v>
      </c>
      <c r="U1369" s="39">
        <v>43570</v>
      </c>
      <c r="V1369" s="37">
        <v>1.75</v>
      </c>
    </row>
    <row r="1370" spans="6:22" ht="15" x14ac:dyDescent="0.25">
      <c r="F1370" s="39">
        <v>43592</v>
      </c>
      <c r="G1370" s="37">
        <v>1.5</v>
      </c>
      <c r="O1370"/>
      <c r="P1370"/>
      <c r="R1370" s="39">
        <v>43581</v>
      </c>
      <c r="S1370" s="37">
        <v>0.7107</v>
      </c>
      <c r="U1370" s="39">
        <v>43567</v>
      </c>
      <c r="V1370" s="37">
        <v>1.75</v>
      </c>
    </row>
    <row r="1371" spans="6:22" ht="15" x14ac:dyDescent="0.25">
      <c r="F1371" s="39">
        <v>43591</v>
      </c>
      <c r="G1371" s="37">
        <v>1.5</v>
      </c>
      <c r="O1371"/>
      <c r="P1371"/>
      <c r="R1371" s="39">
        <v>43580</v>
      </c>
      <c r="S1371" s="37">
        <v>0.70960000000000001</v>
      </c>
      <c r="U1371" s="39">
        <v>43566</v>
      </c>
      <c r="V1371" s="37">
        <v>1.75</v>
      </c>
    </row>
    <row r="1372" spans="6:22" ht="15" x14ac:dyDescent="0.25">
      <c r="F1372" s="39">
        <v>43588</v>
      </c>
      <c r="G1372" s="37">
        <v>1.5</v>
      </c>
      <c r="O1372"/>
      <c r="P1372"/>
      <c r="R1372" s="39">
        <v>43579</v>
      </c>
      <c r="S1372" s="37">
        <v>0.7087</v>
      </c>
      <c r="U1372" s="39">
        <v>43565</v>
      </c>
      <c r="V1372" s="37">
        <v>1.75</v>
      </c>
    </row>
    <row r="1373" spans="6:22" ht="15" x14ac:dyDescent="0.25">
      <c r="F1373" s="39">
        <v>43587</v>
      </c>
      <c r="G1373" s="37">
        <v>1.5</v>
      </c>
      <c r="O1373"/>
      <c r="P1373"/>
      <c r="R1373" s="39">
        <v>43578</v>
      </c>
      <c r="S1373" s="37">
        <v>0.70920000000000005</v>
      </c>
      <c r="U1373" s="39">
        <v>43564</v>
      </c>
      <c r="V1373" s="37">
        <v>1.75</v>
      </c>
    </row>
    <row r="1374" spans="6:22" ht="15" x14ac:dyDescent="0.25">
      <c r="F1374" s="39">
        <v>43586</v>
      </c>
      <c r="G1374" s="37">
        <v>1.5</v>
      </c>
      <c r="O1374"/>
      <c r="P1374"/>
      <c r="R1374" s="39">
        <v>43573</v>
      </c>
      <c r="S1374" s="37">
        <v>0.7087</v>
      </c>
      <c r="U1374" s="39">
        <v>43563</v>
      </c>
      <c r="V1374" s="37">
        <v>1.75</v>
      </c>
    </row>
    <row r="1375" spans="6:22" ht="15" x14ac:dyDescent="0.25">
      <c r="F1375" s="39">
        <v>43585</v>
      </c>
      <c r="G1375" s="37">
        <v>1.5</v>
      </c>
      <c r="O1375"/>
      <c r="P1375"/>
      <c r="R1375" s="39">
        <v>43572</v>
      </c>
      <c r="S1375" s="37">
        <v>0.70840000000000003</v>
      </c>
      <c r="U1375" s="39">
        <v>43560</v>
      </c>
      <c r="V1375" s="37">
        <v>1.75</v>
      </c>
    </row>
    <row r="1376" spans="6:22" ht="15" x14ac:dyDescent="0.25">
      <c r="F1376" s="39">
        <v>43584</v>
      </c>
      <c r="G1376" s="37">
        <v>1.5</v>
      </c>
      <c r="O1376"/>
      <c r="P1376"/>
      <c r="R1376" s="39">
        <v>43571</v>
      </c>
      <c r="S1376" s="37">
        <v>0.70809999999999995</v>
      </c>
      <c r="U1376" s="39">
        <v>43559</v>
      </c>
      <c r="V1376" s="37">
        <v>1.75</v>
      </c>
    </row>
    <row r="1377" spans="6:22" ht="15" x14ac:dyDescent="0.25">
      <c r="F1377" s="39">
        <v>43581</v>
      </c>
      <c r="G1377" s="37">
        <v>1.5</v>
      </c>
      <c r="O1377"/>
      <c r="P1377"/>
      <c r="R1377" s="39">
        <v>43570</v>
      </c>
      <c r="S1377" s="37">
        <v>0.70820000000000005</v>
      </c>
      <c r="U1377" s="39">
        <v>43558</v>
      </c>
      <c r="V1377" s="37">
        <v>1.75</v>
      </c>
    </row>
    <row r="1378" spans="6:22" ht="15" x14ac:dyDescent="0.25">
      <c r="F1378" s="39">
        <v>43579</v>
      </c>
      <c r="G1378" s="37">
        <v>1.5</v>
      </c>
      <c r="O1378"/>
      <c r="P1378"/>
      <c r="R1378" s="39">
        <v>43567</v>
      </c>
      <c r="S1378" s="37">
        <v>0.70740000000000003</v>
      </c>
      <c r="U1378" s="39">
        <v>43557</v>
      </c>
      <c r="V1378" s="37">
        <v>1.75</v>
      </c>
    </row>
    <row r="1379" spans="6:22" ht="15" x14ac:dyDescent="0.25">
      <c r="F1379" s="39">
        <v>43578</v>
      </c>
      <c r="G1379" s="37">
        <v>1.5</v>
      </c>
      <c r="O1379"/>
      <c r="P1379"/>
      <c r="R1379" s="39">
        <v>43566</v>
      </c>
      <c r="S1379" s="37">
        <v>0.70750000000000002</v>
      </c>
      <c r="U1379" s="39">
        <v>43556</v>
      </c>
      <c r="V1379" s="37">
        <v>1.75</v>
      </c>
    </row>
    <row r="1380" spans="6:22" ht="15" x14ac:dyDescent="0.25">
      <c r="F1380" s="39">
        <v>43573</v>
      </c>
      <c r="G1380" s="37">
        <v>1.5</v>
      </c>
      <c r="O1380"/>
      <c r="P1380"/>
      <c r="R1380" s="39">
        <v>43565</v>
      </c>
      <c r="S1380" s="37">
        <v>0.70809999999999995</v>
      </c>
      <c r="U1380" s="39">
        <v>43553</v>
      </c>
      <c r="V1380" s="37">
        <v>1.75</v>
      </c>
    </row>
    <row r="1381" spans="6:22" ht="15" x14ac:dyDescent="0.25">
      <c r="F1381" s="39">
        <v>43572</v>
      </c>
      <c r="G1381" s="37">
        <v>1.5</v>
      </c>
      <c r="O1381"/>
      <c r="P1381"/>
      <c r="R1381" s="39">
        <v>43564</v>
      </c>
      <c r="S1381" s="37">
        <v>0.70720000000000005</v>
      </c>
      <c r="U1381" s="39">
        <v>43552</v>
      </c>
      <c r="V1381" s="37">
        <v>1.75</v>
      </c>
    </row>
    <row r="1382" spans="6:22" ht="15" x14ac:dyDescent="0.25">
      <c r="F1382" s="39">
        <v>43571</v>
      </c>
      <c r="G1382" s="37">
        <v>1.5</v>
      </c>
      <c r="O1382"/>
      <c r="P1382"/>
      <c r="R1382" s="39">
        <v>43563</v>
      </c>
      <c r="S1382" s="37">
        <v>0.70789999999999997</v>
      </c>
      <c r="U1382" s="39">
        <v>43551</v>
      </c>
      <c r="V1382" s="37">
        <v>1.75</v>
      </c>
    </row>
    <row r="1383" spans="6:22" ht="15" x14ac:dyDescent="0.25">
      <c r="F1383" s="39">
        <v>43570</v>
      </c>
      <c r="G1383" s="37">
        <v>1.5</v>
      </c>
      <c r="O1383"/>
      <c r="P1383"/>
      <c r="R1383" s="39">
        <v>43560</v>
      </c>
      <c r="S1383" s="37">
        <v>0.70760000000000001</v>
      </c>
      <c r="U1383" s="39">
        <v>43550</v>
      </c>
      <c r="V1383" s="37">
        <v>1.75</v>
      </c>
    </row>
    <row r="1384" spans="6:22" ht="15" x14ac:dyDescent="0.25">
      <c r="F1384" s="39">
        <v>43567</v>
      </c>
      <c r="G1384" s="37">
        <v>1.5</v>
      </c>
      <c r="O1384"/>
      <c r="P1384"/>
      <c r="R1384" s="39">
        <v>43559</v>
      </c>
      <c r="S1384" s="37">
        <v>0.70679999999999998</v>
      </c>
      <c r="U1384" s="39">
        <v>43549</v>
      </c>
      <c r="V1384" s="37">
        <v>1.75</v>
      </c>
    </row>
    <row r="1385" spans="6:22" ht="15" x14ac:dyDescent="0.25">
      <c r="F1385" s="39">
        <v>43566</v>
      </c>
      <c r="G1385" s="37">
        <v>1.5</v>
      </c>
      <c r="O1385"/>
      <c r="P1385"/>
      <c r="R1385" s="39">
        <v>43558</v>
      </c>
      <c r="S1385" s="37">
        <v>0.70640000000000003</v>
      </c>
      <c r="U1385" s="39">
        <v>43546</v>
      </c>
      <c r="V1385" s="37">
        <v>1.75</v>
      </c>
    </row>
    <row r="1386" spans="6:22" ht="15" x14ac:dyDescent="0.25">
      <c r="F1386" s="39">
        <v>43565</v>
      </c>
      <c r="G1386" s="37">
        <v>1.5</v>
      </c>
      <c r="O1386"/>
      <c r="P1386"/>
      <c r="R1386" s="39">
        <v>43557</v>
      </c>
      <c r="S1386" s="37">
        <v>0.70550000000000002</v>
      </c>
      <c r="U1386" s="39">
        <v>43545</v>
      </c>
      <c r="V1386" s="37">
        <v>1.75</v>
      </c>
    </row>
    <row r="1387" spans="6:22" ht="15" x14ac:dyDescent="0.25">
      <c r="F1387" s="39">
        <v>43564</v>
      </c>
      <c r="G1387" s="37">
        <v>1.5</v>
      </c>
      <c r="O1387"/>
      <c r="P1387"/>
      <c r="R1387" s="39">
        <v>43556</v>
      </c>
      <c r="S1387" s="37">
        <v>0.70550000000000002</v>
      </c>
      <c r="U1387" s="39">
        <v>43544</v>
      </c>
      <c r="V1387" s="37">
        <v>1.75</v>
      </c>
    </row>
    <row r="1388" spans="6:22" ht="15" x14ac:dyDescent="0.25">
      <c r="F1388" s="39">
        <v>43563</v>
      </c>
      <c r="G1388" s="37">
        <v>1.5</v>
      </c>
      <c r="O1388"/>
      <c r="P1388"/>
      <c r="R1388" s="39">
        <v>43553</v>
      </c>
      <c r="S1388" s="37">
        <v>0.7036</v>
      </c>
      <c r="U1388" s="39">
        <v>43543</v>
      </c>
      <c r="V1388" s="37">
        <v>1.75</v>
      </c>
    </row>
    <row r="1389" spans="6:22" ht="15" x14ac:dyDescent="0.25">
      <c r="F1389" s="39">
        <v>43560</v>
      </c>
      <c r="G1389" s="37">
        <v>1.5</v>
      </c>
      <c r="O1389"/>
      <c r="P1389"/>
      <c r="R1389" s="39">
        <v>43552</v>
      </c>
      <c r="S1389" s="37">
        <v>0.70509999999999995</v>
      </c>
      <c r="U1389" s="39">
        <v>43542</v>
      </c>
      <c r="V1389" s="37">
        <v>1.75</v>
      </c>
    </row>
    <row r="1390" spans="6:22" ht="15" x14ac:dyDescent="0.25">
      <c r="F1390" s="39">
        <v>43559</v>
      </c>
      <c r="G1390" s="37">
        <v>1.5</v>
      </c>
      <c r="O1390"/>
      <c r="P1390"/>
      <c r="R1390" s="39">
        <v>43551</v>
      </c>
      <c r="S1390" s="37">
        <v>0.70469999999999999</v>
      </c>
      <c r="U1390" s="39">
        <v>43539</v>
      </c>
      <c r="V1390" s="37">
        <v>1.75</v>
      </c>
    </row>
    <row r="1391" spans="6:22" ht="15" x14ac:dyDescent="0.25">
      <c r="F1391" s="39">
        <v>43558</v>
      </c>
      <c r="G1391" s="37">
        <v>1.5</v>
      </c>
      <c r="O1391"/>
      <c r="P1391"/>
      <c r="R1391" s="39">
        <v>43550</v>
      </c>
      <c r="S1391" s="37">
        <v>0.70589999999999997</v>
      </c>
      <c r="U1391" s="39">
        <v>43538</v>
      </c>
      <c r="V1391" s="37">
        <v>1.75</v>
      </c>
    </row>
    <row r="1392" spans="6:22" ht="15" x14ac:dyDescent="0.25">
      <c r="F1392" s="39">
        <v>43557</v>
      </c>
      <c r="G1392" s="37">
        <v>1.5</v>
      </c>
      <c r="O1392"/>
      <c r="P1392"/>
      <c r="R1392" s="39">
        <v>43549</v>
      </c>
      <c r="S1392" s="37">
        <v>0.7046</v>
      </c>
      <c r="U1392" s="39">
        <v>43537</v>
      </c>
      <c r="V1392" s="37">
        <v>1.75</v>
      </c>
    </row>
    <row r="1393" spans="6:22" ht="15" x14ac:dyDescent="0.25">
      <c r="F1393" s="39">
        <v>43556</v>
      </c>
      <c r="G1393" s="37">
        <v>1.5</v>
      </c>
      <c r="O1393"/>
      <c r="P1393"/>
      <c r="R1393" s="39">
        <v>43546</v>
      </c>
      <c r="S1393" s="37">
        <v>0.70530000000000004</v>
      </c>
      <c r="U1393" s="39">
        <v>43536</v>
      </c>
      <c r="V1393" s="37">
        <v>1.75</v>
      </c>
    </row>
    <row r="1394" spans="6:22" ht="15" x14ac:dyDescent="0.25">
      <c r="F1394" s="39">
        <v>43553</v>
      </c>
      <c r="G1394" s="37">
        <v>1.5</v>
      </c>
      <c r="O1394"/>
      <c r="P1394"/>
      <c r="R1394" s="39">
        <v>43545</v>
      </c>
      <c r="S1394" s="37">
        <v>0.70499999999999996</v>
      </c>
      <c r="U1394" s="39">
        <v>43535</v>
      </c>
      <c r="V1394" s="37">
        <v>1.75</v>
      </c>
    </row>
    <row r="1395" spans="6:22" ht="15" x14ac:dyDescent="0.25">
      <c r="F1395" s="39">
        <v>43552</v>
      </c>
      <c r="G1395" s="37">
        <v>1.5</v>
      </c>
      <c r="O1395"/>
      <c r="P1395"/>
      <c r="R1395" s="39">
        <v>43544</v>
      </c>
      <c r="S1395" s="37">
        <v>0.70540000000000003</v>
      </c>
      <c r="U1395" s="39">
        <v>43532</v>
      </c>
      <c r="V1395" s="37">
        <v>1.75</v>
      </c>
    </row>
    <row r="1396" spans="6:22" ht="15" x14ac:dyDescent="0.25">
      <c r="F1396" s="39">
        <v>43551</v>
      </c>
      <c r="G1396" s="37">
        <v>1.5</v>
      </c>
      <c r="O1396"/>
      <c r="P1396"/>
      <c r="R1396" s="39">
        <v>43543</v>
      </c>
      <c r="S1396" s="37">
        <v>0.70499999999999996</v>
      </c>
      <c r="U1396" s="39">
        <v>43531</v>
      </c>
      <c r="V1396" s="37">
        <v>1.75</v>
      </c>
    </row>
    <row r="1397" spans="6:22" ht="15" x14ac:dyDescent="0.25">
      <c r="F1397" s="39">
        <v>43550</v>
      </c>
      <c r="G1397" s="37">
        <v>1.5</v>
      </c>
      <c r="O1397"/>
      <c r="P1397"/>
      <c r="R1397" s="39">
        <v>43542</v>
      </c>
      <c r="S1397" s="37">
        <v>0.7056</v>
      </c>
      <c r="U1397" s="39">
        <v>43530</v>
      </c>
      <c r="V1397" s="37">
        <v>1.75</v>
      </c>
    </row>
    <row r="1398" spans="6:22" ht="15" x14ac:dyDescent="0.25">
      <c r="F1398" s="39">
        <v>43549</v>
      </c>
      <c r="G1398" s="37">
        <v>1.5</v>
      </c>
      <c r="O1398"/>
      <c r="P1398"/>
      <c r="R1398" s="39">
        <v>43539</v>
      </c>
      <c r="S1398" s="37">
        <v>0.7046</v>
      </c>
      <c r="U1398" s="39">
        <v>43529</v>
      </c>
      <c r="V1398" s="37">
        <v>1.75</v>
      </c>
    </row>
    <row r="1399" spans="6:22" ht="15" x14ac:dyDescent="0.25">
      <c r="F1399" s="39">
        <v>43546</v>
      </c>
      <c r="G1399" s="37">
        <v>1.5</v>
      </c>
      <c r="O1399"/>
      <c r="P1399"/>
      <c r="R1399" s="39">
        <v>43538</v>
      </c>
      <c r="S1399" s="37">
        <v>0.70389999999999997</v>
      </c>
      <c r="U1399" s="39">
        <v>43528</v>
      </c>
      <c r="V1399" s="37">
        <v>1.75</v>
      </c>
    </row>
    <row r="1400" spans="6:22" ht="15" x14ac:dyDescent="0.25">
      <c r="F1400" s="39">
        <v>43545</v>
      </c>
      <c r="G1400" s="37">
        <v>1.5</v>
      </c>
      <c r="O1400"/>
      <c r="P1400"/>
      <c r="R1400" s="39">
        <v>43537</v>
      </c>
      <c r="S1400" s="37">
        <v>0.70550000000000002</v>
      </c>
      <c r="U1400" s="39">
        <v>43525</v>
      </c>
      <c r="V1400" s="37">
        <v>1.75</v>
      </c>
    </row>
    <row r="1401" spans="6:22" ht="15" x14ac:dyDescent="0.25">
      <c r="F1401" s="39">
        <v>43544</v>
      </c>
      <c r="G1401" s="37">
        <v>1.5</v>
      </c>
      <c r="O1401"/>
      <c r="P1401"/>
      <c r="R1401" s="39">
        <v>43536</v>
      </c>
      <c r="S1401" s="37">
        <v>0.70609999999999995</v>
      </c>
      <c r="U1401" s="39">
        <v>43524</v>
      </c>
      <c r="V1401" s="37">
        <v>1.75</v>
      </c>
    </row>
    <row r="1402" spans="6:22" ht="15" x14ac:dyDescent="0.25">
      <c r="F1402" s="39">
        <v>43543</v>
      </c>
      <c r="G1402" s="37">
        <v>1.5</v>
      </c>
      <c r="O1402"/>
      <c r="P1402"/>
      <c r="R1402" s="39">
        <v>43535</v>
      </c>
      <c r="S1402" s="37">
        <v>0.7046</v>
      </c>
      <c r="U1402" s="39">
        <v>43523</v>
      </c>
      <c r="V1402" s="37">
        <v>1.75</v>
      </c>
    </row>
    <row r="1403" spans="6:22" ht="15" x14ac:dyDescent="0.25">
      <c r="F1403" s="39">
        <v>43542</v>
      </c>
      <c r="G1403" s="37">
        <v>1.5</v>
      </c>
      <c r="O1403"/>
      <c r="P1403"/>
      <c r="R1403" s="39">
        <v>43532</v>
      </c>
      <c r="S1403" s="37">
        <v>0.70489999999999997</v>
      </c>
      <c r="U1403" s="39">
        <v>43522</v>
      </c>
      <c r="V1403" s="37">
        <v>1.75</v>
      </c>
    </row>
    <row r="1404" spans="6:22" ht="15" x14ac:dyDescent="0.25">
      <c r="F1404" s="39">
        <v>43539</v>
      </c>
      <c r="G1404" s="37">
        <v>1.5</v>
      </c>
      <c r="O1404"/>
      <c r="P1404"/>
      <c r="R1404" s="39">
        <v>43531</v>
      </c>
      <c r="S1404" s="37">
        <v>0.70550000000000002</v>
      </c>
      <c r="U1404" s="39">
        <v>43521</v>
      </c>
      <c r="V1404" s="37">
        <v>1.75</v>
      </c>
    </row>
    <row r="1405" spans="6:22" ht="15" x14ac:dyDescent="0.25">
      <c r="F1405" s="39">
        <v>43538</v>
      </c>
      <c r="G1405" s="37">
        <v>1.5</v>
      </c>
      <c r="O1405"/>
      <c r="P1405"/>
      <c r="R1405" s="39">
        <v>43530</v>
      </c>
      <c r="S1405" s="37">
        <v>0.70660000000000001</v>
      </c>
      <c r="U1405" s="39">
        <v>43518</v>
      </c>
      <c r="V1405" s="37">
        <v>1.75</v>
      </c>
    </row>
    <row r="1406" spans="6:22" ht="15" x14ac:dyDescent="0.25">
      <c r="F1406" s="39">
        <v>43537</v>
      </c>
      <c r="G1406" s="37">
        <v>1.5</v>
      </c>
      <c r="O1406"/>
      <c r="P1406"/>
      <c r="R1406" s="39">
        <v>43529</v>
      </c>
      <c r="S1406" s="37">
        <v>0.70650000000000002</v>
      </c>
      <c r="U1406" s="39">
        <v>43517</v>
      </c>
      <c r="V1406" s="37">
        <v>1.75</v>
      </c>
    </row>
    <row r="1407" spans="6:22" ht="15" x14ac:dyDescent="0.25">
      <c r="F1407" s="39">
        <v>43536</v>
      </c>
      <c r="G1407" s="37">
        <v>1.5</v>
      </c>
      <c r="O1407"/>
      <c r="P1407"/>
      <c r="R1407" s="39">
        <v>43528</v>
      </c>
      <c r="S1407" s="37">
        <v>0.70689999999999997</v>
      </c>
      <c r="U1407" s="39">
        <v>43516</v>
      </c>
      <c r="V1407" s="37">
        <v>1.75</v>
      </c>
    </row>
    <row r="1408" spans="6:22" ht="15" x14ac:dyDescent="0.25">
      <c r="F1408" s="39">
        <v>43535</v>
      </c>
      <c r="G1408" s="37">
        <v>1.5</v>
      </c>
      <c r="O1408"/>
      <c r="P1408"/>
      <c r="R1408" s="39">
        <v>43525</v>
      </c>
      <c r="S1408" s="37">
        <v>0.70569999999999999</v>
      </c>
      <c r="U1408" s="39">
        <v>43515</v>
      </c>
      <c r="V1408" s="37">
        <v>1.75</v>
      </c>
    </row>
    <row r="1409" spans="6:22" ht="15" x14ac:dyDescent="0.25">
      <c r="F1409" s="39">
        <v>43532</v>
      </c>
      <c r="G1409" s="37">
        <v>1.5</v>
      </c>
      <c r="O1409"/>
      <c r="P1409"/>
      <c r="R1409" s="39">
        <v>43524</v>
      </c>
      <c r="S1409" s="37">
        <v>0.70499999999999996</v>
      </c>
      <c r="U1409" s="39">
        <v>43514</v>
      </c>
      <c r="V1409" s="37">
        <v>1.75</v>
      </c>
    </row>
    <row r="1410" spans="6:22" ht="15" x14ac:dyDescent="0.25">
      <c r="F1410" s="39">
        <v>43531</v>
      </c>
      <c r="G1410" s="37">
        <v>1.5</v>
      </c>
      <c r="O1410"/>
      <c r="P1410"/>
      <c r="R1410" s="39">
        <v>43523</v>
      </c>
      <c r="S1410" s="37">
        <v>0.70650000000000002</v>
      </c>
      <c r="U1410" s="39">
        <v>43511</v>
      </c>
      <c r="V1410" s="37">
        <v>1.75</v>
      </c>
    </row>
    <row r="1411" spans="6:22" ht="15" x14ac:dyDescent="0.25">
      <c r="F1411" s="39">
        <v>43530</v>
      </c>
      <c r="G1411" s="37">
        <v>1.5</v>
      </c>
      <c r="O1411"/>
      <c r="P1411"/>
      <c r="R1411" s="39">
        <v>43522</v>
      </c>
      <c r="S1411" s="37">
        <v>0.70740000000000003</v>
      </c>
      <c r="U1411" s="39">
        <v>43510</v>
      </c>
      <c r="V1411" s="37">
        <v>1.75</v>
      </c>
    </row>
    <row r="1412" spans="6:22" ht="15" x14ac:dyDescent="0.25">
      <c r="F1412" s="39">
        <v>43529</v>
      </c>
      <c r="G1412" s="37">
        <v>1.5</v>
      </c>
      <c r="O1412"/>
      <c r="P1412"/>
      <c r="R1412" s="39">
        <v>43521</v>
      </c>
      <c r="S1412" s="37">
        <v>0.70799999999999996</v>
      </c>
      <c r="U1412" s="39">
        <v>43509</v>
      </c>
      <c r="V1412" s="37">
        <v>1.75</v>
      </c>
    </row>
    <row r="1413" spans="6:22" ht="15" x14ac:dyDescent="0.25">
      <c r="F1413" s="39">
        <v>43528</v>
      </c>
      <c r="G1413" s="37">
        <v>1.5</v>
      </c>
      <c r="O1413"/>
      <c r="P1413"/>
      <c r="R1413" s="39">
        <v>43518</v>
      </c>
      <c r="S1413" s="37">
        <v>0.70830000000000004</v>
      </c>
      <c r="U1413" s="39">
        <v>43508</v>
      </c>
      <c r="V1413" s="37">
        <v>1.75</v>
      </c>
    </row>
    <row r="1414" spans="6:22" ht="15" x14ac:dyDescent="0.25">
      <c r="F1414" s="39">
        <v>43525</v>
      </c>
      <c r="G1414" s="37">
        <v>1.5</v>
      </c>
      <c r="O1414"/>
      <c r="P1414"/>
      <c r="R1414" s="39">
        <v>43517</v>
      </c>
      <c r="S1414" s="37">
        <v>0.70720000000000005</v>
      </c>
      <c r="U1414" s="39">
        <v>43507</v>
      </c>
      <c r="V1414" s="37">
        <v>1.75</v>
      </c>
    </row>
    <row r="1415" spans="6:22" ht="15" x14ac:dyDescent="0.25">
      <c r="F1415" s="39">
        <v>43524</v>
      </c>
      <c r="G1415" s="37">
        <v>1.5</v>
      </c>
      <c r="O1415"/>
      <c r="P1415"/>
      <c r="R1415" s="39">
        <v>43516</v>
      </c>
      <c r="S1415" s="37">
        <v>0.7077</v>
      </c>
      <c r="U1415" s="39">
        <v>43504</v>
      </c>
      <c r="V1415" s="37">
        <v>1.75</v>
      </c>
    </row>
    <row r="1416" spans="6:22" ht="15" x14ac:dyDescent="0.25">
      <c r="F1416" s="39">
        <v>43523</v>
      </c>
      <c r="G1416" s="37">
        <v>1.5</v>
      </c>
      <c r="O1416"/>
      <c r="P1416"/>
      <c r="R1416" s="39">
        <v>43515</v>
      </c>
      <c r="S1416" s="37">
        <v>0.70599999999999996</v>
      </c>
      <c r="U1416" s="39">
        <v>43503</v>
      </c>
      <c r="V1416" s="37">
        <v>1.75</v>
      </c>
    </row>
    <row r="1417" spans="6:22" ht="15" x14ac:dyDescent="0.25">
      <c r="F1417" s="39">
        <v>43522</v>
      </c>
      <c r="G1417" s="37">
        <v>1.5</v>
      </c>
      <c r="O1417"/>
      <c r="P1417"/>
      <c r="R1417" s="39">
        <v>43514</v>
      </c>
      <c r="S1417" s="37">
        <v>0.70550000000000002</v>
      </c>
      <c r="U1417" s="39">
        <v>43501</v>
      </c>
      <c r="V1417" s="37">
        <v>1.75</v>
      </c>
    </row>
    <row r="1418" spans="6:22" ht="15" x14ac:dyDescent="0.25">
      <c r="F1418" s="39">
        <v>43521</v>
      </c>
      <c r="G1418" s="37">
        <v>1.5</v>
      </c>
      <c r="O1418"/>
      <c r="P1418"/>
      <c r="R1418" s="39">
        <v>43511</v>
      </c>
      <c r="S1418" s="37">
        <v>0.70609999999999995</v>
      </c>
      <c r="U1418" s="39">
        <v>43500</v>
      </c>
      <c r="V1418" s="37">
        <v>1.75</v>
      </c>
    </row>
    <row r="1419" spans="6:22" ht="15" x14ac:dyDescent="0.25">
      <c r="F1419" s="39">
        <v>43518</v>
      </c>
      <c r="G1419" s="37">
        <v>1.5</v>
      </c>
      <c r="O1419"/>
      <c r="P1419"/>
      <c r="R1419" s="39">
        <v>43510</v>
      </c>
      <c r="S1419" s="37">
        <v>0.70630000000000004</v>
      </c>
      <c r="U1419" s="39">
        <v>43497</v>
      </c>
      <c r="V1419" s="37">
        <v>1.75</v>
      </c>
    </row>
    <row r="1420" spans="6:22" ht="15" x14ac:dyDescent="0.25">
      <c r="F1420" s="39">
        <v>43517</v>
      </c>
      <c r="G1420" s="37">
        <v>1.5</v>
      </c>
      <c r="O1420"/>
      <c r="P1420"/>
      <c r="R1420" s="39">
        <v>43509</v>
      </c>
      <c r="S1420" s="37">
        <v>0.70689999999999997</v>
      </c>
      <c r="U1420" s="39">
        <v>43496</v>
      </c>
      <c r="V1420" s="37">
        <v>1.75</v>
      </c>
    </row>
    <row r="1421" spans="6:22" ht="15" x14ac:dyDescent="0.25">
      <c r="F1421" s="39">
        <v>43516</v>
      </c>
      <c r="G1421" s="37">
        <v>1.5</v>
      </c>
      <c r="O1421"/>
      <c r="P1421"/>
      <c r="R1421" s="39">
        <v>43508</v>
      </c>
      <c r="S1421" s="37">
        <v>0.70499999999999996</v>
      </c>
      <c r="U1421" s="39">
        <v>43495</v>
      </c>
      <c r="V1421" s="37">
        <v>1.75</v>
      </c>
    </row>
    <row r="1422" spans="6:22" ht="15" x14ac:dyDescent="0.25">
      <c r="F1422" s="39">
        <v>43515</v>
      </c>
      <c r="G1422" s="37">
        <v>1.5</v>
      </c>
      <c r="O1422"/>
      <c r="P1422"/>
      <c r="R1422" s="39">
        <v>43507</v>
      </c>
      <c r="S1422" s="37">
        <v>0.70589999999999997</v>
      </c>
      <c r="U1422" s="39">
        <v>43494</v>
      </c>
      <c r="V1422" s="37">
        <v>1.75</v>
      </c>
    </row>
    <row r="1423" spans="6:22" ht="15" x14ac:dyDescent="0.25">
      <c r="F1423" s="39">
        <v>43514</v>
      </c>
      <c r="G1423" s="37">
        <v>1.5</v>
      </c>
      <c r="O1423"/>
      <c r="P1423"/>
      <c r="R1423" s="39">
        <v>43504</v>
      </c>
      <c r="S1423" s="37">
        <v>0.7056</v>
      </c>
      <c r="U1423" s="39">
        <v>43493</v>
      </c>
      <c r="V1423" s="37">
        <v>1.75</v>
      </c>
    </row>
    <row r="1424" spans="6:22" ht="15" x14ac:dyDescent="0.25">
      <c r="F1424" s="39">
        <v>43511</v>
      </c>
      <c r="G1424" s="37">
        <v>1.5</v>
      </c>
      <c r="O1424"/>
      <c r="P1424"/>
      <c r="R1424" s="39">
        <v>43503</v>
      </c>
      <c r="S1424" s="37">
        <v>0.70650000000000002</v>
      </c>
      <c r="U1424" s="39">
        <v>43490</v>
      </c>
      <c r="V1424" s="37">
        <v>1.75</v>
      </c>
    </row>
    <row r="1425" spans="6:22" ht="15" x14ac:dyDescent="0.25">
      <c r="F1425" s="39">
        <v>43510</v>
      </c>
      <c r="G1425" s="37">
        <v>1.5</v>
      </c>
      <c r="O1425"/>
      <c r="P1425"/>
      <c r="R1425" s="39">
        <v>43502</v>
      </c>
      <c r="S1425" s="37">
        <v>0.70660000000000001</v>
      </c>
      <c r="U1425" s="39">
        <v>43489</v>
      </c>
      <c r="V1425" s="37">
        <v>1.75</v>
      </c>
    </row>
    <row r="1426" spans="6:22" ht="15" x14ac:dyDescent="0.25">
      <c r="F1426" s="39">
        <v>43509</v>
      </c>
      <c r="G1426" s="37">
        <v>1.5</v>
      </c>
      <c r="O1426"/>
      <c r="P1426"/>
      <c r="R1426" s="39">
        <v>43501</v>
      </c>
      <c r="S1426" s="37">
        <v>0.70479999999999998</v>
      </c>
      <c r="U1426" s="39">
        <v>43488</v>
      </c>
      <c r="V1426" s="37">
        <v>1.75</v>
      </c>
    </row>
    <row r="1427" spans="6:22" ht="15" x14ac:dyDescent="0.25">
      <c r="F1427" s="39">
        <v>43508</v>
      </c>
      <c r="G1427" s="37">
        <v>1.5</v>
      </c>
      <c r="O1427"/>
      <c r="P1427"/>
      <c r="R1427" s="39">
        <v>43500</v>
      </c>
      <c r="S1427" s="37">
        <v>0.70509999999999995</v>
      </c>
      <c r="U1427" s="39">
        <v>43487</v>
      </c>
      <c r="V1427" s="37">
        <v>1.75</v>
      </c>
    </row>
    <row r="1428" spans="6:22" ht="15" x14ac:dyDescent="0.25">
      <c r="F1428" s="39">
        <v>43507</v>
      </c>
      <c r="G1428" s="37">
        <v>1.5</v>
      </c>
      <c r="O1428"/>
      <c r="P1428"/>
      <c r="R1428" s="39">
        <v>43497</v>
      </c>
      <c r="S1428" s="37">
        <v>0.70250000000000001</v>
      </c>
      <c r="U1428" s="39">
        <v>43486</v>
      </c>
      <c r="V1428" s="37">
        <v>1.75</v>
      </c>
    </row>
    <row r="1429" spans="6:22" ht="15" x14ac:dyDescent="0.25">
      <c r="F1429" s="39">
        <v>43504</v>
      </c>
      <c r="G1429" s="37">
        <v>1.5</v>
      </c>
      <c r="O1429"/>
      <c r="P1429"/>
      <c r="R1429" s="39">
        <v>43496</v>
      </c>
      <c r="S1429" s="37">
        <v>0.70340000000000003</v>
      </c>
      <c r="U1429" s="39">
        <v>43483</v>
      </c>
      <c r="V1429" s="37">
        <v>1.75</v>
      </c>
    </row>
    <row r="1430" spans="6:22" ht="15" x14ac:dyDescent="0.25">
      <c r="F1430" s="39">
        <v>43503</v>
      </c>
      <c r="G1430" s="37">
        <v>1.5</v>
      </c>
      <c r="O1430"/>
      <c r="P1430"/>
      <c r="R1430" s="39">
        <v>43495</v>
      </c>
      <c r="S1430" s="37">
        <v>0.70340000000000003</v>
      </c>
      <c r="U1430" s="39">
        <v>43482</v>
      </c>
      <c r="V1430" s="37">
        <v>1.75</v>
      </c>
    </row>
    <row r="1431" spans="6:22" ht="15" x14ac:dyDescent="0.25">
      <c r="F1431" s="39">
        <v>43502</v>
      </c>
      <c r="G1431" s="37">
        <v>1.5</v>
      </c>
      <c r="O1431"/>
      <c r="P1431"/>
      <c r="R1431" s="39">
        <v>43494</v>
      </c>
      <c r="S1431" s="37">
        <v>0.7036</v>
      </c>
      <c r="U1431" s="39">
        <v>43481</v>
      </c>
      <c r="V1431" s="37">
        <v>1.75</v>
      </c>
    </row>
    <row r="1432" spans="6:22" ht="15" x14ac:dyDescent="0.25">
      <c r="F1432" s="39">
        <v>43501</v>
      </c>
      <c r="G1432" s="37">
        <v>1.5</v>
      </c>
      <c r="O1432"/>
      <c r="P1432"/>
      <c r="R1432" s="39">
        <v>43493</v>
      </c>
      <c r="S1432" s="37">
        <v>0.70540000000000003</v>
      </c>
      <c r="U1432" s="39">
        <v>43480</v>
      </c>
      <c r="V1432" s="37">
        <v>1.75</v>
      </c>
    </row>
    <row r="1433" spans="6:22" ht="15" x14ac:dyDescent="0.25">
      <c r="F1433" s="39">
        <v>43500</v>
      </c>
      <c r="G1433" s="37">
        <v>1.5</v>
      </c>
      <c r="O1433"/>
      <c r="P1433"/>
      <c r="R1433" s="39">
        <v>43490</v>
      </c>
      <c r="S1433" s="37">
        <v>0.70450000000000002</v>
      </c>
      <c r="U1433" s="39">
        <v>43479</v>
      </c>
      <c r="V1433" s="37">
        <v>1.75</v>
      </c>
    </row>
    <row r="1434" spans="6:22" ht="15" x14ac:dyDescent="0.25">
      <c r="F1434" s="39">
        <v>43497</v>
      </c>
      <c r="G1434" s="37">
        <v>1.5</v>
      </c>
      <c r="O1434"/>
      <c r="P1434"/>
      <c r="R1434" s="39">
        <v>43489</v>
      </c>
      <c r="S1434" s="37">
        <v>0.70569999999999999</v>
      </c>
      <c r="U1434" s="39">
        <v>43476</v>
      </c>
      <c r="V1434" s="37">
        <v>1.75</v>
      </c>
    </row>
    <row r="1435" spans="6:22" ht="15" x14ac:dyDescent="0.25">
      <c r="F1435" s="39">
        <v>43496</v>
      </c>
      <c r="G1435" s="37">
        <v>1.5</v>
      </c>
      <c r="O1435"/>
      <c r="P1435"/>
      <c r="R1435" s="39">
        <v>43488</v>
      </c>
      <c r="S1435" s="37">
        <v>0.70530000000000004</v>
      </c>
      <c r="U1435" s="39">
        <v>43475</v>
      </c>
      <c r="V1435" s="37">
        <v>1.75</v>
      </c>
    </row>
    <row r="1436" spans="6:22" ht="15" x14ac:dyDescent="0.25">
      <c r="F1436" s="39">
        <v>43495</v>
      </c>
      <c r="G1436" s="37">
        <v>1.5</v>
      </c>
      <c r="O1436"/>
      <c r="P1436"/>
      <c r="R1436" s="39">
        <v>43487</v>
      </c>
      <c r="S1436" s="37">
        <v>0.70469999999999999</v>
      </c>
      <c r="U1436" s="39">
        <v>43474</v>
      </c>
      <c r="V1436" s="37">
        <v>1.75</v>
      </c>
    </row>
    <row r="1437" spans="6:22" ht="15" x14ac:dyDescent="0.25">
      <c r="F1437" s="39">
        <v>43494</v>
      </c>
      <c r="G1437" s="37">
        <v>1.5</v>
      </c>
      <c r="O1437"/>
      <c r="P1437"/>
      <c r="R1437" s="39">
        <v>43486</v>
      </c>
      <c r="S1437" s="37">
        <v>0.70550000000000002</v>
      </c>
      <c r="U1437" s="39">
        <v>43473</v>
      </c>
      <c r="V1437" s="37">
        <v>1.75</v>
      </c>
    </row>
    <row r="1438" spans="6:22" ht="15" x14ac:dyDescent="0.25">
      <c r="F1438" s="39">
        <v>43490</v>
      </c>
      <c r="G1438" s="37">
        <v>1.5</v>
      </c>
      <c r="O1438"/>
      <c r="P1438"/>
      <c r="R1438" s="39">
        <v>43483</v>
      </c>
      <c r="S1438" s="37">
        <v>0.70589999999999997</v>
      </c>
      <c r="U1438" s="39">
        <v>43472</v>
      </c>
      <c r="V1438" s="37">
        <v>1.75</v>
      </c>
    </row>
    <row r="1439" spans="6:22" ht="15" x14ac:dyDescent="0.25">
      <c r="F1439" s="39">
        <v>43489</v>
      </c>
      <c r="G1439" s="37">
        <v>1.5</v>
      </c>
      <c r="O1439"/>
      <c r="P1439"/>
      <c r="R1439" s="39">
        <v>43482</v>
      </c>
      <c r="S1439" s="37">
        <v>0.70550000000000002</v>
      </c>
      <c r="U1439" s="39">
        <v>43469</v>
      </c>
      <c r="V1439" s="37">
        <v>1.75</v>
      </c>
    </row>
    <row r="1440" spans="6:22" ht="15" x14ac:dyDescent="0.25">
      <c r="F1440" s="39">
        <v>43488</v>
      </c>
      <c r="G1440" s="37">
        <v>1.5</v>
      </c>
      <c r="O1440"/>
      <c r="P1440"/>
      <c r="R1440" s="39">
        <v>43481</v>
      </c>
      <c r="S1440" s="37">
        <v>0.70589999999999997</v>
      </c>
      <c r="U1440" s="39">
        <v>43468</v>
      </c>
      <c r="V1440" s="37">
        <v>1.75</v>
      </c>
    </row>
    <row r="1441" spans="6:22" ht="15" x14ac:dyDescent="0.25">
      <c r="F1441" s="39">
        <v>43487</v>
      </c>
      <c r="G1441" s="37">
        <v>1.5</v>
      </c>
      <c r="O1441"/>
      <c r="P1441"/>
      <c r="R1441" s="39">
        <v>43480</v>
      </c>
      <c r="S1441" s="37">
        <v>0.70569999999999999</v>
      </c>
      <c r="U1441" s="39">
        <v>43465</v>
      </c>
      <c r="V1441" s="37">
        <v>1.75</v>
      </c>
    </row>
    <row r="1442" spans="6:22" ht="15" x14ac:dyDescent="0.25">
      <c r="F1442" s="39">
        <v>43486</v>
      </c>
      <c r="G1442" s="37">
        <v>1.5</v>
      </c>
      <c r="O1442"/>
      <c r="P1442"/>
      <c r="R1442" s="39">
        <v>43479</v>
      </c>
      <c r="S1442" s="37">
        <v>0.70669999999999999</v>
      </c>
      <c r="U1442" s="39">
        <v>43462</v>
      </c>
      <c r="V1442" s="37">
        <v>1.75</v>
      </c>
    </row>
    <row r="1443" spans="6:22" ht="15" x14ac:dyDescent="0.25">
      <c r="F1443" s="39">
        <v>43483</v>
      </c>
      <c r="G1443" s="37">
        <v>1.5</v>
      </c>
      <c r="O1443"/>
      <c r="P1443"/>
      <c r="R1443" s="39">
        <v>43476</v>
      </c>
      <c r="S1443" s="37">
        <v>0.70720000000000005</v>
      </c>
      <c r="U1443" s="39">
        <v>43461</v>
      </c>
      <c r="V1443" s="37">
        <v>1.75</v>
      </c>
    </row>
    <row r="1444" spans="6:22" ht="15" x14ac:dyDescent="0.25">
      <c r="F1444" s="39">
        <v>43482</v>
      </c>
      <c r="G1444" s="37">
        <v>1.5</v>
      </c>
      <c r="O1444"/>
      <c r="P1444"/>
      <c r="R1444" s="39">
        <v>43475</v>
      </c>
      <c r="S1444" s="37">
        <v>0.70669999999999999</v>
      </c>
      <c r="U1444" s="39">
        <v>43458</v>
      </c>
      <c r="V1444" s="37">
        <v>1.75</v>
      </c>
    </row>
    <row r="1445" spans="6:22" ht="15" x14ac:dyDescent="0.25">
      <c r="F1445" s="39">
        <v>43481</v>
      </c>
      <c r="G1445" s="37">
        <v>1.5</v>
      </c>
      <c r="O1445"/>
      <c r="P1445"/>
      <c r="R1445" s="39">
        <v>43474</v>
      </c>
      <c r="S1445" s="37">
        <v>0.70630000000000004</v>
      </c>
      <c r="U1445" s="39">
        <v>43455</v>
      </c>
      <c r="V1445" s="37">
        <v>1.75</v>
      </c>
    </row>
    <row r="1446" spans="6:22" ht="15" x14ac:dyDescent="0.25">
      <c r="F1446" s="39">
        <v>43480</v>
      </c>
      <c r="G1446" s="37">
        <v>1.5</v>
      </c>
      <c r="O1446"/>
      <c r="P1446"/>
      <c r="R1446" s="39">
        <v>43473</v>
      </c>
      <c r="S1446" s="37">
        <v>0.70520000000000005</v>
      </c>
      <c r="U1446" s="39">
        <v>43454</v>
      </c>
      <c r="V1446" s="37">
        <v>1.75</v>
      </c>
    </row>
    <row r="1447" spans="6:22" ht="15" x14ac:dyDescent="0.25">
      <c r="F1447" s="39">
        <v>43479</v>
      </c>
      <c r="G1447" s="37">
        <v>1.5</v>
      </c>
      <c r="O1447"/>
      <c r="P1447"/>
      <c r="R1447" s="39">
        <v>43472</v>
      </c>
      <c r="S1447" s="37">
        <v>0.70520000000000005</v>
      </c>
      <c r="U1447" s="39">
        <v>43453</v>
      </c>
      <c r="V1447" s="37">
        <v>1.75</v>
      </c>
    </row>
    <row r="1448" spans="6:22" ht="15" x14ac:dyDescent="0.25">
      <c r="F1448" s="39">
        <v>43476</v>
      </c>
      <c r="G1448" s="37">
        <v>1.5</v>
      </c>
      <c r="O1448"/>
      <c r="P1448"/>
      <c r="R1448" s="39">
        <v>43469</v>
      </c>
      <c r="S1448" s="37">
        <v>0.7046</v>
      </c>
      <c r="U1448" s="39">
        <v>43452</v>
      </c>
      <c r="V1448" s="37">
        <v>1.75</v>
      </c>
    </row>
    <row r="1449" spans="6:22" ht="15" x14ac:dyDescent="0.25">
      <c r="F1449" s="39">
        <v>43475</v>
      </c>
      <c r="G1449" s="37">
        <v>1.5</v>
      </c>
      <c r="O1449"/>
      <c r="P1449"/>
      <c r="R1449" s="39">
        <v>43468</v>
      </c>
      <c r="S1449" s="37">
        <v>0.70479999999999998</v>
      </c>
      <c r="U1449" s="39">
        <v>43451</v>
      </c>
      <c r="V1449" s="37">
        <v>1.75</v>
      </c>
    </row>
    <row r="1450" spans="6:22" ht="15" x14ac:dyDescent="0.25">
      <c r="F1450" s="39">
        <v>43474</v>
      </c>
      <c r="G1450" s="37">
        <v>1.5</v>
      </c>
      <c r="O1450"/>
      <c r="P1450"/>
      <c r="R1450" s="39">
        <v>43467</v>
      </c>
      <c r="S1450" s="37">
        <v>0.70440000000000003</v>
      </c>
      <c r="U1450" s="39">
        <v>43448</v>
      </c>
      <c r="V1450" s="37">
        <v>1.75</v>
      </c>
    </row>
    <row r="1451" spans="6:22" ht="15" x14ac:dyDescent="0.25">
      <c r="F1451" s="39">
        <v>43473</v>
      </c>
      <c r="G1451" s="37">
        <v>1.5</v>
      </c>
      <c r="O1451"/>
      <c r="P1451"/>
      <c r="R1451" s="39">
        <v>43465</v>
      </c>
      <c r="S1451" s="37">
        <v>0.69979999999999998</v>
      </c>
      <c r="U1451" s="39">
        <v>43447</v>
      </c>
      <c r="V1451" s="37">
        <v>1.75</v>
      </c>
    </row>
    <row r="1452" spans="6:22" ht="15" x14ac:dyDescent="0.25">
      <c r="F1452" s="39">
        <v>43472</v>
      </c>
      <c r="G1452" s="37">
        <v>1.5</v>
      </c>
      <c r="O1452"/>
      <c r="P1452"/>
      <c r="R1452" s="39">
        <v>43462</v>
      </c>
      <c r="S1452" s="37">
        <v>0.70469999999999999</v>
      </c>
      <c r="U1452" s="39">
        <v>43446</v>
      </c>
      <c r="V1452" s="37">
        <v>1.75</v>
      </c>
    </row>
    <row r="1453" spans="6:22" ht="15" x14ac:dyDescent="0.25">
      <c r="F1453" s="39">
        <v>43469</v>
      </c>
      <c r="G1453" s="37">
        <v>1.5</v>
      </c>
      <c r="O1453"/>
      <c r="P1453"/>
      <c r="R1453" s="39">
        <v>43461</v>
      </c>
      <c r="S1453" s="37">
        <v>0.70599999999999996</v>
      </c>
      <c r="U1453" s="39">
        <v>43445</v>
      </c>
      <c r="V1453" s="37">
        <v>1.75</v>
      </c>
    </row>
    <row r="1454" spans="6:22" ht="15" x14ac:dyDescent="0.25">
      <c r="F1454" s="39">
        <v>43468</v>
      </c>
      <c r="G1454" s="37">
        <v>1.5</v>
      </c>
      <c r="O1454"/>
      <c r="P1454"/>
      <c r="R1454" s="39">
        <v>43458</v>
      </c>
      <c r="S1454" s="37">
        <v>0.70509999999999995</v>
      </c>
      <c r="U1454" s="39">
        <v>43444</v>
      </c>
      <c r="V1454" s="37">
        <v>1.75</v>
      </c>
    </row>
    <row r="1455" spans="6:22" ht="15" x14ac:dyDescent="0.25">
      <c r="F1455" s="39">
        <v>43467</v>
      </c>
      <c r="G1455" s="37">
        <v>1.5</v>
      </c>
      <c r="O1455"/>
      <c r="P1455"/>
      <c r="R1455" s="39">
        <v>43455</v>
      </c>
      <c r="S1455" s="37">
        <v>0.70540000000000003</v>
      </c>
      <c r="U1455" s="39">
        <v>43441</v>
      </c>
      <c r="V1455" s="37">
        <v>1.75</v>
      </c>
    </row>
    <row r="1456" spans="6:22" ht="15" x14ac:dyDescent="0.25">
      <c r="F1456" s="39">
        <v>43465</v>
      </c>
      <c r="G1456" s="37">
        <v>1.5</v>
      </c>
      <c r="O1456"/>
      <c r="P1456"/>
      <c r="R1456" s="39">
        <v>43454</v>
      </c>
      <c r="S1456" s="37">
        <v>0.70320000000000005</v>
      </c>
      <c r="U1456" s="39">
        <v>43440</v>
      </c>
      <c r="V1456" s="37">
        <v>1.75</v>
      </c>
    </row>
    <row r="1457" spans="6:22" ht="15" x14ac:dyDescent="0.25">
      <c r="F1457" s="39">
        <v>43462</v>
      </c>
      <c r="G1457" s="37">
        <v>1.5</v>
      </c>
      <c r="O1457"/>
      <c r="P1457"/>
      <c r="R1457" s="39">
        <v>43453</v>
      </c>
      <c r="S1457" s="37">
        <v>0.70389999999999997</v>
      </c>
      <c r="U1457" s="39">
        <v>43439</v>
      </c>
      <c r="V1457" s="37">
        <v>1.75</v>
      </c>
    </row>
    <row r="1458" spans="6:22" ht="15" x14ac:dyDescent="0.25">
      <c r="F1458" s="39">
        <v>43461</v>
      </c>
      <c r="G1458" s="37">
        <v>1.5</v>
      </c>
      <c r="O1458"/>
      <c r="P1458"/>
      <c r="R1458" s="39">
        <v>43452</v>
      </c>
      <c r="S1458" s="37">
        <v>0.70189999999999997</v>
      </c>
      <c r="U1458" s="39">
        <v>43438</v>
      </c>
      <c r="V1458" s="37">
        <v>1.75</v>
      </c>
    </row>
    <row r="1459" spans="6:22" ht="15" x14ac:dyDescent="0.25">
      <c r="F1459" s="39">
        <v>43458</v>
      </c>
      <c r="G1459" s="37">
        <v>1.5</v>
      </c>
      <c r="O1459"/>
      <c r="P1459"/>
      <c r="R1459" s="39">
        <v>43451</v>
      </c>
      <c r="S1459" s="37">
        <v>0.70030000000000003</v>
      </c>
      <c r="U1459" s="39">
        <v>43437</v>
      </c>
      <c r="V1459" s="37">
        <v>1.75</v>
      </c>
    </row>
    <row r="1460" spans="6:22" ht="15" x14ac:dyDescent="0.25">
      <c r="F1460" s="39">
        <v>43455</v>
      </c>
      <c r="G1460" s="37">
        <v>1.5</v>
      </c>
      <c r="O1460"/>
      <c r="P1460"/>
      <c r="R1460" s="39">
        <v>43448</v>
      </c>
      <c r="S1460" s="37">
        <v>0.70279999999999998</v>
      </c>
      <c r="U1460" s="39">
        <v>43434</v>
      </c>
      <c r="V1460" s="37">
        <v>1.75</v>
      </c>
    </row>
    <row r="1461" spans="6:22" ht="15" x14ac:dyDescent="0.25">
      <c r="F1461" s="39">
        <v>43454</v>
      </c>
      <c r="G1461" s="37">
        <v>1.5</v>
      </c>
      <c r="O1461"/>
      <c r="P1461"/>
      <c r="R1461" s="39">
        <v>43447</v>
      </c>
      <c r="S1461" s="37">
        <v>0.70099999999999996</v>
      </c>
      <c r="U1461" s="39">
        <v>43433</v>
      </c>
      <c r="V1461" s="37">
        <v>1.75</v>
      </c>
    </row>
    <row r="1462" spans="6:22" ht="15" x14ac:dyDescent="0.25">
      <c r="F1462" s="39">
        <v>43453</v>
      </c>
      <c r="G1462" s="37">
        <v>1.5</v>
      </c>
      <c r="O1462"/>
      <c r="P1462"/>
      <c r="R1462" s="39">
        <v>43446</v>
      </c>
      <c r="S1462" s="37">
        <v>0.70169999999999999</v>
      </c>
      <c r="U1462" s="39">
        <v>43432</v>
      </c>
      <c r="V1462" s="37">
        <v>1.75</v>
      </c>
    </row>
    <row r="1463" spans="6:22" ht="15" x14ac:dyDescent="0.25">
      <c r="F1463" s="39">
        <v>43452</v>
      </c>
      <c r="G1463" s="37">
        <v>1.5</v>
      </c>
      <c r="O1463"/>
      <c r="P1463"/>
      <c r="R1463" s="39">
        <v>43445</v>
      </c>
      <c r="S1463" s="37">
        <v>0.70269999999999999</v>
      </c>
      <c r="U1463" s="39">
        <v>43431</v>
      </c>
      <c r="V1463" s="37">
        <v>1.75</v>
      </c>
    </row>
    <row r="1464" spans="6:22" ht="15" x14ac:dyDescent="0.25">
      <c r="F1464" s="39">
        <v>43451</v>
      </c>
      <c r="G1464" s="37">
        <v>1.5</v>
      </c>
      <c r="O1464"/>
      <c r="P1464"/>
      <c r="R1464" s="39">
        <v>43444</v>
      </c>
      <c r="S1464" s="37">
        <v>0.70279999999999998</v>
      </c>
      <c r="U1464" s="39">
        <v>43430</v>
      </c>
      <c r="V1464" s="37">
        <v>1.75</v>
      </c>
    </row>
    <row r="1465" spans="6:22" ht="15" x14ac:dyDescent="0.25">
      <c r="F1465" s="39">
        <v>43448</v>
      </c>
      <c r="G1465" s="37">
        <v>1.5</v>
      </c>
      <c r="O1465"/>
      <c r="P1465"/>
      <c r="R1465" s="39">
        <v>43441</v>
      </c>
      <c r="S1465" s="37">
        <v>0.70199999999999996</v>
      </c>
      <c r="U1465" s="39">
        <v>43427</v>
      </c>
      <c r="V1465" s="37">
        <v>1.75</v>
      </c>
    </row>
    <row r="1466" spans="6:22" ht="15" x14ac:dyDescent="0.25">
      <c r="F1466" s="39">
        <v>43447</v>
      </c>
      <c r="G1466" s="37">
        <v>1.5</v>
      </c>
      <c r="O1466"/>
      <c r="P1466"/>
      <c r="R1466" s="39">
        <v>43440</v>
      </c>
      <c r="S1466" s="37">
        <v>0.70209999999999995</v>
      </c>
      <c r="U1466" s="39">
        <v>43426</v>
      </c>
      <c r="V1466" s="37">
        <v>1.75</v>
      </c>
    </row>
    <row r="1467" spans="6:22" ht="15" x14ac:dyDescent="0.25">
      <c r="F1467" s="39">
        <v>43446</v>
      </c>
      <c r="G1467" s="37">
        <v>1.5</v>
      </c>
      <c r="O1467"/>
      <c r="P1467"/>
      <c r="R1467" s="39">
        <v>43439</v>
      </c>
      <c r="S1467" s="37">
        <v>0.70099999999999996</v>
      </c>
      <c r="U1467" s="39">
        <v>43425</v>
      </c>
      <c r="V1467" s="37">
        <v>1.75</v>
      </c>
    </row>
    <row r="1468" spans="6:22" ht="15" x14ac:dyDescent="0.25">
      <c r="F1468" s="39">
        <v>43445</v>
      </c>
      <c r="G1468" s="37">
        <v>1.5</v>
      </c>
      <c r="O1468"/>
      <c r="P1468"/>
      <c r="R1468" s="39">
        <v>43438</v>
      </c>
      <c r="S1468" s="37">
        <v>0.70140000000000002</v>
      </c>
      <c r="U1468" s="39">
        <v>43424</v>
      </c>
      <c r="V1468" s="37">
        <v>1.75</v>
      </c>
    </row>
    <row r="1469" spans="6:22" ht="15" x14ac:dyDescent="0.25">
      <c r="F1469" s="39">
        <v>43444</v>
      </c>
      <c r="G1469" s="37">
        <v>1.5</v>
      </c>
      <c r="O1469"/>
      <c r="P1469"/>
      <c r="R1469" s="39">
        <v>43437</v>
      </c>
      <c r="S1469" s="37">
        <v>0.70189999999999997</v>
      </c>
      <c r="U1469" s="39">
        <v>43423</v>
      </c>
      <c r="V1469" s="37">
        <v>1.75</v>
      </c>
    </row>
    <row r="1470" spans="6:22" ht="15" x14ac:dyDescent="0.25">
      <c r="F1470" s="39">
        <v>43441</v>
      </c>
      <c r="G1470" s="37">
        <v>1.5</v>
      </c>
      <c r="O1470"/>
      <c r="P1470"/>
      <c r="R1470" s="39">
        <v>43434</v>
      </c>
      <c r="S1470" s="37">
        <v>0.70020000000000004</v>
      </c>
      <c r="U1470" s="39">
        <v>43420</v>
      </c>
      <c r="V1470" s="37">
        <v>1.75</v>
      </c>
    </row>
    <row r="1471" spans="6:22" ht="15" x14ac:dyDescent="0.25">
      <c r="F1471" s="39">
        <v>43440</v>
      </c>
      <c r="G1471" s="37">
        <v>1.5</v>
      </c>
      <c r="O1471"/>
      <c r="P1471"/>
      <c r="R1471" s="39">
        <v>43433</v>
      </c>
      <c r="S1471" s="37">
        <v>0.70169999999999999</v>
      </c>
      <c r="U1471" s="39">
        <v>43419</v>
      </c>
      <c r="V1471" s="37">
        <v>1.75</v>
      </c>
    </row>
    <row r="1472" spans="6:22" ht="15" x14ac:dyDescent="0.25">
      <c r="F1472" s="39">
        <v>43439</v>
      </c>
      <c r="G1472" s="37">
        <v>1.5</v>
      </c>
      <c r="O1472"/>
      <c r="P1472"/>
      <c r="R1472" s="39">
        <v>43432</v>
      </c>
      <c r="S1472" s="37">
        <v>0.70099999999999996</v>
      </c>
      <c r="U1472" s="39">
        <v>43418</v>
      </c>
      <c r="V1472" s="37">
        <v>1.75</v>
      </c>
    </row>
    <row r="1473" spans="6:22" ht="15" x14ac:dyDescent="0.25">
      <c r="F1473" s="39">
        <v>43438</v>
      </c>
      <c r="G1473" s="37">
        <v>1.5</v>
      </c>
      <c r="O1473"/>
      <c r="P1473"/>
      <c r="R1473" s="39">
        <v>43431</v>
      </c>
      <c r="S1473" s="37">
        <v>0.70179999999999998</v>
      </c>
      <c r="U1473" s="39">
        <v>43417</v>
      </c>
      <c r="V1473" s="37">
        <v>1.75</v>
      </c>
    </row>
    <row r="1474" spans="6:22" ht="15" x14ac:dyDescent="0.25">
      <c r="F1474" s="39">
        <v>43437</v>
      </c>
      <c r="G1474" s="37">
        <v>1.5</v>
      </c>
      <c r="O1474"/>
      <c r="P1474"/>
      <c r="R1474" s="39">
        <v>43430</v>
      </c>
      <c r="S1474" s="37">
        <v>0.70099999999999996</v>
      </c>
      <c r="U1474" s="39">
        <v>43416</v>
      </c>
      <c r="V1474" s="37">
        <v>1.75</v>
      </c>
    </row>
    <row r="1475" spans="6:22" ht="15" x14ac:dyDescent="0.25">
      <c r="F1475" s="39">
        <v>43434</v>
      </c>
      <c r="G1475" s="37">
        <v>1.5</v>
      </c>
      <c r="O1475"/>
      <c r="P1475"/>
      <c r="R1475" s="39">
        <v>43427</v>
      </c>
      <c r="S1475" s="37">
        <v>0.70320000000000005</v>
      </c>
      <c r="U1475" s="39">
        <v>43413</v>
      </c>
      <c r="V1475" s="37">
        <v>1.75</v>
      </c>
    </row>
    <row r="1476" spans="6:22" ht="15" x14ac:dyDescent="0.25">
      <c r="F1476" s="39">
        <v>43433</v>
      </c>
      <c r="G1476" s="37">
        <v>1.5</v>
      </c>
      <c r="O1476"/>
      <c r="P1476"/>
      <c r="R1476" s="39">
        <v>43426</v>
      </c>
      <c r="S1476" s="37">
        <v>0.70309999999999995</v>
      </c>
      <c r="U1476" s="39">
        <v>43412</v>
      </c>
      <c r="V1476" s="37">
        <v>1.75</v>
      </c>
    </row>
    <row r="1477" spans="6:22" ht="15" x14ac:dyDescent="0.25">
      <c r="F1477" s="39">
        <v>43432</v>
      </c>
      <c r="G1477" s="37">
        <v>1.5</v>
      </c>
      <c r="O1477"/>
      <c r="P1477"/>
      <c r="R1477" s="39">
        <v>43425</v>
      </c>
      <c r="S1477" s="37">
        <v>0.70279999999999998</v>
      </c>
      <c r="U1477" s="39">
        <v>43411</v>
      </c>
      <c r="V1477" s="37">
        <v>1.75</v>
      </c>
    </row>
    <row r="1478" spans="6:22" ht="15" x14ac:dyDescent="0.25">
      <c r="F1478" s="39">
        <v>43431</v>
      </c>
      <c r="G1478" s="37">
        <v>1.5</v>
      </c>
      <c r="O1478"/>
      <c r="P1478"/>
      <c r="R1478" s="39">
        <v>43424</v>
      </c>
      <c r="S1478" s="37">
        <v>0.70130000000000003</v>
      </c>
      <c r="U1478" s="39">
        <v>43410</v>
      </c>
      <c r="V1478" s="37">
        <v>1.75</v>
      </c>
    </row>
    <row r="1479" spans="6:22" ht="15" x14ac:dyDescent="0.25">
      <c r="F1479" s="39">
        <v>43430</v>
      </c>
      <c r="G1479" s="37">
        <v>1.5</v>
      </c>
      <c r="O1479"/>
      <c r="P1479"/>
      <c r="R1479" s="39">
        <v>43423</v>
      </c>
      <c r="S1479" s="37">
        <v>0.7006</v>
      </c>
      <c r="U1479" s="39">
        <v>43409</v>
      </c>
      <c r="V1479" s="37">
        <v>1.75</v>
      </c>
    </row>
    <row r="1480" spans="6:22" ht="15" x14ac:dyDescent="0.25">
      <c r="F1480" s="39">
        <v>43427</v>
      </c>
      <c r="G1480" s="37">
        <v>1.5</v>
      </c>
      <c r="O1480"/>
      <c r="P1480"/>
      <c r="R1480" s="39">
        <v>43420</v>
      </c>
      <c r="S1480" s="37">
        <v>0.70069999999999999</v>
      </c>
      <c r="U1480" s="39">
        <v>43406</v>
      </c>
      <c r="V1480" s="37">
        <v>1.75</v>
      </c>
    </row>
    <row r="1481" spans="6:22" ht="15" x14ac:dyDescent="0.25">
      <c r="F1481" s="39">
        <v>43426</v>
      </c>
      <c r="G1481" s="37">
        <v>1.5</v>
      </c>
      <c r="O1481"/>
      <c r="P1481"/>
      <c r="R1481" s="39">
        <v>43419</v>
      </c>
      <c r="S1481" s="37">
        <v>0.70189999999999997</v>
      </c>
      <c r="U1481" s="39">
        <v>43405</v>
      </c>
      <c r="V1481" s="37">
        <v>1.75</v>
      </c>
    </row>
    <row r="1482" spans="6:22" ht="15" x14ac:dyDescent="0.25">
      <c r="F1482" s="39">
        <v>43425</v>
      </c>
      <c r="G1482" s="37">
        <v>1.5</v>
      </c>
      <c r="O1482"/>
      <c r="P1482"/>
      <c r="R1482" s="39">
        <v>43418</v>
      </c>
      <c r="S1482" s="37">
        <v>0.70130000000000003</v>
      </c>
      <c r="U1482" s="39">
        <v>43404</v>
      </c>
      <c r="V1482" s="37">
        <v>1.75</v>
      </c>
    </row>
    <row r="1483" spans="6:22" ht="15" x14ac:dyDescent="0.25">
      <c r="F1483" s="39">
        <v>43424</v>
      </c>
      <c r="G1483" s="37">
        <v>1.5</v>
      </c>
      <c r="O1483"/>
      <c r="P1483"/>
      <c r="R1483" s="39">
        <v>43417</v>
      </c>
      <c r="S1483" s="37">
        <v>0.70250000000000001</v>
      </c>
      <c r="U1483" s="39">
        <v>43403</v>
      </c>
      <c r="V1483" s="37">
        <v>1.75</v>
      </c>
    </row>
    <row r="1484" spans="6:22" ht="15" x14ac:dyDescent="0.25">
      <c r="F1484" s="39">
        <v>43423</v>
      </c>
      <c r="G1484" s="37">
        <v>1.5</v>
      </c>
      <c r="O1484"/>
      <c r="P1484"/>
      <c r="R1484" s="39">
        <v>43416</v>
      </c>
      <c r="S1484" s="37">
        <v>0.70230000000000004</v>
      </c>
      <c r="U1484" s="39">
        <v>43402</v>
      </c>
      <c r="V1484" s="37">
        <v>1.75</v>
      </c>
    </row>
    <row r="1485" spans="6:22" ht="15" x14ac:dyDescent="0.25">
      <c r="F1485" s="39">
        <v>43420</v>
      </c>
      <c r="G1485" s="37">
        <v>1.5</v>
      </c>
      <c r="O1485"/>
      <c r="P1485"/>
      <c r="R1485" s="39">
        <v>43413</v>
      </c>
      <c r="S1485" s="37">
        <v>0.70279999999999998</v>
      </c>
      <c r="U1485" s="39">
        <v>43399</v>
      </c>
      <c r="V1485" s="37">
        <v>1.75</v>
      </c>
    </row>
    <row r="1486" spans="6:22" ht="15" x14ac:dyDescent="0.25">
      <c r="F1486" s="39">
        <v>43419</v>
      </c>
      <c r="G1486" s="37">
        <v>1.5</v>
      </c>
      <c r="O1486"/>
      <c r="P1486"/>
      <c r="R1486" s="39">
        <v>43412</v>
      </c>
      <c r="S1486" s="37">
        <v>0.70230000000000004</v>
      </c>
      <c r="U1486" s="39">
        <v>43398</v>
      </c>
      <c r="V1486" s="37">
        <v>1.75</v>
      </c>
    </row>
    <row r="1487" spans="6:22" ht="15" x14ac:dyDescent="0.25">
      <c r="F1487" s="39">
        <v>43418</v>
      </c>
      <c r="G1487" s="37">
        <v>1.5</v>
      </c>
      <c r="O1487"/>
      <c r="P1487"/>
      <c r="R1487" s="39">
        <v>43411</v>
      </c>
      <c r="S1487" s="37">
        <v>0.70309999999999995</v>
      </c>
      <c r="U1487" s="39">
        <v>43397</v>
      </c>
      <c r="V1487" s="37">
        <v>1.75</v>
      </c>
    </row>
    <row r="1488" spans="6:22" ht="15" x14ac:dyDescent="0.25">
      <c r="F1488" s="39">
        <v>43417</v>
      </c>
      <c r="G1488" s="37">
        <v>1.5</v>
      </c>
      <c r="O1488"/>
      <c r="P1488"/>
      <c r="R1488" s="39">
        <v>43410</v>
      </c>
      <c r="S1488" s="37">
        <v>0.70169999999999999</v>
      </c>
      <c r="U1488" s="39">
        <v>43396</v>
      </c>
      <c r="V1488" s="37">
        <v>1.75</v>
      </c>
    </row>
    <row r="1489" spans="6:22" ht="15" x14ac:dyDescent="0.25">
      <c r="F1489" s="39">
        <v>43416</v>
      </c>
      <c r="G1489" s="37">
        <v>1.5</v>
      </c>
      <c r="O1489"/>
      <c r="P1489"/>
      <c r="R1489" s="39">
        <v>43409</v>
      </c>
      <c r="S1489" s="37">
        <v>0.70089999999999997</v>
      </c>
      <c r="U1489" s="39">
        <v>43392</v>
      </c>
      <c r="V1489" s="37">
        <v>1.75</v>
      </c>
    </row>
    <row r="1490" spans="6:22" ht="15" x14ac:dyDescent="0.25">
      <c r="F1490" s="39">
        <v>43413</v>
      </c>
      <c r="G1490" s="37">
        <v>1.5</v>
      </c>
      <c r="O1490"/>
      <c r="P1490"/>
      <c r="R1490" s="39">
        <v>43406</v>
      </c>
      <c r="S1490" s="37">
        <v>0.70050000000000001</v>
      </c>
      <c r="U1490" s="39">
        <v>43391</v>
      </c>
      <c r="V1490" s="37">
        <v>1.75</v>
      </c>
    </row>
    <row r="1491" spans="6:22" ht="15" x14ac:dyDescent="0.25">
      <c r="F1491" s="39">
        <v>43412</v>
      </c>
      <c r="G1491" s="37">
        <v>1.5</v>
      </c>
      <c r="O1491"/>
      <c r="P1491"/>
      <c r="R1491" s="39">
        <v>43405</v>
      </c>
      <c r="S1491" s="37">
        <v>0.7006</v>
      </c>
      <c r="U1491" s="39">
        <v>43390</v>
      </c>
      <c r="V1491" s="37">
        <v>1.75</v>
      </c>
    </row>
    <row r="1492" spans="6:22" ht="15" x14ac:dyDescent="0.25">
      <c r="F1492" s="39">
        <v>43411</v>
      </c>
      <c r="G1492" s="37">
        <v>1.5</v>
      </c>
      <c r="O1492"/>
      <c r="P1492"/>
      <c r="R1492" s="39">
        <v>43404</v>
      </c>
      <c r="S1492" s="37">
        <v>0.70020000000000004</v>
      </c>
      <c r="U1492" s="39">
        <v>43389</v>
      </c>
      <c r="V1492" s="37">
        <v>1.75</v>
      </c>
    </row>
    <row r="1493" spans="6:22" ht="15" x14ac:dyDescent="0.25">
      <c r="F1493" s="39">
        <v>43410</v>
      </c>
      <c r="G1493" s="37">
        <v>1.5</v>
      </c>
      <c r="O1493"/>
      <c r="P1493"/>
      <c r="R1493" s="39">
        <v>43403</v>
      </c>
      <c r="S1493" s="37">
        <v>0.70130000000000003</v>
      </c>
      <c r="U1493" s="39">
        <v>43388</v>
      </c>
      <c r="V1493" s="37">
        <v>1.75</v>
      </c>
    </row>
    <row r="1494" spans="6:22" ht="15" x14ac:dyDescent="0.25">
      <c r="F1494" s="39">
        <v>43409</v>
      </c>
      <c r="G1494" s="37">
        <v>1.5</v>
      </c>
      <c r="O1494"/>
      <c r="P1494"/>
      <c r="R1494" s="39">
        <v>43402</v>
      </c>
      <c r="S1494" s="37">
        <v>0.70109999999999995</v>
      </c>
      <c r="U1494" s="39">
        <v>43385</v>
      </c>
      <c r="V1494" s="37">
        <v>1.75</v>
      </c>
    </row>
    <row r="1495" spans="6:22" ht="15" x14ac:dyDescent="0.25">
      <c r="F1495" s="39">
        <v>43406</v>
      </c>
      <c r="G1495" s="37">
        <v>1.5</v>
      </c>
      <c r="O1495"/>
      <c r="P1495"/>
      <c r="R1495" s="39">
        <v>43399</v>
      </c>
      <c r="S1495" s="37">
        <v>0.70209999999999995</v>
      </c>
      <c r="U1495" s="39">
        <v>43384</v>
      </c>
      <c r="V1495" s="37">
        <v>1.75</v>
      </c>
    </row>
    <row r="1496" spans="6:22" ht="15" x14ac:dyDescent="0.25">
      <c r="F1496" s="39">
        <v>43405</v>
      </c>
      <c r="G1496" s="37">
        <v>1.5</v>
      </c>
      <c r="O1496"/>
      <c r="P1496"/>
      <c r="R1496" s="39">
        <v>43398</v>
      </c>
      <c r="S1496" s="37">
        <v>0.69879999999999998</v>
      </c>
      <c r="U1496" s="39">
        <v>43383</v>
      </c>
      <c r="V1496" s="37">
        <v>1.75</v>
      </c>
    </row>
    <row r="1497" spans="6:22" ht="15" x14ac:dyDescent="0.25">
      <c r="F1497" s="39">
        <v>43404</v>
      </c>
      <c r="G1497" s="37">
        <v>1.5</v>
      </c>
      <c r="O1497"/>
      <c r="P1497"/>
      <c r="R1497" s="39">
        <v>43397</v>
      </c>
      <c r="S1497" s="37">
        <v>0.70230000000000004</v>
      </c>
      <c r="U1497" s="39">
        <v>43382</v>
      </c>
      <c r="V1497" s="37">
        <v>1.75</v>
      </c>
    </row>
    <row r="1498" spans="6:22" ht="15" x14ac:dyDescent="0.25">
      <c r="F1498" s="39">
        <v>43403</v>
      </c>
      <c r="G1498" s="37">
        <v>1.5</v>
      </c>
      <c r="O1498"/>
      <c r="P1498"/>
      <c r="R1498" s="39">
        <v>43396</v>
      </c>
      <c r="S1498" s="37">
        <v>0.70040000000000002</v>
      </c>
      <c r="U1498" s="39">
        <v>43381</v>
      </c>
      <c r="V1498" s="37">
        <v>1.75</v>
      </c>
    </row>
    <row r="1499" spans="6:22" ht="15" x14ac:dyDescent="0.25">
      <c r="F1499" s="39">
        <v>43402</v>
      </c>
      <c r="G1499" s="37">
        <v>1.5</v>
      </c>
      <c r="O1499"/>
      <c r="P1499"/>
      <c r="R1499" s="39">
        <v>43395</v>
      </c>
      <c r="S1499" s="37">
        <v>0.69899999999999995</v>
      </c>
      <c r="U1499" s="39">
        <v>43378</v>
      </c>
      <c r="V1499" s="37">
        <v>1.75</v>
      </c>
    </row>
    <row r="1500" spans="6:22" ht="15" x14ac:dyDescent="0.25">
      <c r="F1500" s="39">
        <v>43399</v>
      </c>
      <c r="G1500" s="37">
        <v>1.5</v>
      </c>
      <c r="O1500"/>
      <c r="P1500"/>
      <c r="R1500" s="39">
        <v>43392</v>
      </c>
      <c r="S1500" s="37">
        <v>0.69989999999999997</v>
      </c>
      <c r="U1500" s="39">
        <v>43377</v>
      </c>
      <c r="V1500" s="37">
        <v>1.75</v>
      </c>
    </row>
    <row r="1501" spans="6:22" ht="15" x14ac:dyDescent="0.25">
      <c r="F1501" s="39">
        <v>43398</v>
      </c>
      <c r="G1501" s="37">
        <v>1.5</v>
      </c>
      <c r="O1501"/>
      <c r="P1501"/>
      <c r="R1501" s="39">
        <v>43391</v>
      </c>
      <c r="S1501" s="37">
        <v>0.70169999999999999</v>
      </c>
      <c r="U1501" s="39">
        <v>43376</v>
      </c>
      <c r="V1501" s="37">
        <v>1.75</v>
      </c>
    </row>
    <row r="1502" spans="6:22" ht="15" x14ac:dyDescent="0.25">
      <c r="F1502" s="39">
        <v>43397</v>
      </c>
      <c r="G1502" s="37">
        <v>1.5</v>
      </c>
      <c r="O1502"/>
      <c r="P1502"/>
      <c r="R1502" s="39">
        <v>43390</v>
      </c>
      <c r="S1502" s="37">
        <v>0.7016</v>
      </c>
      <c r="U1502" s="39">
        <v>43375</v>
      </c>
      <c r="V1502" s="37">
        <v>1.75</v>
      </c>
    </row>
    <row r="1503" spans="6:22" ht="15" x14ac:dyDescent="0.25">
      <c r="F1503" s="39">
        <v>43396</v>
      </c>
      <c r="G1503" s="37">
        <v>1.5</v>
      </c>
      <c r="O1503"/>
      <c r="P1503"/>
      <c r="R1503" s="39">
        <v>43389</v>
      </c>
      <c r="S1503" s="37">
        <v>0.70120000000000005</v>
      </c>
      <c r="U1503" s="39">
        <v>43374</v>
      </c>
      <c r="V1503" s="37">
        <v>1.75</v>
      </c>
    </row>
    <row r="1504" spans="6:22" ht="15" x14ac:dyDescent="0.25">
      <c r="F1504" s="39">
        <v>43395</v>
      </c>
      <c r="G1504" s="37">
        <v>1.5</v>
      </c>
      <c r="O1504"/>
      <c r="P1504"/>
      <c r="R1504" s="39">
        <v>43388</v>
      </c>
      <c r="S1504" s="37">
        <v>0.70099999999999996</v>
      </c>
      <c r="U1504" s="39">
        <v>43371</v>
      </c>
      <c r="V1504" s="37">
        <v>1.75</v>
      </c>
    </row>
    <row r="1505" spans="6:22" ht="15" x14ac:dyDescent="0.25">
      <c r="F1505" s="39">
        <v>43392</v>
      </c>
      <c r="G1505" s="37">
        <v>1.5</v>
      </c>
      <c r="O1505"/>
      <c r="P1505"/>
      <c r="R1505" s="39">
        <v>43385</v>
      </c>
      <c r="S1505" s="37">
        <v>0.70120000000000005</v>
      </c>
      <c r="U1505" s="39">
        <v>43370</v>
      </c>
      <c r="V1505" s="37">
        <v>1.75</v>
      </c>
    </row>
    <row r="1506" spans="6:22" ht="15" x14ac:dyDescent="0.25">
      <c r="F1506" s="39">
        <v>43391</v>
      </c>
      <c r="G1506" s="37">
        <v>1.5</v>
      </c>
      <c r="O1506"/>
      <c r="P1506"/>
      <c r="R1506" s="39">
        <v>43384</v>
      </c>
      <c r="S1506" s="37">
        <v>0.69989999999999997</v>
      </c>
      <c r="U1506" s="39">
        <v>43369</v>
      </c>
      <c r="V1506" s="37">
        <v>1.75</v>
      </c>
    </row>
    <row r="1507" spans="6:22" ht="15" x14ac:dyDescent="0.25">
      <c r="F1507" s="39">
        <v>43390</v>
      </c>
      <c r="G1507" s="37">
        <v>1.5</v>
      </c>
      <c r="O1507"/>
      <c r="P1507"/>
      <c r="R1507" s="39">
        <v>43383</v>
      </c>
      <c r="S1507" s="37">
        <v>0.69969999999999999</v>
      </c>
      <c r="U1507" s="39">
        <v>43368</v>
      </c>
      <c r="V1507" s="37">
        <v>1.75</v>
      </c>
    </row>
    <row r="1508" spans="6:22" ht="15" x14ac:dyDescent="0.25">
      <c r="F1508" s="39">
        <v>43389</v>
      </c>
      <c r="G1508" s="37">
        <v>1.5</v>
      </c>
      <c r="O1508"/>
      <c r="P1508"/>
      <c r="R1508" s="39">
        <v>43382</v>
      </c>
      <c r="S1508" s="37">
        <v>0.70189999999999997</v>
      </c>
      <c r="U1508" s="39">
        <v>43367</v>
      </c>
      <c r="V1508" s="37">
        <v>1.75</v>
      </c>
    </row>
    <row r="1509" spans="6:22" ht="15" x14ac:dyDescent="0.25">
      <c r="F1509" s="39">
        <v>43388</v>
      </c>
      <c r="G1509" s="37">
        <v>1.5</v>
      </c>
      <c r="O1509"/>
      <c r="P1509"/>
      <c r="R1509" s="39">
        <v>43381</v>
      </c>
      <c r="S1509" s="37">
        <v>0.70209999999999995</v>
      </c>
      <c r="U1509" s="39">
        <v>43364</v>
      </c>
      <c r="V1509" s="37">
        <v>1.75</v>
      </c>
    </row>
    <row r="1510" spans="6:22" ht="15" x14ac:dyDescent="0.25">
      <c r="F1510" s="39">
        <v>43385</v>
      </c>
      <c r="G1510" s="37">
        <v>1.5</v>
      </c>
      <c r="O1510"/>
      <c r="P1510"/>
      <c r="R1510" s="39">
        <v>43378</v>
      </c>
      <c r="S1510" s="37">
        <v>0.70099999999999996</v>
      </c>
      <c r="U1510" s="39">
        <v>43363</v>
      </c>
      <c r="V1510" s="37">
        <v>1.75</v>
      </c>
    </row>
    <row r="1511" spans="6:22" ht="15" x14ac:dyDescent="0.25">
      <c r="F1511" s="39">
        <v>43384</v>
      </c>
      <c r="G1511" s="37">
        <v>1.5</v>
      </c>
      <c r="O1511"/>
      <c r="P1511"/>
      <c r="R1511" s="39">
        <v>43377</v>
      </c>
      <c r="S1511" s="37">
        <v>0.70230000000000004</v>
      </c>
      <c r="U1511" s="39">
        <v>43362</v>
      </c>
      <c r="V1511" s="37">
        <v>1.75</v>
      </c>
    </row>
    <row r="1512" spans="6:22" ht="15" x14ac:dyDescent="0.25">
      <c r="F1512" s="39">
        <v>43383</v>
      </c>
      <c r="G1512" s="37">
        <v>1.5</v>
      </c>
      <c r="O1512"/>
      <c r="P1512"/>
      <c r="R1512" s="39">
        <v>43376</v>
      </c>
      <c r="S1512" s="37">
        <v>0.70150000000000001</v>
      </c>
      <c r="U1512" s="39">
        <v>43361</v>
      </c>
      <c r="V1512" s="37">
        <v>1.75</v>
      </c>
    </row>
    <row r="1513" spans="6:22" ht="15" x14ac:dyDescent="0.25">
      <c r="F1513" s="39">
        <v>43382</v>
      </c>
      <c r="G1513" s="37">
        <v>1.5</v>
      </c>
      <c r="O1513"/>
      <c r="P1513"/>
      <c r="R1513" s="39">
        <v>43375</v>
      </c>
      <c r="S1513" s="37">
        <v>0.7026</v>
      </c>
      <c r="U1513" s="39">
        <v>43360</v>
      </c>
      <c r="V1513" s="37">
        <v>1.75</v>
      </c>
    </row>
    <row r="1514" spans="6:22" ht="15" x14ac:dyDescent="0.25">
      <c r="F1514" s="39">
        <v>43381</v>
      </c>
      <c r="G1514" s="37">
        <v>1.5</v>
      </c>
      <c r="O1514"/>
      <c r="P1514"/>
      <c r="R1514" s="39">
        <v>43374</v>
      </c>
      <c r="S1514" s="37">
        <v>0.70209999999999995</v>
      </c>
      <c r="U1514" s="39">
        <v>43357</v>
      </c>
      <c r="V1514" s="37">
        <v>1.75</v>
      </c>
    </row>
    <row r="1515" spans="6:22" ht="15" x14ac:dyDescent="0.25">
      <c r="F1515" s="39">
        <v>43378</v>
      </c>
      <c r="G1515" s="37">
        <v>1.5</v>
      </c>
      <c r="O1515"/>
      <c r="P1515"/>
      <c r="R1515" s="39">
        <v>43371</v>
      </c>
      <c r="S1515" s="37">
        <v>0.69640000000000002</v>
      </c>
      <c r="U1515" s="39">
        <v>43356</v>
      </c>
      <c r="V1515" s="37">
        <v>1.75</v>
      </c>
    </row>
    <row r="1516" spans="6:22" ht="15" x14ac:dyDescent="0.25">
      <c r="F1516" s="39">
        <v>43377</v>
      </c>
      <c r="G1516" s="37">
        <v>1.5</v>
      </c>
      <c r="O1516"/>
      <c r="P1516"/>
      <c r="R1516" s="39">
        <v>43370</v>
      </c>
      <c r="S1516" s="37">
        <v>0.70150000000000001</v>
      </c>
      <c r="U1516" s="39">
        <v>43355</v>
      </c>
      <c r="V1516" s="37">
        <v>1.75</v>
      </c>
    </row>
    <row r="1517" spans="6:22" ht="15" x14ac:dyDescent="0.25">
      <c r="F1517" s="39">
        <v>43376</v>
      </c>
      <c r="G1517" s="37">
        <v>1.5</v>
      </c>
      <c r="O1517"/>
      <c r="P1517"/>
      <c r="R1517" s="39">
        <v>43369</v>
      </c>
      <c r="S1517" s="37">
        <v>0.69899999999999995</v>
      </c>
      <c r="U1517" s="39">
        <v>43354</v>
      </c>
      <c r="V1517" s="37">
        <v>1.75</v>
      </c>
    </row>
    <row r="1518" spans="6:22" ht="15" x14ac:dyDescent="0.25">
      <c r="F1518" s="39">
        <v>43375</v>
      </c>
      <c r="G1518" s="37">
        <v>1.5</v>
      </c>
      <c r="O1518"/>
      <c r="P1518"/>
      <c r="R1518" s="39">
        <v>43368</v>
      </c>
      <c r="S1518" s="37">
        <v>0.69950000000000001</v>
      </c>
      <c r="U1518" s="39">
        <v>43353</v>
      </c>
      <c r="V1518" s="37">
        <v>1.75</v>
      </c>
    </row>
    <row r="1519" spans="6:22" ht="15" x14ac:dyDescent="0.25">
      <c r="F1519" s="39">
        <v>43374</v>
      </c>
      <c r="G1519" s="37">
        <v>1.5</v>
      </c>
      <c r="O1519"/>
      <c r="P1519"/>
      <c r="R1519" s="39">
        <v>43367</v>
      </c>
      <c r="S1519" s="37">
        <v>0.70099999999999996</v>
      </c>
      <c r="U1519" s="39">
        <v>43350</v>
      </c>
      <c r="V1519" s="37">
        <v>1.75</v>
      </c>
    </row>
    <row r="1520" spans="6:22" ht="15" x14ac:dyDescent="0.25">
      <c r="F1520" s="39">
        <v>43371</v>
      </c>
      <c r="G1520" s="37">
        <v>1.5</v>
      </c>
      <c r="O1520"/>
      <c r="P1520"/>
      <c r="R1520" s="39">
        <v>43364</v>
      </c>
      <c r="S1520" s="37">
        <v>0.70030000000000003</v>
      </c>
      <c r="U1520" s="39">
        <v>43349</v>
      </c>
      <c r="V1520" s="37">
        <v>1.75</v>
      </c>
    </row>
    <row r="1521" spans="6:22" ht="15" x14ac:dyDescent="0.25">
      <c r="F1521" s="39">
        <v>43370</v>
      </c>
      <c r="G1521" s="37">
        <v>1.5</v>
      </c>
      <c r="O1521"/>
      <c r="P1521"/>
      <c r="R1521" s="39">
        <v>43363</v>
      </c>
      <c r="S1521" s="37">
        <v>0.69989999999999997</v>
      </c>
      <c r="U1521" s="39">
        <v>43348</v>
      </c>
      <c r="V1521" s="37">
        <v>1.75</v>
      </c>
    </row>
    <row r="1522" spans="6:22" ht="15" x14ac:dyDescent="0.25">
      <c r="F1522" s="39">
        <v>43369</v>
      </c>
      <c r="G1522" s="37">
        <v>1.5</v>
      </c>
      <c r="O1522"/>
      <c r="P1522"/>
      <c r="R1522" s="39">
        <v>43362</v>
      </c>
      <c r="S1522" s="37">
        <v>0.70050000000000001</v>
      </c>
      <c r="U1522" s="39">
        <v>43347</v>
      </c>
      <c r="V1522" s="37">
        <v>1.75</v>
      </c>
    </row>
    <row r="1523" spans="6:22" ht="15" x14ac:dyDescent="0.25">
      <c r="F1523" s="39">
        <v>43368</v>
      </c>
      <c r="G1523" s="37">
        <v>1.5</v>
      </c>
      <c r="O1523"/>
      <c r="P1523"/>
      <c r="R1523" s="39">
        <v>43361</v>
      </c>
      <c r="S1523" s="37">
        <v>0.70150000000000001</v>
      </c>
      <c r="U1523" s="39">
        <v>43346</v>
      </c>
      <c r="V1523" s="37">
        <v>1.75</v>
      </c>
    </row>
    <row r="1524" spans="6:22" ht="15" x14ac:dyDescent="0.25">
      <c r="F1524" s="39">
        <v>43367</v>
      </c>
      <c r="G1524" s="37">
        <v>1.5</v>
      </c>
      <c r="O1524"/>
      <c r="P1524"/>
      <c r="R1524" s="39">
        <v>43360</v>
      </c>
      <c r="S1524" s="37">
        <v>0.70130000000000003</v>
      </c>
      <c r="U1524" s="39">
        <v>43343</v>
      </c>
      <c r="V1524" s="37">
        <v>1.75</v>
      </c>
    </row>
    <row r="1525" spans="6:22" ht="15" x14ac:dyDescent="0.25">
      <c r="F1525" s="39">
        <v>43364</v>
      </c>
      <c r="G1525" s="37">
        <v>1.5</v>
      </c>
      <c r="O1525"/>
      <c r="P1525"/>
      <c r="R1525" s="39">
        <v>43357</v>
      </c>
      <c r="S1525" s="37">
        <v>0.7016</v>
      </c>
      <c r="U1525" s="39">
        <v>43342</v>
      </c>
      <c r="V1525" s="37">
        <v>1.75</v>
      </c>
    </row>
    <row r="1526" spans="6:22" ht="15" x14ac:dyDescent="0.25">
      <c r="F1526" s="39">
        <v>43363</v>
      </c>
      <c r="G1526" s="37">
        <v>1.5</v>
      </c>
      <c r="O1526"/>
      <c r="P1526"/>
      <c r="R1526" s="39">
        <v>43356</v>
      </c>
      <c r="S1526" s="37">
        <v>0.70240000000000002</v>
      </c>
      <c r="U1526" s="39">
        <v>43341</v>
      </c>
      <c r="V1526" s="37">
        <v>1.75</v>
      </c>
    </row>
    <row r="1527" spans="6:22" ht="15" x14ac:dyDescent="0.25">
      <c r="F1527" s="39">
        <v>43362</v>
      </c>
      <c r="G1527" s="37">
        <v>1.5</v>
      </c>
      <c r="O1527"/>
      <c r="P1527"/>
      <c r="R1527" s="39">
        <v>43355</v>
      </c>
      <c r="S1527" s="37">
        <v>0.70250000000000001</v>
      </c>
      <c r="U1527" s="39">
        <v>43340</v>
      </c>
      <c r="V1527" s="37">
        <v>1.75</v>
      </c>
    </row>
    <row r="1528" spans="6:22" ht="15" x14ac:dyDescent="0.25">
      <c r="F1528" s="39">
        <v>43361</v>
      </c>
      <c r="G1528" s="37">
        <v>1.5</v>
      </c>
      <c r="O1528"/>
      <c r="P1528"/>
      <c r="R1528" s="39">
        <v>43354</v>
      </c>
      <c r="S1528" s="37">
        <v>0.70030000000000003</v>
      </c>
      <c r="U1528" s="39">
        <v>43339</v>
      </c>
      <c r="V1528" s="37">
        <v>1.75</v>
      </c>
    </row>
    <row r="1529" spans="6:22" ht="15" x14ac:dyDescent="0.25">
      <c r="F1529" s="39">
        <v>43360</v>
      </c>
      <c r="G1529" s="37">
        <v>1.5</v>
      </c>
      <c r="O1529"/>
      <c r="P1529"/>
      <c r="R1529" s="39">
        <v>43353</v>
      </c>
      <c r="S1529" s="37">
        <v>0.7016</v>
      </c>
      <c r="U1529" s="39">
        <v>43336</v>
      </c>
      <c r="V1529" s="37">
        <v>1.75</v>
      </c>
    </row>
    <row r="1530" spans="6:22" ht="15" x14ac:dyDescent="0.25">
      <c r="F1530" s="39">
        <v>43357</v>
      </c>
      <c r="G1530" s="37">
        <v>1.5</v>
      </c>
      <c r="O1530"/>
      <c r="P1530"/>
      <c r="R1530" s="39">
        <v>43350</v>
      </c>
      <c r="S1530" s="37">
        <v>0.70279999999999998</v>
      </c>
      <c r="U1530" s="39">
        <v>43335</v>
      </c>
      <c r="V1530" s="37">
        <v>1.75</v>
      </c>
    </row>
    <row r="1531" spans="6:22" ht="15" x14ac:dyDescent="0.25">
      <c r="F1531" s="39">
        <v>43356</v>
      </c>
      <c r="G1531" s="37">
        <v>1.5</v>
      </c>
      <c r="O1531"/>
      <c r="P1531"/>
      <c r="R1531" s="39">
        <v>43349</v>
      </c>
      <c r="S1531" s="37">
        <v>0.70320000000000005</v>
      </c>
      <c r="U1531" s="39">
        <v>43334</v>
      </c>
      <c r="V1531" s="37">
        <v>1.75</v>
      </c>
    </row>
    <row r="1532" spans="6:22" ht="15" x14ac:dyDescent="0.25">
      <c r="F1532" s="39">
        <v>43355</v>
      </c>
      <c r="G1532" s="37">
        <v>1.5</v>
      </c>
      <c r="O1532"/>
      <c r="P1532"/>
      <c r="R1532" s="39">
        <v>43348</v>
      </c>
      <c r="S1532" s="37">
        <v>0.70220000000000005</v>
      </c>
      <c r="U1532" s="39">
        <v>43333</v>
      </c>
      <c r="V1532" s="37">
        <v>1.75</v>
      </c>
    </row>
    <row r="1533" spans="6:22" ht="15" x14ac:dyDescent="0.25">
      <c r="F1533" s="39">
        <v>43354</v>
      </c>
      <c r="G1533" s="37">
        <v>1.5</v>
      </c>
      <c r="O1533"/>
      <c r="P1533"/>
      <c r="R1533" s="39">
        <v>43347</v>
      </c>
      <c r="S1533" s="37">
        <v>0.7046</v>
      </c>
      <c r="U1533" s="39">
        <v>43332</v>
      </c>
      <c r="V1533" s="37">
        <v>1.75</v>
      </c>
    </row>
    <row r="1534" spans="6:22" ht="15" x14ac:dyDescent="0.25">
      <c r="F1534" s="39">
        <v>43353</v>
      </c>
      <c r="G1534" s="37">
        <v>1.5</v>
      </c>
      <c r="O1534"/>
      <c r="P1534"/>
      <c r="R1534" s="39">
        <v>43346</v>
      </c>
      <c r="S1534" s="37">
        <v>0.70199999999999996</v>
      </c>
      <c r="U1534" s="39">
        <v>43329</v>
      </c>
      <c r="V1534" s="37">
        <v>1.75</v>
      </c>
    </row>
    <row r="1535" spans="6:22" ht="15" x14ac:dyDescent="0.25">
      <c r="F1535" s="39">
        <v>43350</v>
      </c>
      <c r="G1535" s="37">
        <v>1.5</v>
      </c>
      <c r="O1535"/>
      <c r="P1535"/>
      <c r="R1535" s="39">
        <v>43343</v>
      </c>
      <c r="S1535" s="37">
        <v>0.70420000000000005</v>
      </c>
      <c r="U1535" s="39">
        <v>43328</v>
      </c>
      <c r="V1535" s="37">
        <v>1.75</v>
      </c>
    </row>
    <row r="1536" spans="6:22" ht="15" x14ac:dyDescent="0.25">
      <c r="F1536" s="39">
        <v>43349</v>
      </c>
      <c r="G1536" s="37">
        <v>1.5</v>
      </c>
      <c r="O1536"/>
      <c r="P1536"/>
      <c r="R1536" s="39">
        <v>43342</v>
      </c>
      <c r="S1536" s="37">
        <v>0.70579999999999998</v>
      </c>
      <c r="U1536" s="39">
        <v>43327</v>
      </c>
      <c r="V1536" s="37">
        <v>1.75</v>
      </c>
    </row>
    <row r="1537" spans="6:22" ht="15" x14ac:dyDescent="0.25">
      <c r="F1537" s="39">
        <v>43348</v>
      </c>
      <c r="G1537" s="37">
        <v>1.5</v>
      </c>
      <c r="O1537"/>
      <c r="P1537"/>
      <c r="R1537" s="39">
        <v>43341</v>
      </c>
      <c r="S1537" s="37">
        <v>0.70479999999999998</v>
      </c>
      <c r="U1537" s="39">
        <v>43326</v>
      </c>
      <c r="V1537" s="37">
        <v>1.75</v>
      </c>
    </row>
    <row r="1538" spans="6:22" ht="15" x14ac:dyDescent="0.25">
      <c r="F1538" s="39">
        <v>43347</v>
      </c>
      <c r="G1538" s="37">
        <v>1.5</v>
      </c>
      <c r="O1538"/>
      <c r="P1538"/>
      <c r="R1538" s="39">
        <v>43340</v>
      </c>
      <c r="S1538" s="37">
        <v>0.70320000000000005</v>
      </c>
      <c r="U1538" s="39">
        <v>43325</v>
      </c>
      <c r="V1538" s="37">
        <v>1.75</v>
      </c>
    </row>
    <row r="1539" spans="6:22" ht="15" x14ac:dyDescent="0.25">
      <c r="F1539" s="39">
        <v>43346</v>
      </c>
      <c r="G1539" s="37">
        <v>1.5</v>
      </c>
      <c r="O1539"/>
      <c r="P1539"/>
      <c r="R1539" s="39">
        <v>43336</v>
      </c>
      <c r="S1539" s="37">
        <v>0.7036</v>
      </c>
      <c r="U1539" s="39">
        <v>43322</v>
      </c>
      <c r="V1539" s="37">
        <v>1.75</v>
      </c>
    </row>
    <row r="1540" spans="6:22" ht="15" x14ac:dyDescent="0.25">
      <c r="F1540" s="39">
        <v>43343</v>
      </c>
      <c r="G1540" s="37">
        <v>1.5</v>
      </c>
      <c r="O1540"/>
      <c r="P1540"/>
      <c r="R1540" s="39">
        <v>43335</v>
      </c>
      <c r="S1540" s="37">
        <v>0.70350000000000001</v>
      </c>
      <c r="U1540" s="39">
        <v>43321</v>
      </c>
      <c r="V1540" s="37">
        <v>1.75</v>
      </c>
    </row>
    <row r="1541" spans="6:22" ht="15" x14ac:dyDescent="0.25">
      <c r="F1541" s="39">
        <v>43342</v>
      </c>
      <c r="G1541" s="37">
        <v>1.5</v>
      </c>
      <c r="O1541"/>
      <c r="P1541"/>
      <c r="R1541" s="39">
        <v>43334</v>
      </c>
      <c r="S1541" s="37">
        <v>0.70279999999999998</v>
      </c>
      <c r="U1541" s="39">
        <v>43320</v>
      </c>
      <c r="V1541" s="37">
        <v>1.75</v>
      </c>
    </row>
    <row r="1542" spans="6:22" ht="15" x14ac:dyDescent="0.25">
      <c r="F1542" s="39">
        <v>43341</v>
      </c>
      <c r="G1542" s="37">
        <v>1.5</v>
      </c>
      <c r="O1542"/>
      <c r="P1542"/>
      <c r="R1542" s="39">
        <v>43333</v>
      </c>
      <c r="S1542" s="37">
        <v>0.70369999999999999</v>
      </c>
      <c r="U1542" s="39">
        <v>43319</v>
      </c>
      <c r="V1542" s="37">
        <v>1.75</v>
      </c>
    </row>
    <row r="1543" spans="6:22" ht="15" x14ac:dyDescent="0.25">
      <c r="F1543" s="39">
        <v>43340</v>
      </c>
      <c r="G1543" s="37">
        <v>1.5</v>
      </c>
      <c r="O1543"/>
      <c r="P1543"/>
      <c r="R1543" s="39">
        <v>43332</v>
      </c>
      <c r="S1543" s="37">
        <v>0.70389999999999997</v>
      </c>
      <c r="U1543" s="39">
        <v>43318</v>
      </c>
      <c r="V1543" s="37">
        <v>1.75</v>
      </c>
    </row>
    <row r="1544" spans="6:22" ht="15" x14ac:dyDescent="0.25">
      <c r="F1544" s="39">
        <v>43339</v>
      </c>
      <c r="G1544" s="37">
        <v>1.5</v>
      </c>
      <c r="O1544"/>
      <c r="P1544"/>
      <c r="R1544" s="39">
        <v>43329</v>
      </c>
      <c r="S1544" s="37">
        <v>0.70299999999999996</v>
      </c>
      <c r="U1544" s="39">
        <v>43315</v>
      </c>
      <c r="V1544" s="37">
        <v>1.75</v>
      </c>
    </row>
    <row r="1545" spans="6:22" ht="15" x14ac:dyDescent="0.25">
      <c r="F1545" s="39">
        <v>43336</v>
      </c>
      <c r="G1545" s="37">
        <v>1.5</v>
      </c>
      <c r="O1545"/>
      <c r="P1545"/>
      <c r="R1545" s="39">
        <v>43328</v>
      </c>
      <c r="S1545" s="37">
        <v>0.70240000000000002</v>
      </c>
      <c r="U1545" s="39">
        <v>43314</v>
      </c>
      <c r="V1545" s="37">
        <v>1.75</v>
      </c>
    </row>
    <row r="1546" spans="6:22" ht="15" x14ac:dyDescent="0.25">
      <c r="F1546" s="39">
        <v>43335</v>
      </c>
      <c r="G1546" s="37">
        <v>1.5</v>
      </c>
      <c r="O1546"/>
      <c r="P1546"/>
      <c r="R1546" s="39">
        <v>43327</v>
      </c>
      <c r="S1546" s="37">
        <v>0.70179999999999998</v>
      </c>
      <c r="U1546" s="39">
        <v>43313</v>
      </c>
      <c r="V1546" s="37">
        <v>1.75</v>
      </c>
    </row>
    <row r="1547" spans="6:22" ht="15" x14ac:dyDescent="0.25">
      <c r="F1547" s="39">
        <v>43334</v>
      </c>
      <c r="G1547" s="37">
        <v>1.5</v>
      </c>
      <c r="O1547"/>
      <c r="P1547"/>
      <c r="R1547" s="39">
        <v>43326</v>
      </c>
      <c r="S1547" s="37">
        <v>0.70209999999999995</v>
      </c>
      <c r="U1547" s="39">
        <v>43312</v>
      </c>
      <c r="V1547" s="37">
        <v>1.75</v>
      </c>
    </row>
    <row r="1548" spans="6:22" ht="15" x14ac:dyDescent="0.25">
      <c r="F1548" s="39">
        <v>43333</v>
      </c>
      <c r="G1548" s="37">
        <v>1.5</v>
      </c>
      <c r="O1548"/>
      <c r="P1548"/>
      <c r="R1548" s="39">
        <v>43325</v>
      </c>
      <c r="S1548" s="37">
        <v>0.70369999999999999</v>
      </c>
      <c r="U1548" s="39">
        <v>43311</v>
      </c>
      <c r="V1548" s="37">
        <v>1.75</v>
      </c>
    </row>
    <row r="1549" spans="6:22" ht="15" x14ac:dyDescent="0.25">
      <c r="F1549" s="39">
        <v>43332</v>
      </c>
      <c r="G1549" s="37">
        <v>1.5</v>
      </c>
      <c r="O1549"/>
      <c r="P1549"/>
      <c r="R1549" s="39">
        <v>43322</v>
      </c>
      <c r="S1549" s="37">
        <v>0.70350000000000001</v>
      </c>
      <c r="U1549" s="39">
        <v>43308</v>
      </c>
      <c r="V1549" s="37">
        <v>1.75</v>
      </c>
    </row>
    <row r="1550" spans="6:22" ht="15" x14ac:dyDescent="0.25">
      <c r="F1550" s="39">
        <v>43329</v>
      </c>
      <c r="G1550" s="37">
        <v>1.5</v>
      </c>
      <c r="O1550"/>
      <c r="P1550"/>
      <c r="R1550" s="39">
        <v>43321</v>
      </c>
      <c r="S1550" s="37">
        <v>0.70189999999999997</v>
      </c>
      <c r="U1550" s="39">
        <v>43307</v>
      </c>
      <c r="V1550" s="37">
        <v>1.75</v>
      </c>
    </row>
    <row r="1551" spans="6:22" ht="15" x14ac:dyDescent="0.25">
      <c r="F1551" s="39">
        <v>43328</v>
      </c>
      <c r="G1551" s="37">
        <v>1.5</v>
      </c>
      <c r="O1551"/>
      <c r="P1551"/>
      <c r="R1551" s="39">
        <v>43320</v>
      </c>
      <c r="S1551" s="37">
        <v>0.70279999999999998</v>
      </c>
      <c r="U1551" s="39">
        <v>43306</v>
      </c>
      <c r="V1551" s="37">
        <v>1.75</v>
      </c>
    </row>
    <row r="1552" spans="6:22" ht="15" x14ac:dyDescent="0.25">
      <c r="F1552" s="39">
        <v>43327</v>
      </c>
      <c r="G1552" s="37">
        <v>1.5</v>
      </c>
      <c r="O1552"/>
      <c r="P1552"/>
      <c r="R1552" s="39">
        <v>43319</v>
      </c>
      <c r="S1552" s="37">
        <v>0.70109999999999995</v>
      </c>
      <c r="U1552" s="39">
        <v>43305</v>
      </c>
      <c r="V1552" s="37">
        <v>1.75</v>
      </c>
    </row>
    <row r="1553" spans="6:22" ht="15" x14ac:dyDescent="0.25">
      <c r="F1553" s="39">
        <v>43326</v>
      </c>
      <c r="G1553" s="37">
        <v>1.5</v>
      </c>
      <c r="O1553"/>
      <c r="P1553"/>
      <c r="R1553" s="39">
        <v>43318</v>
      </c>
      <c r="S1553" s="37">
        <v>0.7006</v>
      </c>
      <c r="U1553" s="39">
        <v>43304</v>
      </c>
      <c r="V1553" s="37">
        <v>1.75</v>
      </c>
    </row>
    <row r="1554" spans="6:22" ht="15" x14ac:dyDescent="0.25">
      <c r="F1554" s="39">
        <v>43325</v>
      </c>
      <c r="G1554" s="37">
        <v>1.5</v>
      </c>
      <c r="O1554"/>
      <c r="P1554"/>
      <c r="R1554" s="39">
        <v>43315</v>
      </c>
      <c r="S1554" s="37">
        <v>0.70279999999999998</v>
      </c>
      <c r="U1554" s="39">
        <v>43301</v>
      </c>
      <c r="V1554" s="37">
        <v>1.75</v>
      </c>
    </row>
    <row r="1555" spans="6:22" ht="15" x14ac:dyDescent="0.25">
      <c r="F1555" s="39">
        <v>43322</v>
      </c>
      <c r="G1555" s="37">
        <v>1.5</v>
      </c>
      <c r="O1555"/>
      <c r="P1555"/>
      <c r="R1555" s="39">
        <v>43314</v>
      </c>
      <c r="S1555" s="37">
        <v>0.68969999999999998</v>
      </c>
      <c r="U1555" s="39">
        <v>43300</v>
      </c>
      <c r="V1555" s="37">
        <v>1.75</v>
      </c>
    </row>
    <row r="1556" spans="6:22" ht="15" x14ac:dyDescent="0.25">
      <c r="F1556" s="39">
        <v>43321</v>
      </c>
      <c r="G1556" s="37">
        <v>1.5</v>
      </c>
      <c r="O1556"/>
      <c r="P1556"/>
      <c r="R1556" s="39">
        <v>43313</v>
      </c>
      <c r="S1556" s="37">
        <v>0.45219999999999999</v>
      </c>
      <c r="U1556" s="39">
        <v>43299</v>
      </c>
      <c r="V1556" s="37">
        <v>1.75</v>
      </c>
    </row>
    <row r="1557" spans="6:22" ht="15" x14ac:dyDescent="0.25">
      <c r="F1557" s="39">
        <v>43320</v>
      </c>
      <c r="G1557" s="37">
        <v>1.5</v>
      </c>
      <c r="O1557"/>
      <c r="P1557"/>
      <c r="R1557" s="39">
        <v>43312</v>
      </c>
      <c r="S1557" s="37">
        <v>0.45029999999999998</v>
      </c>
      <c r="U1557" s="39">
        <v>43298</v>
      </c>
      <c r="V1557" s="37">
        <v>1.75</v>
      </c>
    </row>
    <row r="1558" spans="6:22" ht="15" x14ac:dyDescent="0.25">
      <c r="F1558" s="39">
        <v>43319</v>
      </c>
      <c r="G1558" s="37">
        <v>1.5</v>
      </c>
      <c r="O1558"/>
      <c r="P1558"/>
      <c r="R1558" s="39">
        <v>43311</v>
      </c>
      <c r="S1558" s="37">
        <v>0.45229999999999998</v>
      </c>
      <c r="U1558" s="39">
        <v>43297</v>
      </c>
      <c r="V1558" s="37">
        <v>1.75</v>
      </c>
    </row>
    <row r="1559" spans="6:22" ht="15" x14ac:dyDescent="0.25">
      <c r="F1559" s="39">
        <v>43318</v>
      </c>
      <c r="G1559" s="37">
        <v>1.5</v>
      </c>
      <c r="O1559"/>
      <c r="P1559"/>
      <c r="R1559" s="39">
        <v>43308</v>
      </c>
      <c r="S1559" s="37">
        <v>0.45319999999999999</v>
      </c>
      <c r="U1559" s="39">
        <v>43294</v>
      </c>
      <c r="V1559" s="37">
        <v>1.75</v>
      </c>
    </row>
    <row r="1560" spans="6:22" ht="15" x14ac:dyDescent="0.25">
      <c r="F1560" s="39">
        <v>43315</v>
      </c>
      <c r="G1560" s="37">
        <v>1.5</v>
      </c>
      <c r="O1560"/>
      <c r="P1560"/>
      <c r="R1560" s="39">
        <v>43307</v>
      </c>
      <c r="S1560" s="37">
        <v>0.45319999999999999</v>
      </c>
      <c r="U1560" s="39">
        <v>43293</v>
      </c>
      <c r="V1560" s="37">
        <v>1.75</v>
      </c>
    </row>
    <row r="1561" spans="6:22" ht="15" x14ac:dyDescent="0.25">
      <c r="F1561" s="39">
        <v>43314</v>
      </c>
      <c r="G1561" s="37">
        <v>1.5</v>
      </c>
      <c r="O1561"/>
      <c r="P1561"/>
      <c r="R1561" s="39">
        <v>43306</v>
      </c>
      <c r="S1561" s="37">
        <v>0.45400000000000001</v>
      </c>
      <c r="U1561" s="39">
        <v>43292</v>
      </c>
      <c r="V1561" s="37">
        <v>1.75</v>
      </c>
    </row>
    <row r="1562" spans="6:22" ht="15" x14ac:dyDescent="0.25">
      <c r="F1562" s="39">
        <v>43313</v>
      </c>
      <c r="G1562" s="37">
        <v>1.5</v>
      </c>
      <c r="O1562"/>
      <c r="P1562"/>
      <c r="R1562" s="39">
        <v>43305</v>
      </c>
      <c r="S1562" s="37">
        <v>0.45479999999999998</v>
      </c>
      <c r="U1562" s="39">
        <v>43291</v>
      </c>
      <c r="V1562" s="37">
        <v>1.75</v>
      </c>
    </row>
    <row r="1563" spans="6:22" ht="15" x14ac:dyDescent="0.25">
      <c r="F1563" s="39">
        <v>43312</v>
      </c>
      <c r="G1563" s="37">
        <v>1.5</v>
      </c>
      <c r="O1563"/>
      <c r="P1563"/>
      <c r="R1563" s="39">
        <v>43304</v>
      </c>
      <c r="S1563" s="37">
        <v>0.45369999999999999</v>
      </c>
      <c r="U1563" s="39">
        <v>43290</v>
      </c>
      <c r="V1563" s="37">
        <v>1.75</v>
      </c>
    </row>
    <row r="1564" spans="6:22" ht="15" x14ac:dyDescent="0.25">
      <c r="F1564" s="39">
        <v>43311</v>
      </c>
      <c r="G1564" s="37">
        <v>1.5</v>
      </c>
      <c r="O1564"/>
      <c r="P1564"/>
      <c r="R1564" s="39">
        <v>43301</v>
      </c>
      <c r="S1564" s="37">
        <v>0.45569999999999999</v>
      </c>
      <c r="U1564" s="39">
        <v>43287</v>
      </c>
      <c r="V1564" s="37">
        <v>1.75</v>
      </c>
    </row>
    <row r="1565" spans="6:22" ht="15" x14ac:dyDescent="0.25">
      <c r="F1565" s="39">
        <v>43308</v>
      </c>
      <c r="G1565" s="37">
        <v>1.5</v>
      </c>
      <c r="O1565"/>
      <c r="P1565"/>
      <c r="R1565" s="39">
        <v>43300</v>
      </c>
      <c r="S1565" s="37">
        <v>0.45379999999999998</v>
      </c>
      <c r="U1565" s="39">
        <v>43286</v>
      </c>
      <c r="V1565" s="37">
        <v>1.75</v>
      </c>
    </row>
    <row r="1566" spans="6:22" ht="15" x14ac:dyDescent="0.25">
      <c r="F1566" s="39">
        <v>43307</v>
      </c>
      <c r="G1566" s="37">
        <v>1.5</v>
      </c>
      <c r="O1566"/>
      <c r="P1566"/>
      <c r="R1566" s="39">
        <v>43299</v>
      </c>
      <c r="S1566" s="37">
        <v>0.45429999999999998</v>
      </c>
      <c r="U1566" s="39">
        <v>43285</v>
      </c>
      <c r="V1566" s="37">
        <v>1.75</v>
      </c>
    </row>
    <row r="1567" spans="6:22" ht="15" x14ac:dyDescent="0.25">
      <c r="F1567" s="39">
        <v>43306</v>
      </c>
      <c r="G1567" s="37">
        <v>1.5</v>
      </c>
      <c r="O1567"/>
      <c r="P1567"/>
      <c r="R1567" s="39">
        <v>43298</v>
      </c>
      <c r="S1567" s="37">
        <v>0.4541</v>
      </c>
      <c r="U1567" s="39">
        <v>43284</v>
      </c>
      <c r="V1567" s="37">
        <v>1.75</v>
      </c>
    </row>
    <row r="1568" spans="6:22" ht="15" x14ac:dyDescent="0.25">
      <c r="F1568" s="39">
        <v>43305</v>
      </c>
      <c r="G1568" s="37">
        <v>1.5</v>
      </c>
      <c r="O1568"/>
      <c r="P1568"/>
      <c r="R1568" s="39">
        <v>43297</v>
      </c>
      <c r="S1568" s="37">
        <v>0.45519999999999999</v>
      </c>
      <c r="U1568" s="39">
        <v>43283</v>
      </c>
      <c r="V1568" s="37">
        <v>1.75</v>
      </c>
    </row>
    <row r="1569" spans="6:22" ht="15" x14ac:dyDescent="0.25">
      <c r="F1569" s="39">
        <v>43304</v>
      </c>
      <c r="G1569" s="37">
        <v>1.5</v>
      </c>
      <c r="O1569"/>
      <c r="P1569"/>
      <c r="R1569" s="39">
        <v>43294</v>
      </c>
      <c r="S1569" s="37">
        <v>0.45650000000000002</v>
      </c>
      <c r="U1569" s="39">
        <v>43280</v>
      </c>
      <c r="V1569" s="37">
        <v>1.75</v>
      </c>
    </row>
    <row r="1570" spans="6:22" ht="15" x14ac:dyDescent="0.25">
      <c r="F1570" s="39">
        <v>43301</v>
      </c>
      <c r="G1570" s="37">
        <v>1.5</v>
      </c>
      <c r="O1570"/>
      <c r="P1570"/>
      <c r="R1570" s="39">
        <v>43293</v>
      </c>
      <c r="S1570" s="37">
        <v>0.45629999999999998</v>
      </c>
      <c r="U1570" s="39">
        <v>43279</v>
      </c>
      <c r="V1570" s="37">
        <v>1.75</v>
      </c>
    </row>
    <row r="1571" spans="6:22" ht="15" x14ac:dyDescent="0.25">
      <c r="F1571" s="39">
        <v>43300</v>
      </c>
      <c r="G1571" s="37">
        <v>1.5</v>
      </c>
      <c r="O1571"/>
      <c r="P1571"/>
      <c r="R1571" s="39">
        <v>43292</v>
      </c>
      <c r="S1571" s="37">
        <v>0.45440000000000003</v>
      </c>
      <c r="U1571" s="39">
        <v>43278</v>
      </c>
      <c r="V1571" s="37">
        <v>1.75</v>
      </c>
    </row>
    <row r="1572" spans="6:22" ht="15" x14ac:dyDescent="0.25">
      <c r="F1572" s="39">
        <v>43299</v>
      </c>
      <c r="G1572" s="37">
        <v>1.5</v>
      </c>
      <c r="O1572"/>
      <c r="P1572"/>
      <c r="R1572" s="39">
        <v>43291</v>
      </c>
      <c r="S1572" s="37">
        <v>0.45490000000000003</v>
      </c>
      <c r="U1572" s="39">
        <v>43277</v>
      </c>
      <c r="V1572" s="37">
        <v>1.75</v>
      </c>
    </row>
    <row r="1573" spans="6:22" ht="15" x14ac:dyDescent="0.25">
      <c r="F1573" s="39">
        <v>43298</v>
      </c>
      <c r="G1573" s="37">
        <v>1.5</v>
      </c>
      <c r="O1573"/>
      <c r="P1573"/>
      <c r="R1573" s="39">
        <v>43290</v>
      </c>
      <c r="S1573" s="37">
        <v>0.45669999999999999</v>
      </c>
      <c r="U1573" s="39">
        <v>43276</v>
      </c>
      <c r="V1573" s="37">
        <v>1.75</v>
      </c>
    </row>
    <row r="1574" spans="6:22" ht="15" x14ac:dyDescent="0.25">
      <c r="F1574" s="39">
        <v>43297</v>
      </c>
      <c r="G1574" s="37">
        <v>1.5</v>
      </c>
      <c r="O1574"/>
      <c r="P1574"/>
      <c r="R1574" s="39">
        <v>43287</v>
      </c>
      <c r="S1574" s="37">
        <v>0.45800000000000002</v>
      </c>
      <c r="U1574" s="39">
        <v>43273</v>
      </c>
      <c r="V1574" s="37">
        <v>1.75</v>
      </c>
    </row>
    <row r="1575" spans="6:22" ht="15" x14ac:dyDescent="0.25">
      <c r="F1575" s="39">
        <v>43294</v>
      </c>
      <c r="G1575" s="37">
        <v>1.5</v>
      </c>
      <c r="O1575"/>
      <c r="P1575"/>
      <c r="R1575" s="39">
        <v>43286</v>
      </c>
      <c r="S1575" s="37">
        <v>0.45629999999999998</v>
      </c>
      <c r="U1575" s="39">
        <v>43272</v>
      </c>
      <c r="V1575" s="37">
        <v>1.75</v>
      </c>
    </row>
    <row r="1576" spans="6:22" ht="15" x14ac:dyDescent="0.25">
      <c r="F1576" s="39">
        <v>43293</v>
      </c>
      <c r="G1576" s="37">
        <v>1.5</v>
      </c>
      <c r="O1576"/>
      <c r="P1576"/>
      <c r="R1576" s="39">
        <v>43285</v>
      </c>
      <c r="S1576" s="37">
        <v>0.4546</v>
      </c>
      <c r="U1576" s="39">
        <v>43271</v>
      </c>
      <c r="V1576" s="37">
        <v>1.75</v>
      </c>
    </row>
    <row r="1577" spans="6:22" ht="15" x14ac:dyDescent="0.25">
      <c r="F1577" s="39">
        <v>43292</v>
      </c>
      <c r="G1577" s="37">
        <v>1.5</v>
      </c>
      <c r="O1577"/>
      <c r="P1577"/>
      <c r="R1577" s="39">
        <v>43284</v>
      </c>
      <c r="S1577" s="37">
        <v>0.45429999999999998</v>
      </c>
      <c r="U1577" s="39">
        <v>43270</v>
      </c>
      <c r="V1577" s="37">
        <v>1.75</v>
      </c>
    </row>
    <row r="1578" spans="6:22" ht="15" x14ac:dyDescent="0.25">
      <c r="F1578" s="39">
        <v>43291</v>
      </c>
      <c r="G1578" s="37">
        <v>1.5</v>
      </c>
      <c r="O1578"/>
      <c r="P1578"/>
      <c r="R1578" s="39">
        <v>43283</v>
      </c>
      <c r="S1578" s="37">
        <v>0.4531</v>
      </c>
      <c r="U1578" s="39">
        <v>43269</v>
      </c>
      <c r="V1578" s="37">
        <v>1.75</v>
      </c>
    </row>
    <row r="1579" spans="6:22" ht="15" x14ac:dyDescent="0.25">
      <c r="F1579" s="39">
        <v>43290</v>
      </c>
      <c r="G1579" s="37">
        <v>1.5</v>
      </c>
      <c r="O1579"/>
      <c r="P1579"/>
      <c r="R1579" s="39">
        <v>43280</v>
      </c>
      <c r="S1579" s="37">
        <v>0.43990000000000001</v>
      </c>
      <c r="U1579" s="39">
        <v>43266</v>
      </c>
      <c r="V1579" s="37">
        <v>1.75</v>
      </c>
    </row>
    <row r="1580" spans="6:22" ht="15" x14ac:dyDescent="0.25">
      <c r="F1580" s="39">
        <v>43287</v>
      </c>
      <c r="G1580" s="37">
        <v>1.5</v>
      </c>
      <c r="O1580"/>
      <c r="P1580"/>
      <c r="R1580" s="39">
        <v>43279</v>
      </c>
      <c r="S1580" s="37">
        <v>0.45150000000000001</v>
      </c>
      <c r="U1580" s="39">
        <v>43265</v>
      </c>
      <c r="V1580" s="37">
        <v>1.75</v>
      </c>
    </row>
    <row r="1581" spans="6:22" ht="15" x14ac:dyDescent="0.25">
      <c r="F1581" s="39">
        <v>43286</v>
      </c>
      <c r="G1581" s="37">
        <v>1.5</v>
      </c>
      <c r="O1581"/>
      <c r="P1581"/>
      <c r="R1581" s="39">
        <v>43278</v>
      </c>
      <c r="S1581" s="37">
        <v>0.44950000000000001</v>
      </c>
      <c r="U1581" s="39">
        <v>43264</v>
      </c>
      <c r="V1581" s="37">
        <v>1.75</v>
      </c>
    </row>
    <row r="1582" spans="6:22" ht="15" x14ac:dyDescent="0.25">
      <c r="F1582" s="39">
        <v>43285</v>
      </c>
      <c r="G1582" s="37">
        <v>1.5</v>
      </c>
      <c r="O1582"/>
      <c r="P1582"/>
      <c r="R1582" s="39">
        <v>43277</v>
      </c>
      <c r="S1582" s="37">
        <v>0.44979999999999998</v>
      </c>
      <c r="U1582" s="39">
        <v>43263</v>
      </c>
      <c r="V1582" s="37">
        <v>1.75</v>
      </c>
    </row>
    <row r="1583" spans="6:22" ht="15" x14ac:dyDescent="0.25">
      <c r="F1583" s="39">
        <v>43284</v>
      </c>
      <c r="G1583" s="37">
        <v>1.5</v>
      </c>
      <c r="O1583"/>
      <c r="P1583"/>
      <c r="R1583" s="39">
        <v>43276</v>
      </c>
      <c r="S1583" s="37">
        <v>0.45119999999999999</v>
      </c>
      <c r="U1583" s="39">
        <v>43262</v>
      </c>
      <c r="V1583" s="37">
        <v>1.75</v>
      </c>
    </row>
    <row r="1584" spans="6:22" ht="15" x14ac:dyDescent="0.25">
      <c r="F1584" s="39">
        <v>43283</v>
      </c>
      <c r="G1584" s="37">
        <v>1.5</v>
      </c>
      <c r="O1584"/>
      <c r="P1584"/>
      <c r="R1584" s="39">
        <v>43273</v>
      </c>
      <c r="S1584" s="37">
        <v>0.4491</v>
      </c>
      <c r="U1584" s="39">
        <v>43259</v>
      </c>
      <c r="V1584" s="37">
        <v>1.75</v>
      </c>
    </row>
    <row r="1585" spans="6:22" ht="15" x14ac:dyDescent="0.25">
      <c r="F1585" s="39">
        <v>43280</v>
      </c>
      <c r="G1585" s="37">
        <v>1.5</v>
      </c>
      <c r="O1585"/>
      <c r="P1585"/>
      <c r="R1585" s="39">
        <v>43272</v>
      </c>
      <c r="S1585" s="37">
        <v>0.45129999999999998</v>
      </c>
      <c r="U1585" s="39">
        <v>43258</v>
      </c>
      <c r="V1585" s="37">
        <v>1.75</v>
      </c>
    </row>
    <row r="1586" spans="6:22" ht="15" x14ac:dyDescent="0.25">
      <c r="F1586" s="39">
        <v>43279</v>
      </c>
      <c r="G1586" s="37">
        <v>1.5</v>
      </c>
      <c r="O1586"/>
      <c r="P1586"/>
      <c r="R1586" s="39">
        <v>43271</v>
      </c>
      <c r="S1586" s="37">
        <v>0.44950000000000001</v>
      </c>
      <c r="U1586" s="39">
        <v>43257</v>
      </c>
      <c r="V1586" s="37">
        <v>1.75</v>
      </c>
    </row>
    <row r="1587" spans="6:22" ht="15" x14ac:dyDescent="0.25">
      <c r="F1587" s="39">
        <v>43278</v>
      </c>
      <c r="G1587" s="37">
        <v>1.5</v>
      </c>
      <c r="O1587"/>
      <c r="P1587"/>
      <c r="R1587" s="39">
        <v>43270</v>
      </c>
      <c r="S1587" s="37">
        <v>0.45069999999999999</v>
      </c>
      <c r="U1587" s="39">
        <v>43256</v>
      </c>
      <c r="V1587" s="37">
        <v>1.75</v>
      </c>
    </row>
    <row r="1588" spans="6:22" ht="15" x14ac:dyDescent="0.25">
      <c r="F1588" s="39">
        <v>43277</v>
      </c>
      <c r="G1588" s="37">
        <v>1.5</v>
      </c>
      <c r="O1588"/>
      <c r="P1588"/>
      <c r="R1588" s="39">
        <v>43269</v>
      </c>
      <c r="S1588" s="37">
        <v>0.45150000000000001</v>
      </c>
      <c r="U1588" s="39">
        <v>43252</v>
      </c>
      <c r="V1588" s="37">
        <v>1.75</v>
      </c>
    </row>
    <row r="1589" spans="6:22" ht="15" x14ac:dyDescent="0.25">
      <c r="F1589" s="39">
        <v>43276</v>
      </c>
      <c r="G1589" s="37">
        <v>1.5</v>
      </c>
      <c r="O1589"/>
      <c r="P1589"/>
      <c r="R1589" s="39">
        <v>43266</v>
      </c>
      <c r="S1589" s="37">
        <v>0.45050000000000001</v>
      </c>
      <c r="U1589" s="39">
        <v>43251</v>
      </c>
      <c r="V1589" s="37">
        <v>1.75</v>
      </c>
    </row>
    <row r="1590" spans="6:22" ht="15" x14ac:dyDescent="0.25">
      <c r="F1590" s="39">
        <v>43273</v>
      </c>
      <c r="G1590" s="37">
        <v>1.5</v>
      </c>
      <c r="O1590"/>
      <c r="P1590"/>
      <c r="R1590" s="39">
        <v>43265</v>
      </c>
      <c r="S1590" s="37">
        <v>0.45119999999999999</v>
      </c>
      <c r="U1590" s="39">
        <v>43250</v>
      </c>
      <c r="V1590" s="37">
        <v>1.75</v>
      </c>
    </row>
    <row r="1591" spans="6:22" ht="15" x14ac:dyDescent="0.25">
      <c r="F1591" s="39">
        <v>43272</v>
      </c>
      <c r="G1591" s="37">
        <v>1.5</v>
      </c>
      <c r="O1591"/>
      <c r="P1591"/>
      <c r="R1591" s="39">
        <v>43264</v>
      </c>
      <c r="S1591" s="37">
        <v>0.44890000000000002</v>
      </c>
      <c r="U1591" s="39">
        <v>43249</v>
      </c>
      <c r="V1591" s="37">
        <v>1.75</v>
      </c>
    </row>
    <row r="1592" spans="6:22" ht="15" x14ac:dyDescent="0.25">
      <c r="F1592" s="39">
        <v>43271</v>
      </c>
      <c r="G1592" s="37">
        <v>1.5</v>
      </c>
      <c r="O1592"/>
      <c r="P1592"/>
      <c r="R1592" s="39">
        <v>43263</v>
      </c>
      <c r="S1592" s="37">
        <v>0.4501</v>
      </c>
      <c r="U1592" s="39">
        <v>43248</v>
      </c>
      <c r="V1592" s="37">
        <v>1.75</v>
      </c>
    </row>
    <row r="1593" spans="6:22" ht="15" x14ac:dyDescent="0.25">
      <c r="F1593" s="39">
        <v>43270</v>
      </c>
      <c r="G1593" s="37">
        <v>1.5</v>
      </c>
      <c r="O1593"/>
      <c r="P1593"/>
      <c r="R1593" s="39">
        <v>43262</v>
      </c>
      <c r="S1593" s="37">
        <v>0.45140000000000002</v>
      </c>
      <c r="U1593" s="39">
        <v>43245</v>
      </c>
      <c r="V1593" s="37">
        <v>1.75</v>
      </c>
    </row>
    <row r="1594" spans="6:22" ht="15" x14ac:dyDescent="0.25">
      <c r="F1594" s="39">
        <v>43269</v>
      </c>
      <c r="G1594" s="37">
        <v>1.5</v>
      </c>
      <c r="O1594"/>
      <c r="P1594"/>
      <c r="R1594" s="39">
        <v>43259</v>
      </c>
      <c r="S1594" s="37">
        <v>0.45350000000000001</v>
      </c>
      <c r="U1594" s="39">
        <v>43244</v>
      </c>
      <c r="V1594" s="37">
        <v>1.75</v>
      </c>
    </row>
    <row r="1595" spans="6:22" ht="15" x14ac:dyDescent="0.25">
      <c r="F1595" s="39">
        <v>43266</v>
      </c>
      <c r="G1595" s="37">
        <v>1.5</v>
      </c>
      <c r="O1595"/>
      <c r="P1595"/>
      <c r="R1595" s="39">
        <v>43258</v>
      </c>
      <c r="S1595" s="37">
        <v>0.4531</v>
      </c>
      <c r="U1595" s="39">
        <v>43243</v>
      </c>
      <c r="V1595" s="37">
        <v>1.75</v>
      </c>
    </row>
    <row r="1596" spans="6:22" ht="15" x14ac:dyDescent="0.25">
      <c r="F1596" s="39">
        <v>43265</v>
      </c>
      <c r="G1596" s="37">
        <v>1.5</v>
      </c>
      <c r="O1596"/>
      <c r="P1596"/>
      <c r="R1596" s="39">
        <v>43257</v>
      </c>
      <c r="S1596" s="37">
        <v>0.45190000000000002</v>
      </c>
      <c r="U1596" s="39">
        <v>43242</v>
      </c>
      <c r="V1596" s="37">
        <v>1.75</v>
      </c>
    </row>
    <row r="1597" spans="6:22" ht="15" x14ac:dyDescent="0.25">
      <c r="F1597" s="39">
        <v>43264</v>
      </c>
      <c r="G1597" s="37">
        <v>1.5</v>
      </c>
      <c r="O1597"/>
      <c r="P1597"/>
      <c r="R1597" s="39">
        <v>43256</v>
      </c>
      <c r="S1597" s="37">
        <v>0.45250000000000001</v>
      </c>
      <c r="U1597" s="39">
        <v>43241</v>
      </c>
      <c r="V1597" s="37">
        <v>1.75</v>
      </c>
    </row>
    <row r="1598" spans="6:22" ht="15" x14ac:dyDescent="0.25">
      <c r="F1598" s="39">
        <v>43263</v>
      </c>
      <c r="G1598" s="37">
        <v>1.5</v>
      </c>
      <c r="O1598"/>
      <c r="P1598"/>
      <c r="R1598" s="39">
        <v>43255</v>
      </c>
      <c r="S1598" s="37">
        <v>0.45219999999999999</v>
      </c>
      <c r="U1598" s="39">
        <v>43238</v>
      </c>
      <c r="V1598" s="37">
        <v>1.75</v>
      </c>
    </row>
    <row r="1599" spans="6:22" ht="15" x14ac:dyDescent="0.25">
      <c r="F1599" s="39">
        <v>43259</v>
      </c>
      <c r="G1599" s="37">
        <v>1.5</v>
      </c>
      <c r="O1599"/>
      <c r="P1599"/>
      <c r="R1599" s="39">
        <v>43252</v>
      </c>
      <c r="S1599" s="37">
        <v>0.45440000000000003</v>
      </c>
      <c r="U1599" s="39">
        <v>43237</v>
      </c>
      <c r="V1599" s="37">
        <v>1.75</v>
      </c>
    </row>
    <row r="1600" spans="6:22" ht="15" x14ac:dyDescent="0.25">
      <c r="F1600" s="39">
        <v>43258</v>
      </c>
      <c r="G1600" s="37">
        <v>1.5</v>
      </c>
      <c r="O1600"/>
      <c r="P1600"/>
      <c r="R1600" s="39">
        <v>43251</v>
      </c>
      <c r="S1600" s="37">
        <v>0.45029999999999998</v>
      </c>
      <c r="U1600" s="39">
        <v>43236</v>
      </c>
      <c r="V1600" s="37">
        <v>1.75</v>
      </c>
    </row>
    <row r="1601" spans="6:22" ht="15" x14ac:dyDescent="0.25">
      <c r="F1601" s="39">
        <v>43257</v>
      </c>
      <c r="G1601" s="37">
        <v>1.5</v>
      </c>
      <c r="O1601"/>
      <c r="P1601"/>
      <c r="R1601" s="39">
        <v>43250</v>
      </c>
      <c r="S1601" s="37">
        <v>0.45190000000000002</v>
      </c>
      <c r="U1601" s="39">
        <v>43235</v>
      </c>
      <c r="V1601" s="37">
        <v>1.75</v>
      </c>
    </row>
    <row r="1602" spans="6:22" ht="15" x14ac:dyDescent="0.25">
      <c r="F1602" s="39">
        <v>43256</v>
      </c>
      <c r="G1602" s="37">
        <v>1.5</v>
      </c>
      <c r="O1602"/>
      <c r="P1602"/>
      <c r="R1602" s="39">
        <v>43249</v>
      </c>
      <c r="S1602" s="37">
        <v>0.45369999999999999</v>
      </c>
      <c r="U1602" s="39">
        <v>43234</v>
      </c>
      <c r="V1602" s="37">
        <v>1.75</v>
      </c>
    </row>
    <row r="1603" spans="6:22" ht="15" x14ac:dyDescent="0.25">
      <c r="F1603" s="39">
        <v>43255</v>
      </c>
      <c r="G1603" s="37">
        <v>1.5</v>
      </c>
      <c r="O1603"/>
      <c r="P1603"/>
      <c r="R1603" s="39">
        <v>43245</v>
      </c>
      <c r="S1603" s="37">
        <v>0.45329999999999998</v>
      </c>
      <c r="U1603" s="39">
        <v>43231</v>
      </c>
      <c r="V1603" s="37">
        <v>1.75</v>
      </c>
    </row>
    <row r="1604" spans="6:22" ht="15" x14ac:dyDescent="0.25">
      <c r="F1604" s="39">
        <v>43252</v>
      </c>
      <c r="G1604" s="37">
        <v>1.5</v>
      </c>
      <c r="O1604"/>
      <c r="P1604"/>
      <c r="R1604" s="39">
        <v>43244</v>
      </c>
      <c r="S1604" s="37">
        <v>0.45319999999999999</v>
      </c>
      <c r="U1604" s="39">
        <v>43230</v>
      </c>
      <c r="V1604" s="37">
        <v>1.75</v>
      </c>
    </row>
    <row r="1605" spans="6:22" ht="15" x14ac:dyDescent="0.25">
      <c r="F1605" s="39">
        <v>43251</v>
      </c>
      <c r="G1605" s="37">
        <v>1.5</v>
      </c>
      <c r="O1605"/>
      <c r="P1605"/>
      <c r="R1605" s="39">
        <v>43243</v>
      </c>
      <c r="S1605" s="37">
        <v>0.45329999999999998</v>
      </c>
      <c r="U1605" s="39">
        <v>43229</v>
      </c>
      <c r="V1605" s="37">
        <v>1.75</v>
      </c>
    </row>
    <row r="1606" spans="6:22" ht="15" x14ac:dyDescent="0.25">
      <c r="F1606" s="39">
        <v>43250</v>
      </c>
      <c r="G1606" s="37">
        <v>1.5</v>
      </c>
      <c r="O1606"/>
      <c r="P1606"/>
      <c r="R1606" s="39">
        <v>43242</v>
      </c>
      <c r="S1606" s="37">
        <v>0.4521</v>
      </c>
      <c r="U1606" s="39">
        <v>43228</v>
      </c>
      <c r="V1606" s="37">
        <v>1.75</v>
      </c>
    </row>
    <row r="1607" spans="6:22" ht="15" x14ac:dyDescent="0.25">
      <c r="F1607" s="39">
        <v>43249</v>
      </c>
      <c r="G1607" s="37">
        <v>1.5</v>
      </c>
      <c r="O1607"/>
      <c r="P1607"/>
      <c r="R1607" s="39">
        <v>43241</v>
      </c>
      <c r="S1607" s="37">
        <v>0.45269999999999999</v>
      </c>
      <c r="U1607" s="39">
        <v>43227</v>
      </c>
      <c r="V1607" s="37">
        <v>1.75</v>
      </c>
    </row>
    <row r="1608" spans="6:22" ht="15" x14ac:dyDescent="0.25">
      <c r="F1608" s="39">
        <v>43248</v>
      </c>
      <c r="G1608" s="37">
        <v>1.5</v>
      </c>
      <c r="O1608"/>
      <c r="P1608"/>
      <c r="R1608" s="39">
        <v>43238</v>
      </c>
      <c r="S1608" s="37">
        <v>0.45400000000000001</v>
      </c>
      <c r="U1608" s="39">
        <v>43224</v>
      </c>
      <c r="V1608" s="37">
        <v>1.75</v>
      </c>
    </row>
    <row r="1609" spans="6:22" ht="15" x14ac:dyDescent="0.25">
      <c r="F1609" s="39">
        <v>43245</v>
      </c>
      <c r="G1609" s="37">
        <v>1.5</v>
      </c>
      <c r="O1609"/>
      <c r="P1609"/>
      <c r="R1609" s="39">
        <v>43237</v>
      </c>
      <c r="S1609" s="37">
        <v>0.45329999999999998</v>
      </c>
      <c r="U1609" s="39">
        <v>43223</v>
      </c>
      <c r="V1609" s="37">
        <v>1.75</v>
      </c>
    </row>
    <row r="1610" spans="6:22" ht="15" x14ac:dyDescent="0.25">
      <c r="F1610" s="39">
        <v>43244</v>
      </c>
      <c r="G1610" s="37">
        <v>1.5</v>
      </c>
      <c r="O1610"/>
      <c r="P1610"/>
      <c r="R1610" s="39">
        <v>43236</v>
      </c>
      <c r="S1610" s="37">
        <v>0.45279999999999998</v>
      </c>
      <c r="U1610" s="39">
        <v>43222</v>
      </c>
      <c r="V1610" s="37">
        <v>1.75</v>
      </c>
    </row>
    <row r="1611" spans="6:22" ht="15" x14ac:dyDescent="0.25">
      <c r="F1611" s="39">
        <v>43243</v>
      </c>
      <c r="G1611" s="37">
        <v>1.5</v>
      </c>
      <c r="O1611"/>
      <c r="P1611"/>
      <c r="R1611" s="39">
        <v>43235</v>
      </c>
      <c r="S1611" s="37">
        <v>0.4511</v>
      </c>
      <c r="U1611" s="39">
        <v>43221</v>
      </c>
      <c r="V1611" s="37">
        <v>1.75</v>
      </c>
    </row>
    <row r="1612" spans="6:22" ht="15" x14ac:dyDescent="0.25">
      <c r="F1612" s="39">
        <v>43242</v>
      </c>
      <c r="G1612" s="37">
        <v>1.5</v>
      </c>
      <c r="O1612"/>
      <c r="P1612"/>
      <c r="R1612" s="39">
        <v>43234</v>
      </c>
      <c r="S1612" s="37">
        <v>0.45129999999999998</v>
      </c>
      <c r="U1612" s="39">
        <v>43220</v>
      </c>
      <c r="V1612" s="37">
        <v>1.75</v>
      </c>
    </row>
    <row r="1613" spans="6:22" ht="15" x14ac:dyDescent="0.25">
      <c r="F1613" s="39">
        <v>43241</v>
      </c>
      <c r="G1613" s="37">
        <v>1.5</v>
      </c>
      <c r="O1613"/>
      <c r="P1613"/>
      <c r="R1613" s="39">
        <v>43231</v>
      </c>
      <c r="S1613" s="37">
        <v>0.45419999999999999</v>
      </c>
      <c r="U1613" s="39">
        <v>43217</v>
      </c>
      <c r="V1613" s="37">
        <v>1.75</v>
      </c>
    </row>
    <row r="1614" spans="6:22" ht="15" x14ac:dyDescent="0.25">
      <c r="F1614" s="39">
        <v>43238</v>
      </c>
      <c r="G1614" s="37">
        <v>1.5</v>
      </c>
      <c r="O1614"/>
      <c r="P1614"/>
      <c r="R1614" s="39">
        <v>43230</v>
      </c>
      <c r="S1614" s="37">
        <v>0.45390000000000003</v>
      </c>
      <c r="U1614" s="39">
        <v>43216</v>
      </c>
      <c r="V1614" s="37">
        <v>1.75</v>
      </c>
    </row>
    <row r="1615" spans="6:22" ht="15" x14ac:dyDescent="0.25">
      <c r="F1615" s="39">
        <v>43237</v>
      </c>
      <c r="G1615" s="37">
        <v>1.5</v>
      </c>
      <c r="O1615"/>
      <c r="P1615"/>
      <c r="R1615" s="39">
        <v>43229</v>
      </c>
      <c r="S1615" s="37">
        <v>0.45529999999999998</v>
      </c>
      <c r="U1615" s="39">
        <v>43214</v>
      </c>
      <c r="V1615" s="37">
        <v>1.75</v>
      </c>
    </row>
    <row r="1616" spans="6:22" ht="15" x14ac:dyDescent="0.25">
      <c r="F1616" s="39">
        <v>43236</v>
      </c>
      <c r="G1616" s="37">
        <v>1.5</v>
      </c>
      <c r="O1616"/>
      <c r="P1616"/>
      <c r="R1616" s="39">
        <v>43228</v>
      </c>
      <c r="S1616" s="37">
        <v>0.45419999999999999</v>
      </c>
      <c r="U1616" s="39">
        <v>43213</v>
      </c>
      <c r="V1616" s="37">
        <v>1.75</v>
      </c>
    </row>
    <row r="1617" spans="6:22" ht="15" x14ac:dyDescent="0.25">
      <c r="F1617" s="39">
        <v>43235</v>
      </c>
      <c r="G1617" s="37">
        <v>1.5</v>
      </c>
      <c r="O1617"/>
      <c r="P1617"/>
      <c r="R1617" s="39">
        <v>43224</v>
      </c>
      <c r="S1617" s="37">
        <v>0.4556</v>
      </c>
      <c r="U1617" s="39">
        <v>43210</v>
      </c>
      <c r="V1617" s="37">
        <v>1.75</v>
      </c>
    </row>
    <row r="1618" spans="6:22" ht="15" x14ac:dyDescent="0.25">
      <c r="F1618" s="39">
        <v>43234</v>
      </c>
      <c r="G1618" s="37">
        <v>1.5</v>
      </c>
      <c r="O1618"/>
      <c r="P1618"/>
      <c r="R1618" s="39">
        <v>43223</v>
      </c>
      <c r="S1618" s="37">
        <v>0.45269999999999999</v>
      </c>
      <c r="U1618" s="39">
        <v>43209</v>
      </c>
      <c r="V1618" s="37">
        <v>1.75</v>
      </c>
    </row>
    <row r="1619" spans="6:22" ht="15" x14ac:dyDescent="0.25">
      <c r="F1619" s="39">
        <v>43231</v>
      </c>
      <c r="G1619" s="37">
        <v>1.5</v>
      </c>
      <c r="O1619"/>
      <c r="P1619"/>
      <c r="R1619" s="39">
        <v>43222</v>
      </c>
      <c r="S1619" s="37">
        <v>0.45150000000000001</v>
      </c>
      <c r="U1619" s="39">
        <v>43208</v>
      </c>
      <c r="V1619" s="37">
        <v>1.75</v>
      </c>
    </row>
    <row r="1620" spans="6:22" ht="15" x14ac:dyDescent="0.25">
      <c r="F1620" s="39">
        <v>43230</v>
      </c>
      <c r="G1620" s="37">
        <v>1.5</v>
      </c>
      <c r="O1620"/>
      <c r="P1620"/>
      <c r="R1620" s="39">
        <v>43221</v>
      </c>
      <c r="S1620" s="37">
        <v>0.44969999999999999</v>
      </c>
      <c r="U1620" s="39">
        <v>43207</v>
      </c>
      <c r="V1620" s="37">
        <v>1.75</v>
      </c>
    </row>
    <row r="1621" spans="6:22" ht="15" x14ac:dyDescent="0.25">
      <c r="F1621" s="39">
        <v>43229</v>
      </c>
      <c r="G1621" s="37">
        <v>1.5</v>
      </c>
      <c r="O1621"/>
      <c r="P1621"/>
      <c r="R1621" s="39">
        <v>43220</v>
      </c>
      <c r="S1621" s="37">
        <v>0.45069999999999999</v>
      </c>
      <c r="U1621" s="39">
        <v>43206</v>
      </c>
      <c r="V1621" s="37">
        <v>1.75</v>
      </c>
    </row>
    <row r="1622" spans="6:22" ht="15" x14ac:dyDescent="0.25">
      <c r="F1622" s="39">
        <v>43228</v>
      </c>
      <c r="G1622" s="37">
        <v>1.5</v>
      </c>
      <c r="O1622"/>
      <c r="P1622"/>
      <c r="R1622" s="39">
        <v>43217</v>
      </c>
      <c r="S1622" s="37">
        <v>0.45479999999999998</v>
      </c>
      <c r="U1622" s="39">
        <v>43203</v>
      </c>
      <c r="V1622" s="37">
        <v>1.75</v>
      </c>
    </row>
    <row r="1623" spans="6:22" ht="15" x14ac:dyDescent="0.25">
      <c r="F1623" s="39">
        <v>43227</v>
      </c>
      <c r="G1623" s="37">
        <v>1.5</v>
      </c>
      <c r="O1623"/>
      <c r="P1623"/>
      <c r="R1623" s="39">
        <v>43216</v>
      </c>
      <c r="S1623" s="37">
        <v>0.45490000000000003</v>
      </c>
      <c r="U1623" s="39">
        <v>43202</v>
      </c>
      <c r="V1623" s="37">
        <v>1.75</v>
      </c>
    </row>
    <row r="1624" spans="6:22" ht="15" x14ac:dyDescent="0.25">
      <c r="F1624" s="39">
        <v>43224</v>
      </c>
      <c r="G1624" s="37">
        <v>1.5</v>
      </c>
      <c r="O1624"/>
      <c r="P1624"/>
      <c r="R1624" s="39">
        <v>43215</v>
      </c>
      <c r="S1624" s="37">
        <v>0.45400000000000001</v>
      </c>
      <c r="U1624" s="39">
        <v>43201</v>
      </c>
      <c r="V1624" s="37">
        <v>1.75</v>
      </c>
    </row>
    <row r="1625" spans="6:22" ht="15" x14ac:dyDescent="0.25">
      <c r="F1625" s="39">
        <v>43223</v>
      </c>
      <c r="G1625" s="37">
        <v>1.5</v>
      </c>
      <c r="O1625"/>
      <c r="P1625"/>
      <c r="R1625" s="39">
        <v>43214</v>
      </c>
      <c r="S1625" s="37">
        <v>0.45369999999999999</v>
      </c>
      <c r="U1625" s="39">
        <v>43200</v>
      </c>
      <c r="V1625" s="37">
        <v>1.75</v>
      </c>
    </row>
    <row r="1626" spans="6:22" ht="15" x14ac:dyDescent="0.25">
      <c r="F1626" s="39">
        <v>43222</v>
      </c>
      <c r="G1626" s="37">
        <v>1.5</v>
      </c>
      <c r="O1626"/>
      <c r="P1626"/>
      <c r="R1626" s="39">
        <v>43213</v>
      </c>
      <c r="S1626" s="37">
        <v>0.45290000000000002</v>
      </c>
      <c r="U1626" s="39">
        <v>43199</v>
      </c>
      <c r="V1626" s="37">
        <v>1.75</v>
      </c>
    </row>
    <row r="1627" spans="6:22" ht="15" x14ac:dyDescent="0.25">
      <c r="F1627" s="39">
        <v>43221</v>
      </c>
      <c r="G1627" s="37">
        <v>1.5</v>
      </c>
      <c r="O1627"/>
      <c r="P1627"/>
      <c r="R1627" s="39">
        <v>43210</v>
      </c>
      <c r="S1627" s="37">
        <v>0.46460000000000001</v>
      </c>
      <c r="U1627" s="39">
        <v>43196</v>
      </c>
      <c r="V1627" s="37">
        <v>1.75</v>
      </c>
    </row>
    <row r="1628" spans="6:22" ht="15" x14ac:dyDescent="0.25">
      <c r="F1628" s="39">
        <v>43220</v>
      </c>
      <c r="G1628" s="37">
        <v>1.5</v>
      </c>
      <c r="O1628"/>
      <c r="P1628"/>
      <c r="R1628" s="39">
        <v>43209</v>
      </c>
      <c r="S1628" s="37">
        <v>0.46510000000000001</v>
      </c>
      <c r="U1628" s="39">
        <v>43195</v>
      </c>
      <c r="V1628" s="37">
        <v>1.75</v>
      </c>
    </row>
    <row r="1629" spans="6:22" ht="15" x14ac:dyDescent="0.25">
      <c r="F1629" s="39">
        <v>43217</v>
      </c>
      <c r="G1629" s="37">
        <v>1.5</v>
      </c>
      <c r="O1629"/>
      <c r="P1629"/>
      <c r="R1629" s="39">
        <v>43208</v>
      </c>
      <c r="S1629" s="37">
        <v>0.46700000000000003</v>
      </c>
      <c r="U1629" s="39">
        <v>43194</v>
      </c>
      <c r="V1629" s="37">
        <v>1.75</v>
      </c>
    </row>
    <row r="1630" spans="6:22" ht="15" x14ac:dyDescent="0.25">
      <c r="F1630" s="39">
        <v>43216</v>
      </c>
      <c r="G1630" s="37">
        <v>1.5</v>
      </c>
      <c r="O1630"/>
      <c r="P1630"/>
      <c r="R1630" s="39">
        <v>43207</v>
      </c>
      <c r="S1630" s="37">
        <v>0.46639999999999998</v>
      </c>
      <c r="U1630" s="39">
        <v>43193</v>
      </c>
      <c r="V1630" s="37">
        <v>1.75</v>
      </c>
    </row>
    <row r="1631" spans="6:22" ht="15" x14ac:dyDescent="0.25">
      <c r="F1631" s="39">
        <v>43214</v>
      </c>
      <c r="G1631" s="37">
        <v>1.5</v>
      </c>
      <c r="O1631"/>
      <c r="P1631"/>
      <c r="R1631" s="39">
        <v>43206</v>
      </c>
      <c r="S1631" s="37">
        <v>0.46589999999999998</v>
      </c>
      <c r="U1631" s="39">
        <v>43188</v>
      </c>
      <c r="V1631" s="37">
        <v>1.75</v>
      </c>
    </row>
    <row r="1632" spans="6:22" ht="15" x14ac:dyDescent="0.25">
      <c r="F1632" s="39">
        <v>43213</v>
      </c>
      <c r="G1632" s="37">
        <v>1.5</v>
      </c>
      <c r="O1632"/>
      <c r="P1632"/>
      <c r="R1632" s="39">
        <v>43203</v>
      </c>
      <c r="S1632" s="37">
        <v>0.4657</v>
      </c>
      <c r="U1632" s="39">
        <v>43187</v>
      </c>
      <c r="V1632" s="37">
        <v>1.75</v>
      </c>
    </row>
    <row r="1633" spans="6:22" ht="15" x14ac:dyDescent="0.25">
      <c r="F1633" s="39">
        <v>43210</v>
      </c>
      <c r="G1633" s="37">
        <v>1.5</v>
      </c>
      <c r="O1633"/>
      <c r="P1633"/>
      <c r="R1633" s="39">
        <v>43202</v>
      </c>
      <c r="S1633" s="37">
        <v>0.4637</v>
      </c>
      <c r="U1633" s="39">
        <v>43186</v>
      </c>
      <c r="V1633" s="37">
        <v>1.75</v>
      </c>
    </row>
    <row r="1634" spans="6:22" ht="15" x14ac:dyDescent="0.25">
      <c r="F1634" s="39">
        <v>43209</v>
      </c>
      <c r="G1634" s="37">
        <v>1.5</v>
      </c>
      <c r="O1634"/>
      <c r="P1634"/>
      <c r="R1634" s="39">
        <v>43201</v>
      </c>
      <c r="S1634" s="37">
        <v>0.46329999999999999</v>
      </c>
      <c r="U1634" s="39">
        <v>43185</v>
      </c>
      <c r="V1634" s="37">
        <v>1.75</v>
      </c>
    </row>
    <row r="1635" spans="6:22" ht="15" x14ac:dyDescent="0.25">
      <c r="F1635" s="39">
        <v>43208</v>
      </c>
      <c r="G1635" s="37">
        <v>1.5</v>
      </c>
      <c r="O1635"/>
      <c r="P1635"/>
      <c r="R1635" s="39">
        <v>43200</v>
      </c>
      <c r="S1635" s="37">
        <v>0.46660000000000001</v>
      </c>
      <c r="U1635" s="39">
        <v>43182</v>
      </c>
      <c r="V1635" s="37">
        <v>1.75</v>
      </c>
    </row>
    <row r="1636" spans="6:22" ht="15" x14ac:dyDescent="0.25">
      <c r="F1636" s="39">
        <v>43207</v>
      </c>
      <c r="G1636" s="37">
        <v>1.5</v>
      </c>
      <c r="O1636"/>
      <c r="P1636"/>
      <c r="R1636" s="39">
        <v>43199</v>
      </c>
      <c r="S1636" s="37">
        <v>0.46510000000000001</v>
      </c>
      <c r="U1636" s="39">
        <v>43181</v>
      </c>
      <c r="V1636" s="37">
        <v>1.75</v>
      </c>
    </row>
    <row r="1637" spans="6:22" ht="15" x14ac:dyDescent="0.25">
      <c r="F1637" s="39">
        <v>43206</v>
      </c>
      <c r="G1637" s="37">
        <v>1.5</v>
      </c>
      <c r="O1637"/>
      <c r="P1637"/>
      <c r="R1637" s="39">
        <v>43196</v>
      </c>
      <c r="S1637" s="37">
        <v>0.46660000000000001</v>
      </c>
      <c r="U1637" s="39">
        <v>43180</v>
      </c>
      <c r="V1637" s="37">
        <v>1.75</v>
      </c>
    </row>
    <row r="1638" spans="6:22" ht="15" x14ac:dyDescent="0.25">
      <c r="F1638" s="39">
        <v>43203</v>
      </c>
      <c r="G1638" s="37">
        <v>1.5</v>
      </c>
      <c r="O1638"/>
      <c r="P1638"/>
      <c r="R1638" s="39">
        <v>43195</v>
      </c>
      <c r="S1638" s="37">
        <v>0.46529999999999999</v>
      </c>
      <c r="U1638" s="39">
        <v>43179</v>
      </c>
      <c r="V1638" s="37">
        <v>1.75</v>
      </c>
    </row>
    <row r="1639" spans="6:22" ht="15" x14ac:dyDescent="0.25">
      <c r="F1639" s="39">
        <v>43202</v>
      </c>
      <c r="G1639" s="37">
        <v>1.5</v>
      </c>
      <c r="O1639"/>
      <c r="P1639"/>
      <c r="R1639" s="39">
        <v>43194</v>
      </c>
      <c r="S1639" s="37">
        <v>0.46239999999999998</v>
      </c>
      <c r="U1639" s="39">
        <v>43178</v>
      </c>
      <c r="V1639" s="37">
        <v>1.75</v>
      </c>
    </row>
    <row r="1640" spans="6:22" ht="15" x14ac:dyDescent="0.25">
      <c r="F1640" s="39">
        <v>43201</v>
      </c>
      <c r="G1640" s="37">
        <v>1.5</v>
      </c>
      <c r="O1640"/>
      <c r="P1640"/>
      <c r="R1640" s="39">
        <v>43193</v>
      </c>
      <c r="S1640" s="37">
        <v>0.4652</v>
      </c>
      <c r="U1640" s="39">
        <v>43175</v>
      </c>
      <c r="V1640" s="37">
        <v>1.75</v>
      </c>
    </row>
    <row r="1641" spans="6:22" ht="15" x14ac:dyDescent="0.25">
      <c r="F1641" s="39">
        <v>43200</v>
      </c>
      <c r="G1641" s="37">
        <v>1.5</v>
      </c>
      <c r="O1641"/>
      <c r="P1641"/>
      <c r="R1641" s="39">
        <v>43188</v>
      </c>
      <c r="S1641" s="37">
        <v>0.44350000000000001</v>
      </c>
      <c r="U1641" s="39">
        <v>43174</v>
      </c>
      <c r="V1641" s="37">
        <v>1.75</v>
      </c>
    </row>
    <row r="1642" spans="6:22" ht="15" x14ac:dyDescent="0.25">
      <c r="F1642" s="39">
        <v>43199</v>
      </c>
      <c r="G1642" s="37">
        <v>1.5</v>
      </c>
      <c r="O1642"/>
      <c r="P1642"/>
      <c r="R1642" s="39">
        <v>43187</v>
      </c>
      <c r="S1642" s="37">
        <v>0.46379999999999999</v>
      </c>
      <c r="U1642" s="39">
        <v>43173</v>
      </c>
      <c r="V1642" s="37">
        <v>1.75</v>
      </c>
    </row>
    <row r="1643" spans="6:22" ht="15" x14ac:dyDescent="0.25">
      <c r="F1643" s="39">
        <v>43196</v>
      </c>
      <c r="G1643" s="37">
        <v>1.5</v>
      </c>
      <c r="O1643"/>
      <c r="P1643"/>
      <c r="R1643" s="39">
        <v>43186</v>
      </c>
      <c r="S1643" s="37">
        <v>0.4652</v>
      </c>
      <c r="U1643" s="39">
        <v>43172</v>
      </c>
      <c r="V1643" s="37">
        <v>1.75</v>
      </c>
    </row>
    <row r="1644" spans="6:22" ht="15" x14ac:dyDescent="0.25">
      <c r="F1644" s="39">
        <v>43195</v>
      </c>
      <c r="G1644" s="37">
        <v>1.5</v>
      </c>
      <c r="O1644"/>
      <c r="P1644"/>
      <c r="R1644" s="39">
        <v>43185</v>
      </c>
      <c r="S1644" s="37">
        <v>0.46660000000000001</v>
      </c>
      <c r="U1644" s="39">
        <v>43171</v>
      </c>
      <c r="V1644" s="37">
        <v>1.75</v>
      </c>
    </row>
    <row r="1645" spans="6:22" ht="15" x14ac:dyDescent="0.25">
      <c r="F1645" s="39">
        <v>43194</v>
      </c>
      <c r="G1645" s="37">
        <v>1.5</v>
      </c>
      <c r="O1645"/>
      <c r="P1645"/>
      <c r="R1645" s="39">
        <v>43182</v>
      </c>
      <c r="S1645" s="37">
        <v>0.46800000000000003</v>
      </c>
      <c r="U1645" s="39">
        <v>43168</v>
      </c>
      <c r="V1645" s="37">
        <v>1.75</v>
      </c>
    </row>
    <row r="1646" spans="6:22" ht="15" x14ac:dyDescent="0.25">
      <c r="F1646" s="39">
        <v>43193</v>
      </c>
      <c r="G1646" s="37">
        <v>1.5</v>
      </c>
      <c r="O1646"/>
      <c r="P1646"/>
      <c r="R1646" s="39">
        <v>43181</v>
      </c>
      <c r="S1646" s="37">
        <v>0.46339999999999998</v>
      </c>
      <c r="U1646" s="39">
        <v>43167</v>
      </c>
      <c r="V1646" s="37">
        <v>1.75</v>
      </c>
    </row>
    <row r="1647" spans="6:22" ht="15" x14ac:dyDescent="0.25">
      <c r="F1647" s="39">
        <v>43188</v>
      </c>
      <c r="G1647" s="37">
        <v>1.5</v>
      </c>
      <c r="O1647"/>
      <c r="P1647"/>
      <c r="R1647" s="39">
        <v>43180</v>
      </c>
      <c r="S1647" s="37">
        <v>0.4667</v>
      </c>
      <c r="U1647" s="39">
        <v>43166</v>
      </c>
      <c r="V1647" s="37">
        <v>1.75</v>
      </c>
    </row>
    <row r="1648" spans="6:22" ht="15" x14ac:dyDescent="0.25">
      <c r="F1648" s="39">
        <v>43187</v>
      </c>
      <c r="G1648" s="37">
        <v>1.5</v>
      </c>
      <c r="O1648"/>
      <c r="P1648"/>
      <c r="R1648" s="39">
        <v>43179</v>
      </c>
      <c r="S1648" s="37">
        <v>0.46360000000000001</v>
      </c>
      <c r="U1648" s="39">
        <v>43165</v>
      </c>
      <c r="V1648" s="37">
        <v>1.75</v>
      </c>
    </row>
    <row r="1649" spans="6:22" ht="15" x14ac:dyDescent="0.25">
      <c r="F1649" s="39">
        <v>43186</v>
      </c>
      <c r="G1649" s="37">
        <v>1.5</v>
      </c>
      <c r="O1649"/>
      <c r="P1649"/>
      <c r="R1649" s="39">
        <v>43178</v>
      </c>
      <c r="S1649" s="37">
        <v>0.46329999999999999</v>
      </c>
      <c r="U1649" s="39">
        <v>43164</v>
      </c>
      <c r="V1649" s="37">
        <v>1.75</v>
      </c>
    </row>
    <row r="1650" spans="6:22" ht="15" x14ac:dyDescent="0.25">
      <c r="F1650" s="39">
        <v>43185</v>
      </c>
      <c r="G1650" s="37">
        <v>1.5</v>
      </c>
      <c r="O1650"/>
      <c r="P1650"/>
      <c r="R1650" s="39">
        <v>43175</v>
      </c>
      <c r="S1650" s="37">
        <v>0.46439999999999998</v>
      </c>
      <c r="U1650" s="39">
        <v>43161</v>
      </c>
      <c r="V1650" s="37">
        <v>1.75</v>
      </c>
    </row>
    <row r="1651" spans="6:22" ht="15" x14ac:dyDescent="0.25">
      <c r="F1651" s="39">
        <v>43182</v>
      </c>
      <c r="G1651" s="37">
        <v>1.5</v>
      </c>
      <c r="O1651"/>
      <c r="P1651"/>
      <c r="R1651" s="39">
        <v>43174</v>
      </c>
      <c r="S1651" s="37">
        <v>0.46589999999999998</v>
      </c>
      <c r="U1651" s="39">
        <v>43160</v>
      </c>
      <c r="V1651" s="37">
        <v>1.75</v>
      </c>
    </row>
    <row r="1652" spans="6:22" ht="15" x14ac:dyDescent="0.25">
      <c r="F1652" s="39">
        <v>43181</v>
      </c>
      <c r="G1652" s="37">
        <v>1.5</v>
      </c>
      <c r="O1652"/>
      <c r="P1652"/>
      <c r="R1652" s="39">
        <v>43173</v>
      </c>
      <c r="S1652" s="37">
        <v>0.4637</v>
      </c>
      <c r="U1652" s="39">
        <v>43159</v>
      </c>
      <c r="V1652" s="37">
        <v>1.75</v>
      </c>
    </row>
    <row r="1653" spans="6:22" ht="15" x14ac:dyDescent="0.25">
      <c r="F1653" s="39">
        <v>43180</v>
      </c>
      <c r="G1653" s="37">
        <v>1.5</v>
      </c>
      <c r="O1653"/>
      <c r="P1653"/>
      <c r="R1653" s="39">
        <v>43172</v>
      </c>
      <c r="S1653" s="37">
        <v>0.4637</v>
      </c>
      <c r="U1653" s="39">
        <v>43158</v>
      </c>
      <c r="V1653" s="37">
        <v>1.75</v>
      </c>
    </row>
    <row r="1654" spans="6:22" ht="15" x14ac:dyDescent="0.25">
      <c r="F1654" s="39">
        <v>43179</v>
      </c>
      <c r="G1654" s="37">
        <v>1.5</v>
      </c>
      <c r="O1654"/>
      <c r="P1654"/>
      <c r="R1654" s="39">
        <v>43171</v>
      </c>
      <c r="S1654" s="37">
        <v>0.46500000000000002</v>
      </c>
      <c r="U1654" s="39">
        <v>43157</v>
      </c>
      <c r="V1654" s="37">
        <v>1.75</v>
      </c>
    </row>
    <row r="1655" spans="6:22" ht="15" x14ac:dyDescent="0.25">
      <c r="F1655" s="39">
        <v>43178</v>
      </c>
      <c r="G1655" s="37">
        <v>1.5</v>
      </c>
      <c r="O1655"/>
      <c r="P1655"/>
      <c r="R1655" s="39">
        <v>43168</v>
      </c>
      <c r="S1655" s="37">
        <v>0.4627</v>
      </c>
      <c r="U1655" s="39">
        <v>43154</v>
      </c>
      <c r="V1655" s="37">
        <v>1.75</v>
      </c>
    </row>
    <row r="1656" spans="6:22" ht="15" x14ac:dyDescent="0.25">
      <c r="F1656" s="39">
        <v>43175</v>
      </c>
      <c r="G1656" s="37">
        <v>1.5</v>
      </c>
      <c r="O1656"/>
      <c r="P1656"/>
      <c r="R1656" s="39">
        <v>43167</v>
      </c>
      <c r="S1656" s="37">
        <v>0.46450000000000002</v>
      </c>
      <c r="U1656" s="39">
        <v>43153</v>
      </c>
      <c r="V1656" s="37">
        <v>1.75</v>
      </c>
    </row>
    <row r="1657" spans="6:22" ht="15" x14ac:dyDescent="0.25">
      <c r="F1657" s="39">
        <v>43174</v>
      </c>
      <c r="G1657" s="37">
        <v>1.5</v>
      </c>
      <c r="O1657"/>
      <c r="P1657"/>
      <c r="R1657" s="39">
        <v>43166</v>
      </c>
      <c r="S1657" s="37">
        <v>0.46479999999999999</v>
      </c>
      <c r="U1657" s="39">
        <v>43152</v>
      </c>
      <c r="V1657" s="37">
        <v>1.75</v>
      </c>
    </row>
    <row r="1658" spans="6:22" ht="15" x14ac:dyDescent="0.25">
      <c r="F1658" s="39">
        <v>43173</v>
      </c>
      <c r="G1658" s="37">
        <v>1.5</v>
      </c>
      <c r="O1658"/>
      <c r="P1658"/>
      <c r="R1658" s="39">
        <v>43165</v>
      </c>
      <c r="S1658" s="37">
        <v>0.4647</v>
      </c>
      <c r="U1658" s="39">
        <v>43151</v>
      </c>
      <c r="V1658" s="37">
        <v>1.75</v>
      </c>
    </row>
    <row r="1659" spans="6:22" ht="15" x14ac:dyDescent="0.25">
      <c r="F1659" s="39">
        <v>43172</v>
      </c>
      <c r="G1659" s="37">
        <v>1.5</v>
      </c>
      <c r="O1659"/>
      <c r="P1659"/>
      <c r="R1659" s="39">
        <v>43164</v>
      </c>
      <c r="S1659" s="37">
        <v>0.46429999999999999</v>
      </c>
      <c r="U1659" s="39">
        <v>43150</v>
      </c>
      <c r="V1659" s="37">
        <v>1.75</v>
      </c>
    </row>
    <row r="1660" spans="6:22" ht="15" x14ac:dyDescent="0.25">
      <c r="F1660" s="39">
        <v>43171</v>
      </c>
      <c r="G1660" s="37">
        <v>1.5</v>
      </c>
      <c r="O1660"/>
      <c r="P1660"/>
      <c r="R1660" s="39">
        <v>43161</v>
      </c>
      <c r="S1660" s="37">
        <v>0.46550000000000002</v>
      </c>
      <c r="U1660" s="39">
        <v>43147</v>
      </c>
      <c r="V1660" s="37">
        <v>1.75</v>
      </c>
    </row>
    <row r="1661" spans="6:22" ht="15" x14ac:dyDescent="0.25">
      <c r="F1661" s="39">
        <v>43168</v>
      </c>
      <c r="G1661" s="37">
        <v>1.5</v>
      </c>
      <c r="O1661"/>
      <c r="P1661"/>
      <c r="R1661" s="39">
        <v>43160</v>
      </c>
      <c r="S1661" s="37">
        <v>0.46460000000000001</v>
      </c>
      <c r="U1661" s="39">
        <v>43146</v>
      </c>
      <c r="V1661" s="37">
        <v>1.75</v>
      </c>
    </row>
    <row r="1662" spans="6:22" ht="15" x14ac:dyDescent="0.25">
      <c r="F1662" s="39">
        <v>43167</v>
      </c>
      <c r="G1662" s="37">
        <v>1.5</v>
      </c>
      <c r="O1662"/>
      <c r="P1662"/>
      <c r="R1662" s="39">
        <v>43159</v>
      </c>
      <c r="S1662" s="37">
        <v>0.4612</v>
      </c>
      <c r="U1662" s="39">
        <v>43145</v>
      </c>
      <c r="V1662" s="37">
        <v>1.75</v>
      </c>
    </row>
    <row r="1663" spans="6:22" ht="15" x14ac:dyDescent="0.25">
      <c r="F1663" s="39">
        <v>43166</v>
      </c>
      <c r="G1663" s="37">
        <v>1.5</v>
      </c>
      <c r="O1663"/>
      <c r="P1663"/>
      <c r="R1663" s="39">
        <v>43158</v>
      </c>
      <c r="S1663" s="37">
        <v>0.46560000000000001</v>
      </c>
      <c r="U1663" s="39">
        <v>43144</v>
      </c>
      <c r="V1663" s="37">
        <v>1.75</v>
      </c>
    </row>
    <row r="1664" spans="6:22" ht="15" x14ac:dyDescent="0.25">
      <c r="F1664" s="39">
        <v>43165</v>
      </c>
      <c r="G1664" s="37">
        <v>1.5</v>
      </c>
      <c r="O1664"/>
      <c r="P1664"/>
      <c r="R1664" s="39">
        <v>43157</v>
      </c>
      <c r="S1664" s="37">
        <v>0.46389999999999998</v>
      </c>
      <c r="U1664" s="39">
        <v>43143</v>
      </c>
      <c r="V1664" s="37">
        <v>1.75</v>
      </c>
    </row>
    <row r="1665" spans="6:22" ht="15" x14ac:dyDescent="0.25">
      <c r="F1665" s="39">
        <v>43164</v>
      </c>
      <c r="G1665" s="37">
        <v>1.5</v>
      </c>
      <c r="O1665"/>
      <c r="P1665"/>
      <c r="R1665" s="39">
        <v>43154</v>
      </c>
      <c r="S1665" s="37">
        <v>0.46679999999999999</v>
      </c>
      <c r="U1665" s="39">
        <v>43140</v>
      </c>
      <c r="V1665" s="37">
        <v>1.75</v>
      </c>
    </row>
    <row r="1666" spans="6:22" ht="15" x14ac:dyDescent="0.25">
      <c r="F1666" s="39">
        <v>43161</v>
      </c>
      <c r="G1666" s="37">
        <v>1.5</v>
      </c>
      <c r="O1666"/>
      <c r="P1666"/>
      <c r="R1666" s="39">
        <v>43153</v>
      </c>
      <c r="S1666" s="37">
        <v>0.4637</v>
      </c>
      <c r="U1666" s="39">
        <v>43139</v>
      </c>
      <c r="V1666" s="37">
        <v>1.75</v>
      </c>
    </row>
    <row r="1667" spans="6:22" ht="15" x14ac:dyDescent="0.25">
      <c r="F1667" s="39">
        <v>43160</v>
      </c>
      <c r="G1667" s="37">
        <v>1.5</v>
      </c>
      <c r="O1667"/>
      <c r="P1667"/>
      <c r="R1667" s="39">
        <v>43152</v>
      </c>
      <c r="S1667" s="37">
        <v>0.46289999999999998</v>
      </c>
      <c r="U1667" s="39">
        <v>43138</v>
      </c>
      <c r="V1667" s="37">
        <v>1.75</v>
      </c>
    </row>
    <row r="1668" spans="6:22" ht="15" x14ac:dyDescent="0.25">
      <c r="F1668" s="39">
        <v>43159</v>
      </c>
      <c r="G1668" s="37">
        <v>1.5</v>
      </c>
      <c r="O1668"/>
      <c r="P1668"/>
      <c r="R1668" s="39">
        <v>43151</v>
      </c>
      <c r="S1668" s="37">
        <v>0.46360000000000001</v>
      </c>
      <c r="U1668" s="39">
        <v>43136</v>
      </c>
      <c r="V1668" s="37">
        <v>1.75</v>
      </c>
    </row>
    <row r="1669" spans="6:22" ht="15" x14ac:dyDescent="0.25">
      <c r="F1669" s="39">
        <v>43158</v>
      </c>
      <c r="G1669" s="37">
        <v>1.5</v>
      </c>
      <c r="O1669"/>
      <c r="P1669"/>
      <c r="R1669" s="39">
        <v>43150</v>
      </c>
      <c r="S1669" s="37">
        <v>0.46200000000000002</v>
      </c>
      <c r="U1669" s="39">
        <v>43133</v>
      </c>
      <c r="V1669" s="37">
        <v>1.75</v>
      </c>
    </row>
    <row r="1670" spans="6:22" ht="15" x14ac:dyDescent="0.25">
      <c r="F1670" s="39">
        <v>43157</v>
      </c>
      <c r="G1670" s="37">
        <v>1.5</v>
      </c>
      <c r="O1670"/>
      <c r="P1670"/>
      <c r="R1670" s="39">
        <v>43147</v>
      </c>
      <c r="S1670" s="37">
        <v>0.4637</v>
      </c>
      <c r="U1670" s="39">
        <v>43132</v>
      </c>
      <c r="V1670" s="37">
        <v>1.75</v>
      </c>
    </row>
    <row r="1671" spans="6:22" ht="15" x14ac:dyDescent="0.25">
      <c r="F1671" s="39">
        <v>43154</v>
      </c>
      <c r="G1671" s="37">
        <v>1.5</v>
      </c>
      <c r="O1671"/>
      <c r="P1671"/>
      <c r="R1671" s="39">
        <v>43146</v>
      </c>
      <c r="S1671" s="37">
        <v>0.4642</v>
      </c>
      <c r="U1671" s="39">
        <v>43131</v>
      </c>
      <c r="V1671" s="37">
        <v>1.75</v>
      </c>
    </row>
    <row r="1672" spans="6:22" ht="15" x14ac:dyDescent="0.25">
      <c r="F1672" s="39">
        <v>43153</v>
      </c>
      <c r="G1672" s="37">
        <v>1.5</v>
      </c>
      <c r="O1672"/>
      <c r="P1672"/>
      <c r="R1672" s="39">
        <v>43145</v>
      </c>
      <c r="S1672" s="37">
        <v>0.46510000000000001</v>
      </c>
      <c r="U1672" s="39">
        <v>43130</v>
      </c>
      <c r="V1672" s="37">
        <v>1.75</v>
      </c>
    </row>
    <row r="1673" spans="6:22" ht="15" x14ac:dyDescent="0.25">
      <c r="F1673" s="39">
        <v>43152</v>
      </c>
      <c r="G1673" s="37">
        <v>1.5</v>
      </c>
      <c r="O1673"/>
      <c r="P1673"/>
      <c r="R1673" s="39">
        <v>43144</v>
      </c>
      <c r="S1673" s="37">
        <v>0.46360000000000001</v>
      </c>
      <c r="U1673" s="39">
        <v>43129</v>
      </c>
      <c r="V1673" s="37">
        <v>1.75</v>
      </c>
    </row>
    <row r="1674" spans="6:22" ht="15" x14ac:dyDescent="0.25">
      <c r="F1674" s="39">
        <v>43151</v>
      </c>
      <c r="G1674" s="37">
        <v>1.5</v>
      </c>
      <c r="O1674"/>
      <c r="P1674"/>
      <c r="R1674" s="39">
        <v>43143</v>
      </c>
      <c r="S1674" s="37">
        <v>0.46300000000000002</v>
      </c>
      <c r="U1674" s="39">
        <v>43126</v>
      </c>
      <c r="V1674" s="37">
        <v>1.75</v>
      </c>
    </row>
    <row r="1675" spans="6:22" ht="15" x14ac:dyDescent="0.25">
      <c r="F1675" s="39">
        <v>43150</v>
      </c>
      <c r="G1675" s="37">
        <v>1.5</v>
      </c>
      <c r="O1675"/>
      <c r="P1675"/>
      <c r="R1675" s="39">
        <v>43140</v>
      </c>
      <c r="S1675" s="37">
        <v>0.46339999999999998</v>
      </c>
      <c r="U1675" s="39">
        <v>43125</v>
      </c>
      <c r="V1675" s="37">
        <v>1.75</v>
      </c>
    </row>
    <row r="1676" spans="6:22" ht="15" x14ac:dyDescent="0.25">
      <c r="F1676" s="39">
        <v>43147</v>
      </c>
      <c r="G1676" s="37">
        <v>1.5</v>
      </c>
      <c r="O1676"/>
      <c r="P1676"/>
      <c r="R1676" s="39">
        <v>43139</v>
      </c>
      <c r="S1676" s="37">
        <v>0.46239999999999998</v>
      </c>
      <c r="U1676" s="39">
        <v>43124</v>
      </c>
      <c r="V1676" s="37">
        <v>1.75</v>
      </c>
    </row>
    <row r="1677" spans="6:22" ht="15" x14ac:dyDescent="0.25">
      <c r="F1677" s="39">
        <v>43146</v>
      </c>
      <c r="G1677" s="37">
        <v>1.5</v>
      </c>
      <c r="O1677"/>
      <c r="P1677"/>
      <c r="R1677" s="39">
        <v>43138</v>
      </c>
      <c r="S1677" s="37">
        <v>0.46179999999999999</v>
      </c>
      <c r="U1677" s="39">
        <v>43123</v>
      </c>
      <c r="V1677" s="37">
        <v>1.75</v>
      </c>
    </row>
    <row r="1678" spans="6:22" ht="15" x14ac:dyDescent="0.25">
      <c r="F1678" s="39">
        <v>43145</v>
      </c>
      <c r="G1678" s="37">
        <v>1.5</v>
      </c>
      <c r="O1678"/>
      <c r="P1678"/>
      <c r="R1678" s="39">
        <v>43137</v>
      </c>
      <c r="S1678" s="37">
        <v>0.46260000000000001</v>
      </c>
      <c r="U1678" s="39">
        <v>43122</v>
      </c>
      <c r="V1678" s="37">
        <v>1.75</v>
      </c>
    </row>
    <row r="1679" spans="6:22" ht="15" x14ac:dyDescent="0.25">
      <c r="F1679" s="39">
        <v>43144</v>
      </c>
      <c r="G1679" s="37">
        <v>1.5</v>
      </c>
      <c r="O1679"/>
      <c r="P1679"/>
      <c r="R1679" s="39">
        <v>43136</v>
      </c>
      <c r="S1679" s="37">
        <v>0.46189999999999998</v>
      </c>
      <c r="U1679" s="39">
        <v>43119</v>
      </c>
      <c r="V1679" s="37">
        <v>1.75</v>
      </c>
    </row>
    <row r="1680" spans="6:22" ht="15" x14ac:dyDescent="0.25">
      <c r="F1680" s="39">
        <v>43143</v>
      </c>
      <c r="G1680" s="37">
        <v>1.5</v>
      </c>
      <c r="O1680"/>
      <c r="P1680"/>
      <c r="R1680" s="39">
        <v>43133</v>
      </c>
      <c r="S1680" s="37">
        <v>0.4632</v>
      </c>
      <c r="U1680" s="39">
        <v>43118</v>
      </c>
      <c r="V1680" s="37">
        <v>1.75</v>
      </c>
    </row>
    <row r="1681" spans="6:22" ht="15" x14ac:dyDescent="0.25">
      <c r="F1681" s="39">
        <v>43140</v>
      </c>
      <c r="G1681" s="37">
        <v>1.5</v>
      </c>
      <c r="O1681"/>
      <c r="P1681"/>
      <c r="R1681" s="39">
        <v>43132</v>
      </c>
      <c r="S1681" s="37">
        <v>0.46360000000000001</v>
      </c>
      <c r="U1681" s="39">
        <v>43117</v>
      </c>
      <c r="V1681" s="37">
        <v>1.75</v>
      </c>
    </row>
    <row r="1682" spans="6:22" ht="15" x14ac:dyDescent="0.25">
      <c r="F1682" s="39">
        <v>43139</v>
      </c>
      <c r="G1682" s="37">
        <v>1.5</v>
      </c>
      <c r="O1682"/>
      <c r="P1682"/>
      <c r="R1682" s="39">
        <v>43131</v>
      </c>
      <c r="S1682" s="37">
        <v>0.46679999999999999</v>
      </c>
      <c r="U1682" s="39">
        <v>43116</v>
      </c>
      <c r="V1682" s="37">
        <v>1.75</v>
      </c>
    </row>
    <row r="1683" spans="6:22" ht="15" x14ac:dyDescent="0.25">
      <c r="F1683" s="39">
        <v>43138</v>
      </c>
      <c r="G1683" s="37">
        <v>1.5</v>
      </c>
      <c r="O1683"/>
      <c r="P1683"/>
      <c r="R1683" s="39">
        <v>43130</v>
      </c>
      <c r="S1683" s="37">
        <v>0.4627</v>
      </c>
      <c r="U1683" s="39">
        <v>43115</v>
      </c>
      <c r="V1683" s="37">
        <v>1.75</v>
      </c>
    </row>
    <row r="1684" spans="6:22" ht="15" x14ac:dyDescent="0.25">
      <c r="F1684" s="39">
        <v>43137</v>
      </c>
      <c r="G1684" s="37">
        <v>1.5</v>
      </c>
      <c r="O1684"/>
      <c r="P1684"/>
      <c r="R1684" s="39">
        <v>43129</v>
      </c>
      <c r="S1684" s="37">
        <v>0.46129999999999999</v>
      </c>
      <c r="U1684" s="39">
        <v>43112</v>
      </c>
      <c r="V1684" s="37">
        <v>1.75</v>
      </c>
    </row>
    <row r="1685" spans="6:22" ht="15" x14ac:dyDescent="0.25">
      <c r="F1685" s="39">
        <v>43136</v>
      </c>
      <c r="G1685" s="37">
        <v>1.5</v>
      </c>
      <c r="O1685"/>
      <c r="P1685"/>
      <c r="R1685" s="39">
        <v>43126</v>
      </c>
      <c r="S1685" s="37">
        <v>0.46329999999999999</v>
      </c>
      <c r="U1685" s="39">
        <v>43111</v>
      </c>
      <c r="V1685" s="37">
        <v>1.75</v>
      </c>
    </row>
    <row r="1686" spans="6:22" ht="15" x14ac:dyDescent="0.25">
      <c r="F1686" s="39">
        <v>43133</v>
      </c>
      <c r="G1686" s="37">
        <v>1.5</v>
      </c>
      <c r="O1686"/>
      <c r="P1686"/>
      <c r="R1686" s="39">
        <v>43125</v>
      </c>
      <c r="S1686" s="37">
        <v>0.46179999999999999</v>
      </c>
      <c r="U1686" s="39">
        <v>43110</v>
      </c>
      <c r="V1686" s="37">
        <v>1.75</v>
      </c>
    </row>
    <row r="1687" spans="6:22" ht="15" x14ac:dyDescent="0.25">
      <c r="F1687" s="39">
        <v>43132</v>
      </c>
      <c r="G1687" s="37">
        <v>1.5</v>
      </c>
      <c r="O1687"/>
      <c r="P1687"/>
      <c r="R1687" s="39">
        <v>43124</v>
      </c>
      <c r="S1687" s="37">
        <v>0.46200000000000002</v>
      </c>
      <c r="U1687" s="39">
        <v>43109</v>
      </c>
      <c r="V1687" s="37">
        <v>1.75</v>
      </c>
    </row>
    <row r="1688" spans="6:22" ht="15" x14ac:dyDescent="0.25">
      <c r="F1688" s="39">
        <v>43131</v>
      </c>
      <c r="G1688" s="37">
        <v>1.5</v>
      </c>
      <c r="O1688"/>
      <c r="P1688"/>
      <c r="R1688" s="39">
        <v>43123</v>
      </c>
      <c r="S1688" s="37">
        <v>0.46189999999999998</v>
      </c>
      <c r="U1688" s="39">
        <v>43108</v>
      </c>
      <c r="V1688" s="37">
        <v>1.75</v>
      </c>
    </row>
    <row r="1689" spans="6:22" ht="15" x14ac:dyDescent="0.25">
      <c r="F1689" s="39">
        <v>43130</v>
      </c>
      <c r="G1689" s="37">
        <v>1.5</v>
      </c>
      <c r="O1689"/>
      <c r="P1689"/>
      <c r="R1689" s="39">
        <v>43122</v>
      </c>
      <c r="S1689" s="37">
        <v>0.46300000000000002</v>
      </c>
      <c r="U1689" s="39">
        <v>43105</v>
      </c>
      <c r="V1689" s="37">
        <v>1.75</v>
      </c>
    </row>
    <row r="1690" spans="6:22" ht="15" x14ac:dyDescent="0.25">
      <c r="F1690" s="39">
        <v>43129</v>
      </c>
      <c r="G1690" s="37">
        <v>1.5</v>
      </c>
      <c r="O1690"/>
      <c r="P1690"/>
      <c r="R1690" s="39">
        <v>43119</v>
      </c>
      <c r="S1690" s="37">
        <v>0.46339999999999998</v>
      </c>
      <c r="U1690" s="39">
        <v>43104</v>
      </c>
      <c r="V1690" s="37">
        <v>1.75</v>
      </c>
    </row>
    <row r="1691" spans="6:22" ht="15" x14ac:dyDescent="0.25">
      <c r="F1691" s="39">
        <v>43125</v>
      </c>
      <c r="G1691" s="37">
        <v>1.5</v>
      </c>
      <c r="O1691"/>
      <c r="P1691"/>
      <c r="R1691" s="39">
        <v>43118</v>
      </c>
      <c r="S1691" s="37">
        <v>0.46189999999999998</v>
      </c>
      <c r="U1691" s="39">
        <v>43103</v>
      </c>
      <c r="V1691" s="37">
        <v>1.75</v>
      </c>
    </row>
    <row r="1692" spans="6:22" ht="15" x14ac:dyDescent="0.25">
      <c r="F1692" s="39">
        <v>43124</v>
      </c>
      <c r="G1692" s="37">
        <v>1.5</v>
      </c>
      <c r="O1692"/>
      <c r="P1692"/>
      <c r="R1692" s="39">
        <v>43117</v>
      </c>
      <c r="S1692" s="37">
        <v>0.46150000000000002</v>
      </c>
    </row>
    <row r="1693" spans="6:22" ht="15" x14ac:dyDescent="0.25">
      <c r="F1693" s="39">
        <v>43123</v>
      </c>
      <c r="G1693" s="37">
        <v>1.5</v>
      </c>
      <c r="O1693"/>
      <c r="P1693"/>
      <c r="R1693" s="39">
        <v>43116</v>
      </c>
      <c r="S1693" s="37">
        <v>0.46050000000000002</v>
      </c>
    </row>
    <row r="1694" spans="6:22" ht="15" x14ac:dyDescent="0.25">
      <c r="F1694" s="39">
        <v>43122</v>
      </c>
      <c r="G1694" s="37">
        <v>1.5</v>
      </c>
      <c r="O1694"/>
      <c r="P1694"/>
      <c r="R1694" s="39">
        <v>43115</v>
      </c>
      <c r="S1694" s="37">
        <v>0.46379999999999999</v>
      </c>
    </row>
    <row r="1695" spans="6:22" ht="15" x14ac:dyDescent="0.25">
      <c r="F1695" s="39">
        <v>43119</v>
      </c>
      <c r="G1695" s="37">
        <v>1.5</v>
      </c>
      <c r="O1695"/>
      <c r="P1695"/>
      <c r="R1695" s="39">
        <v>43112</v>
      </c>
      <c r="S1695" s="37">
        <v>0.46800000000000003</v>
      </c>
    </row>
    <row r="1696" spans="6:22" ht="15" x14ac:dyDescent="0.25">
      <c r="F1696" s="39">
        <v>43118</v>
      </c>
      <c r="G1696" s="37">
        <v>1.5</v>
      </c>
      <c r="O1696"/>
      <c r="P1696"/>
      <c r="R1696" s="39">
        <v>43111</v>
      </c>
      <c r="S1696" s="37">
        <v>0.46550000000000002</v>
      </c>
    </row>
    <row r="1697" spans="6:19" ht="15" x14ac:dyDescent="0.25">
      <c r="F1697" s="39">
        <v>43117</v>
      </c>
      <c r="G1697" s="37">
        <v>1.5</v>
      </c>
      <c r="O1697"/>
      <c r="P1697"/>
      <c r="R1697" s="39">
        <v>43110</v>
      </c>
      <c r="S1697" s="37">
        <v>0.4647</v>
      </c>
    </row>
    <row r="1698" spans="6:19" ht="15" x14ac:dyDescent="0.25">
      <c r="F1698" s="39">
        <v>43116</v>
      </c>
      <c r="G1698" s="37">
        <v>1.5</v>
      </c>
      <c r="O1698"/>
      <c r="P1698"/>
      <c r="R1698" s="39">
        <v>43109</v>
      </c>
      <c r="S1698" s="37">
        <v>0.4627</v>
      </c>
    </row>
    <row r="1699" spans="6:19" ht="15" x14ac:dyDescent="0.25">
      <c r="F1699" s="39">
        <v>43115</v>
      </c>
      <c r="G1699" s="37">
        <v>1.5</v>
      </c>
      <c r="O1699"/>
      <c r="P1699"/>
      <c r="R1699" s="39">
        <v>43108</v>
      </c>
      <c r="S1699" s="37">
        <v>0.4632</v>
      </c>
    </row>
    <row r="1700" spans="6:19" ht="15" x14ac:dyDescent="0.25">
      <c r="F1700" s="39">
        <v>43112</v>
      </c>
      <c r="G1700" s="37">
        <v>1.5</v>
      </c>
      <c r="O1700"/>
      <c r="P1700"/>
      <c r="R1700" s="39">
        <v>43105</v>
      </c>
      <c r="S1700" s="37">
        <v>0.46250000000000002</v>
      </c>
    </row>
    <row r="1701" spans="6:19" ht="15" x14ac:dyDescent="0.25">
      <c r="F1701" s="39">
        <v>43111</v>
      </c>
      <c r="G1701" s="37">
        <v>1.5</v>
      </c>
      <c r="O1701"/>
      <c r="P1701"/>
      <c r="R1701" s="39">
        <v>43104</v>
      </c>
      <c r="S1701" s="37">
        <v>0.46179999999999999</v>
      </c>
    </row>
    <row r="1702" spans="6:19" ht="15" x14ac:dyDescent="0.25">
      <c r="F1702" s="39">
        <v>43110</v>
      </c>
      <c r="G1702" s="37">
        <v>1.5</v>
      </c>
      <c r="O1702"/>
      <c r="P1702"/>
      <c r="R1702" s="39">
        <v>43103</v>
      </c>
      <c r="S1702" s="37">
        <v>0.4642</v>
      </c>
    </row>
    <row r="1703" spans="6:19" ht="15" x14ac:dyDescent="0.25">
      <c r="F1703" s="39">
        <v>43109</v>
      </c>
      <c r="G1703" s="37">
        <v>1.5</v>
      </c>
      <c r="O1703"/>
      <c r="P1703"/>
      <c r="R1703" s="39">
        <v>43102</v>
      </c>
      <c r="S1703" s="37">
        <v>0.4622</v>
      </c>
    </row>
    <row r="1704" spans="6:19" ht="15" x14ac:dyDescent="0.25">
      <c r="F1704" s="39">
        <v>43108</v>
      </c>
      <c r="G1704" s="37">
        <v>1.5</v>
      </c>
      <c r="O1704"/>
      <c r="P1704"/>
      <c r="R1704" s="39">
        <v>43098</v>
      </c>
      <c r="S1704" s="37">
        <v>0.4123</v>
      </c>
    </row>
    <row r="1705" spans="6:19" ht="15" x14ac:dyDescent="0.25">
      <c r="F1705" s="39">
        <v>43105</v>
      </c>
      <c r="G1705" s="37">
        <v>1.5</v>
      </c>
      <c r="O1705"/>
      <c r="P1705"/>
      <c r="R1705" s="39">
        <v>43097</v>
      </c>
      <c r="S1705" s="37">
        <v>0.46650000000000003</v>
      </c>
    </row>
    <row r="1706" spans="6:19" ht="15" x14ac:dyDescent="0.25">
      <c r="F1706" s="39">
        <v>43104</v>
      </c>
      <c r="G1706" s="37">
        <v>1.5</v>
      </c>
      <c r="O1706"/>
      <c r="P1706"/>
      <c r="R1706" s="39">
        <v>43096</v>
      </c>
      <c r="S1706" s="37">
        <v>0.46600000000000003</v>
      </c>
    </row>
    <row r="1707" spans="6:19" ht="15" x14ac:dyDescent="0.25">
      <c r="F1707" s="39">
        <v>43103</v>
      </c>
      <c r="G1707" s="37">
        <v>1.5</v>
      </c>
      <c r="O1707"/>
      <c r="P1707"/>
      <c r="R1707" s="39">
        <v>43091</v>
      </c>
      <c r="S1707" s="37">
        <v>0.4647</v>
      </c>
    </row>
    <row r="1708" spans="6:19" ht="15" x14ac:dyDescent="0.25">
      <c r="F1708" s="39">
        <v>43102</v>
      </c>
      <c r="G1708" s="37">
        <v>1.5</v>
      </c>
      <c r="O1708"/>
      <c r="P1708"/>
      <c r="R1708" s="39">
        <v>43090</v>
      </c>
      <c r="S1708" s="37">
        <v>0.46429999999999999</v>
      </c>
    </row>
    <row r="1709" spans="6:19" ht="15" x14ac:dyDescent="0.25">
      <c r="F1709" s="39">
        <v>43098</v>
      </c>
      <c r="G1709" s="37">
        <v>1.5</v>
      </c>
      <c r="O1709"/>
      <c r="P1709"/>
      <c r="R1709" s="39">
        <v>43089</v>
      </c>
      <c r="S1709" s="37">
        <v>0.46839999999999998</v>
      </c>
    </row>
    <row r="1710" spans="6:19" ht="15" x14ac:dyDescent="0.25">
      <c r="F1710" s="39">
        <v>43097</v>
      </c>
      <c r="G1710" s="37">
        <v>1.5</v>
      </c>
      <c r="O1710"/>
      <c r="P1710"/>
      <c r="R1710" s="39">
        <v>43088</v>
      </c>
      <c r="S1710" s="37">
        <v>0.46899999999999997</v>
      </c>
    </row>
    <row r="1711" spans="6:19" ht="15" x14ac:dyDescent="0.25">
      <c r="F1711" s="39">
        <v>43096</v>
      </c>
      <c r="G1711" s="37">
        <v>1.5</v>
      </c>
      <c r="O1711"/>
      <c r="P1711"/>
      <c r="R1711" s="39">
        <v>43087</v>
      </c>
      <c r="S1711" s="37">
        <v>0.46589999999999998</v>
      </c>
    </row>
    <row r="1712" spans="6:19" ht="15" x14ac:dyDescent="0.25">
      <c r="F1712" s="39">
        <v>43091</v>
      </c>
      <c r="G1712" s="37">
        <v>1.5</v>
      </c>
      <c r="O1712"/>
      <c r="P1712"/>
      <c r="R1712" s="39">
        <v>43084</v>
      </c>
      <c r="S1712" s="37">
        <v>0.4637</v>
      </c>
    </row>
    <row r="1713" spans="6:19" ht="15" x14ac:dyDescent="0.25">
      <c r="F1713" s="39">
        <v>43090</v>
      </c>
      <c r="G1713" s="37">
        <v>1.5</v>
      </c>
      <c r="O1713"/>
      <c r="P1713"/>
      <c r="R1713" s="39">
        <v>43083</v>
      </c>
      <c r="S1713" s="37">
        <v>0.46239999999999998</v>
      </c>
    </row>
    <row r="1714" spans="6:19" ht="15" x14ac:dyDescent="0.25">
      <c r="F1714" s="39">
        <v>43089</v>
      </c>
      <c r="G1714" s="37">
        <v>1.5</v>
      </c>
      <c r="O1714"/>
      <c r="P1714"/>
      <c r="R1714" s="39">
        <v>43082</v>
      </c>
      <c r="S1714" s="37">
        <v>0.4627</v>
      </c>
    </row>
    <row r="1715" spans="6:19" ht="15" x14ac:dyDescent="0.25">
      <c r="F1715" s="39">
        <v>43088</v>
      </c>
      <c r="G1715" s="37">
        <v>1.5</v>
      </c>
      <c r="O1715"/>
      <c r="P1715"/>
      <c r="R1715" s="39">
        <v>43081</v>
      </c>
      <c r="S1715" s="37">
        <v>0.4612</v>
      </c>
    </row>
    <row r="1716" spans="6:19" ht="15" x14ac:dyDescent="0.25">
      <c r="F1716" s="39">
        <v>43087</v>
      </c>
      <c r="G1716" s="37">
        <v>1.5</v>
      </c>
      <c r="O1716"/>
      <c r="P1716"/>
      <c r="R1716" s="39">
        <v>43080</v>
      </c>
      <c r="S1716" s="37">
        <v>0.46229999999999999</v>
      </c>
    </row>
    <row r="1717" spans="6:19" ht="15" x14ac:dyDescent="0.25">
      <c r="F1717" s="39">
        <v>43084</v>
      </c>
      <c r="G1717" s="37">
        <v>1.5</v>
      </c>
      <c r="O1717"/>
      <c r="P1717"/>
      <c r="R1717" s="39">
        <v>43077</v>
      </c>
      <c r="S1717" s="37">
        <v>0.46289999999999998</v>
      </c>
    </row>
    <row r="1718" spans="6:19" ht="15" x14ac:dyDescent="0.25">
      <c r="F1718" s="39">
        <v>43083</v>
      </c>
      <c r="G1718" s="37">
        <v>1.5</v>
      </c>
      <c r="O1718"/>
      <c r="P1718"/>
      <c r="R1718" s="39">
        <v>43076</v>
      </c>
      <c r="S1718" s="37">
        <v>0.46639999999999998</v>
      </c>
    </row>
    <row r="1719" spans="6:19" ht="15" x14ac:dyDescent="0.25">
      <c r="F1719" s="39">
        <v>43082</v>
      </c>
      <c r="G1719" s="37">
        <v>1.5</v>
      </c>
      <c r="O1719"/>
      <c r="P1719"/>
      <c r="R1719" s="39">
        <v>43075</v>
      </c>
      <c r="S1719" s="37">
        <v>0.45939999999999998</v>
      </c>
    </row>
    <row r="1720" spans="6:19" ht="15" x14ac:dyDescent="0.25">
      <c r="F1720" s="39">
        <v>43081</v>
      </c>
      <c r="G1720" s="37">
        <v>1.5</v>
      </c>
      <c r="O1720"/>
      <c r="P1720"/>
      <c r="R1720" s="39">
        <v>43074</v>
      </c>
      <c r="S1720" s="37">
        <v>0.46550000000000002</v>
      </c>
    </row>
    <row r="1721" spans="6:19" ht="15" x14ac:dyDescent="0.25">
      <c r="F1721" s="39">
        <v>43080</v>
      </c>
      <c r="G1721" s="37">
        <v>1.5</v>
      </c>
      <c r="O1721"/>
      <c r="P1721"/>
      <c r="R1721" s="39">
        <v>43073</v>
      </c>
      <c r="S1721" s="37">
        <v>0.4667</v>
      </c>
    </row>
    <row r="1722" spans="6:19" ht="15" x14ac:dyDescent="0.25">
      <c r="F1722" s="39">
        <v>43077</v>
      </c>
      <c r="G1722" s="37">
        <v>1.5</v>
      </c>
      <c r="O1722"/>
      <c r="P1722"/>
      <c r="R1722" s="39">
        <v>43070</v>
      </c>
      <c r="S1722" s="37">
        <v>0.46610000000000001</v>
      </c>
    </row>
    <row r="1723" spans="6:19" ht="15" x14ac:dyDescent="0.25">
      <c r="F1723" s="39">
        <v>43076</v>
      </c>
      <c r="G1723" s="37">
        <v>1.5</v>
      </c>
      <c r="O1723"/>
      <c r="P1723"/>
      <c r="R1723" s="39">
        <v>43069</v>
      </c>
      <c r="S1723" s="37">
        <v>0.46229999999999999</v>
      </c>
    </row>
    <row r="1724" spans="6:19" ht="15" x14ac:dyDescent="0.25">
      <c r="F1724" s="39">
        <v>43075</v>
      </c>
      <c r="G1724" s="37">
        <v>1.5</v>
      </c>
      <c r="O1724"/>
      <c r="P1724"/>
      <c r="R1724" s="39">
        <v>43068</v>
      </c>
      <c r="S1724" s="37">
        <v>0.46629999999999999</v>
      </c>
    </row>
    <row r="1725" spans="6:19" ht="15" x14ac:dyDescent="0.25">
      <c r="F1725" s="39">
        <v>43074</v>
      </c>
      <c r="G1725" s="37">
        <v>1.5</v>
      </c>
      <c r="O1725"/>
      <c r="P1725"/>
      <c r="R1725" s="39">
        <v>43067</v>
      </c>
      <c r="S1725" s="37">
        <v>0.46339999999999998</v>
      </c>
    </row>
    <row r="1726" spans="6:19" ht="15" x14ac:dyDescent="0.25">
      <c r="F1726" s="39">
        <v>43073</v>
      </c>
      <c r="G1726" s="37">
        <v>1.5</v>
      </c>
      <c r="O1726"/>
      <c r="P1726"/>
      <c r="R1726" s="39">
        <v>43066</v>
      </c>
      <c r="S1726" s="37">
        <v>0.46179999999999999</v>
      </c>
    </row>
    <row r="1727" spans="6:19" ht="15" x14ac:dyDescent="0.25">
      <c r="F1727" s="39">
        <v>43070</v>
      </c>
      <c r="G1727" s="37">
        <v>1.5</v>
      </c>
      <c r="O1727"/>
      <c r="P1727"/>
      <c r="R1727" s="39">
        <v>43063</v>
      </c>
      <c r="S1727" s="37">
        <v>0.46350000000000002</v>
      </c>
    </row>
    <row r="1728" spans="6:19" ht="15" x14ac:dyDescent="0.25">
      <c r="F1728" s="39">
        <v>43069</v>
      </c>
      <c r="G1728" s="37">
        <v>1.5</v>
      </c>
      <c r="O1728"/>
      <c r="P1728"/>
      <c r="R1728" s="39">
        <v>43062</v>
      </c>
      <c r="S1728" s="37">
        <v>0.46239999999999998</v>
      </c>
    </row>
    <row r="1729" spans="6:19" ht="15" x14ac:dyDescent="0.25">
      <c r="F1729" s="39">
        <v>43068</v>
      </c>
      <c r="G1729" s="37">
        <v>1.5</v>
      </c>
      <c r="O1729"/>
      <c r="P1729"/>
      <c r="R1729" s="39">
        <v>43061</v>
      </c>
      <c r="S1729" s="37">
        <v>0.4622</v>
      </c>
    </row>
    <row r="1730" spans="6:19" ht="15" x14ac:dyDescent="0.25">
      <c r="F1730" s="39">
        <v>43067</v>
      </c>
      <c r="G1730" s="37">
        <v>1.5</v>
      </c>
      <c r="O1730"/>
      <c r="P1730"/>
      <c r="R1730" s="39">
        <v>43060</v>
      </c>
      <c r="S1730" s="37">
        <v>0.4617</v>
      </c>
    </row>
    <row r="1731" spans="6:19" ht="15" x14ac:dyDescent="0.25">
      <c r="F1731" s="39">
        <v>43066</v>
      </c>
      <c r="G1731" s="37">
        <v>1.5</v>
      </c>
      <c r="O1731"/>
      <c r="P1731"/>
      <c r="R1731" s="39">
        <v>43059</v>
      </c>
      <c r="S1731" s="37">
        <v>0.46229999999999999</v>
      </c>
    </row>
    <row r="1732" spans="6:19" ht="15" x14ac:dyDescent="0.25">
      <c r="F1732" s="39">
        <v>43063</v>
      </c>
      <c r="G1732" s="37">
        <v>1.5</v>
      </c>
      <c r="O1732"/>
      <c r="P1732"/>
      <c r="R1732" s="39">
        <v>43056</v>
      </c>
      <c r="S1732" s="37">
        <v>0.46379999999999999</v>
      </c>
    </row>
    <row r="1733" spans="6:19" ht="15" x14ac:dyDescent="0.25">
      <c r="F1733" s="39">
        <v>43062</v>
      </c>
      <c r="G1733" s="37">
        <v>1.5</v>
      </c>
      <c r="O1733"/>
      <c r="P1733"/>
      <c r="R1733" s="39">
        <v>43055</v>
      </c>
      <c r="S1733" s="37">
        <v>0.4622</v>
      </c>
    </row>
    <row r="1734" spans="6:19" ht="15" x14ac:dyDescent="0.25">
      <c r="F1734" s="39">
        <v>43061</v>
      </c>
      <c r="G1734" s="37">
        <v>1.5</v>
      </c>
      <c r="O1734"/>
      <c r="P1734"/>
      <c r="R1734" s="39">
        <v>43054</v>
      </c>
      <c r="S1734" s="37">
        <v>0.4632</v>
      </c>
    </row>
    <row r="1735" spans="6:19" ht="15" x14ac:dyDescent="0.25">
      <c r="F1735" s="39">
        <v>43060</v>
      </c>
      <c r="G1735" s="37">
        <v>1.5</v>
      </c>
      <c r="O1735"/>
      <c r="P1735"/>
      <c r="R1735" s="39">
        <v>43053</v>
      </c>
      <c r="S1735" s="37">
        <v>0.46439999999999998</v>
      </c>
    </row>
    <row r="1736" spans="6:19" ht="15" x14ac:dyDescent="0.25">
      <c r="F1736" s="39">
        <v>43059</v>
      </c>
      <c r="G1736" s="37">
        <v>1.5</v>
      </c>
      <c r="O1736"/>
      <c r="P1736"/>
      <c r="R1736" s="39">
        <v>43052</v>
      </c>
      <c r="S1736" s="37">
        <v>0.4662</v>
      </c>
    </row>
    <row r="1737" spans="6:19" ht="15" x14ac:dyDescent="0.25">
      <c r="F1737" s="39">
        <v>43056</v>
      </c>
      <c r="G1737" s="37">
        <v>1.5</v>
      </c>
      <c r="O1737"/>
      <c r="P1737"/>
      <c r="R1737" s="39">
        <v>43049</v>
      </c>
      <c r="S1737" s="37">
        <v>0.4622</v>
      </c>
    </row>
    <row r="1738" spans="6:19" ht="15" x14ac:dyDescent="0.25">
      <c r="F1738" s="39">
        <v>43055</v>
      </c>
      <c r="G1738" s="37">
        <v>1.5</v>
      </c>
      <c r="O1738"/>
      <c r="P1738"/>
      <c r="R1738" s="39">
        <v>43048</v>
      </c>
      <c r="S1738" s="37">
        <v>0.46279999999999999</v>
      </c>
    </row>
    <row r="1739" spans="6:19" ht="15" x14ac:dyDescent="0.25">
      <c r="F1739" s="39">
        <v>43054</v>
      </c>
      <c r="G1739" s="37">
        <v>1.5</v>
      </c>
      <c r="O1739"/>
      <c r="P1739"/>
      <c r="R1739" s="39">
        <v>43047</v>
      </c>
      <c r="S1739" s="37">
        <v>0.4632</v>
      </c>
    </row>
    <row r="1740" spans="6:19" ht="15" x14ac:dyDescent="0.25">
      <c r="F1740" s="39">
        <v>43053</v>
      </c>
      <c r="G1740" s="37">
        <v>1.5</v>
      </c>
      <c r="O1740"/>
      <c r="P1740"/>
      <c r="R1740" s="39">
        <v>43046</v>
      </c>
      <c r="S1740" s="37">
        <v>0.46239999999999998</v>
      </c>
    </row>
    <row r="1741" spans="6:19" ht="15" x14ac:dyDescent="0.25">
      <c r="F1741" s="39">
        <v>43052</v>
      </c>
      <c r="G1741" s="37">
        <v>1.5</v>
      </c>
      <c r="O1741"/>
      <c r="P1741"/>
      <c r="R1741" s="39">
        <v>43045</v>
      </c>
      <c r="S1741" s="37">
        <v>0.46489999999999998</v>
      </c>
    </row>
    <row r="1742" spans="6:19" ht="15" x14ac:dyDescent="0.25">
      <c r="F1742" s="39">
        <v>43049</v>
      </c>
      <c r="G1742" s="37">
        <v>1.5</v>
      </c>
      <c r="O1742"/>
      <c r="P1742"/>
      <c r="R1742" s="39">
        <v>43042</v>
      </c>
      <c r="S1742" s="37">
        <v>0.46279999999999999</v>
      </c>
    </row>
    <row r="1743" spans="6:19" ht="15" x14ac:dyDescent="0.25">
      <c r="F1743" s="39">
        <v>43048</v>
      </c>
      <c r="G1743" s="37">
        <v>1.5</v>
      </c>
      <c r="O1743"/>
      <c r="P1743"/>
      <c r="R1743" s="39">
        <v>43041</v>
      </c>
      <c r="S1743" s="37">
        <v>0.40550000000000003</v>
      </c>
    </row>
    <row r="1744" spans="6:19" ht="15" x14ac:dyDescent="0.25">
      <c r="F1744" s="39">
        <v>43047</v>
      </c>
      <c r="G1744" s="37">
        <v>1.5</v>
      </c>
      <c r="O1744"/>
      <c r="P1744"/>
      <c r="R1744" s="39">
        <v>43040</v>
      </c>
      <c r="S1744" s="37">
        <v>0.2145</v>
      </c>
    </row>
    <row r="1745" spans="6:19" ht="15" x14ac:dyDescent="0.25">
      <c r="F1745" s="39">
        <v>43046</v>
      </c>
      <c r="G1745" s="37">
        <v>1.5</v>
      </c>
      <c r="O1745"/>
      <c r="P1745"/>
      <c r="R1745" s="39">
        <v>43039</v>
      </c>
      <c r="S1745" s="37">
        <v>0.20960000000000001</v>
      </c>
    </row>
    <row r="1746" spans="6:19" ht="15" x14ac:dyDescent="0.25">
      <c r="F1746" s="39">
        <v>43045</v>
      </c>
      <c r="G1746" s="37">
        <v>1.5</v>
      </c>
      <c r="O1746"/>
      <c r="P1746"/>
      <c r="R1746" s="39">
        <v>43038</v>
      </c>
      <c r="S1746" s="37">
        <v>0.216</v>
      </c>
    </row>
    <row r="1747" spans="6:19" ht="15" x14ac:dyDescent="0.25">
      <c r="F1747" s="39">
        <v>43042</v>
      </c>
      <c r="G1747" s="37">
        <v>1.5</v>
      </c>
      <c r="O1747"/>
      <c r="P1747"/>
      <c r="R1747" s="39">
        <v>43035</v>
      </c>
      <c r="S1747" s="37">
        <v>0.21310000000000001</v>
      </c>
    </row>
    <row r="1748" spans="6:19" ht="15" x14ac:dyDescent="0.25">
      <c r="F1748" s="39">
        <v>43041</v>
      </c>
      <c r="G1748" s="37">
        <v>1.5</v>
      </c>
      <c r="O1748"/>
      <c r="P1748"/>
      <c r="R1748" s="39">
        <v>43034</v>
      </c>
      <c r="S1748" s="37">
        <v>0.214</v>
      </c>
    </row>
    <row r="1749" spans="6:19" ht="15" x14ac:dyDescent="0.25">
      <c r="F1749" s="39">
        <v>43040</v>
      </c>
      <c r="G1749" s="37">
        <v>1.5</v>
      </c>
      <c r="O1749"/>
      <c r="P1749"/>
      <c r="R1749" s="39">
        <v>43033</v>
      </c>
      <c r="S1749" s="37">
        <v>0.2147</v>
      </c>
    </row>
    <row r="1750" spans="6:19" ht="15" x14ac:dyDescent="0.25">
      <c r="F1750" s="39">
        <v>43039</v>
      </c>
      <c r="G1750" s="37">
        <v>1.5</v>
      </c>
      <c r="O1750"/>
      <c r="P1750"/>
      <c r="R1750" s="39">
        <v>43032</v>
      </c>
      <c r="S1750" s="37">
        <v>0.21260000000000001</v>
      </c>
    </row>
    <row r="1751" spans="6:19" ht="15" x14ac:dyDescent="0.25">
      <c r="F1751" s="39">
        <v>43038</v>
      </c>
      <c r="G1751" s="37">
        <v>1.5</v>
      </c>
      <c r="O1751"/>
      <c r="P1751"/>
      <c r="R1751" s="39">
        <v>43031</v>
      </c>
      <c r="S1751" s="37">
        <v>0.21310000000000001</v>
      </c>
    </row>
    <row r="1752" spans="6:19" ht="15" x14ac:dyDescent="0.25">
      <c r="F1752" s="39">
        <v>43035</v>
      </c>
      <c r="G1752" s="37">
        <v>1.5</v>
      </c>
      <c r="O1752"/>
      <c r="P1752"/>
      <c r="R1752" s="39">
        <v>43028</v>
      </c>
      <c r="S1752" s="37">
        <v>0.21410000000000001</v>
      </c>
    </row>
    <row r="1753" spans="6:19" ht="15" x14ac:dyDescent="0.25">
      <c r="F1753" s="39">
        <v>43034</v>
      </c>
      <c r="G1753" s="37">
        <v>1.5</v>
      </c>
      <c r="O1753"/>
      <c r="P1753"/>
      <c r="R1753" s="39">
        <v>43027</v>
      </c>
      <c r="S1753" s="37">
        <v>0.21410000000000001</v>
      </c>
    </row>
    <row r="1754" spans="6:19" ht="15" x14ac:dyDescent="0.25">
      <c r="F1754" s="39">
        <v>43033</v>
      </c>
      <c r="G1754" s="37">
        <v>1.5</v>
      </c>
      <c r="O1754"/>
      <c r="P1754"/>
      <c r="R1754" s="39">
        <v>43026</v>
      </c>
      <c r="S1754" s="37">
        <v>0.21279999999999999</v>
      </c>
    </row>
    <row r="1755" spans="6:19" ht="15" x14ac:dyDescent="0.25">
      <c r="F1755" s="39">
        <v>43032</v>
      </c>
      <c r="G1755" s="37">
        <v>1.5</v>
      </c>
      <c r="O1755"/>
      <c r="P1755"/>
      <c r="R1755" s="39">
        <v>43025</v>
      </c>
      <c r="S1755" s="37">
        <v>0.21179999999999999</v>
      </c>
    </row>
    <row r="1756" spans="6:19" ht="15" x14ac:dyDescent="0.25">
      <c r="F1756" s="39">
        <v>43031</v>
      </c>
      <c r="G1756" s="37">
        <v>1.5</v>
      </c>
      <c r="O1756"/>
      <c r="P1756"/>
      <c r="R1756" s="39">
        <v>43024</v>
      </c>
      <c r="S1756" s="37">
        <v>0.20930000000000001</v>
      </c>
    </row>
    <row r="1757" spans="6:19" ht="15" x14ac:dyDescent="0.25">
      <c r="F1757" s="39">
        <v>43028</v>
      </c>
      <c r="G1757" s="37">
        <v>1.5</v>
      </c>
      <c r="O1757"/>
      <c r="P1757"/>
      <c r="R1757" s="39">
        <v>43021</v>
      </c>
      <c r="S1757" s="37">
        <v>0.2082</v>
      </c>
    </row>
    <row r="1758" spans="6:19" ht="15" x14ac:dyDescent="0.25">
      <c r="F1758" s="39">
        <v>43027</v>
      </c>
      <c r="G1758" s="37">
        <v>1.5</v>
      </c>
      <c r="O1758"/>
      <c r="P1758"/>
      <c r="R1758" s="39">
        <v>43020</v>
      </c>
      <c r="S1758" s="37">
        <v>0.2072</v>
      </c>
    </row>
    <row r="1759" spans="6:19" ht="15" x14ac:dyDescent="0.25">
      <c r="F1759" s="39">
        <v>43026</v>
      </c>
      <c r="G1759" s="37">
        <v>1.5</v>
      </c>
      <c r="O1759"/>
      <c r="P1759"/>
      <c r="R1759" s="39">
        <v>43019</v>
      </c>
      <c r="S1759" s="37">
        <v>0.20860000000000001</v>
      </c>
    </row>
    <row r="1760" spans="6:19" ht="15" x14ac:dyDescent="0.25">
      <c r="F1760" s="39">
        <v>43025</v>
      </c>
      <c r="G1760" s="37">
        <v>1.5</v>
      </c>
      <c r="O1760"/>
      <c r="P1760"/>
      <c r="R1760" s="39">
        <v>43018</v>
      </c>
      <c r="S1760" s="37">
        <v>0.20649999999999999</v>
      </c>
    </row>
    <row r="1761" spans="6:19" ht="15" x14ac:dyDescent="0.25">
      <c r="F1761" s="39">
        <v>43024</v>
      </c>
      <c r="G1761" s="37">
        <v>1.5</v>
      </c>
      <c r="O1761"/>
      <c r="P1761"/>
      <c r="R1761" s="39">
        <v>43017</v>
      </c>
      <c r="S1761" s="37">
        <v>0.2099</v>
      </c>
    </row>
    <row r="1762" spans="6:19" ht="15" x14ac:dyDescent="0.25">
      <c r="F1762" s="39">
        <v>43021</v>
      </c>
      <c r="G1762" s="37">
        <v>1.5</v>
      </c>
      <c r="O1762"/>
      <c r="P1762"/>
      <c r="R1762" s="39">
        <v>43014</v>
      </c>
      <c r="S1762" s="37">
        <v>0.20780000000000001</v>
      </c>
    </row>
    <row r="1763" spans="6:19" ht="15" x14ac:dyDescent="0.25">
      <c r="F1763" s="39">
        <v>43020</v>
      </c>
      <c r="G1763" s="37">
        <v>1.5</v>
      </c>
      <c r="O1763"/>
      <c r="P1763"/>
      <c r="R1763" s="39">
        <v>43013</v>
      </c>
      <c r="S1763" s="37">
        <v>0.20930000000000001</v>
      </c>
    </row>
    <row r="1764" spans="6:19" ht="15" x14ac:dyDescent="0.25">
      <c r="F1764" s="39">
        <v>43019</v>
      </c>
      <c r="G1764" s="37">
        <v>1.5</v>
      </c>
      <c r="O1764"/>
      <c r="P1764"/>
      <c r="R1764" s="39">
        <v>43012</v>
      </c>
      <c r="S1764" s="37">
        <v>0.20849999999999999</v>
      </c>
    </row>
    <row r="1765" spans="6:19" ht="15" x14ac:dyDescent="0.25">
      <c r="F1765" s="39">
        <v>43018</v>
      </c>
      <c r="G1765" s="37">
        <v>1.5</v>
      </c>
      <c r="O1765"/>
      <c r="P1765"/>
      <c r="R1765" s="39">
        <v>43011</v>
      </c>
      <c r="S1765" s="37">
        <v>0.2094</v>
      </c>
    </row>
    <row r="1766" spans="6:19" ht="15" x14ac:dyDescent="0.25">
      <c r="F1766" s="39">
        <v>43017</v>
      </c>
      <c r="G1766" s="37">
        <v>1.5</v>
      </c>
      <c r="O1766"/>
      <c r="P1766"/>
      <c r="R1766" s="39">
        <v>43010</v>
      </c>
      <c r="S1766" s="37">
        <v>0.21079999999999999</v>
      </c>
    </row>
    <row r="1767" spans="6:19" ht="15" x14ac:dyDescent="0.25">
      <c r="F1767" s="39">
        <v>43014</v>
      </c>
      <c r="G1767" s="37">
        <v>1.5</v>
      </c>
      <c r="O1767"/>
      <c r="P1767"/>
      <c r="R1767" s="39">
        <v>43007</v>
      </c>
      <c r="S1767" s="37">
        <v>0.1991</v>
      </c>
    </row>
    <row r="1768" spans="6:19" ht="15" x14ac:dyDescent="0.25">
      <c r="F1768" s="39">
        <v>43013</v>
      </c>
      <c r="G1768" s="37">
        <v>1.5</v>
      </c>
      <c r="O1768"/>
      <c r="P1768"/>
      <c r="R1768" s="39">
        <v>43006</v>
      </c>
      <c r="S1768" s="37">
        <v>0.21010000000000001</v>
      </c>
    </row>
    <row r="1769" spans="6:19" ht="15" x14ac:dyDescent="0.25">
      <c r="F1769" s="39">
        <v>43012</v>
      </c>
      <c r="G1769" s="37">
        <v>1.5</v>
      </c>
      <c r="O1769"/>
      <c r="P1769"/>
      <c r="R1769" s="39">
        <v>43005</v>
      </c>
      <c r="S1769" s="37">
        <v>0.2094</v>
      </c>
    </row>
    <row r="1770" spans="6:19" ht="15" x14ac:dyDescent="0.25">
      <c r="F1770" s="39">
        <v>43011</v>
      </c>
      <c r="G1770" s="37">
        <v>1.5</v>
      </c>
      <c r="O1770"/>
      <c r="P1770"/>
      <c r="R1770" s="39">
        <v>43004</v>
      </c>
      <c r="S1770" s="37">
        <v>0.2097</v>
      </c>
    </row>
    <row r="1771" spans="6:19" ht="15" x14ac:dyDescent="0.25">
      <c r="F1771" s="39">
        <v>43010</v>
      </c>
      <c r="G1771" s="37">
        <v>1.5</v>
      </c>
      <c r="O1771"/>
      <c r="P1771"/>
      <c r="R1771" s="39">
        <v>43003</v>
      </c>
      <c r="S1771" s="37">
        <v>0.21060000000000001</v>
      </c>
    </row>
    <row r="1772" spans="6:19" ht="15" x14ac:dyDescent="0.25">
      <c r="F1772" s="39">
        <v>43007</v>
      </c>
      <c r="G1772" s="37">
        <v>1.5</v>
      </c>
      <c r="O1772"/>
      <c r="P1772"/>
      <c r="R1772" s="39">
        <v>43000</v>
      </c>
      <c r="S1772" s="37">
        <v>0.21129999999999999</v>
      </c>
    </row>
    <row r="1773" spans="6:19" ht="15" x14ac:dyDescent="0.25">
      <c r="F1773" s="39">
        <v>43006</v>
      </c>
      <c r="G1773" s="37">
        <v>1.5</v>
      </c>
      <c r="O1773"/>
      <c r="P1773"/>
      <c r="R1773" s="39">
        <v>42999</v>
      </c>
      <c r="S1773" s="37">
        <v>0.2145</v>
      </c>
    </row>
    <row r="1774" spans="6:19" ht="15" x14ac:dyDescent="0.25">
      <c r="F1774" s="39">
        <v>43005</v>
      </c>
      <c r="G1774" s="37">
        <v>1.5</v>
      </c>
      <c r="O1774"/>
      <c r="P1774"/>
      <c r="R1774" s="39">
        <v>42998</v>
      </c>
      <c r="S1774" s="37">
        <v>0.2172</v>
      </c>
    </row>
    <row r="1775" spans="6:19" ht="15" x14ac:dyDescent="0.25">
      <c r="F1775" s="39">
        <v>43004</v>
      </c>
      <c r="G1775" s="37">
        <v>1.5</v>
      </c>
      <c r="O1775"/>
      <c r="P1775"/>
      <c r="R1775" s="39">
        <v>42997</v>
      </c>
      <c r="S1775" s="37">
        <v>0.2152</v>
      </c>
    </row>
    <row r="1776" spans="6:19" ht="15" x14ac:dyDescent="0.25">
      <c r="F1776" s="39">
        <v>43003</v>
      </c>
      <c r="G1776" s="37">
        <v>1.5</v>
      </c>
      <c r="O1776"/>
      <c r="P1776"/>
      <c r="R1776" s="39">
        <v>42996</v>
      </c>
      <c r="S1776" s="37">
        <v>0.21510000000000001</v>
      </c>
    </row>
    <row r="1777" spans="6:19" ht="15" x14ac:dyDescent="0.25">
      <c r="F1777" s="39">
        <v>43000</v>
      </c>
      <c r="G1777" s="37">
        <v>1.5</v>
      </c>
      <c r="O1777"/>
      <c r="P1777"/>
      <c r="R1777" s="39">
        <v>42993</v>
      </c>
      <c r="S1777" s="37">
        <v>0.21690000000000001</v>
      </c>
    </row>
    <row r="1778" spans="6:19" ht="15" x14ac:dyDescent="0.25">
      <c r="F1778" s="39">
        <v>42999</v>
      </c>
      <c r="G1778" s="37">
        <v>1.5</v>
      </c>
      <c r="O1778"/>
      <c r="P1778"/>
      <c r="R1778" s="39">
        <v>42992</v>
      </c>
      <c r="S1778" s="37">
        <v>0.21479999999999999</v>
      </c>
    </row>
    <row r="1779" spans="6:19" ht="15" x14ac:dyDescent="0.25">
      <c r="F1779" s="39">
        <v>42998</v>
      </c>
      <c r="G1779" s="37">
        <v>1.5</v>
      </c>
      <c r="O1779"/>
      <c r="P1779"/>
      <c r="R1779" s="39">
        <v>42991</v>
      </c>
      <c r="S1779" s="37">
        <v>0.21479999999999999</v>
      </c>
    </row>
    <row r="1780" spans="6:19" ht="15" x14ac:dyDescent="0.25">
      <c r="F1780" s="39">
        <v>42997</v>
      </c>
      <c r="G1780" s="37">
        <v>1.5</v>
      </c>
      <c r="O1780"/>
      <c r="P1780"/>
      <c r="R1780" s="39">
        <v>42990</v>
      </c>
      <c r="S1780" s="37">
        <v>0.21460000000000001</v>
      </c>
    </row>
    <row r="1781" spans="6:19" ht="15" x14ac:dyDescent="0.25">
      <c r="F1781" s="39">
        <v>42996</v>
      </c>
      <c r="G1781" s="37">
        <v>1.5</v>
      </c>
      <c r="O1781"/>
      <c r="P1781"/>
      <c r="R1781" s="39">
        <v>42989</v>
      </c>
      <c r="S1781" s="37">
        <v>0.2132</v>
      </c>
    </row>
    <row r="1782" spans="6:19" ht="15" x14ac:dyDescent="0.25">
      <c r="F1782" s="39">
        <v>42993</v>
      </c>
      <c r="G1782" s="37">
        <v>1.5</v>
      </c>
      <c r="O1782"/>
      <c r="P1782"/>
      <c r="R1782" s="39">
        <v>42986</v>
      </c>
      <c r="S1782" s="37">
        <v>0.21440000000000001</v>
      </c>
    </row>
    <row r="1783" spans="6:19" ht="15" x14ac:dyDescent="0.25">
      <c r="F1783" s="39">
        <v>42992</v>
      </c>
      <c r="G1783" s="37">
        <v>1.5</v>
      </c>
      <c r="O1783"/>
      <c r="P1783"/>
      <c r="R1783" s="39">
        <v>42985</v>
      </c>
      <c r="S1783" s="37">
        <v>0.21079999999999999</v>
      </c>
    </row>
    <row r="1784" spans="6:19" ht="15" x14ac:dyDescent="0.25">
      <c r="F1784" s="39">
        <v>42991</v>
      </c>
      <c r="G1784" s="37">
        <v>1.5</v>
      </c>
      <c r="O1784"/>
      <c r="P1784"/>
      <c r="R1784" s="39">
        <v>42984</v>
      </c>
      <c r="S1784" s="37">
        <v>0.2112</v>
      </c>
    </row>
    <row r="1785" spans="6:19" ht="15" x14ac:dyDescent="0.25">
      <c r="F1785" s="39">
        <v>42990</v>
      </c>
      <c r="G1785" s="37">
        <v>1.5</v>
      </c>
      <c r="O1785"/>
      <c r="P1785"/>
      <c r="R1785" s="39">
        <v>42983</v>
      </c>
      <c r="S1785" s="37">
        <v>0.21179999999999999</v>
      </c>
    </row>
    <row r="1786" spans="6:19" ht="15" x14ac:dyDescent="0.25">
      <c r="F1786" s="39">
        <v>42989</v>
      </c>
      <c r="G1786" s="37">
        <v>1.5</v>
      </c>
      <c r="O1786"/>
      <c r="P1786"/>
      <c r="R1786" s="39">
        <v>42982</v>
      </c>
      <c r="S1786" s="37">
        <v>0.2122</v>
      </c>
    </row>
    <row r="1787" spans="6:19" ht="15" x14ac:dyDescent="0.25">
      <c r="F1787" s="39">
        <v>42986</v>
      </c>
      <c r="G1787" s="37">
        <v>1.5</v>
      </c>
      <c r="O1787"/>
      <c r="P1787"/>
      <c r="R1787" s="39">
        <v>42979</v>
      </c>
      <c r="S1787" s="37">
        <v>0.21229999999999999</v>
      </c>
    </row>
    <row r="1788" spans="6:19" ht="15" x14ac:dyDescent="0.25">
      <c r="F1788" s="39">
        <v>42985</v>
      </c>
      <c r="G1788" s="37">
        <v>1.5</v>
      </c>
      <c r="O1788"/>
      <c r="P1788"/>
      <c r="R1788" s="39">
        <v>42978</v>
      </c>
      <c r="S1788" s="37">
        <v>0.2109</v>
      </c>
    </row>
    <row r="1789" spans="6:19" ht="15" x14ac:dyDescent="0.25">
      <c r="F1789" s="39">
        <v>42984</v>
      </c>
      <c r="G1789" s="37">
        <v>1.5</v>
      </c>
      <c r="O1789"/>
      <c r="P1789"/>
      <c r="R1789" s="39">
        <v>42977</v>
      </c>
      <c r="S1789" s="37">
        <v>0.21329999999999999</v>
      </c>
    </row>
    <row r="1790" spans="6:19" ht="15" x14ac:dyDescent="0.25">
      <c r="F1790" s="39">
        <v>42983</v>
      </c>
      <c r="G1790" s="37">
        <v>1.5</v>
      </c>
      <c r="O1790"/>
      <c r="P1790"/>
      <c r="R1790" s="39">
        <v>42976</v>
      </c>
      <c r="S1790" s="37">
        <v>0.2142</v>
      </c>
    </row>
    <row r="1791" spans="6:19" ht="15" x14ac:dyDescent="0.25">
      <c r="F1791" s="39">
        <v>42982</v>
      </c>
      <c r="G1791" s="37">
        <v>1.5</v>
      </c>
      <c r="O1791"/>
      <c r="P1791"/>
      <c r="R1791" s="39">
        <v>42972</v>
      </c>
      <c r="S1791" s="37">
        <v>0.21590000000000001</v>
      </c>
    </row>
    <row r="1792" spans="6:19" ht="15" x14ac:dyDescent="0.25">
      <c r="F1792" s="39">
        <v>42979</v>
      </c>
      <c r="G1792" s="37">
        <v>1.5</v>
      </c>
      <c r="O1792"/>
      <c r="P1792"/>
      <c r="R1792" s="39">
        <v>42971</v>
      </c>
      <c r="S1792" s="37">
        <v>0.21099999999999999</v>
      </c>
    </row>
    <row r="1793" spans="6:19" ht="15" x14ac:dyDescent="0.25">
      <c r="F1793" s="39">
        <v>42978</v>
      </c>
      <c r="G1793" s="37">
        <v>1.5</v>
      </c>
      <c r="O1793"/>
      <c r="P1793"/>
      <c r="R1793" s="39">
        <v>42970</v>
      </c>
      <c r="S1793" s="37">
        <v>0.21199999999999999</v>
      </c>
    </row>
    <row r="1794" spans="6:19" ht="15" x14ac:dyDescent="0.25">
      <c r="F1794" s="39">
        <v>42977</v>
      </c>
      <c r="G1794" s="37">
        <v>1.5</v>
      </c>
      <c r="O1794"/>
      <c r="P1794"/>
      <c r="R1794" s="39">
        <v>42969</v>
      </c>
      <c r="S1794" s="37">
        <v>0.21160000000000001</v>
      </c>
    </row>
    <row r="1795" spans="6:19" ht="15" x14ac:dyDescent="0.25">
      <c r="F1795" s="39">
        <v>42976</v>
      </c>
      <c r="G1795" s="37">
        <v>1.5</v>
      </c>
      <c r="O1795"/>
      <c r="P1795"/>
      <c r="R1795" s="39">
        <v>42968</v>
      </c>
      <c r="S1795" s="37">
        <v>0.21149999999999999</v>
      </c>
    </row>
    <row r="1796" spans="6:19" ht="15" x14ac:dyDescent="0.25">
      <c r="F1796" s="39">
        <v>42975</v>
      </c>
      <c r="G1796" s="37">
        <v>1.5</v>
      </c>
      <c r="O1796"/>
      <c r="P1796"/>
      <c r="R1796" s="39">
        <v>42965</v>
      </c>
      <c r="S1796" s="37">
        <v>0.21229999999999999</v>
      </c>
    </row>
    <row r="1797" spans="6:19" ht="15" x14ac:dyDescent="0.25">
      <c r="F1797" s="39">
        <v>42972</v>
      </c>
      <c r="G1797" s="37">
        <v>1.5</v>
      </c>
      <c r="O1797"/>
      <c r="P1797"/>
      <c r="R1797" s="39">
        <v>42964</v>
      </c>
      <c r="S1797" s="37">
        <v>0.21560000000000001</v>
      </c>
    </row>
    <row r="1798" spans="6:19" ht="15" x14ac:dyDescent="0.25">
      <c r="F1798" s="39">
        <v>42971</v>
      </c>
      <c r="G1798" s="37">
        <v>1.5</v>
      </c>
      <c r="O1798"/>
      <c r="P1798"/>
      <c r="R1798" s="39">
        <v>42963</v>
      </c>
      <c r="S1798" s="37">
        <v>0.2137</v>
      </c>
    </row>
    <row r="1799" spans="6:19" ht="15" x14ac:dyDescent="0.25">
      <c r="F1799" s="39">
        <v>42970</v>
      </c>
      <c r="G1799" s="37">
        <v>1.5</v>
      </c>
      <c r="O1799"/>
      <c r="P1799"/>
      <c r="R1799" s="39">
        <v>42962</v>
      </c>
      <c r="S1799" s="37">
        <v>0.21299999999999999</v>
      </c>
    </row>
    <row r="1800" spans="6:19" ht="15" x14ac:dyDescent="0.25">
      <c r="F1800" s="39">
        <v>42969</v>
      </c>
      <c r="G1800" s="37">
        <v>1.5</v>
      </c>
      <c r="O1800"/>
      <c r="P1800"/>
      <c r="R1800" s="39">
        <v>42961</v>
      </c>
      <c r="S1800" s="37">
        <v>0.21229999999999999</v>
      </c>
    </row>
    <row r="1801" spans="6:19" ht="15" x14ac:dyDescent="0.25">
      <c r="F1801" s="39">
        <v>42968</v>
      </c>
      <c r="G1801" s="37">
        <v>1.5</v>
      </c>
      <c r="O1801"/>
      <c r="P1801"/>
      <c r="R1801" s="39">
        <v>42958</v>
      </c>
      <c r="S1801" s="37">
        <v>0.21329999999999999</v>
      </c>
    </row>
    <row r="1802" spans="6:19" ht="15" x14ac:dyDescent="0.25">
      <c r="F1802" s="39">
        <v>42965</v>
      </c>
      <c r="G1802" s="37">
        <v>1.5</v>
      </c>
      <c r="O1802"/>
      <c r="P1802"/>
      <c r="R1802" s="39">
        <v>42957</v>
      </c>
      <c r="S1802" s="37">
        <v>0.21260000000000001</v>
      </c>
    </row>
    <row r="1803" spans="6:19" ht="15" x14ac:dyDescent="0.25">
      <c r="F1803" s="39">
        <v>42964</v>
      </c>
      <c r="G1803" s="37">
        <v>1.5</v>
      </c>
      <c r="O1803"/>
      <c r="P1803"/>
      <c r="R1803" s="39">
        <v>42956</v>
      </c>
      <c r="S1803" s="37">
        <v>0.21479999999999999</v>
      </c>
    </row>
    <row r="1804" spans="6:19" ht="15" x14ac:dyDescent="0.25">
      <c r="F1804" s="39">
        <v>42963</v>
      </c>
      <c r="G1804" s="37">
        <v>1.5</v>
      </c>
      <c r="O1804"/>
      <c r="P1804"/>
      <c r="R1804" s="39">
        <v>42955</v>
      </c>
      <c r="S1804" s="37">
        <v>0.21590000000000001</v>
      </c>
    </row>
    <row r="1805" spans="6:19" ht="15" x14ac:dyDescent="0.25">
      <c r="F1805" s="39">
        <v>42962</v>
      </c>
      <c r="G1805" s="37">
        <v>1.5</v>
      </c>
      <c r="O1805"/>
      <c r="P1805"/>
      <c r="R1805" s="39">
        <v>42954</v>
      </c>
      <c r="S1805" s="37">
        <v>0.21249999999999999</v>
      </c>
    </row>
    <row r="1806" spans="6:19" ht="15" x14ac:dyDescent="0.25">
      <c r="F1806" s="39">
        <v>42961</v>
      </c>
      <c r="G1806" s="37">
        <v>1.5</v>
      </c>
      <c r="O1806"/>
      <c r="P1806"/>
      <c r="R1806" s="39">
        <v>42951</v>
      </c>
      <c r="S1806" s="37">
        <v>0.21290000000000001</v>
      </c>
    </row>
    <row r="1807" spans="6:19" ht="15" x14ac:dyDescent="0.25">
      <c r="F1807" s="39">
        <v>42958</v>
      </c>
      <c r="G1807" s="37">
        <v>1.5</v>
      </c>
      <c r="O1807"/>
      <c r="P1807"/>
      <c r="R1807" s="39">
        <v>42950</v>
      </c>
      <c r="S1807" s="37">
        <v>0.21429999999999999</v>
      </c>
    </row>
    <row r="1808" spans="6:19" ht="15" x14ac:dyDescent="0.25">
      <c r="F1808" s="39">
        <v>42957</v>
      </c>
      <c r="G1808" s="37">
        <v>1.5</v>
      </c>
      <c r="O1808"/>
      <c r="P1808"/>
      <c r="R1808" s="39">
        <v>42949</v>
      </c>
      <c r="S1808" s="37">
        <v>0.21429999999999999</v>
      </c>
    </row>
    <row r="1809" spans="6:19" ht="15" x14ac:dyDescent="0.25">
      <c r="F1809" s="39">
        <v>42956</v>
      </c>
      <c r="G1809" s="37">
        <v>1.5</v>
      </c>
      <c r="O1809"/>
      <c r="P1809"/>
      <c r="R1809" s="39">
        <v>42948</v>
      </c>
      <c r="S1809" s="37">
        <v>0.21149999999999999</v>
      </c>
    </row>
    <row r="1810" spans="6:19" ht="15" x14ac:dyDescent="0.25">
      <c r="F1810" s="39">
        <v>42955</v>
      </c>
      <c r="G1810" s="37">
        <v>1.5</v>
      </c>
      <c r="O1810"/>
      <c r="P1810"/>
      <c r="R1810" s="39">
        <v>42947</v>
      </c>
      <c r="S1810" s="37">
        <v>0.2034</v>
      </c>
    </row>
    <row r="1811" spans="6:19" ht="15" x14ac:dyDescent="0.25">
      <c r="F1811" s="39">
        <v>42954</v>
      </c>
      <c r="G1811" s="37">
        <v>1.5</v>
      </c>
      <c r="O1811"/>
      <c r="P1811"/>
      <c r="R1811" s="39">
        <v>42944</v>
      </c>
      <c r="S1811" s="37">
        <v>0.21199999999999999</v>
      </c>
    </row>
    <row r="1812" spans="6:19" ht="15" x14ac:dyDescent="0.25">
      <c r="F1812" s="39">
        <v>42951</v>
      </c>
      <c r="G1812" s="37">
        <v>1.5</v>
      </c>
      <c r="O1812"/>
      <c r="P1812"/>
      <c r="R1812" s="39">
        <v>42943</v>
      </c>
      <c r="S1812" s="37">
        <v>0.21149999999999999</v>
      </c>
    </row>
    <row r="1813" spans="6:19" ht="15" x14ac:dyDescent="0.25">
      <c r="F1813" s="39">
        <v>42950</v>
      </c>
      <c r="G1813" s="37">
        <v>1.5</v>
      </c>
      <c r="O1813"/>
      <c r="P1813"/>
      <c r="R1813" s="39">
        <v>42942</v>
      </c>
      <c r="S1813" s="37">
        <v>0.21210000000000001</v>
      </c>
    </row>
    <row r="1814" spans="6:19" ht="15" x14ac:dyDescent="0.25">
      <c r="F1814" s="39">
        <v>42949</v>
      </c>
      <c r="G1814" s="37">
        <v>1.5</v>
      </c>
      <c r="O1814"/>
      <c r="P1814"/>
      <c r="R1814" s="39">
        <v>42941</v>
      </c>
      <c r="S1814" s="37">
        <v>0.21190000000000001</v>
      </c>
    </row>
    <row r="1815" spans="6:19" ht="15" x14ac:dyDescent="0.25">
      <c r="F1815" s="39">
        <v>42948</v>
      </c>
      <c r="G1815" s="37">
        <v>1.5</v>
      </c>
      <c r="O1815"/>
      <c r="P1815"/>
      <c r="R1815" s="39">
        <v>42940</v>
      </c>
      <c r="S1815" s="37">
        <v>0.21229999999999999</v>
      </c>
    </row>
    <row r="1816" spans="6:19" ht="15" x14ac:dyDescent="0.25">
      <c r="F1816" s="39">
        <v>42947</v>
      </c>
      <c r="G1816" s="37">
        <v>1.5</v>
      </c>
      <c r="O1816"/>
      <c r="P1816"/>
      <c r="R1816" s="39">
        <v>42937</v>
      </c>
      <c r="S1816" s="37">
        <v>0.2142</v>
      </c>
    </row>
    <row r="1817" spans="6:19" ht="15" x14ac:dyDescent="0.25">
      <c r="F1817" s="39">
        <v>42944</v>
      </c>
      <c r="G1817" s="37">
        <v>1.5</v>
      </c>
      <c r="O1817"/>
      <c r="P1817"/>
      <c r="R1817" s="39">
        <v>42936</v>
      </c>
      <c r="S1817" s="37">
        <v>0.21190000000000001</v>
      </c>
    </row>
    <row r="1818" spans="6:19" ht="15" x14ac:dyDescent="0.25">
      <c r="F1818" s="39">
        <v>42943</v>
      </c>
      <c r="G1818" s="37">
        <v>1.5</v>
      </c>
      <c r="O1818"/>
      <c r="P1818"/>
      <c r="R1818" s="39">
        <v>42935</v>
      </c>
      <c r="S1818" s="37">
        <v>0.21029999999999999</v>
      </c>
    </row>
    <row r="1819" spans="6:19" ht="15" x14ac:dyDescent="0.25">
      <c r="F1819" s="39">
        <v>42942</v>
      </c>
      <c r="G1819" s="37">
        <v>1.5</v>
      </c>
      <c r="O1819"/>
      <c r="P1819"/>
      <c r="R1819" s="39">
        <v>42934</v>
      </c>
      <c r="S1819" s="37">
        <v>0.2117</v>
      </c>
    </row>
    <row r="1820" spans="6:19" ht="15" x14ac:dyDescent="0.25">
      <c r="F1820" s="39">
        <v>42941</v>
      </c>
      <c r="G1820" s="37">
        <v>1.5</v>
      </c>
      <c r="O1820"/>
      <c r="P1820"/>
      <c r="R1820" s="39">
        <v>42933</v>
      </c>
      <c r="S1820" s="37">
        <v>0.21340000000000001</v>
      </c>
    </row>
    <row r="1821" spans="6:19" ht="15" x14ac:dyDescent="0.25">
      <c r="F1821" s="39">
        <v>42940</v>
      </c>
      <c r="G1821" s="37">
        <v>1.5</v>
      </c>
      <c r="O1821"/>
      <c r="P1821"/>
      <c r="R1821" s="39">
        <v>42930</v>
      </c>
      <c r="S1821" s="37">
        <v>0.21440000000000001</v>
      </c>
    </row>
    <row r="1822" spans="6:19" ht="15" x14ac:dyDescent="0.25">
      <c r="F1822" s="39">
        <v>42937</v>
      </c>
      <c r="G1822" s="37">
        <v>1.5</v>
      </c>
      <c r="O1822"/>
      <c r="P1822"/>
      <c r="R1822" s="39">
        <v>42929</v>
      </c>
      <c r="S1822" s="37">
        <v>0.2145</v>
      </c>
    </row>
    <row r="1823" spans="6:19" ht="15" x14ac:dyDescent="0.25">
      <c r="F1823" s="39">
        <v>42936</v>
      </c>
      <c r="G1823" s="37">
        <v>1.5</v>
      </c>
      <c r="O1823"/>
      <c r="P1823"/>
      <c r="R1823" s="39">
        <v>42928</v>
      </c>
      <c r="S1823" s="37">
        <v>0.21479999999999999</v>
      </c>
    </row>
    <row r="1824" spans="6:19" ht="15" x14ac:dyDescent="0.25">
      <c r="F1824" s="39">
        <v>42935</v>
      </c>
      <c r="G1824" s="37">
        <v>1.5</v>
      </c>
      <c r="O1824"/>
      <c r="P1824"/>
      <c r="R1824" s="39">
        <v>42927</v>
      </c>
      <c r="S1824" s="37">
        <v>0.2142</v>
      </c>
    </row>
    <row r="1825" spans="6:19" ht="15" x14ac:dyDescent="0.25">
      <c r="F1825" s="39">
        <v>42934</v>
      </c>
      <c r="G1825" s="37">
        <v>1.5</v>
      </c>
      <c r="O1825"/>
      <c r="P1825"/>
      <c r="R1825" s="39">
        <v>42926</v>
      </c>
      <c r="S1825" s="37">
        <v>0.21240000000000001</v>
      </c>
    </row>
    <row r="1826" spans="6:19" ht="15" x14ac:dyDescent="0.25">
      <c r="F1826" s="39">
        <v>42933</v>
      </c>
      <c r="G1826" s="37">
        <v>1.5</v>
      </c>
      <c r="O1826"/>
      <c r="P1826"/>
      <c r="R1826" s="39">
        <v>42923</v>
      </c>
      <c r="S1826" s="37">
        <v>0.21429999999999999</v>
      </c>
    </row>
    <row r="1827" spans="6:19" ht="15" x14ac:dyDescent="0.25">
      <c r="F1827" s="39">
        <v>42930</v>
      </c>
      <c r="G1827" s="37">
        <v>1.5</v>
      </c>
      <c r="O1827"/>
      <c r="P1827"/>
      <c r="R1827" s="39">
        <v>42922</v>
      </c>
      <c r="S1827" s="37">
        <v>0.21290000000000001</v>
      </c>
    </row>
    <row r="1828" spans="6:19" ht="15" x14ac:dyDescent="0.25">
      <c r="F1828" s="39">
        <v>42929</v>
      </c>
      <c r="G1828" s="37">
        <v>1.5</v>
      </c>
      <c r="O1828"/>
      <c r="P1828"/>
      <c r="R1828" s="39">
        <v>42921</v>
      </c>
      <c r="S1828" s="37">
        <v>0.21199999999999999</v>
      </c>
    </row>
    <row r="1829" spans="6:19" ht="15" x14ac:dyDescent="0.25">
      <c r="F1829" s="39">
        <v>42928</v>
      </c>
      <c r="G1829" s="37">
        <v>1.5</v>
      </c>
      <c r="O1829"/>
      <c r="P1829"/>
      <c r="R1829" s="39">
        <v>42920</v>
      </c>
      <c r="S1829" s="37">
        <v>0.21179999999999999</v>
      </c>
    </row>
    <row r="1830" spans="6:19" ht="15" x14ac:dyDescent="0.25">
      <c r="F1830" s="39">
        <v>42927</v>
      </c>
      <c r="G1830" s="37">
        <v>1.5</v>
      </c>
      <c r="O1830"/>
      <c r="P1830"/>
      <c r="R1830" s="39">
        <v>42919</v>
      </c>
      <c r="S1830" s="37">
        <v>0.2137</v>
      </c>
    </row>
    <row r="1831" spans="6:19" ht="15" x14ac:dyDescent="0.25">
      <c r="F1831" s="39">
        <v>42926</v>
      </c>
      <c r="G1831" s="37">
        <v>1.5</v>
      </c>
      <c r="O1831"/>
      <c r="P1831"/>
      <c r="R1831" s="39">
        <v>42916</v>
      </c>
      <c r="S1831" s="37">
        <v>0.19400000000000001</v>
      </c>
    </row>
    <row r="1832" spans="6:19" ht="15" x14ac:dyDescent="0.25">
      <c r="F1832" s="39">
        <v>42923</v>
      </c>
      <c r="G1832" s="37">
        <v>1.5</v>
      </c>
      <c r="O1832"/>
      <c r="P1832"/>
      <c r="R1832" s="39">
        <v>42915</v>
      </c>
      <c r="S1832" s="37">
        <v>0.21290000000000001</v>
      </c>
    </row>
    <row r="1833" spans="6:19" ht="15" x14ac:dyDescent="0.25">
      <c r="F1833" s="39">
        <v>42922</v>
      </c>
      <c r="G1833" s="37">
        <v>1.5</v>
      </c>
      <c r="O1833"/>
      <c r="P1833"/>
      <c r="R1833" s="39">
        <v>42914</v>
      </c>
      <c r="S1833" s="37">
        <v>0.21160000000000001</v>
      </c>
    </row>
    <row r="1834" spans="6:19" ht="15" x14ac:dyDescent="0.25">
      <c r="F1834" s="39">
        <v>42921</v>
      </c>
      <c r="G1834" s="37">
        <v>1.5</v>
      </c>
      <c r="O1834"/>
      <c r="P1834"/>
      <c r="R1834" s="39">
        <v>42913</v>
      </c>
      <c r="S1834" s="37">
        <v>0.21390000000000001</v>
      </c>
    </row>
    <row r="1835" spans="6:19" ht="15" x14ac:dyDescent="0.25">
      <c r="F1835" s="39">
        <v>42920</v>
      </c>
      <c r="G1835" s="37">
        <v>1.5</v>
      </c>
      <c r="O1835"/>
      <c r="P1835"/>
      <c r="R1835" s="39">
        <v>42912</v>
      </c>
      <c r="S1835" s="37">
        <v>0.21310000000000001</v>
      </c>
    </row>
    <row r="1836" spans="6:19" ht="15" x14ac:dyDescent="0.25">
      <c r="F1836" s="39">
        <v>42919</v>
      </c>
      <c r="G1836" s="37">
        <v>1.5</v>
      </c>
      <c r="O1836"/>
      <c r="P1836"/>
      <c r="R1836" s="39">
        <v>42909</v>
      </c>
      <c r="S1836" s="37">
        <v>0.2157</v>
      </c>
    </row>
    <row r="1837" spans="6:19" ht="15" x14ac:dyDescent="0.25">
      <c r="F1837" s="39">
        <v>42916</v>
      </c>
      <c r="G1837" s="37">
        <v>1.5</v>
      </c>
      <c r="O1837"/>
      <c r="P1837"/>
      <c r="R1837" s="39">
        <v>42908</v>
      </c>
      <c r="S1837" s="37">
        <v>0.2147</v>
      </c>
    </row>
    <row r="1838" spans="6:19" ht="15" x14ac:dyDescent="0.25">
      <c r="F1838" s="39">
        <v>42915</v>
      </c>
      <c r="G1838" s="37">
        <v>1.5</v>
      </c>
      <c r="O1838"/>
      <c r="P1838"/>
      <c r="R1838" s="39">
        <v>42907</v>
      </c>
      <c r="S1838" s="37">
        <v>0.21490000000000001</v>
      </c>
    </row>
    <row r="1839" spans="6:19" ht="15" x14ac:dyDescent="0.25">
      <c r="F1839" s="39">
        <v>42914</v>
      </c>
      <c r="G1839" s="37">
        <v>1.5</v>
      </c>
      <c r="O1839"/>
      <c r="P1839"/>
      <c r="R1839" s="39">
        <v>42906</v>
      </c>
      <c r="S1839" s="37">
        <v>0.21729999999999999</v>
      </c>
    </row>
    <row r="1840" spans="6:19" ht="15" x14ac:dyDescent="0.25">
      <c r="F1840" s="39">
        <v>42913</v>
      </c>
      <c r="G1840" s="37">
        <v>1.5</v>
      </c>
      <c r="O1840"/>
      <c r="P1840"/>
      <c r="R1840" s="39">
        <v>42905</v>
      </c>
      <c r="S1840" s="37">
        <v>0.21299999999999999</v>
      </c>
    </row>
    <row r="1841" spans="6:19" ht="15" x14ac:dyDescent="0.25">
      <c r="F1841" s="39">
        <v>42912</v>
      </c>
      <c r="G1841" s="37">
        <v>1.5</v>
      </c>
      <c r="O1841"/>
      <c r="P1841"/>
      <c r="R1841" s="39">
        <v>42902</v>
      </c>
      <c r="S1841" s="37">
        <v>0.21240000000000001</v>
      </c>
    </row>
    <row r="1842" spans="6:19" ht="15" x14ac:dyDescent="0.25">
      <c r="F1842" s="39">
        <v>42909</v>
      </c>
      <c r="G1842" s="37">
        <v>1.5</v>
      </c>
      <c r="O1842"/>
      <c r="P1842"/>
      <c r="R1842" s="39">
        <v>42901</v>
      </c>
      <c r="S1842" s="37">
        <v>0.21229999999999999</v>
      </c>
    </row>
    <row r="1843" spans="6:19" ht="15" x14ac:dyDescent="0.25">
      <c r="F1843" s="39">
        <v>42908</v>
      </c>
      <c r="G1843" s="37">
        <v>1.5</v>
      </c>
      <c r="O1843"/>
      <c r="P1843"/>
      <c r="R1843" s="39">
        <v>42900</v>
      </c>
      <c r="S1843" s="37">
        <v>0.21229999999999999</v>
      </c>
    </row>
    <row r="1844" spans="6:19" ht="15" x14ac:dyDescent="0.25">
      <c r="F1844" s="39">
        <v>42907</v>
      </c>
      <c r="G1844" s="37">
        <v>1.5</v>
      </c>
      <c r="O1844"/>
      <c r="P1844"/>
      <c r="R1844" s="39">
        <v>42899</v>
      </c>
      <c r="S1844" s="37">
        <v>0.2122</v>
      </c>
    </row>
    <row r="1845" spans="6:19" ht="15" x14ac:dyDescent="0.25">
      <c r="F1845" s="39">
        <v>42906</v>
      </c>
      <c r="G1845" s="37">
        <v>1.5</v>
      </c>
      <c r="O1845"/>
      <c r="P1845"/>
      <c r="R1845" s="39">
        <v>42898</v>
      </c>
      <c r="S1845" s="37">
        <v>0.21079999999999999</v>
      </c>
    </row>
    <row r="1846" spans="6:19" ht="15" x14ac:dyDescent="0.25">
      <c r="F1846" s="39">
        <v>42905</v>
      </c>
      <c r="G1846" s="37">
        <v>1.5</v>
      </c>
      <c r="O1846"/>
      <c r="P1846"/>
      <c r="R1846" s="39">
        <v>42895</v>
      </c>
      <c r="S1846" s="37">
        <v>0.21160000000000001</v>
      </c>
    </row>
    <row r="1847" spans="6:19" ht="15" x14ac:dyDescent="0.25">
      <c r="F1847" s="39">
        <v>42902</v>
      </c>
      <c r="G1847" s="37">
        <v>1.5</v>
      </c>
      <c r="O1847"/>
      <c r="P1847"/>
      <c r="R1847" s="39">
        <v>42894</v>
      </c>
      <c r="S1847" s="37">
        <v>0.21179999999999999</v>
      </c>
    </row>
    <row r="1848" spans="6:19" ht="15" x14ac:dyDescent="0.25">
      <c r="F1848" s="39">
        <v>42901</v>
      </c>
      <c r="G1848" s="37">
        <v>1.5</v>
      </c>
      <c r="O1848"/>
      <c r="P1848"/>
      <c r="R1848" s="39">
        <v>42893</v>
      </c>
      <c r="S1848" s="37">
        <v>0.2114</v>
      </c>
    </row>
    <row r="1849" spans="6:19" ht="15" x14ac:dyDescent="0.25">
      <c r="F1849" s="39">
        <v>42900</v>
      </c>
      <c r="G1849" s="37">
        <v>1.5</v>
      </c>
      <c r="O1849"/>
      <c r="P1849"/>
      <c r="R1849" s="39">
        <v>42892</v>
      </c>
      <c r="S1849" s="37">
        <v>0.2122</v>
      </c>
    </row>
    <row r="1850" spans="6:19" ht="15" x14ac:dyDescent="0.25">
      <c r="F1850" s="39">
        <v>42899</v>
      </c>
      <c r="G1850" s="37">
        <v>1.5</v>
      </c>
      <c r="O1850"/>
      <c r="P1850"/>
      <c r="R1850" s="39">
        <v>42891</v>
      </c>
      <c r="S1850" s="37">
        <v>0.2114</v>
      </c>
    </row>
    <row r="1851" spans="6:19" ht="15" x14ac:dyDescent="0.25">
      <c r="F1851" s="39">
        <v>42895</v>
      </c>
      <c r="G1851" s="37">
        <v>1.5</v>
      </c>
      <c r="O1851"/>
      <c r="P1851"/>
      <c r="R1851" s="39">
        <v>42888</v>
      </c>
      <c r="S1851" s="37">
        <v>0.21299999999999999</v>
      </c>
    </row>
    <row r="1852" spans="6:19" ht="15" x14ac:dyDescent="0.25">
      <c r="F1852" s="39">
        <v>42894</v>
      </c>
      <c r="G1852" s="37">
        <v>1.5</v>
      </c>
      <c r="O1852"/>
      <c r="P1852"/>
      <c r="R1852" s="39">
        <v>42887</v>
      </c>
      <c r="S1852" s="37">
        <v>0.21310000000000001</v>
      </c>
    </row>
    <row r="1853" spans="6:19" ht="15" x14ac:dyDescent="0.25">
      <c r="F1853" s="39">
        <v>42893</v>
      </c>
      <c r="G1853" s="37">
        <v>1.5</v>
      </c>
      <c r="O1853"/>
      <c r="P1853"/>
      <c r="R1853" s="39">
        <v>42886</v>
      </c>
      <c r="S1853" s="37">
        <v>0.2087</v>
      </c>
    </row>
    <row r="1854" spans="6:19" ht="15" x14ac:dyDescent="0.25">
      <c r="F1854" s="39">
        <v>42892</v>
      </c>
      <c r="G1854" s="37">
        <v>1.5</v>
      </c>
      <c r="O1854"/>
      <c r="P1854"/>
      <c r="R1854" s="39">
        <v>42885</v>
      </c>
      <c r="S1854" s="37">
        <v>0.21190000000000001</v>
      </c>
    </row>
    <row r="1855" spans="6:19" ht="15" x14ac:dyDescent="0.25">
      <c r="F1855" s="39">
        <v>42891</v>
      </c>
      <c r="G1855" s="37">
        <v>1.5</v>
      </c>
      <c r="O1855"/>
      <c r="P1855"/>
      <c r="R1855" s="39">
        <v>42881</v>
      </c>
      <c r="S1855" s="37">
        <v>0.21299999999999999</v>
      </c>
    </row>
    <row r="1856" spans="6:19" ht="15" x14ac:dyDescent="0.25">
      <c r="F1856" s="39">
        <v>42888</v>
      </c>
      <c r="G1856" s="37">
        <v>1.5</v>
      </c>
      <c r="O1856"/>
      <c r="P1856"/>
      <c r="R1856" s="39">
        <v>42880</v>
      </c>
      <c r="S1856" s="37">
        <v>0.2122</v>
      </c>
    </row>
    <row r="1857" spans="6:19" ht="15" x14ac:dyDescent="0.25">
      <c r="F1857" s="39">
        <v>42887</v>
      </c>
      <c r="G1857" s="37">
        <v>1.5</v>
      </c>
      <c r="O1857"/>
      <c r="P1857"/>
      <c r="R1857" s="39">
        <v>42879</v>
      </c>
      <c r="S1857" s="37">
        <v>0.21060000000000001</v>
      </c>
    </row>
    <row r="1858" spans="6:19" ht="15" x14ac:dyDescent="0.25">
      <c r="F1858" s="39">
        <v>42886</v>
      </c>
      <c r="G1858" s="37">
        <v>1.5</v>
      </c>
      <c r="O1858"/>
      <c r="P1858"/>
      <c r="R1858" s="39">
        <v>42878</v>
      </c>
      <c r="S1858" s="37">
        <v>0.2112</v>
      </c>
    </row>
    <row r="1859" spans="6:19" ht="15" x14ac:dyDescent="0.25">
      <c r="F1859" s="39">
        <v>42885</v>
      </c>
      <c r="G1859" s="37">
        <v>1.5</v>
      </c>
      <c r="O1859"/>
      <c r="P1859"/>
      <c r="R1859" s="39">
        <v>42877</v>
      </c>
      <c r="S1859" s="37">
        <v>0.2114</v>
      </c>
    </row>
    <row r="1860" spans="6:19" ht="15" x14ac:dyDescent="0.25">
      <c r="F1860" s="39">
        <v>42884</v>
      </c>
      <c r="G1860" s="37">
        <v>1.5</v>
      </c>
      <c r="O1860"/>
      <c r="P1860"/>
      <c r="R1860" s="39">
        <v>42874</v>
      </c>
      <c r="S1860" s="37">
        <v>0.2137</v>
      </c>
    </row>
    <row r="1861" spans="6:19" ht="15" x14ac:dyDescent="0.25">
      <c r="F1861" s="39">
        <v>42881</v>
      </c>
      <c r="G1861" s="37">
        <v>1.5</v>
      </c>
      <c r="O1861"/>
      <c r="P1861"/>
      <c r="R1861" s="39">
        <v>42873</v>
      </c>
      <c r="S1861" s="37">
        <v>0.21329999999999999</v>
      </c>
    </row>
    <row r="1862" spans="6:19" ht="15" x14ac:dyDescent="0.25">
      <c r="F1862" s="39">
        <v>42880</v>
      </c>
      <c r="G1862" s="37">
        <v>1.5</v>
      </c>
      <c r="O1862"/>
      <c r="P1862"/>
      <c r="R1862" s="39">
        <v>42872</v>
      </c>
      <c r="S1862" s="37">
        <v>0.2147</v>
      </c>
    </row>
    <row r="1863" spans="6:19" ht="15" x14ac:dyDescent="0.25">
      <c r="F1863" s="39">
        <v>42879</v>
      </c>
      <c r="G1863" s="37">
        <v>1.5</v>
      </c>
      <c r="O1863"/>
      <c r="P1863"/>
      <c r="R1863" s="39">
        <v>42871</v>
      </c>
      <c r="S1863" s="37">
        <v>0.2142</v>
      </c>
    </row>
    <row r="1864" spans="6:19" ht="15" x14ac:dyDescent="0.25">
      <c r="F1864" s="39">
        <v>42878</v>
      </c>
      <c r="G1864" s="37">
        <v>1.5</v>
      </c>
      <c r="O1864"/>
      <c r="P1864"/>
      <c r="R1864" s="39">
        <v>42870</v>
      </c>
      <c r="S1864" s="37">
        <v>0.2137</v>
      </c>
    </row>
    <row r="1865" spans="6:19" ht="15" x14ac:dyDescent="0.25">
      <c r="F1865" s="39">
        <v>42877</v>
      </c>
      <c r="G1865" s="37">
        <v>1.5</v>
      </c>
      <c r="O1865"/>
      <c r="P1865"/>
      <c r="R1865" s="39">
        <v>42867</v>
      </c>
      <c r="S1865" s="37">
        <v>0.21460000000000001</v>
      </c>
    </row>
    <row r="1866" spans="6:19" ht="15" x14ac:dyDescent="0.25">
      <c r="F1866" s="39">
        <v>42874</v>
      </c>
      <c r="G1866" s="37">
        <v>1.5</v>
      </c>
      <c r="O1866"/>
      <c r="P1866"/>
      <c r="R1866" s="39">
        <v>42866</v>
      </c>
      <c r="S1866" s="37">
        <v>0.21310000000000001</v>
      </c>
    </row>
    <row r="1867" spans="6:19" ht="15" x14ac:dyDescent="0.25">
      <c r="F1867" s="39">
        <v>42873</v>
      </c>
      <c r="G1867" s="37">
        <v>1.5</v>
      </c>
      <c r="O1867"/>
      <c r="P1867"/>
      <c r="R1867" s="39">
        <v>42865</v>
      </c>
      <c r="S1867" s="37">
        <v>0.2155</v>
      </c>
    </row>
    <row r="1868" spans="6:19" ht="15" x14ac:dyDescent="0.25">
      <c r="F1868" s="39">
        <v>42872</v>
      </c>
      <c r="G1868" s="37">
        <v>1.5</v>
      </c>
      <c r="O1868"/>
      <c r="P1868"/>
      <c r="R1868" s="39">
        <v>42864</v>
      </c>
      <c r="S1868" s="37">
        <v>0.2142</v>
      </c>
    </row>
    <row r="1869" spans="6:19" ht="15" x14ac:dyDescent="0.25">
      <c r="F1869" s="39">
        <v>42871</v>
      </c>
      <c r="G1869" s="37">
        <v>1.5</v>
      </c>
      <c r="O1869"/>
      <c r="P1869"/>
      <c r="R1869" s="39">
        <v>42863</v>
      </c>
      <c r="S1869" s="37">
        <v>0.21360000000000001</v>
      </c>
    </row>
    <row r="1870" spans="6:19" ht="15" x14ac:dyDescent="0.25">
      <c r="F1870" s="39">
        <v>42870</v>
      </c>
      <c r="G1870" s="37">
        <v>1.5</v>
      </c>
      <c r="O1870"/>
      <c r="P1870"/>
      <c r="R1870" s="39">
        <v>42860</v>
      </c>
      <c r="S1870" s="37">
        <v>0.21360000000000001</v>
      </c>
    </row>
    <row r="1871" spans="6:19" ht="15" x14ac:dyDescent="0.25">
      <c r="F1871" s="39">
        <v>42867</v>
      </c>
      <c r="G1871" s="37">
        <v>1.5</v>
      </c>
      <c r="O1871"/>
      <c r="P1871"/>
      <c r="R1871" s="39">
        <v>42859</v>
      </c>
      <c r="S1871" s="37">
        <v>0.21060000000000001</v>
      </c>
    </row>
    <row r="1872" spans="6:19" ht="15" x14ac:dyDescent="0.25">
      <c r="F1872" s="39">
        <v>42866</v>
      </c>
      <c r="G1872" s="37">
        <v>1.5</v>
      </c>
      <c r="O1872"/>
      <c r="P1872"/>
      <c r="R1872" s="39">
        <v>42858</v>
      </c>
      <c r="S1872" s="37">
        <v>0.2104</v>
      </c>
    </row>
    <row r="1873" spans="6:19" ht="15" x14ac:dyDescent="0.25">
      <c r="F1873" s="39">
        <v>42865</v>
      </c>
      <c r="G1873" s="37">
        <v>1.5</v>
      </c>
      <c r="O1873"/>
      <c r="P1873"/>
      <c r="R1873" s="39">
        <v>42857</v>
      </c>
      <c r="S1873" s="37">
        <v>0.21110000000000001</v>
      </c>
    </row>
    <row r="1874" spans="6:19" ht="15" x14ac:dyDescent="0.25">
      <c r="F1874" s="39">
        <v>42864</v>
      </c>
      <c r="G1874" s="37">
        <v>1.5</v>
      </c>
      <c r="O1874"/>
      <c r="P1874"/>
      <c r="R1874" s="39">
        <v>42853</v>
      </c>
      <c r="S1874" s="37">
        <v>0.21079999999999999</v>
      </c>
    </row>
    <row r="1875" spans="6:19" ht="15" x14ac:dyDescent="0.25">
      <c r="F1875" s="39">
        <v>42863</v>
      </c>
      <c r="G1875" s="37">
        <v>1.5</v>
      </c>
      <c r="O1875"/>
      <c r="P1875"/>
      <c r="R1875" s="39">
        <v>42852</v>
      </c>
      <c r="S1875" s="37">
        <v>0.21110000000000001</v>
      </c>
    </row>
    <row r="1876" spans="6:19" ht="15" x14ac:dyDescent="0.25">
      <c r="F1876" s="39">
        <v>42860</v>
      </c>
      <c r="G1876" s="37">
        <v>1.5</v>
      </c>
      <c r="O1876"/>
      <c r="P1876"/>
      <c r="R1876" s="39">
        <v>42851</v>
      </c>
      <c r="S1876" s="37">
        <v>0.2127</v>
      </c>
    </row>
    <row r="1877" spans="6:19" ht="15" x14ac:dyDescent="0.25">
      <c r="F1877" s="39">
        <v>42859</v>
      </c>
      <c r="G1877" s="37">
        <v>1.5</v>
      </c>
      <c r="O1877"/>
      <c r="P1877"/>
      <c r="R1877" s="39">
        <v>42850</v>
      </c>
      <c r="S1877" s="37">
        <v>0.2122</v>
      </c>
    </row>
    <row r="1878" spans="6:19" ht="15" x14ac:dyDescent="0.25">
      <c r="F1878" s="39">
        <v>42858</v>
      </c>
      <c r="G1878" s="37">
        <v>1.5</v>
      </c>
      <c r="O1878"/>
      <c r="P1878"/>
      <c r="R1878" s="39">
        <v>42849</v>
      </c>
      <c r="S1878" s="37">
        <v>0.21179999999999999</v>
      </c>
    </row>
    <row r="1879" spans="6:19" ht="15" x14ac:dyDescent="0.25">
      <c r="F1879" s="39">
        <v>42857</v>
      </c>
      <c r="G1879" s="37">
        <v>1.5</v>
      </c>
      <c r="O1879"/>
      <c r="P1879"/>
      <c r="R1879" s="39">
        <v>42846</v>
      </c>
      <c r="S1879" s="37">
        <v>0.21210000000000001</v>
      </c>
    </row>
    <row r="1880" spans="6:19" ht="15" x14ac:dyDescent="0.25">
      <c r="F1880" s="39">
        <v>42856</v>
      </c>
      <c r="G1880" s="37">
        <v>1.5</v>
      </c>
      <c r="O1880"/>
      <c r="P1880"/>
      <c r="R1880" s="39">
        <v>42845</v>
      </c>
      <c r="S1880" s="37">
        <v>0.21240000000000001</v>
      </c>
    </row>
    <row r="1881" spans="6:19" ht="15" x14ac:dyDescent="0.25">
      <c r="F1881" s="39">
        <v>42853</v>
      </c>
      <c r="G1881" s="37">
        <v>1.5</v>
      </c>
      <c r="O1881"/>
      <c r="P1881"/>
      <c r="R1881" s="39">
        <v>42844</v>
      </c>
      <c r="S1881" s="37">
        <v>0.2117</v>
      </c>
    </row>
    <row r="1882" spans="6:19" ht="15" x14ac:dyDescent="0.25">
      <c r="F1882" s="39">
        <v>42852</v>
      </c>
      <c r="G1882" s="37">
        <v>1.5</v>
      </c>
      <c r="O1882"/>
      <c r="P1882"/>
      <c r="R1882" s="39">
        <v>42843</v>
      </c>
      <c r="S1882" s="37">
        <v>0.2112</v>
      </c>
    </row>
    <row r="1883" spans="6:19" ht="15" x14ac:dyDescent="0.25">
      <c r="F1883" s="39">
        <v>42851</v>
      </c>
      <c r="G1883" s="37">
        <v>1.5</v>
      </c>
      <c r="O1883"/>
      <c r="P1883"/>
      <c r="R1883" s="39">
        <v>42838</v>
      </c>
      <c r="S1883" s="37">
        <v>0.2122</v>
      </c>
    </row>
    <row r="1884" spans="6:19" ht="15" x14ac:dyDescent="0.25">
      <c r="F1884" s="39">
        <v>42849</v>
      </c>
      <c r="G1884" s="37">
        <v>1.5</v>
      </c>
      <c r="O1884"/>
      <c r="P1884"/>
      <c r="R1884" s="39">
        <v>42837</v>
      </c>
      <c r="S1884" s="37">
        <v>0.21010000000000001</v>
      </c>
    </row>
    <row r="1885" spans="6:19" ht="15" x14ac:dyDescent="0.25">
      <c r="F1885" s="39">
        <v>42846</v>
      </c>
      <c r="G1885" s="37">
        <v>1.5</v>
      </c>
      <c r="O1885"/>
      <c r="P1885"/>
      <c r="R1885" s="39">
        <v>42836</v>
      </c>
      <c r="S1885" s="37">
        <v>0.2112</v>
      </c>
    </row>
    <row r="1886" spans="6:19" ht="15" x14ac:dyDescent="0.25">
      <c r="F1886" s="39">
        <v>42845</v>
      </c>
      <c r="G1886" s="37">
        <v>1.5</v>
      </c>
      <c r="O1886"/>
      <c r="P1886"/>
      <c r="R1886" s="39">
        <v>42835</v>
      </c>
      <c r="S1886" s="37">
        <v>0.21160000000000001</v>
      </c>
    </row>
    <row r="1887" spans="6:19" ht="15" x14ac:dyDescent="0.25">
      <c r="F1887" s="39">
        <v>42844</v>
      </c>
      <c r="G1887" s="37">
        <v>1.5</v>
      </c>
      <c r="O1887"/>
      <c r="P1887"/>
      <c r="R1887" s="39">
        <v>42832</v>
      </c>
      <c r="S1887" s="37">
        <v>0.21079999999999999</v>
      </c>
    </row>
    <row r="1888" spans="6:19" ht="15" x14ac:dyDescent="0.25">
      <c r="F1888" s="39">
        <v>42843</v>
      </c>
      <c r="G1888" s="37">
        <v>1.5</v>
      </c>
      <c r="O1888"/>
      <c r="P1888"/>
      <c r="R1888" s="39">
        <v>42831</v>
      </c>
      <c r="S1888" s="37">
        <v>0.21099999999999999</v>
      </c>
    </row>
    <row r="1889" spans="6:19" ht="15" x14ac:dyDescent="0.25">
      <c r="F1889" s="39">
        <v>42838</v>
      </c>
      <c r="G1889" s="37">
        <v>1.5</v>
      </c>
      <c r="O1889"/>
      <c r="P1889"/>
      <c r="R1889" s="39">
        <v>42830</v>
      </c>
      <c r="S1889" s="37">
        <v>0.20949999999999999</v>
      </c>
    </row>
    <row r="1890" spans="6:19" ht="15" x14ac:dyDescent="0.25">
      <c r="F1890" s="39">
        <v>42837</v>
      </c>
      <c r="G1890" s="37">
        <v>1.5</v>
      </c>
      <c r="O1890"/>
      <c r="P1890"/>
      <c r="R1890" s="39">
        <v>42829</v>
      </c>
      <c r="S1890" s="37">
        <v>0.2112</v>
      </c>
    </row>
    <row r="1891" spans="6:19" ht="15" x14ac:dyDescent="0.25">
      <c r="F1891" s="39">
        <v>42836</v>
      </c>
      <c r="G1891" s="37">
        <v>1.5</v>
      </c>
      <c r="O1891"/>
      <c r="P1891"/>
      <c r="R1891" s="39">
        <v>42828</v>
      </c>
      <c r="S1891" s="37">
        <v>0.2107</v>
      </c>
    </row>
    <row r="1892" spans="6:19" ht="15" x14ac:dyDescent="0.25">
      <c r="F1892" s="39">
        <v>42835</v>
      </c>
      <c r="G1892" s="37">
        <v>1.5</v>
      </c>
      <c r="O1892"/>
      <c r="P1892"/>
      <c r="R1892" s="39">
        <v>42825</v>
      </c>
      <c r="S1892" s="37">
        <v>0.17399999999999999</v>
      </c>
    </row>
    <row r="1893" spans="6:19" ht="15" x14ac:dyDescent="0.25">
      <c r="F1893" s="39">
        <v>42832</v>
      </c>
      <c r="G1893" s="37">
        <v>1.5</v>
      </c>
      <c r="O1893"/>
      <c r="P1893"/>
      <c r="R1893" s="39">
        <v>42824</v>
      </c>
      <c r="S1893" s="37">
        <v>0.21360000000000001</v>
      </c>
    </row>
    <row r="1894" spans="6:19" ht="15" x14ac:dyDescent="0.25">
      <c r="F1894" s="39">
        <v>42831</v>
      </c>
      <c r="G1894" s="37">
        <v>1.5</v>
      </c>
      <c r="O1894"/>
      <c r="P1894"/>
      <c r="R1894" s="39">
        <v>42823</v>
      </c>
      <c r="S1894" s="37">
        <v>0.21160000000000001</v>
      </c>
    </row>
    <row r="1895" spans="6:19" ht="15" x14ac:dyDescent="0.25">
      <c r="F1895" s="39">
        <v>42830</v>
      </c>
      <c r="G1895" s="37">
        <v>1.5</v>
      </c>
      <c r="O1895"/>
      <c r="P1895"/>
      <c r="R1895" s="39">
        <v>42822</v>
      </c>
      <c r="S1895" s="37">
        <v>0.21</v>
      </c>
    </row>
    <row r="1896" spans="6:19" ht="15" x14ac:dyDescent="0.25">
      <c r="F1896" s="39">
        <v>42829</v>
      </c>
      <c r="G1896" s="37">
        <v>1.5</v>
      </c>
      <c r="O1896"/>
      <c r="P1896"/>
      <c r="R1896" s="39">
        <v>42821</v>
      </c>
      <c r="S1896" s="37">
        <v>0.2092</v>
      </c>
    </row>
    <row r="1897" spans="6:19" ht="15" x14ac:dyDescent="0.25">
      <c r="F1897" s="39">
        <v>42828</v>
      </c>
      <c r="G1897" s="37">
        <v>1.5</v>
      </c>
      <c r="O1897"/>
      <c r="P1897"/>
      <c r="R1897" s="39">
        <v>42818</v>
      </c>
      <c r="S1897" s="37">
        <v>0.2127</v>
      </c>
    </row>
    <row r="1898" spans="6:19" ht="15" x14ac:dyDescent="0.25">
      <c r="F1898" s="39">
        <v>42825</v>
      </c>
      <c r="G1898" s="37">
        <v>1.5</v>
      </c>
      <c r="O1898"/>
      <c r="P1898"/>
      <c r="R1898" s="39">
        <v>42817</v>
      </c>
      <c r="S1898" s="37">
        <v>0.21260000000000001</v>
      </c>
    </row>
    <row r="1899" spans="6:19" ht="15" x14ac:dyDescent="0.25">
      <c r="F1899" s="39">
        <v>42824</v>
      </c>
      <c r="G1899" s="37">
        <v>1.5</v>
      </c>
      <c r="O1899"/>
      <c r="P1899"/>
      <c r="R1899" s="39">
        <v>42816</v>
      </c>
      <c r="S1899" s="37">
        <v>0.2104</v>
      </c>
    </row>
    <row r="1900" spans="6:19" ht="15" x14ac:dyDescent="0.25">
      <c r="F1900" s="39">
        <v>42823</v>
      </c>
      <c r="G1900" s="37">
        <v>1.5</v>
      </c>
      <c r="O1900"/>
      <c r="P1900"/>
      <c r="R1900" s="39">
        <v>42815</v>
      </c>
      <c r="S1900" s="37">
        <v>0.21240000000000001</v>
      </c>
    </row>
    <row r="1901" spans="6:19" ht="15" x14ac:dyDescent="0.25">
      <c r="F1901" s="39">
        <v>42822</v>
      </c>
      <c r="G1901" s="37">
        <v>1.5</v>
      </c>
      <c r="O1901"/>
      <c r="P1901"/>
      <c r="R1901" s="39">
        <v>42814</v>
      </c>
      <c r="S1901" s="37">
        <v>0.2109</v>
      </c>
    </row>
    <row r="1902" spans="6:19" ht="15" x14ac:dyDescent="0.25">
      <c r="F1902" s="39">
        <v>42821</v>
      </c>
      <c r="G1902" s="37">
        <v>1.5</v>
      </c>
      <c r="O1902"/>
      <c r="P1902"/>
      <c r="R1902" s="39">
        <v>42811</v>
      </c>
      <c r="S1902" s="37">
        <v>0.2099</v>
      </c>
    </row>
    <row r="1903" spans="6:19" ht="15" x14ac:dyDescent="0.25">
      <c r="F1903" s="39">
        <v>42818</v>
      </c>
      <c r="G1903" s="37">
        <v>1.5</v>
      </c>
      <c r="O1903"/>
      <c r="P1903"/>
      <c r="R1903" s="39">
        <v>42810</v>
      </c>
      <c r="S1903" s="37">
        <v>0.2094</v>
      </c>
    </row>
    <row r="1904" spans="6:19" ht="15" x14ac:dyDescent="0.25">
      <c r="F1904" s="39">
        <v>42817</v>
      </c>
      <c r="G1904" s="37">
        <v>1.5</v>
      </c>
      <c r="O1904"/>
      <c r="P1904"/>
      <c r="R1904" s="39">
        <v>42809</v>
      </c>
      <c r="S1904" s="37">
        <v>0.21049999999999999</v>
      </c>
    </row>
    <row r="1905" spans="6:19" ht="15" x14ac:dyDescent="0.25">
      <c r="F1905" s="39">
        <v>42816</v>
      </c>
      <c r="G1905" s="37">
        <v>1.5</v>
      </c>
      <c r="O1905"/>
      <c r="P1905"/>
      <c r="R1905" s="39">
        <v>42808</v>
      </c>
      <c r="S1905" s="37">
        <v>0.21060000000000001</v>
      </c>
    </row>
    <row r="1906" spans="6:19" ht="15" x14ac:dyDescent="0.25">
      <c r="F1906" s="39">
        <v>42815</v>
      </c>
      <c r="G1906" s="37">
        <v>1.5</v>
      </c>
      <c r="O1906"/>
      <c r="P1906"/>
      <c r="R1906" s="39">
        <v>42807</v>
      </c>
      <c r="S1906" s="37">
        <v>0.21010000000000001</v>
      </c>
    </row>
    <row r="1907" spans="6:19" ht="15" x14ac:dyDescent="0.25">
      <c r="F1907" s="39">
        <v>42814</v>
      </c>
      <c r="G1907" s="37">
        <v>1.5</v>
      </c>
      <c r="O1907"/>
      <c r="P1907"/>
      <c r="R1907" s="39">
        <v>42804</v>
      </c>
      <c r="S1907" s="37">
        <v>0.21299999999999999</v>
      </c>
    </row>
    <row r="1908" spans="6:19" ht="15" x14ac:dyDescent="0.25">
      <c r="F1908" s="39">
        <v>42811</v>
      </c>
      <c r="G1908" s="37">
        <v>1.5</v>
      </c>
      <c r="O1908"/>
      <c r="P1908"/>
      <c r="R1908" s="39">
        <v>42803</v>
      </c>
      <c r="S1908" s="37">
        <v>0.2114</v>
      </c>
    </row>
    <row r="1909" spans="6:19" ht="15" x14ac:dyDescent="0.25">
      <c r="F1909" s="39">
        <v>42810</v>
      </c>
      <c r="G1909" s="37">
        <v>1.5</v>
      </c>
      <c r="O1909"/>
      <c r="P1909"/>
      <c r="R1909" s="39">
        <v>42802</v>
      </c>
      <c r="S1909" s="37">
        <v>0.21110000000000001</v>
      </c>
    </row>
    <row r="1910" spans="6:19" ht="15" x14ac:dyDescent="0.25">
      <c r="F1910" s="39">
        <v>42809</v>
      </c>
      <c r="G1910" s="37">
        <v>1.5</v>
      </c>
      <c r="O1910"/>
      <c r="P1910"/>
      <c r="R1910" s="39">
        <v>42801</v>
      </c>
      <c r="S1910" s="37">
        <v>0.2109</v>
      </c>
    </row>
    <row r="1911" spans="6:19" ht="15" x14ac:dyDescent="0.25">
      <c r="F1911" s="39">
        <v>42808</v>
      </c>
      <c r="G1911" s="37">
        <v>1.5</v>
      </c>
      <c r="O1911"/>
      <c r="P1911"/>
      <c r="R1911" s="39">
        <v>42800</v>
      </c>
      <c r="S1911" s="37">
        <v>0.21179999999999999</v>
      </c>
    </row>
    <row r="1912" spans="6:19" ht="15" x14ac:dyDescent="0.25">
      <c r="F1912" s="39">
        <v>42807</v>
      </c>
      <c r="G1912" s="37">
        <v>1.5</v>
      </c>
      <c r="O1912"/>
      <c r="P1912"/>
      <c r="R1912" s="39">
        <v>42797</v>
      </c>
      <c r="S1912" s="37">
        <v>0.2102</v>
      </c>
    </row>
    <row r="1913" spans="6:19" ht="15" x14ac:dyDescent="0.25">
      <c r="F1913" s="39">
        <v>42804</v>
      </c>
      <c r="G1913" s="37">
        <v>1.5</v>
      </c>
      <c r="O1913"/>
      <c r="P1913"/>
      <c r="R1913" s="39">
        <v>42796</v>
      </c>
      <c r="S1913" s="37">
        <v>0.2112</v>
      </c>
    </row>
    <row r="1914" spans="6:19" ht="15" x14ac:dyDescent="0.25">
      <c r="F1914" s="39">
        <v>42803</v>
      </c>
      <c r="G1914" s="37">
        <v>1.5</v>
      </c>
      <c r="O1914"/>
      <c r="P1914"/>
      <c r="R1914" s="39">
        <v>42795</v>
      </c>
      <c r="S1914" s="37">
        <v>0.21190000000000001</v>
      </c>
    </row>
    <row r="1915" spans="6:19" ht="15" x14ac:dyDescent="0.25">
      <c r="F1915" s="39">
        <v>42802</v>
      </c>
      <c r="G1915" s="37">
        <v>1.5</v>
      </c>
      <c r="O1915"/>
      <c r="P1915"/>
      <c r="R1915" s="39">
        <v>42794</v>
      </c>
      <c r="S1915" s="37">
        <v>0.20300000000000001</v>
      </c>
    </row>
    <row r="1916" spans="6:19" ht="15" x14ac:dyDescent="0.25">
      <c r="F1916" s="39">
        <v>42801</v>
      </c>
      <c r="G1916" s="37">
        <v>1.5</v>
      </c>
      <c r="O1916"/>
      <c r="P1916"/>
      <c r="R1916" s="39">
        <v>42793</v>
      </c>
      <c r="S1916" s="37">
        <v>0.21110000000000001</v>
      </c>
    </row>
    <row r="1917" spans="6:19" ht="15" x14ac:dyDescent="0.25">
      <c r="F1917" s="39">
        <v>42800</v>
      </c>
      <c r="G1917" s="37">
        <v>1.5</v>
      </c>
      <c r="O1917"/>
      <c r="P1917"/>
      <c r="R1917" s="39">
        <v>42790</v>
      </c>
      <c r="S1917" s="37">
        <v>0.21199999999999999</v>
      </c>
    </row>
    <row r="1918" spans="6:19" ht="15" x14ac:dyDescent="0.25">
      <c r="F1918" s="39">
        <v>42797</v>
      </c>
      <c r="G1918" s="37">
        <v>1.5</v>
      </c>
      <c r="O1918"/>
      <c r="P1918"/>
      <c r="R1918" s="39">
        <v>42789</v>
      </c>
      <c r="S1918" s="37">
        <v>0.2099</v>
      </c>
    </row>
    <row r="1919" spans="6:19" ht="15" x14ac:dyDescent="0.25">
      <c r="F1919" s="39">
        <v>42796</v>
      </c>
      <c r="G1919" s="37">
        <v>1.5</v>
      </c>
      <c r="O1919"/>
      <c r="P1919"/>
      <c r="R1919" s="39">
        <v>42788</v>
      </c>
      <c r="S1919" s="37">
        <v>0.2172</v>
      </c>
    </row>
    <row r="1920" spans="6:19" ht="15" x14ac:dyDescent="0.25">
      <c r="F1920" s="39">
        <v>42795</v>
      </c>
      <c r="G1920" s="37">
        <v>1.5</v>
      </c>
      <c r="O1920"/>
      <c r="P1920"/>
      <c r="R1920" s="39">
        <v>42787</v>
      </c>
      <c r="S1920" s="37">
        <v>0.21310000000000001</v>
      </c>
    </row>
    <row r="1921" spans="6:19" ht="15" x14ac:dyDescent="0.25">
      <c r="F1921" s="39">
        <v>42794</v>
      </c>
      <c r="G1921" s="37">
        <v>1.5</v>
      </c>
      <c r="O1921"/>
      <c r="P1921"/>
      <c r="R1921" s="39">
        <v>42786</v>
      </c>
      <c r="S1921" s="37">
        <v>0.2112</v>
      </c>
    </row>
    <row r="1922" spans="6:19" ht="15" x14ac:dyDescent="0.25">
      <c r="F1922" s="39">
        <v>42793</v>
      </c>
      <c r="G1922" s="37">
        <v>1.5</v>
      </c>
      <c r="O1922"/>
      <c r="P1922"/>
      <c r="R1922" s="39">
        <v>42783</v>
      </c>
      <c r="S1922" s="37">
        <v>0.21149999999999999</v>
      </c>
    </row>
    <row r="1923" spans="6:19" ht="15" x14ac:dyDescent="0.25">
      <c r="F1923" s="39">
        <v>42790</v>
      </c>
      <c r="G1923" s="37">
        <v>1.5</v>
      </c>
      <c r="O1923"/>
      <c r="P1923"/>
      <c r="R1923" s="39">
        <v>42782</v>
      </c>
      <c r="S1923" s="37">
        <v>0.2109</v>
      </c>
    </row>
    <row r="1924" spans="6:19" ht="15" x14ac:dyDescent="0.25">
      <c r="F1924" s="39">
        <v>42789</v>
      </c>
      <c r="G1924" s="37">
        <v>1.5</v>
      </c>
      <c r="O1924"/>
      <c r="P1924"/>
      <c r="R1924" s="39">
        <v>42781</v>
      </c>
      <c r="S1924" s="37">
        <v>0.20830000000000001</v>
      </c>
    </row>
    <row r="1925" spans="6:19" ht="15" x14ac:dyDescent="0.25">
      <c r="F1925" s="39">
        <v>42788</v>
      </c>
      <c r="G1925" s="37">
        <v>1.5</v>
      </c>
      <c r="O1925"/>
      <c r="P1925"/>
      <c r="R1925" s="39">
        <v>42780</v>
      </c>
      <c r="S1925" s="37">
        <v>0.2097</v>
      </c>
    </row>
    <row r="1926" spans="6:19" ht="15" x14ac:dyDescent="0.25">
      <c r="F1926" s="39">
        <v>42787</v>
      </c>
      <c r="G1926" s="37">
        <v>1.5</v>
      </c>
      <c r="O1926"/>
      <c r="P1926"/>
      <c r="R1926" s="39">
        <v>42779</v>
      </c>
      <c r="S1926" s="37">
        <v>0.20899999999999999</v>
      </c>
    </row>
    <row r="1927" spans="6:19" ht="15" x14ac:dyDescent="0.25">
      <c r="F1927" s="39">
        <v>42786</v>
      </c>
      <c r="G1927" s="37">
        <v>1.5</v>
      </c>
      <c r="O1927"/>
      <c r="P1927"/>
      <c r="R1927" s="39">
        <v>42776</v>
      </c>
      <c r="S1927" s="37">
        <v>0.21010000000000001</v>
      </c>
    </row>
    <row r="1928" spans="6:19" ht="15" x14ac:dyDescent="0.25">
      <c r="F1928" s="39">
        <v>42783</v>
      </c>
      <c r="G1928" s="37">
        <v>1.5</v>
      </c>
      <c r="O1928"/>
      <c r="P1928"/>
      <c r="R1928" s="39">
        <v>42775</v>
      </c>
      <c r="S1928" s="37">
        <v>0.20799999999999999</v>
      </c>
    </row>
    <row r="1929" spans="6:19" ht="15" x14ac:dyDescent="0.25">
      <c r="F1929" s="39">
        <v>42782</v>
      </c>
      <c r="G1929" s="37">
        <v>1.5</v>
      </c>
      <c r="O1929"/>
      <c r="P1929"/>
      <c r="R1929" s="39">
        <v>42774</v>
      </c>
      <c r="S1929" s="37">
        <v>0.21049999999999999</v>
      </c>
    </row>
    <row r="1930" spans="6:19" ht="15" x14ac:dyDescent="0.25">
      <c r="F1930" s="39">
        <v>42781</v>
      </c>
      <c r="G1930" s="37">
        <v>1.5</v>
      </c>
      <c r="O1930"/>
      <c r="P1930"/>
      <c r="R1930" s="39">
        <v>42773</v>
      </c>
      <c r="S1930" s="37">
        <v>0.21029999999999999</v>
      </c>
    </row>
    <row r="1931" spans="6:19" ht="15" x14ac:dyDescent="0.25">
      <c r="F1931" s="39">
        <v>42780</v>
      </c>
      <c r="G1931" s="37">
        <v>1.5</v>
      </c>
      <c r="O1931"/>
      <c r="P1931"/>
      <c r="R1931" s="39">
        <v>42772</v>
      </c>
      <c r="S1931" s="37">
        <v>0.21199999999999999</v>
      </c>
    </row>
    <row r="1932" spans="6:19" ht="15" x14ac:dyDescent="0.25">
      <c r="F1932" s="39">
        <v>42779</v>
      </c>
      <c r="G1932" s="37">
        <v>1.5</v>
      </c>
      <c r="O1932"/>
      <c r="P1932"/>
      <c r="R1932" s="39">
        <v>42769</v>
      </c>
      <c r="S1932" s="37">
        <v>0.21179999999999999</v>
      </c>
    </row>
    <row r="1933" spans="6:19" ht="15" x14ac:dyDescent="0.25">
      <c r="F1933" s="39">
        <v>42776</v>
      </c>
      <c r="G1933" s="37">
        <v>1.5</v>
      </c>
      <c r="O1933"/>
      <c r="P1933"/>
      <c r="R1933" s="39">
        <v>42768</v>
      </c>
      <c r="S1933" s="37">
        <v>0.21229999999999999</v>
      </c>
    </row>
    <row r="1934" spans="6:19" ht="15" x14ac:dyDescent="0.25">
      <c r="F1934" s="39">
        <v>42775</v>
      </c>
      <c r="G1934" s="37">
        <v>1.5</v>
      </c>
      <c r="O1934"/>
      <c r="P1934"/>
      <c r="R1934" s="39">
        <v>42767</v>
      </c>
      <c r="S1934" s="37">
        <v>0.21099999999999999</v>
      </c>
    </row>
    <row r="1935" spans="6:19" ht="15" x14ac:dyDescent="0.25">
      <c r="F1935" s="39">
        <v>42774</v>
      </c>
      <c r="G1935" s="37">
        <v>1.5</v>
      </c>
      <c r="O1935"/>
      <c r="P1935"/>
      <c r="R1935" s="39">
        <v>42766</v>
      </c>
      <c r="S1935" s="37">
        <v>0.20780000000000001</v>
      </c>
    </row>
    <row r="1936" spans="6:19" ht="15" x14ac:dyDescent="0.25">
      <c r="F1936" s="39">
        <v>42773</v>
      </c>
      <c r="G1936" s="37">
        <v>1.5</v>
      </c>
      <c r="O1936"/>
      <c r="P1936"/>
      <c r="R1936" s="39">
        <v>42765</v>
      </c>
      <c r="S1936" s="37">
        <v>0.215</v>
      </c>
    </row>
    <row r="1937" spans="6:19" ht="15" x14ac:dyDescent="0.25">
      <c r="F1937" s="39">
        <v>42772</v>
      </c>
      <c r="G1937" s="37">
        <v>1.5</v>
      </c>
      <c r="O1937"/>
      <c r="P1937"/>
      <c r="R1937" s="39">
        <v>42762</v>
      </c>
      <c r="S1937" s="37">
        <v>0.2162</v>
      </c>
    </row>
    <row r="1938" spans="6:19" ht="15" x14ac:dyDescent="0.25">
      <c r="F1938" s="39">
        <v>42769</v>
      </c>
      <c r="G1938" s="37">
        <v>1.5</v>
      </c>
      <c r="O1938"/>
      <c r="P1938"/>
      <c r="R1938" s="39">
        <v>42761</v>
      </c>
      <c r="S1938" s="37">
        <v>0.2132</v>
      </c>
    </row>
    <row r="1939" spans="6:19" ht="15" x14ac:dyDescent="0.25">
      <c r="F1939" s="39">
        <v>42768</v>
      </c>
      <c r="G1939" s="37">
        <v>1.5</v>
      </c>
      <c r="O1939"/>
      <c r="P1939"/>
      <c r="R1939" s="39">
        <v>42760</v>
      </c>
      <c r="S1939" s="37">
        <v>0.21379999999999999</v>
      </c>
    </row>
    <row r="1940" spans="6:19" ht="15" x14ac:dyDescent="0.25">
      <c r="F1940" s="39">
        <v>42767</v>
      </c>
      <c r="G1940" s="37">
        <v>1.5</v>
      </c>
      <c r="O1940"/>
      <c r="P1940"/>
      <c r="R1940" s="39">
        <v>42759</v>
      </c>
      <c r="S1940" s="37">
        <v>0.21310000000000001</v>
      </c>
    </row>
    <row r="1941" spans="6:19" ht="15" x14ac:dyDescent="0.25">
      <c r="F1941" s="39">
        <v>42766</v>
      </c>
      <c r="G1941" s="37">
        <v>1.5</v>
      </c>
      <c r="O1941"/>
      <c r="P1941"/>
      <c r="R1941" s="39">
        <v>42758</v>
      </c>
      <c r="S1941" s="37">
        <v>0.2152</v>
      </c>
    </row>
    <row r="1942" spans="6:19" ht="15" x14ac:dyDescent="0.25">
      <c r="F1942" s="39">
        <v>42765</v>
      </c>
      <c r="G1942" s="37">
        <v>1.5</v>
      </c>
      <c r="O1942"/>
      <c r="P1942"/>
      <c r="R1942" s="39">
        <v>42755</v>
      </c>
      <c r="S1942" s="37">
        <v>0.21540000000000001</v>
      </c>
    </row>
    <row r="1943" spans="6:19" ht="15" x14ac:dyDescent="0.25">
      <c r="F1943" s="39">
        <v>42762</v>
      </c>
      <c r="G1943" s="37">
        <v>1.5</v>
      </c>
      <c r="O1943"/>
      <c r="P1943"/>
      <c r="R1943" s="39">
        <v>42754</v>
      </c>
      <c r="S1943" s="37">
        <v>0.21390000000000001</v>
      </c>
    </row>
    <row r="1944" spans="6:19" ht="15" x14ac:dyDescent="0.25">
      <c r="F1944" s="39">
        <v>42760</v>
      </c>
      <c r="G1944" s="37">
        <v>1.5</v>
      </c>
      <c r="O1944"/>
      <c r="P1944"/>
      <c r="R1944" s="39">
        <v>42753</v>
      </c>
      <c r="S1944" s="37">
        <v>0.21390000000000001</v>
      </c>
    </row>
    <row r="1945" spans="6:19" ht="15" x14ac:dyDescent="0.25">
      <c r="F1945" s="39">
        <v>42759</v>
      </c>
      <c r="G1945" s="37">
        <v>1.5</v>
      </c>
      <c r="O1945"/>
      <c r="P1945"/>
      <c r="R1945" s="39">
        <v>42752</v>
      </c>
      <c r="S1945" s="37">
        <v>0.21290000000000001</v>
      </c>
    </row>
    <row r="1946" spans="6:19" ht="15" x14ac:dyDescent="0.25">
      <c r="F1946" s="39">
        <v>42758</v>
      </c>
      <c r="G1946" s="37">
        <v>1.5</v>
      </c>
      <c r="O1946"/>
      <c r="P1946"/>
      <c r="R1946" s="39">
        <v>42751</v>
      </c>
      <c r="S1946" s="37">
        <v>0.21249999999999999</v>
      </c>
    </row>
    <row r="1947" spans="6:19" ht="15" x14ac:dyDescent="0.25">
      <c r="F1947" s="39">
        <v>42755</v>
      </c>
      <c r="G1947" s="37">
        <v>1.5</v>
      </c>
      <c r="O1947"/>
      <c r="P1947"/>
      <c r="R1947" s="39">
        <v>42748</v>
      </c>
      <c r="S1947" s="37">
        <v>0.2127</v>
      </c>
    </row>
    <row r="1948" spans="6:19" ht="15" x14ac:dyDescent="0.25">
      <c r="F1948" s="39">
        <v>42754</v>
      </c>
      <c r="G1948" s="37">
        <v>1.5</v>
      </c>
      <c r="O1948"/>
      <c r="P1948"/>
      <c r="R1948" s="39">
        <v>42747</v>
      </c>
      <c r="S1948" s="37">
        <v>0.21279999999999999</v>
      </c>
    </row>
    <row r="1949" spans="6:19" ht="15" x14ac:dyDescent="0.25">
      <c r="F1949" s="39">
        <v>42753</v>
      </c>
      <c r="G1949" s="37">
        <v>1.5</v>
      </c>
      <c r="O1949"/>
      <c r="P1949"/>
      <c r="R1949" s="39">
        <v>42746</v>
      </c>
      <c r="S1949" s="37">
        <v>0.21129999999999999</v>
      </c>
    </row>
    <row r="1950" spans="6:19" ht="15" x14ac:dyDescent="0.25">
      <c r="F1950" s="39">
        <v>42752</v>
      </c>
      <c r="G1950" s="37">
        <v>1.5</v>
      </c>
      <c r="O1950"/>
      <c r="P1950"/>
      <c r="R1950" s="39">
        <v>42745</v>
      </c>
      <c r="S1950" s="37">
        <v>0.2122</v>
      </c>
    </row>
    <row r="1951" spans="6:19" ht="15" x14ac:dyDescent="0.25">
      <c r="F1951" s="39">
        <v>42751</v>
      </c>
      <c r="G1951" s="37">
        <v>1.5</v>
      </c>
      <c r="O1951"/>
      <c r="P1951"/>
      <c r="R1951" s="39">
        <v>42744</v>
      </c>
      <c r="S1951" s="37">
        <v>0.214</v>
      </c>
    </row>
    <row r="1952" spans="6:19" ht="15" x14ac:dyDescent="0.25">
      <c r="F1952" s="39">
        <v>42748</v>
      </c>
      <c r="G1952" s="37">
        <v>1.5</v>
      </c>
      <c r="O1952"/>
      <c r="P1952"/>
      <c r="R1952" s="39">
        <v>42741</v>
      </c>
      <c r="S1952" s="37">
        <v>0.21260000000000001</v>
      </c>
    </row>
    <row r="1953" spans="6:19" ht="15" x14ac:dyDescent="0.25">
      <c r="F1953" s="39">
        <v>42747</v>
      </c>
      <c r="G1953" s="37">
        <v>1.5</v>
      </c>
      <c r="O1953"/>
      <c r="P1953"/>
      <c r="R1953" s="39">
        <v>42740</v>
      </c>
      <c r="S1953" s="37">
        <v>0.2132</v>
      </c>
    </row>
    <row r="1954" spans="6:19" ht="15" x14ac:dyDescent="0.25">
      <c r="F1954" s="39">
        <v>42746</v>
      </c>
      <c r="G1954" s="37">
        <v>1.5</v>
      </c>
      <c r="O1954"/>
      <c r="P1954"/>
      <c r="R1954" s="39">
        <v>42739</v>
      </c>
      <c r="S1954" s="37">
        <v>0.21429999999999999</v>
      </c>
    </row>
    <row r="1955" spans="6:19" ht="15" x14ac:dyDescent="0.25">
      <c r="F1955" s="39">
        <v>42745</v>
      </c>
      <c r="G1955" s="37">
        <v>1.5</v>
      </c>
      <c r="O1955"/>
      <c r="P1955"/>
      <c r="R1955" s="39">
        <v>42738</v>
      </c>
      <c r="S1955" s="37">
        <v>0.2177</v>
      </c>
    </row>
    <row r="1956" spans="6:19" ht="15" x14ac:dyDescent="0.25">
      <c r="F1956" s="39">
        <v>42744</v>
      </c>
      <c r="G1956" s="37">
        <v>1.5</v>
      </c>
      <c r="O1956"/>
      <c r="P1956"/>
      <c r="R1956" s="39">
        <v>42734</v>
      </c>
      <c r="S1956" s="37">
        <v>0.1618</v>
      </c>
    </row>
    <row r="1957" spans="6:19" ht="15" x14ac:dyDescent="0.25">
      <c r="F1957" s="39">
        <v>42741</v>
      </c>
      <c r="G1957" s="37">
        <v>1.5</v>
      </c>
      <c r="O1957"/>
      <c r="P1957"/>
      <c r="R1957" s="39">
        <v>42733</v>
      </c>
      <c r="S1957" s="37">
        <v>0.215</v>
      </c>
    </row>
    <row r="1958" spans="6:19" ht="15" x14ac:dyDescent="0.25">
      <c r="F1958" s="39">
        <v>42740</v>
      </c>
      <c r="G1958" s="37">
        <v>1.5</v>
      </c>
      <c r="O1958"/>
      <c r="P1958"/>
      <c r="R1958" s="39">
        <v>42732</v>
      </c>
      <c r="S1958" s="37">
        <v>0.2185</v>
      </c>
    </row>
    <row r="1959" spans="6:19" ht="15" x14ac:dyDescent="0.25">
      <c r="F1959" s="39">
        <v>42739</v>
      </c>
      <c r="G1959" s="37">
        <v>1.5</v>
      </c>
      <c r="O1959"/>
      <c r="P1959"/>
      <c r="R1959" s="39">
        <v>42727</v>
      </c>
      <c r="S1959" s="37">
        <v>0.21510000000000001</v>
      </c>
    </row>
    <row r="1960" spans="6:19" ht="15" x14ac:dyDescent="0.25">
      <c r="F1960" s="39">
        <v>42738</v>
      </c>
      <c r="G1960" s="37">
        <v>1.5</v>
      </c>
      <c r="O1960"/>
      <c r="P1960"/>
      <c r="R1960" s="39">
        <v>42726</v>
      </c>
      <c r="S1960" s="37">
        <v>0.2137</v>
      </c>
    </row>
    <row r="1961" spans="6:19" ht="15" x14ac:dyDescent="0.25">
      <c r="F1961" s="39">
        <v>42734</v>
      </c>
      <c r="G1961" s="37">
        <v>1.5</v>
      </c>
      <c r="O1961"/>
      <c r="P1961"/>
      <c r="R1961" s="39">
        <v>42725</v>
      </c>
      <c r="S1961" s="37">
        <v>0.2203</v>
      </c>
    </row>
    <row r="1962" spans="6:19" ht="15" x14ac:dyDescent="0.25">
      <c r="F1962" s="39">
        <v>42733</v>
      </c>
      <c r="G1962" s="37">
        <v>1.5</v>
      </c>
      <c r="O1962"/>
      <c r="P1962"/>
      <c r="R1962" s="39">
        <v>42724</v>
      </c>
      <c r="S1962" s="37">
        <v>0.22070000000000001</v>
      </c>
    </row>
    <row r="1963" spans="6:19" ht="15" x14ac:dyDescent="0.25">
      <c r="F1963" s="39">
        <v>42732</v>
      </c>
      <c r="G1963" s="37">
        <v>1.5</v>
      </c>
      <c r="O1963"/>
      <c r="P1963"/>
      <c r="R1963" s="39">
        <v>42723</v>
      </c>
      <c r="S1963" s="37">
        <v>0.2177</v>
      </c>
    </row>
    <row r="1964" spans="6:19" ht="15" x14ac:dyDescent="0.25">
      <c r="F1964" s="39">
        <v>42727</v>
      </c>
      <c r="G1964" s="37">
        <v>1.5</v>
      </c>
      <c r="O1964"/>
      <c r="P1964"/>
      <c r="R1964" s="39">
        <v>42720</v>
      </c>
      <c r="S1964" s="37">
        <v>0.21440000000000001</v>
      </c>
    </row>
    <row r="1965" spans="6:19" ht="15" x14ac:dyDescent="0.25">
      <c r="F1965" s="39">
        <v>42726</v>
      </c>
      <c r="G1965" s="37">
        <v>1.5</v>
      </c>
      <c r="O1965"/>
      <c r="P1965"/>
      <c r="R1965" s="39">
        <v>42719</v>
      </c>
      <c r="S1965" s="37">
        <v>0.22009999999999999</v>
      </c>
    </row>
    <row r="1966" spans="6:19" ht="15" x14ac:dyDescent="0.25">
      <c r="F1966" s="39">
        <v>42725</v>
      </c>
      <c r="G1966" s="37">
        <v>1.5</v>
      </c>
      <c r="O1966"/>
      <c r="P1966"/>
      <c r="R1966" s="39">
        <v>42718</v>
      </c>
      <c r="S1966" s="37">
        <v>0.2122</v>
      </c>
    </row>
    <row r="1967" spans="6:19" ht="15" x14ac:dyDescent="0.25">
      <c r="F1967" s="39">
        <v>42724</v>
      </c>
      <c r="G1967" s="37">
        <v>1.5</v>
      </c>
      <c r="O1967"/>
      <c r="P1967"/>
      <c r="R1967" s="39">
        <v>42717</v>
      </c>
      <c r="S1967" s="37">
        <v>0.21629999999999999</v>
      </c>
    </row>
    <row r="1968" spans="6:19" ht="15" x14ac:dyDescent="0.25">
      <c r="F1968" s="39">
        <v>42723</v>
      </c>
      <c r="G1968" s="37">
        <v>1.5</v>
      </c>
      <c r="O1968"/>
      <c r="P1968"/>
      <c r="R1968" s="39">
        <v>42716</v>
      </c>
      <c r="S1968" s="37">
        <v>0.21249999999999999</v>
      </c>
    </row>
    <row r="1969" spans="6:19" ht="15" x14ac:dyDescent="0.25">
      <c r="F1969" s="39">
        <v>42720</v>
      </c>
      <c r="G1969" s="37">
        <v>1.5</v>
      </c>
      <c r="O1969"/>
      <c r="P1969"/>
      <c r="R1969" s="39">
        <v>42713</v>
      </c>
      <c r="S1969" s="37">
        <v>0.2127</v>
      </c>
    </row>
    <row r="1970" spans="6:19" ht="15" x14ac:dyDescent="0.25">
      <c r="F1970" s="39">
        <v>42719</v>
      </c>
      <c r="G1970" s="37">
        <v>1.5</v>
      </c>
      <c r="O1970"/>
      <c r="P1970"/>
      <c r="R1970" s="39">
        <v>42712</v>
      </c>
      <c r="S1970" s="37">
        <v>0.21609999999999999</v>
      </c>
    </row>
    <row r="1971" spans="6:19" ht="15" x14ac:dyDescent="0.25">
      <c r="F1971" s="39">
        <v>42718</v>
      </c>
      <c r="G1971" s="37">
        <v>1.5</v>
      </c>
      <c r="O1971"/>
      <c r="P1971"/>
      <c r="R1971" s="39">
        <v>42711</v>
      </c>
      <c r="S1971" s="37">
        <v>0.21179999999999999</v>
      </c>
    </row>
    <row r="1972" spans="6:19" ht="15" x14ac:dyDescent="0.25">
      <c r="F1972" s="39">
        <v>42717</v>
      </c>
      <c r="G1972" s="37">
        <v>1.5</v>
      </c>
      <c r="O1972"/>
      <c r="P1972"/>
      <c r="R1972" s="39">
        <v>42710</v>
      </c>
      <c r="S1972" s="37">
        <v>0.2114</v>
      </c>
    </row>
    <row r="1973" spans="6:19" ht="15" x14ac:dyDescent="0.25">
      <c r="F1973" s="39">
        <v>42716</v>
      </c>
      <c r="G1973" s="37">
        <v>1.5</v>
      </c>
      <c r="O1973"/>
      <c r="P1973"/>
      <c r="R1973" s="39">
        <v>42709</v>
      </c>
      <c r="S1973" s="37">
        <v>0.21340000000000001</v>
      </c>
    </row>
    <row r="1974" spans="6:19" ht="15" x14ac:dyDescent="0.25">
      <c r="F1974" s="39">
        <v>42713</v>
      </c>
      <c r="G1974" s="37">
        <v>1.5</v>
      </c>
      <c r="O1974"/>
      <c r="P1974"/>
      <c r="R1974" s="39">
        <v>42706</v>
      </c>
      <c r="S1974" s="37">
        <v>0.21149999999999999</v>
      </c>
    </row>
    <row r="1975" spans="6:19" ht="15" x14ac:dyDescent="0.25">
      <c r="F1975" s="39">
        <v>42712</v>
      </c>
      <c r="G1975" s="37">
        <v>1.5</v>
      </c>
      <c r="O1975"/>
      <c r="P1975"/>
      <c r="R1975" s="39">
        <v>42705</v>
      </c>
      <c r="S1975" s="37">
        <v>0.2147</v>
      </c>
    </row>
    <row r="1976" spans="6:19" ht="15" x14ac:dyDescent="0.25">
      <c r="F1976" s="39">
        <v>42711</v>
      </c>
      <c r="G1976" s="37">
        <v>1.5</v>
      </c>
      <c r="O1976"/>
      <c r="P1976"/>
      <c r="R1976" s="39">
        <v>42704</v>
      </c>
      <c r="S1976" s="37">
        <v>0.2024</v>
      </c>
    </row>
    <row r="1977" spans="6:19" ht="15" x14ac:dyDescent="0.25">
      <c r="F1977" s="39">
        <v>42710</v>
      </c>
      <c r="G1977" s="37">
        <v>1.5</v>
      </c>
      <c r="O1977"/>
      <c r="P1977"/>
      <c r="R1977" s="39">
        <v>42703</v>
      </c>
      <c r="S1977" s="37">
        <v>0.21160000000000001</v>
      </c>
    </row>
    <row r="1978" spans="6:19" ht="15" x14ac:dyDescent="0.25">
      <c r="F1978" s="39">
        <v>42709</v>
      </c>
      <c r="G1978" s="37">
        <v>1.5</v>
      </c>
      <c r="O1978"/>
      <c r="P1978"/>
      <c r="R1978" s="39">
        <v>42702</v>
      </c>
      <c r="S1978" s="37">
        <v>0.21290000000000001</v>
      </c>
    </row>
    <row r="1979" spans="6:19" ht="15" x14ac:dyDescent="0.25">
      <c r="F1979" s="39">
        <v>42706</v>
      </c>
      <c r="G1979" s="37">
        <v>1.5</v>
      </c>
      <c r="O1979"/>
      <c r="P1979"/>
      <c r="R1979" s="39">
        <v>42699</v>
      </c>
      <c r="S1979" s="37">
        <v>0.21060000000000001</v>
      </c>
    </row>
    <row r="1980" spans="6:19" ht="15" x14ac:dyDescent="0.25">
      <c r="F1980" s="39">
        <v>42705</v>
      </c>
      <c r="G1980" s="37">
        <v>1.5</v>
      </c>
      <c r="O1980"/>
      <c r="P1980"/>
      <c r="R1980" s="39">
        <v>42698</v>
      </c>
      <c r="S1980" s="37">
        <v>0.21179999999999999</v>
      </c>
    </row>
    <row r="1981" spans="6:19" ht="15" x14ac:dyDescent="0.25">
      <c r="F1981" s="39">
        <v>42704</v>
      </c>
      <c r="G1981" s="37">
        <v>1.5</v>
      </c>
      <c r="O1981"/>
      <c r="P1981"/>
      <c r="R1981" s="39">
        <v>42697</v>
      </c>
      <c r="S1981" s="37">
        <v>0.21190000000000001</v>
      </c>
    </row>
    <row r="1982" spans="6:19" ht="15" x14ac:dyDescent="0.25">
      <c r="F1982" s="39">
        <v>42703</v>
      </c>
      <c r="G1982" s="37">
        <v>1.5</v>
      </c>
      <c r="O1982"/>
      <c r="P1982"/>
      <c r="R1982" s="39">
        <v>42696</v>
      </c>
      <c r="S1982" s="37">
        <v>0.21079999999999999</v>
      </c>
    </row>
    <row r="1983" spans="6:19" ht="15" x14ac:dyDescent="0.25">
      <c r="F1983" s="39">
        <v>42702</v>
      </c>
      <c r="G1983" s="37">
        <v>1.5</v>
      </c>
      <c r="O1983"/>
      <c r="P1983"/>
      <c r="R1983" s="39">
        <v>42695</v>
      </c>
      <c r="S1983" s="37">
        <v>0.2099</v>
      </c>
    </row>
    <row r="1984" spans="6:19" ht="15" x14ac:dyDescent="0.25">
      <c r="F1984" s="39">
        <v>42699</v>
      </c>
      <c r="G1984" s="37">
        <v>1.5</v>
      </c>
      <c r="O1984"/>
      <c r="P1984"/>
      <c r="R1984" s="39">
        <v>42692</v>
      </c>
      <c r="S1984" s="37">
        <v>0.2117</v>
      </c>
    </row>
    <row r="1985" spans="6:19" ht="15" x14ac:dyDescent="0.25">
      <c r="F1985" s="39">
        <v>42698</v>
      </c>
      <c r="G1985" s="37">
        <v>1.5</v>
      </c>
      <c r="O1985"/>
      <c r="P1985"/>
      <c r="R1985" s="39">
        <v>42691</v>
      </c>
      <c r="S1985" s="37">
        <v>0.21010000000000001</v>
      </c>
    </row>
    <row r="1986" spans="6:19" ht="15" x14ac:dyDescent="0.25">
      <c r="F1986" s="39">
        <v>42697</v>
      </c>
      <c r="G1986" s="37">
        <v>1.5</v>
      </c>
      <c r="O1986"/>
      <c r="P1986"/>
      <c r="R1986" s="39">
        <v>42690</v>
      </c>
      <c r="S1986" s="37">
        <v>0.21029999999999999</v>
      </c>
    </row>
    <row r="1987" spans="6:19" ht="15" x14ac:dyDescent="0.25">
      <c r="F1987" s="39">
        <v>42696</v>
      </c>
      <c r="G1987" s="37">
        <v>1.5</v>
      </c>
      <c r="O1987"/>
      <c r="P1987"/>
      <c r="R1987" s="39">
        <v>42689</v>
      </c>
      <c r="S1987" s="37">
        <v>0.21060000000000001</v>
      </c>
    </row>
    <row r="1988" spans="6:19" ht="15" x14ac:dyDescent="0.25">
      <c r="F1988" s="39">
        <v>42695</v>
      </c>
      <c r="G1988" s="37">
        <v>1.5</v>
      </c>
      <c r="O1988"/>
      <c r="P1988"/>
      <c r="R1988" s="39">
        <v>42688</v>
      </c>
      <c r="S1988" s="37">
        <v>0.21060000000000001</v>
      </c>
    </row>
    <row r="1989" spans="6:19" ht="15" x14ac:dyDescent="0.25">
      <c r="F1989" s="39">
        <v>42692</v>
      </c>
      <c r="G1989" s="37">
        <v>1.5</v>
      </c>
      <c r="O1989"/>
      <c r="P1989"/>
      <c r="R1989" s="39">
        <v>42685</v>
      </c>
      <c r="S1989" s="37">
        <v>0.214</v>
      </c>
    </row>
    <row r="1990" spans="6:19" ht="15" x14ac:dyDescent="0.25">
      <c r="F1990" s="39">
        <v>42691</v>
      </c>
      <c r="G1990" s="37">
        <v>1.5</v>
      </c>
      <c r="O1990"/>
      <c r="P1990"/>
      <c r="R1990" s="39">
        <v>42684</v>
      </c>
      <c r="S1990" s="37">
        <v>0.2137</v>
      </c>
    </row>
    <row r="1991" spans="6:19" ht="15" x14ac:dyDescent="0.25">
      <c r="F1991" s="39">
        <v>42690</v>
      </c>
      <c r="G1991" s="37">
        <v>1.5</v>
      </c>
      <c r="O1991"/>
      <c r="P1991"/>
      <c r="R1991" s="39">
        <v>42683</v>
      </c>
      <c r="S1991" s="37">
        <v>0.2102</v>
      </c>
    </row>
    <row r="1992" spans="6:19" ht="15" x14ac:dyDescent="0.25">
      <c r="F1992" s="39">
        <v>42689</v>
      </c>
      <c r="G1992" s="37">
        <v>1.5</v>
      </c>
      <c r="O1992"/>
      <c r="P1992"/>
      <c r="R1992" s="39">
        <v>42682</v>
      </c>
      <c r="S1992" s="37">
        <v>0.21160000000000001</v>
      </c>
    </row>
    <row r="1993" spans="6:19" ht="15" x14ac:dyDescent="0.25">
      <c r="F1993" s="39">
        <v>42688</v>
      </c>
      <c r="G1993" s="37">
        <v>1.5</v>
      </c>
      <c r="O1993"/>
      <c r="P1993"/>
      <c r="R1993" s="39">
        <v>42681</v>
      </c>
      <c r="S1993" s="37">
        <v>0.21079999999999999</v>
      </c>
    </row>
    <row r="1994" spans="6:19" ht="15" x14ac:dyDescent="0.25">
      <c r="F1994" s="39">
        <v>42685</v>
      </c>
      <c r="G1994" s="37">
        <v>1.5</v>
      </c>
      <c r="O1994"/>
      <c r="P1994"/>
      <c r="R1994" s="39">
        <v>42678</v>
      </c>
      <c r="S1994" s="37">
        <v>0.21060000000000001</v>
      </c>
    </row>
    <row r="1995" spans="6:19" ht="15" x14ac:dyDescent="0.25">
      <c r="F1995" s="39">
        <v>42684</v>
      </c>
      <c r="G1995" s="37">
        <v>1.5</v>
      </c>
      <c r="O1995"/>
      <c r="P1995"/>
      <c r="R1995" s="39">
        <v>42677</v>
      </c>
      <c r="S1995" s="37">
        <v>0.21210000000000001</v>
      </c>
    </row>
    <row r="1996" spans="6:19" ht="15" x14ac:dyDescent="0.25">
      <c r="F1996" s="39">
        <v>42683</v>
      </c>
      <c r="G1996" s="37">
        <v>1.5</v>
      </c>
      <c r="O1996"/>
      <c r="P1996"/>
      <c r="R1996" s="39">
        <v>42676</v>
      </c>
      <c r="S1996" s="37">
        <v>0.2082</v>
      </c>
    </row>
    <row r="1997" spans="6:19" ht="15" x14ac:dyDescent="0.25">
      <c r="F1997" s="39">
        <v>42682</v>
      </c>
      <c r="G1997" s="37">
        <v>1.5</v>
      </c>
      <c r="O1997"/>
      <c r="P1997"/>
      <c r="R1997" s="39">
        <v>42675</v>
      </c>
      <c r="S1997" s="37">
        <v>0.2122</v>
      </c>
    </row>
    <row r="1998" spans="6:19" ht="15" x14ac:dyDescent="0.25">
      <c r="F1998" s="39">
        <v>42681</v>
      </c>
      <c r="G1998" s="37">
        <v>1.5</v>
      </c>
      <c r="O1998"/>
      <c r="P1998"/>
      <c r="R1998" s="39">
        <v>42674</v>
      </c>
      <c r="S1998" s="37">
        <v>0.19989999999999999</v>
      </c>
    </row>
    <row r="1999" spans="6:19" ht="15" x14ac:dyDescent="0.25">
      <c r="F1999" s="39">
        <v>42678</v>
      </c>
      <c r="G1999" s="37">
        <v>1.5</v>
      </c>
      <c r="O1999"/>
      <c r="P1999"/>
      <c r="R1999" s="39">
        <v>42671</v>
      </c>
      <c r="S1999" s="37">
        <v>0.2092</v>
      </c>
    </row>
    <row r="2000" spans="6:19" ht="15" x14ac:dyDescent="0.25">
      <c r="F2000" s="39">
        <v>42677</v>
      </c>
      <c r="G2000" s="37">
        <v>1.5</v>
      </c>
      <c r="O2000"/>
      <c r="P2000"/>
      <c r="R2000" s="39">
        <v>42670</v>
      </c>
      <c r="S2000" s="37">
        <v>0.20899999999999999</v>
      </c>
    </row>
    <row r="2001" spans="6:19" ht="15" x14ac:dyDescent="0.25">
      <c r="F2001" s="39">
        <v>42676</v>
      </c>
      <c r="G2001" s="37">
        <v>1.5</v>
      </c>
      <c r="O2001"/>
      <c r="P2001"/>
      <c r="R2001" s="39">
        <v>42669</v>
      </c>
      <c r="S2001" s="37">
        <v>0.21049999999999999</v>
      </c>
    </row>
    <row r="2002" spans="6:19" ht="15" x14ac:dyDescent="0.25">
      <c r="F2002" s="39">
        <v>42675</v>
      </c>
      <c r="G2002" s="37">
        <v>1.5</v>
      </c>
      <c r="O2002"/>
      <c r="P2002"/>
      <c r="R2002" s="39">
        <v>42668</v>
      </c>
      <c r="S2002" s="37">
        <v>0.2117</v>
      </c>
    </row>
    <row r="2003" spans="6:19" ht="15" x14ac:dyDescent="0.25">
      <c r="F2003" s="39">
        <v>42674</v>
      </c>
      <c r="G2003" s="37">
        <v>1.5</v>
      </c>
      <c r="O2003"/>
      <c r="P2003"/>
      <c r="R2003" s="39">
        <v>42667</v>
      </c>
      <c r="S2003" s="37">
        <v>0.21149999999999999</v>
      </c>
    </row>
    <row r="2004" spans="6:19" ht="15" x14ac:dyDescent="0.25">
      <c r="F2004" s="39">
        <v>42671</v>
      </c>
      <c r="G2004" s="37">
        <v>1.5</v>
      </c>
      <c r="O2004"/>
      <c r="P2004"/>
      <c r="R2004" s="39">
        <v>42664</v>
      </c>
      <c r="S2004" s="37">
        <v>0.2112</v>
      </c>
    </row>
    <row r="2005" spans="6:19" ht="15" x14ac:dyDescent="0.25">
      <c r="F2005" s="39">
        <v>42670</v>
      </c>
      <c r="G2005" s="37">
        <v>1.5</v>
      </c>
      <c r="O2005"/>
      <c r="P2005"/>
      <c r="R2005" s="39">
        <v>42663</v>
      </c>
      <c r="S2005" s="37">
        <v>0.21249999999999999</v>
      </c>
    </row>
    <row r="2006" spans="6:19" ht="15" x14ac:dyDescent="0.25">
      <c r="F2006" s="39">
        <v>42669</v>
      </c>
      <c r="G2006" s="37">
        <v>1.5</v>
      </c>
      <c r="O2006"/>
      <c r="P2006"/>
      <c r="R2006" s="39">
        <v>42662</v>
      </c>
      <c r="S2006" s="37">
        <v>0.21360000000000001</v>
      </c>
    </row>
    <row r="2007" spans="6:19" ht="15" x14ac:dyDescent="0.25">
      <c r="F2007" s="39">
        <v>42668</v>
      </c>
      <c r="G2007" s="37">
        <v>1.5</v>
      </c>
      <c r="O2007"/>
      <c r="P2007"/>
      <c r="R2007" s="39">
        <v>42661</v>
      </c>
      <c r="S2007" s="37">
        <v>0.2112</v>
      </c>
    </row>
    <row r="2008" spans="6:19" ht="15" x14ac:dyDescent="0.25">
      <c r="F2008" s="39">
        <v>42667</v>
      </c>
      <c r="G2008" s="37">
        <v>1.5</v>
      </c>
      <c r="O2008"/>
      <c r="P2008"/>
      <c r="R2008" s="39">
        <v>42660</v>
      </c>
      <c r="S2008" s="37">
        <v>0.21129999999999999</v>
      </c>
    </row>
    <row r="2009" spans="6:19" ht="15" x14ac:dyDescent="0.25">
      <c r="F2009" s="39">
        <v>42664</v>
      </c>
      <c r="G2009" s="37">
        <v>1.5</v>
      </c>
      <c r="O2009"/>
      <c r="P2009"/>
      <c r="R2009" s="39">
        <v>42657</v>
      </c>
      <c r="S2009" s="37">
        <v>0.2109</v>
      </c>
    </row>
    <row r="2010" spans="6:19" ht="15" x14ac:dyDescent="0.25">
      <c r="F2010" s="39">
        <v>42663</v>
      </c>
      <c r="G2010" s="37">
        <v>1.5</v>
      </c>
      <c r="O2010"/>
      <c r="P2010"/>
      <c r="R2010" s="39">
        <v>42656</v>
      </c>
      <c r="S2010" s="37">
        <v>0.214</v>
      </c>
    </row>
    <row r="2011" spans="6:19" ht="15" x14ac:dyDescent="0.25">
      <c r="F2011" s="39">
        <v>42662</v>
      </c>
      <c r="G2011" s="37">
        <v>1.5</v>
      </c>
      <c r="O2011"/>
      <c r="P2011"/>
      <c r="R2011" s="39">
        <v>42655</v>
      </c>
      <c r="S2011" s="37">
        <v>0.21740000000000001</v>
      </c>
    </row>
    <row r="2012" spans="6:19" ht="15" x14ac:dyDescent="0.25">
      <c r="F2012" s="39">
        <v>42661</v>
      </c>
      <c r="G2012" s="37">
        <v>1.5</v>
      </c>
      <c r="O2012"/>
      <c r="P2012"/>
      <c r="R2012" s="39">
        <v>42654</v>
      </c>
      <c r="S2012" s="37">
        <v>0.21479999999999999</v>
      </c>
    </row>
    <row r="2013" spans="6:19" ht="15" x14ac:dyDescent="0.25">
      <c r="F2013" s="39">
        <v>42660</v>
      </c>
      <c r="G2013" s="37">
        <v>1.5</v>
      </c>
      <c r="O2013"/>
      <c r="P2013"/>
      <c r="R2013" s="39">
        <v>42653</v>
      </c>
      <c r="S2013" s="37">
        <v>0.21659999999999999</v>
      </c>
    </row>
    <row r="2014" spans="6:19" ht="15" x14ac:dyDescent="0.25">
      <c r="F2014" s="39">
        <v>42657</v>
      </c>
      <c r="G2014" s="37">
        <v>1.5</v>
      </c>
      <c r="O2014"/>
      <c r="P2014"/>
      <c r="R2014" s="39">
        <v>42650</v>
      </c>
      <c r="S2014" s="37">
        <v>0.21340000000000001</v>
      </c>
    </row>
    <row r="2015" spans="6:19" ht="15" x14ac:dyDescent="0.25">
      <c r="F2015" s="39">
        <v>42656</v>
      </c>
      <c r="G2015" s="37">
        <v>1.5</v>
      </c>
      <c r="O2015"/>
      <c r="P2015"/>
      <c r="R2015" s="39">
        <v>42649</v>
      </c>
      <c r="S2015" s="37">
        <v>0.2157</v>
      </c>
    </row>
    <row r="2016" spans="6:19" ht="15" x14ac:dyDescent="0.25">
      <c r="F2016" s="39">
        <v>42655</v>
      </c>
      <c r="G2016" s="37">
        <v>1.5</v>
      </c>
      <c r="O2016"/>
      <c r="P2016"/>
      <c r="R2016" s="39">
        <v>42648</v>
      </c>
      <c r="S2016" s="37">
        <v>0.2104</v>
      </c>
    </row>
    <row r="2017" spans="6:19" ht="15" x14ac:dyDescent="0.25">
      <c r="F2017" s="39">
        <v>42654</v>
      </c>
      <c r="G2017" s="37">
        <v>1.5</v>
      </c>
      <c r="O2017"/>
      <c r="P2017"/>
      <c r="R2017" s="39">
        <v>42647</v>
      </c>
      <c r="S2017" s="37">
        <v>0.21390000000000001</v>
      </c>
    </row>
    <row r="2018" spans="6:19" ht="15" x14ac:dyDescent="0.25">
      <c r="F2018" s="39">
        <v>42653</v>
      </c>
      <c r="G2018" s="37">
        <v>1.5</v>
      </c>
      <c r="O2018"/>
      <c r="P2018"/>
      <c r="R2018" s="39">
        <v>42646</v>
      </c>
      <c r="S2018" s="37">
        <v>0.21390000000000001</v>
      </c>
    </row>
    <row r="2019" spans="6:19" ht="15" x14ac:dyDescent="0.25">
      <c r="F2019" s="39">
        <v>42650</v>
      </c>
      <c r="G2019" s="37">
        <v>1.5</v>
      </c>
      <c r="O2019"/>
      <c r="P2019"/>
      <c r="R2019" s="39">
        <v>42643</v>
      </c>
      <c r="S2019" s="37">
        <v>0.16239999999999999</v>
      </c>
    </row>
    <row r="2020" spans="6:19" ht="15" x14ac:dyDescent="0.25">
      <c r="F2020" s="39">
        <v>42649</v>
      </c>
      <c r="G2020" s="37">
        <v>1.5</v>
      </c>
      <c r="O2020"/>
      <c r="P2020"/>
      <c r="R2020" s="39">
        <v>42642</v>
      </c>
      <c r="S2020" s="37">
        <v>0.21360000000000001</v>
      </c>
    </row>
    <row r="2021" spans="6:19" ht="15" x14ac:dyDescent="0.25">
      <c r="F2021" s="39">
        <v>42648</v>
      </c>
      <c r="G2021" s="37">
        <v>1.5</v>
      </c>
      <c r="O2021"/>
      <c r="P2021"/>
      <c r="R2021" s="39">
        <v>42641</v>
      </c>
      <c r="S2021" s="37">
        <v>0.21440000000000001</v>
      </c>
    </row>
    <row r="2022" spans="6:19" ht="15" x14ac:dyDescent="0.25">
      <c r="F2022" s="39">
        <v>42647</v>
      </c>
      <c r="G2022" s="37">
        <v>1.5</v>
      </c>
      <c r="O2022"/>
      <c r="P2022"/>
      <c r="R2022" s="39">
        <v>42640</v>
      </c>
      <c r="S2022" s="37">
        <v>0.21390000000000001</v>
      </c>
    </row>
    <row r="2023" spans="6:19" ht="15" x14ac:dyDescent="0.25">
      <c r="F2023" s="39">
        <v>42646</v>
      </c>
      <c r="G2023" s="37">
        <v>1.5</v>
      </c>
      <c r="O2023"/>
      <c r="P2023"/>
      <c r="R2023" s="39">
        <v>42639</v>
      </c>
      <c r="S2023" s="37">
        <v>0.21240000000000001</v>
      </c>
    </row>
    <row r="2024" spans="6:19" ht="15" x14ac:dyDescent="0.25">
      <c r="F2024" s="39">
        <v>42643</v>
      </c>
      <c r="G2024" s="37">
        <v>1.5</v>
      </c>
      <c r="O2024"/>
      <c r="P2024"/>
      <c r="R2024" s="39">
        <v>42636</v>
      </c>
      <c r="S2024" s="37">
        <v>0.2152</v>
      </c>
    </row>
    <row r="2025" spans="6:19" ht="15" x14ac:dyDescent="0.25">
      <c r="F2025" s="39">
        <v>42642</v>
      </c>
      <c r="G2025" s="37">
        <v>1.5</v>
      </c>
      <c r="O2025"/>
      <c r="P2025"/>
      <c r="R2025" s="39">
        <v>42635</v>
      </c>
      <c r="S2025" s="37">
        <v>0.20730000000000001</v>
      </c>
    </row>
    <row r="2026" spans="6:19" ht="15" x14ac:dyDescent="0.25">
      <c r="F2026" s="39">
        <v>42641</v>
      </c>
      <c r="G2026" s="37">
        <v>1.5</v>
      </c>
      <c r="O2026"/>
      <c r="P2026"/>
      <c r="R2026" s="39">
        <v>42634</v>
      </c>
      <c r="S2026" s="37">
        <v>0.2155</v>
      </c>
    </row>
    <row r="2027" spans="6:19" ht="15" x14ac:dyDescent="0.25">
      <c r="F2027" s="39">
        <v>42640</v>
      </c>
      <c r="G2027" s="37">
        <v>1.5</v>
      </c>
      <c r="O2027"/>
      <c r="P2027"/>
      <c r="R2027" s="39">
        <v>42633</v>
      </c>
      <c r="S2027" s="37">
        <v>0.21299999999999999</v>
      </c>
    </row>
    <row r="2028" spans="6:19" ht="15" x14ac:dyDescent="0.25">
      <c r="F2028" s="39">
        <v>42639</v>
      </c>
      <c r="G2028" s="37">
        <v>1.5</v>
      </c>
      <c r="O2028"/>
      <c r="P2028"/>
      <c r="R2028" s="39">
        <v>42632</v>
      </c>
      <c r="S2028" s="37">
        <v>0.21340000000000001</v>
      </c>
    </row>
    <row r="2029" spans="6:19" ht="15" x14ac:dyDescent="0.25">
      <c r="F2029" s="39">
        <v>42636</v>
      </c>
      <c r="G2029" s="37">
        <v>1.5</v>
      </c>
      <c r="O2029"/>
      <c r="P2029"/>
      <c r="R2029" s="39">
        <v>42629</v>
      </c>
      <c r="S2029" s="37">
        <v>0.21410000000000001</v>
      </c>
    </row>
    <row r="2030" spans="6:19" ht="15" x14ac:dyDescent="0.25">
      <c r="F2030" s="39">
        <v>42635</v>
      </c>
      <c r="G2030" s="37">
        <v>1.5</v>
      </c>
      <c r="O2030"/>
      <c r="P2030"/>
      <c r="R2030" s="39">
        <v>42628</v>
      </c>
      <c r="S2030" s="37">
        <v>0.21560000000000001</v>
      </c>
    </row>
    <row r="2031" spans="6:19" ht="15" x14ac:dyDescent="0.25">
      <c r="F2031" s="39">
        <v>42634</v>
      </c>
      <c r="G2031" s="37">
        <v>1.5</v>
      </c>
      <c r="O2031"/>
      <c r="P2031"/>
      <c r="R2031" s="39">
        <v>42627</v>
      </c>
      <c r="S2031" s="37">
        <v>0.21970000000000001</v>
      </c>
    </row>
    <row r="2032" spans="6:19" ht="15" x14ac:dyDescent="0.25">
      <c r="F2032" s="39">
        <v>42633</v>
      </c>
      <c r="G2032" s="37">
        <v>1.5</v>
      </c>
      <c r="O2032"/>
      <c r="P2032"/>
      <c r="R2032" s="39">
        <v>42626</v>
      </c>
      <c r="S2032" s="37">
        <v>0.22</v>
      </c>
    </row>
    <row r="2033" spans="6:19" ht="15" x14ac:dyDescent="0.25">
      <c r="F2033" s="39">
        <v>42632</v>
      </c>
      <c r="G2033" s="37">
        <v>1.5</v>
      </c>
      <c r="O2033"/>
      <c r="P2033"/>
      <c r="R2033" s="39">
        <v>42625</v>
      </c>
      <c r="S2033" s="37">
        <v>0.2198</v>
      </c>
    </row>
    <row r="2034" spans="6:19" ht="15" x14ac:dyDescent="0.25">
      <c r="F2034" s="39">
        <v>42629</v>
      </c>
      <c r="G2034" s="37">
        <v>1.5</v>
      </c>
      <c r="O2034"/>
      <c r="P2034"/>
      <c r="R2034" s="39">
        <v>42622</v>
      </c>
      <c r="S2034" s="37">
        <v>0.219</v>
      </c>
    </row>
    <row r="2035" spans="6:19" ht="15" x14ac:dyDescent="0.25">
      <c r="F2035" s="39">
        <v>42628</v>
      </c>
      <c r="G2035" s="37">
        <v>1.5</v>
      </c>
      <c r="O2035"/>
      <c r="P2035"/>
      <c r="R2035" s="39">
        <v>42621</v>
      </c>
      <c r="S2035" s="37">
        <v>0.21890000000000001</v>
      </c>
    </row>
    <row r="2036" spans="6:19" ht="15" x14ac:dyDescent="0.25">
      <c r="F2036" s="39">
        <v>42627</v>
      </c>
      <c r="G2036" s="37">
        <v>1.5</v>
      </c>
      <c r="O2036"/>
      <c r="P2036"/>
      <c r="R2036" s="39">
        <v>42620</v>
      </c>
      <c r="S2036" s="37">
        <v>0.21729999999999999</v>
      </c>
    </row>
    <row r="2037" spans="6:19" ht="15" x14ac:dyDescent="0.25">
      <c r="F2037" s="39">
        <v>42626</v>
      </c>
      <c r="G2037" s="37">
        <v>1.5</v>
      </c>
      <c r="O2037"/>
      <c r="P2037"/>
      <c r="R2037" s="39">
        <v>42619</v>
      </c>
      <c r="S2037" s="37">
        <v>0.21590000000000001</v>
      </c>
    </row>
    <row r="2038" spans="6:19" ht="15" x14ac:dyDescent="0.25">
      <c r="F2038" s="39">
        <v>42625</v>
      </c>
      <c r="G2038" s="37">
        <v>1.5</v>
      </c>
      <c r="O2038"/>
      <c r="P2038"/>
      <c r="R2038" s="39">
        <v>42618</v>
      </c>
      <c r="S2038" s="37">
        <v>0.21679999999999999</v>
      </c>
    </row>
    <row r="2039" spans="6:19" ht="15" x14ac:dyDescent="0.25">
      <c r="F2039" s="39">
        <v>42622</v>
      </c>
      <c r="G2039" s="37">
        <v>1.5</v>
      </c>
      <c r="O2039"/>
      <c r="P2039"/>
      <c r="R2039" s="39">
        <v>42615</v>
      </c>
      <c r="S2039" s="37">
        <v>0.214</v>
      </c>
    </row>
    <row r="2040" spans="6:19" ht="15" x14ac:dyDescent="0.25">
      <c r="F2040" s="39">
        <v>42621</v>
      </c>
      <c r="G2040" s="37">
        <v>1.5</v>
      </c>
      <c r="O2040"/>
      <c r="P2040"/>
      <c r="R2040" s="39">
        <v>42614</v>
      </c>
      <c r="S2040" s="37">
        <v>0.21440000000000001</v>
      </c>
    </row>
    <row r="2041" spans="6:19" ht="15" x14ac:dyDescent="0.25">
      <c r="F2041" s="39">
        <v>42620</v>
      </c>
      <c r="G2041" s="37">
        <v>1.5</v>
      </c>
      <c r="O2041"/>
      <c r="P2041"/>
      <c r="R2041" s="39">
        <v>42613</v>
      </c>
      <c r="S2041" s="37">
        <v>0.20180000000000001</v>
      </c>
    </row>
    <row r="2042" spans="6:19" ht="15" x14ac:dyDescent="0.25">
      <c r="F2042" s="39">
        <v>42619</v>
      </c>
      <c r="G2042" s="37">
        <v>1.5</v>
      </c>
      <c r="O2042"/>
      <c r="P2042"/>
      <c r="R2042" s="39">
        <v>42612</v>
      </c>
      <c r="S2042" s="37">
        <v>0.21609999999999999</v>
      </c>
    </row>
    <row r="2043" spans="6:19" ht="15" x14ac:dyDescent="0.25">
      <c r="F2043" s="39">
        <v>42618</v>
      </c>
      <c r="G2043" s="37">
        <v>1.5</v>
      </c>
      <c r="O2043"/>
      <c r="P2043"/>
      <c r="R2043" s="39">
        <v>42608</v>
      </c>
      <c r="S2043" s="37">
        <v>0.2152</v>
      </c>
    </row>
    <row r="2044" spans="6:19" ht="15" x14ac:dyDescent="0.25">
      <c r="F2044" s="39">
        <v>42615</v>
      </c>
      <c r="G2044" s="37">
        <v>1.5</v>
      </c>
      <c r="O2044"/>
      <c r="P2044"/>
      <c r="R2044" s="39">
        <v>42607</v>
      </c>
      <c r="S2044" s="37">
        <v>0.21740000000000001</v>
      </c>
    </row>
    <row r="2045" spans="6:19" ht="15" x14ac:dyDescent="0.25">
      <c r="F2045" s="39">
        <v>42614</v>
      </c>
      <c r="G2045" s="37">
        <v>1.5</v>
      </c>
      <c r="O2045"/>
      <c r="P2045"/>
      <c r="R2045" s="39">
        <v>42606</v>
      </c>
      <c r="S2045" s="37">
        <v>0.21529999999999999</v>
      </c>
    </row>
    <row r="2046" spans="6:19" ht="15" x14ac:dyDescent="0.25">
      <c r="F2046" s="39">
        <v>42613</v>
      </c>
      <c r="G2046" s="37">
        <v>1.5</v>
      </c>
      <c r="O2046"/>
      <c r="P2046"/>
      <c r="R2046" s="39">
        <v>42605</v>
      </c>
      <c r="S2046" s="37">
        <v>0.21379999999999999</v>
      </c>
    </row>
    <row r="2047" spans="6:19" ht="15" x14ac:dyDescent="0.25">
      <c r="F2047" s="39">
        <v>42612</v>
      </c>
      <c r="G2047" s="37">
        <v>1.5</v>
      </c>
      <c r="O2047"/>
      <c r="P2047"/>
      <c r="R2047" s="39">
        <v>42604</v>
      </c>
      <c r="S2047" s="37">
        <v>0.21329999999999999</v>
      </c>
    </row>
    <row r="2048" spans="6:19" ht="15" x14ac:dyDescent="0.25">
      <c r="F2048" s="39">
        <v>42611</v>
      </c>
      <c r="G2048" s="37">
        <v>1.5</v>
      </c>
      <c r="O2048"/>
      <c r="P2048"/>
      <c r="R2048" s="39">
        <v>42601</v>
      </c>
      <c r="S2048" s="37">
        <v>0.21460000000000001</v>
      </c>
    </row>
    <row r="2049" spans="6:19" ht="15" x14ac:dyDescent="0.25">
      <c r="F2049" s="39">
        <v>42608</v>
      </c>
      <c r="G2049" s="37">
        <v>1.5</v>
      </c>
      <c r="O2049"/>
      <c r="P2049"/>
      <c r="R2049" s="39">
        <v>42600</v>
      </c>
      <c r="S2049" s="37">
        <v>0.21179999999999999</v>
      </c>
    </row>
    <row r="2050" spans="6:19" ht="15" x14ac:dyDescent="0.25">
      <c r="F2050" s="39">
        <v>42607</v>
      </c>
      <c r="G2050" s="37">
        <v>1.5</v>
      </c>
      <c r="O2050"/>
      <c r="P2050"/>
      <c r="R2050" s="39">
        <v>42599</v>
      </c>
      <c r="S2050" s="37">
        <v>0.20979999999999999</v>
      </c>
    </row>
    <row r="2051" spans="6:19" ht="15" x14ac:dyDescent="0.25">
      <c r="F2051" s="39">
        <v>42606</v>
      </c>
      <c r="G2051" s="37">
        <v>1.5</v>
      </c>
      <c r="O2051"/>
      <c r="P2051"/>
      <c r="R2051" s="39">
        <v>42598</v>
      </c>
      <c r="S2051" s="37">
        <v>0.21149999999999999</v>
      </c>
    </row>
    <row r="2052" spans="6:19" ht="15" x14ac:dyDescent="0.25">
      <c r="F2052" s="39">
        <v>42605</v>
      </c>
      <c r="G2052" s="37">
        <v>1.5</v>
      </c>
      <c r="O2052"/>
      <c r="P2052"/>
      <c r="R2052" s="39">
        <v>42597</v>
      </c>
      <c r="S2052" s="37">
        <v>0.21099999999999999</v>
      </c>
    </row>
    <row r="2053" spans="6:19" ht="15" x14ac:dyDescent="0.25">
      <c r="F2053" s="39">
        <v>42604</v>
      </c>
      <c r="G2053" s="37">
        <v>1.5</v>
      </c>
      <c r="O2053"/>
      <c r="P2053"/>
      <c r="R2053" s="39">
        <v>42594</v>
      </c>
      <c r="S2053" s="37">
        <v>0.21110000000000001</v>
      </c>
    </row>
    <row r="2054" spans="6:19" ht="15" x14ac:dyDescent="0.25">
      <c r="F2054" s="39">
        <v>42601</v>
      </c>
      <c r="G2054" s="37">
        <v>1.5</v>
      </c>
      <c r="O2054"/>
      <c r="P2054"/>
      <c r="R2054" s="39">
        <v>42593</v>
      </c>
      <c r="S2054" s="37">
        <v>0.21410000000000001</v>
      </c>
    </row>
    <row r="2055" spans="6:19" ht="15" x14ac:dyDescent="0.25">
      <c r="F2055" s="39">
        <v>42600</v>
      </c>
      <c r="G2055" s="37">
        <v>1.5</v>
      </c>
      <c r="O2055"/>
      <c r="P2055"/>
      <c r="R2055" s="39">
        <v>42592</v>
      </c>
      <c r="S2055" s="37">
        <v>0.2122</v>
      </c>
    </row>
    <row r="2056" spans="6:19" ht="15" x14ac:dyDescent="0.25">
      <c r="F2056" s="39">
        <v>42599</v>
      </c>
      <c r="G2056" s="37">
        <v>1.5</v>
      </c>
      <c r="O2056"/>
      <c r="P2056"/>
      <c r="R2056" s="39">
        <v>42591</v>
      </c>
      <c r="S2056" s="37">
        <v>0.2107</v>
      </c>
    </row>
    <row r="2057" spans="6:19" ht="15" x14ac:dyDescent="0.25">
      <c r="F2057" s="39">
        <v>42598</v>
      </c>
      <c r="G2057" s="37">
        <v>1.5</v>
      </c>
      <c r="O2057"/>
      <c r="P2057"/>
      <c r="R2057" s="39">
        <v>42590</v>
      </c>
      <c r="S2057" s="37">
        <v>0.2175</v>
      </c>
    </row>
    <row r="2058" spans="6:19" ht="15" x14ac:dyDescent="0.25">
      <c r="F2058" s="39">
        <v>42597</v>
      </c>
      <c r="G2058" s="37">
        <v>1.5</v>
      </c>
      <c r="O2058"/>
      <c r="P2058"/>
      <c r="R2058" s="39">
        <v>42587</v>
      </c>
      <c r="S2058" s="37">
        <v>0.21390000000000001</v>
      </c>
    </row>
    <row r="2059" spans="6:19" ht="15" x14ac:dyDescent="0.25">
      <c r="F2059" s="39">
        <v>42594</v>
      </c>
      <c r="G2059" s="37">
        <v>1.5</v>
      </c>
      <c r="O2059"/>
      <c r="P2059"/>
      <c r="R2059" s="39">
        <v>42586</v>
      </c>
      <c r="S2059" s="37">
        <v>0.246</v>
      </c>
    </row>
    <row r="2060" spans="6:19" ht="15" x14ac:dyDescent="0.25">
      <c r="F2060" s="39">
        <v>42593</v>
      </c>
      <c r="G2060" s="37">
        <v>1.5</v>
      </c>
      <c r="O2060"/>
      <c r="P2060"/>
      <c r="R2060" s="39">
        <v>42585</v>
      </c>
      <c r="S2060" s="37">
        <v>0.45650000000000002</v>
      </c>
    </row>
    <row r="2061" spans="6:19" ht="15" x14ac:dyDescent="0.25">
      <c r="F2061" s="39">
        <v>42592</v>
      </c>
      <c r="G2061" s="37">
        <v>1.5</v>
      </c>
      <c r="O2061"/>
      <c r="P2061"/>
      <c r="R2061" s="39">
        <v>42584</v>
      </c>
      <c r="S2061" s="37">
        <v>0.46039999999999998</v>
      </c>
    </row>
    <row r="2062" spans="6:19" ht="15" x14ac:dyDescent="0.25">
      <c r="F2062" s="39">
        <v>42591</v>
      </c>
      <c r="G2062" s="37">
        <v>1.5</v>
      </c>
      <c r="O2062"/>
      <c r="P2062"/>
      <c r="R2062" s="39">
        <v>42583</v>
      </c>
      <c r="S2062" s="37">
        <v>0.45700000000000002</v>
      </c>
    </row>
    <row r="2063" spans="6:19" ht="15" x14ac:dyDescent="0.25">
      <c r="F2063" s="39">
        <v>42590</v>
      </c>
      <c r="G2063" s="37">
        <v>1.5</v>
      </c>
      <c r="O2063"/>
      <c r="P2063"/>
      <c r="R2063" s="39">
        <v>42580</v>
      </c>
      <c r="S2063" s="37">
        <v>0.45340000000000003</v>
      </c>
    </row>
    <row r="2064" spans="6:19" ht="15" x14ac:dyDescent="0.25">
      <c r="F2064" s="39">
        <v>42587</v>
      </c>
      <c r="G2064" s="37">
        <v>1.5</v>
      </c>
      <c r="O2064"/>
      <c r="P2064"/>
      <c r="R2064" s="39">
        <v>42579</v>
      </c>
      <c r="S2064" s="37">
        <v>0.45750000000000002</v>
      </c>
    </row>
    <row r="2065" spans="6:19" ht="15" x14ac:dyDescent="0.25">
      <c r="F2065" s="39">
        <v>42586</v>
      </c>
      <c r="G2065" s="37">
        <v>1.5</v>
      </c>
      <c r="O2065"/>
      <c r="P2065"/>
      <c r="R2065" s="39">
        <v>42578</v>
      </c>
      <c r="S2065" s="37">
        <v>0.45889999999999997</v>
      </c>
    </row>
    <row r="2066" spans="6:19" ht="15" x14ac:dyDescent="0.25">
      <c r="F2066" s="39">
        <v>42585</v>
      </c>
      <c r="G2066" s="37">
        <v>1.5</v>
      </c>
      <c r="O2066"/>
      <c r="P2066"/>
      <c r="R2066" s="39">
        <v>42577</v>
      </c>
      <c r="S2066" s="37">
        <v>0.46029999999999999</v>
      </c>
    </row>
    <row r="2067" spans="6:19" ht="15" x14ac:dyDescent="0.25">
      <c r="F2067" s="39">
        <v>42584</v>
      </c>
      <c r="G2067" s="37">
        <v>1.75</v>
      </c>
      <c r="O2067"/>
      <c r="P2067"/>
      <c r="R2067" s="39">
        <v>42576</v>
      </c>
      <c r="S2067" s="37">
        <v>0.45650000000000002</v>
      </c>
    </row>
    <row r="2068" spans="6:19" ht="15" x14ac:dyDescent="0.25">
      <c r="F2068" s="39">
        <v>42583</v>
      </c>
      <c r="G2068" s="37">
        <v>1.75</v>
      </c>
      <c r="O2068"/>
      <c r="P2068"/>
      <c r="R2068" s="39">
        <v>42573</v>
      </c>
      <c r="S2068" s="37">
        <v>0.4632</v>
      </c>
    </row>
    <row r="2069" spans="6:19" ht="15" x14ac:dyDescent="0.25">
      <c r="F2069" s="39">
        <v>42580</v>
      </c>
      <c r="G2069" s="37">
        <v>1.75</v>
      </c>
      <c r="O2069"/>
      <c r="P2069"/>
      <c r="R2069" s="39">
        <v>42572</v>
      </c>
      <c r="S2069" s="37">
        <v>0.46710000000000002</v>
      </c>
    </row>
    <row r="2070" spans="6:19" ht="15" x14ac:dyDescent="0.25">
      <c r="F2070" s="39">
        <v>42579</v>
      </c>
      <c r="G2070" s="37">
        <v>1.75</v>
      </c>
      <c r="O2070"/>
      <c r="P2070"/>
      <c r="R2070" s="39">
        <v>42571</v>
      </c>
      <c r="S2070" s="37">
        <v>0.46150000000000002</v>
      </c>
    </row>
    <row r="2071" spans="6:19" ht="15" x14ac:dyDescent="0.25">
      <c r="F2071" s="39">
        <v>42578</v>
      </c>
      <c r="G2071" s="37">
        <v>1.75</v>
      </c>
      <c r="O2071"/>
      <c r="P2071"/>
      <c r="R2071" s="39">
        <v>42570</v>
      </c>
      <c r="S2071" s="37">
        <v>0.45810000000000001</v>
      </c>
    </row>
    <row r="2072" spans="6:19" ht="15" x14ac:dyDescent="0.25">
      <c r="F2072" s="39">
        <v>42577</v>
      </c>
      <c r="G2072" s="37">
        <v>1.75</v>
      </c>
      <c r="O2072"/>
      <c r="P2072"/>
      <c r="R2072" s="39">
        <v>42569</v>
      </c>
      <c r="S2072" s="37">
        <v>0.4617</v>
      </c>
    </row>
    <row r="2073" spans="6:19" ht="15" x14ac:dyDescent="0.25">
      <c r="F2073" s="39">
        <v>42576</v>
      </c>
      <c r="G2073" s="37">
        <v>1.75</v>
      </c>
      <c r="O2073"/>
      <c r="P2073"/>
      <c r="R2073" s="39">
        <v>42566</v>
      </c>
      <c r="S2073" s="37">
        <v>0.46660000000000001</v>
      </c>
    </row>
    <row r="2074" spans="6:19" ht="15" x14ac:dyDescent="0.25">
      <c r="F2074" s="39">
        <v>42573</v>
      </c>
      <c r="G2074" s="37">
        <v>1.75</v>
      </c>
      <c r="O2074"/>
      <c r="P2074"/>
      <c r="R2074" s="39">
        <v>42565</v>
      </c>
      <c r="S2074" s="37">
        <v>0.39539999999999997</v>
      </c>
    </row>
    <row r="2075" spans="6:19" ht="15" x14ac:dyDescent="0.25">
      <c r="F2075" s="39">
        <v>42572</v>
      </c>
      <c r="G2075" s="37">
        <v>1.75</v>
      </c>
      <c r="O2075"/>
      <c r="P2075"/>
      <c r="R2075" s="39">
        <v>42564</v>
      </c>
      <c r="S2075" s="37">
        <v>0.45929999999999999</v>
      </c>
    </row>
    <row r="2076" spans="6:19" ht="15" x14ac:dyDescent="0.25">
      <c r="F2076" s="39">
        <v>42571</v>
      </c>
      <c r="G2076" s="37">
        <v>1.75</v>
      </c>
      <c r="O2076"/>
      <c r="P2076"/>
      <c r="R2076" s="39">
        <v>42563</v>
      </c>
      <c r="S2076" s="37">
        <v>0.45979999999999999</v>
      </c>
    </row>
    <row r="2077" spans="6:19" ht="15" x14ac:dyDescent="0.25">
      <c r="F2077" s="39">
        <v>42570</v>
      </c>
      <c r="G2077" s="37">
        <v>1.75</v>
      </c>
      <c r="O2077"/>
      <c r="P2077"/>
      <c r="R2077" s="39">
        <v>42562</v>
      </c>
      <c r="S2077" s="37">
        <v>0.46029999999999999</v>
      </c>
    </row>
    <row r="2078" spans="6:19" ht="15" x14ac:dyDescent="0.25">
      <c r="F2078" s="39">
        <v>42569</v>
      </c>
      <c r="G2078" s="37">
        <v>1.75</v>
      </c>
      <c r="O2078"/>
      <c r="P2078"/>
      <c r="R2078" s="39">
        <v>42559</v>
      </c>
      <c r="S2078" s="37">
        <v>0.46100000000000002</v>
      </c>
    </row>
    <row r="2079" spans="6:19" ht="15" x14ac:dyDescent="0.25">
      <c r="F2079" s="39">
        <v>42566</v>
      </c>
      <c r="G2079" s="37">
        <v>1.75</v>
      </c>
      <c r="O2079"/>
      <c r="P2079"/>
      <c r="R2079" s="39">
        <v>42558</v>
      </c>
      <c r="S2079" s="37">
        <v>0.4612</v>
      </c>
    </row>
    <row r="2080" spans="6:19" ht="15" x14ac:dyDescent="0.25">
      <c r="F2080" s="39">
        <v>42565</v>
      </c>
      <c r="G2080" s="37">
        <v>1.75</v>
      </c>
      <c r="O2080"/>
      <c r="P2080"/>
      <c r="R2080" s="39">
        <v>42557</v>
      </c>
      <c r="S2080" s="37">
        <v>0.46079999999999999</v>
      </c>
    </row>
    <row r="2081" spans="6:19" ht="15" x14ac:dyDescent="0.25">
      <c r="F2081" s="39">
        <v>42564</v>
      </c>
      <c r="G2081" s="37">
        <v>1.75</v>
      </c>
      <c r="O2081"/>
      <c r="P2081"/>
      <c r="R2081" s="39">
        <v>42556</v>
      </c>
      <c r="S2081" s="37">
        <v>0.46010000000000001</v>
      </c>
    </row>
    <row r="2082" spans="6:19" ht="15" x14ac:dyDescent="0.25">
      <c r="F2082" s="39">
        <v>42563</v>
      </c>
      <c r="G2082" s="37">
        <v>1.75</v>
      </c>
      <c r="O2082"/>
      <c r="P2082"/>
      <c r="R2082" s="39">
        <v>42555</v>
      </c>
      <c r="S2082" s="37">
        <v>0.46550000000000002</v>
      </c>
    </row>
    <row r="2083" spans="6:19" ht="15" x14ac:dyDescent="0.25">
      <c r="F2083" s="39">
        <v>42562</v>
      </c>
      <c r="G2083" s="37">
        <v>1.75</v>
      </c>
      <c r="O2083"/>
      <c r="P2083"/>
      <c r="R2083" s="39">
        <v>42552</v>
      </c>
      <c r="S2083" s="37">
        <v>0.46350000000000002</v>
      </c>
    </row>
    <row r="2084" spans="6:19" ht="15" x14ac:dyDescent="0.25">
      <c r="F2084" s="39">
        <v>42559</v>
      </c>
      <c r="G2084" s="37">
        <v>1.75</v>
      </c>
      <c r="O2084"/>
      <c r="P2084"/>
      <c r="R2084" s="39">
        <v>42551</v>
      </c>
      <c r="S2084" s="37">
        <v>0.44159999999999999</v>
      </c>
    </row>
    <row r="2085" spans="6:19" ht="15" x14ac:dyDescent="0.25">
      <c r="F2085" s="39">
        <v>42558</v>
      </c>
      <c r="G2085" s="37">
        <v>1.75</v>
      </c>
      <c r="O2085"/>
      <c r="P2085"/>
      <c r="R2085" s="39">
        <v>42550</v>
      </c>
      <c r="S2085" s="37">
        <v>0.45689999999999997</v>
      </c>
    </row>
    <row r="2086" spans="6:19" ht="15" x14ac:dyDescent="0.25">
      <c r="F2086" s="39">
        <v>42557</v>
      </c>
      <c r="G2086" s="37">
        <v>1.75</v>
      </c>
      <c r="O2086"/>
      <c r="P2086"/>
      <c r="R2086" s="39">
        <v>42549</v>
      </c>
      <c r="S2086" s="37">
        <v>0.45850000000000002</v>
      </c>
    </row>
    <row r="2087" spans="6:19" ht="15" x14ac:dyDescent="0.25">
      <c r="F2087" s="39">
        <v>42556</v>
      </c>
      <c r="G2087" s="37">
        <v>1.75</v>
      </c>
      <c r="O2087"/>
      <c r="P2087"/>
      <c r="R2087" s="39">
        <v>42548</v>
      </c>
      <c r="S2087" s="37">
        <v>0.45839999999999997</v>
      </c>
    </row>
    <row r="2088" spans="6:19" ht="15" x14ac:dyDescent="0.25">
      <c r="F2088" s="39">
        <v>42555</v>
      </c>
      <c r="G2088" s="37">
        <v>1.75</v>
      </c>
      <c r="O2088"/>
      <c r="P2088"/>
      <c r="R2088" s="39">
        <v>42545</v>
      </c>
      <c r="S2088" s="37">
        <v>0.45810000000000001</v>
      </c>
    </row>
    <row r="2089" spans="6:19" ht="15" x14ac:dyDescent="0.25">
      <c r="F2089" s="39">
        <v>42552</v>
      </c>
      <c r="G2089" s="37">
        <v>1.75</v>
      </c>
      <c r="O2089"/>
      <c r="P2089"/>
      <c r="R2089" s="39">
        <v>42544</v>
      </c>
      <c r="S2089" s="37">
        <v>0.46039999999999998</v>
      </c>
    </row>
    <row r="2090" spans="6:19" ht="15" x14ac:dyDescent="0.25">
      <c r="F2090" s="39">
        <v>42551</v>
      </c>
      <c r="G2090" s="37">
        <v>1.75</v>
      </c>
      <c r="O2090"/>
      <c r="P2090"/>
      <c r="R2090" s="39">
        <v>42543</v>
      </c>
      <c r="S2090" s="37">
        <v>0.46179999999999999</v>
      </c>
    </row>
    <row r="2091" spans="6:19" ht="15" x14ac:dyDescent="0.25">
      <c r="F2091" s="39">
        <v>42550</v>
      </c>
      <c r="G2091" s="37">
        <v>1.75</v>
      </c>
      <c r="O2091"/>
      <c r="P2091"/>
      <c r="R2091" s="39">
        <v>42542</v>
      </c>
      <c r="S2091" s="37">
        <v>0.45889999999999997</v>
      </c>
    </row>
    <row r="2092" spans="6:19" ht="15" x14ac:dyDescent="0.25">
      <c r="F2092" s="39">
        <v>42549</v>
      </c>
      <c r="G2092" s="37">
        <v>1.75</v>
      </c>
      <c r="O2092"/>
      <c r="P2092"/>
      <c r="R2092" s="39">
        <v>42541</v>
      </c>
      <c r="S2092" s="37">
        <v>0.46039999999999998</v>
      </c>
    </row>
    <row r="2093" spans="6:19" ht="15" x14ac:dyDescent="0.25">
      <c r="F2093" s="39">
        <v>42548</v>
      </c>
      <c r="G2093" s="37">
        <v>1.75</v>
      </c>
      <c r="O2093"/>
      <c r="P2093"/>
      <c r="R2093" s="39">
        <v>42538</v>
      </c>
      <c r="S2093" s="37">
        <v>0.46129999999999999</v>
      </c>
    </row>
    <row r="2094" spans="6:19" ht="15" x14ac:dyDescent="0.25">
      <c r="F2094" s="39">
        <v>42545</v>
      </c>
      <c r="G2094" s="37">
        <v>1.75</v>
      </c>
      <c r="O2094"/>
      <c r="P2094"/>
      <c r="R2094" s="39">
        <v>42537</v>
      </c>
      <c r="S2094" s="37">
        <v>0.46400000000000002</v>
      </c>
    </row>
    <row r="2095" spans="6:19" ht="15" x14ac:dyDescent="0.25">
      <c r="F2095" s="39">
        <v>42544</v>
      </c>
      <c r="G2095" s="37">
        <v>1.75</v>
      </c>
      <c r="O2095"/>
      <c r="P2095"/>
      <c r="R2095" s="39">
        <v>42536</v>
      </c>
      <c r="S2095" s="37">
        <v>0.4597</v>
      </c>
    </row>
    <row r="2096" spans="6:19" ht="15" x14ac:dyDescent="0.25">
      <c r="F2096" s="39">
        <v>42543</v>
      </c>
      <c r="G2096" s="37">
        <v>1.75</v>
      </c>
      <c r="O2096"/>
      <c r="P2096"/>
      <c r="R2096" s="39">
        <v>42535</v>
      </c>
      <c r="S2096" s="37">
        <v>0.45929999999999999</v>
      </c>
    </row>
    <row r="2097" spans="6:19" ht="15" x14ac:dyDescent="0.25">
      <c r="F2097" s="39">
        <v>42542</v>
      </c>
      <c r="G2097" s="37">
        <v>1.75</v>
      </c>
      <c r="O2097"/>
      <c r="P2097"/>
      <c r="R2097" s="39">
        <v>42534</v>
      </c>
      <c r="S2097" s="37">
        <v>0.45779999999999998</v>
      </c>
    </row>
    <row r="2098" spans="6:19" ht="15" x14ac:dyDescent="0.25">
      <c r="F2098" s="39">
        <v>42541</v>
      </c>
      <c r="G2098" s="37">
        <v>1.75</v>
      </c>
      <c r="O2098"/>
      <c r="P2098"/>
      <c r="R2098" s="39">
        <v>42531</v>
      </c>
      <c r="S2098" s="37">
        <v>0.4607</v>
      </c>
    </row>
    <row r="2099" spans="6:19" ht="15" x14ac:dyDescent="0.25">
      <c r="F2099" s="39">
        <v>42538</v>
      </c>
      <c r="G2099" s="37">
        <v>1.75</v>
      </c>
      <c r="O2099"/>
      <c r="P2099"/>
      <c r="R2099" s="39">
        <v>42530</v>
      </c>
      <c r="S2099" s="37">
        <v>0.4612</v>
      </c>
    </row>
    <row r="2100" spans="6:19" ht="15" x14ac:dyDescent="0.25">
      <c r="F2100" s="39">
        <v>42537</v>
      </c>
      <c r="G2100" s="37">
        <v>1.75</v>
      </c>
      <c r="O2100"/>
      <c r="P2100"/>
      <c r="R2100" s="39">
        <v>42529</v>
      </c>
      <c r="S2100" s="37">
        <v>0.4607</v>
      </c>
    </row>
    <row r="2101" spans="6:19" ht="15" x14ac:dyDescent="0.25">
      <c r="F2101" s="39">
        <v>42536</v>
      </c>
      <c r="G2101" s="37">
        <v>1.75</v>
      </c>
      <c r="O2101"/>
      <c r="P2101"/>
      <c r="R2101" s="39">
        <v>42528</v>
      </c>
      <c r="S2101" s="37">
        <v>0.4632</v>
      </c>
    </row>
    <row r="2102" spans="6:19" ht="15" x14ac:dyDescent="0.25">
      <c r="F2102" s="39">
        <v>42535</v>
      </c>
      <c r="G2102" s="37">
        <v>1.75</v>
      </c>
      <c r="O2102"/>
      <c r="P2102"/>
      <c r="R2102" s="39">
        <v>42527</v>
      </c>
      <c r="S2102" s="37">
        <v>0.46239999999999998</v>
      </c>
    </row>
    <row r="2103" spans="6:19" ht="15" x14ac:dyDescent="0.25">
      <c r="F2103" s="39">
        <v>42531</v>
      </c>
      <c r="G2103" s="37">
        <v>1.75</v>
      </c>
      <c r="O2103"/>
      <c r="P2103"/>
      <c r="R2103" s="39">
        <v>42524</v>
      </c>
      <c r="S2103" s="37">
        <v>0.46510000000000001</v>
      </c>
    </row>
    <row r="2104" spans="6:19" ht="15" x14ac:dyDescent="0.25">
      <c r="F2104" s="39">
        <v>42530</v>
      </c>
      <c r="G2104" s="37">
        <v>1.75</v>
      </c>
      <c r="O2104"/>
      <c r="P2104"/>
      <c r="R2104" s="39">
        <v>42523</v>
      </c>
      <c r="S2104" s="37">
        <v>0.46100000000000002</v>
      </c>
    </row>
    <row r="2105" spans="6:19" ht="15" x14ac:dyDescent="0.25">
      <c r="F2105" s="39">
        <v>42529</v>
      </c>
      <c r="G2105" s="37">
        <v>1.75</v>
      </c>
      <c r="O2105"/>
      <c r="P2105"/>
      <c r="R2105" s="39">
        <v>42522</v>
      </c>
      <c r="S2105" s="37">
        <v>0.46329999999999999</v>
      </c>
    </row>
    <row r="2106" spans="6:19" ht="15" x14ac:dyDescent="0.25">
      <c r="F2106" s="39">
        <v>42528</v>
      </c>
      <c r="G2106" s="37">
        <v>1.75</v>
      </c>
      <c r="O2106"/>
      <c r="P2106"/>
      <c r="R2106" s="39">
        <v>42521</v>
      </c>
      <c r="S2106" s="37">
        <v>0.45419999999999999</v>
      </c>
    </row>
    <row r="2107" spans="6:19" ht="15" x14ac:dyDescent="0.25">
      <c r="F2107" s="39">
        <v>42527</v>
      </c>
      <c r="G2107" s="37">
        <v>1.75</v>
      </c>
      <c r="O2107"/>
      <c r="P2107"/>
      <c r="R2107" s="39">
        <v>42517</v>
      </c>
      <c r="S2107" s="37">
        <v>0.46660000000000001</v>
      </c>
    </row>
    <row r="2108" spans="6:19" ht="15" x14ac:dyDescent="0.25">
      <c r="F2108" s="39">
        <v>42524</v>
      </c>
      <c r="G2108" s="37">
        <v>1.75</v>
      </c>
      <c r="O2108"/>
      <c r="P2108"/>
      <c r="R2108" s="39">
        <v>42516</v>
      </c>
      <c r="S2108" s="37">
        <v>0.46529999999999999</v>
      </c>
    </row>
    <row r="2109" spans="6:19" ht="15" x14ac:dyDescent="0.25">
      <c r="F2109" s="39">
        <v>42523</v>
      </c>
      <c r="G2109" s="37">
        <v>1.75</v>
      </c>
      <c r="O2109"/>
      <c r="P2109"/>
      <c r="R2109" s="39">
        <v>42515</v>
      </c>
      <c r="S2109" s="37">
        <v>0.46510000000000001</v>
      </c>
    </row>
    <row r="2110" spans="6:19" ht="15" x14ac:dyDescent="0.25">
      <c r="F2110" s="39">
        <v>42522</v>
      </c>
      <c r="G2110" s="37">
        <v>1.75</v>
      </c>
      <c r="O2110"/>
      <c r="P2110"/>
      <c r="R2110" s="39">
        <v>42514</v>
      </c>
      <c r="S2110" s="37">
        <v>0.46689999999999998</v>
      </c>
    </row>
    <row r="2111" spans="6:19" ht="15" x14ac:dyDescent="0.25">
      <c r="F2111" s="39">
        <v>42521</v>
      </c>
      <c r="G2111" s="37">
        <v>1.75</v>
      </c>
      <c r="O2111"/>
      <c r="P2111"/>
      <c r="R2111" s="39">
        <v>42513</v>
      </c>
      <c r="S2111" s="37">
        <v>0.46229999999999999</v>
      </c>
    </row>
    <row r="2112" spans="6:19" ht="15" x14ac:dyDescent="0.25">
      <c r="F2112" s="39">
        <v>42520</v>
      </c>
      <c r="G2112" s="37">
        <v>1.75</v>
      </c>
      <c r="O2112"/>
      <c r="P2112"/>
      <c r="R2112" s="39">
        <v>42510</v>
      </c>
      <c r="S2112" s="37">
        <v>0.4642</v>
      </c>
    </row>
    <row r="2113" spans="6:19" ht="15" x14ac:dyDescent="0.25">
      <c r="F2113" s="39">
        <v>42517</v>
      </c>
      <c r="G2113" s="37">
        <v>1.75</v>
      </c>
      <c r="O2113"/>
      <c r="P2113"/>
      <c r="R2113" s="39">
        <v>42509</v>
      </c>
      <c r="S2113" s="37">
        <v>0.46489999999999998</v>
      </c>
    </row>
    <row r="2114" spans="6:19" ht="15" x14ac:dyDescent="0.25">
      <c r="F2114" s="39">
        <v>42516</v>
      </c>
      <c r="G2114" s="37">
        <v>1.75</v>
      </c>
      <c r="O2114"/>
      <c r="P2114"/>
      <c r="R2114" s="39">
        <v>42508</v>
      </c>
      <c r="S2114" s="37">
        <v>0.46479999999999999</v>
      </c>
    </row>
    <row r="2115" spans="6:19" ht="15" x14ac:dyDescent="0.25">
      <c r="F2115" s="39">
        <v>42515</v>
      </c>
      <c r="G2115" s="37">
        <v>1.75</v>
      </c>
      <c r="O2115"/>
      <c r="P2115"/>
      <c r="R2115" s="39">
        <v>42507</v>
      </c>
      <c r="S2115" s="37">
        <v>0.46289999999999998</v>
      </c>
    </row>
    <row r="2116" spans="6:19" ht="15" x14ac:dyDescent="0.25">
      <c r="F2116" s="39">
        <v>42514</v>
      </c>
      <c r="G2116" s="37">
        <v>1.75</v>
      </c>
      <c r="O2116"/>
      <c r="P2116"/>
      <c r="R2116" s="39">
        <v>42506</v>
      </c>
      <c r="S2116" s="37">
        <v>0.46329999999999999</v>
      </c>
    </row>
    <row r="2117" spans="6:19" ht="15" x14ac:dyDescent="0.25">
      <c r="F2117" s="39">
        <v>42513</v>
      </c>
      <c r="G2117" s="37">
        <v>1.75</v>
      </c>
      <c r="O2117"/>
      <c r="P2117"/>
      <c r="R2117" s="39">
        <v>42503</v>
      </c>
      <c r="S2117" s="37">
        <v>0.46350000000000002</v>
      </c>
    </row>
    <row r="2118" spans="6:19" ht="15" x14ac:dyDescent="0.25">
      <c r="F2118" s="39">
        <v>42510</v>
      </c>
      <c r="G2118" s="37">
        <v>1.75</v>
      </c>
      <c r="O2118"/>
      <c r="P2118"/>
      <c r="R2118" s="39">
        <v>42502</v>
      </c>
      <c r="S2118" s="37">
        <v>0.46100000000000002</v>
      </c>
    </row>
    <row r="2119" spans="6:19" ht="15" x14ac:dyDescent="0.25">
      <c r="F2119" s="39">
        <v>42509</v>
      </c>
      <c r="G2119" s="37">
        <v>1.75</v>
      </c>
      <c r="O2119"/>
      <c r="P2119"/>
      <c r="R2119" s="39">
        <v>42501</v>
      </c>
      <c r="S2119" s="37">
        <v>0.46089999999999998</v>
      </c>
    </row>
    <row r="2120" spans="6:19" ht="15" x14ac:dyDescent="0.25">
      <c r="F2120" s="39">
        <v>42508</v>
      </c>
      <c r="G2120" s="37">
        <v>1.75</v>
      </c>
      <c r="O2120"/>
      <c r="P2120"/>
      <c r="R2120" s="39">
        <v>42500</v>
      </c>
      <c r="S2120" s="37">
        <v>0.46060000000000001</v>
      </c>
    </row>
    <row r="2121" spans="6:19" ht="15" x14ac:dyDescent="0.25">
      <c r="F2121" s="39">
        <v>42507</v>
      </c>
      <c r="G2121" s="37">
        <v>1.75</v>
      </c>
      <c r="O2121"/>
      <c r="P2121"/>
      <c r="R2121" s="39">
        <v>42499</v>
      </c>
      <c r="S2121" s="37">
        <v>0.46300000000000002</v>
      </c>
    </row>
    <row r="2122" spans="6:19" ht="15" x14ac:dyDescent="0.25">
      <c r="F2122" s="39">
        <v>42506</v>
      </c>
      <c r="G2122" s="37">
        <v>1.75</v>
      </c>
      <c r="O2122"/>
      <c r="P2122"/>
      <c r="R2122" s="39">
        <v>42496</v>
      </c>
      <c r="S2122" s="37">
        <v>0.46310000000000001</v>
      </c>
    </row>
    <row r="2123" spans="6:19" ht="15" x14ac:dyDescent="0.25">
      <c r="F2123" s="39">
        <v>42503</v>
      </c>
      <c r="G2123" s="37">
        <v>1.75</v>
      </c>
      <c r="O2123"/>
      <c r="P2123"/>
      <c r="R2123" s="39">
        <v>42495</v>
      </c>
      <c r="S2123" s="37">
        <v>0.46189999999999998</v>
      </c>
    </row>
    <row r="2124" spans="6:19" ht="15" x14ac:dyDescent="0.25">
      <c r="F2124" s="39">
        <v>42502</v>
      </c>
      <c r="G2124" s="37">
        <v>1.75</v>
      </c>
      <c r="O2124"/>
      <c r="P2124"/>
      <c r="R2124" s="39">
        <v>42494</v>
      </c>
      <c r="S2124" s="37">
        <v>0.47070000000000001</v>
      </c>
    </row>
    <row r="2125" spans="6:19" ht="15" x14ac:dyDescent="0.25">
      <c r="F2125" s="39">
        <v>42501</v>
      </c>
      <c r="G2125" s="37">
        <v>1.75</v>
      </c>
      <c r="O2125"/>
      <c r="P2125"/>
      <c r="R2125" s="39">
        <v>42493</v>
      </c>
      <c r="S2125" s="37">
        <v>0.46089999999999998</v>
      </c>
    </row>
    <row r="2126" spans="6:19" ht="15" x14ac:dyDescent="0.25">
      <c r="F2126" s="39">
        <v>42500</v>
      </c>
      <c r="G2126" s="37">
        <v>1.75</v>
      </c>
      <c r="O2126"/>
      <c r="P2126"/>
      <c r="R2126" s="39">
        <v>42489</v>
      </c>
      <c r="S2126" s="37">
        <v>0.45839999999999997</v>
      </c>
    </row>
    <row r="2127" spans="6:19" ht="15" x14ac:dyDescent="0.25">
      <c r="F2127" s="39">
        <v>42499</v>
      </c>
      <c r="G2127" s="37">
        <v>1.75</v>
      </c>
      <c r="O2127"/>
      <c r="P2127"/>
      <c r="R2127" s="39">
        <v>42488</v>
      </c>
      <c r="S2127" s="37">
        <v>0.46160000000000001</v>
      </c>
    </row>
    <row r="2128" spans="6:19" ht="15" x14ac:dyDescent="0.25">
      <c r="F2128" s="39">
        <v>42496</v>
      </c>
      <c r="G2128" s="37">
        <v>1.75</v>
      </c>
      <c r="O2128"/>
      <c r="P2128"/>
      <c r="R2128" s="39">
        <v>42487</v>
      </c>
      <c r="S2128" s="37">
        <v>0.45939999999999998</v>
      </c>
    </row>
    <row r="2129" spans="6:19" ht="15" x14ac:dyDescent="0.25">
      <c r="F2129" s="39">
        <v>42495</v>
      </c>
      <c r="G2129" s="37">
        <v>1.75</v>
      </c>
      <c r="O2129"/>
      <c r="P2129"/>
      <c r="R2129" s="39">
        <v>42486</v>
      </c>
      <c r="S2129" s="37">
        <v>0.46129999999999999</v>
      </c>
    </row>
    <row r="2130" spans="6:19" ht="15" x14ac:dyDescent="0.25">
      <c r="F2130" s="39">
        <v>42494</v>
      </c>
      <c r="G2130" s="37">
        <v>1.75</v>
      </c>
      <c r="O2130"/>
      <c r="P2130"/>
      <c r="R2130" s="39">
        <v>42485</v>
      </c>
      <c r="S2130" s="37">
        <v>0.46789999999999998</v>
      </c>
    </row>
    <row r="2131" spans="6:19" ht="15" x14ac:dyDescent="0.25">
      <c r="F2131" s="39">
        <v>42493</v>
      </c>
      <c r="G2131" s="37">
        <v>2</v>
      </c>
      <c r="O2131"/>
      <c r="P2131"/>
      <c r="R2131" s="39">
        <v>42482</v>
      </c>
      <c r="S2131" s="37">
        <v>0.47110000000000002</v>
      </c>
    </row>
    <row r="2132" spans="6:19" ht="15" x14ac:dyDescent="0.25">
      <c r="F2132" s="39">
        <v>42492</v>
      </c>
      <c r="G2132" s="37">
        <v>2</v>
      </c>
      <c r="O2132"/>
      <c r="P2132"/>
      <c r="R2132" s="39">
        <v>42481</v>
      </c>
      <c r="S2132" s="37">
        <v>0.46410000000000001</v>
      </c>
    </row>
    <row r="2133" spans="6:19" ht="15" x14ac:dyDescent="0.25">
      <c r="F2133" s="39">
        <v>42489</v>
      </c>
      <c r="G2133" s="37">
        <v>2</v>
      </c>
      <c r="O2133"/>
      <c r="P2133"/>
      <c r="R2133" s="39">
        <v>42480</v>
      </c>
      <c r="S2133" s="37">
        <v>0.46460000000000001</v>
      </c>
    </row>
    <row r="2134" spans="6:19" ht="15" x14ac:dyDescent="0.25">
      <c r="F2134" s="39">
        <v>42488</v>
      </c>
      <c r="G2134" s="37">
        <v>2</v>
      </c>
      <c r="O2134"/>
      <c r="P2134"/>
      <c r="R2134" s="39">
        <v>42479</v>
      </c>
      <c r="S2134" s="37">
        <v>0.47060000000000002</v>
      </c>
    </row>
    <row r="2135" spans="6:19" ht="15" x14ac:dyDescent="0.25">
      <c r="F2135" s="39">
        <v>42487</v>
      </c>
      <c r="G2135" s="37">
        <v>2</v>
      </c>
      <c r="O2135"/>
      <c r="P2135"/>
      <c r="R2135" s="39">
        <v>42478</v>
      </c>
      <c r="S2135" s="37">
        <v>0.46989999999999998</v>
      </c>
    </row>
    <row r="2136" spans="6:19" ht="15" x14ac:dyDescent="0.25">
      <c r="F2136" s="39">
        <v>42486</v>
      </c>
      <c r="G2136" s="37">
        <v>2</v>
      </c>
      <c r="O2136"/>
      <c r="P2136"/>
      <c r="R2136" s="39">
        <v>42475</v>
      </c>
      <c r="S2136" s="37">
        <v>0.47189999999999999</v>
      </c>
    </row>
    <row r="2137" spans="6:19" ht="15" x14ac:dyDescent="0.25">
      <c r="F2137" s="39">
        <v>42482</v>
      </c>
      <c r="G2137" s="37">
        <v>2</v>
      </c>
      <c r="O2137"/>
      <c r="P2137"/>
      <c r="R2137" s="39">
        <v>42474</v>
      </c>
      <c r="S2137" s="37">
        <v>0.47170000000000001</v>
      </c>
    </row>
    <row r="2138" spans="6:19" ht="15" x14ac:dyDescent="0.25">
      <c r="F2138" s="39">
        <v>42481</v>
      </c>
      <c r="G2138" s="37">
        <v>2</v>
      </c>
      <c r="O2138"/>
      <c r="P2138"/>
      <c r="R2138" s="39">
        <v>42473</v>
      </c>
      <c r="S2138" s="37">
        <v>0.46960000000000002</v>
      </c>
    </row>
    <row r="2139" spans="6:19" ht="15" x14ac:dyDescent="0.25">
      <c r="F2139" s="39">
        <v>42480</v>
      </c>
      <c r="G2139" s="37">
        <v>2</v>
      </c>
      <c r="O2139"/>
      <c r="P2139"/>
      <c r="R2139" s="39">
        <v>42472</v>
      </c>
      <c r="S2139" s="37">
        <v>0.47220000000000001</v>
      </c>
    </row>
    <row r="2140" spans="6:19" ht="15" x14ac:dyDescent="0.25">
      <c r="F2140" s="39">
        <v>42479</v>
      </c>
      <c r="G2140" s="37">
        <v>2</v>
      </c>
      <c r="O2140"/>
      <c r="P2140"/>
      <c r="R2140" s="39">
        <v>42471</v>
      </c>
      <c r="S2140" s="37">
        <v>0.46650000000000003</v>
      </c>
    </row>
    <row r="2141" spans="6:19" ht="15" x14ac:dyDescent="0.25">
      <c r="F2141" s="39">
        <v>42478</v>
      </c>
      <c r="G2141" s="37">
        <v>2</v>
      </c>
      <c r="O2141"/>
      <c r="P2141"/>
      <c r="R2141" s="39">
        <v>42468</v>
      </c>
      <c r="S2141" s="37">
        <v>0.46600000000000003</v>
      </c>
    </row>
    <row r="2142" spans="6:19" ht="15" x14ac:dyDescent="0.25">
      <c r="F2142" s="39">
        <v>42475</v>
      </c>
      <c r="G2142" s="37">
        <v>2</v>
      </c>
      <c r="O2142"/>
      <c r="P2142"/>
      <c r="R2142" s="39">
        <v>42467</v>
      </c>
      <c r="S2142" s="37">
        <v>0.46429999999999999</v>
      </c>
    </row>
    <row r="2143" spans="6:19" ht="15" x14ac:dyDescent="0.25">
      <c r="F2143" s="39">
        <v>42474</v>
      </c>
      <c r="G2143" s="37">
        <v>2</v>
      </c>
      <c r="O2143"/>
      <c r="P2143"/>
      <c r="R2143" s="39">
        <v>42466</v>
      </c>
      <c r="S2143" s="37">
        <v>0.46660000000000001</v>
      </c>
    </row>
    <row r="2144" spans="6:19" ht="15" x14ac:dyDescent="0.25">
      <c r="F2144" s="39">
        <v>42473</v>
      </c>
      <c r="G2144" s="37">
        <v>2</v>
      </c>
      <c r="O2144"/>
      <c r="P2144"/>
      <c r="R2144" s="39">
        <v>42465</v>
      </c>
      <c r="S2144" s="37">
        <v>0.46689999999999998</v>
      </c>
    </row>
    <row r="2145" spans="6:19" ht="15" x14ac:dyDescent="0.25">
      <c r="F2145" s="39">
        <v>42472</v>
      </c>
      <c r="G2145" s="37">
        <v>2</v>
      </c>
      <c r="O2145"/>
      <c r="P2145"/>
      <c r="R2145" s="39">
        <v>42464</v>
      </c>
      <c r="S2145" s="37">
        <v>0.4632</v>
      </c>
    </row>
    <row r="2146" spans="6:19" ht="15" x14ac:dyDescent="0.25">
      <c r="F2146" s="39">
        <v>42471</v>
      </c>
      <c r="G2146" s="37">
        <v>2</v>
      </c>
      <c r="O2146"/>
      <c r="P2146"/>
      <c r="R2146" s="39">
        <v>42461</v>
      </c>
      <c r="S2146" s="37">
        <v>0.46510000000000001</v>
      </c>
    </row>
    <row r="2147" spans="6:19" ht="15" x14ac:dyDescent="0.25">
      <c r="F2147" s="39">
        <v>42468</v>
      </c>
      <c r="G2147" s="37">
        <v>2</v>
      </c>
      <c r="O2147"/>
      <c r="P2147"/>
      <c r="R2147" s="39">
        <v>42460</v>
      </c>
      <c r="S2147" s="37">
        <v>0.4128</v>
      </c>
    </row>
    <row r="2148" spans="6:19" ht="15" x14ac:dyDescent="0.25">
      <c r="F2148" s="39">
        <v>42467</v>
      </c>
      <c r="G2148" s="37">
        <v>2</v>
      </c>
      <c r="O2148"/>
      <c r="P2148"/>
      <c r="R2148" s="39">
        <v>42459</v>
      </c>
      <c r="S2148" s="37">
        <v>0.46379999999999999</v>
      </c>
    </row>
    <row r="2149" spans="6:19" ht="15" x14ac:dyDescent="0.25">
      <c r="F2149" s="39">
        <v>42466</v>
      </c>
      <c r="G2149" s="37">
        <v>2</v>
      </c>
      <c r="O2149"/>
      <c r="P2149"/>
      <c r="R2149" s="39">
        <v>42458</v>
      </c>
      <c r="S2149" s="37">
        <v>0.46560000000000001</v>
      </c>
    </row>
    <row r="2150" spans="6:19" ht="15" x14ac:dyDescent="0.25">
      <c r="F2150" s="39">
        <v>42465</v>
      </c>
      <c r="G2150" s="37">
        <v>2</v>
      </c>
      <c r="O2150"/>
      <c r="P2150"/>
      <c r="R2150" s="39">
        <v>42453</v>
      </c>
      <c r="S2150" s="37">
        <v>0.46789999999999998</v>
      </c>
    </row>
    <row r="2151" spans="6:19" ht="15" x14ac:dyDescent="0.25">
      <c r="F2151" s="39">
        <v>42464</v>
      </c>
      <c r="G2151" s="37">
        <v>2</v>
      </c>
      <c r="O2151"/>
      <c r="P2151"/>
      <c r="R2151" s="39">
        <v>42452</v>
      </c>
      <c r="S2151" s="37">
        <v>0.46939999999999998</v>
      </c>
    </row>
    <row r="2152" spans="6:19" ht="15" x14ac:dyDescent="0.25">
      <c r="F2152" s="39">
        <v>42461</v>
      </c>
      <c r="G2152" s="37">
        <v>2</v>
      </c>
      <c r="O2152"/>
      <c r="P2152"/>
      <c r="R2152" s="39">
        <v>42451</v>
      </c>
      <c r="S2152" s="37">
        <v>0.46400000000000002</v>
      </c>
    </row>
    <row r="2153" spans="6:19" ht="15" x14ac:dyDescent="0.25">
      <c r="F2153" s="39">
        <v>42460</v>
      </c>
      <c r="G2153" s="37">
        <v>2</v>
      </c>
      <c r="O2153"/>
      <c r="P2153"/>
      <c r="R2153" s="39">
        <v>42450</v>
      </c>
      <c r="S2153" s="37">
        <v>0.46850000000000003</v>
      </c>
    </row>
    <row r="2154" spans="6:19" ht="15" x14ac:dyDescent="0.25">
      <c r="F2154" s="39">
        <v>42459</v>
      </c>
      <c r="G2154" s="37">
        <v>2</v>
      </c>
      <c r="O2154"/>
      <c r="P2154"/>
      <c r="R2154" s="39">
        <v>42447</v>
      </c>
      <c r="S2154" s="37">
        <v>0.46639999999999998</v>
      </c>
    </row>
    <row r="2155" spans="6:19" ht="15" x14ac:dyDescent="0.25">
      <c r="F2155" s="39">
        <v>42458</v>
      </c>
      <c r="G2155" s="37">
        <v>2</v>
      </c>
      <c r="O2155"/>
      <c r="P2155"/>
      <c r="R2155" s="39">
        <v>42446</v>
      </c>
      <c r="S2155" s="37">
        <v>0.46360000000000001</v>
      </c>
    </row>
    <row r="2156" spans="6:19" ht="15" x14ac:dyDescent="0.25">
      <c r="F2156" s="39">
        <v>42453</v>
      </c>
      <c r="G2156" s="37">
        <v>2</v>
      </c>
      <c r="O2156"/>
      <c r="P2156"/>
      <c r="R2156" s="39">
        <v>42445</v>
      </c>
      <c r="S2156" s="37">
        <v>0.46700000000000003</v>
      </c>
    </row>
    <row r="2157" spans="6:19" ht="15" x14ac:dyDescent="0.25">
      <c r="F2157" s="39">
        <v>42452</v>
      </c>
      <c r="G2157" s="37">
        <v>2</v>
      </c>
      <c r="O2157"/>
      <c r="P2157"/>
      <c r="R2157" s="39">
        <v>42444</v>
      </c>
      <c r="S2157" s="37">
        <v>0.46600000000000003</v>
      </c>
    </row>
    <row r="2158" spans="6:19" ht="15" x14ac:dyDescent="0.25">
      <c r="F2158" s="39">
        <v>42451</v>
      </c>
      <c r="G2158" s="37">
        <v>2</v>
      </c>
      <c r="O2158"/>
      <c r="P2158"/>
      <c r="R2158" s="39">
        <v>42443</v>
      </c>
      <c r="S2158" s="37">
        <v>0.46889999999999998</v>
      </c>
    </row>
    <row r="2159" spans="6:19" ht="15" x14ac:dyDescent="0.25">
      <c r="F2159" s="39">
        <v>42450</v>
      </c>
      <c r="G2159" s="37">
        <v>2</v>
      </c>
      <c r="O2159"/>
      <c r="P2159"/>
      <c r="R2159" s="39">
        <v>42440</v>
      </c>
      <c r="S2159" s="37">
        <v>0.47199999999999998</v>
      </c>
    </row>
    <row r="2160" spans="6:19" ht="15" x14ac:dyDescent="0.25">
      <c r="F2160" s="39">
        <v>42447</v>
      </c>
      <c r="G2160" s="37">
        <v>2</v>
      </c>
      <c r="O2160"/>
      <c r="P2160"/>
      <c r="R2160" s="39">
        <v>42439</v>
      </c>
      <c r="S2160" s="37">
        <v>0.46810000000000002</v>
      </c>
    </row>
    <row r="2161" spans="6:19" ht="15" x14ac:dyDescent="0.25">
      <c r="F2161" s="39">
        <v>42446</v>
      </c>
      <c r="G2161" s="37">
        <v>2</v>
      </c>
      <c r="O2161"/>
      <c r="P2161"/>
      <c r="R2161" s="39">
        <v>42438</v>
      </c>
      <c r="S2161" s="37">
        <v>0.46650000000000003</v>
      </c>
    </row>
    <row r="2162" spans="6:19" ht="15" x14ac:dyDescent="0.25">
      <c r="F2162" s="39">
        <v>42445</v>
      </c>
      <c r="G2162" s="37">
        <v>2</v>
      </c>
      <c r="O2162"/>
      <c r="P2162"/>
      <c r="R2162" s="39">
        <v>42437</v>
      </c>
      <c r="S2162" s="37">
        <v>0.46660000000000001</v>
      </c>
    </row>
    <row r="2163" spans="6:19" ht="15" x14ac:dyDescent="0.25">
      <c r="F2163" s="39">
        <v>42444</v>
      </c>
      <c r="G2163" s="37">
        <v>2</v>
      </c>
      <c r="O2163"/>
      <c r="P2163"/>
      <c r="R2163" s="39">
        <v>42436</v>
      </c>
      <c r="S2163" s="37">
        <v>0.46879999999999999</v>
      </c>
    </row>
    <row r="2164" spans="6:19" ht="15" x14ac:dyDescent="0.25">
      <c r="F2164" s="39">
        <v>42443</v>
      </c>
      <c r="G2164" s="37">
        <v>2</v>
      </c>
      <c r="O2164"/>
      <c r="P2164"/>
      <c r="R2164" s="39">
        <v>42433</v>
      </c>
      <c r="S2164" s="37">
        <v>0.47120000000000001</v>
      </c>
    </row>
    <row r="2165" spans="6:19" ht="15" x14ac:dyDescent="0.25">
      <c r="F2165" s="39">
        <v>42440</v>
      </c>
      <c r="G2165" s="37">
        <v>2</v>
      </c>
      <c r="O2165"/>
      <c r="P2165"/>
      <c r="R2165" s="39">
        <v>42432</v>
      </c>
      <c r="S2165" s="37">
        <v>0.46660000000000001</v>
      </c>
    </row>
    <row r="2166" spans="6:19" ht="15" x14ac:dyDescent="0.25">
      <c r="F2166" s="39">
        <v>42439</v>
      </c>
      <c r="G2166" s="37">
        <v>2</v>
      </c>
      <c r="O2166"/>
      <c r="P2166"/>
      <c r="R2166" s="39">
        <v>42431</v>
      </c>
      <c r="S2166" s="37">
        <v>0.46600000000000003</v>
      </c>
    </row>
    <row r="2167" spans="6:19" ht="15" x14ac:dyDescent="0.25">
      <c r="F2167" s="39">
        <v>42438</v>
      </c>
      <c r="G2167" s="37">
        <v>2</v>
      </c>
      <c r="O2167"/>
      <c r="P2167"/>
      <c r="R2167" s="39">
        <v>42430</v>
      </c>
      <c r="S2167" s="37">
        <v>0.4672</v>
      </c>
    </row>
    <row r="2168" spans="6:19" ht="15" x14ac:dyDescent="0.25">
      <c r="F2168" s="39">
        <v>42437</v>
      </c>
      <c r="G2168" s="37">
        <v>2</v>
      </c>
      <c r="O2168"/>
      <c r="P2168"/>
      <c r="R2168" s="39">
        <v>42429</v>
      </c>
      <c r="S2168" s="37">
        <v>0.45450000000000002</v>
      </c>
    </row>
    <row r="2169" spans="6:19" ht="15" x14ac:dyDescent="0.25">
      <c r="F2169" s="39">
        <v>42436</v>
      </c>
      <c r="G2169" s="37">
        <v>2</v>
      </c>
      <c r="O2169"/>
      <c r="P2169"/>
      <c r="R2169" s="39">
        <v>42426</v>
      </c>
      <c r="S2169" s="37">
        <v>0.4728</v>
      </c>
    </row>
    <row r="2170" spans="6:19" ht="15" x14ac:dyDescent="0.25">
      <c r="F2170" s="39">
        <v>42433</v>
      </c>
      <c r="G2170" s="37">
        <v>2</v>
      </c>
      <c r="O2170"/>
      <c r="P2170"/>
      <c r="R2170" s="39">
        <v>42425</v>
      </c>
      <c r="S2170" s="37">
        <v>0.4632</v>
      </c>
    </row>
    <row r="2171" spans="6:19" ht="15" x14ac:dyDescent="0.25">
      <c r="F2171" s="39">
        <v>42432</v>
      </c>
      <c r="G2171" s="37">
        <v>2</v>
      </c>
      <c r="O2171"/>
      <c r="P2171"/>
      <c r="R2171" s="39">
        <v>42424</v>
      </c>
      <c r="S2171" s="37">
        <v>0.4637</v>
      </c>
    </row>
    <row r="2172" spans="6:19" ht="15" x14ac:dyDescent="0.25">
      <c r="F2172" s="39">
        <v>42431</v>
      </c>
      <c r="G2172" s="37">
        <v>2</v>
      </c>
      <c r="O2172"/>
      <c r="P2172"/>
      <c r="R2172" s="39">
        <v>42423</v>
      </c>
      <c r="S2172" s="37">
        <v>0.46079999999999999</v>
      </c>
    </row>
    <row r="2173" spans="6:19" ht="15" x14ac:dyDescent="0.25">
      <c r="F2173" s="39">
        <v>42430</v>
      </c>
      <c r="G2173" s="37">
        <v>2</v>
      </c>
      <c r="O2173"/>
      <c r="P2173"/>
      <c r="R2173" s="39">
        <v>42422</v>
      </c>
      <c r="S2173" s="37">
        <v>0.46679999999999999</v>
      </c>
    </row>
    <row r="2174" spans="6:19" ht="15" x14ac:dyDescent="0.25">
      <c r="F2174" s="39">
        <v>42429</v>
      </c>
      <c r="G2174" s="37">
        <v>2</v>
      </c>
      <c r="O2174"/>
      <c r="P2174"/>
      <c r="R2174" s="39">
        <v>42419</v>
      </c>
      <c r="S2174" s="37">
        <v>0.46239999999999998</v>
      </c>
    </row>
    <row r="2175" spans="6:19" ht="15" x14ac:dyDescent="0.25">
      <c r="F2175" s="39">
        <v>42426</v>
      </c>
      <c r="G2175" s="37">
        <v>2</v>
      </c>
      <c r="O2175"/>
      <c r="P2175"/>
      <c r="R2175" s="39">
        <v>42418</v>
      </c>
      <c r="S2175" s="37">
        <v>0.46179999999999999</v>
      </c>
    </row>
    <row r="2176" spans="6:19" ht="15" x14ac:dyDescent="0.25">
      <c r="F2176" s="39">
        <v>42425</v>
      </c>
      <c r="G2176" s="37">
        <v>2</v>
      </c>
      <c r="O2176"/>
      <c r="P2176"/>
      <c r="R2176" s="39">
        <v>42417</v>
      </c>
      <c r="S2176" s="37">
        <v>0.4627</v>
      </c>
    </row>
    <row r="2177" spans="6:19" ht="15" x14ac:dyDescent="0.25">
      <c r="F2177" s="39">
        <v>42424</v>
      </c>
      <c r="G2177" s="37">
        <v>2</v>
      </c>
      <c r="O2177"/>
      <c r="P2177"/>
      <c r="R2177" s="39">
        <v>42416</v>
      </c>
      <c r="S2177" s="37">
        <v>0.47199999999999998</v>
      </c>
    </row>
    <row r="2178" spans="6:19" ht="15" x14ac:dyDescent="0.25">
      <c r="F2178" s="39">
        <v>42423</v>
      </c>
      <c r="G2178" s="37">
        <v>2</v>
      </c>
      <c r="O2178"/>
      <c r="P2178"/>
      <c r="R2178" s="39">
        <v>42415</v>
      </c>
      <c r="S2178" s="37">
        <v>0.46689999999999998</v>
      </c>
    </row>
    <row r="2179" spans="6:19" ht="15" x14ac:dyDescent="0.25">
      <c r="F2179" s="39">
        <v>42422</v>
      </c>
      <c r="G2179" s="37">
        <v>2</v>
      </c>
      <c r="O2179"/>
      <c r="P2179"/>
      <c r="R2179" s="39">
        <v>42412</v>
      </c>
      <c r="S2179" s="37">
        <v>0.46779999999999999</v>
      </c>
    </row>
    <row r="2180" spans="6:19" ht="15" x14ac:dyDescent="0.25">
      <c r="F2180" s="39">
        <v>42419</v>
      </c>
      <c r="G2180" s="37">
        <v>2</v>
      </c>
      <c r="O2180"/>
      <c r="P2180"/>
      <c r="R2180" s="39">
        <v>42411</v>
      </c>
      <c r="S2180" s="37">
        <v>0.46700000000000003</v>
      </c>
    </row>
    <row r="2181" spans="6:19" ht="15" x14ac:dyDescent="0.25">
      <c r="F2181" s="39">
        <v>42418</v>
      </c>
      <c r="G2181" s="37">
        <v>2</v>
      </c>
      <c r="O2181"/>
      <c r="P2181"/>
      <c r="R2181" s="39">
        <v>42410</v>
      </c>
      <c r="S2181" s="37">
        <v>0.46660000000000001</v>
      </c>
    </row>
    <row r="2182" spans="6:19" ht="15" x14ac:dyDescent="0.25">
      <c r="F2182" s="39">
        <v>42417</v>
      </c>
      <c r="G2182" s="37">
        <v>2</v>
      </c>
      <c r="O2182"/>
      <c r="P2182"/>
      <c r="R2182" s="39">
        <v>42409</v>
      </c>
      <c r="S2182" s="37">
        <v>0.46710000000000002</v>
      </c>
    </row>
    <row r="2183" spans="6:19" ht="15" x14ac:dyDescent="0.25">
      <c r="F2183" s="39">
        <v>42416</v>
      </c>
      <c r="G2183" s="37">
        <v>2</v>
      </c>
      <c r="O2183"/>
      <c r="P2183"/>
      <c r="R2183" s="39">
        <v>42408</v>
      </c>
      <c r="S2183" s="37">
        <v>0.46739999999999998</v>
      </c>
    </row>
    <row r="2184" spans="6:19" ht="15" x14ac:dyDescent="0.25">
      <c r="F2184" s="39">
        <v>42415</v>
      </c>
      <c r="G2184" s="37">
        <v>2</v>
      </c>
      <c r="O2184"/>
      <c r="P2184"/>
      <c r="R2184" s="39">
        <v>42405</v>
      </c>
      <c r="S2184" s="37">
        <v>0.4672</v>
      </c>
    </row>
    <row r="2185" spans="6:19" ht="15" x14ac:dyDescent="0.25">
      <c r="F2185" s="39">
        <v>42412</v>
      </c>
      <c r="G2185" s="37">
        <v>2</v>
      </c>
      <c r="O2185"/>
      <c r="P2185"/>
      <c r="R2185" s="39">
        <v>42404</v>
      </c>
      <c r="S2185" s="37">
        <v>0.46860000000000002</v>
      </c>
    </row>
    <row r="2186" spans="6:19" ht="15" x14ac:dyDescent="0.25">
      <c r="F2186" s="39">
        <v>42411</v>
      </c>
      <c r="G2186" s="37">
        <v>2</v>
      </c>
      <c r="O2186"/>
      <c r="P2186"/>
      <c r="R2186" s="39">
        <v>42403</v>
      </c>
      <c r="S2186" s="37">
        <v>0.46710000000000002</v>
      </c>
    </row>
    <row r="2187" spans="6:19" ht="15" x14ac:dyDescent="0.25">
      <c r="F2187" s="39">
        <v>42410</v>
      </c>
      <c r="G2187" s="37">
        <v>2</v>
      </c>
      <c r="O2187"/>
      <c r="P2187"/>
      <c r="R2187" s="39">
        <v>42402</v>
      </c>
      <c r="S2187" s="37">
        <v>0.46629999999999999</v>
      </c>
    </row>
    <row r="2188" spans="6:19" ht="15" x14ac:dyDescent="0.25">
      <c r="F2188" s="39">
        <v>42409</v>
      </c>
      <c r="G2188" s="37">
        <v>2</v>
      </c>
      <c r="O2188"/>
      <c r="P2188"/>
      <c r="R2188" s="39">
        <v>42401</v>
      </c>
      <c r="S2188" s="37">
        <v>0.46600000000000003</v>
      </c>
    </row>
    <row r="2189" spans="6:19" ht="15" x14ac:dyDescent="0.25">
      <c r="F2189" s="39">
        <v>42408</v>
      </c>
      <c r="G2189" s="37">
        <v>2</v>
      </c>
      <c r="O2189"/>
      <c r="P2189"/>
      <c r="R2189" s="39">
        <v>42398</v>
      </c>
      <c r="S2189" s="37">
        <v>0.45169999999999999</v>
      </c>
    </row>
    <row r="2190" spans="6:19" ht="15" x14ac:dyDescent="0.25">
      <c r="F2190" s="39">
        <v>42405</v>
      </c>
      <c r="G2190" s="37">
        <v>2</v>
      </c>
      <c r="O2190"/>
      <c r="P2190"/>
      <c r="R2190" s="39">
        <v>42397</v>
      </c>
      <c r="S2190" s="37">
        <v>0.46679999999999999</v>
      </c>
    </row>
    <row r="2191" spans="6:19" ht="15" x14ac:dyDescent="0.25">
      <c r="F2191" s="39">
        <v>42404</v>
      </c>
      <c r="G2191" s="37">
        <v>2</v>
      </c>
      <c r="O2191"/>
      <c r="P2191"/>
      <c r="R2191" s="39">
        <v>42396</v>
      </c>
      <c r="S2191" s="37">
        <v>0.46800000000000003</v>
      </c>
    </row>
    <row r="2192" spans="6:19" ht="15" x14ac:dyDescent="0.25">
      <c r="F2192" s="39">
        <v>42403</v>
      </c>
      <c r="G2192" s="37">
        <v>2</v>
      </c>
      <c r="O2192"/>
      <c r="P2192"/>
      <c r="R2192" s="39">
        <v>42395</v>
      </c>
      <c r="S2192" s="37">
        <v>0.46689999999999998</v>
      </c>
    </row>
    <row r="2193" spans="6:19" ht="15" x14ac:dyDescent="0.25">
      <c r="F2193" s="39">
        <v>42402</v>
      </c>
      <c r="G2193" s="37">
        <v>2</v>
      </c>
      <c r="O2193"/>
      <c r="P2193"/>
      <c r="R2193" s="39">
        <v>42394</v>
      </c>
      <c r="S2193" s="37">
        <v>0.47199999999999998</v>
      </c>
    </row>
    <row r="2194" spans="6:19" ht="15" x14ac:dyDescent="0.25">
      <c r="F2194" s="39">
        <v>42401</v>
      </c>
      <c r="G2194" s="37">
        <v>2</v>
      </c>
      <c r="O2194"/>
      <c r="P2194"/>
      <c r="R2194" s="39">
        <v>42391</v>
      </c>
      <c r="S2194" s="37">
        <v>0.47160000000000002</v>
      </c>
    </row>
    <row r="2195" spans="6:19" ht="15" x14ac:dyDescent="0.25">
      <c r="F2195" s="39">
        <v>42398</v>
      </c>
      <c r="G2195" s="37">
        <v>2</v>
      </c>
      <c r="O2195"/>
      <c r="P2195"/>
      <c r="R2195" s="39">
        <v>42390</v>
      </c>
      <c r="S2195" s="37">
        <v>0.46929999999999999</v>
      </c>
    </row>
    <row r="2196" spans="6:19" ht="15" x14ac:dyDescent="0.25">
      <c r="F2196" s="39">
        <v>42397</v>
      </c>
      <c r="G2196" s="37">
        <v>2</v>
      </c>
      <c r="O2196"/>
      <c r="P2196"/>
      <c r="R2196" s="39">
        <v>42389</v>
      </c>
      <c r="S2196" s="37">
        <v>0.46379999999999999</v>
      </c>
    </row>
    <row r="2197" spans="6:19" ht="15" x14ac:dyDescent="0.25">
      <c r="F2197" s="39">
        <v>42396</v>
      </c>
      <c r="G2197" s="37">
        <v>2</v>
      </c>
      <c r="O2197"/>
      <c r="P2197"/>
      <c r="R2197" s="39">
        <v>42388</v>
      </c>
      <c r="S2197" s="37">
        <v>0.4632</v>
      </c>
    </row>
    <row r="2198" spans="6:19" ht="15" x14ac:dyDescent="0.25">
      <c r="F2198" s="39">
        <v>42394</v>
      </c>
      <c r="G2198" s="37">
        <v>2</v>
      </c>
      <c r="O2198"/>
      <c r="P2198"/>
      <c r="R2198" s="39">
        <v>42387</v>
      </c>
      <c r="S2198" s="37">
        <v>0.46439999999999998</v>
      </c>
    </row>
    <row r="2199" spans="6:19" ht="15" x14ac:dyDescent="0.25">
      <c r="F2199" s="39">
        <v>42391</v>
      </c>
      <c r="G2199" s="37">
        <v>2</v>
      </c>
      <c r="O2199"/>
      <c r="P2199"/>
      <c r="R2199" s="39">
        <v>42384</v>
      </c>
      <c r="S2199" s="37">
        <v>0.46800000000000003</v>
      </c>
    </row>
    <row r="2200" spans="6:19" ht="15" x14ac:dyDescent="0.25">
      <c r="F2200" s="39">
        <v>42390</v>
      </c>
      <c r="G2200" s="37">
        <v>2</v>
      </c>
      <c r="O2200"/>
      <c r="P2200"/>
      <c r="R2200" s="39">
        <v>42383</v>
      </c>
      <c r="S2200" s="37">
        <v>0.46350000000000002</v>
      </c>
    </row>
    <row r="2201" spans="6:19" ht="15" x14ac:dyDescent="0.25">
      <c r="F2201" s="39">
        <v>42389</v>
      </c>
      <c r="G2201" s="37">
        <v>2</v>
      </c>
      <c r="O2201"/>
      <c r="P2201"/>
      <c r="R2201" s="39">
        <v>42382</v>
      </c>
      <c r="S2201" s="37">
        <v>0.46360000000000001</v>
      </c>
    </row>
    <row r="2202" spans="6:19" ht="15" x14ac:dyDescent="0.25">
      <c r="F2202" s="39">
        <v>42388</v>
      </c>
      <c r="G2202" s="37">
        <v>2</v>
      </c>
      <c r="O2202"/>
      <c r="P2202"/>
      <c r="R2202" s="39">
        <v>42381</v>
      </c>
      <c r="S2202" s="37">
        <v>0.46360000000000001</v>
      </c>
    </row>
    <row r="2203" spans="6:19" ht="15" x14ac:dyDescent="0.25">
      <c r="F2203" s="39">
        <v>42387</v>
      </c>
      <c r="G2203" s="37">
        <v>2</v>
      </c>
      <c r="O2203"/>
      <c r="P2203"/>
      <c r="R2203" s="39">
        <v>42380</v>
      </c>
      <c r="S2203" s="37">
        <v>0.46379999999999999</v>
      </c>
    </row>
    <row r="2204" spans="6:19" ht="15" x14ac:dyDescent="0.25">
      <c r="F2204" s="39">
        <v>42384</v>
      </c>
      <c r="G2204" s="37">
        <v>2</v>
      </c>
      <c r="O2204"/>
      <c r="P2204"/>
      <c r="R2204" s="39">
        <v>42377</v>
      </c>
      <c r="S2204" s="37">
        <v>0.46600000000000003</v>
      </c>
    </row>
    <row r="2205" spans="6:19" ht="15" x14ac:dyDescent="0.25">
      <c r="F2205" s="39">
        <v>42383</v>
      </c>
      <c r="G2205" s="37">
        <v>2</v>
      </c>
      <c r="O2205"/>
      <c r="P2205"/>
      <c r="R2205" s="39">
        <v>42376</v>
      </c>
      <c r="S2205" s="37">
        <v>0.46679999999999999</v>
      </c>
    </row>
    <row r="2206" spans="6:19" ht="15" x14ac:dyDescent="0.25">
      <c r="F2206" s="39">
        <v>42382</v>
      </c>
      <c r="G2206" s="37">
        <v>2</v>
      </c>
      <c r="O2206"/>
      <c r="P2206"/>
      <c r="R2206" s="39">
        <v>42375</v>
      </c>
      <c r="S2206" s="37">
        <v>0.47170000000000001</v>
      </c>
    </row>
    <row r="2207" spans="6:19" ht="15" x14ac:dyDescent="0.25">
      <c r="F2207" s="39">
        <v>42381</v>
      </c>
      <c r="G2207" s="37">
        <v>2</v>
      </c>
      <c r="O2207"/>
      <c r="P2207"/>
      <c r="R2207" s="39">
        <v>42374</v>
      </c>
      <c r="S2207" s="37">
        <v>0.46760000000000002</v>
      </c>
    </row>
    <row r="2208" spans="6:19" ht="15" x14ac:dyDescent="0.25">
      <c r="F2208" s="39">
        <v>42380</v>
      </c>
      <c r="G2208" s="37">
        <v>2</v>
      </c>
      <c r="O2208"/>
      <c r="P2208"/>
      <c r="R2208" s="39">
        <v>42373</v>
      </c>
      <c r="S2208" s="37">
        <v>0.46479999999999999</v>
      </c>
    </row>
    <row r="2209" spans="6:19" ht="15" x14ac:dyDescent="0.25">
      <c r="F2209" s="39">
        <v>42377</v>
      </c>
      <c r="G2209" s="37">
        <v>2</v>
      </c>
      <c r="O2209"/>
      <c r="P2209"/>
      <c r="R2209" s="39">
        <v>42369</v>
      </c>
      <c r="S2209" s="37">
        <v>0.34749999999999998</v>
      </c>
    </row>
    <row r="2210" spans="6:19" ht="15" x14ac:dyDescent="0.25">
      <c r="F2210" s="39">
        <v>42376</v>
      </c>
      <c r="G2210" s="37">
        <v>2</v>
      </c>
      <c r="O2210"/>
      <c r="P2210"/>
      <c r="R2210" s="39">
        <v>42368</v>
      </c>
      <c r="S2210" s="37">
        <v>0.46179999999999999</v>
      </c>
    </row>
    <row r="2211" spans="6:19" ht="15" x14ac:dyDescent="0.25">
      <c r="F2211" s="39">
        <v>42375</v>
      </c>
      <c r="G2211" s="37">
        <v>2</v>
      </c>
      <c r="O2211"/>
      <c r="P2211"/>
      <c r="R2211" s="39">
        <v>42367</v>
      </c>
      <c r="S2211" s="37">
        <v>0.46179999999999999</v>
      </c>
    </row>
    <row r="2212" spans="6:19" ht="15" x14ac:dyDescent="0.25">
      <c r="F2212" s="39">
        <v>42374</v>
      </c>
      <c r="G2212" s="37">
        <v>2</v>
      </c>
      <c r="O2212"/>
      <c r="P2212"/>
      <c r="R2212" s="39">
        <v>42362</v>
      </c>
      <c r="S2212" s="37">
        <v>0.46039999999999998</v>
      </c>
    </row>
    <row r="2213" spans="6:19" ht="15" x14ac:dyDescent="0.25">
      <c r="F2213" s="39">
        <v>42373</v>
      </c>
      <c r="G2213" s="37">
        <v>2</v>
      </c>
      <c r="O2213"/>
      <c r="P2213"/>
      <c r="R2213" s="39">
        <v>42361</v>
      </c>
      <c r="S2213" s="37">
        <v>0.4607</v>
      </c>
    </row>
    <row r="2214" spans="6:19" ht="15" x14ac:dyDescent="0.25">
      <c r="F2214" s="39">
        <v>42369</v>
      </c>
      <c r="G2214" s="37">
        <v>2</v>
      </c>
      <c r="O2214"/>
      <c r="P2214"/>
      <c r="R2214" s="39">
        <v>42360</v>
      </c>
      <c r="S2214" s="37">
        <v>0.4617</v>
      </c>
    </row>
    <row r="2215" spans="6:19" ht="15" x14ac:dyDescent="0.25">
      <c r="F2215" s="39">
        <v>42368</v>
      </c>
      <c r="G2215" s="37">
        <v>2</v>
      </c>
      <c r="O2215"/>
      <c r="P2215"/>
      <c r="R2215" s="39">
        <v>42359</v>
      </c>
      <c r="S2215" s="37">
        <v>0.46189999999999998</v>
      </c>
    </row>
    <row r="2216" spans="6:19" ht="15" x14ac:dyDescent="0.25">
      <c r="F2216" s="39">
        <v>42367</v>
      </c>
      <c r="G2216" s="37">
        <v>2</v>
      </c>
      <c r="O2216"/>
      <c r="P2216"/>
      <c r="R2216" s="39">
        <v>42356</v>
      </c>
      <c r="S2216" s="37">
        <v>0.46729999999999999</v>
      </c>
    </row>
    <row r="2217" spans="6:19" ht="15" x14ac:dyDescent="0.25">
      <c r="F2217" s="39">
        <v>42362</v>
      </c>
      <c r="G2217" s="37">
        <v>2</v>
      </c>
      <c r="O2217"/>
      <c r="P2217"/>
      <c r="R2217" s="39">
        <v>42355</v>
      </c>
      <c r="S2217" s="37">
        <v>0.46289999999999998</v>
      </c>
    </row>
    <row r="2218" spans="6:19" ht="15" x14ac:dyDescent="0.25">
      <c r="F2218" s="39">
        <v>42361</v>
      </c>
      <c r="G2218" s="37">
        <v>2</v>
      </c>
      <c r="O2218"/>
      <c r="P2218"/>
      <c r="R2218" s="39">
        <v>42354</v>
      </c>
      <c r="S2218" s="37">
        <v>0.46439999999999998</v>
      </c>
    </row>
    <row r="2219" spans="6:19" ht="15" x14ac:dyDescent="0.25">
      <c r="F2219" s="39">
        <v>42360</v>
      </c>
      <c r="G2219" s="37">
        <v>2</v>
      </c>
      <c r="O2219"/>
      <c r="P2219"/>
      <c r="R2219" s="39">
        <v>42353</v>
      </c>
      <c r="S2219" s="37">
        <v>0.46139999999999998</v>
      </c>
    </row>
    <row r="2220" spans="6:19" ht="15" x14ac:dyDescent="0.25">
      <c r="F2220" s="39">
        <v>42359</v>
      </c>
      <c r="G2220" s="37">
        <v>2</v>
      </c>
      <c r="O2220"/>
      <c r="P2220"/>
      <c r="R2220" s="39">
        <v>42352</v>
      </c>
      <c r="S2220" s="37">
        <v>0.4642</v>
      </c>
    </row>
    <row r="2221" spans="6:19" ht="15" x14ac:dyDescent="0.25">
      <c r="F2221" s="39">
        <v>42356</v>
      </c>
      <c r="G2221" s="37">
        <v>2</v>
      </c>
      <c r="O2221"/>
      <c r="P2221"/>
      <c r="R2221" s="39">
        <v>42349</v>
      </c>
      <c r="S2221" s="37">
        <v>0.46229999999999999</v>
      </c>
    </row>
    <row r="2222" spans="6:19" ht="15" x14ac:dyDescent="0.25">
      <c r="F2222" s="39">
        <v>42355</v>
      </c>
      <c r="G2222" s="37">
        <v>2</v>
      </c>
      <c r="O2222"/>
      <c r="P2222"/>
      <c r="R2222" s="39">
        <v>42348</v>
      </c>
      <c r="S2222" s="37">
        <v>0.46129999999999999</v>
      </c>
    </row>
    <row r="2223" spans="6:19" ht="15" x14ac:dyDescent="0.25">
      <c r="F2223" s="39">
        <v>42354</v>
      </c>
      <c r="G2223" s="37">
        <v>2</v>
      </c>
      <c r="O2223"/>
      <c r="P2223"/>
      <c r="R2223" s="39">
        <v>42347</v>
      </c>
      <c r="S2223" s="37">
        <v>0.46379999999999999</v>
      </c>
    </row>
    <row r="2224" spans="6:19" ht="15" x14ac:dyDescent="0.25">
      <c r="F2224" s="39">
        <v>42353</v>
      </c>
      <c r="G2224" s="37">
        <v>2</v>
      </c>
      <c r="O2224"/>
      <c r="P2224"/>
      <c r="R2224" s="39">
        <v>42346</v>
      </c>
      <c r="S2224" s="37">
        <v>0.46150000000000002</v>
      </c>
    </row>
    <row r="2225" spans="6:19" ht="15" x14ac:dyDescent="0.25">
      <c r="F2225" s="39">
        <v>42352</v>
      </c>
      <c r="G2225" s="37">
        <v>2</v>
      </c>
      <c r="O2225"/>
      <c r="P2225"/>
      <c r="R2225" s="39">
        <v>42345</v>
      </c>
      <c r="S2225" s="37">
        <v>0.47149999999999997</v>
      </c>
    </row>
    <row r="2226" spans="6:19" ht="15" x14ac:dyDescent="0.25">
      <c r="F2226" s="39">
        <v>42349</v>
      </c>
      <c r="G2226" s="37">
        <v>2</v>
      </c>
      <c r="O2226"/>
      <c r="P2226"/>
      <c r="R2226" s="39">
        <v>42342</v>
      </c>
      <c r="S2226" s="37">
        <v>0.4622</v>
      </c>
    </row>
    <row r="2227" spans="6:19" ht="15" x14ac:dyDescent="0.25">
      <c r="F2227" s="39">
        <v>42348</v>
      </c>
      <c r="G2227" s="37">
        <v>2</v>
      </c>
      <c r="O2227"/>
      <c r="P2227"/>
      <c r="R2227" s="39">
        <v>42341</v>
      </c>
      <c r="S2227" s="37">
        <v>0.46260000000000001</v>
      </c>
    </row>
    <row r="2228" spans="6:19" ht="15" x14ac:dyDescent="0.25">
      <c r="F2228" s="39">
        <v>42347</v>
      </c>
      <c r="G2228" s="37">
        <v>2</v>
      </c>
      <c r="O2228"/>
      <c r="P2228"/>
      <c r="R2228" s="39">
        <v>42340</v>
      </c>
      <c r="S2228" s="37">
        <v>0.46379999999999999</v>
      </c>
    </row>
    <row r="2229" spans="6:19" ht="15" x14ac:dyDescent="0.25">
      <c r="F2229" s="39">
        <v>42346</v>
      </c>
      <c r="G2229" s="37">
        <v>2</v>
      </c>
      <c r="O2229"/>
      <c r="P2229"/>
      <c r="R2229" s="39">
        <v>42339</v>
      </c>
      <c r="S2229" s="37">
        <v>0.4617</v>
      </c>
    </row>
    <row r="2230" spans="6:19" ht="15" x14ac:dyDescent="0.25">
      <c r="F2230" s="39">
        <v>42345</v>
      </c>
      <c r="G2230" s="37">
        <v>2</v>
      </c>
      <c r="O2230"/>
      <c r="P2230"/>
      <c r="R2230" s="39">
        <v>42338</v>
      </c>
      <c r="S2230" s="37">
        <v>0.45390000000000003</v>
      </c>
    </row>
    <row r="2231" spans="6:19" ht="15" x14ac:dyDescent="0.25">
      <c r="F2231" s="39">
        <v>42342</v>
      </c>
      <c r="G2231" s="37">
        <v>2</v>
      </c>
      <c r="O2231"/>
      <c r="P2231"/>
      <c r="R2231" s="39">
        <v>42335</v>
      </c>
      <c r="S2231" s="37">
        <v>0.4723</v>
      </c>
    </row>
    <row r="2232" spans="6:19" ht="15" x14ac:dyDescent="0.25">
      <c r="F2232" s="39">
        <v>42341</v>
      </c>
      <c r="G2232" s="37">
        <v>2</v>
      </c>
      <c r="O2232"/>
      <c r="P2232"/>
      <c r="R2232" s="39">
        <v>42334</v>
      </c>
      <c r="S2232" s="37">
        <v>0.46210000000000001</v>
      </c>
    </row>
    <row r="2233" spans="6:19" ht="15" x14ac:dyDescent="0.25">
      <c r="F2233" s="39">
        <v>42340</v>
      </c>
      <c r="G2233" s="37">
        <v>2</v>
      </c>
      <c r="O2233"/>
      <c r="P2233"/>
      <c r="R2233" s="39">
        <v>42333</v>
      </c>
      <c r="S2233" s="37">
        <v>0.46610000000000001</v>
      </c>
    </row>
    <row r="2234" spans="6:19" ht="15" x14ac:dyDescent="0.25">
      <c r="F2234" s="39">
        <v>42339</v>
      </c>
      <c r="G2234" s="37">
        <v>2</v>
      </c>
      <c r="O2234"/>
      <c r="P2234"/>
      <c r="R2234" s="39">
        <v>42332</v>
      </c>
      <c r="S2234" s="37">
        <v>0.46279999999999999</v>
      </c>
    </row>
    <row r="2235" spans="6:19" ht="15" x14ac:dyDescent="0.25">
      <c r="F2235" s="39">
        <v>42338</v>
      </c>
      <c r="G2235" s="37">
        <v>2</v>
      </c>
      <c r="O2235"/>
      <c r="P2235"/>
      <c r="R2235" s="39">
        <v>42331</v>
      </c>
      <c r="S2235" s="37">
        <v>0.46350000000000002</v>
      </c>
    </row>
    <row r="2236" spans="6:19" ht="15" x14ac:dyDescent="0.25">
      <c r="F2236" s="39">
        <v>42335</v>
      </c>
      <c r="G2236" s="37">
        <v>2</v>
      </c>
      <c r="O2236"/>
      <c r="P2236"/>
      <c r="R2236" s="39">
        <v>42328</v>
      </c>
      <c r="S2236" s="37">
        <v>0.4627</v>
      </c>
    </row>
    <row r="2237" spans="6:19" ht="15" x14ac:dyDescent="0.25">
      <c r="F2237" s="39">
        <v>42334</v>
      </c>
      <c r="G2237" s="37">
        <v>2</v>
      </c>
      <c r="O2237"/>
      <c r="P2237"/>
      <c r="R2237" s="39">
        <v>42327</v>
      </c>
      <c r="S2237" s="37">
        <v>0.46339999999999998</v>
      </c>
    </row>
    <row r="2238" spans="6:19" ht="15" x14ac:dyDescent="0.25">
      <c r="F2238" s="39">
        <v>42333</v>
      </c>
      <c r="G2238" s="37">
        <v>2</v>
      </c>
      <c r="O2238"/>
      <c r="P2238"/>
      <c r="R2238" s="39">
        <v>42326</v>
      </c>
      <c r="S2238" s="37">
        <v>0.46389999999999998</v>
      </c>
    </row>
    <row r="2239" spans="6:19" ht="15" x14ac:dyDescent="0.25">
      <c r="F2239" s="39">
        <v>42332</v>
      </c>
      <c r="G2239" s="37">
        <v>2</v>
      </c>
      <c r="O2239"/>
      <c r="P2239"/>
      <c r="R2239" s="39">
        <v>42325</v>
      </c>
      <c r="S2239" s="37">
        <v>0.46279999999999999</v>
      </c>
    </row>
    <row r="2240" spans="6:19" ht="15" x14ac:dyDescent="0.25">
      <c r="F2240" s="39">
        <v>42331</v>
      </c>
      <c r="G2240" s="37">
        <v>2</v>
      </c>
      <c r="O2240"/>
      <c r="P2240"/>
      <c r="R2240" s="39">
        <v>42324</v>
      </c>
      <c r="S2240" s="37">
        <v>0.46250000000000002</v>
      </c>
    </row>
    <row r="2241" spans="6:19" ht="15" x14ac:dyDescent="0.25">
      <c r="F2241" s="39">
        <v>42328</v>
      </c>
      <c r="G2241" s="37">
        <v>2</v>
      </c>
      <c r="O2241"/>
      <c r="P2241"/>
      <c r="R2241" s="39">
        <v>42321</v>
      </c>
      <c r="S2241" s="37">
        <v>0.4642</v>
      </c>
    </row>
    <row r="2242" spans="6:19" ht="15" x14ac:dyDescent="0.25">
      <c r="F2242" s="39">
        <v>42327</v>
      </c>
      <c r="G2242" s="37">
        <v>2</v>
      </c>
      <c r="O2242"/>
      <c r="P2242"/>
      <c r="R2242" s="39">
        <v>42320</v>
      </c>
      <c r="S2242" s="37">
        <v>0.46110000000000001</v>
      </c>
    </row>
    <row r="2243" spans="6:19" ht="15" x14ac:dyDescent="0.25">
      <c r="F2243" s="39">
        <v>42326</v>
      </c>
      <c r="G2243" s="37">
        <v>2</v>
      </c>
      <c r="O2243"/>
      <c r="P2243"/>
      <c r="R2243" s="39">
        <v>42319</v>
      </c>
      <c r="S2243" s="37">
        <v>0.46410000000000001</v>
      </c>
    </row>
    <row r="2244" spans="6:19" ht="15" x14ac:dyDescent="0.25">
      <c r="F2244" s="39">
        <v>42325</v>
      </c>
      <c r="G2244" s="37">
        <v>2</v>
      </c>
      <c r="O2244"/>
      <c r="P2244"/>
      <c r="R2244" s="39">
        <v>42318</v>
      </c>
      <c r="S2244" s="37">
        <v>0.4667</v>
      </c>
    </row>
    <row r="2245" spans="6:19" ht="15" x14ac:dyDescent="0.25">
      <c r="F2245" s="39">
        <v>42324</v>
      </c>
      <c r="G2245" s="37">
        <v>2</v>
      </c>
      <c r="O2245"/>
      <c r="P2245"/>
      <c r="R2245" s="39">
        <v>42317</v>
      </c>
      <c r="S2245" s="37">
        <v>0.46400000000000002</v>
      </c>
    </row>
    <row r="2246" spans="6:19" ht="15" x14ac:dyDescent="0.25">
      <c r="F2246" s="39">
        <v>42321</v>
      </c>
      <c r="G2246" s="37">
        <v>2</v>
      </c>
      <c r="O2246"/>
      <c r="P2246"/>
      <c r="R2246" s="39">
        <v>42314</v>
      </c>
      <c r="S2246" s="37">
        <v>0.46329999999999999</v>
      </c>
    </row>
    <row r="2247" spans="6:19" ht="15" x14ac:dyDescent="0.25">
      <c r="F2247" s="39">
        <v>42320</v>
      </c>
      <c r="G2247" s="37">
        <v>2</v>
      </c>
      <c r="O2247"/>
      <c r="P2247"/>
      <c r="R2247" s="39">
        <v>42313</v>
      </c>
      <c r="S2247" s="37">
        <v>0.46460000000000001</v>
      </c>
    </row>
    <row r="2248" spans="6:19" ht="15" x14ac:dyDescent="0.25">
      <c r="F2248" s="39">
        <v>42319</v>
      </c>
      <c r="G2248" s="37">
        <v>2</v>
      </c>
      <c r="O2248"/>
      <c r="P2248"/>
      <c r="R2248" s="39">
        <v>42312</v>
      </c>
      <c r="S2248" s="37">
        <v>0.46410000000000001</v>
      </c>
    </row>
    <row r="2249" spans="6:19" ht="15" x14ac:dyDescent="0.25">
      <c r="F2249" s="39">
        <v>42318</v>
      </c>
      <c r="G2249" s="37">
        <v>2</v>
      </c>
      <c r="O2249"/>
      <c r="P2249"/>
      <c r="R2249" s="39">
        <v>42311</v>
      </c>
      <c r="S2249" s="37">
        <v>0.46289999999999998</v>
      </c>
    </row>
    <row r="2250" spans="6:19" ht="15" x14ac:dyDescent="0.25">
      <c r="F2250" s="39">
        <v>42317</v>
      </c>
      <c r="G2250" s="37">
        <v>2</v>
      </c>
      <c r="O2250"/>
      <c r="P2250"/>
      <c r="R2250" s="39">
        <v>42310</v>
      </c>
      <c r="S2250" s="37">
        <v>0.46379999999999999</v>
      </c>
    </row>
    <row r="2251" spans="6:19" ht="15" x14ac:dyDescent="0.25">
      <c r="F2251" s="39">
        <v>42314</v>
      </c>
      <c r="G2251" s="37">
        <v>2</v>
      </c>
      <c r="O2251"/>
      <c r="P2251"/>
      <c r="R2251" s="39">
        <v>42307</v>
      </c>
      <c r="S2251" s="37">
        <v>0.44819999999999999</v>
      </c>
    </row>
    <row r="2252" spans="6:19" ht="15" x14ac:dyDescent="0.25">
      <c r="F2252" s="39">
        <v>42313</v>
      </c>
      <c r="G2252" s="37">
        <v>2</v>
      </c>
      <c r="O2252"/>
      <c r="P2252"/>
      <c r="R2252" s="39">
        <v>42306</v>
      </c>
      <c r="S2252" s="37">
        <v>0.4617</v>
      </c>
    </row>
    <row r="2253" spans="6:19" ht="15" x14ac:dyDescent="0.25">
      <c r="F2253" s="39">
        <v>42312</v>
      </c>
      <c r="G2253" s="37">
        <v>2</v>
      </c>
      <c r="O2253"/>
      <c r="P2253"/>
      <c r="R2253" s="39">
        <v>42305</v>
      </c>
      <c r="S2253" s="37">
        <v>0.46</v>
      </c>
    </row>
    <row r="2254" spans="6:19" ht="15" x14ac:dyDescent="0.25">
      <c r="F2254" s="39">
        <v>42311</v>
      </c>
      <c r="G2254" s="37">
        <v>2</v>
      </c>
      <c r="O2254"/>
      <c r="P2254"/>
      <c r="R2254" s="39">
        <v>42304</v>
      </c>
      <c r="S2254" s="37">
        <v>0.46329999999999999</v>
      </c>
    </row>
    <row r="2255" spans="6:19" ht="15" x14ac:dyDescent="0.25">
      <c r="F2255" s="39">
        <v>42310</v>
      </c>
      <c r="G2255" s="37">
        <v>2</v>
      </c>
      <c r="O2255"/>
      <c r="P2255"/>
      <c r="R2255" s="39">
        <v>42303</v>
      </c>
      <c r="S2255" s="37">
        <v>0.46200000000000002</v>
      </c>
    </row>
    <row r="2256" spans="6:19" ht="15" x14ac:dyDescent="0.25">
      <c r="F2256" s="39">
        <v>42307</v>
      </c>
      <c r="G2256" s="37">
        <v>2</v>
      </c>
      <c r="O2256"/>
      <c r="P2256"/>
      <c r="R2256" s="39">
        <v>42300</v>
      </c>
      <c r="S2256" s="37">
        <v>0.46029999999999999</v>
      </c>
    </row>
    <row r="2257" spans="6:19" ht="15" x14ac:dyDescent="0.25">
      <c r="F2257" s="39">
        <v>42306</v>
      </c>
      <c r="G2257" s="37">
        <v>2</v>
      </c>
      <c r="O2257"/>
      <c r="P2257"/>
      <c r="R2257" s="39">
        <v>42299</v>
      </c>
      <c r="S2257" s="37">
        <v>0.46489999999999998</v>
      </c>
    </row>
    <row r="2258" spans="6:19" ht="15" x14ac:dyDescent="0.25">
      <c r="F2258" s="39">
        <v>42305</v>
      </c>
      <c r="G2258" s="37">
        <v>2</v>
      </c>
      <c r="O2258"/>
      <c r="P2258"/>
      <c r="R2258" s="39">
        <v>42298</v>
      </c>
      <c r="S2258" s="37">
        <v>0.46500000000000002</v>
      </c>
    </row>
    <row r="2259" spans="6:19" ht="15" x14ac:dyDescent="0.25">
      <c r="F2259" s="39">
        <v>42304</v>
      </c>
      <c r="G2259" s="37">
        <v>2</v>
      </c>
      <c r="O2259"/>
      <c r="P2259"/>
      <c r="R2259" s="39">
        <v>42297</v>
      </c>
      <c r="S2259" s="37">
        <v>0.46189999999999998</v>
      </c>
    </row>
    <row r="2260" spans="6:19" ht="15" x14ac:dyDescent="0.25">
      <c r="F2260" s="39">
        <v>42303</v>
      </c>
      <c r="G2260" s="37">
        <v>2</v>
      </c>
      <c r="O2260"/>
      <c r="P2260"/>
      <c r="R2260" s="39">
        <v>42296</v>
      </c>
      <c r="S2260" s="37">
        <v>0.4642</v>
      </c>
    </row>
    <row r="2261" spans="6:19" ht="15" x14ac:dyDescent="0.25">
      <c r="F2261" s="39">
        <v>42300</v>
      </c>
      <c r="G2261" s="37">
        <v>2</v>
      </c>
      <c r="O2261"/>
      <c r="P2261"/>
      <c r="R2261" s="39">
        <v>42293</v>
      </c>
      <c r="S2261" s="37">
        <v>0.46129999999999999</v>
      </c>
    </row>
    <row r="2262" spans="6:19" ht="15" x14ac:dyDescent="0.25">
      <c r="F2262" s="39">
        <v>42299</v>
      </c>
      <c r="G2262" s="37">
        <v>2</v>
      </c>
      <c r="O2262"/>
      <c r="P2262"/>
      <c r="R2262" s="39">
        <v>42292</v>
      </c>
      <c r="S2262" s="37">
        <v>0.46029999999999999</v>
      </c>
    </row>
    <row r="2263" spans="6:19" ht="15" x14ac:dyDescent="0.25">
      <c r="F2263" s="39">
        <v>42298</v>
      </c>
      <c r="G2263" s="37">
        <v>2</v>
      </c>
      <c r="O2263"/>
      <c r="P2263"/>
      <c r="R2263" s="39">
        <v>42291</v>
      </c>
      <c r="S2263" s="37">
        <v>0.45829999999999999</v>
      </c>
    </row>
    <row r="2264" spans="6:19" ht="15" x14ac:dyDescent="0.25">
      <c r="F2264" s="39">
        <v>42297</v>
      </c>
      <c r="G2264" s="37">
        <v>2</v>
      </c>
      <c r="O2264"/>
      <c r="P2264"/>
      <c r="R2264" s="39">
        <v>42290</v>
      </c>
      <c r="S2264" s="37">
        <v>0.4577</v>
      </c>
    </row>
    <row r="2265" spans="6:19" ht="15" x14ac:dyDescent="0.25">
      <c r="F2265" s="39">
        <v>42296</v>
      </c>
      <c r="G2265" s="37">
        <v>2</v>
      </c>
      <c r="O2265"/>
      <c r="P2265"/>
      <c r="R2265" s="39">
        <v>42289</v>
      </c>
      <c r="S2265" s="37">
        <v>0.47060000000000002</v>
      </c>
    </row>
    <row r="2266" spans="6:19" ht="15" x14ac:dyDescent="0.25">
      <c r="F2266" s="39">
        <v>42293</v>
      </c>
      <c r="G2266" s="37">
        <v>2</v>
      </c>
      <c r="O2266"/>
      <c r="P2266"/>
      <c r="R2266" s="39">
        <v>42286</v>
      </c>
      <c r="S2266" s="37">
        <v>0.46920000000000001</v>
      </c>
    </row>
    <row r="2267" spans="6:19" ht="15" x14ac:dyDescent="0.25">
      <c r="F2267" s="39">
        <v>42292</v>
      </c>
      <c r="G2267" s="37">
        <v>2</v>
      </c>
      <c r="O2267"/>
      <c r="P2267"/>
      <c r="R2267" s="39">
        <v>42285</v>
      </c>
      <c r="S2267" s="37">
        <v>0.47289999999999999</v>
      </c>
    </row>
    <row r="2268" spans="6:19" ht="15" x14ac:dyDescent="0.25">
      <c r="F2268" s="39">
        <v>42291</v>
      </c>
      <c r="G2268" s="37">
        <v>2</v>
      </c>
      <c r="O2268"/>
      <c r="P2268"/>
      <c r="R2268" s="39">
        <v>42284</v>
      </c>
      <c r="S2268" s="37">
        <v>0.46210000000000001</v>
      </c>
    </row>
    <row r="2269" spans="6:19" ht="15" x14ac:dyDescent="0.25">
      <c r="F2269" s="39">
        <v>42290</v>
      </c>
      <c r="G2269" s="37">
        <v>2</v>
      </c>
      <c r="O2269"/>
      <c r="P2269"/>
      <c r="R2269" s="39">
        <v>42283</v>
      </c>
      <c r="S2269" s="37">
        <v>0.46500000000000002</v>
      </c>
    </row>
    <row r="2270" spans="6:19" ht="15" x14ac:dyDescent="0.25">
      <c r="F2270" s="39">
        <v>42289</v>
      </c>
      <c r="G2270" s="37">
        <v>2</v>
      </c>
      <c r="O2270"/>
      <c r="P2270"/>
      <c r="R2270" s="39">
        <v>42282</v>
      </c>
      <c r="S2270" s="37">
        <v>0.45910000000000001</v>
      </c>
    </row>
    <row r="2271" spans="6:19" ht="15" x14ac:dyDescent="0.25">
      <c r="F2271" s="39">
        <v>42286</v>
      </c>
      <c r="G2271" s="37">
        <v>2</v>
      </c>
      <c r="O2271"/>
      <c r="P2271"/>
      <c r="R2271" s="39">
        <v>42279</v>
      </c>
      <c r="S2271" s="37">
        <v>0.45989999999999998</v>
      </c>
    </row>
    <row r="2272" spans="6:19" ht="15" x14ac:dyDescent="0.25">
      <c r="F2272" s="39">
        <v>42285</v>
      </c>
      <c r="G2272" s="37">
        <v>2</v>
      </c>
      <c r="O2272"/>
      <c r="P2272"/>
      <c r="R2272" s="39">
        <v>42278</v>
      </c>
      <c r="S2272" s="37">
        <v>0.45960000000000001</v>
      </c>
    </row>
    <row r="2273" spans="6:19" ht="15" x14ac:dyDescent="0.25">
      <c r="F2273" s="39">
        <v>42284</v>
      </c>
      <c r="G2273" s="37">
        <v>2</v>
      </c>
      <c r="O2273"/>
      <c r="P2273"/>
      <c r="R2273" s="39">
        <v>42277</v>
      </c>
      <c r="S2273" s="37">
        <v>0.3518</v>
      </c>
    </row>
    <row r="2274" spans="6:19" ht="15" x14ac:dyDescent="0.25">
      <c r="F2274" s="39">
        <v>42283</v>
      </c>
      <c r="G2274" s="37">
        <v>2</v>
      </c>
      <c r="O2274"/>
      <c r="P2274"/>
      <c r="R2274" s="39">
        <v>42276</v>
      </c>
      <c r="S2274" s="37">
        <v>0.4597</v>
      </c>
    </row>
    <row r="2275" spans="6:19" ht="15" x14ac:dyDescent="0.25">
      <c r="F2275" s="39">
        <v>42282</v>
      </c>
      <c r="G2275" s="37">
        <v>2</v>
      </c>
      <c r="O2275"/>
      <c r="P2275"/>
      <c r="R2275" s="39">
        <v>42275</v>
      </c>
      <c r="S2275" s="37">
        <v>0.45839999999999997</v>
      </c>
    </row>
    <row r="2276" spans="6:19" ht="15" x14ac:dyDescent="0.25">
      <c r="F2276" s="39">
        <v>42279</v>
      </c>
      <c r="G2276" s="37">
        <v>2</v>
      </c>
      <c r="O2276"/>
      <c r="P2276"/>
      <c r="R2276" s="39">
        <v>42272</v>
      </c>
      <c r="S2276" s="37">
        <v>0.46150000000000002</v>
      </c>
    </row>
    <row r="2277" spans="6:19" ht="15" x14ac:dyDescent="0.25">
      <c r="F2277" s="39">
        <v>42278</v>
      </c>
      <c r="G2277" s="37">
        <v>2</v>
      </c>
      <c r="O2277"/>
      <c r="P2277"/>
      <c r="R2277" s="39">
        <v>42271</v>
      </c>
      <c r="S2277" s="37">
        <v>0.46150000000000002</v>
      </c>
    </row>
    <row r="2278" spans="6:19" ht="15" x14ac:dyDescent="0.25">
      <c r="F2278" s="39">
        <v>42277</v>
      </c>
      <c r="G2278" s="37">
        <v>2</v>
      </c>
      <c r="O2278"/>
      <c r="P2278"/>
      <c r="R2278" s="39">
        <v>42270</v>
      </c>
      <c r="S2278" s="37">
        <v>0.46200000000000002</v>
      </c>
    </row>
    <row r="2279" spans="6:19" ht="15" x14ac:dyDescent="0.25">
      <c r="F2279" s="39">
        <v>42276</v>
      </c>
      <c r="G2279" s="37">
        <v>2</v>
      </c>
      <c r="O2279"/>
      <c r="P2279"/>
      <c r="R2279" s="39">
        <v>42269</v>
      </c>
      <c r="S2279" s="37">
        <v>0.46300000000000002</v>
      </c>
    </row>
    <row r="2280" spans="6:19" ht="15" x14ac:dyDescent="0.25">
      <c r="F2280" s="39">
        <v>42275</v>
      </c>
      <c r="G2280" s="37">
        <v>2</v>
      </c>
      <c r="O2280"/>
      <c r="P2280"/>
      <c r="R2280" s="39">
        <v>42268</v>
      </c>
      <c r="S2280" s="37">
        <v>0.4672</v>
      </c>
    </row>
    <row r="2281" spans="6:19" ht="15" x14ac:dyDescent="0.25">
      <c r="F2281" s="39">
        <v>42272</v>
      </c>
      <c r="G2281" s="37">
        <v>2</v>
      </c>
      <c r="O2281"/>
      <c r="P2281"/>
      <c r="R2281" s="39">
        <v>42265</v>
      </c>
      <c r="S2281" s="37">
        <v>0.4582</v>
      </c>
    </row>
    <row r="2282" spans="6:19" ht="15" x14ac:dyDescent="0.25">
      <c r="F2282" s="39">
        <v>42271</v>
      </c>
      <c r="G2282" s="37">
        <v>2</v>
      </c>
      <c r="O2282"/>
      <c r="P2282"/>
      <c r="R2282" s="39">
        <v>42264</v>
      </c>
      <c r="S2282" s="37">
        <v>0.45479999999999998</v>
      </c>
    </row>
    <row r="2283" spans="6:19" ht="15" x14ac:dyDescent="0.25">
      <c r="F2283" s="39">
        <v>42270</v>
      </c>
      <c r="G2283" s="37">
        <v>2</v>
      </c>
      <c r="O2283"/>
      <c r="P2283"/>
      <c r="R2283" s="39">
        <v>42263</v>
      </c>
      <c r="S2283" s="37">
        <v>0.45279999999999998</v>
      </c>
    </row>
    <row r="2284" spans="6:19" ht="15" x14ac:dyDescent="0.25">
      <c r="F2284" s="39">
        <v>42269</v>
      </c>
      <c r="G2284" s="37">
        <v>2</v>
      </c>
      <c r="O2284"/>
      <c r="P2284"/>
      <c r="R2284" s="39">
        <v>42262</v>
      </c>
      <c r="S2284" s="37">
        <v>0.45529999999999998</v>
      </c>
    </row>
    <row r="2285" spans="6:19" ht="15" x14ac:dyDescent="0.25">
      <c r="F2285" s="39">
        <v>42268</v>
      </c>
      <c r="G2285" s="37">
        <v>2</v>
      </c>
      <c r="O2285"/>
      <c r="P2285"/>
      <c r="R2285" s="39">
        <v>42261</v>
      </c>
      <c r="S2285" s="37">
        <v>0.46060000000000001</v>
      </c>
    </row>
    <row r="2286" spans="6:19" ht="15" x14ac:dyDescent="0.25">
      <c r="F2286" s="39">
        <v>42265</v>
      </c>
      <c r="G2286" s="37">
        <v>2</v>
      </c>
      <c r="O2286"/>
      <c r="P2286"/>
      <c r="R2286" s="39">
        <v>42258</v>
      </c>
      <c r="S2286" s="37">
        <v>0.46360000000000001</v>
      </c>
    </row>
    <row r="2287" spans="6:19" ht="15" x14ac:dyDescent="0.25">
      <c r="F2287" s="39">
        <v>42264</v>
      </c>
      <c r="G2287" s="37">
        <v>2</v>
      </c>
      <c r="O2287"/>
      <c r="P2287"/>
      <c r="R2287" s="39">
        <v>42257</v>
      </c>
      <c r="S2287" s="37">
        <v>0.46410000000000001</v>
      </c>
    </row>
    <row r="2288" spans="6:19" ht="15" x14ac:dyDescent="0.25">
      <c r="F2288" s="39">
        <v>42263</v>
      </c>
      <c r="G2288" s="37">
        <v>2</v>
      </c>
      <c r="O2288"/>
      <c r="P2288"/>
      <c r="R2288" s="39">
        <v>42256</v>
      </c>
      <c r="S2288" s="37">
        <v>0.46189999999999998</v>
      </c>
    </row>
    <row r="2289" spans="6:19" ht="15" x14ac:dyDescent="0.25">
      <c r="F2289" s="39">
        <v>42262</v>
      </c>
      <c r="G2289" s="37">
        <v>2</v>
      </c>
      <c r="O2289"/>
      <c r="P2289"/>
      <c r="R2289" s="39">
        <v>42255</v>
      </c>
      <c r="S2289" s="37">
        <v>0.4536</v>
      </c>
    </row>
    <row r="2290" spans="6:19" ht="15" x14ac:dyDescent="0.25">
      <c r="F2290" s="39">
        <v>42261</v>
      </c>
      <c r="G2290" s="37">
        <v>2</v>
      </c>
      <c r="O2290"/>
      <c r="P2290"/>
      <c r="R2290" s="39">
        <v>42254</v>
      </c>
      <c r="S2290" s="37">
        <v>0.45910000000000001</v>
      </c>
    </row>
    <row r="2291" spans="6:19" ht="15" x14ac:dyDescent="0.25">
      <c r="F2291" s="39">
        <v>42258</v>
      </c>
      <c r="G2291" s="37">
        <v>2</v>
      </c>
      <c r="O2291"/>
      <c r="P2291"/>
      <c r="R2291" s="39">
        <v>42251</v>
      </c>
      <c r="S2291" s="37">
        <v>0.4511</v>
      </c>
    </row>
    <row r="2292" spans="6:19" ht="15" x14ac:dyDescent="0.25">
      <c r="F2292" s="39">
        <v>42257</v>
      </c>
      <c r="G2292" s="37">
        <v>2</v>
      </c>
      <c r="O2292"/>
      <c r="P2292"/>
      <c r="R2292" s="39">
        <v>42250</v>
      </c>
      <c r="S2292" s="37">
        <v>0.45789999999999997</v>
      </c>
    </row>
    <row r="2293" spans="6:19" ht="15" x14ac:dyDescent="0.25">
      <c r="F2293" s="39">
        <v>42256</v>
      </c>
      <c r="G2293" s="37">
        <v>2</v>
      </c>
      <c r="O2293"/>
      <c r="P2293"/>
      <c r="R2293" s="39">
        <v>42249</v>
      </c>
      <c r="S2293" s="37">
        <v>0.45939999999999998</v>
      </c>
    </row>
    <row r="2294" spans="6:19" ht="15" x14ac:dyDescent="0.25">
      <c r="F2294" s="39">
        <v>42255</v>
      </c>
      <c r="G2294" s="37">
        <v>2</v>
      </c>
      <c r="O2294"/>
      <c r="P2294"/>
      <c r="R2294" s="39">
        <v>42248</v>
      </c>
      <c r="S2294" s="37">
        <v>0.45860000000000001</v>
      </c>
    </row>
    <row r="2295" spans="6:19" ht="15" x14ac:dyDescent="0.25">
      <c r="F2295" s="39">
        <v>42254</v>
      </c>
      <c r="G2295" s="37">
        <v>2</v>
      </c>
      <c r="O2295"/>
      <c r="P2295"/>
      <c r="R2295" s="39">
        <v>42244</v>
      </c>
      <c r="S2295" s="37">
        <v>0.4526</v>
      </c>
    </row>
    <row r="2296" spans="6:19" ht="15" x14ac:dyDescent="0.25">
      <c r="F2296" s="39">
        <v>42251</v>
      </c>
      <c r="G2296" s="37">
        <v>2</v>
      </c>
      <c r="O2296"/>
      <c r="P2296"/>
      <c r="R2296" s="39">
        <v>42243</v>
      </c>
      <c r="S2296" s="37">
        <v>0.46039999999999998</v>
      </c>
    </row>
    <row r="2297" spans="6:19" ht="15" x14ac:dyDescent="0.25">
      <c r="F2297" s="39">
        <v>42250</v>
      </c>
      <c r="G2297" s="37">
        <v>2</v>
      </c>
      <c r="O2297"/>
      <c r="P2297"/>
      <c r="R2297" s="39">
        <v>42242</v>
      </c>
      <c r="S2297" s="37">
        <v>0.46379999999999999</v>
      </c>
    </row>
    <row r="2298" spans="6:19" ht="15" x14ac:dyDescent="0.25">
      <c r="F2298" s="39">
        <v>42249</v>
      </c>
      <c r="G2298" s="37">
        <v>2</v>
      </c>
      <c r="O2298"/>
      <c r="P2298"/>
      <c r="R2298" s="39">
        <v>42241</v>
      </c>
      <c r="S2298" s="37">
        <v>0.4612</v>
      </c>
    </row>
    <row r="2299" spans="6:19" ht="15" x14ac:dyDescent="0.25">
      <c r="F2299" s="39">
        <v>42248</v>
      </c>
      <c r="G2299" s="37">
        <v>2</v>
      </c>
      <c r="O2299"/>
      <c r="P2299"/>
      <c r="R2299" s="39">
        <v>42240</v>
      </c>
      <c r="S2299" s="37">
        <v>0.4612</v>
      </c>
    </row>
    <row r="2300" spans="6:19" ht="15" x14ac:dyDescent="0.25">
      <c r="F2300" s="39">
        <v>42247</v>
      </c>
      <c r="G2300" s="37">
        <v>2</v>
      </c>
      <c r="O2300"/>
      <c r="P2300"/>
      <c r="R2300" s="39">
        <v>42237</v>
      </c>
      <c r="S2300" s="37">
        <v>0.46279999999999999</v>
      </c>
    </row>
    <row r="2301" spans="6:19" ht="15" x14ac:dyDescent="0.25">
      <c r="F2301" s="39">
        <v>42244</v>
      </c>
      <c r="G2301" s="37">
        <v>2</v>
      </c>
      <c r="O2301"/>
      <c r="P2301"/>
      <c r="R2301" s="39">
        <v>42236</v>
      </c>
      <c r="S2301" s="37">
        <v>0.4607</v>
      </c>
    </row>
    <row r="2302" spans="6:19" ht="15" x14ac:dyDescent="0.25">
      <c r="F2302" s="39">
        <v>42243</v>
      </c>
      <c r="G2302" s="37">
        <v>2</v>
      </c>
      <c r="O2302"/>
      <c r="P2302"/>
      <c r="R2302" s="39">
        <v>42235</v>
      </c>
      <c r="S2302" s="37">
        <v>0.45500000000000002</v>
      </c>
    </row>
    <row r="2303" spans="6:19" ht="15" x14ac:dyDescent="0.25">
      <c r="F2303" s="39">
        <v>42242</v>
      </c>
      <c r="G2303" s="37">
        <v>2</v>
      </c>
      <c r="O2303"/>
      <c r="P2303"/>
      <c r="R2303" s="39">
        <v>42234</v>
      </c>
      <c r="S2303" s="37">
        <v>0.45250000000000001</v>
      </c>
    </row>
    <row r="2304" spans="6:19" ht="15" x14ac:dyDescent="0.25">
      <c r="F2304" s="39">
        <v>42241</v>
      </c>
      <c r="G2304" s="37">
        <v>2</v>
      </c>
      <c r="O2304"/>
      <c r="P2304"/>
      <c r="R2304" s="39">
        <v>42233</v>
      </c>
      <c r="S2304" s="37">
        <v>0.46139999999999998</v>
      </c>
    </row>
    <row r="2305" spans="6:19" ht="15" x14ac:dyDescent="0.25">
      <c r="F2305" s="39">
        <v>42240</v>
      </c>
      <c r="G2305" s="37">
        <v>2</v>
      </c>
      <c r="O2305"/>
      <c r="P2305"/>
      <c r="R2305" s="39">
        <v>42230</v>
      </c>
      <c r="S2305" s="37">
        <v>0.46129999999999999</v>
      </c>
    </row>
    <row r="2306" spans="6:19" ht="15" x14ac:dyDescent="0.25">
      <c r="F2306" s="39">
        <v>42237</v>
      </c>
      <c r="G2306" s="37">
        <v>2</v>
      </c>
      <c r="O2306"/>
      <c r="P2306"/>
      <c r="R2306" s="39">
        <v>42229</v>
      </c>
      <c r="S2306" s="37">
        <v>0.4587</v>
      </c>
    </row>
    <row r="2307" spans="6:19" ht="15" x14ac:dyDescent="0.25">
      <c r="F2307" s="39">
        <v>42236</v>
      </c>
      <c r="G2307" s="37">
        <v>2</v>
      </c>
      <c r="O2307"/>
      <c r="P2307"/>
      <c r="R2307" s="39">
        <v>42228</v>
      </c>
      <c r="S2307" s="37">
        <v>0.45889999999999997</v>
      </c>
    </row>
    <row r="2308" spans="6:19" ht="15" x14ac:dyDescent="0.25">
      <c r="F2308" s="39">
        <v>42235</v>
      </c>
      <c r="G2308" s="37">
        <v>2</v>
      </c>
      <c r="O2308"/>
      <c r="P2308"/>
      <c r="R2308" s="39">
        <v>42227</v>
      </c>
      <c r="S2308" s="37">
        <v>0.4607</v>
      </c>
    </row>
    <row r="2309" spans="6:19" ht="15" x14ac:dyDescent="0.25">
      <c r="F2309" s="39">
        <v>42234</v>
      </c>
      <c r="G2309" s="37">
        <v>2</v>
      </c>
      <c r="O2309"/>
      <c r="P2309"/>
      <c r="R2309" s="39">
        <v>42226</v>
      </c>
      <c r="S2309" s="37">
        <v>0.45900000000000002</v>
      </c>
    </row>
    <row r="2310" spans="6:19" ht="15" x14ac:dyDescent="0.25">
      <c r="F2310" s="39">
        <v>42233</v>
      </c>
      <c r="G2310" s="37">
        <v>2</v>
      </c>
      <c r="O2310"/>
      <c r="P2310"/>
      <c r="R2310" s="39">
        <v>42223</v>
      </c>
      <c r="S2310" s="37">
        <v>0.45939999999999998</v>
      </c>
    </row>
    <row r="2311" spans="6:19" ht="15" x14ac:dyDescent="0.25">
      <c r="F2311" s="39">
        <v>42230</v>
      </c>
      <c r="G2311" s="37">
        <v>2</v>
      </c>
      <c r="O2311"/>
      <c r="P2311"/>
      <c r="R2311" s="39">
        <v>42222</v>
      </c>
      <c r="S2311" s="37">
        <v>0.45910000000000001</v>
      </c>
    </row>
    <row r="2312" spans="6:19" ht="15" x14ac:dyDescent="0.25">
      <c r="F2312" s="39">
        <v>42229</v>
      </c>
      <c r="G2312" s="37">
        <v>2</v>
      </c>
      <c r="O2312"/>
      <c r="P2312"/>
      <c r="R2312" s="39">
        <v>42221</v>
      </c>
      <c r="S2312" s="37">
        <v>0.45629999999999998</v>
      </c>
    </row>
    <row r="2313" spans="6:19" ht="15" x14ac:dyDescent="0.25">
      <c r="F2313" s="39">
        <v>42228</v>
      </c>
      <c r="G2313" s="37">
        <v>2</v>
      </c>
      <c r="O2313"/>
      <c r="P2313"/>
      <c r="R2313" s="39">
        <v>42220</v>
      </c>
      <c r="S2313" s="37">
        <v>0.45750000000000002</v>
      </c>
    </row>
    <row r="2314" spans="6:19" ht="15" x14ac:dyDescent="0.25">
      <c r="F2314" s="39">
        <v>42227</v>
      </c>
      <c r="G2314" s="37">
        <v>2</v>
      </c>
      <c r="O2314"/>
      <c r="P2314"/>
      <c r="R2314" s="39">
        <v>42219</v>
      </c>
      <c r="S2314" s="37">
        <v>0.45729999999999998</v>
      </c>
    </row>
    <row r="2315" spans="6:19" ht="15" x14ac:dyDescent="0.25">
      <c r="F2315" s="39">
        <v>42226</v>
      </c>
      <c r="G2315" s="37">
        <v>2</v>
      </c>
      <c r="O2315"/>
      <c r="P2315"/>
      <c r="R2315" s="39">
        <v>42216</v>
      </c>
      <c r="S2315" s="37">
        <v>0.4481</v>
      </c>
    </row>
    <row r="2316" spans="6:19" ht="15" x14ac:dyDescent="0.25">
      <c r="F2316" s="39">
        <v>42223</v>
      </c>
      <c r="G2316" s="37">
        <v>2</v>
      </c>
      <c r="O2316"/>
      <c r="P2316"/>
      <c r="R2316" s="39">
        <v>42215</v>
      </c>
      <c r="S2316" s="37">
        <v>0.45710000000000001</v>
      </c>
    </row>
    <row r="2317" spans="6:19" ht="15" x14ac:dyDescent="0.25">
      <c r="F2317" s="39">
        <v>42222</v>
      </c>
      <c r="G2317" s="37">
        <v>2</v>
      </c>
      <c r="O2317"/>
      <c r="P2317"/>
      <c r="R2317" s="39">
        <v>42214</v>
      </c>
      <c r="S2317" s="37">
        <v>0.4551</v>
      </c>
    </row>
    <row r="2318" spans="6:19" ht="15" x14ac:dyDescent="0.25">
      <c r="F2318" s="39">
        <v>42221</v>
      </c>
      <c r="G2318" s="37">
        <v>2</v>
      </c>
      <c r="O2318"/>
      <c r="P2318"/>
      <c r="R2318" s="39">
        <v>42213</v>
      </c>
      <c r="S2318" s="37">
        <v>0.45629999999999998</v>
      </c>
    </row>
    <row r="2319" spans="6:19" ht="15" x14ac:dyDescent="0.25">
      <c r="F2319" s="39">
        <v>42220</v>
      </c>
      <c r="G2319" s="37">
        <v>2</v>
      </c>
      <c r="O2319"/>
      <c r="P2319"/>
      <c r="R2319" s="39">
        <v>42212</v>
      </c>
      <c r="S2319" s="37">
        <v>0.4536</v>
      </c>
    </row>
    <row r="2320" spans="6:19" ht="15" x14ac:dyDescent="0.25">
      <c r="F2320" s="39">
        <v>42219</v>
      </c>
      <c r="G2320" s="37">
        <v>2</v>
      </c>
      <c r="O2320"/>
      <c r="P2320"/>
      <c r="R2320" s="39">
        <v>42209</v>
      </c>
      <c r="S2320" s="37">
        <v>0.45350000000000001</v>
      </c>
    </row>
    <row r="2321" spans="6:19" ht="15" x14ac:dyDescent="0.25">
      <c r="F2321" s="39">
        <v>42216</v>
      </c>
      <c r="G2321" s="37">
        <v>2</v>
      </c>
      <c r="O2321"/>
      <c r="P2321"/>
      <c r="R2321" s="39">
        <v>42208</v>
      </c>
      <c r="S2321" s="37">
        <v>0.45479999999999998</v>
      </c>
    </row>
    <row r="2322" spans="6:19" ht="15" x14ac:dyDescent="0.25">
      <c r="F2322" s="39">
        <v>42215</v>
      </c>
      <c r="G2322" s="37">
        <v>2</v>
      </c>
      <c r="O2322"/>
      <c r="P2322"/>
      <c r="R2322" s="39">
        <v>42207</v>
      </c>
      <c r="S2322" s="37">
        <v>0.45240000000000002</v>
      </c>
    </row>
    <row r="2323" spans="6:19" ht="15" x14ac:dyDescent="0.25">
      <c r="F2323" s="39">
        <v>42214</v>
      </c>
      <c r="G2323" s="37">
        <v>2</v>
      </c>
      <c r="O2323"/>
      <c r="P2323"/>
      <c r="R2323" s="39">
        <v>42206</v>
      </c>
      <c r="S2323" s="37">
        <v>0.4597</v>
      </c>
    </row>
    <row r="2324" spans="6:19" ht="15" x14ac:dyDescent="0.25">
      <c r="F2324" s="39">
        <v>42213</v>
      </c>
      <c r="G2324" s="37">
        <v>2</v>
      </c>
      <c r="O2324"/>
      <c r="P2324"/>
      <c r="R2324" s="39">
        <v>42205</v>
      </c>
      <c r="S2324" s="37">
        <v>0.45660000000000001</v>
      </c>
    </row>
    <row r="2325" spans="6:19" ht="15" x14ac:dyDescent="0.25">
      <c r="F2325" s="39">
        <v>42212</v>
      </c>
      <c r="G2325" s="37">
        <v>2</v>
      </c>
      <c r="O2325"/>
      <c r="P2325"/>
      <c r="R2325" s="39">
        <v>42202</v>
      </c>
      <c r="S2325" s="37">
        <v>0.45700000000000002</v>
      </c>
    </row>
    <row r="2326" spans="6:19" ht="15" x14ac:dyDescent="0.25">
      <c r="F2326" s="39">
        <v>42209</v>
      </c>
      <c r="G2326" s="37">
        <v>2</v>
      </c>
      <c r="O2326"/>
      <c r="P2326"/>
      <c r="R2326" s="39">
        <v>42201</v>
      </c>
      <c r="S2326" s="37">
        <v>0.45779999999999998</v>
      </c>
    </row>
    <row r="2327" spans="6:19" ht="15" x14ac:dyDescent="0.25">
      <c r="F2327" s="39">
        <v>42208</v>
      </c>
      <c r="G2327" s="37">
        <v>2</v>
      </c>
      <c r="O2327"/>
      <c r="P2327"/>
      <c r="R2327" s="39">
        <v>42200</v>
      </c>
      <c r="S2327" s="37">
        <v>0.45610000000000001</v>
      </c>
    </row>
    <row r="2328" spans="6:19" ht="15" x14ac:dyDescent="0.25">
      <c r="F2328" s="39">
        <v>42207</v>
      </c>
      <c r="G2328" s="37">
        <v>2</v>
      </c>
      <c r="O2328"/>
      <c r="P2328"/>
      <c r="R2328" s="39">
        <v>42199</v>
      </c>
      <c r="S2328" s="37">
        <v>0.45450000000000002</v>
      </c>
    </row>
    <row r="2329" spans="6:19" ht="15" x14ac:dyDescent="0.25">
      <c r="F2329" s="39">
        <v>42206</v>
      </c>
      <c r="G2329" s="37">
        <v>2</v>
      </c>
      <c r="O2329"/>
      <c r="P2329"/>
      <c r="R2329" s="39">
        <v>42198</v>
      </c>
      <c r="S2329" s="37">
        <v>0.4521</v>
      </c>
    </row>
    <row r="2330" spans="6:19" ht="15" x14ac:dyDescent="0.25">
      <c r="F2330" s="39">
        <v>42205</v>
      </c>
      <c r="G2330" s="37">
        <v>2</v>
      </c>
      <c r="O2330"/>
      <c r="P2330"/>
      <c r="R2330" s="39">
        <v>42195</v>
      </c>
      <c r="S2330" s="37">
        <v>0.45250000000000001</v>
      </c>
    </row>
    <row r="2331" spans="6:19" ht="15" x14ac:dyDescent="0.25">
      <c r="F2331" s="39">
        <v>42202</v>
      </c>
      <c r="G2331" s="37">
        <v>2</v>
      </c>
      <c r="O2331"/>
      <c r="P2331"/>
      <c r="R2331" s="39">
        <v>42194</v>
      </c>
      <c r="S2331" s="37">
        <v>0.45490000000000003</v>
      </c>
    </row>
    <row r="2332" spans="6:19" ht="15" x14ac:dyDescent="0.25">
      <c r="F2332" s="39">
        <v>42201</v>
      </c>
      <c r="G2332" s="37">
        <v>2</v>
      </c>
      <c r="O2332"/>
      <c r="P2332"/>
      <c r="R2332" s="39">
        <v>42193</v>
      </c>
      <c r="S2332" s="37">
        <v>0.45700000000000002</v>
      </c>
    </row>
    <row r="2333" spans="6:19" ht="15" x14ac:dyDescent="0.25">
      <c r="F2333" s="39">
        <v>42200</v>
      </c>
      <c r="G2333" s="37">
        <v>2</v>
      </c>
      <c r="O2333"/>
      <c r="P2333"/>
      <c r="R2333" s="39">
        <v>42192</v>
      </c>
      <c r="S2333" s="37">
        <v>0.45390000000000003</v>
      </c>
    </row>
    <row r="2334" spans="6:19" ht="15" x14ac:dyDescent="0.25">
      <c r="F2334" s="39">
        <v>42199</v>
      </c>
      <c r="G2334" s="37">
        <v>2</v>
      </c>
      <c r="O2334"/>
      <c r="P2334"/>
      <c r="R2334" s="39">
        <v>42191</v>
      </c>
      <c r="S2334" s="37">
        <v>0.45150000000000001</v>
      </c>
    </row>
    <row r="2335" spans="6:19" ht="15" x14ac:dyDescent="0.25">
      <c r="F2335" s="39">
        <v>42198</v>
      </c>
      <c r="G2335" s="37">
        <v>2</v>
      </c>
      <c r="O2335"/>
      <c r="P2335"/>
      <c r="R2335" s="39">
        <v>42188</v>
      </c>
      <c r="S2335" s="37">
        <v>0.45639999999999997</v>
      </c>
    </row>
    <row r="2336" spans="6:19" ht="15" x14ac:dyDescent="0.25">
      <c r="F2336" s="39">
        <v>42195</v>
      </c>
      <c r="G2336" s="37">
        <v>2</v>
      </c>
      <c r="O2336"/>
      <c r="P2336"/>
      <c r="R2336" s="39">
        <v>42187</v>
      </c>
      <c r="S2336" s="37">
        <v>0.45279999999999998</v>
      </c>
    </row>
    <row r="2337" spans="6:19" ht="15" x14ac:dyDescent="0.25">
      <c r="F2337" s="39">
        <v>42194</v>
      </c>
      <c r="G2337" s="37">
        <v>2</v>
      </c>
      <c r="O2337"/>
      <c r="P2337"/>
      <c r="R2337" s="39">
        <v>42186</v>
      </c>
      <c r="S2337" s="37">
        <v>0.45810000000000001</v>
      </c>
    </row>
    <row r="2338" spans="6:19" ht="15" x14ac:dyDescent="0.25">
      <c r="F2338" s="39">
        <v>42193</v>
      </c>
      <c r="G2338" s="37">
        <v>2</v>
      </c>
      <c r="O2338"/>
      <c r="P2338"/>
      <c r="R2338" s="39">
        <v>42185</v>
      </c>
      <c r="S2338" s="37">
        <v>0.3947</v>
      </c>
    </row>
    <row r="2339" spans="6:19" ht="15" x14ac:dyDescent="0.25">
      <c r="F2339" s="39">
        <v>42192</v>
      </c>
      <c r="G2339" s="37">
        <v>2</v>
      </c>
      <c r="O2339"/>
      <c r="P2339"/>
      <c r="R2339" s="39">
        <v>42184</v>
      </c>
      <c r="S2339" s="37">
        <v>0.4551</v>
      </c>
    </row>
    <row r="2340" spans="6:19" ht="15" x14ac:dyDescent="0.25">
      <c r="F2340" s="39">
        <v>42191</v>
      </c>
      <c r="G2340" s="37">
        <v>2</v>
      </c>
      <c r="O2340"/>
      <c r="P2340"/>
      <c r="R2340" s="39">
        <v>42181</v>
      </c>
      <c r="S2340" s="37">
        <v>0.4577</v>
      </c>
    </row>
    <row r="2341" spans="6:19" ht="15" x14ac:dyDescent="0.25">
      <c r="F2341" s="39">
        <v>42188</v>
      </c>
      <c r="G2341" s="37">
        <v>2</v>
      </c>
      <c r="O2341"/>
      <c r="P2341"/>
      <c r="R2341" s="39">
        <v>42180</v>
      </c>
      <c r="S2341" s="37">
        <v>0.45729999999999998</v>
      </c>
    </row>
    <row r="2342" spans="6:19" ht="15" x14ac:dyDescent="0.25">
      <c r="F2342" s="39">
        <v>42187</v>
      </c>
      <c r="G2342" s="37">
        <v>2</v>
      </c>
      <c r="O2342"/>
      <c r="P2342"/>
      <c r="R2342" s="39">
        <v>42179</v>
      </c>
      <c r="S2342" s="37">
        <v>0.45610000000000001</v>
      </c>
    </row>
    <row r="2343" spans="6:19" ht="15" x14ac:dyDescent="0.25">
      <c r="F2343" s="39">
        <v>42186</v>
      </c>
      <c r="G2343" s="37">
        <v>2</v>
      </c>
      <c r="O2343"/>
      <c r="P2343"/>
      <c r="R2343" s="39">
        <v>42178</v>
      </c>
      <c r="S2343" s="37">
        <v>0.46129999999999999</v>
      </c>
    </row>
    <row r="2344" spans="6:19" ht="15" x14ac:dyDescent="0.25">
      <c r="F2344" s="39">
        <v>42185</v>
      </c>
      <c r="G2344" s="37">
        <v>2</v>
      </c>
      <c r="O2344"/>
      <c r="P2344"/>
      <c r="R2344" s="39">
        <v>42177</v>
      </c>
      <c r="S2344" s="37">
        <v>0.4602</v>
      </c>
    </row>
    <row r="2345" spans="6:19" ht="15" x14ac:dyDescent="0.25">
      <c r="F2345" s="39">
        <v>42184</v>
      </c>
      <c r="G2345" s="37">
        <v>2</v>
      </c>
      <c r="O2345"/>
      <c r="P2345"/>
      <c r="R2345" s="39">
        <v>42174</v>
      </c>
      <c r="S2345" s="37">
        <v>0.45839999999999997</v>
      </c>
    </row>
    <row r="2346" spans="6:19" ht="15" x14ac:dyDescent="0.25">
      <c r="F2346" s="39">
        <v>42181</v>
      </c>
      <c r="G2346" s="37">
        <v>2</v>
      </c>
      <c r="O2346"/>
      <c r="P2346"/>
      <c r="R2346" s="39">
        <v>42173</v>
      </c>
      <c r="S2346" s="37">
        <v>0.46029999999999999</v>
      </c>
    </row>
    <row r="2347" spans="6:19" ht="15" x14ac:dyDescent="0.25">
      <c r="F2347" s="39">
        <v>42180</v>
      </c>
      <c r="G2347" s="37">
        <v>2</v>
      </c>
      <c r="O2347"/>
      <c r="P2347"/>
      <c r="R2347" s="39">
        <v>42172</v>
      </c>
      <c r="S2347" s="37">
        <v>0.46129999999999999</v>
      </c>
    </row>
    <row r="2348" spans="6:19" ht="15" x14ac:dyDescent="0.25">
      <c r="F2348" s="39">
        <v>42179</v>
      </c>
      <c r="G2348" s="37">
        <v>2</v>
      </c>
      <c r="O2348"/>
      <c r="P2348"/>
      <c r="R2348" s="39">
        <v>42171</v>
      </c>
      <c r="S2348" s="37">
        <v>0.46260000000000001</v>
      </c>
    </row>
    <row r="2349" spans="6:19" ht="15" x14ac:dyDescent="0.25">
      <c r="F2349" s="39">
        <v>42178</v>
      </c>
      <c r="G2349" s="37">
        <v>2</v>
      </c>
      <c r="O2349"/>
      <c r="P2349"/>
      <c r="R2349" s="39">
        <v>42170</v>
      </c>
      <c r="S2349" s="37">
        <v>0.4587</v>
      </c>
    </row>
    <row r="2350" spans="6:19" ht="15" x14ac:dyDescent="0.25">
      <c r="F2350" s="39">
        <v>42177</v>
      </c>
      <c r="G2350" s="37">
        <v>2</v>
      </c>
      <c r="O2350"/>
      <c r="P2350"/>
      <c r="R2350" s="39">
        <v>42167</v>
      </c>
      <c r="S2350" s="37">
        <v>0.45960000000000001</v>
      </c>
    </row>
    <row r="2351" spans="6:19" ht="15" x14ac:dyDescent="0.25">
      <c r="F2351" s="39">
        <v>42174</v>
      </c>
      <c r="G2351" s="37">
        <v>2</v>
      </c>
      <c r="O2351"/>
      <c r="P2351"/>
      <c r="R2351" s="39">
        <v>42166</v>
      </c>
      <c r="S2351" s="37">
        <v>0.46210000000000001</v>
      </c>
    </row>
    <row r="2352" spans="6:19" ht="15" x14ac:dyDescent="0.25">
      <c r="F2352" s="39">
        <v>42173</v>
      </c>
      <c r="G2352" s="37">
        <v>2</v>
      </c>
      <c r="O2352"/>
      <c r="P2352"/>
      <c r="R2352" s="39">
        <v>42165</v>
      </c>
      <c r="S2352" s="37">
        <v>0.46389999999999998</v>
      </c>
    </row>
    <row r="2353" spans="6:19" ht="15" x14ac:dyDescent="0.25">
      <c r="F2353" s="39">
        <v>42172</v>
      </c>
      <c r="G2353" s="37">
        <v>2</v>
      </c>
      <c r="O2353"/>
      <c r="P2353"/>
      <c r="R2353" s="39">
        <v>42164</v>
      </c>
      <c r="S2353" s="37">
        <v>0.45929999999999999</v>
      </c>
    </row>
    <row r="2354" spans="6:19" ht="15" x14ac:dyDescent="0.25">
      <c r="F2354" s="39">
        <v>42171</v>
      </c>
      <c r="G2354" s="37">
        <v>2</v>
      </c>
      <c r="O2354"/>
      <c r="P2354"/>
      <c r="R2354" s="39">
        <v>42163</v>
      </c>
      <c r="S2354" s="37">
        <v>0.45989999999999998</v>
      </c>
    </row>
    <row r="2355" spans="6:19" ht="15" x14ac:dyDescent="0.25">
      <c r="F2355" s="39">
        <v>42170</v>
      </c>
      <c r="G2355" s="37">
        <v>2</v>
      </c>
      <c r="O2355"/>
      <c r="P2355"/>
      <c r="R2355" s="39">
        <v>42160</v>
      </c>
      <c r="S2355" s="37">
        <v>0.4592</v>
      </c>
    </row>
    <row r="2356" spans="6:19" ht="15" x14ac:dyDescent="0.25">
      <c r="F2356" s="39">
        <v>42167</v>
      </c>
      <c r="G2356" s="37">
        <v>2</v>
      </c>
      <c r="O2356"/>
      <c r="P2356"/>
      <c r="R2356" s="39">
        <v>42159</v>
      </c>
      <c r="S2356" s="37">
        <v>0.46250000000000002</v>
      </c>
    </row>
    <row r="2357" spans="6:19" ht="15" x14ac:dyDescent="0.25">
      <c r="F2357" s="39">
        <v>42166</v>
      </c>
      <c r="G2357" s="37">
        <v>2</v>
      </c>
      <c r="O2357"/>
      <c r="P2357"/>
      <c r="R2357" s="39">
        <v>42158</v>
      </c>
      <c r="S2357" s="37">
        <v>0.4602</v>
      </c>
    </row>
    <row r="2358" spans="6:19" ht="15" x14ac:dyDescent="0.25">
      <c r="F2358" s="39">
        <v>42165</v>
      </c>
      <c r="G2358" s="37">
        <v>2</v>
      </c>
      <c r="O2358"/>
      <c r="P2358"/>
      <c r="R2358" s="39">
        <v>42157</v>
      </c>
      <c r="S2358" s="37">
        <v>0.45540000000000003</v>
      </c>
    </row>
    <row r="2359" spans="6:19" ht="15" x14ac:dyDescent="0.25">
      <c r="F2359" s="39">
        <v>42164</v>
      </c>
      <c r="G2359" s="37">
        <v>2</v>
      </c>
      <c r="O2359"/>
      <c r="P2359"/>
      <c r="R2359" s="39">
        <v>42156</v>
      </c>
      <c r="S2359" s="37">
        <v>0.46029999999999999</v>
      </c>
    </row>
    <row r="2360" spans="6:19" ht="15" x14ac:dyDescent="0.25">
      <c r="F2360" s="39">
        <v>42160</v>
      </c>
      <c r="G2360" s="37">
        <v>2</v>
      </c>
      <c r="O2360"/>
      <c r="P2360"/>
      <c r="R2360" s="39">
        <v>42153</v>
      </c>
      <c r="S2360" s="37">
        <v>0.4506</v>
      </c>
    </row>
    <row r="2361" spans="6:19" ht="15" x14ac:dyDescent="0.25">
      <c r="F2361" s="39">
        <v>42159</v>
      </c>
      <c r="G2361" s="37">
        <v>2</v>
      </c>
      <c r="O2361"/>
      <c r="P2361"/>
      <c r="R2361" s="39">
        <v>42152</v>
      </c>
      <c r="S2361" s="37">
        <v>0.46379999999999999</v>
      </c>
    </row>
    <row r="2362" spans="6:19" ht="15" x14ac:dyDescent="0.25">
      <c r="F2362" s="39">
        <v>42158</v>
      </c>
      <c r="G2362" s="37">
        <v>2</v>
      </c>
      <c r="O2362"/>
      <c r="P2362"/>
      <c r="R2362" s="39">
        <v>42151</v>
      </c>
      <c r="S2362" s="37">
        <v>0.46289999999999998</v>
      </c>
    </row>
    <row r="2363" spans="6:19" ht="15" x14ac:dyDescent="0.25">
      <c r="F2363" s="39">
        <v>42157</v>
      </c>
      <c r="G2363" s="37">
        <v>2</v>
      </c>
      <c r="O2363"/>
      <c r="P2363"/>
      <c r="R2363" s="39">
        <v>42150</v>
      </c>
      <c r="S2363" s="37">
        <v>0.46239999999999998</v>
      </c>
    </row>
    <row r="2364" spans="6:19" ht="15" x14ac:dyDescent="0.25">
      <c r="F2364" s="39">
        <v>42156</v>
      </c>
      <c r="G2364" s="37">
        <v>2</v>
      </c>
      <c r="O2364"/>
      <c r="P2364"/>
      <c r="R2364" s="39">
        <v>42146</v>
      </c>
      <c r="S2364" s="37">
        <v>0.47</v>
      </c>
    </row>
    <row r="2365" spans="6:19" ht="15" x14ac:dyDescent="0.25">
      <c r="F2365" s="39">
        <v>42153</v>
      </c>
      <c r="G2365" s="37">
        <v>2</v>
      </c>
      <c r="O2365"/>
      <c r="P2365"/>
      <c r="R2365" s="39">
        <v>42145</v>
      </c>
      <c r="S2365" s="37">
        <v>0.45960000000000001</v>
      </c>
    </row>
    <row r="2366" spans="6:19" ht="15" x14ac:dyDescent="0.25">
      <c r="F2366" s="39">
        <v>42152</v>
      </c>
      <c r="G2366" s="37">
        <v>2</v>
      </c>
      <c r="O2366"/>
      <c r="P2366"/>
      <c r="R2366" s="39">
        <v>42144</v>
      </c>
      <c r="S2366" s="37">
        <v>0.46610000000000001</v>
      </c>
    </row>
    <row r="2367" spans="6:19" ht="15" x14ac:dyDescent="0.25">
      <c r="F2367" s="39">
        <v>42151</v>
      </c>
      <c r="G2367" s="37">
        <v>2</v>
      </c>
      <c r="O2367"/>
      <c r="P2367"/>
      <c r="R2367" s="39">
        <v>42143</v>
      </c>
      <c r="S2367" s="37">
        <v>0.46439999999999998</v>
      </c>
    </row>
    <row r="2368" spans="6:19" ht="15" x14ac:dyDescent="0.25">
      <c r="F2368" s="39">
        <v>42150</v>
      </c>
      <c r="G2368" s="37">
        <v>2</v>
      </c>
      <c r="O2368"/>
      <c r="P2368"/>
      <c r="R2368" s="39">
        <v>42142</v>
      </c>
      <c r="S2368" s="37">
        <v>0.46050000000000002</v>
      </c>
    </row>
    <row r="2369" spans="6:19" ht="15" x14ac:dyDescent="0.25">
      <c r="F2369" s="39">
        <v>42149</v>
      </c>
      <c r="G2369" s="37">
        <v>2</v>
      </c>
      <c r="O2369"/>
      <c r="P2369"/>
      <c r="R2369" s="39">
        <v>42139</v>
      </c>
      <c r="S2369" s="37">
        <v>0.46050000000000002</v>
      </c>
    </row>
    <row r="2370" spans="6:19" ht="15" x14ac:dyDescent="0.25">
      <c r="F2370" s="39">
        <v>42146</v>
      </c>
      <c r="G2370" s="37">
        <v>2</v>
      </c>
      <c r="O2370"/>
      <c r="P2370"/>
      <c r="R2370" s="39">
        <v>42138</v>
      </c>
      <c r="S2370" s="37">
        <v>0.46150000000000002</v>
      </c>
    </row>
    <row r="2371" spans="6:19" ht="15" x14ac:dyDescent="0.25">
      <c r="F2371" s="39">
        <v>42145</v>
      </c>
      <c r="G2371" s="37">
        <v>2</v>
      </c>
      <c r="O2371"/>
      <c r="P2371"/>
      <c r="R2371" s="39">
        <v>42137</v>
      </c>
      <c r="S2371" s="37">
        <v>0.46129999999999999</v>
      </c>
    </row>
    <row r="2372" spans="6:19" ht="15" x14ac:dyDescent="0.25">
      <c r="F2372" s="39">
        <v>42144</v>
      </c>
      <c r="G2372" s="37">
        <v>2</v>
      </c>
      <c r="O2372"/>
      <c r="P2372"/>
      <c r="R2372" s="39">
        <v>42136</v>
      </c>
      <c r="S2372" s="37">
        <v>0.46100000000000002</v>
      </c>
    </row>
    <row r="2373" spans="6:19" ht="15" x14ac:dyDescent="0.25">
      <c r="F2373" s="39">
        <v>42143</v>
      </c>
      <c r="G2373" s="37">
        <v>2</v>
      </c>
      <c r="O2373"/>
      <c r="P2373"/>
      <c r="R2373" s="39">
        <v>42135</v>
      </c>
      <c r="S2373" s="37">
        <v>0.45829999999999999</v>
      </c>
    </row>
    <row r="2374" spans="6:19" ht="15" x14ac:dyDescent="0.25">
      <c r="F2374" s="39">
        <v>42142</v>
      </c>
      <c r="G2374" s="37">
        <v>2</v>
      </c>
      <c r="O2374"/>
      <c r="P2374"/>
      <c r="R2374" s="39">
        <v>42132</v>
      </c>
      <c r="S2374" s="37">
        <v>0.46210000000000001</v>
      </c>
    </row>
    <row r="2375" spans="6:19" ht="15" x14ac:dyDescent="0.25">
      <c r="F2375" s="39">
        <v>42139</v>
      </c>
      <c r="G2375" s="37">
        <v>2</v>
      </c>
      <c r="O2375"/>
      <c r="P2375"/>
      <c r="R2375" s="39">
        <v>42131</v>
      </c>
      <c r="S2375" s="37">
        <v>0.46110000000000001</v>
      </c>
    </row>
    <row r="2376" spans="6:19" ht="15" x14ac:dyDescent="0.25">
      <c r="F2376" s="39">
        <v>42138</v>
      </c>
      <c r="G2376" s="37">
        <v>2</v>
      </c>
      <c r="O2376"/>
      <c r="P2376"/>
      <c r="R2376" s="39">
        <v>42130</v>
      </c>
      <c r="S2376" s="37">
        <v>0.4632</v>
      </c>
    </row>
    <row r="2377" spans="6:19" ht="15" x14ac:dyDescent="0.25">
      <c r="F2377" s="39">
        <v>42137</v>
      </c>
      <c r="G2377" s="37">
        <v>2</v>
      </c>
      <c r="O2377"/>
      <c r="P2377"/>
      <c r="R2377" s="39">
        <v>42129</v>
      </c>
      <c r="S2377" s="37">
        <v>0.46550000000000002</v>
      </c>
    </row>
    <row r="2378" spans="6:19" ht="15" x14ac:dyDescent="0.25">
      <c r="F2378" s="39">
        <v>42136</v>
      </c>
      <c r="G2378" s="37">
        <v>2</v>
      </c>
      <c r="O2378"/>
      <c r="P2378"/>
      <c r="R2378" s="39">
        <v>42125</v>
      </c>
      <c r="S2378" s="37">
        <v>0.46229999999999999</v>
      </c>
    </row>
    <row r="2379" spans="6:19" ht="15" x14ac:dyDescent="0.25">
      <c r="F2379" s="39">
        <v>42135</v>
      </c>
      <c r="G2379" s="37">
        <v>2</v>
      </c>
      <c r="O2379"/>
      <c r="P2379"/>
      <c r="R2379" s="39">
        <v>42124</v>
      </c>
      <c r="S2379" s="37">
        <v>0.45290000000000002</v>
      </c>
    </row>
    <row r="2380" spans="6:19" ht="15" x14ac:dyDescent="0.25">
      <c r="F2380" s="39">
        <v>42132</v>
      </c>
      <c r="G2380" s="37">
        <v>2</v>
      </c>
      <c r="O2380"/>
      <c r="P2380"/>
      <c r="R2380" s="39">
        <v>42123</v>
      </c>
      <c r="S2380" s="37">
        <v>0.46079999999999999</v>
      </c>
    </row>
    <row r="2381" spans="6:19" ht="15" x14ac:dyDescent="0.25">
      <c r="F2381" s="39">
        <v>42131</v>
      </c>
      <c r="G2381" s="37">
        <v>2</v>
      </c>
      <c r="O2381"/>
      <c r="P2381"/>
      <c r="R2381" s="39">
        <v>42122</v>
      </c>
      <c r="S2381" s="37">
        <v>0.45660000000000001</v>
      </c>
    </row>
    <row r="2382" spans="6:19" ht="15" x14ac:dyDescent="0.25">
      <c r="F2382" s="39">
        <v>42130</v>
      </c>
      <c r="G2382" s="37">
        <v>2</v>
      </c>
      <c r="O2382"/>
      <c r="P2382"/>
      <c r="R2382" s="39">
        <v>42121</v>
      </c>
      <c r="S2382" s="37">
        <v>0.46510000000000001</v>
      </c>
    </row>
    <row r="2383" spans="6:19" ht="15" x14ac:dyDescent="0.25">
      <c r="F2383" s="39">
        <v>42129</v>
      </c>
      <c r="G2383" s="37">
        <v>2.25</v>
      </c>
      <c r="O2383"/>
      <c r="P2383"/>
      <c r="R2383" s="39">
        <v>42118</v>
      </c>
      <c r="S2383" s="37">
        <v>0.46100000000000002</v>
      </c>
    </row>
    <row r="2384" spans="6:19" ht="15" x14ac:dyDescent="0.25">
      <c r="F2384" s="39">
        <v>42128</v>
      </c>
      <c r="G2384" s="37">
        <v>2.25</v>
      </c>
      <c r="O2384"/>
      <c r="P2384"/>
      <c r="R2384" s="39">
        <v>42117</v>
      </c>
      <c r="S2384" s="37">
        <v>0.45850000000000002</v>
      </c>
    </row>
    <row r="2385" spans="6:19" ht="15" x14ac:dyDescent="0.25">
      <c r="F2385" s="39">
        <v>42125</v>
      </c>
      <c r="G2385" s="37">
        <v>2.25</v>
      </c>
      <c r="O2385"/>
      <c r="P2385"/>
      <c r="R2385" s="39">
        <v>42116</v>
      </c>
      <c r="S2385" s="37">
        <v>0.45900000000000002</v>
      </c>
    </row>
    <row r="2386" spans="6:19" ht="15" x14ac:dyDescent="0.25">
      <c r="F2386" s="39">
        <v>42124</v>
      </c>
      <c r="G2386" s="37">
        <v>2.25</v>
      </c>
      <c r="O2386"/>
      <c r="P2386"/>
      <c r="R2386" s="39">
        <v>42115</v>
      </c>
      <c r="S2386" s="37">
        <v>0.45929999999999999</v>
      </c>
    </row>
    <row r="2387" spans="6:19" ht="15" x14ac:dyDescent="0.25">
      <c r="F2387" s="39">
        <v>42123</v>
      </c>
      <c r="G2387" s="37">
        <v>2.25</v>
      </c>
      <c r="O2387"/>
      <c r="P2387"/>
      <c r="R2387" s="39">
        <v>42114</v>
      </c>
      <c r="S2387" s="37">
        <v>0.45469999999999999</v>
      </c>
    </row>
    <row r="2388" spans="6:19" ht="15" x14ac:dyDescent="0.25">
      <c r="F2388" s="39">
        <v>42122</v>
      </c>
      <c r="G2388" s="37">
        <v>2.25</v>
      </c>
      <c r="O2388"/>
      <c r="P2388"/>
      <c r="R2388" s="39">
        <v>42111</v>
      </c>
      <c r="S2388" s="37">
        <v>0.46089999999999998</v>
      </c>
    </row>
    <row r="2389" spans="6:19" ht="15" x14ac:dyDescent="0.25">
      <c r="F2389" s="39">
        <v>42121</v>
      </c>
      <c r="G2389" s="37">
        <v>2.25</v>
      </c>
      <c r="O2389"/>
      <c r="P2389"/>
      <c r="R2389" s="39">
        <v>42110</v>
      </c>
      <c r="S2389" s="37">
        <v>0.46010000000000001</v>
      </c>
    </row>
    <row r="2390" spans="6:19" ht="15" x14ac:dyDescent="0.25">
      <c r="F2390" s="39">
        <v>42118</v>
      </c>
      <c r="G2390" s="37">
        <v>2.25</v>
      </c>
      <c r="O2390"/>
      <c r="P2390"/>
      <c r="R2390" s="39">
        <v>42109</v>
      </c>
      <c r="S2390" s="37">
        <v>0.4577</v>
      </c>
    </row>
    <row r="2391" spans="6:19" ht="15" x14ac:dyDescent="0.25">
      <c r="F2391" s="39">
        <v>42117</v>
      </c>
      <c r="G2391" s="37">
        <v>2.25</v>
      </c>
      <c r="O2391"/>
      <c r="P2391"/>
      <c r="R2391" s="39">
        <v>42108</v>
      </c>
      <c r="S2391" s="37">
        <v>0.45750000000000002</v>
      </c>
    </row>
    <row r="2392" spans="6:19" ht="15" x14ac:dyDescent="0.25">
      <c r="F2392" s="39">
        <v>42116</v>
      </c>
      <c r="G2392" s="37">
        <v>2.25</v>
      </c>
      <c r="O2392"/>
      <c r="P2392"/>
      <c r="R2392" s="39">
        <v>42107</v>
      </c>
      <c r="S2392" s="37">
        <v>0.45369999999999999</v>
      </c>
    </row>
    <row r="2393" spans="6:19" ht="15" x14ac:dyDescent="0.25">
      <c r="F2393" s="39">
        <v>42115</v>
      </c>
      <c r="G2393" s="37">
        <v>2.25</v>
      </c>
      <c r="O2393"/>
      <c r="P2393"/>
      <c r="R2393" s="39">
        <v>42104</v>
      </c>
      <c r="S2393" s="37">
        <v>0.45469999999999999</v>
      </c>
    </row>
    <row r="2394" spans="6:19" ht="15" x14ac:dyDescent="0.25">
      <c r="F2394" s="39">
        <v>42114</v>
      </c>
      <c r="G2394" s="37">
        <v>2.25</v>
      </c>
      <c r="O2394"/>
      <c r="P2394"/>
      <c r="R2394" s="39">
        <v>42103</v>
      </c>
      <c r="S2394" s="37">
        <v>0.4526</v>
      </c>
    </row>
    <row r="2395" spans="6:19" ht="15" x14ac:dyDescent="0.25">
      <c r="F2395" s="39">
        <v>42111</v>
      </c>
      <c r="G2395" s="37">
        <v>2.25</v>
      </c>
      <c r="O2395"/>
      <c r="P2395"/>
      <c r="R2395" s="39">
        <v>42102</v>
      </c>
      <c r="S2395" s="37">
        <v>0.4541</v>
      </c>
    </row>
    <row r="2396" spans="6:19" ht="15" x14ac:dyDescent="0.25">
      <c r="F2396" s="39">
        <v>42110</v>
      </c>
      <c r="G2396" s="37">
        <v>2.25</v>
      </c>
      <c r="O2396"/>
      <c r="P2396"/>
      <c r="R2396" s="39">
        <v>42101</v>
      </c>
      <c r="S2396" s="37">
        <v>0.45610000000000001</v>
      </c>
    </row>
    <row r="2397" spans="6:19" ht="15" x14ac:dyDescent="0.25">
      <c r="F2397" s="39">
        <v>42109</v>
      </c>
      <c r="G2397" s="37">
        <v>2.25</v>
      </c>
      <c r="O2397"/>
      <c r="P2397"/>
      <c r="R2397" s="39">
        <v>42096</v>
      </c>
      <c r="S2397" s="37">
        <v>0.45550000000000002</v>
      </c>
    </row>
    <row r="2398" spans="6:19" ht="15" x14ac:dyDescent="0.25">
      <c r="F2398" s="39">
        <v>42108</v>
      </c>
      <c r="G2398" s="37">
        <v>2.25</v>
      </c>
      <c r="O2398"/>
      <c r="P2398"/>
      <c r="R2398" s="39">
        <v>42095</v>
      </c>
      <c r="S2398" s="37">
        <v>0.45729999999999998</v>
      </c>
    </row>
    <row r="2399" spans="6:19" ht="15" x14ac:dyDescent="0.25">
      <c r="F2399" s="39">
        <v>42107</v>
      </c>
      <c r="G2399" s="37">
        <v>2.25</v>
      </c>
      <c r="O2399"/>
      <c r="P2399"/>
      <c r="R2399" s="39">
        <v>42094</v>
      </c>
      <c r="S2399" s="37">
        <v>0.42170000000000002</v>
      </c>
    </row>
    <row r="2400" spans="6:19" ht="15" x14ac:dyDescent="0.25">
      <c r="F2400" s="39">
        <v>42104</v>
      </c>
      <c r="G2400" s="37">
        <v>2.25</v>
      </c>
      <c r="O2400"/>
      <c r="P2400"/>
      <c r="R2400" s="39">
        <v>42093</v>
      </c>
      <c r="S2400" s="37">
        <v>0.46150000000000002</v>
      </c>
    </row>
    <row r="2401" spans="6:19" ht="15" x14ac:dyDescent="0.25">
      <c r="F2401" s="39">
        <v>42103</v>
      </c>
      <c r="G2401" s="37">
        <v>2.25</v>
      </c>
      <c r="O2401"/>
      <c r="P2401"/>
      <c r="R2401" s="39">
        <v>42090</v>
      </c>
      <c r="S2401" s="37">
        <v>0.4637</v>
      </c>
    </row>
    <row r="2402" spans="6:19" ht="15" x14ac:dyDescent="0.25">
      <c r="F2402" s="39">
        <v>42102</v>
      </c>
      <c r="G2402" s="37">
        <v>2.25</v>
      </c>
      <c r="O2402"/>
      <c r="P2402"/>
      <c r="R2402" s="39">
        <v>42089</v>
      </c>
      <c r="S2402" s="37">
        <v>0.45540000000000003</v>
      </c>
    </row>
    <row r="2403" spans="6:19" ht="15" x14ac:dyDescent="0.25">
      <c r="F2403" s="39">
        <v>42101</v>
      </c>
      <c r="G2403" s="37">
        <v>2.25</v>
      </c>
      <c r="O2403"/>
      <c r="P2403"/>
      <c r="R2403" s="39">
        <v>42088</v>
      </c>
      <c r="S2403" s="37">
        <v>0.45860000000000001</v>
      </c>
    </row>
    <row r="2404" spans="6:19" ht="15" x14ac:dyDescent="0.25">
      <c r="F2404" s="39">
        <v>42096</v>
      </c>
      <c r="G2404" s="37">
        <v>2.25</v>
      </c>
      <c r="O2404"/>
      <c r="P2404"/>
      <c r="R2404" s="39">
        <v>42087</v>
      </c>
      <c r="S2404" s="37">
        <v>0.46400000000000002</v>
      </c>
    </row>
    <row r="2405" spans="6:19" ht="15" x14ac:dyDescent="0.25">
      <c r="F2405" s="39">
        <v>42095</v>
      </c>
      <c r="G2405" s="37">
        <v>2.25</v>
      </c>
      <c r="O2405"/>
      <c r="P2405"/>
      <c r="R2405" s="39">
        <v>42086</v>
      </c>
      <c r="S2405" s="37">
        <v>0.4607</v>
      </c>
    </row>
    <row r="2406" spans="6:19" ht="15" x14ac:dyDescent="0.25">
      <c r="F2406" s="39">
        <v>42094</v>
      </c>
      <c r="G2406" s="37">
        <v>2.25</v>
      </c>
      <c r="O2406"/>
      <c r="P2406"/>
      <c r="R2406" s="39">
        <v>42083</v>
      </c>
      <c r="S2406" s="37">
        <v>0.45989999999999998</v>
      </c>
    </row>
    <row r="2407" spans="6:19" ht="15" x14ac:dyDescent="0.25">
      <c r="F2407" s="39">
        <v>42093</v>
      </c>
      <c r="G2407" s="37">
        <v>2.25</v>
      </c>
      <c r="O2407"/>
      <c r="P2407"/>
      <c r="R2407" s="39">
        <v>42082</v>
      </c>
      <c r="S2407" s="37">
        <v>0.45700000000000002</v>
      </c>
    </row>
    <row r="2408" spans="6:19" ht="15" x14ac:dyDescent="0.25">
      <c r="F2408" s="39">
        <v>42090</v>
      </c>
      <c r="G2408" s="37">
        <v>2.25</v>
      </c>
      <c r="O2408"/>
      <c r="P2408"/>
      <c r="R2408" s="39">
        <v>42081</v>
      </c>
      <c r="S2408" s="37">
        <v>0.4607</v>
      </c>
    </row>
    <row r="2409" spans="6:19" ht="15" x14ac:dyDescent="0.25">
      <c r="F2409" s="39">
        <v>42089</v>
      </c>
      <c r="G2409" s="37">
        <v>2.25</v>
      </c>
      <c r="O2409"/>
      <c r="P2409"/>
      <c r="R2409" s="39">
        <v>42080</v>
      </c>
      <c r="S2409" s="37">
        <v>0.45200000000000001</v>
      </c>
    </row>
    <row r="2410" spans="6:19" ht="15" x14ac:dyDescent="0.25">
      <c r="F2410" s="39">
        <v>42088</v>
      </c>
      <c r="G2410" s="37">
        <v>2.25</v>
      </c>
      <c r="O2410"/>
      <c r="P2410"/>
      <c r="R2410" s="39">
        <v>42079</v>
      </c>
      <c r="S2410" s="37">
        <v>0.4496</v>
      </c>
    </row>
    <row r="2411" spans="6:19" ht="15" x14ac:dyDescent="0.25">
      <c r="F2411" s="39">
        <v>42087</v>
      </c>
      <c r="G2411" s="37">
        <v>2.25</v>
      </c>
      <c r="O2411"/>
      <c r="P2411"/>
      <c r="R2411" s="39">
        <v>42076</v>
      </c>
      <c r="S2411" s="37">
        <v>0.45290000000000002</v>
      </c>
    </row>
    <row r="2412" spans="6:19" ht="15" x14ac:dyDescent="0.25">
      <c r="F2412" s="39">
        <v>42086</v>
      </c>
      <c r="G2412" s="37">
        <v>2.25</v>
      </c>
      <c r="O2412"/>
      <c r="P2412"/>
      <c r="R2412" s="39">
        <v>42075</v>
      </c>
      <c r="S2412" s="37">
        <v>0.4521</v>
      </c>
    </row>
    <row r="2413" spans="6:19" ht="15" x14ac:dyDescent="0.25">
      <c r="F2413" s="39">
        <v>42083</v>
      </c>
      <c r="G2413" s="37">
        <v>2.25</v>
      </c>
      <c r="O2413"/>
      <c r="P2413"/>
      <c r="R2413" s="39">
        <v>42074</v>
      </c>
      <c r="S2413" s="37">
        <v>0.45590000000000003</v>
      </c>
    </row>
    <row r="2414" spans="6:19" ht="15" x14ac:dyDescent="0.25">
      <c r="F2414" s="39">
        <v>42082</v>
      </c>
      <c r="G2414" s="37">
        <v>2.25</v>
      </c>
      <c r="O2414"/>
      <c r="P2414"/>
      <c r="R2414" s="39">
        <v>42073</v>
      </c>
      <c r="S2414" s="37">
        <v>0.45889999999999997</v>
      </c>
    </row>
    <row r="2415" spans="6:19" ht="15" x14ac:dyDescent="0.25">
      <c r="F2415" s="39">
        <v>42081</v>
      </c>
      <c r="G2415" s="37">
        <v>2.25</v>
      </c>
      <c r="O2415"/>
      <c r="P2415"/>
      <c r="R2415" s="39">
        <v>42072</v>
      </c>
      <c r="S2415" s="37">
        <v>0.4627</v>
      </c>
    </row>
    <row r="2416" spans="6:19" ht="15" x14ac:dyDescent="0.25">
      <c r="F2416" s="39">
        <v>42080</v>
      </c>
      <c r="G2416" s="37">
        <v>2.25</v>
      </c>
      <c r="O2416"/>
      <c r="P2416"/>
      <c r="R2416" s="39">
        <v>42069</v>
      </c>
      <c r="S2416" s="37">
        <v>0.45760000000000001</v>
      </c>
    </row>
    <row r="2417" spans="6:19" ht="15" x14ac:dyDescent="0.25">
      <c r="F2417" s="39">
        <v>42079</v>
      </c>
      <c r="G2417" s="37">
        <v>2.25</v>
      </c>
      <c r="O2417"/>
      <c r="P2417"/>
      <c r="R2417" s="39">
        <v>42068</v>
      </c>
      <c r="S2417" s="37">
        <v>0.46279999999999999</v>
      </c>
    </row>
    <row r="2418" spans="6:19" ht="15" x14ac:dyDescent="0.25">
      <c r="F2418" s="39">
        <v>42076</v>
      </c>
      <c r="G2418" s="37">
        <v>2.25</v>
      </c>
      <c r="O2418"/>
      <c r="P2418"/>
      <c r="R2418" s="39">
        <v>42067</v>
      </c>
      <c r="S2418" s="37">
        <v>0.45750000000000002</v>
      </c>
    </row>
    <row r="2419" spans="6:19" ht="15" x14ac:dyDescent="0.25">
      <c r="F2419" s="39">
        <v>42075</v>
      </c>
      <c r="G2419" s="37">
        <v>2.25</v>
      </c>
      <c r="O2419"/>
      <c r="P2419"/>
      <c r="R2419" s="39">
        <v>42066</v>
      </c>
      <c r="S2419" s="37">
        <v>0.46050000000000002</v>
      </c>
    </row>
    <row r="2420" spans="6:19" ht="15" x14ac:dyDescent="0.25">
      <c r="F2420" s="39">
        <v>42074</v>
      </c>
      <c r="G2420" s="37">
        <v>2.25</v>
      </c>
      <c r="O2420"/>
      <c r="P2420"/>
      <c r="R2420" s="39">
        <v>42065</v>
      </c>
      <c r="S2420" s="37">
        <v>0.46389999999999998</v>
      </c>
    </row>
    <row r="2421" spans="6:19" ht="15" x14ac:dyDescent="0.25">
      <c r="F2421" s="39">
        <v>42073</v>
      </c>
      <c r="G2421" s="37">
        <v>2.25</v>
      </c>
      <c r="O2421"/>
      <c r="P2421"/>
      <c r="R2421" s="39">
        <v>42062</v>
      </c>
      <c r="S2421" s="37">
        <v>0.44419999999999998</v>
      </c>
    </row>
    <row r="2422" spans="6:19" ht="15" x14ac:dyDescent="0.25">
      <c r="F2422" s="39">
        <v>42072</v>
      </c>
      <c r="G2422" s="37">
        <v>2.25</v>
      </c>
      <c r="O2422"/>
      <c r="P2422"/>
      <c r="R2422" s="39">
        <v>42061</v>
      </c>
      <c r="S2422" s="37">
        <v>0.46689999999999998</v>
      </c>
    </row>
    <row r="2423" spans="6:19" ht="15" x14ac:dyDescent="0.25">
      <c r="F2423" s="39">
        <v>42069</v>
      </c>
      <c r="G2423" s="37">
        <v>2.25</v>
      </c>
      <c r="O2423"/>
      <c r="P2423"/>
      <c r="R2423" s="39">
        <v>42060</v>
      </c>
      <c r="S2423" s="37">
        <v>0.45739999999999997</v>
      </c>
    </row>
    <row r="2424" spans="6:19" ht="15" x14ac:dyDescent="0.25">
      <c r="F2424" s="39">
        <v>42068</v>
      </c>
      <c r="G2424" s="37">
        <v>2.25</v>
      </c>
      <c r="O2424"/>
      <c r="P2424"/>
      <c r="R2424" s="39">
        <v>42059</v>
      </c>
      <c r="S2424" s="37">
        <v>0.45979999999999999</v>
      </c>
    </row>
    <row r="2425" spans="6:19" ht="15" x14ac:dyDescent="0.25">
      <c r="F2425" s="39">
        <v>42067</v>
      </c>
      <c r="G2425" s="37">
        <v>2.25</v>
      </c>
      <c r="O2425"/>
      <c r="P2425"/>
      <c r="R2425" s="39">
        <v>42058</v>
      </c>
      <c r="S2425" s="37">
        <v>0.45050000000000001</v>
      </c>
    </row>
    <row r="2426" spans="6:19" ht="15" x14ac:dyDescent="0.25">
      <c r="F2426" s="39">
        <v>42066</v>
      </c>
      <c r="G2426" s="37">
        <v>2.25</v>
      </c>
      <c r="O2426"/>
      <c r="P2426"/>
      <c r="R2426" s="39">
        <v>42055</v>
      </c>
      <c r="S2426" s="37">
        <v>0.45679999999999998</v>
      </c>
    </row>
    <row r="2427" spans="6:19" ht="15" x14ac:dyDescent="0.25">
      <c r="F2427" s="39">
        <v>42065</v>
      </c>
      <c r="G2427" s="37">
        <v>2.25</v>
      </c>
      <c r="O2427"/>
      <c r="P2427"/>
      <c r="R2427" s="39">
        <v>42054</v>
      </c>
      <c r="S2427" s="37">
        <v>0.46539999999999998</v>
      </c>
    </row>
    <row r="2428" spans="6:19" ht="15" x14ac:dyDescent="0.25">
      <c r="F2428" s="39">
        <v>42062</v>
      </c>
      <c r="G2428" s="37">
        <v>2.25</v>
      </c>
      <c r="O2428"/>
      <c r="P2428"/>
      <c r="R2428" s="39">
        <v>42053</v>
      </c>
      <c r="S2428" s="37">
        <v>0.46429999999999999</v>
      </c>
    </row>
    <row r="2429" spans="6:19" ht="15" x14ac:dyDescent="0.25">
      <c r="F2429" s="39">
        <v>42061</v>
      </c>
      <c r="G2429" s="37">
        <v>2.25</v>
      </c>
      <c r="O2429"/>
      <c r="P2429"/>
      <c r="R2429" s="39">
        <v>42052</v>
      </c>
      <c r="S2429" s="37">
        <v>0.46250000000000002</v>
      </c>
    </row>
    <row r="2430" spans="6:19" ht="15" x14ac:dyDescent="0.25">
      <c r="F2430" s="39">
        <v>42060</v>
      </c>
      <c r="G2430" s="37">
        <v>2.25</v>
      </c>
      <c r="O2430"/>
      <c r="P2430"/>
      <c r="R2430" s="39">
        <v>42051</v>
      </c>
      <c r="S2430" s="37">
        <v>0.45619999999999999</v>
      </c>
    </row>
    <row r="2431" spans="6:19" ht="15" x14ac:dyDescent="0.25">
      <c r="F2431" s="39">
        <v>42059</v>
      </c>
      <c r="G2431" s="37">
        <v>2.25</v>
      </c>
      <c r="O2431"/>
      <c r="P2431"/>
      <c r="R2431" s="39">
        <v>42048</v>
      </c>
      <c r="S2431" s="37">
        <v>0.45240000000000002</v>
      </c>
    </row>
    <row r="2432" spans="6:19" ht="15" x14ac:dyDescent="0.25">
      <c r="F2432" s="39">
        <v>42058</v>
      </c>
      <c r="G2432" s="37">
        <v>2.25</v>
      </c>
      <c r="O2432"/>
      <c r="P2432"/>
      <c r="R2432" s="39">
        <v>42047</v>
      </c>
      <c r="S2432" s="37">
        <v>0.44230000000000003</v>
      </c>
    </row>
    <row r="2433" spans="6:19" ht="15" x14ac:dyDescent="0.25">
      <c r="F2433" s="39">
        <v>42055</v>
      </c>
      <c r="G2433" s="37">
        <v>2.25</v>
      </c>
      <c r="O2433"/>
      <c r="P2433"/>
      <c r="R2433" s="39">
        <v>42046</v>
      </c>
      <c r="S2433" s="37">
        <v>0.44309999999999999</v>
      </c>
    </row>
    <row r="2434" spans="6:19" ht="15" x14ac:dyDescent="0.25">
      <c r="F2434" s="39">
        <v>42054</v>
      </c>
      <c r="G2434" s="37">
        <v>2.25</v>
      </c>
      <c r="O2434"/>
      <c r="P2434"/>
      <c r="R2434" s="39">
        <v>42045</v>
      </c>
      <c r="S2434" s="37">
        <v>0.441</v>
      </c>
    </row>
    <row r="2435" spans="6:19" ht="15" x14ac:dyDescent="0.25">
      <c r="F2435" s="39">
        <v>42053</v>
      </c>
      <c r="G2435" s="37">
        <v>2.25</v>
      </c>
      <c r="O2435"/>
      <c r="P2435"/>
      <c r="R2435" s="39">
        <v>42044</v>
      </c>
      <c r="S2435" s="37">
        <v>0.44269999999999998</v>
      </c>
    </row>
    <row r="2436" spans="6:19" ht="15" x14ac:dyDescent="0.25">
      <c r="F2436" s="39">
        <v>42052</v>
      </c>
      <c r="G2436" s="37">
        <v>2.25</v>
      </c>
      <c r="O2436"/>
      <c r="P2436"/>
      <c r="R2436" s="39">
        <v>42041</v>
      </c>
      <c r="S2436" s="37">
        <v>0.44529999999999997</v>
      </c>
    </row>
    <row r="2437" spans="6:19" ht="15" x14ac:dyDescent="0.25">
      <c r="F2437" s="39">
        <v>42051</v>
      </c>
      <c r="G2437" s="37">
        <v>2.25</v>
      </c>
      <c r="O2437"/>
      <c r="P2437"/>
      <c r="R2437" s="39">
        <v>42040</v>
      </c>
      <c r="S2437" s="37">
        <v>0.44269999999999998</v>
      </c>
    </row>
    <row r="2438" spans="6:19" ht="15" x14ac:dyDescent="0.25">
      <c r="F2438" s="39">
        <v>42048</v>
      </c>
      <c r="G2438" s="37">
        <v>2.25</v>
      </c>
      <c r="O2438"/>
      <c r="P2438"/>
      <c r="R2438" s="39">
        <v>42039</v>
      </c>
      <c r="S2438" s="37">
        <v>0.4345</v>
      </c>
    </row>
    <row r="2439" spans="6:19" ht="15" x14ac:dyDescent="0.25">
      <c r="F2439" s="39">
        <v>42047</v>
      </c>
      <c r="G2439" s="37">
        <v>2.25</v>
      </c>
      <c r="O2439"/>
      <c r="P2439"/>
      <c r="R2439" s="39">
        <v>42038</v>
      </c>
      <c r="S2439" s="37">
        <v>0.45</v>
      </c>
    </row>
    <row r="2440" spans="6:19" ht="15" x14ac:dyDescent="0.25">
      <c r="F2440" s="39">
        <v>42046</v>
      </c>
      <c r="G2440" s="37">
        <v>2.25</v>
      </c>
      <c r="O2440"/>
      <c r="P2440"/>
      <c r="R2440" s="39">
        <v>42037</v>
      </c>
      <c r="S2440" s="37">
        <v>0.44429999999999997</v>
      </c>
    </row>
    <row r="2441" spans="6:19" ht="15" x14ac:dyDescent="0.25">
      <c r="F2441" s="39">
        <v>42045</v>
      </c>
      <c r="G2441" s="37">
        <v>2.25</v>
      </c>
      <c r="O2441"/>
      <c r="P2441"/>
      <c r="R2441" s="39">
        <v>42034</v>
      </c>
      <c r="S2441" s="37">
        <v>0.41949999999999998</v>
      </c>
    </row>
    <row r="2442" spans="6:19" ht="15" x14ac:dyDescent="0.25">
      <c r="F2442" s="39">
        <v>42044</v>
      </c>
      <c r="G2442" s="37">
        <v>2.25</v>
      </c>
      <c r="O2442"/>
      <c r="P2442"/>
      <c r="R2442" s="39">
        <v>42033</v>
      </c>
      <c r="S2442" s="37">
        <v>0.44069999999999998</v>
      </c>
    </row>
    <row r="2443" spans="6:19" ht="15" x14ac:dyDescent="0.25">
      <c r="F2443" s="39">
        <v>42041</v>
      </c>
      <c r="G2443" s="37">
        <v>2.25</v>
      </c>
      <c r="O2443"/>
      <c r="P2443"/>
      <c r="R2443" s="39">
        <v>42032</v>
      </c>
      <c r="S2443" s="37">
        <v>0.44740000000000002</v>
      </c>
    </row>
    <row r="2444" spans="6:19" ht="15" x14ac:dyDescent="0.25">
      <c r="F2444" s="39">
        <v>42040</v>
      </c>
      <c r="G2444" s="37">
        <v>2.25</v>
      </c>
      <c r="O2444"/>
      <c r="P2444"/>
      <c r="R2444" s="39">
        <v>42031</v>
      </c>
      <c r="S2444" s="37">
        <v>0.43219999999999997</v>
      </c>
    </row>
    <row r="2445" spans="6:19" ht="15" x14ac:dyDescent="0.25">
      <c r="F2445" s="39">
        <v>42039</v>
      </c>
      <c r="G2445" s="37">
        <v>2.25</v>
      </c>
      <c r="O2445"/>
      <c r="P2445"/>
      <c r="R2445" s="39">
        <v>42030</v>
      </c>
      <c r="S2445" s="37">
        <v>0.44429999999999997</v>
      </c>
    </row>
    <row r="2446" spans="6:19" ht="15" x14ac:dyDescent="0.25">
      <c r="F2446" s="39">
        <v>42038</v>
      </c>
      <c r="G2446" s="37">
        <v>2.5</v>
      </c>
      <c r="O2446"/>
      <c r="P2446"/>
      <c r="R2446" s="39">
        <v>42027</v>
      </c>
      <c r="S2446" s="37">
        <v>0.4461</v>
      </c>
    </row>
    <row r="2447" spans="6:19" ht="15" x14ac:dyDescent="0.25">
      <c r="F2447" s="39">
        <v>42037</v>
      </c>
      <c r="G2447" s="37">
        <v>2.5</v>
      </c>
      <c r="O2447"/>
      <c r="P2447"/>
      <c r="R2447" s="39">
        <v>42026</v>
      </c>
      <c r="S2447" s="37">
        <v>0.4325</v>
      </c>
    </row>
    <row r="2448" spans="6:19" ht="15" x14ac:dyDescent="0.25">
      <c r="F2448" s="39">
        <v>42034</v>
      </c>
      <c r="G2448" s="37">
        <v>2.5</v>
      </c>
      <c r="O2448"/>
      <c r="P2448"/>
      <c r="R2448" s="39">
        <v>42025</v>
      </c>
      <c r="S2448" s="37">
        <v>0.43659999999999999</v>
      </c>
    </row>
    <row r="2449" spans="6:19" ht="15" x14ac:dyDescent="0.25">
      <c r="F2449" s="39">
        <v>42033</v>
      </c>
      <c r="G2449" s="37">
        <v>2.5</v>
      </c>
      <c r="O2449"/>
      <c r="P2449"/>
      <c r="R2449" s="39">
        <v>42024</v>
      </c>
      <c r="S2449" s="37">
        <v>0.43380000000000002</v>
      </c>
    </row>
    <row r="2450" spans="6:19" ht="15" x14ac:dyDescent="0.25">
      <c r="F2450" s="39">
        <v>42032</v>
      </c>
      <c r="G2450" s="37">
        <v>2.5</v>
      </c>
      <c r="O2450"/>
      <c r="P2450"/>
      <c r="R2450" s="39">
        <v>42023</v>
      </c>
      <c r="S2450" s="37">
        <v>0.44219999999999998</v>
      </c>
    </row>
    <row r="2451" spans="6:19" ht="15" x14ac:dyDescent="0.25">
      <c r="F2451" s="39">
        <v>42031</v>
      </c>
      <c r="G2451" s="37">
        <v>2.5</v>
      </c>
      <c r="O2451"/>
      <c r="P2451"/>
      <c r="R2451" s="39">
        <v>42020</v>
      </c>
      <c r="S2451" s="37">
        <v>0.43719999999999998</v>
      </c>
    </row>
    <row r="2452" spans="6:19" ht="15" x14ac:dyDescent="0.25">
      <c r="F2452" s="39">
        <v>42027</v>
      </c>
      <c r="G2452" s="37">
        <v>2.5</v>
      </c>
      <c r="O2452"/>
      <c r="P2452"/>
      <c r="R2452" s="39">
        <v>42019</v>
      </c>
      <c r="S2452" s="37">
        <v>0.43840000000000001</v>
      </c>
    </row>
    <row r="2453" spans="6:19" ht="15" x14ac:dyDescent="0.25">
      <c r="F2453" s="39">
        <v>42026</v>
      </c>
      <c r="G2453" s="37">
        <v>2.5</v>
      </c>
      <c r="O2453"/>
      <c r="P2453"/>
      <c r="R2453" s="39">
        <v>42018</v>
      </c>
      <c r="S2453" s="37">
        <v>0.43340000000000001</v>
      </c>
    </row>
    <row r="2454" spans="6:19" ht="15" x14ac:dyDescent="0.25">
      <c r="F2454" s="39">
        <v>42025</v>
      </c>
      <c r="G2454" s="37">
        <v>2.5</v>
      </c>
      <c r="O2454"/>
      <c r="P2454"/>
      <c r="R2454" s="39">
        <v>42017</v>
      </c>
      <c r="S2454" s="37">
        <v>0.43480000000000002</v>
      </c>
    </row>
    <row r="2455" spans="6:19" ht="15" x14ac:dyDescent="0.25">
      <c r="F2455" s="39">
        <v>42024</v>
      </c>
      <c r="G2455" s="37">
        <v>2.5</v>
      </c>
      <c r="O2455"/>
      <c r="P2455"/>
      <c r="R2455" s="39">
        <v>42016</v>
      </c>
      <c r="S2455" s="37">
        <v>0.43519999999999998</v>
      </c>
    </row>
    <row r="2456" spans="6:19" ht="15" x14ac:dyDescent="0.25">
      <c r="F2456" s="39">
        <v>42023</v>
      </c>
      <c r="G2456" s="37">
        <v>2.5</v>
      </c>
      <c r="O2456"/>
      <c r="P2456"/>
      <c r="R2456" s="39">
        <v>42013</v>
      </c>
      <c r="S2456" s="37">
        <v>0.43269999999999997</v>
      </c>
    </row>
    <row r="2457" spans="6:19" ht="15" x14ac:dyDescent="0.25">
      <c r="F2457" s="39">
        <v>42020</v>
      </c>
      <c r="G2457" s="37">
        <v>2.5</v>
      </c>
      <c r="O2457"/>
      <c r="P2457"/>
      <c r="R2457" s="39">
        <v>42012</v>
      </c>
      <c r="S2457" s="37">
        <v>0.43390000000000001</v>
      </c>
    </row>
    <row r="2458" spans="6:19" ht="15" x14ac:dyDescent="0.25">
      <c r="F2458" s="39">
        <v>42019</v>
      </c>
      <c r="G2458" s="37">
        <v>2.5</v>
      </c>
      <c r="O2458"/>
      <c r="P2458"/>
      <c r="R2458" s="39">
        <v>42011</v>
      </c>
      <c r="S2458" s="37">
        <v>0.42920000000000003</v>
      </c>
    </row>
    <row r="2459" spans="6:19" ht="15" x14ac:dyDescent="0.25">
      <c r="F2459" s="39">
        <v>42018</v>
      </c>
      <c r="G2459" s="37">
        <v>2.5</v>
      </c>
      <c r="O2459"/>
      <c r="P2459"/>
      <c r="R2459" s="39">
        <v>42010</v>
      </c>
      <c r="S2459" s="37">
        <v>0.43</v>
      </c>
    </row>
    <row r="2460" spans="6:19" ht="15" x14ac:dyDescent="0.25">
      <c r="F2460" s="39">
        <v>42017</v>
      </c>
      <c r="G2460" s="37">
        <v>2.5</v>
      </c>
      <c r="O2460"/>
      <c r="P2460"/>
      <c r="R2460" s="39">
        <v>42009</v>
      </c>
      <c r="S2460" s="37">
        <v>0.4335</v>
      </c>
    </row>
    <row r="2461" spans="6:19" ht="15" x14ac:dyDescent="0.25">
      <c r="F2461" s="39">
        <v>42016</v>
      </c>
      <c r="G2461" s="37">
        <v>2.5</v>
      </c>
      <c r="O2461"/>
      <c r="P2461"/>
      <c r="R2461" s="39">
        <v>42006</v>
      </c>
      <c r="S2461" s="37">
        <v>0.43159999999999998</v>
      </c>
    </row>
    <row r="2462" spans="6:19" ht="15" x14ac:dyDescent="0.25">
      <c r="F2462" s="39">
        <v>42013</v>
      </c>
      <c r="G2462" s="37">
        <v>2.5</v>
      </c>
      <c r="O2462"/>
      <c r="P2462"/>
      <c r="R2462" s="39">
        <v>42004</v>
      </c>
      <c r="S2462" s="37">
        <v>0.35649999999999998</v>
      </c>
    </row>
    <row r="2463" spans="6:19" ht="15" x14ac:dyDescent="0.25">
      <c r="F2463" s="39">
        <v>42012</v>
      </c>
      <c r="G2463" s="37">
        <v>2.5</v>
      </c>
      <c r="O2463"/>
      <c r="P2463"/>
      <c r="R2463" s="39">
        <v>42003</v>
      </c>
      <c r="S2463" s="37">
        <v>0.43240000000000001</v>
      </c>
    </row>
    <row r="2464" spans="6:19" ht="15" x14ac:dyDescent="0.25">
      <c r="F2464" s="39">
        <v>42011</v>
      </c>
      <c r="G2464" s="37">
        <v>2.5</v>
      </c>
      <c r="O2464"/>
      <c r="P2464"/>
      <c r="R2464" s="39">
        <v>42002</v>
      </c>
      <c r="S2464" s="37">
        <v>0.42799999999999999</v>
      </c>
    </row>
    <row r="2465" spans="6:19" ht="15" x14ac:dyDescent="0.25">
      <c r="F2465" s="39">
        <v>42010</v>
      </c>
      <c r="G2465" s="37">
        <v>2.5</v>
      </c>
      <c r="O2465"/>
      <c r="P2465"/>
      <c r="R2465" s="39">
        <v>41997</v>
      </c>
      <c r="S2465" s="37">
        <v>0.43030000000000002</v>
      </c>
    </row>
    <row r="2466" spans="6:19" ht="15" x14ac:dyDescent="0.25">
      <c r="F2466" s="39">
        <v>42009</v>
      </c>
      <c r="G2466" s="37">
        <v>2.5</v>
      </c>
      <c r="O2466"/>
      <c r="P2466"/>
      <c r="R2466" s="39">
        <v>41996</v>
      </c>
      <c r="S2466" s="37">
        <v>0.42699999999999999</v>
      </c>
    </row>
    <row r="2467" spans="6:19" ht="15" x14ac:dyDescent="0.25">
      <c r="F2467" s="39">
        <v>42006</v>
      </c>
      <c r="G2467" s="37">
        <v>2.5</v>
      </c>
      <c r="O2467"/>
      <c r="P2467"/>
      <c r="R2467" s="39">
        <v>41995</v>
      </c>
      <c r="S2467" s="37">
        <v>0.42799999999999999</v>
      </c>
    </row>
    <row r="2468" spans="6:19" ht="15" x14ac:dyDescent="0.25">
      <c r="F2468" s="39">
        <v>42004</v>
      </c>
      <c r="G2468" s="37">
        <v>2.5</v>
      </c>
      <c r="O2468"/>
      <c r="P2468"/>
      <c r="R2468" s="39">
        <v>41992</v>
      </c>
      <c r="S2468" s="37">
        <v>0.43190000000000001</v>
      </c>
    </row>
    <row r="2469" spans="6:19" ht="15" x14ac:dyDescent="0.25">
      <c r="F2469" s="39">
        <v>42003</v>
      </c>
      <c r="G2469" s="37">
        <v>2.5</v>
      </c>
      <c r="O2469"/>
      <c r="P2469"/>
      <c r="R2469" s="39">
        <v>41991</v>
      </c>
      <c r="S2469" s="37">
        <v>0.43169999999999997</v>
      </c>
    </row>
    <row r="2470" spans="6:19" ht="15" x14ac:dyDescent="0.25">
      <c r="F2470" s="39">
        <v>42002</v>
      </c>
      <c r="G2470" s="37">
        <v>2.5</v>
      </c>
      <c r="O2470"/>
      <c r="P2470"/>
      <c r="R2470" s="39">
        <v>41990</v>
      </c>
      <c r="S2470" s="37">
        <v>0.4299</v>
      </c>
    </row>
    <row r="2471" spans="6:19" ht="15" x14ac:dyDescent="0.25">
      <c r="F2471" s="39">
        <v>41997</v>
      </c>
      <c r="G2471" s="37">
        <v>2.5</v>
      </c>
      <c r="O2471"/>
      <c r="P2471"/>
      <c r="R2471" s="39">
        <v>41989</v>
      </c>
      <c r="S2471" s="37">
        <v>0.43390000000000001</v>
      </c>
    </row>
    <row r="2472" spans="6:19" ht="15" x14ac:dyDescent="0.25">
      <c r="F2472" s="39">
        <v>41996</v>
      </c>
      <c r="G2472" s="37">
        <v>2.5</v>
      </c>
      <c r="O2472"/>
      <c r="P2472"/>
      <c r="R2472" s="39">
        <v>41988</v>
      </c>
      <c r="S2472" s="37">
        <v>0.433</v>
      </c>
    </row>
    <row r="2473" spans="6:19" ht="15" x14ac:dyDescent="0.25">
      <c r="F2473" s="39">
        <v>41995</v>
      </c>
      <c r="G2473" s="37">
        <v>2.5</v>
      </c>
      <c r="O2473"/>
      <c r="P2473"/>
      <c r="R2473" s="39">
        <v>41985</v>
      </c>
      <c r="S2473" s="37">
        <v>0.43580000000000002</v>
      </c>
    </row>
    <row r="2474" spans="6:19" ht="15" x14ac:dyDescent="0.25">
      <c r="F2474" s="39">
        <v>41992</v>
      </c>
      <c r="G2474" s="37">
        <v>2.5</v>
      </c>
      <c r="O2474"/>
      <c r="P2474"/>
      <c r="R2474" s="39">
        <v>41984</v>
      </c>
      <c r="S2474" s="37">
        <v>0.43630000000000002</v>
      </c>
    </row>
    <row r="2475" spans="6:19" ht="15" x14ac:dyDescent="0.25">
      <c r="F2475" s="39">
        <v>41991</v>
      </c>
      <c r="G2475" s="37">
        <v>2.5</v>
      </c>
      <c r="O2475"/>
      <c r="P2475"/>
      <c r="R2475" s="39">
        <v>41983</v>
      </c>
      <c r="S2475" s="37">
        <v>0.43569999999999998</v>
      </c>
    </row>
    <row r="2476" spans="6:19" ht="15" x14ac:dyDescent="0.25">
      <c r="F2476" s="39">
        <v>41990</v>
      </c>
      <c r="G2476" s="37">
        <v>2.5</v>
      </c>
      <c r="O2476"/>
      <c r="P2476"/>
      <c r="R2476" s="39">
        <v>41982</v>
      </c>
      <c r="S2476" s="37">
        <v>0.443</v>
      </c>
    </row>
    <row r="2477" spans="6:19" ht="15" x14ac:dyDescent="0.25">
      <c r="F2477" s="39">
        <v>41989</v>
      </c>
      <c r="G2477" s="37">
        <v>2.5</v>
      </c>
      <c r="O2477"/>
      <c r="P2477"/>
      <c r="R2477" s="39">
        <v>41981</v>
      </c>
      <c r="S2477" s="37">
        <v>0.42930000000000001</v>
      </c>
    </row>
    <row r="2478" spans="6:19" ht="15" x14ac:dyDescent="0.25">
      <c r="F2478" s="39">
        <v>41988</v>
      </c>
      <c r="G2478" s="37">
        <v>2.5</v>
      </c>
      <c r="O2478"/>
      <c r="P2478"/>
      <c r="R2478" s="39">
        <v>41978</v>
      </c>
      <c r="S2478" s="37">
        <v>0.42659999999999998</v>
      </c>
    </row>
    <row r="2479" spans="6:19" ht="15" x14ac:dyDescent="0.25">
      <c r="F2479" s="39">
        <v>41985</v>
      </c>
      <c r="G2479" s="37">
        <v>2.5</v>
      </c>
      <c r="O2479"/>
      <c r="P2479"/>
      <c r="R2479" s="39">
        <v>41977</v>
      </c>
      <c r="S2479" s="37">
        <v>0.42659999999999998</v>
      </c>
    </row>
    <row r="2480" spans="6:19" ht="15" x14ac:dyDescent="0.25">
      <c r="F2480" s="39">
        <v>41984</v>
      </c>
      <c r="G2480" s="37">
        <v>2.5</v>
      </c>
      <c r="O2480"/>
      <c r="P2480"/>
      <c r="R2480" s="39">
        <v>41976</v>
      </c>
      <c r="S2480" s="37">
        <v>0.4274</v>
      </c>
    </row>
    <row r="2481" spans="6:19" ht="15" x14ac:dyDescent="0.25">
      <c r="F2481" s="39">
        <v>41983</v>
      </c>
      <c r="G2481" s="37">
        <v>2.5</v>
      </c>
      <c r="O2481"/>
      <c r="P2481"/>
      <c r="R2481" s="39">
        <v>41975</v>
      </c>
      <c r="S2481" s="37">
        <v>0.42880000000000001</v>
      </c>
    </row>
    <row r="2482" spans="6:19" ht="15" x14ac:dyDescent="0.25">
      <c r="F2482" s="39">
        <v>41982</v>
      </c>
      <c r="G2482" s="37">
        <v>2.5</v>
      </c>
      <c r="O2482"/>
      <c r="P2482"/>
      <c r="R2482" s="39">
        <v>41974</v>
      </c>
      <c r="S2482" s="37">
        <v>0.43590000000000001</v>
      </c>
    </row>
    <row r="2483" spans="6:19" ht="15" x14ac:dyDescent="0.25">
      <c r="F2483" s="39">
        <v>41981</v>
      </c>
      <c r="G2483" s="37">
        <v>2.5</v>
      </c>
      <c r="O2483"/>
      <c r="P2483"/>
      <c r="R2483" s="39">
        <v>41971</v>
      </c>
      <c r="S2483" s="37">
        <v>0.42249999999999999</v>
      </c>
    </row>
    <row r="2484" spans="6:19" ht="15" x14ac:dyDescent="0.25">
      <c r="F2484" s="39">
        <v>41978</v>
      </c>
      <c r="G2484" s="37">
        <v>2.5</v>
      </c>
      <c r="O2484"/>
      <c r="P2484"/>
      <c r="R2484" s="39">
        <v>41970</v>
      </c>
      <c r="S2484" s="37">
        <v>0.43909999999999999</v>
      </c>
    </row>
    <row r="2485" spans="6:19" ht="15" x14ac:dyDescent="0.25">
      <c r="F2485" s="39">
        <v>41977</v>
      </c>
      <c r="G2485" s="37">
        <v>2.5</v>
      </c>
      <c r="O2485"/>
      <c r="P2485"/>
      <c r="R2485" s="39">
        <v>41969</v>
      </c>
      <c r="S2485" s="37">
        <v>0.43590000000000001</v>
      </c>
    </row>
    <row r="2486" spans="6:19" ht="15" x14ac:dyDescent="0.25">
      <c r="F2486" s="39">
        <v>41976</v>
      </c>
      <c r="G2486" s="37">
        <v>2.5</v>
      </c>
      <c r="O2486"/>
      <c r="P2486"/>
      <c r="R2486" s="39">
        <v>41968</v>
      </c>
      <c r="S2486" s="37">
        <v>0.43</v>
      </c>
    </row>
    <row r="2487" spans="6:19" ht="15" x14ac:dyDescent="0.25">
      <c r="F2487" s="39">
        <v>41975</v>
      </c>
      <c r="G2487" s="37">
        <v>2.5</v>
      </c>
      <c r="O2487"/>
      <c r="P2487"/>
      <c r="R2487" s="39">
        <v>41967</v>
      </c>
      <c r="S2487" s="37">
        <v>0.43230000000000002</v>
      </c>
    </row>
    <row r="2488" spans="6:19" ht="15" x14ac:dyDescent="0.25">
      <c r="F2488" s="39">
        <v>41974</v>
      </c>
      <c r="G2488" s="37">
        <v>2.5</v>
      </c>
      <c r="O2488"/>
      <c r="P2488"/>
      <c r="R2488" s="39">
        <v>41964</v>
      </c>
      <c r="S2488" s="37">
        <v>0.4294</v>
      </c>
    </row>
    <row r="2489" spans="6:19" ht="15" x14ac:dyDescent="0.25">
      <c r="F2489" s="39">
        <v>41971</v>
      </c>
      <c r="G2489" s="37">
        <v>2.5</v>
      </c>
      <c r="O2489"/>
      <c r="P2489"/>
      <c r="R2489" s="39">
        <v>41963</v>
      </c>
      <c r="S2489" s="37">
        <v>0.43030000000000002</v>
      </c>
    </row>
    <row r="2490" spans="6:19" ht="15" x14ac:dyDescent="0.25">
      <c r="F2490" s="39">
        <v>41970</v>
      </c>
      <c r="G2490" s="37">
        <v>2.5</v>
      </c>
      <c r="O2490"/>
      <c r="P2490"/>
      <c r="R2490" s="39">
        <v>41962</v>
      </c>
      <c r="S2490" s="37">
        <v>0.43070000000000003</v>
      </c>
    </row>
    <row r="2491" spans="6:19" ht="15" x14ac:dyDescent="0.25">
      <c r="F2491" s="39">
        <v>41969</v>
      </c>
      <c r="G2491" s="37">
        <v>2.5</v>
      </c>
      <c r="O2491"/>
      <c r="P2491"/>
      <c r="R2491" s="39">
        <v>41961</v>
      </c>
      <c r="S2491" s="37">
        <v>0.43149999999999999</v>
      </c>
    </row>
    <row r="2492" spans="6:19" ht="15" x14ac:dyDescent="0.25">
      <c r="F2492" s="39">
        <v>41968</v>
      </c>
      <c r="G2492" s="37">
        <v>2.5</v>
      </c>
      <c r="O2492"/>
      <c r="P2492"/>
      <c r="R2492" s="39">
        <v>41960</v>
      </c>
      <c r="S2492" s="37">
        <v>0.43340000000000001</v>
      </c>
    </row>
    <row r="2493" spans="6:19" ht="15" x14ac:dyDescent="0.25">
      <c r="F2493" s="39">
        <v>41967</v>
      </c>
      <c r="G2493" s="37">
        <v>2.5</v>
      </c>
      <c r="O2493"/>
      <c r="P2493"/>
      <c r="R2493" s="39">
        <v>41957</v>
      </c>
      <c r="S2493" s="37">
        <v>0.43009999999999998</v>
      </c>
    </row>
    <row r="2494" spans="6:19" ht="15" x14ac:dyDescent="0.25">
      <c r="F2494" s="39">
        <v>41964</v>
      </c>
      <c r="G2494" s="37">
        <v>2.5</v>
      </c>
      <c r="O2494"/>
      <c r="P2494"/>
      <c r="R2494" s="39">
        <v>41956</v>
      </c>
      <c r="S2494" s="37">
        <v>0.436</v>
      </c>
    </row>
    <row r="2495" spans="6:19" ht="15" x14ac:dyDescent="0.25">
      <c r="F2495" s="39">
        <v>41963</v>
      </c>
      <c r="G2495" s="37">
        <v>2.5</v>
      </c>
      <c r="O2495"/>
      <c r="P2495"/>
      <c r="R2495" s="39">
        <v>41955</v>
      </c>
      <c r="S2495" s="37">
        <v>0.43569999999999998</v>
      </c>
    </row>
    <row r="2496" spans="6:19" ht="15" x14ac:dyDescent="0.25">
      <c r="F2496" s="39">
        <v>41962</v>
      </c>
      <c r="G2496" s="37">
        <v>2.5</v>
      </c>
      <c r="O2496"/>
      <c r="P2496"/>
      <c r="R2496" s="39">
        <v>41954</v>
      </c>
      <c r="S2496" s="37">
        <v>0.43140000000000001</v>
      </c>
    </row>
    <row r="2497" spans="6:19" ht="15" x14ac:dyDescent="0.25">
      <c r="F2497" s="39">
        <v>41961</v>
      </c>
      <c r="G2497" s="37">
        <v>2.5</v>
      </c>
      <c r="O2497"/>
      <c r="P2497"/>
      <c r="R2497" s="39">
        <v>41953</v>
      </c>
      <c r="S2497" s="37">
        <v>0.42959999999999998</v>
      </c>
    </row>
    <row r="2498" spans="6:19" ht="15" x14ac:dyDescent="0.25">
      <c r="F2498" s="39">
        <v>41960</v>
      </c>
      <c r="G2498" s="37">
        <v>2.5</v>
      </c>
      <c r="O2498"/>
      <c r="P2498"/>
      <c r="R2498" s="39">
        <v>41950</v>
      </c>
      <c r="S2498" s="37">
        <v>0.43580000000000002</v>
      </c>
    </row>
    <row r="2499" spans="6:19" ht="15" x14ac:dyDescent="0.25">
      <c r="F2499" s="39">
        <v>41957</v>
      </c>
      <c r="G2499" s="37">
        <v>2.5</v>
      </c>
      <c r="O2499"/>
      <c r="P2499"/>
      <c r="R2499" s="39">
        <v>41949</v>
      </c>
      <c r="S2499" s="37">
        <v>0.43409999999999999</v>
      </c>
    </row>
    <row r="2500" spans="6:19" ht="15" x14ac:dyDescent="0.25">
      <c r="F2500" s="39">
        <v>41956</v>
      </c>
      <c r="G2500" s="37">
        <v>2.5</v>
      </c>
      <c r="O2500"/>
      <c r="P2500"/>
      <c r="R2500" s="39">
        <v>41948</v>
      </c>
      <c r="S2500" s="37">
        <v>0.43269999999999997</v>
      </c>
    </row>
    <row r="2501" spans="6:19" ht="15" x14ac:dyDescent="0.25">
      <c r="F2501" s="39">
        <v>41955</v>
      </c>
      <c r="G2501" s="37">
        <v>2.5</v>
      </c>
      <c r="O2501"/>
      <c r="P2501"/>
      <c r="R2501" s="39">
        <v>41947</v>
      </c>
      <c r="S2501" s="37">
        <v>0.43440000000000001</v>
      </c>
    </row>
    <row r="2502" spans="6:19" ht="15" x14ac:dyDescent="0.25">
      <c r="F2502" s="39">
        <v>41954</v>
      </c>
      <c r="G2502" s="37">
        <v>2.5</v>
      </c>
      <c r="O2502"/>
      <c r="P2502"/>
      <c r="R2502" s="39">
        <v>41946</v>
      </c>
      <c r="S2502" s="37">
        <v>0.4345</v>
      </c>
    </row>
    <row r="2503" spans="6:19" ht="15" x14ac:dyDescent="0.25">
      <c r="F2503" s="39">
        <v>41953</v>
      </c>
      <c r="G2503" s="37">
        <v>2.5</v>
      </c>
      <c r="O2503"/>
      <c r="P2503"/>
      <c r="R2503" s="39">
        <v>41943</v>
      </c>
      <c r="S2503" s="37">
        <v>0.42270000000000002</v>
      </c>
    </row>
    <row r="2504" spans="6:19" ht="15" x14ac:dyDescent="0.25">
      <c r="F2504" s="39">
        <v>41950</v>
      </c>
      <c r="G2504" s="37">
        <v>2.5</v>
      </c>
      <c r="O2504"/>
      <c r="P2504"/>
      <c r="R2504" s="39">
        <v>41942</v>
      </c>
      <c r="S2504" s="37">
        <v>0.433</v>
      </c>
    </row>
    <row r="2505" spans="6:19" ht="15" x14ac:dyDescent="0.25">
      <c r="F2505" s="39">
        <v>41949</v>
      </c>
      <c r="G2505" s="37">
        <v>2.5</v>
      </c>
      <c r="O2505"/>
      <c r="P2505"/>
      <c r="R2505" s="39">
        <v>41941</v>
      </c>
      <c r="S2505" s="37">
        <v>0.43419999999999997</v>
      </c>
    </row>
    <row r="2506" spans="6:19" ht="15" x14ac:dyDescent="0.25">
      <c r="F2506" s="39">
        <v>41948</v>
      </c>
      <c r="G2506" s="37">
        <v>2.5</v>
      </c>
      <c r="O2506"/>
      <c r="P2506"/>
      <c r="R2506" s="39">
        <v>41940</v>
      </c>
      <c r="S2506" s="37">
        <v>0.43580000000000002</v>
      </c>
    </row>
    <row r="2507" spans="6:19" ht="15" x14ac:dyDescent="0.25">
      <c r="F2507" s="39">
        <v>41947</v>
      </c>
      <c r="G2507" s="37">
        <v>2.5</v>
      </c>
      <c r="O2507"/>
      <c r="P2507"/>
      <c r="R2507" s="39">
        <v>41939</v>
      </c>
      <c r="S2507" s="37">
        <v>0.43290000000000001</v>
      </c>
    </row>
    <row r="2508" spans="6:19" ht="15" x14ac:dyDescent="0.25">
      <c r="F2508" s="39">
        <v>41946</v>
      </c>
      <c r="G2508" s="37">
        <v>2.5</v>
      </c>
      <c r="O2508"/>
      <c r="P2508"/>
      <c r="R2508" s="39">
        <v>41936</v>
      </c>
      <c r="S2508" s="37">
        <v>0.42780000000000001</v>
      </c>
    </row>
    <row r="2509" spans="6:19" ht="15" x14ac:dyDescent="0.25">
      <c r="F2509" s="39">
        <v>41943</v>
      </c>
      <c r="G2509" s="37">
        <v>2.5</v>
      </c>
      <c r="O2509"/>
      <c r="P2509"/>
      <c r="R2509" s="39">
        <v>41935</v>
      </c>
      <c r="S2509" s="37">
        <v>0.43490000000000001</v>
      </c>
    </row>
    <row r="2510" spans="6:19" ht="15" x14ac:dyDescent="0.25">
      <c r="F2510" s="39">
        <v>41942</v>
      </c>
      <c r="G2510" s="37">
        <v>2.5</v>
      </c>
      <c r="O2510"/>
      <c r="P2510"/>
      <c r="R2510" s="39">
        <v>41934</v>
      </c>
      <c r="S2510" s="37">
        <v>0.42870000000000003</v>
      </c>
    </row>
    <row r="2511" spans="6:19" ht="15" x14ac:dyDescent="0.25">
      <c r="F2511" s="39">
        <v>41941</v>
      </c>
      <c r="G2511" s="37">
        <v>2.5</v>
      </c>
      <c r="O2511"/>
      <c r="P2511"/>
      <c r="R2511" s="39">
        <v>41933</v>
      </c>
      <c r="S2511" s="37">
        <v>0.42859999999999998</v>
      </c>
    </row>
    <row r="2512" spans="6:19" ht="15" x14ac:dyDescent="0.25">
      <c r="F2512" s="39">
        <v>41940</v>
      </c>
      <c r="G2512" s="37">
        <v>2.5</v>
      </c>
      <c r="O2512"/>
      <c r="P2512"/>
      <c r="R2512" s="39">
        <v>41932</v>
      </c>
      <c r="S2512" s="37">
        <v>0.4284</v>
      </c>
    </row>
    <row r="2513" spans="6:19" ht="15" x14ac:dyDescent="0.25">
      <c r="F2513" s="39">
        <v>41939</v>
      </c>
      <c r="G2513" s="37">
        <v>2.5</v>
      </c>
      <c r="O2513"/>
      <c r="P2513"/>
      <c r="R2513" s="39">
        <v>41929</v>
      </c>
      <c r="S2513" s="37">
        <v>0.43090000000000001</v>
      </c>
    </row>
    <row r="2514" spans="6:19" ht="15" x14ac:dyDescent="0.25">
      <c r="F2514" s="39">
        <v>41936</v>
      </c>
      <c r="G2514" s="37">
        <v>2.5</v>
      </c>
      <c r="O2514"/>
      <c r="P2514"/>
      <c r="R2514" s="39">
        <v>41928</v>
      </c>
      <c r="S2514" s="37">
        <v>0.43140000000000001</v>
      </c>
    </row>
    <row r="2515" spans="6:19" ht="15" x14ac:dyDescent="0.25">
      <c r="F2515" s="39">
        <v>41935</v>
      </c>
      <c r="G2515" s="37">
        <v>2.5</v>
      </c>
      <c r="O2515"/>
      <c r="P2515"/>
      <c r="R2515" s="39">
        <v>41927</v>
      </c>
      <c r="S2515" s="37">
        <v>0.42899999999999999</v>
      </c>
    </row>
    <row r="2516" spans="6:19" ht="15" x14ac:dyDescent="0.25">
      <c r="F2516" s="39">
        <v>41934</v>
      </c>
      <c r="G2516" s="37">
        <v>2.5</v>
      </c>
      <c r="O2516"/>
      <c r="P2516"/>
      <c r="R2516" s="39">
        <v>41926</v>
      </c>
      <c r="S2516" s="37">
        <v>0.4335</v>
      </c>
    </row>
    <row r="2517" spans="6:19" ht="15" x14ac:dyDescent="0.25">
      <c r="F2517" s="39">
        <v>41933</v>
      </c>
      <c r="G2517" s="37">
        <v>2.5</v>
      </c>
      <c r="O2517"/>
      <c r="P2517"/>
      <c r="R2517" s="39">
        <v>41925</v>
      </c>
      <c r="S2517" s="37">
        <v>0.43859999999999999</v>
      </c>
    </row>
    <row r="2518" spans="6:19" ht="15" x14ac:dyDescent="0.25">
      <c r="F2518" s="39">
        <v>41932</v>
      </c>
      <c r="G2518" s="37">
        <v>2.5</v>
      </c>
      <c r="O2518"/>
      <c r="P2518"/>
      <c r="R2518" s="39">
        <v>41922</v>
      </c>
      <c r="S2518" s="37">
        <v>0.42649999999999999</v>
      </c>
    </row>
    <row r="2519" spans="6:19" ht="15" x14ac:dyDescent="0.25">
      <c r="F2519" s="39">
        <v>41929</v>
      </c>
      <c r="G2519" s="37">
        <v>2.5</v>
      </c>
      <c r="O2519"/>
      <c r="P2519"/>
      <c r="R2519" s="39">
        <v>41921</v>
      </c>
      <c r="S2519" s="37">
        <v>0.43209999999999998</v>
      </c>
    </row>
    <row r="2520" spans="6:19" ht="15" x14ac:dyDescent="0.25">
      <c r="F2520" s="39">
        <v>41928</v>
      </c>
      <c r="G2520" s="37">
        <v>2.5</v>
      </c>
      <c r="O2520"/>
      <c r="P2520"/>
      <c r="R2520" s="39">
        <v>41920</v>
      </c>
      <c r="S2520" s="37">
        <v>0.4299</v>
      </c>
    </row>
    <row r="2521" spans="6:19" ht="15" x14ac:dyDescent="0.25">
      <c r="F2521" s="39">
        <v>41927</v>
      </c>
      <c r="G2521" s="37">
        <v>2.5</v>
      </c>
      <c r="O2521"/>
      <c r="P2521"/>
      <c r="R2521" s="39">
        <v>41919</v>
      </c>
      <c r="S2521" s="37">
        <v>0.42709999999999998</v>
      </c>
    </row>
    <row r="2522" spans="6:19" ht="15" x14ac:dyDescent="0.25">
      <c r="F2522" s="39">
        <v>41926</v>
      </c>
      <c r="G2522" s="37">
        <v>2.5</v>
      </c>
      <c r="O2522"/>
      <c r="P2522"/>
      <c r="R2522" s="39">
        <v>41918</v>
      </c>
      <c r="S2522" s="37">
        <v>0.43099999999999999</v>
      </c>
    </row>
    <row r="2523" spans="6:19" ht="15" x14ac:dyDescent="0.25">
      <c r="F2523" s="39">
        <v>41925</v>
      </c>
      <c r="G2523" s="37">
        <v>2.5</v>
      </c>
      <c r="O2523"/>
      <c r="P2523"/>
      <c r="R2523" s="39">
        <v>41915</v>
      </c>
      <c r="S2523" s="37">
        <v>0.43309999999999998</v>
      </c>
    </row>
    <row r="2524" spans="6:19" ht="15" x14ac:dyDescent="0.25">
      <c r="F2524" s="39">
        <v>41922</v>
      </c>
      <c r="G2524" s="37">
        <v>2.5</v>
      </c>
      <c r="O2524"/>
      <c r="P2524"/>
      <c r="R2524" s="39">
        <v>41914</v>
      </c>
      <c r="S2524" s="37">
        <v>0.42980000000000002</v>
      </c>
    </row>
    <row r="2525" spans="6:19" ht="15" x14ac:dyDescent="0.25">
      <c r="F2525" s="39">
        <v>41921</v>
      </c>
      <c r="G2525" s="37">
        <v>2.5</v>
      </c>
      <c r="O2525"/>
      <c r="P2525"/>
      <c r="R2525" s="39">
        <v>41913</v>
      </c>
      <c r="S2525" s="37">
        <v>0.42849999999999999</v>
      </c>
    </row>
    <row r="2526" spans="6:19" ht="15" x14ac:dyDescent="0.25">
      <c r="F2526" s="39">
        <v>41920</v>
      </c>
      <c r="G2526" s="37">
        <v>2.5</v>
      </c>
      <c r="O2526"/>
      <c r="P2526"/>
      <c r="R2526" s="39">
        <v>41912</v>
      </c>
      <c r="S2526" s="37">
        <v>0.4027</v>
      </c>
    </row>
    <row r="2527" spans="6:19" ht="15" x14ac:dyDescent="0.25">
      <c r="F2527" s="39">
        <v>41919</v>
      </c>
      <c r="G2527" s="37">
        <v>2.5</v>
      </c>
      <c r="O2527"/>
      <c r="P2527"/>
      <c r="R2527" s="39">
        <v>41911</v>
      </c>
      <c r="S2527" s="37">
        <v>0.4506</v>
      </c>
    </row>
    <row r="2528" spans="6:19" ht="15" x14ac:dyDescent="0.25">
      <c r="F2528" s="39">
        <v>41918</v>
      </c>
      <c r="G2528" s="37">
        <v>2.5</v>
      </c>
      <c r="O2528"/>
      <c r="P2528"/>
      <c r="R2528" s="39">
        <v>41908</v>
      </c>
      <c r="S2528" s="37">
        <v>0.45119999999999999</v>
      </c>
    </row>
    <row r="2529" spans="6:19" ht="15" x14ac:dyDescent="0.25">
      <c r="F2529" s="39">
        <v>41915</v>
      </c>
      <c r="G2529" s="37">
        <v>2.5</v>
      </c>
      <c r="O2529"/>
      <c r="P2529"/>
      <c r="R2529" s="39">
        <v>41907</v>
      </c>
      <c r="S2529" s="37">
        <v>0.42799999999999999</v>
      </c>
    </row>
    <row r="2530" spans="6:19" ht="15" x14ac:dyDescent="0.25">
      <c r="F2530" s="39">
        <v>41914</v>
      </c>
      <c r="G2530" s="37">
        <v>2.5</v>
      </c>
      <c r="O2530"/>
      <c r="P2530"/>
      <c r="R2530" s="39">
        <v>41906</v>
      </c>
      <c r="S2530" s="37">
        <v>0.44180000000000003</v>
      </c>
    </row>
    <row r="2531" spans="6:19" ht="15" x14ac:dyDescent="0.25">
      <c r="F2531" s="39">
        <v>41913</v>
      </c>
      <c r="G2531" s="37">
        <v>2.5</v>
      </c>
      <c r="O2531"/>
      <c r="P2531"/>
      <c r="R2531" s="39">
        <v>41905</v>
      </c>
      <c r="S2531" s="37">
        <v>0.44219999999999998</v>
      </c>
    </row>
    <row r="2532" spans="6:19" ht="15" x14ac:dyDescent="0.25">
      <c r="F2532" s="39">
        <v>41912</v>
      </c>
      <c r="G2532" s="37">
        <v>2.5</v>
      </c>
      <c r="O2532"/>
      <c r="P2532"/>
      <c r="R2532" s="39">
        <v>41904</v>
      </c>
      <c r="S2532" s="37">
        <v>0.42580000000000001</v>
      </c>
    </row>
    <row r="2533" spans="6:19" ht="15" x14ac:dyDescent="0.25">
      <c r="F2533" s="39">
        <v>41911</v>
      </c>
      <c r="G2533" s="37">
        <v>2.5</v>
      </c>
      <c r="O2533"/>
      <c r="P2533"/>
      <c r="R2533" s="39">
        <v>41901</v>
      </c>
      <c r="S2533" s="37">
        <v>0.4249</v>
      </c>
    </row>
    <row r="2534" spans="6:19" ht="15" x14ac:dyDescent="0.25">
      <c r="F2534" s="39">
        <v>41908</v>
      </c>
      <c r="G2534" s="37">
        <v>2.5</v>
      </c>
      <c r="O2534"/>
      <c r="P2534"/>
      <c r="R2534" s="39">
        <v>41900</v>
      </c>
      <c r="S2534" s="37">
        <v>0.42880000000000001</v>
      </c>
    </row>
    <row r="2535" spans="6:19" ht="15" x14ac:dyDescent="0.25">
      <c r="F2535" s="39">
        <v>41907</v>
      </c>
      <c r="G2535" s="37">
        <v>2.5</v>
      </c>
      <c r="O2535"/>
      <c r="P2535"/>
      <c r="R2535" s="39">
        <v>41899</v>
      </c>
      <c r="S2535" s="37">
        <v>0.43009999999999998</v>
      </c>
    </row>
    <row r="2536" spans="6:19" ht="15" x14ac:dyDescent="0.25">
      <c r="F2536" s="39">
        <v>41906</v>
      </c>
      <c r="G2536" s="37">
        <v>2.5</v>
      </c>
      <c r="O2536"/>
      <c r="P2536"/>
      <c r="R2536" s="39">
        <v>41898</v>
      </c>
      <c r="S2536" s="37">
        <v>0.43390000000000001</v>
      </c>
    </row>
    <row r="2537" spans="6:19" ht="15" x14ac:dyDescent="0.25">
      <c r="F2537" s="39">
        <v>41905</v>
      </c>
      <c r="G2537" s="37">
        <v>2.5</v>
      </c>
      <c r="O2537"/>
      <c r="P2537"/>
      <c r="R2537" s="39">
        <v>41897</v>
      </c>
      <c r="S2537" s="37">
        <v>0.43190000000000001</v>
      </c>
    </row>
    <row r="2538" spans="6:19" ht="15" x14ac:dyDescent="0.25">
      <c r="F2538" s="39">
        <v>41904</v>
      </c>
      <c r="G2538" s="37">
        <v>2.5</v>
      </c>
      <c r="O2538"/>
      <c r="P2538"/>
      <c r="R2538" s="39">
        <v>41894</v>
      </c>
      <c r="S2538" s="37">
        <v>0.43159999999999998</v>
      </c>
    </row>
    <row r="2539" spans="6:19" ht="15" x14ac:dyDescent="0.25">
      <c r="F2539" s="39">
        <v>41901</v>
      </c>
      <c r="G2539" s="37">
        <v>2.5</v>
      </c>
      <c r="O2539"/>
      <c r="P2539"/>
      <c r="R2539" s="39">
        <v>41893</v>
      </c>
      <c r="S2539" s="37">
        <v>0.42880000000000001</v>
      </c>
    </row>
    <row r="2540" spans="6:19" ht="15" x14ac:dyDescent="0.25">
      <c r="F2540" s="39">
        <v>41900</v>
      </c>
      <c r="G2540" s="37">
        <v>2.5</v>
      </c>
      <c r="O2540"/>
      <c r="P2540"/>
      <c r="R2540" s="39">
        <v>41892</v>
      </c>
      <c r="S2540" s="37">
        <v>0.42909999999999998</v>
      </c>
    </row>
    <row r="2541" spans="6:19" ht="15" x14ac:dyDescent="0.25">
      <c r="F2541" s="39">
        <v>41899</v>
      </c>
      <c r="G2541" s="37">
        <v>2.5</v>
      </c>
      <c r="O2541"/>
      <c r="P2541"/>
      <c r="R2541" s="39">
        <v>41891</v>
      </c>
      <c r="S2541" s="37">
        <v>0.4294</v>
      </c>
    </row>
    <row r="2542" spans="6:19" ht="15" x14ac:dyDescent="0.25">
      <c r="F2542" s="39">
        <v>41898</v>
      </c>
      <c r="G2542" s="37">
        <v>2.5</v>
      </c>
      <c r="O2542"/>
      <c r="P2542"/>
      <c r="R2542" s="39">
        <v>41890</v>
      </c>
      <c r="S2542" s="37">
        <v>0.43109999999999998</v>
      </c>
    </row>
    <row r="2543" spans="6:19" ht="15" x14ac:dyDescent="0.25">
      <c r="F2543" s="39">
        <v>41897</v>
      </c>
      <c r="G2543" s="37">
        <v>2.5</v>
      </c>
      <c r="O2543"/>
      <c r="P2543"/>
      <c r="R2543" s="39">
        <v>41887</v>
      </c>
      <c r="S2543" s="37">
        <v>0.42930000000000001</v>
      </c>
    </row>
    <row r="2544" spans="6:19" ht="15" x14ac:dyDescent="0.25">
      <c r="F2544" s="39">
        <v>41894</v>
      </c>
      <c r="G2544" s="37">
        <v>2.5</v>
      </c>
      <c r="O2544"/>
      <c r="P2544"/>
      <c r="R2544" s="39">
        <v>41886</v>
      </c>
      <c r="S2544" s="37">
        <v>0.42920000000000003</v>
      </c>
    </row>
    <row r="2545" spans="6:19" ht="15" x14ac:dyDescent="0.25">
      <c r="F2545" s="39">
        <v>41893</v>
      </c>
      <c r="G2545" s="37">
        <v>2.5</v>
      </c>
      <c r="O2545"/>
      <c r="P2545"/>
      <c r="R2545" s="39">
        <v>41885</v>
      </c>
      <c r="S2545" s="37">
        <v>0.43030000000000002</v>
      </c>
    </row>
    <row r="2546" spans="6:19" ht="15" x14ac:dyDescent="0.25">
      <c r="F2546" s="39">
        <v>41892</v>
      </c>
      <c r="G2546" s="37">
        <v>2.5</v>
      </c>
      <c r="O2546"/>
      <c r="P2546"/>
      <c r="R2546" s="39">
        <v>41884</v>
      </c>
      <c r="S2546" s="37">
        <v>0.43259999999999998</v>
      </c>
    </row>
    <row r="2547" spans="6:19" ht="15" x14ac:dyDescent="0.25">
      <c r="F2547" s="39">
        <v>41891</v>
      </c>
      <c r="G2547" s="37">
        <v>2.5</v>
      </c>
      <c r="O2547"/>
      <c r="P2547"/>
      <c r="R2547" s="39">
        <v>41883</v>
      </c>
      <c r="S2547" s="37">
        <v>0.4375</v>
      </c>
    </row>
    <row r="2548" spans="6:19" ht="15" x14ac:dyDescent="0.25">
      <c r="F2548" s="39">
        <v>41890</v>
      </c>
      <c r="G2548" s="37">
        <v>2.5</v>
      </c>
      <c r="O2548"/>
      <c r="P2548"/>
      <c r="R2548" s="39">
        <v>41880</v>
      </c>
      <c r="S2548" s="37">
        <v>0.40050000000000002</v>
      </c>
    </row>
    <row r="2549" spans="6:19" ht="15" x14ac:dyDescent="0.25">
      <c r="F2549" s="39">
        <v>41887</v>
      </c>
      <c r="G2549" s="37">
        <v>2.5</v>
      </c>
      <c r="O2549"/>
      <c r="P2549"/>
      <c r="R2549" s="39">
        <v>41879</v>
      </c>
      <c r="S2549" s="37">
        <v>0.43590000000000001</v>
      </c>
    </row>
    <row r="2550" spans="6:19" ht="15" x14ac:dyDescent="0.25">
      <c r="F2550" s="39">
        <v>41886</v>
      </c>
      <c r="G2550" s="37">
        <v>2.5</v>
      </c>
      <c r="O2550"/>
      <c r="P2550"/>
      <c r="R2550" s="39">
        <v>41878</v>
      </c>
      <c r="S2550" s="37">
        <v>0.42649999999999999</v>
      </c>
    </row>
    <row r="2551" spans="6:19" ht="15" x14ac:dyDescent="0.25">
      <c r="F2551" s="39">
        <v>41885</v>
      </c>
      <c r="G2551" s="37">
        <v>2.5</v>
      </c>
      <c r="O2551"/>
      <c r="P2551"/>
      <c r="R2551" s="39">
        <v>41877</v>
      </c>
      <c r="S2551" s="37">
        <v>0.4254</v>
      </c>
    </row>
    <row r="2552" spans="6:19" ht="15" x14ac:dyDescent="0.25">
      <c r="F2552" s="39">
        <v>41884</v>
      </c>
      <c r="G2552" s="37">
        <v>2.5</v>
      </c>
      <c r="O2552"/>
      <c r="P2552"/>
      <c r="R2552" s="39">
        <v>41873</v>
      </c>
      <c r="S2552" s="37">
        <v>0.41420000000000001</v>
      </c>
    </row>
    <row r="2553" spans="6:19" ht="15" x14ac:dyDescent="0.25">
      <c r="F2553" s="39">
        <v>41883</v>
      </c>
      <c r="G2553" s="37">
        <v>2.5</v>
      </c>
      <c r="O2553"/>
      <c r="P2553"/>
      <c r="R2553" s="39">
        <v>41872</v>
      </c>
      <c r="S2553" s="37">
        <v>0.42570000000000002</v>
      </c>
    </row>
    <row r="2554" spans="6:19" ht="15" x14ac:dyDescent="0.25">
      <c r="F2554" s="39">
        <v>41880</v>
      </c>
      <c r="G2554" s="37">
        <v>2.5</v>
      </c>
      <c r="O2554"/>
      <c r="P2554"/>
      <c r="R2554" s="39">
        <v>41871</v>
      </c>
      <c r="S2554" s="37">
        <v>0.42330000000000001</v>
      </c>
    </row>
    <row r="2555" spans="6:19" ht="15" x14ac:dyDescent="0.25">
      <c r="F2555" s="39">
        <v>41879</v>
      </c>
      <c r="G2555" s="37">
        <v>2.5</v>
      </c>
      <c r="O2555"/>
      <c r="P2555"/>
      <c r="R2555" s="39">
        <v>41870</v>
      </c>
      <c r="S2555" s="37">
        <v>0.42649999999999999</v>
      </c>
    </row>
    <row r="2556" spans="6:19" ht="15" x14ac:dyDescent="0.25">
      <c r="F2556" s="39">
        <v>41878</v>
      </c>
      <c r="G2556" s="37">
        <v>2.5</v>
      </c>
      <c r="O2556"/>
      <c r="P2556"/>
      <c r="R2556" s="39">
        <v>41869</v>
      </c>
      <c r="S2556" s="37">
        <v>0.4224</v>
      </c>
    </row>
    <row r="2557" spans="6:19" ht="15" x14ac:dyDescent="0.25">
      <c r="F2557" s="39">
        <v>41877</v>
      </c>
      <c r="G2557" s="37">
        <v>2.5</v>
      </c>
      <c r="O2557"/>
      <c r="P2557"/>
      <c r="R2557" s="39">
        <v>41866</v>
      </c>
      <c r="S2557" s="37">
        <v>0.4224</v>
      </c>
    </row>
    <row r="2558" spans="6:19" ht="15" x14ac:dyDescent="0.25">
      <c r="F2558" s="39">
        <v>41876</v>
      </c>
      <c r="G2558" s="37">
        <v>2.5</v>
      </c>
      <c r="O2558"/>
      <c r="P2558"/>
      <c r="R2558" s="39">
        <v>41865</v>
      </c>
      <c r="S2558" s="37">
        <v>0.41830000000000001</v>
      </c>
    </row>
    <row r="2559" spans="6:19" ht="15" x14ac:dyDescent="0.25">
      <c r="F2559" s="39">
        <v>41873</v>
      </c>
      <c r="G2559" s="37">
        <v>2.5</v>
      </c>
      <c r="O2559"/>
      <c r="P2559"/>
      <c r="R2559" s="39">
        <v>41864</v>
      </c>
      <c r="S2559" s="37">
        <v>0.42109999999999997</v>
      </c>
    </row>
    <row r="2560" spans="6:19" ht="15" x14ac:dyDescent="0.25">
      <c r="F2560" s="39">
        <v>41872</v>
      </c>
      <c r="G2560" s="37">
        <v>2.5</v>
      </c>
      <c r="O2560"/>
      <c r="P2560"/>
      <c r="R2560" s="39">
        <v>41863</v>
      </c>
      <c r="S2560" s="37">
        <v>0.42120000000000002</v>
      </c>
    </row>
    <row r="2561" spans="6:19" ht="15" x14ac:dyDescent="0.25">
      <c r="F2561" s="39">
        <v>41871</v>
      </c>
      <c r="G2561" s="37">
        <v>2.5</v>
      </c>
      <c r="O2561"/>
      <c r="P2561"/>
      <c r="R2561" s="39">
        <v>41862</v>
      </c>
      <c r="S2561" s="37">
        <v>0.42580000000000001</v>
      </c>
    </row>
    <row r="2562" spans="6:19" ht="15" x14ac:dyDescent="0.25">
      <c r="F2562" s="39">
        <v>41870</v>
      </c>
      <c r="G2562" s="37">
        <v>2.5</v>
      </c>
      <c r="O2562"/>
      <c r="P2562"/>
      <c r="R2562" s="39">
        <v>41859</v>
      </c>
      <c r="S2562" s="37">
        <v>0.42180000000000001</v>
      </c>
    </row>
    <row r="2563" spans="6:19" ht="15" x14ac:dyDescent="0.25">
      <c r="F2563" s="39">
        <v>41869</v>
      </c>
      <c r="G2563" s="37">
        <v>2.5</v>
      </c>
      <c r="O2563"/>
      <c r="P2563"/>
      <c r="R2563" s="39">
        <v>41858</v>
      </c>
      <c r="S2563" s="37">
        <v>0.42499999999999999</v>
      </c>
    </row>
    <row r="2564" spans="6:19" ht="15" x14ac:dyDescent="0.25">
      <c r="F2564" s="39">
        <v>41866</v>
      </c>
      <c r="G2564" s="37">
        <v>2.5</v>
      </c>
      <c r="O2564"/>
      <c r="P2564"/>
      <c r="R2564" s="39">
        <v>41857</v>
      </c>
      <c r="S2564" s="37">
        <v>0.4244</v>
      </c>
    </row>
    <row r="2565" spans="6:19" ht="15" x14ac:dyDescent="0.25">
      <c r="F2565" s="39">
        <v>41865</v>
      </c>
      <c r="G2565" s="37">
        <v>2.5</v>
      </c>
      <c r="O2565"/>
      <c r="P2565"/>
      <c r="R2565" s="39">
        <v>41856</v>
      </c>
      <c r="S2565" s="37">
        <v>0.42820000000000003</v>
      </c>
    </row>
    <row r="2566" spans="6:19" ht="15" x14ac:dyDescent="0.25">
      <c r="F2566" s="39">
        <v>41864</v>
      </c>
      <c r="G2566" s="37">
        <v>2.5</v>
      </c>
      <c r="O2566"/>
      <c r="P2566"/>
      <c r="R2566" s="39">
        <v>41855</v>
      </c>
      <c r="S2566" s="37">
        <v>0.42480000000000001</v>
      </c>
    </row>
    <row r="2567" spans="6:19" ht="15" x14ac:dyDescent="0.25">
      <c r="F2567" s="39">
        <v>41863</v>
      </c>
      <c r="G2567" s="37">
        <v>2.5</v>
      </c>
      <c r="O2567"/>
      <c r="P2567"/>
      <c r="R2567" s="39">
        <v>41852</v>
      </c>
      <c r="S2567" s="37">
        <v>0.42280000000000001</v>
      </c>
    </row>
    <row r="2568" spans="6:19" ht="15" x14ac:dyDescent="0.25">
      <c r="F2568" s="39">
        <v>41862</v>
      </c>
      <c r="G2568" s="37">
        <v>2.5</v>
      </c>
      <c r="O2568"/>
      <c r="P2568"/>
      <c r="R2568" s="39">
        <v>41851</v>
      </c>
      <c r="S2568" s="37">
        <v>0.40450000000000003</v>
      </c>
    </row>
    <row r="2569" spans="6:19" ht="15" x14ac:dyDescent="0.25">
      <c r="F2569" s="39">
        <v>41859</v>
      </c>
      <c r="G2569" s="37">
        <v>2.5</v>
      </c>
      <c r="O2569"/>
      <c r="P2569"/>
      <c r="R2569" s="39">
        <v>41850</v>
      </c>
      <c r="S2569" s="37">
        <v>0.43669999999999998</v>
      </c>
    </row>
    <row r="2570" spans="6:19" ht="15" x14ac:dyDescent="0.25">
      <c r="F2570" s="39">
        <v>41858</v>
      </c>
      <c r="G2570" s="37">
        <v>2.5</v>
      </c>
      <c r="O2570"/>
      <c r="P2570"/>
      <c r="R2570" s="39">
        <v>41849</v>
      </c>
      <c r="S2570" s="37">
        <v>0.4279</v>
      </c>
    </row>
    <row r="2571" spans="6:19" ht="15" x14ac:dyDescent="0.25">
      <c r="F2571" s="39">
        <v>41857</v>
      </c>
      <c r="G2571" s="37">
        <v>2.5</v>
      </c>
      <c r="O2571"/>
      <c r="P2571"/>
      <c r="R2571" s="39">
        <v>41848</v>
      </c>
      <c r="S2571" s="37">
        <v>0.43240000000000001</v>
      </c>
    </row>
    <row r="2572" spans="6:19" ht="15" x14ac:dyDescent="0.25">
      <c r="F2572" s="39">
        <v>41856</v>
      </c>
      <c r="G2572" s="37">
        <v>2.5</v>
      </c>
      <c r="O2572"/>
      <c r="P2572"/>
      <c r="R2572" s="39">
        <v>41845</v>
      </c>
      <c r="S2572" s="37">
        <v>0.42470000000000002</v>
      </c>
    </row>
    <row r="2573" spans="6:19" ht="15" x14ac:dyDescent="0.25">
      <c r="F2573" s="39">
        <v>41855</v>
      </c>
      <c r="G2573" s="37">
        <v>2.5</v>
      </c>
      <c r="O2573"/>
      <c r="P2573"/>
      <c r="R2573" s="39">
        <v>41844</v>
      </c>
      <c r="S2573" s="37">
        <v>0.43490000000000001</v>
      </c>
    </row>
    <row r="2574" spans="6:19" ht="15" x14ac:dyDescent="0.25">
      <c r="F2574" s="39">
        <v>41852</v>
      </c>
      <c r="G2574" s="37">
        <v>2.5</v>
      </c>
      <c r="O2574"/>
      <c r="P2574"/>
      <c r="R2574" s="39">
        <v>41843</v>
      </c>
      <c r="S2574" s="37">
        <v>0.43330000000000002</v>
      </c>
    </row>
    <row r="2575" spans="6:19" ht="15" x14ac:dyDescent="0.25">
      <c r="F2575" s="39">
        <v>41851</v>
      </c>
      <c r="G2575" s="37">
        <v>2.5</v>
      </c>
      <c r="O2575"/>
      <c r="P2575"/>
      <c r="R2575" s="39">
        <v>41842</v>
      </c>
      <c r="S2575" s="37">
        <v>0.43070000000000003</v>
      </c>
    </row>
    <row r="2576" spans="6:19" ht="15" x14ac:dyDescent="0.25">
      <c r="F2576" s="39">
        <v>41850</v>
      </c>
      <c r="G2576" s="37">
        <v>2.5</v>
      </c>
      <c r="O2576"/>
      <c r="P2576"/>
      <c r="R2576" s="39">
        <v>41841</v>
      </c>
      <c r="S2576" s="37">
        <v>0.4219</v>
      </c>
    </row>
    <row r="2577" spans="6:19" ht="15" x14ac:dyDescent="0.25">
      <c r="F2577" s="39">
        <v>41849</v>
      </c>
      <c r="G2577" s="37">
        <v>2.5</v>
      </c>
      <c r="O2577"/>
      <c r="P2577"/>
      <c r="R2577" s="39">
        <v>41838</v>
      </c>
      <c r="S2577" s="37">
        <v>0.42630000000000001</v>
      </c>
    </row>
    <row r="2578" spans="6:19" ht="15" x14ac:dyDescent="0.25">
      <c r="F2578" s="39">
        <v>41848</v>
      </c>
      <c r="G2578" s="37">
        <v>2.5</v>
      </c>
      <c r="O2578"/>
      <c r="P2578"/>
      <c r="R2578" s="39">
        <v>41837</v>
      </c>
      <c r="S2578" s="37">
        <v>0.42649999999999999</v>
      </c>
    </row>
    <row r="2579" spans="6:19" ht="15" x14ac:dyDescent="0.25">
      <c r="F2579" s="39">
        <v>41845</v>
      </c>
      <c r="G2579" s="37">
        <v>2.5</v>
      </c>
      <c r="O2579"/>
      <c r="P2579"/>
      <c r="R2579" s="39">
        <v>41836</v>
      </c>
      <c r="S2579" s="37">
        <v>0.42630000000000001</v>
      </c>
    </row>
    <row r="2580" spans="6:19" ht="15" x14ac:dyDescent="0.25">
      <c r="F2580" s="39">
        <v>41844</v>
      </c>
      <c r="G2580" s="37">
        <v>2.5</v>
      </c>
      <c r="O2580"/>
      <c r="P2580"/>
      <c r="R2580" s="39">
        <v>41835</v>
      </c>
      <c r="S2580" s="37">
        <v>0.42970000000000003</v>
      </c>
    </row>
    <row r="2581" spans="6:19" ht="15" x14ac:dyDescent="0.25">
      <c r="F2581" s="39">
        <v>41843</v>
      </c>
      <c r="G2581" s="37">
        <v>2.5</v>
      </c>
      <c r="O2581"/>
      <c r="P2581"/>
      <c r="R2581" s="39">
        <v>41834</v>
      </c>
      <c r="S2581" s="37">
        <v>0.42909999999999998</v>
      </c>
    </row>
    <row r="2582" spans="6:19" ht="15" x14ac:dyDescent="0.25">
      <c r="F2582" s="39">
        <v>41842</v>
      </c>
      <c r="G2582" s="37">
        <v>2.5</v>
      </c>
      <c r="O2582"/>
      <c r="P2582"/>
      <c r="R2582" s="39">
        <v>41831</v>
      </c>
      <c r="S2582" s="37">
        <v>0.42770000000000002</v>
      </c>
    </row>
    <row r="2583" spans="6:19" ht="15" x14ac:dyDescent="0.25">
      <c r="F2583" s="39">
        <v>41841</v>
      </c>
      <c r="G2583" s="37">
        <v>2.5</v>
      </c>
      <c r="O2583"/>
      <c r="P2583"/>
      <c r="R2583" s="39">
        <v>41830</v>
      </c>
      <c r="S2583" s="37">
        <v>0.42820000000000003</v>
      </c>
    </row>
    <row r="2584" spans="6:19" ht="15" x14ac:dyDescent="0.25">
      <c r="F2584" s="39">
        <v>41838</v>
      </c>
      <c r="G2584" s="37">
        <v>2.5</v>
      </c>
      <c r="O2584"/>
      <c r="P2584"/>
      <c r="R2584" s="39">
        <v>41829</v>
      </c>
      <c r="S2584" s="37">
        <v>0.43149999999999999</v>
      </c>
    </row>
    <row r="2585" spans="6:19" ht="15" x14ac:dyDescent="0.25">
      <c r="F2585" s="39">
        <v>41837</v>
      </c>
      <c r="G2585" s="37">
        <v>2.5</v>
      </c>
      <c r="O2585"/>
      <c r="P2585"/>
      <c r="R2585" s="39">
        <v>41828</v>
      </c>
      <c r="S2585" s="37">
        <v>0.43070000000000003</v>
      </c>
    </row>
    <row r="2586" spans="6:19" ht="15" x14ac:dyDescent="0.25">
      <c r="F2586" s="39">
        <v>41836</v>
      </c>
      <c r="G2586" s="37">
        <v>2.5</v>
      </c>
      <c r="O2586"/>
      <c r="P2586"/>
      <c r="R2586" s="39">
        <v>41827</v>
      </c>
      <c r="S2586" s="37">
        <v>0.43009999999999998</v>
      </c>
    </row>
    <row r="2587" spans="6:19" ht="15" x14ac:dyDescent="0.25">
      <c r="F2587" s="39">
        <v>41835</v>
      </c>
      <c r="G2587" s="37">
        <v>2.5</v>
      </c>
      <c r="O2587"/>
      <c r="P2587"/>
      <c r="R2587" s="39">
        <v>41824</v>
      </c>
      <c r="S2587" s="37">
        <v>0.42280000000000001</v>
      </c>
    </row>
    <row r="2588" spans="6:19" ht="15" x14ac:dyDescent="0.25">
      <c r="F2588" s="39">
        <v>41834</v>
      </c>
      <c r="G2588" s="37">
        <v>2.5</v>
      </c>
      <c r="O2588"/>
      <c r="P2588"/>
      <c r="R2588" s="39">
        <v>41823</v>
      </c>
      <c r="S2588" s="37">
        <v>0.42299999999999999</v>
      </c>
    </row>
    <row r="2589" spans="6:19" ht="15" x14ac:dyDescent="0.25">
      <c r="F2589" s="39">
        <v>41831</v>
      </c>
      <c r="G2589" s="37">
        <v>2.5</v>
      </c>
      <c r="O2589"/>
      <c r="P2589"/>
      <c r="R2589" s="39">
        <v>41822</v>
      </c>
      <c r="S2589" s="37">
        <v>0.43709999999999999</v>
      </c>
    </row>
    <row r="2590" spans="6:19" ht="15" x14ac:dyDescent="0.25">
      <c r="F2590" s="39">
        <v>41830</v>
      </c>
      <c r="G2590" s="37">
        <v>2.5</v>
      </c>
      <c r="O2590"/>
      <c r="P2590"/>
      <c r="R2590" s="39">
        <v>41821</v>
      </c>
      <c r="S2590" s="37">
        <v>0.43469999999999998</v>
      </c>
    </row>
    <row r="2591" spans="6:19" ht="15" x14ac:dyDescent="0.25">
      <c r="F2591" s="39">
        <v>41829</v>
      </c>
      <c r="G2591" s="37">
        <v>2.5</v>
      </c>
      <c r="O2591"/>
      <c r="P2591"/>
      <c r="R2591" s="39">
        <v>41820</v>
      </c>
      <c r="S2591" s="37">
        <v>0.38069999999999998</v>
      </c>
    </row>
    <row r="2592" spans="6:19" ht="15" x14ac:dyDescent="0.25">
      <c r="F2592" s="39">
        <v>41828</v>
      </c>
      <c r="G2592" s="37">
        <v>2.5</v>
      </c>
      <c r="O2592"/>
      <c r="P2592"/>
      <c r="R2592" s="39">
        <v>41817</v>
      </c>
      <c r="S2592" s="37">
        <v>0.43509999999999999</v>
      </c>
    </row>
    <row r="2593" spans="6:19" ht="15" x14ac:dyDescent="0.25">
      <c r="F2593" s="39">
        <v>41827</v>
      </c>
      <c r="G2593" s="37">
        <v>2.5</v>
      </c>
      <c r="O2593"/>
      <c r="P2593"/>
      <c r="R2593" s="39">
        <v>41816</v>
      </c>
      <c r="S2593" s="37">
        <v>0.42130000000000001</v>
      </c>
    </row>
    <row r="2594" spans="6:19" ht="15" x14ac:dyDescent="0.25">
      <c r="F2594" s="39">
        <v>41824</v>
      </c>
      <c r="G2594" s="37">
        <v>2.5</v>
      </c>
      <c r="O2594"/>
      <c r="P2594"/>
      <c r="R2594" s="39">
        <v>41815</v>
      </c>
      <c r="S2594" s="37">
        <v>0.42749999999999999</v>
      </c>
    </row>
    <row r="2595" spans="6:19" ht="15" x14ac:dyDescent="0.25">
      <c r="F2595" s="39">
        <v>41823</v>
      </c>
      <c r="G2595" s="37">
        <v>2.5</v>
      </c>
      <c r="O2595"/>
      <c r="P2595"/>
      <c r="R2595" s="39">
        <v>41814</v>
      </c>
      <c r="S2595" s="37">
        <v>0.42820000000000003</v>
      </c>
    </row>
    <row r="2596" spans="6:19" ht="15" x14ac:dyDescent="0.25">
      <c r="F2596" s="39">
        <v>41822</v>
      </c>
      <c r="G2596" s="37">
        <v>2.5</v>
      </c>
      <c r="O2596"/>
      <c r="P2596"/>
      <c r="R2596" s="39">
        <v>41813</v>
      </c>
      <c r="S2596" s="37">
        <v>0.42599999999999999</v>
      </c>
    </row>
    <row r="2597" spans="6:19" ht="15" x14ac:dyDescent="0.25">
      <c r="F2597" s="39">
        <v>41821</v>
      </c>
      <c r="G2597" s="37">
        <v>2.5</v>
      </c>
      <c r="O2597"/>
      <c r="P2597"/>
      <c r="R2597" s="39">
        <v>41810</v>
      </c>
      <c r="S2597" s="37">
        <v>0.438</v>
      </c>
    </row>
    <row r="2598" spans="6:19" ht="15" x14ac:dyDescent="0.25">
      <c r="F2598" s="39">
        <v>41820</v>
      </c>
      <c r="G2598" s="37">
        <v>2.5</v>
      </c>
      <c r="O2598"/>
      <c r="P2598"/>
      <c r="R2598" s="39">
        <v>41809</v>
      </c>
      <c r="S2598" s="37">
        <v>0.43490000000000001</v>
      </c>
    </row>
    <row r="2599" spans="6:19" ht="15" x14ac:dyDescent="0.25">
      <c r="F2599" s="39">
        <v>41817</v>
      </c>
      <c r="G2599" s="37">
        <v>2.5</v>
      </c>
      <c r="O2599"/>
      <c r="P2599"/>
      <c r="R2599" s="39">
        <v>41808</v>
      </c>
      <c r="S2599" s="37">
        <v>0.42980000000000002</v>
      </c>
    </row>
    <row r="2600" spans="6:19" ht="15" x14ac:dyDescent="0.25">
      <c r="F2600" s="39">
        <v>41816</v>
      </c>
      <c r="G2600" s="37">
        <v>2.5</v>
      </c>
      <c r="O2600"/>
      <c r="P2600"/>
      <c r="R2600" s="39">
        <v>41807</v>
      </c>
      <c r="S2600" s="37">
        <v>0.42520000000000002</v>
      </c>
    </row>
    <row r="2601" spans="6:19" ht="15" x14ac:dyDescent="0.25">
      <c r="F2601" s="39">
        <v>41815</v>
      </c>
      <c r="G2601" s="37">
        <v>2.5</v>
      </c>
      <c r="O2601"/>
      <c r="P2601"/>
      <c r="R2601" s="39">
        <v>41806</v>
      </c>
      <c r="S2601" s="37">
        <v>0.42799999999999999</v>
      </c>
    </row>
    <row r="2602" spans="6:19" ht="15" x14ac:dyDescent="0.25">
      <c r="F2602" s="39">
        <v>41814</v>
      </c>
      <c r="G2602" s="37">
        <v>2.5</v>
      </c>
      <c r="O2602"/>
      <c r="P2602"/>
      <c r="R2602" s="39">
        <v>41803</v>
      </c>
      <c r="S2602" s="37">
        <v>0.44069999999999998</v>
      </c>
    </row>
    <row r="2603" spans="6:19" ht="15" x14ac:dyDescent="0.25">
      <c r="F2603" s="39">
        <v>41813</v>
      </c>
      <c r="G2603" s="37">
        <v>2.5</v>
      </c>
      <c r="O2603"/>
      <c r="P2603"/>
      <c r="R2603" s="39">
        <v>41802</v>
      </c>
      <c r="S2603" s="37">
        <v>0.42530000000000001</v>
      </c>
    </row>
    <row r="2604" spans="6:19" ht="15" x14ac:dyDescent="0.25">
      <c r="F2604" s="39">
        <v>41810</v>
      </c>
      <c r="G2604" s="37">
        <v>2.5</v>
      </c>
      <c r="O2604"/>
      <c r="P2604"/>
      <c r="R2604" s="39">
        <v>41801</v>
      </c>
      <c r="S2604" s="37">
        <v>0.42509999999999998</v>
      </c>
    </row>
    <row r="2605" spans="6:19" ht="15" x14ac:dyDescent="0.25">
      <c r="F2605" s="39">
        <v>41809</v>
      </c>
      <c r="G2605" s="37">
        <v>2.5</v>
      </c>
      <c r="O2605"/>
      <c r="P2605"/>
      <c r="R2605" s="39">
        <v>41800</v>
      </c>
      <c r="S2605" s="37">
        <v>0.42609999999999998</v>
      </c>
    </row>
    <row r="2606" spans="6:19" ht="15" x14ac:dyDescent="0.25">
      <c r="F2606" s="39">
        <v>41808</v>
      </c>
      <c r="G2606" s="37">
        <v>2.5</v>
      </c>
      <c r="O2606"/>
      <c r="P2606"/>
      <c r="R2606" s="39">
        <v>41799</v>
      </c>
      <c r="S2606" s="37">
        <v>0.42370000000000002</v>
      </c>
    </row>
    <row r="2607" spans="6:19" ht="15" x14ac:dyDescent="0.25">
      <c r="F2607" s="39">
        <v>41807</v>
      </c>
      <c r="G2607" s="37">
        <v>2.5</v>
      </c>
      <c r="O2607"/>
      <c r="P2607"/>
      <c r="R2607" s="39">
        <v>41796</v>
      </c>
      <c r="S2607" s="37">
        <v>0.42870000000000003</v>
      </c>
    </row>
    <row r="2608" spans="6:19" ht="15" x14ac:dyDescent="0.25">
      <c r="F2608" s="39">
        <v>41806</v>
      </c>
      <c r="G2608" s="37">
        <v>2.5</v>
      </c>
      <c r="O2608"/>
      <c r="P2608"/>
      <c r="R2608" s="39">
        <v>41795</v>
      </c>
      <c r="S2608" s="37">
        <v>0.43419999999999997</v>
      </c>
    </row>
    <row r="2609" spans="6:19" ht="15" x14ac:dyDescent="0.25">
      <c r="F2609" s="39">
        <v>41803</v>
      </c>
      <c r="G2609" s="37">
        <v>2.5</v>
      </c>
      <c r="O2609"/>
      <c r="P2609"/>
      <c r="R2609" s="39">
        <v>41794</v>
      </c>
      <c r="S2609" s="37">
        <v>0.41720000000000002</v>
      </c>
    </row>
    <row r="2610" spans="6:19" ht="15" x14ac:dyDescent="0.25">
      <c r="F2610" s="39">
        <v>41802</v>
      </c>
      <c r="G2610" s="37">
        <v>2.5</v>
      </c>
      <c r="O2610"/>
      <c r="P2610"/>
      <c r="R2610" s="39">
        <v>41793</v>
      </c>
      <c r="S2610" s="37">
        <v>0.41260000000000002</v>
      </c>
    </row>
    <row r="2611" spans="6:19" ht="15" x14ac:dyDescent="0.25">
      <c r="F2611" s="39">
        <v>41801</v>
      </c>
      <c r="G2611" s="37">
        <v>2.5</v>
      </c>
      <c r="O2611"/>
      <c r="P2611"/>
      <c r="R2611" s="39">
        <v>41792</v>
      </c>
      <c r="S2611" s="37">
        <v>0.41860000000000003</v>
      </c>
    </row>
    <row r="2612" spans="6:19" ht="15" x14ac:dyDescent="0.25">
      <c r="F2612" s="39">
        <v>41800</v>
      </c>
      <c r="G2612" s="37">
        <v>2.5</v>
      </c>
      <c r="O2612"/>
      <c r="P2612"/>
      <c r="R2612" s="39">
        <v>41789</v>
      </c>
      <c r="S2612" s="37">
        <v>0.41689999999999999</v>
      </c>
    </row>
    <row r="2613" spans="6:19" ht="15" x14ac:dyDescent="0.25">
      <c r="F2613" s="39">
        <v>41796</v>
      </c>
      <c r="G2613" s="37">
        <v>2.5</v>
      </c>
      <c r="O2613"/>
      <c r="P2613"/>
      <c r="R2613" s="39">
        <v>41788</v>
      </c>
      <c r="S2613" s="37">
        <v>0.4234</v>
      </c>
    </row>
    <row r="2614" spans="6:19" ht="15" x14ac:dyDescent="0.25">
      <c r="F2614" s="39">
        <v>41795</v>
      </c>
      <c r="G2614" s="37">
        <v>2.5</v>
      </c>
      <c r="O2614"/>
      <c r="P2614"/>
      <c r="R2614" s="39">
        <v>41787</v>
      </c>
      <c r="S2614" s="37">
        <v>0.4254</v>
      </c>
    </row>
    <row r="2615" spans="6:19" ht="15" x14ac:dyDescent="0.25">
      <c r="F2615" s="39">
        <v>41794</v>
      </c>
      <c r="G2615" s="37">
        <v>2.5</v>
      </c>
      <c r="O2615"/>
      <c r="P2615"/>
      <c r="R2615" s="39">
        <v>41786</v>
      </c>
      <c r="S2615" s="37">
        <v>0.42230000000000001</v>
      </c>
    </row>
    <row r="2616" spans="6:19" ht="15" x14ac:dyDescent="0.25">
      <c r="F2616" s="39">
        <v>41793</v>
      </c>
      <c r="G2616" s="37">
        <v>2.5</v>
      </c>
      <c r="O2616"/>
      <c r="P2616"/>
      <c r="R2616" s="39">
        <v>41782</v>
      </c>
      <c r="S2616" s="37">
        <v>0.4294</v>
      </c>
    </row>
    <row r="2617" spans="6:19" ht="15" x14ac:dyDescent="0.25">
      <c r="F2617" s="39">
        <v>41792</v>
      </c>
      <c r="G2617" s="37">
        <v>2.5</v>
      </c>
      <c r="O2617"/>
      <c r="P2617"/>
      <c r="R2617" s="39">
        <v>41781</v>
      </c>
      <c r="S2617" s="37">
        <v>0.42220000000000002</v>
      </c>
    </row>
    <row r="2618" spans="6:19" ht="15" x14ac:dyDescent="0.25">
      <c r="F2618" s="39">
        <v>41789</v>
      </c>
      <c r="G2618" s="37">
        <v>2.5</v>
      </c>
      <c r="O2618"/>
      <c r="P2618"/>
      <c r="R2618" s="39">
        <v>41780</v>
      </c>
      <c r="S2618" s="37">
        <v>0.42280000000000001</v>
      </c>
    </row>
    <row r="2619" spans="6:19" ht="15" x14ac:dyDescent="0.25">
      <c r="F2619" s="39">
        <v>41788</v>
      </c>
      <c r="G2619" s="37">
        <v>2.5</v>
      </c>
      <c r="O2619"/>
      <c r="P2619"/>
      <c r="R2619" s="39">
        <v>41779</v>
      </c>
      <c r="S2619" s="37">
        <v>0.4229</v>
      </c>
    </row>
    <row r="2620" spans="6:19" ht="15" x14ac:dyDescent="0.25">
      <c r="F2620" s="39">
        <v>41787</v>
      </c>
      <c r="G2620" s="37">
        <v>2.5</v>
      </c>
      <c r="O2620"/>
      <c r="P2620"/>
      <c r="R2620" s="39">
        <v>41778</v>
      </c>
      <c r="S2620" s="37">
        <v>0.4254</v>
      </c>
    </row>
    <row r="2621" spans="6:19" ht="15" x14ac:dyDescent="0.25">
      <c r="F2621" s="39">
        <v>41786</v>
      </c>
      <c r="G2621" s="37">
        <v>2.5</v>
      </c>
      <c r="O2621"/>
      <c r="P2621"/>
      <c r="R2621" s="39">
        <v>41775</v>
      </c>
      <c r="S2621" s="37">
        <v>0.42599999999999999</v>
      </c>
    </row>
    <row r="2622" spans="6:19" ht="15" x14ac:dyDescent="0.25">
      <c r="F2622" s="39">
        <v>41785</v>
      </c>
      <c r="G2622" s="37">
        <v>2.5</v>
      </c>
      <c r="O2622"/>
      <c r="P2622"/>
      <c r="R2622" s="39">
        <v>41774</v>
      </c>
      <c r="S2622" s="37">
        <v>0.42709999999999998</v>
      </c>
    </row>
    <row r="2623" spans="6:19" ht="15" x14ac:dyDescent="0.25">
      <c r="F2623" s="39">
        <v>41782</v>
      </c>
      <c r="G2623" s="37">
        <v>2.5</v>
      </c>
      <c r="O2623"/>
      <c r="P2623"/>
      <c r="R2623" s="39">
        <v>41773</v>
      </c>
      <c r="S2623" s="37">
        <v>0.4249</v>
      </c>
    </row>
    <row r="2624" spans="6:19" ht="15" x14ac:dyDescent="0.25">
      <c r="F2624" s="39">
        <v>41781</v>
      </c>
      <c r="G2624" s="37">
        <v>2.5</v>
      </c>
      <c r="O2624"/>
      <c r="P2624"/>
      <c r="R2624" s="39">
        <v>41772</v>
      </c>
      <c r="S2624" s="37">
        <v>0.4224</v>
      </c>
    </row>
    <row r="2625" spans="6:19" ht="15" x14ac:dyDescent="0.25">
      <c r="F2625" s="39">
        <v>41780</v>
      </c>
      <c r="G2625" s="37">
        <v>2.5</v>
      </c>
      <c r="O2625"/>
      <c r="P2625"/>
      <c r="R2625" s="39">
        <v>41771</v>
      </c>
      <c r="S2625" s="37">
        <v>0.4219</v>
      </c>
    </row>
    <row r="2626" spans="6:19" ht="15" x14ac:dyDescent="0.25">
      <c r="F2626" s="39">
        <v>41779</v>
      </c>
      <c r="G2626" s="37">
        <v>2.5</v>
      </c>
      <c r="O2626"/>
      <c r="P2626"/>
      <c r="R2626" s="39">
        <v>41768</v>
      </c>
      <c r="S2626" s="37">
        <v>0.4254</v>
      </c>
    </row>
    <row r="2627" spans="6:19" ht="15" x14ac:dyDescent="0.25">
      <c r="F2627" s="39">
        <v>41778</v>
      </c>
      <c r="G2627" s="37">
        <v>2.5</v>
      </c>
      <c r="O2627"/>
      <c r="P2627"/>
      <c r="R2627" s="39">
        <v>41767</v>
      </c>
      <c r="S2627" s="37">
        <v>0.42549999999999999</v>
      </c>
    </row>
    <row r="2628" spans="6:19" ht="15" x14ac:dyDescent="0.25">
      <c r="F2628" s="39">
        <v>41775</v>
      </c>
      <c r="G2628" s="37">
        <v>2.5</v>
      </c>
      <c r="O2628"/>
      <c r="P2628"/>
      <c r="R2628" s="39">
        <v>41766</v>
      </c>
      <c r="S2628" s="37">
        <v>0.42509999999999998</v>
      </c>
    </row>
    <row r="2629" spans="6:19" ht="15" x14ac:dyDescent="0.25">
      <c r="F2629" s="39">
        <v>41774</v>
      </c>
      <c r="G2629" s="37">
        <v>2.5</v>
      </c>
      <c r="O2629"/>
      <c r="P2629"/>
      <c r="R2629" s="39">
        <v>41765</v>
      </c>
      <c r="S2629" s="37">
        <v>0.41959999999999997</v>
      </c>
    </row>
    <row r="2630" spans="6:19" ht="15" x14ac:dyDescent="0.25">
      <c r="F2630" s="39">
        <v>41773</v>
      </c>
      <c r="G2630" s="37">
        <v>2.5</v>
      </c>
      <c r="O2630"/>
      <c r="P2630"/>
      <c r="R2630" s="39">
        <v>41761</v>
      </c>
      <c r="S2630" s="37">
        <v>0.4178</v>
      </c>
    </row>
    <row r="2631" spans="6:19" ht="15" x14ac:dyDescent="0.25">
      <c r="F2631" s="39">
        <v>41772</v>
      </c>
      <c r="G2631" s="37">
        <v>2.5</v>
      </c>
      <c r="O2631"/>
      <c r="P2631"/>
      <c r="R2631" s="39">
        <v>41760</v>
      </c>
      <c r="S2631" s="37">
        <v>0.42049999999999998</v>
      </c>
    </row>
    <row r="2632" spans="6:19" ht="15" x14ac:dyDescent="0.25">
      <c r="F2632" s="39">
        <v>41771</v>
      </c>
      <c r="G2632" s="37">
        <v>2.5</v>
      </c>
      <c r="O2632"/>
      <c r="P2632"/>
      <c r="R2632" s="39">
        <v>41759</v>
      </c>
      <c r="S2632" s="37">
        <v>0.39839999999999998</v>
      </c>
    </row>
    <row r="2633" spans="6:19" ht="15" x14ac:dyDescent="0.25">
      <c r="F2633" s="39">
        <v>41768</v>
      </c>
      <c r="G2633" s="37">
        <v>2.5</v>
      </c>
      <c r="O2633"/>
      <c r="P2633"/>
      <c r="R2633" s="39">
        <v>41758</v>
      </c>
      <c r="S2633" s="37">
        <v>0.4199</v>
      </c>
    </row>
    <row r="2634" spans="6:19" ht="15" x14ac:dyDescent="0.25">
      <c r="F2634" s="39">
        <v>41767</v>
      </c>
      <c r="G2634" s="37">
        <v>2.5</v>
      </c>
      <c r="O2634"/>
      <c r="P2634"/>
      <c r="R2634" s="39">
        <v>41757</v>
      </c>
      <c r="S2634" s="37">
        <v>0.4234</v>
      </c>
    </row>
    <row r="2635" spans="6:19" ht="15" x14ac:dyDescent="0.25">
      <c r="F2635" s="39">
        <v>41766</v>
      </c>
      <c r="G2635" s="37">
        <v>2.5</v>
      </c>
      <c r="O2635"/>
      <c r="P2635"/>
      <c r="R2635" s="39">
        <v>41754</v>
      </c>
      <c r="S2635" s="37">
        <v>0.42080000000000001</v>
      </c>
    </row>
    <row r="2636" spans="6:19" ht="15" x14ac:dyDescent="0.25">
      <c r="F2636" s="39">
        <v>41765</v>
      </c>
      <c r="G2636" s="37">
        <v>2.5</v>
      </c>
      <c r="O2636"/>
      <c r="P2636"/>
      <c r="R2636" s="39">
        <v>41753</v>
      </c>
      <c r="S2636" s="37">
        <v>0.42149999999999999</v>
      </c>
    </row>
    <row r="2637" spans="6:19" ht="15" x14ac:dyDescent="0.25">
      <c r="F2637" s="39">
        <v>41764</v>
      </c>
      <c r="G2637" s="37">
        <v>2.5</v>
      </c>
      <c r="O2637"/>
      <c r="P2637"/>
      <c r="R2637" s="39">
        <v>41752</v>
      </c>
      <c r="S2637" s="37">
        <v>0.42249999999999999</v>
      </c>
    </row>
    <row r="2638" spans="6:19" ht="15" x14ac:dyDescent="0.25">
      <c r="F2638" s="39">
        <v>41761</v>
      </c>
      <c r="G2638" s="37">
        <v>2.5</v>
      </c>
      <c r="O2638"/>
      <c r="P2638"/>
      <c r="R2638" s="39">
        <v>41751</v>
      </c>
      <c r="S2638" s="37">
        <v>0.42399999999999999</v>
      </c>
    </row>
    <row r="2639" spans="6:19" ht="15" x14ac:dyDescent="0.25">
      <c r="F2639" s="39">
        <v>41760</v>
      </c>
      <c r="G2639" s="37">
        <v>2.5</v>
      </c>
      <c r="O2639"/>
      <c r="P2639"/>
      <c r="R2639" s="39">
        <v>41746</v>
      </c>
      <c r="S2639" s="37">
        <v>0.42649999999999999</v>
      </c>
    </row>
    <row r="2640" spans="6:19" ht="15" x14ac:dyDescent="0.25">
      <c r="F2640" s="39">
        <v>41759</v>
      </c>
      <c r="G2640" s="37">
        <v>2.5</v>
      </c>
      <c r="O2640"/>
      <c r="P2640"/>
      <c r="R2640" s="39">
        <v>41745</v>
      </c>
      <c r="S2640" s="37">
        <v>0.42749999999999999</v>
      </c>
    </row>
    <row r="2641" spans="6:19" ht="15" x14ac:dyDescent="0.25">
      <c r="F2641" s="39">
        <v>41758</v>
      </c>
      <c r="G2641" s="37">
        <v>2.5</v>
      </c>
      <c r="O2641"/>
      <c r="P2641"/>
      <c r="R2641" s="39">
        <v>41744</v>
      </c>
      <c r="S2641" s="37">
        <v>0.43</v>
      </c>
    </row>
    <row r="2642" spans="6:19" ht="15" x14ac:dyDescent="0.25">
      <c r="F2642" s="39">
        <v>41757</v>
      </c>
      <c r="G2642" s="37">
        <v>2.5</v>
      </c>
      <c r="O2642"/>
      <c r="P2642"/>
      <c r="R2642" s="39">
        <v>41743</v>
      </c>
      <c r="S2642" s="37">
        <v>0.42349999999999999</v>
      </c>
    </row>
    <row r="2643" spans="6:19" ht="15" x14ac:dyDescent="0.25">
      <c r="F2643" s="39">
        <v>41753</v>
      </c>
      <c r="G2643" s="37">
        <v>2.5</v>
      </c>
      <c r="O2643"/>
      <c r="P2643"/>
      <c r="R2643" s="39">
        <v>41740</v>
      </c>
      <c r="S2643" s="37">
        <v>0.42199999999999999</v>
      </c>
    </row>
    <row r="2644" spans="6:19" ht="15" x14ac:dyDescent="0.25">
      <c r="F2644" s="39">
        <v>41752</v>
      </c>
      <c r="G2644" s="37">
        <v>2.5</v>
      </c>
      <c r="O2644"/>
      <c r="P2644"/>
      <c r="R2644" s="39">
        <v>41739</v>
      </c>
      <c r="S2644" s="37">
        <v>0.42749999999999999</v>
      </c>
    </row>
    <row r="2645" spans="6:19" ht="15" x14ac:dyDescent="0.25">
      <c r="F2645" s="39">
        <v>41751</v>
      </c>
      <c r="G2645" s="37">
        <v>2.5</v>
      </c>
      <c r="O2645"/>
      <c r="P2645"/>
      <c r="R2645" s="39">
        <v>41738</v>
      </c>
      <c r="S2645" s="37">
        <v>0.42499999999999999</v>
      </c>
    </row>
    <row r="2646" spans="6:19" ht="15" x14ac:dyDescent="0.25">
      <c r="F2646" s="39">
        <v>41746</v>
      </c>
      <c r="G2646" s="37">
        <v>2.5</v>
      </c>
      <c r="O2646"/>
      <c r="P2646"/>
      <c r="R2646" s="39">
        <v>41737</v>
      </c>
      <c r="S2646" s="37">
        <v>0.42370000000000002</v>
      </c>
    </row>
    <row r="2647" spans="6:19" ht="15" x14ac:dyDescent="0.25">
      <c r="F2647" s="39">
        <v>41745</v>
      </c>
      <c r="G2647" s="37">
        <v>2.5</v>
      </c>
      <c r="O2647"/>
      <c r="P2647"/>
      <c r="R2647" s="39">
        <v>41736</v>
      </c>
      <c r="S2647" s="37">
        <v>0.42549999999999999</v>
      </c>
    </row>
    <row r="2648" spans="6:19" ht="15" x14ac:dyDescent="0.25">
      <c r="F2648" s="39">
        <v>41744</v>
      </c>
      <c r="G2648" s="37">
        <v>2.5</v>
      </c>
      <c r="O2648"/>
      <c r="P2648"/>
      <c r="R2648" s="39">
        <v>41733</v>
      </c>
      <c r="S2648" s="37">
        <v>0.41739999999999999</v>
      </c>
    </row>
    <row r="2649" spans="6:19" ht="15" x14ac:dyDescent="0.25">
      <c r="F2649" s="39">
        <v>41743</v>
      </c>
      <c r="G2649" s="37">
        <v>2.5</v>
      </c>
      <c r="O2649"/>
      <c r="P2649"/>
      <c r="R2649" s="39">
        <v>41732</v>
      </c>
      <c r="S2649" s="37">
        <v>0.4224</v>
      </c>
    </row>
    <row r="2650" spans="6:19" ht="15" x14ac:dyDescent="0.25">
      <c r="F2650" s="39">
        <v>41740</v>
      </c>
      <c r="G2650" s="37">
        <v>2.5</v>
      </c>
      <c r="O2650"/>
      <c r="P2650"/>
      <c r="R2650" s="39">
        <v>41731</v>
      </c>
      <c r="S2650" s="37">
        <v>0.4209</v>
      </c>
    </row>
    <row r="2651" spans="6:19" ht="15" x14ac:dyDescent="0.25">
      <c r="F2651" s="39">
        <v>41739</v>
      </c>
      <c r="G2651" s="37">
        <v>2.5</v>
      </c>
      <c r="O2651"/>
      <c r="P2651"/>
      <c r="R2651" s="39">
        <v>41730</v>
      </c>
      <c r="S2651" s="37">
        <v>0.4168</v>
      </c>
    </row>
    <row r="2652" spans="6:19" ht="15" x14ac:dyDescent="0.25">
      <c r="F2652" s="39">
        <v>41738</v>
      </c>
      <c r="G2652" s="37">
        <v>2.5</v>
      </c>
      <c r="O2652"/>
      <c r="P2652"/>
      <c r="R2652" s="39">
        <v>41729</v>
      </c>
      <c r="S2652" s="37">
        <v>0.3342</v>
      </c>
    </row>
    <row r="2653" spans="6:19" ht="15" x14ac:dyDescent="0.25">
      <c r="F2653" s="39">
        <v>41737</v>
      </c>
      <c r="G2653" s="37">
        <v>2.5</v>
      </c>
      <c r="O2653"/>
      <c r="P2653"/>
      <c r="R2653" s="39">
        <v>41726</v>
      </c>
      <c r="S2653" s="37">
        <v>0.42099999999999999</v>
      </c>
    </row>
    <row r="2654" spans="6:19" ht="15" x14ac:dyDescent="0.25">
      <c r="F2654" s="39">
        <v>41736</v>
      </c>
      <c r="G2654" s="37">
        <v>2.5</v>
      </c>
      <c r="O2654"/>
      <c r="P2654"/>
      <c r="R2654" s="39">
        <v>41725</v>
      </c>
      <c r="S2654" s="37">
        <v>0.42330000000000001</v>
      </c>
    </row>
    <row r="2655" spans="6:19" ht="15" x14ac:dyDescent="0.25">
      <c r="F2655" s="39">
        <v>41733</v>
      </c>
      <c r="G2655" s="37">
        <v>2.5</v>
      </c>
      <c r="O2655"/>
      <c r="P2655"/>
      <c r="R2655" s="39">
        <v>41724</v>
      </c>
      <c r="S2655" s="37">
        <v>0.42499999999999999</v>
      </c>
    </row>
    <row r="2656" spans="6:19" ht="15" x14ac:dyDescent="0.25">
      <c r="F2656" s="39">
        <v>41732</v>
      </c>
      <c r="G2656" s="37">
        <v>2.5</v>
      </c>
      <c r="O2656"/>
      <c r="P2656"/>
      <c r="R2656" s="39">
        <v>41723</v>
      </c>
      <c r="S2656" s="37">
        <v>0.4234</v>
      </c>
    </row>
    <row r="2657" spans="6:19" ht="15" x14ac:dyDescent="0.25">
      <c r="F2657" s="39">
        <v>41731</v>
      </c>
      <c r="G2657" s="37">
        <v>2.5</v>
      </c>
      <c r="O2657"/>
      <c r="P2657"/>
      <c r="R2657" s="39">
        <v>41722</v>
      </c>
      <c r="S2657" s="37">
        <v>0.42080000000000001</v>
      </c>
    </row>
    <row r="2658" spans="6:19" ht="15" x14ac:dyDescent="0.25">
      <c r="F2658" s="39">
        <v>41730</v>
      </c>
      <c r="G2658" s="37">
        <v>2.5</v>
      </c>
      <c r="O2658"/>
      <c r="P2658"/>
      <c r="R2658" s="39">
        <v>41719</v>
      </c>
      <c r="S2658" s="37">
        <v>0.41909999999999997</v>
      </c>
    </row>
    <row r="2659" spans="6:19" ht="15" x14ac:dyDescent="0.25">
      <c r="F2659" s="39">
        <v>41729</v>
      </c>
      <c r="G2659" s="37">
        <v>2.5</v>
      </c>
      <c r="O2659"/>
      <c r="P2659"/>
      <c r="R2659" s="39">
        <v>41718</v>
      </c>
      <c r="S2659" s="37">
        <v>0.42930000000000001</v>
      </c>
    </row>
    <row r="2660" spans="6:19" ht="15" x14ac:dyDescent="0.25">
      <c r="F2660" s="39">
        <v>41726</v>
      </c>
      <c r="G2660" s="37">
        <v>2.5</v>
      </c>
      <c r="O2660"/>
      <c r="P2660"/>
      <c r="R2660" s="39">
        <v>41717</v>
      </c>
      <c r="S2660" s="37">
        <v>0.41799999999999998</v>
      </c>
    </row>
    <row r="2661" spans="6:19" ht="15" x14ac:dyDescent="0.25">
      <c r="F2661" s="39">
        <v>41725</v>
      </c>
      <c r="G2661" s="37">
        <v>2.5</v>
      </c>
      <c r="O2661"/>
      <c r="P2661"/>
      <c r="R2661" s="39">
        <v>41716</v>
      </c>
      <c r="S2661" s="37">
        <v>0.4163</v>
      </c>
    </row>
    <row r="2662" spans="6:19" ht="15" x14ac:dyDescent="0.25">
      <c r="F2662" s="39">
        <v>41724</v>
      </c>
      <c r="G2662" s="37">
        <v>2.5</v>
      </c>
      <c r="O2662"/>
      <c r="P2662"/>
      <c r="R2662" s="39">
        <v>41715</v>
      </c>
      <c r="S2662" s="37">
        <v>0.41970000000000002</v>
      </c>
    </row>
    <row r="2663" spans="6:19" ht="15" x14ac:dyDescent="0.25">
      <c r="F2663" s="39">
        <v>41723</v>
      </c>
      <c r="G2663" s="37">
        <v>2.5</v>
      </c>
      <c r="O2663"/>
      <c r="P2663"/>
      <c r="R2663" s="39">
        <v>41712</v>
      </c>
      <c r="S2663" s="37">
        <v>0.41620000000000001</v>
      </c>
    </row>
    <row r="2664" spans="6:19" ht="15" x14ac:dyDescent="0.25">
      <c r="F2664" s="39">
        <v>41722</v>
      </c>
      <c r="G2664" s="37">
        <v>2.5</v>
      </c>
      <c r="O2664"/>
      <c r="P2664"/>
      <c r="R2664" s="39">
        <v>41711</v>
      </c>
      <c r="S2664" s="37">
        <v>0.4173</v>
      </c>
    </row>
    <row r="2665" spans="6:19" ht="15" x14ac:dyDescent="0.25">
      <c r="F2665" s="39">
        <v>41719</v>
      </c>
      <c r="G2665" s="37">
        <v>2.5</v>
      </c>
      <c r="O2665"/>
      <c r="P2665"/>
      <c r="R2665" s="39">
        <v>41710</v>
      </c>
      <c r="S2665" s="37">
        <v>0.41970000000000002</v>
      </c>
    </row>
    <row r="2666" spans="6:19" ht="15" x14ac:dyDescent="0.25">
      <c r="F2666" s="39">
        <v>41718</v>
      </c>
      <c r="G2666" s="37">
        <v>2.5</v>
      </c>
      <c r="O2666"/>
      <c r="P2666"/>
      <c r="R2666" s="39">
        <v>41709</v>
      </c>
      <c r="S2666" s="37">
        <v>0.42020000000000002</v>
      </c>
    </row>
    <row r="2667" spans="6:19" ht="15" x14ac:dyDescent="0.25">
      <c r="F2667" s="39">
        <v>41717</v>
      </c>
      <c r="G2667" s="37">
        <v>2.5</v>
      </c>
      <c r="O2667"/>
      <c r="P2667"/>
      <c r="R2667" s="39">
        <v>41708</v>
      </c>
      <c r="S2667" s="37">
        <v>0.41289999999999999</v>
      </c>
    </row>
    <row r="2668" spans="6:19" ht="15" x14ac:dyDescent="0.25">
      <c r="F2668" s="39">
        <v>41716</v>
      </c>
      <c r="G2668" s="37">
        <v>2.5</v>
      </c>
      <c r="O2668"/>
      <c r="P2668"/>
      <c r="R2668" s="39">
        <v>41705</v>
      </c>
      <c r="S2668" s="37">
        <v>0.41810000000000003</v>
      </c>
    </row>
    <row r="2669" spans="6:19" ht="15" x14ac:dyDescent="0.25">
      <c r="F2669" s="39">
        <v>41715</v>
      </c>
      <c r="G2669" s="37">
        <v>2.5</v>
      </c>
      <c r="O2669"/>
      <c r="P2669"/>
      <c r="R2669" s="39">
        <v>41704</v>
      </c>
      <c r="S2669" s="37">
        <v>0.41959999999999997</v>
      </c>
    </row>
    <row r="2670" spans="6:19" ht="15" x14ac:dyDescent="0.25">
      <c r="F2670" s="39">
        <v>41712</v>
      </c>
      <c r="G2670" s="37">
        <v>2.5</v>
      </c>
      <c r="O2670"/>
      <c r="P2670"/>
      <c r="R2670" s="39">
        <v>41703</v>
      </c>
      <c r="S2670" s="37">
        <v>0.4209</v>
      </c>
    </row>
    <row r="2671" spans="6:19" ht="15" x14ac:dyDescent="0.25">
      <c r="F2671" s="39">
        <v>41711</v>
      </c>
      <c r="G2671" s="37">
        <v>2.5</v>
      </c>
      <c r="O2671"/>
      <c r="P2671"/>
      <c r="R2671" s="39">
        <v>41702</v>
      </c>
      <c r="S2671" s="37">
        <v>0.41880000000000001</v>
      </c>
    </row>
    <row r="2672" spans="6:19" ht="15" x14ac:dyDescent="0.25">
      <c r="F2672" s="39">
        <v>41710</v>
      </c>
      <c r="G2672" s="37">
        <v>2.5</v>
      </c>
      <c r="O2672"/>
      <c r="P2672"/>
      <c r="R2672" s="39">
        <v>41701</v>
      </c>
      <c r="S2672" s="37">
        <v>0.41970000000000002</v>
      </c>
    </row>
    <row r="2673" spans="6:19" ht="15" x14ac:dyDescent="0.25">
      <c r="F2673" s="39">
        <v>41709</v>
      </c>
      <c r="G2673" s="37">
        <v>2.5</v>
      </c>
      <c r="O2673"/>
      <c r="P2673"/>
      <c r="R2673" s="39">
        <v>41698</v>
      </c>
      <c r="S2673" s="37">
        <v>0.39040000000000002</v>
      </c>
    </row>
    <row r="2674" spans="6:19" ht="15" x14ac:dyDescent="0.25">
      <c r="F2674" s="39">
        <v>41708</v>
      </c>
      <c r="G2674" s="37">
        <v>2.5</v>
      </c>
      <c r="O2674"/>
      <c r="P2674"/>
      <c r="R2674" s="39">
        <v>41697</v>
      </c>
      <c r="S2674" s="37">
        <v>0.41089999999999999</v>
      </c>
    </row>
    <row r="2675" spans="6:19" ht="15" x14ac:dyDescent="0.25">
      <c r="F2675" s="39">
        <v>41705</v>
      </c>
      <c r="G2675" s="37">
        <v>2.5</v>
      </c>
      <c r="O2675"/>
      <c r="P2675"/>
      <c r="R2675" s="39">
        <v>41696</v>
      </c>
      <c r="S2675" s="37">
        <v>0.41889999999999999</v>
      </c>
    </row>
    <row r="2676" spans="6:19" ht="15" x14ac:dyDescent="0.25">
      <c r="F2676" s="39">
        <v>41704</v>
      </c>
      <c r="G2676" s="37">
        <v>2.5</v>
      </c>
      <c r="O2676"/>
      <c r="P2676"/>
      <c r="R2676" s="39">
        <v>41695</v>
      </c>
      <c r="S2676" s="37">
        <v>0.41799999999999998</v>
      </c>
    </row>
    <row r="2677" spans="6:19" ht="15" x14ac:dyDescent="0.25">
      <c r="F2677" s="39">
        <v>41703</v>
      </c>
      <c r="G2677" s="37">
        <v>2.5</v>
      </c>
      <c r="O2677"/>
      <c r="P2677"/>
      <c r="R2677" s="39">
        <v>41694</v>
      </c>
      <c r="S2677" s="37">
        <v>0.41849999999999998</v>
      </c>
    </row>
    <row r="2678" spans="6:19" ht="15" x14ac:dyDescent="0.25">
      <c r="F2678" s="39">
        <v>41702</v>
      </c>
      <c r="G2678" s="37">
        <v>2.5</v>
      </c>
      <c r="O2678"/>
      <c r="P2678"/>
      <c r="R2678" s="39">
        <v>41691</v>
      </c>
      <c r="S2678" s="37">
        <v>0.4199</v>
      </c>
    </row>
    <row r="2679" spans="6:19" ht="15" x14ac:dyDescent="0.25">
      <c r="F2679" s="39">
        <v>41701</v>
      </c>
      <c r="G2679" s="37">
        <v>2.5</v>
      </c>
      <c r="O2679"/>
      <c r="P2679"/>
      <c r="R2679" s="39">
        <v>41690</v>
      </c>
      <c r="S2679" s="37">
        <v>0.41420000000000001</v>
      </c>
    </row>
    <row r="2680" spans="6:19" ht="15" x14ac:dyDescent="0.25">
      <c r="F2680" s="39">
        <v>41698</v>
      </c>
      <c r="G2680" s="37">
        <v>2.5</v>
      </c>
      <c r="O2680"/>
      <c r="P2680"/>
      <c r="R2680" s="39">
        <v>41689</v>
      </c>
      <c r="S2680" s="37">
        <v>0.41339999999999999</v>
      </c>
    </row>
    <row r="2681" spans="6:19" ht="15" x14ac:dyDescent="0.25">
      <c r="F2681" s="39">
        <v>41697</v>
      </c>
      <c r="G2681" s="37">
        <v>2.5</v>
      </c>
      <c r="O2681"/>
      <c r="P2681"/>
      <c r="R2681" s="39">
        <v>41688</v>
      </c>
      <c r="S2681" s="37">
        <v>0.41160000000000002</v>
      </c>
    </row>
    <row r="2682" spans="6:19" ht="15" x14ac:dyDescent="0.25">
      <c r="F2682" s="39">
        <v>41696</v>
      </c>
      <c r="G2682" s="37">
        <v>2.5</v>
      </c>
      <c r="O2682"/>
      <c r="P2682"/>
      <c r="R2682" s="39">
        <v>41687</v>
      </c>
      <c r="S2682" s="37">
        <v>0.43149999999999999</v>
      </c>
    </row>
    <row r="2683" spans="6:19" ht="15" x14ac:dyDescent="0.25">
      <c r="F2683" s="39">
        <v>41695</v>
      </c>
      <c r="G2683" s="37">
        <v>2.5</v>
      </c>
      <c r="O2683"/>
      <c r="P2683"/>
      <c r="R2683" s="39">
        <v>41684</v>
      </c>
      <c r="S2683" s="37">
        <v>0.42159999999999997</v>
      </c>
    </row>
    <row r="2684" spans="6:19" ht="15" x14ac:dyDescent="0.25">
      <c r="F2684" s="39">
        <v>41694</v>
      </c>
      <c r="G2684" s="37">
        <v>2.5</v>
      </c>
      <c r="O2684"/>
      <c r="P2684"/>
      <c r="R2684" s="39">
        <v>41683</v>
      </c>
      <c r="S2684" s="37">
        <v>0.4199</v>
      </c>
    </row>
    <row r="2685" spans="6:19" ht="15" x14ac:dyDescent="0.25">
      <c r="F2685" s="39">
        <v>41691</v>
      </c>
      <c r="G2685" s="37">
        <v>2.5</v>
      </c>
      <c r="O2685"/>
      <c r="P2685"/>
      <c r="R2685" s="39">
        <v>41682</v>
      </c>
      <c r="S2685" s="37">
        <v>0.41660000000000003</v>
      </c>
    </row>
    <row r="2686" spans="6:19" ht="15" x14ac:dyDescent="0.25">
      <c r="F2686" s="39">
        <v>41690</v>
      </c>
      <c r="G2686" s="37">
        <v>2.5</v>
      </c>
      <c r="O2686"/>
      <c r="P2686"/>
      <c r="R2686" s="39">
        <v>41681</v>
      </c>
      <c r="S2686" s="37">
        <v>0.41849999999999998</v>
      </c>
    </row>
    <row r="2687" spans="6:19" ht="15" x14ac:dyDescent="0.25">
      <c r="F2687" s="39">
        <v>41689</v>
      </c>
      <c r="G2687" s="37">
        <v>2.5</v>
      </c>
      <c r="O2687"/>
      <c r="P2687"/>
      <c r="R2687" s="39">
        <v>41680</v>
      </c>
      <c r="S2687" s="37">
        <v>0.42220000000000002</v>
      </c>
    </row>
    <row r="2688" spans="6:19" ht="15" x14ac:dyDescent="0.25">
      <c r="F2688" s="39">
        <v>41688</v>
      </c>
      <c r="G2688" s="37">
        <v>2.5</v>
      </c>
      <c r="O2688"/>
      <c r="P2688"/>
      <c r="R2688" s="39">
        <v>41677</v>
      </c>
      <c r="S2688" s="37">
        <v>0.42449999999999999</v>
      </c>
    </row>
    <row r="2689" spans="6:19" ht="15" x14ac:dyDescent="0.25">
      <c r="F2689" s="39">
        <v>41687</v>
      </c>
      <c r="G2689" s="37">
        <v>2.5</v>
      </c>
      <c r="O2689"/>
      <c r="P2689"/>
      <c r="R2689" s="39">
        <v>41676</v>
      </c>
      <c r="S2689" s="37">
        <v>0.42959999999999998</v>
      </c>
    </row>
    <row r="2690" spans="6:19" ht="15" x14ac:dyDescent="0.25">
      <c r="F2690" s="39">
        <v>41684</v>
      </c>
      <c r="G2690" s="37">
        <v>2.5</v>
      </c>
      <c r="O2690"/>
      <c r="P2690"/>
      <c r="R2690" s="39">
        <v>41675</v>
      </c>
      <c r="S2690" s="37">
        <v>0.42709999999999998</v>
      </c>
    </row>
    <row r="2691" spans="6:19" ht="15" x14ac:dyDescent="0.25">
      <c r="F2691" s="39">
        <v>41683</v>
      </c>
      <c r="G2691" s="37">
        <v>2.5</v>
      </c>
      <c r="O2691"/>
      <c r="P2691"/>
      <c r="R2691" s="39">
        <v>41674</v>
      </c>
      <c r="S2691" s="37">
        <v>0.43190000000000001</v>
      </c>
    </row>
    <row r="2692" spans="6:19" ht="15" x14ac:dyDescent="0.25">
      <c r="F2692" s="39">
        <v>41682</v>
      </c>
      <c r="G2692" s="37">
        <v>2.5</v>
      </c>
      <c r="O2692"/>
      <c r="P2692"/>
      <c r="R2692" s="39">
        <v>41673</v>
      </c>
      <c r="S2692" s="37">
        <v>0.43390000000000001</v>
      </c>
    </row>
    <row r="2693" spans="6:19" ht="15" x14ac:dyDescent="0.25">
      <c r="F2693" s="39">
        <v>41681</v>
      </c>
      <c r="G2693" s="37">
        <v>2.5</v>
      </c>
      <c r="O2693"/>
      <c r="P2693"/>
      <c r="R2693" s="39">
        <v>41670</v>
      </c>
      <c r="S2693" s="37">
        <v>0.41039999999999999</v>
      </c>
    </row>
    <row r="2694" spans="6:19" ht="15" x14ac:dyDescent="0.25">
      <c r="F2694" s="39">
        <v>41680</v>
      </c>
      <c r="G2694" s="37">
        <v>2.5</v>
      </c>
      <c r="O2694"/>
      <c r="P2694"/>
      <c r="R2694" s="39">
        <v>41669</v>
      </c>
      <c r="S2694" s="37">
        <v>0.43419999999999997</v>
      </c>
    </row>
    <row r="2695" spans="6:19" ht="15" x14ac:dyDescent="0.25">
      <c r="F2695" s="39">
        <v>41677</v>
      </c>
      <c r="G2695" s="37">
        <v>2.5</v>
      </c>
      <c r="O2695"/>
      <c r="P2695"/>
      <c r="R2695" s="39">
        <v>41668</v>
      </c>
      <c r="S2695" s="37">
        <v>0.42730000000000001</v>
      </c>
    </row>
    <row r="2696" spans="6:19" ht="15" x14ac:dyDescent="0.25">
      <c r="F2696" s="39">
        <v>41676</v>
      </c>
      <c r="G2696" s="37">
        <v>2.5</v>
      </c>
      <c r="O2696"/>
      <c r="P2696"/>
      <c r="R2696" s="39">
        <v>41667</v>
      </c>
      <c r="S2696" s="37">
        <v>0.43430000000000002</v>
      </c>
    </row>
    <row r="2697" spans="6:19" ht="15" x14ac:dyDescent="0.25">
      <c r="F2697" s="39">
        <v>41675</v>
      </c>
      <c r="G2697" s="37">
        <v>2.5</v>
      </c>
      <c r="O2697"/>
      <c r="P2697"/>
      <c r="R2697" s="39">
        <v>41666</v>
      </c>
      <c r="S2697" s="37">
        <v>0.42530000000000001</v>
      </c>
    </row>
    <row r="2698" spans="6:19" ht="15" x14ac:dyDescent="0.25">
      <c r="F2698" s="39">
        <v>41674</v>
      </c>
      <c r="G2698" s="37">
        <v>2.5</v>
      </c>
      <c r="O2698"/>
      <c r="P2698"/>
      <c r="R2698" s="39">
        <v>41663</v>
      </c>
      <c r="S2698" s="37">
        <v>0.4289</v>
      </c>
    </row>
    <row r="2699" spans="6:19" ht="15" x14ac:dyDescent="0.25">
      <c r="F2699" s="39">
        <v>41673</v>
      </c>
      <c r="G2699" s="37">
        <v>2.5</v>
      </c>
      <c r="O2699"/>
      <c r="P2699"/>
      <c r="R2699" s="39">
        <v>41662</v>
      </c>
      <c r="S2699" s="37">
        <v>0.43359999999999999</v>
      </c>
    </row>
    <row r="2700" spans="6:19" ht="15" x14ac:dyDescent="0.25">
      <c r="F2700" s="39">
        <v>41670</v>
      </c>
      <c r="G2700" s="37">
        <v>2.5</v>
      </c>
      <c r="O2700"/>
      <c r="P2700"/>
      <c r="R2700" s="39">
        <v>41661</v>
      </c>
      <c r="S2700" s="37">
        <v>0.42870000000000003</v>
      </c>
    </row>
    <row r="2701" spans="6:19" ht="15" x14ac:dyDescent="0.25">
      <c r="F2701" s="39">
        <v>41669</v>
      </c>
      <c r="G2701" s="37">
        <v>2.5</v>
      </c>
      <c r="O2701"/>
      <c r="P2701"/>
      <c r="R2701" s="39">
        <v>41660</v>
      </c>
      <c r="S2701" s="37">
        <v>0.43130000000000002</v>
      </c>
    </row>
    <row r="2702" spans="6:19" ht="15" x14ac:dyDescent="0.25">
      <c r="F2702" s="39">
        <v>41668</v>
      </c>
      <c r="G2702" s="37">
        <v>2.5</v>
      </c>
      <c r="O2702"/>
      <c r="P2702"/>
      <c r="R2702" s="39">
        <v>41659</v>
      </c>
      <c r="S2702" s="37">
        <v>0.43030000000000002</v>
      </c>
    </row>
    <row r="2703" spans="6:19" ht="15" x14ac:dyDescent="0.25">
      <c r="F2703" s="39">
        <v>41667</v>
      </c>
      <c r="G2703" s="37">
        <v>2.5</v>
      </c>
      <c r="O2703"/>
      <c r="P2703"/>
      <c r="R2703" s="39">
        <v>41656</v>
      </c>
      <c r="S2703" s="37">
        <v>0.42459999999999998</v>
      </c>
    </row>
    <row r="2704" spans="6:19" ht="15" x14ac:dyDescent="0.25">
      <c r="F2704" s="39">
        <v>41663</v>
      </c>
      <c r="G2704" s="37">
        <v>2.5</v>
      </c>
      <c r="O2704"/>
      <c r="P2704"/>
      <c r="R2704" s="39">
        <v>41655</v>
      </c>
      <c r="S2704" s="37">
        <v>0.43709999999999999</v>
      </c>
    </row>
    <row r="2705" spans="6:19" ht="15" x14ac:dyDescent="0.25">
      <c r="F2705" s="39">
        <v>41662</v>
      </c>
      <c r="G2705" s="37">
        <v>2.5</v>
      </c>
      <c r="O2705"/>
      <c r="P2705"/>
      <c r="R2705" s="39">
        <v>41654</v>
      </c>
      <c r="S2705" s="37">
        <v>0.43080000000000002</v>
      </c>
    </row>
    <row r="2706" spans="6:19" ht="15" x14ac:dyDescent="0.25">
      <c r="F2706" s="39">
        <v>41661</v>
      </c>
      <c r="G2706" s="37">
        <v>2.5</v>
      </c>
      <c r="O2706"/>
      <c r="P2706"/>
      <c r="R2706" s="39">
        <v>41653</v>
      </c>
      <c r="S2706" s="37">
        <v>0.4284</v>
      </c>
    </row>
    <row r="2707" spans="6:19" ht="15" x14ac:dyDescent="0.25">
      <c r="F2707" s="39">
        <v>41660</v>
      </c>
      <c r="G2707" s="37">
        <v>2.5</v>
      </c>
      <c r="O2707"/>
      <c r="P2707"/>
      <c r="R2707" s="39">
        <v>41652</v>
      </c>
      <c r="S2707" s="37">
        <v>0.42699999999999999</v>
      </c>
    </row>
    <row r="2708" spans="6:19" ht="15" x14ac:dyDescent="0.25">
      <c r="F2708" s="39">
        <v>41659</v>
      </c>
      <c r="G2708" s="37">
        <v>2.5</v>
      </c>
      <c r="O2708"/>
      <c r="P2708"/>
      <c r="R2708" s="39">
        <v>41649</v>
      </c>
      <c r="S2708" s="37">
        <v>0.42720000000000002</v>
      </c>
    </row>
    <row r="2709" spans="6:19" ht="15" x14ac:dyDescent="0.25">
      <c r="F2709" s="39">
        <v>41656</v>
      </c>
      <c r="G2709" s="37">
        <v>2.5</v>
      </c>
      <c r="O2709"/>
      <c r="P2709"/>
      <c r="R2709" s="39">
        <v>41648</v>
      </c>
      <c r="S2709" s="37">
        <v>0.4284</v>
      </c>
    </row>
    <row r="2710" spans="6:19" ht="15" x14ac:dyDescent="0.25">
      <c r="F2710" s="39">
        <v>41655</v>
      </c>
      <c r="G2710" s="37">
        <v>2.5</v>
      </c>
      <c r="O2710"/>
      <c r="P2710"/>
      <c r="R2710" s="39">
        <v>41647</v>
      </c>
      <c r="S2710" s="37">
        <v>0.42820000000000003</v>
      </c>
    </row>
    <row r="2711" spans="6:19" ht="15" x14ac:dyDescent="0.25">
      <c r="F2711" s="39">
        <v>41654</v>
      </c>
      <c r="G2711" s="37">
        <v>2.5</v>
      </c>
      <c r="O2711"/>
      <c r="P2711"/>
      <c r="R2711" s="39">
        <v>41646</v>
      </c>
      <c r="S2711" s="37">
        <v>0.43319999999999997</v>
      </c>
    </row>
    <row r="2712" spans="6:19" ht="15" x14ac:dyDescent="0.25">
      <c r="F2712" s="39">
        <v>41653</v>
      </c>
      <c r="G2712" s="37">
        <v>2.5</v>
      </c>
      <c r="O2712"/>
      <c r="P2712"/>
      <c r="R2712" s="39">
        <v>41645</v>
      </c>
      <c r="S2712" s="37">
        <v>0.4304</v>
      </c>
    </row>
    <row r="2713" spans="6:19" ht="15" x14ac:dyDescent="0.25">
      <c r="F2713" s="39">
        <v>41652</v>
      </c>
      <c r="G2713" s="37">
        <v>2.5</v>
      </c>
      <c r="O2713"/>
      <c r="P2713"/>
      <c r="R2713" s="39">
        <v>41642</v>
      </c>
      <c r="S2713" s="37">
        <v>0.42559999999999998</v>
      </c>
    </row>
    <row r="2714" spans="6:19" ht="15" x14ac:dyDescent="0.25">
      <c r="F2714" s="39">
        <v>41649</v>
      </c>
      <c r="G2714" s="37">
        <v>2.5</v>
      </c>
      <c r="O2714"/>
      <c r="P2714"/>
      <c r="R2714" s="39">
        <v>41641</v>
      </c>
      <c r="S2714" s="37">
        <v>0.4264</v>
      </c>
    </row>
    <row r="2715" spans="6:19" ht="15" x14ac:dyDescent="0.25">
      <c r="F2715" s="39">
        <v>41648</v>
      </c>
      <c r="G2715" s="37">
        <v>2.5</v>
      </c>
      <c r="O2715"/>
      <c r="P2715"/>
      <c r="R2715" s="39">
        <v>41639</v>
      </c>
      <c r="S2715" s="37">
        <v>0.30570000000000003</v>
      </c>
    </row>
    <row r="2716" spans="6:19" ht="15" x14ac:dyDescent="0.25">
      <c r="F2716" s="39">
        <v>41647</v>
      </c>
      <c r="G2716" s="37">
        <v>2.5</v>
      </c>
      <c r="O2716"/>
      <c r="P2716"/>
      <c r="R2716" s="39">
        <v>41638</v>
      </c>
      <c r="S2716" s="37">
        <v>0.41620000000000001</v>
      </c>
    </row>
    <row r="2717" spans="6:19" ht="15" x14ac:dyDescent="0.25">
      <c r="F2717" s="39">
        <v>41646</v>
      </c>
      <c r="G2717" s="37">
        <v>2.5</v>
      </c>
      <c r="O2717"/>
      <c r="P2717"/>
      <c r="R2717" s="39">
        <v>41635</v>
      </c>
      <c r="S2717" s="37">
        <v>0.42480000000000001</v>
      </c>
    </row>
    <row r="2718" spans="6:19" ht="15" x14ac:dyDescent="0.25">
      <c r="F2718" s="39">
        <v>41645</v>
      </c>
      <c r="G2718" s="37">
        <v>2.5</v>
      </c>
      <c r="O2718"/>
      <c r="P2718"/>
      <c r="R2718" s="39">
        <v>41632</v>
      </c>
      <c r="S2718" s="37">
        <v>0.41670000000000001</v>
      </c>
    </row>
    <row r="2719" spans="6:19" ht="15" x14ac:dyDescent="0.25">
      <c r="F2719" s="39">
        <v>41642</v>
      </c>
      <c r="G2719" s="37">
        <v>2.5</v>
      </c>
      <c r="O2719"/>
      <c r="P2719"/>
      <c r="R2719" s="39">
        <v>41631</v>
      </c>
      <c r="S2719" s="37">
        <v>0.42359999999999998</v>
      </c>
    </row>
    <row r="2720" spans="6:19" ht="15" x14ac:dyDescent="0.25">
      <c r="F2720" s="39">
        <v>41641</v>
      </c>
      <c r="G2720" s="37">
        <v>2.5</v>
      </c>
      <c r="O2720"/>
      <c r="P2720"/>
      <c r="R2720" s="39">
        <v>41628</v>
      </c>
      <c r="S2720" s="37">
        <v>0.42470000000000002</v>
      </c>
    </row>
    <row r="2721" spans="6:19" ht="15" x14ac:dyDescent="0.25">
      <c r="F2721" s="39">
        <v>41639</v>
      </c>
      <c r="G2721" s="37">
        <v>2.5</v>
      </c>
      <c r="O2721"/>
      <c r="P2721"/>
      <c r="R2721" s="39">
        <v>41627</v>
      </c>
      <c r="S2721" s="37">
        <v>0.42970000000000003</v>
      </c>
    </row>
    <row r="2722" spans="6:19" ht="15" x14ac:dyDescent="0.25">
      <c r="F2722" s="39">
        <v>41638</v>
      </c>
      <c r="G2722" s="37">
        <v>2.5</v>
      </c>
      <c r="O2722"/>
      <c r="P2722"/>
      <c r="R2722" s="39">
        <v>41626</v>
      </c>
      <c r="S2722" s="37">
        <v>0.4289</v>
      </c>
    </row>
    <row r="2723" spans="6:19" ht="15" x14ac:dyDescent="0.25">
      <c r="F2723" s="39">
        <v>41635</v>
      </c>
      <c r="G2723" s="37">
        <v>2.5</v>
      </c>
      <c r="O2723"/>
      <c r="P2723"/>
      <c r="R2723" s="39">
        <v>41625</v>
      </c>
      <c r="S2723" s="37">
        <v>0.42870000000000003</v>
      </c>
    </row>
    <row r="2724" spans="6:19" ht="15" x14ac:dyDescent="0.25">
      <c r="F2724" s="39">
        <v>41632</v>
      </c>
      <c r="G2724" s="37">
        <v>2.5</v>
      </c>
      <c r="O2724"/>
      <c r="P2724"/>
      <c r="R2724" s="39">
        <v>41624</v>
      </c>
      <c r="S2724" s="37">
        <v>0.42430000000000001</v>
      </c>
    </row>
    <row r="2725" spans="6:19" ht="15" x14ac:dyDescent="0.25">
      <c r="F2725" s="39">
        <v>41631</v>
      </c>
      <c r="G2725" s="37">
        <v>2.5</v>
      </c>
      <c r="O2725"/>
      <c r="P2725"/>
      <c r="R2725" s="39">
        <v>41621</v>
      </c>
      <c r="S2725" s="37">
        <v>0.43009999999999998</v>
      </c>
    </row>
    <row r="2726" spans="6:19" ht="15" x14ac:dyDescent="0.25">
      <c r="F2726" s="39">
        <v>41628</v>
      </c>
      <c r="G2726" s="37">
        <v>2.5</v>
      </c>
      <c r="O2726"/>
      <c r="P2726"/>
      <c r="R2726" s="39">
        <v>41620</v>
      </c>
      <c r="S2726" s="37">
        <v>0.43099999999999999</v>
      </c>
    </row>
    <row r="2727" spans="6:19" ht="15" x14ac:dyDescent="0.25">
      <c r="F2727" s="39">
        <v>41627</v>
      </c>
      <c r="G2727" s="37">
        <v>2.5</v>
      </c>
      <c r="O2727"/>
      <c r="P2727"/>
      <c r="R2727" s="39">
        <v>41619</v>
      </c>
      <c r="S2727" s="37">
        <v>0.42980000000000002</v>
      </c>
    </row>
    <row r="2728" spans="6:19" ht="15" x14ac:dyDescent="0.25">
      <c r="F2728" s="39">
        <v>41626</v>
      </c>
      <c r="G2728" s="37">
        <v>2.5</v>
      </c>
      <c r="O2728"/>
      <c r="P2728"/>
      <c r="R2728" s="39">
        <v>41618</v>
      </c>
      <c r="S2728" s="37">
        <v>0.43190000000000001</v>
      </c>
    </row>
    <row r="2729" spans="6:19" ht="15" x14ac:dyDescent="0.25">
      <c r="F2729" s="39">
        <v>41625</v>
      </c>
      <c r="G2729" s="37">
        <v>2.5</v>
      </c>
      <c r="O2729"/>
      <c r="P2729"/>
      <c r="R2729" s="39">
        <v>41617</v>
      </c>
      <c r="S2729" s="37">
        <v>0.43209999999999998</v>
      </c>
    </row>
    <row r="2730" spans="6:19" ht="15" x14ac:dyDescent="0.25">
      <c r="F2730" s="39">
        <v>41624</v>
      </c>
      <c r="G2730" s="37">
        <v>2.5</v>
      </c>
      <c r="O2730"/>
      <c r="P2730"/>
      <c r="R2730" s="39">
        <v>41614</v>
      </c>
      <c r="S2730" s="37">
        <v>0.43159999999999998</v>
      </c>
    </row>
    <row r="2731" spans="6:19" ht="15" x14ac:dyDescent="0.25">
      <c r="F2731" s="39">
        <v>41621</v>
      </c>
      <c r="G2731" s="37">
        <v>2.5</v>
      </c>
      <c r="O2731"/>
      <c r="P2731"/>
      <c r="R2731" s="39">
        <v>41613</v>
      </c>
      <c r="S2731" s="37">
        <v>0.42859999999999998</v>
      </c>
    </row>
    <row r="2732" spans="6:19" ht="15" x14ac:dyDescent="0.25">
      <c r="F2732" s="39">
        <v>41620</v>
      </c>
      <c r="G2732" s="37">
        <v>2.5</v>
      </c>
      <c r="O2732"/>
      <c r="P2732"/>
      <c r="R2732" s="39">
        <v>41612</v>
      </c>
      <c r="S2732" s="37">
        <v>0.42849999999999999</v>
      </c>
    </row>
    <row r="2733" spans="6:19" ht="15" x14ac:dyDescent="0.25">
      <c r="F2733" s="39">
        <v>41619</v>
      </c>
      <c r="G2733" s="37">
        <v>2.5</v>
      </c>
      <c r="O2733"/>
      <c r="P2733"/>
      <c r="R2733" s="39">
        <v>41611</v>
      </c>
      <c r="S2733" s="37">
        <v>0.42820000000000003</v>
      </c>
    </row>
    <row r="2734" spans="6:19" ht="15" x14ac:dyDescent="0.25">
      <c r="F2734" s="39">
        <v>41618</v>
      </c>
      <c r="G2734" s="37">
        <v>2.5</v>
      </c>
      <c r="O2734"/>
      <c r="P2734"/>
      <c r="R2734" s="39">
        <v>41610</v>
      </c>
      <c r="S2734" s="37">
        <v>0.434</v>
      </c>
    </row>
    <row r="2735" spans="6:19" ht="15" x14ac:dyDescent="0.25">
      <c r="F2735" s="39">
        <v>41617</v>
      </c>
      <c r="G2735" s="37">
        <v>2.5</v>
      </c>
      <c r="O2735"/>
      <c r="P2735"/>
      <c r="R2735" s="39">
        <v>41607</v>
      </c>
      <c r="S2735" s="37">
        <v>0.41880000000000001</v>
      </c>
    </row>
    <row r="2736" spans="6:19" ht="15" x14ac:dyDescent="0.25">
      <c r="F2736" s="39">
        <v>41614</v>
      </c>
      <c r="G2736" s="37">
        <v>2.5</v>
      </c>
      <c r="O2736"/>
      <c r="P2736"/>
      <c r="R2736" s="39">
        <v>41606</v>
      </c>
      <c r="S2736" s="37">
        <v>0.43569999999999998</v>
      </c>
    </row>
    <row r="2737" spans="6:19" ht="15" x14ac:dyDescent="0.25">
      <c r="F2737" s="39">
        <v>41613</v>
      </c>
      <c r="G2737" s="37">
        <v>2.5</v>
      </c>
      <c r="O2737"/>
      <c r="P2737"/>
      <c r="R2737" s="39">
        <v>41605</v>
      </c>
      <c r="S2737" s="37">
        <v>0.43159999999999998</v>
      </c>
    </row>
    <row r="2738" spans="6:19" ht="15" x14ac:dyDescent="0.25">
      <c r="F2738" s="39">
        <v>41612</v>
      </c>
      <c r="G2738" s="37">
        <v>2.5</v>
      </c>
      <c r="O2738"/>
      <c r="P2738"/>
      <c r="R2738" s="39">
        <v>41604</v>
      </c>
      <c r="S2738" s="37">
        <v>0.43159999999999998</v>
      </c>
    </row>
    <row r="2739" spans="6:19" ht="15" x14ac:dyDescent="0.25">
      <c r="F2739" s="39">
        <v>41611</v>
      </c>
      <c r="G2739" s="37">
        <v>2.5</v>
      </c>
      <c r="O2739"/>
      <c r="P2739"/>
      <c r="R2739" s="39">
        <v>41603</v>
      </c>
      <c r="S2739" s="37">
        <v>0.42880000000000001</v>
      </c>
    </row>
    <row r="2740" spans="6:19" ht="15" x14ac:dyDescent="0.25">
      <c r="F2740" s="39">
        <v>41610</v>
      </c>
      <c r="G2740" s="37">
        <v>2.5</v>
      </c>
      <c r="O2740"/>
      <c r="P2740"/>
      <c r="R2740" s="39">
        <v>41600</v>
      </c>
      <c r="S2740" s="37">
        <v>0.43009999999999998</v>
      </c>
    </row>
    <row r="2741" spans="6:19" ht="15" x14ac:dyDescent="0.25">
      <c r="F2741" s="39">
        <v>41607</v>
      </c>
      <c r="G2741" s="37">
        <v>2.5</v>
      </c>
      <c r="O2741"/>
      <c r="P2741"/>
      <c r="R2741" s="39">
        <v>41599</v>
      </c>
      <c r="S2741" s="37">
        <v>0.43259999999999998</v>
      </c>
    </row>
    <row r="2742" spans="6:19" ht="15" x14ac:dyDescent="0.25">
      <c r="F2742" s="39">
        <v>41606</v>
      </c>
      <c r="G2742" s="37">
        <v>2.5</v>
      </c>
      <c r="O2742"/>
      <c r="P2742"/>
      <c r="R2742" s="39">
        <v>41598</v>
      </c>
      <c r="S2742" s="37">
        <v>0.43290000000000001</v>
      </c>
    </row>
    <row r="2743" spans="6:19" ht="15" x14ac:dyDescent="0.25">
      <c r="F2743" s="39">
        <v>41605</v>
      </c>
      <c r="G2743" s="37">
        <v>2.5</v>
      </c>
      <c r="O2743"/>
      <c r="P2743"/>
      <c r="R2743" s="39">
        <v>41597</v>
      </c>
      <c r="S2743" s="37">
        <v>0.42949999999999999</v>
      </c>
    </row>
    <row r="2744" spans="6:19" ht="15" x14ac:dyDescent="0.25">
      <c r="F2744" s="39">
        <v>41604</v>
      </c>
      <c r="G2744" s="37">
        <v>2.5</v>
      </c>
      <c r="O2744"/>
      <c r="P2744"/>
      <c r="R2744" s="39">
        <v>41596</v>
      </c>
      <c r="S2744" s="37">
        <v>0.43059999999999998</v>
      </c>
    </row>
    <row r="2745" spans="6:19" ht="15" x14ac:dyDescent="0.25">
      <c r="F2745" s="39">
        <v>41603</v>
      </c>
      <c r="G2745" s="37">
        <v>2.5</v>
      </c>
      <c r="O2745"/>
      <c r="P2745"/>
      <c r="R2745" s="39">
        <v>41593</v>
      </c>
      <c r="S2745" s="37">
        <v>0.43219999999999997</v>
      </c>
    </row>
    <row r="2746" spans="6:19" ht="15" x14ac:dyDescent="0.25">
      <c r="F2746" s="39">
        <v>41600</v>
      </c>
      <c r="G2746" s="37">
        <v>2.5</v>
      </c>
      <c r="O2746"/>
      <c r="P2746"/>
      <c r="R2746" s="39">
        <v>41592</v>
      </c>
      <c r="S2746" s="37">
        <v>0.43290000000000001</v>
      </c>
    </row>
    <row r="2747" spans="6:19" ht="15" x14ac:dyDescent="0.25">
      <c r="F2747" s="39">
        <v>41599</v>
      </c>
      <c r="G2747" s="37">
        <v>2.5</v>
      </c>
      <c r="O2747"/>
      <c r="P2747"/>
      <c r="R2747" s="39">
        <v>41591</v>
      </c>
      <c r="S2747" s="37">
        <v>0.4304</v>
      </c>
    </row>
    <row r="2748" spans="6:19" ht="15" x14ac:dyDescent="0.25">
      <c r="F2748" s="39">
        <v>41598</v>
      </c>
      <c r="G2748" s="37">
        <v>2.5</v>
      </c>
      <c r="O2748"/>
      <c r="P2748"/>
      <c r="R2748" s="39">
        <v>41590</v>
      </c>
      <c r="S2748" s="37">
        <v>0.43149999999999999</v>
      </c>
    </row>
    <row r="2749" spans="6:19" ht="15" x14ac:dyDescent="0.25">
      <c r="F2749" s="39">
        <v>41597</v>
      </c>
      <c r="G2749" s="37">
        <v>2.5</v>
      </c>
      <c r="O2749"/>
      <c r="P2749"/>
      <c r="R2749" s="39">
        <v>41589</v>
      </c>
      <c r="S2749" s="37">
        <v>0.43309999999999998</v>
      </c>
    </row>
    <row r="2750" spans="6:19" ht="15" x14ac:dyDescent="0.25">
      <c r="F2750" s="39">
        <v>41596</v>
      </c>
      <c r="G2750" s="37">
        <v>2.5</v>
      </c>
      <c r="O2750"/>
      <c r="P2750"/>
      <c r="R2750" s="39">
        <v>41586</v>
      </c>
      <c r="S2750" s="37">
        <v>0.4249</v>
      </c>
    </row>
    <row r="2751" spans="6:19" ht="15" x14ac:dyDescent="0.25">
      <c r="F2751" s="39">
        <v>41593</v>
      </c>
      <c r="G2751" s="37">
        <v>2.5</v>
      </c>
      <c r="O2751"/>
      <c r="P2751"/>
      <c r="R2751" s="39">
        <v>41585</v>
      </c>
      <c r="S2751" s="37">
        <v>0.43030000000000002</v>
      </c>
    </row>
    <row r="2752" spans="6:19" ht="15" x14ac:dyDescent="0.25">
      <c r="F2752" s="39">
        <v>41592</v>
      </c>
      <c r="G2752" s="37">
        <v>2.5</v>
      </c>
      <c r="O2752"/>
      <c r="P2752"/>
      <c r="R2752" s="39">
        <v>41584</v>
      </c>
      <c r="S2752" s="37">
        <v>0.42580000000000001</v>
      </c>
    </row>
    <row r="2753" spans="6:19" ht="15" x14ac:dyDescent="0.25">
      <c r="F2753" s="39">
        <v>41591</v>
      </c>
      <c r="G2753" s="37">
        <v>2.5</v>
      </c>
      <c r="O2753"/>
      <c r="P2753"/>
      <c r="R2753" s="39">
        <v>41583</v>
      </c>
      <c r="S2753" s="37">
        <v>0.42880000000000001</v>
      </c>
    </row>
    <row r="2754" spans="6:19" ht="15" x14ac:dyDescent="0.25">
      <c r="F2754" s="39">
        <v>41590</v>
      </c>
      <c r="G2754" s="37">
        <v>2.5</v>
      </c>
      <c r="O2754"/>
      <c r="P2754"/>
      <c r="R2754" s="39">
        <v>41582</v>
      </c>
      <c r="S2754" s="37">
        <v>0.43080000000000002</v>
      </c>
    </row>
    <row r="2755" spans="6:19" ht="15" x14ac:dyDescent="0.25">
      <c r="F2755" s="39">
        <v>41589</v>
      </c>
      <c r="G2755" s="37">
        <v>2.5</v>
      </c>
      <c r="O2755"/>
      <c r="P2755"/>
      <c r="R2755" s="39">
        <v>41579</v>
      </c>
      <c r="S2755" s="37">
        <v>0.4264</v>
      </c>
    </row>
    <row r="2756" spans="6:19" ht="15" x14ac:dyDescent="0.25">
      <c r="F2756" s="39">
        <v>41586</v>
      </c>
      <c r="G2756" s="37">
        <v>2.5</v>
      </c>
      <c r="O2756"/>
      <c r="P2756"/>
      <c r="R2756" s="39">
        <v>41578</v>
      </c>
      <c r="S2756" s="37">
        <v>0.41839999999999999</v>
      </c>
    </row>
    <row r="2757" spans="6:19" ht="15" x14ac:dyDescent="0.25">
      <c r="F2757" s="39">
        <v>41585</v>
      </c>
      <c r="G2757" s="37">
        <v>2.5</v>
      </c>
      <c r="O2757"/>
      <c r="P2757"/>
      <c r="R2757" s="39">
        <v>41577</v>
      </c>
      <c r="S2757" s="37">
        <v>0.42809999999999998</v>
      </c>
    </row>
    <row r="2758" spans="6:19" ht="15" x14ac:dyDescent="0.25">
      <c r="F2758" s="39">
        <v>41584</v>
      </c>
      <c r="G2758" s="37">
        <v>2.5</v>
      </c>
      <c r="O2758"/>
      <c r="P2758"/>
      <c r="R2758" s="39">
        <v>41576</v>
      </c>
      <c r="S2758" s="37">
        <v>0.4294</v>
      </c>
    </row>
    <row r="2759" spans="6:19" ht="15" x14ac:dyDescent="0.25">
      <c r="F2759" s="39">
        <v>41583</v>
      </c>
      <c r="G2759" s="37">
        <v>2.5</v>
      </c>
      <c r="O2759"/>
      <c r="P2759"/>
      <c r="R2759" s="39">
        <v>41575</v>
      </c>
      <c r="S2759" s="37">
        <v>0.43219999999999997</v>
      </c>
    </row>
    <row r="2760" spans="6:19" ht="15" x14ac:dyDescent="0.25">
      <c r="F2760" s="39">
        <v>41582</v>
      </c>
      <c r="G2760" s="37">
        <v>2.5</v>
      </c>
      <c r="O2760"/>
      <c r="P2760"/>
      <c r="R2760" s="39">
        <v>41572</v>
      </c>
      <c r="S2760" s="37">
        <v>0.433</v>
      </c>
    </row>
    <row r="2761" spans="6:19" ht="15" x14ac:dyDescent="0.25">
      <c r="F2761" s="39">
        <v>41579</v>
      </c>
      <c r="G2761" s="37">
        <v>2.5</v>
      </c>
      <c r="O2761"/>
      <c r="P2761"/>
      <c r="R2761" s="39">
        <v>41571</v>
      </c>
      <c r="S2761" s="37">
        <v>0.43159999999999998</v>
      </c>
    </row>
    <row r="2762" spans="6:19" ht="15" x14ac:dyDescent="0.25">
      <c r="F2762" s="39">
        <v>41578</v>
      </c>
      <c r="G2762" s="37">
        <v>2.5</v>
      </c>
      <c r="O2762"/>
      <c r="P2762"/>
      <c r="R2762" s="39">
        <v>41570</v>
      </c>
      <c r="S2762" s="37">
        <v>0.43169999999999997</v>
      </c>
    </row>
    <row r="2763" spans="6:19" ht="15" x14ac:dyDescent="0.25">
      <c r="F2763" s="39">
        <v>41577</v>
      </c>
      <c r="G2763" s="37">
        <v>2.5</v>
      </c>
      <c r="O2763"/>
      <c r="P2763"/>
      <c r="R2763" s="39">
        <v>41569</v>
      </c>
      <c r="S2763" s="37">
        <v>0.43090000000000001</v>
      </c>
    </row>
    <row r="2764" spans="6:19" ht="15" x14ac:dyDescent="0.25">
      <c r="F2764" s="39">
        <v>41576</v>
      </c>
      <c r="G2764" s="37">
        <v>2.5</v>
      </c>
      <c r="O2764"/>
      <c r="P2764"/>
      <c r="R2764" s="39">
        <v>41568</v>
      </c>
      <c r="S2764" s="37">
        <v>0.43319999999999997</v>
      </c>
    </row>
    <row r="2765" spans="6:19" ht="15" x14ac:dyDescent="0.25">
      <c r="F2765" s="39">
        <v>41575</v>
      </c>
      <c r="G2765" s="37">
        <v>2.5</v>
      </c>
      <c r="O2765"/>
      <c r="P2765"/>
      <c r="R2765" s="39">
        <v>41565</v>
      </c>
      <c r="S2765" s="37">
        <v>0.43219999999999997</v>
      </c>
    </row>
    <row r="2766" spans="6:19" ht="15" x14ac:dyDescent="0.25">
      <c r="F2766" s="39">
        <v>41572</v>
      </c>
      <c r="G2766" s="37">
        <v>2.5</v>
      </c>
      <c r="O2766"/>
      <c r="P2766"/>
      <c r="R2766" s="39">
        <v>41564</v>
      </c>
      <c r="S2766" s="37">
        <v>0.42770000000000002</v>
      </c>
    </row>
    <row r="2767" spans="6:19" ht="15" x14ac:dyDescent="0.25">
      <c r="F2767" s="39">
        <v>41571</v>
      </c>
      <c r="G2767" s="37">
        <v>2.5</v>
      </c>
      <c r="O2767"/>
      <c r="P2767"/>
      <c r="R2767" s="39">
        <v>41563</v>
      </c>
      <c r="S2767" s="37">
        <v>0.43130000000000002</v>
      </c>
    </row>
    <row r="2768" spans="6:19" ht="15" x14ac:dyDescent="0.25">
      <c r="F2768" s="39">
        <v>41570</v>
      </c>
      <c r="G2768" s="37">
        <v>2.5</v>
      </c>
      <c r="O2768"/>
      <c r="P2768"/>
      <c r="R2768" s="39">
        <v>41562</v>
      </c>
      <c r="S2768" s="37">
        <v>0.43369999999999997</v>
      </c>
    </row>
    <row r="2769" spans="6:19" ht="15" x14ac:dyDescent="0.25">
      <c r="F2769" s="39">
        <v>41569</v>
      </c>
      <c r="G2769" s="37">
        <v>2.5</v>
      </c>
      <c r="O2769"/>
      <c r="P2769"/>
      <c r="R2769" s="39">
        <v>41561</v>
      </c>
      <c r="S2769" s="37">
        <v>0.43540000000000001</v>
      </c>
    </row>
    <row r="2770" spans="6:19" ht="15" x14ac:dyDescent="0.25">
      <c r="F2770" s="39">
        <v>41568</v>
      </c>
      <c r="G2770" s="37">
        <v>2.5</v>
      </c>
      <c r="O2770"/>
      <c r="P2770"/>
      <c r="R2770" s="39">
        <v>41558</v>
      </c>
      <c r="S2770" s="37">
        <v>0.42830000000000001</v>
      </c>
    </row>
    <row r="2771" spans="6:19" ht="15" x14ac:dyDescent="0.25">
      <c r="F2771" s="39">
        <v>41565</v>
      </c>
      <c r="G2771" s="37">
        <v>2.5</v>
      </c>
      <c r="O2771"/>
      <c r="P2771"/>
      <c r="R2771" s="39">
        <v>41557</v>
      </c>
      <c r="S2771" s="37">
        <v>0.43070000000000003</v>
      </c>
    </row>
    <row r="2772" spans="6:19" ht="15" x14ac:dyDescent="0.25">
      <c r="F2772" s="39">
        <v>41564</v>
      </c>
      <c r="G2772" s="37">
        <v>2.5</v>
      </c>
      <c r="O2772"/>
      <c r="P2772"/>
      <c r="R2772" s="39">
        <v>41556</v>
      </c>
      <c r="S2772" s="37">
        <v>0.43330000000000002</v>
      </c>
    </row>
    <row r="2773" spans="6:19" ht="15" x14ac:dyDescent="0.25">
      <c r="F2773" s="39">
        <v>41563</v>
      </c>
      <c r="G2773" s="37">
        <v>2.5</v>
      </c>
      <c r="O2773"/>
      <c r="P2773"/>
      <c r="R2773" s="39">
        <v>41555</v>
      </c>
      <c r="S2773" s="37">
        <v>0.43459999999999999</v>
      </c>
    </row>
    <row r="2774" spans="6:19" ht="15" x14ac:dyDescent="0.25">
      <c r="F2774" s="39">
        <v>41562</v>
      </c>
      <c r="G2774" s="37">
        <v>2.5</v>
      </c>
      <c r="O2774"/>
      <c r="P2774"/>
      <c r="R2774" s="39">
        <v>41554</v>
      </c>
      <c r="S2774" s="37">
        <v>0.4335</v>
      </c>
    </row>
    <row r="2775" spans="6:19" ht="15" x14ac:dyDescent="0.25">
      <c r="F2775" s="39">
        <v>41561</v>
      </c>
      <c r="G2775" s="37">
        <v>2.5</v>
      </c>
      <c r="O2775"/>
      <c r="P2775"/>
      <c r="R2775" s="39">
        <v>41551</v>
      </c>
      <c r="S2775" s="37">
        <v>0.43149999999999999</v>
      </c>
    </row>
    <row r="2776" spans="6:19" ht="15" x14ac:dyDescent="0.25">
      <c r="F2776" s="39">
        <v>41558</v>
      </c>
      <c r="G2776" s="37">
        <v>2.5</v>
      </c>
      <c r="O2776"/>
      <c r="P2776"/>
      <c r="R2776" s="39">
        <v>41550</v>
      </c>
      <c r="S2776" s="37">
        <v>0.43619999999999998</v>
      </c>
    </row>
    <row r="2777" spans="6:19" ht="15" x14ac:dyDescent="0.25">
      <c r="F2777" s="39">
        <v>41557</v>
      </c>
      <c r="G2777" s="37">
        <v>2.5</v>
      </c>
      <c r="O2777"/>
      <c r="P2777"/>
      <c r="R2777" s="39">
        <v>41549</v>
      </c>
      <c r="S2777" s="37">
        <v>0.42880000000000001</v>
      </c>
    </row>
    <row r="2778" spans="6:19" ht="15" x14ac:dyDescent="0.25">
      <c r="F2778" s="39">
        <v>41556</v>
      </c>
      <c r="G2778" s="37">
        <v>2.5</v>
      </c>
      <c r="O2778"/>
      <c r="P2778"/>
      <c r="R2778" s="39">
        <v>41548</v>
      </c>
      <c r="S2778" s="37">
        <v>0.4345</v>
      </c>
    </row>
    <row r="2779" spans="6:19" ht="15" x14ac:dyDescent="0.25">
      <c r="F2779" s="39">
        <v>41555</v>
      </c>
      <c r="G2779" s="37">
        <v>2.5</v>
      </c>
      <c r="O2779"/>
      <c r="P2779"/>
      <c r="R2779" s="39">
        <v>41547</v>
      </c>
      <c r="S2779" s="37">
        <v>0.41099999999999998</v>
      </c>
    </row>
    <row r="2780" spans="6:19" ht="15" x14ac:dyDescent="0.25">
      <c r="F2780" s="39">
        <v>41554</v>
      </c>
      <c r="G2780" s="37">
        <v>2.5</v>
      </c>
      <c r="O2780"/>
      <c r="P2780"/>
      <c r="R2780" s="39">
        <v>41544</v>
      </c>
      <c r="S2780" s="37">
        <v>0.42859999999999998</v>
      </c>
    </row>
    <row r="2781" spans="6:19" ht="15" x14ac:dyDescent="0.25">
      <c r="F2781" s="39">
        <v>41551</v>
      </c>
      <c r="G2781" s="37">
        <v>2.5</v>
      </c>
      <c r="O2781"/>
      <c r="P2781"/>
      <c r="R2781" s="39">
        <v>41543</v>
      </c>
      <c r="S2781" s="37">
        <v>0.43009999999999998</v>
      </c>
    </row>
    <row r="2782" spans="6:19" ht="15" x14ac:dyDescent="0.25">
      <c r="F2782" s="39">
        <v>41550</v>
      </c>
      <c r="G2782" s="37">
        <v>2.5</v>
      </c>
      <c r="O2782"/>
      <c r="P2782"/>
      <c r="R2782" s="39">
        <v>41542</v>
      </c>
      <c r="S2782" s="37">
        <v>0.43030000000000002</v>
      </c>
    </row>
    <row r="2783" spans="6:19" ht="15" x14ac:dyDescent="0.25">
      <c r="F2783" s="39">
        <v>41549</v>
      </c>
      <c r="G2783" s="37">
        <v>2.5</v>
      </c>
      <c r="O2783"/>
      <c r="P2783"/>
      <c r="R2783" s="39">
        <v>41541</v>
      </c>
      <c r="S2783" s="37">
        <v>0.43219999999999997</v>
      </c>
    </row>
    <row r="2784" spans="6:19" ht="15" x14ac:dyDescent="0.25">
      <c r="F2784" s="39">
        <v>41548</v>
      </c>
      <c r="G2784" s="37">
        <v>2.5</v>
      </c>
      <c r="O2784"/>
      <c r="P2784"/>
      <c r="R2784" s="39">
        <v>41540</v>
      </c>
      <c r="S2784" s="37">
        <v>0.433</v>
      </c>
    </row>
    <row r="2785" spans="6:19" ht="15" x14ac:dyDescent="0.25">
      <c r="F2785" s="39">
        <v>41547</v>
      </c>
      <c r="G2785" s="37">
        <v>2.5</v>
      </c>
      <c r="O2785"/>
      <c r="P2785"/>
      <c r="R2785" s="39">
        <v>41537</v>
      </c>
      <c r="S2785" s="37">
        <v>0.43030000000000002</v>
      </c>
    </row>
    <row r="2786" spans="6:19" ht="15" x14ac:dyDescent="0.25">
      <c r="F2786" s="39">
        <v>41544</v>
      </c>
      <c r="G2786" s="37">
        <v>2.5</v>
      </c>
      <c r="O2786"/>
      <c r="P2786"/>
      <c r="R2786" s="39">
        <v>41536</v>
      </c>
      <c r="S2786" s="37">
        <v>0.43080000000000002</v>
      </c>
    </row>
    <row r="2787" spans="6:19" ht="15" x14ac:dyDescent="0.25">
      <c r="F2787" s="39">
        <v>41543</v>
      </c>
      <c r="G2787" s="37">
        <v>2.5</v>
      </c>
      <c r="O2787"/>
      <c r="P2787"/>
      <c r="R2787" s="39">
        <v>41535</v>
      </c>
      <c r="S2787" s="37">
        <v>0.42499999999999999</v>
      </c>
    </row>
    <row r="2788" spans="6:19" ht="15" x14ac:dyDescent="0.25">
      <c r="F2788" s="39">
        <v>41542</v>
      </c>
      <c r="G2788" s="37">
        <v>2.5</v>
      </c>
      <c r="O2788"/>
      <c r="P2788"/>
      <c r="R2788" s="39">
        <v>41534</v>
      </c>
      <c r="S2788" s="37">
        <v>0.42</v>
      </c>
    </row>
    <row r="2789" spans="6:19" ht="15" x14ac:dyDescent="0.25">
      <c r="F2789" s="39">
        <v>41541</v>
      </c>
      <c r="G2789" s="37">
        <v>2.5</v>
      </c>
      <c r="O2789"/>
      <c r="P2789"/>
      <c r="R2789" s="39">
        <v>41533</v>
      </c>
      <c r="S2789" s="37">
        <v>0.41870000000000002</v>
      </c>
    </row>
    <row r="2790" spans="6:19" ht="15" x14ac:dyDescent="0.25">
      <c r="F2790" s="39">
        <v>41540</v>
      </c>
      <c r="G2790" s="37">
        <v>2.5</v>
      </c>
      <c r="O2790"/>
      <c r="P2790"/>
      <c r="R2790" s="39">
        <v>41530</v>
      </c>
      <c r="S2790" s="37">
        <v>0.43190000000000001</v>
      </c>
    </row>
    <row r="2791" spans="6:19" ht="15" x14ac:dyDescent="0.25">
      <c r="F2791" s="39">
        <v>41537</v>
      </c>
      <c r="G2791" s="37">
        <v>2.5</v>
      </c>
      <c r="O2791"/>
      <c r="P2791"/>
      <c r="R2791" s="39">
        <v>41529</v>
      </c>
      <c r="S2791" s="37">
        <v>0.43409999999999999</v>
      </c>
    </row>
    <row r="2792" spans="6:19" ht="15" x14ac:dyDescent="0.25">
      <c r="F2792" s="39">
        <v>41536</v>
      </c>
      <c r="G2792" s="37">
        <v>2.5</v>
      </c>
      <c r="O2792"/>
      <c r="P2792"/>
      <c r="R2792" s="39">
        <v>41528</v>
      </c>
      <c r="S2792" s="37">
        <v>0.43140000000000001</v>
      </c>
    </row>
    <row r="2793" spans="6:19" ht="15" x14ac:dyDescent="0.25">
      <c r="F2793" s="39">
        <v>41535</v>
      </c>
      <c r="G2793" s="37">
        <v>2.5</v>
      </c>
      <c r="O2793"/>
      <c r="P2793"/>
      <c r="R2793" s="39">
        <v>41527</v>
      </c>
      <c r="S2793" s="37">
        <v>0.43490000000000001</v>
      </c>
    </row>
    <row r="2794" spans="6:19" ht="15" x14ac:dyDescent="0.25">
      <c r="F2794" s="39">
        <v>41534</v>
      </c>
      <c r="G2794" s="37">
        <v>2.5</v>
      </c>
      <c r="O2794"/>
      <c r="P2794"/>
      <c r="R2794" s="39">
        <v>41526</v>
      </c>
      <c r="S2794" s="37">
        <v>0.43369999999999997</v>
      </c>
    </row>
    <row r="2795" spans="6:19" ht="15" x14ac:dyDescent="0.25">
      <c r="F2795" s="39">
        <v>41533</v>
      </c>
      <c r="G2795" s="37">
        <v>2.5</v>
      </c>
      <c r="O2795"/>
      <c r="P2795"/>
      <c r="R2795" s="39">
        <v>41523</v>
      </c>
      <c r="S2795" s="37">
        <v>0.4335</v>
      </c>
    </row>
    <row r="2796" spans="6:19" ht="15" x14ac:dyDescent="0.25">
      <c r="F2796" s="39">
        <v>41530</v>
      </c>
      <c r="G2796" s="37">
        <v>2.5</v>
      </c>
      <c r="O2796"/>
      <c r="P2796"/>
      <c r="R2796" s="39">
        <v>41522</v>
      </c>
      <c r="S2796" s="37">
        <v>0.43440000000000001</v>
      </c>
    </row>
    <row r="2797" spans="6:19" ht="15" x14ac:dyDescent="0.25">
      <c r="F2797" s="39">
        <v>41529</v>
      </c>
      <c r="G2797" s="37">
        <v>2.5</v>
      </c>
      <c r="O2797"/>
      <c r="P2797"/>
      <c r="R2797" s="39">
        <v>41521</v>
      </c>
      <c r="S2797" s="37">
        <v>0.43609999999999999</v>
      </c>
    </row>
    <row r="2798" spans="6:19" ht="15" x14ac:dyDescent="0.25">
      <c r="F2798" s="39">
        <v>41528</v>
      </c>
      <c r="G2798" s="37">
        <v>2.5</v>
      </c>
      <c r="O2798"/>
      <c r="P2798"/>
      <c r="R2798" s="39">
        <v>41520</v>
      </c>
      <c r="S2798" s="37">
        <v>0.433</v>
      </c>
    </row>
    <row r="2799" spans="6:19" ht="15" x14ac:dyDescent="0.25">
      <c r="F2799" s="39">
        <v>41527</v>
      </c>
      <c r="G2799" s="37">
        <v>2.5</v>
      </c>
      <c r="O2799"/>
      <c r="P2799"/>
      <c r="R2799" s="39">
        <v>41519</v>
      </c>
      <c r="S2799" s="37">
        <v>0.43430000000000002</v>
      </c>
    </row>
    <row r="2800" spans="6:19" ht="15" x14ac:dyDescent="0.25">
      <c r="F2800" s="39">
        <v>41526</v>
      </c>
      <c r="G2800" s="37">
        <v>2.5</v>
      </c>
      <c r="O2800"/>
      <c r="P2800"/>
      <c r="R2800" s="39">
        <v>41516</v>
      </c>
      <c r="S2800" s="37">
        <v>0.39789999999999998</v>
      </c>
    </row>
    <row r="2801" spans="6:19" ht="15" x14ac:dyDescent="0.25">
      <c r="F2801" s="39">
        <v>41523</v>
      </c>
      <c r="G2801" s="37">
        <v>2.5</v>
      </c>
      <c r="O2801"/>
      <c r="P2801"/>
      <c r="R2801" s="39">
        <v>41515</v>
      </c>
      <c r="S2801" s="37">
        <v>0.42549999999999999</v>
      </c>
    </row>
    <row r="2802" spans="6:19" ht="15" x14ac:dyDescent="0.25">
      <c r="F2802" s="39">
        <v>41522</v>
      </c>
      <c r="G2802" s="37">
        <v>2.5</v>
      </c>
      <c r="O2802"/>
      <c r="P2802"/>
      <c r="R2802" s="39">
        <v>41514</v>
      </c>
      <c r="S2802" s="37">
        <v>0.43030000000000002</v>
      </c>
    </row>
    <row r="2803" spans="6:19" ht="15" x14ac:dyDescent="0.25">
      <c r="F2803" s="39">
        <v>41521</v>
      </c>
      <c r="G2803" s="37">
        <v>2.5</v>
      </c>
      <c r="O2803"/>
      <c r="P2803"/>
      <c r="R2803" s="39">
        <v>41513</v>
      </c>
      <c r="S2803" s="37">
        <v>0.42699999999999999</v>
      </c>
    </row>
    <row r="2804" spans="6:19" ht="15" x14ac:dyDescent="0.25">
      <c r="F2804" s="39">
        <v>41520</v>
      </c>
      <c r="G2804" s="37">
        <v>2.5</v>
      </c>
      <c r="O2804"/>
      <c r="P2804"/>
      <c r="R2804" s="39">
        <v>41509</v>
      </c>
      <c r="S2804" s="37">
        <v>0.42699999999999999</v>
      </c>
    </row>
    <row r="2805" spans="6:19" ht="15" x14ac:dyDescent="0.25">
      <c r="F2805" s="39">
        <v>41519</v>
      </c>
      <c r="G2805" s="37">
        <v>2.5</v>
      </c>
      <c r="O2805"/>
      <c r="P2805"/>
      <c r="R2805" s="39">
        <v>41508</v>
      </c>
      <c r="S2805" s="37">
        <v>0.42959999999999998</v>
      </c>
    </row>
    <row r="2806" spans="6:19" ht="15" x14ac:dyDescent="0.25">
      <c r="F2806" s="39">
        <v>41516</v>
      </c>
      <c r="G2806" s="37">
        <v>2.5</v>
      </c>
      <c r="O2806"/>
      <c r="P2806"/>
      <c r="R2806" s="39">
        <v>41507</v>
      </c>
      <c r="S2806" s="37">
        <v>0.42609999999999998</v>
      </c>
    </row>
    <row r="2807" spans="6:19" ht="15" x14ac:dyDescent="0.25">
      <c r="F2807" s="39">
        <v>41515</v>
      </c>
      <c r="G2807" s="37">
        <v>2.5</v>
      </c>
      <c r="O2807"/>
      <c r="P2807"/>
      <c r="R2807" s="39">
        <v>41506</v>
      </c>
      <c r="S2807" s="37">
        <v>0.42870000000000003</v>
      </c>
    </row>
    <row r="2808" spans="6:19" ht="15" x14ac:dyDescent="0.25">
      <c r="F2808" s="39">
        <v>41514</v>
      </c>
      <c r="G2808" s="37">
        <v>2.5</v>
      </c>
      <c r="O2808"/>
      <c r="P2808"/>
      <c r="R2808" s="39">
        <v>41505</v>
      </c>
      <c r="S2808" s="37">
        <v>0.4254</v>
      </c>
    </row>
    <row r="2809" spans="6:19" ht="15" x14ac:dyDescent="0.25">
      <c r="F2809" s="39">
        <v>41513</v>
      </c>
      <c r="G2809" s="37">
        <v>2.5</v>
      </c>
      <c r="O2809"/>
      <c r="P2809"/>
      <c r="R2809" s="39">
        <v>41502</v>
      </c>
      <c r="S2809" s="37">
        <v>0.42570000000000002</v>
      </c>
    </row>
    <row r="2810" spans="6:19" ht="15" x14ac:dyDescent="0.25">
      <c r="F2810" s="39">
        <v>41512</v>
      </c>
      <c r="G2810" s="37">
        <v>2.5</v>
      </c>
      <c r="O2810"/>
      <c r="P2810"/>
      <c r="R2810" s="39">
        <v>41501</v>
      </c>
      <c r="S2810" s="37">
        <v>0.42720000000000002</v>
      </c>
    </row>
    <row r="2811" spans="6:19" ht="15" x14ac:dyDescent="0.25">
      <c r="F2811" s="39">
        <v>41509</v>
      </c>
      <c r="G2811" s="37">
        <v>2.5</v>
      </c>
      <c r="O2811"/>
      <c r="P2811"/>
      <c r="R2811" s="39">
        <v>41500</v>
      </c>
      <c r="S2811" s="37">
        <v>0.42509999999999998</v>
      </c>
    </row>
    <row r="2812" spans="6:19" ht="15" x14ac:dyDescent="0.25">
      <c r="F2812" s="39">
        <v>41508</v>
      </c>
      <c r="G2812" s="37">
        <v>2.5</v>
      </c>
      <c r="O2812"/>
      <c r="P2812"/>
      <c r="R2812" s="39">
        <v>41499</v>
      </c>
      <c r="S2812" s="37">
        <v>0.42370000000000002</v>
      </c>
    </row>
    <row r="2813" spans="6:19" ht="15" x14ac:dyDescent="0.25">
      <c r="F2813" s="39">
        <v>41507</v>
      </c>
      <c r="G2813" s="37">
        <v>2.5</v>
      </c>
      <c r="O2813"/>
      <c r="P2813"/>
      <c r="R2813" s="39">
        <v>41498</v>
      </c>
      <c r="S2813" s="37">
        <v>0.43009999999999998</v>
      </c>
    </row>
    <row r="2814" spans="6:19" ht="15" x14ac:dyDescent="0.25">
      <c r="F2814" s="39">
        <v>41506</v>
      </c>
      <c r="G2814" s="37">
        <v>2.5</v>
      </c>
      <c r="O2814"/>
      <c r="P2814"/>
      <c r="R2814" s="39">
        <v>41495</v>
      </c>
      <c r="S2814" s="37">
        <v>0.42770000000000002</v>
      </c>
    </row>
    <row r="2815" spans="6:19" ht="15" x14ac:dyDescent="0.25">
      <c r="F2815" s="39">
        <v>41505</v>
      </c>
      <c r="G2815" s="37">
        <v>2.5</v>
      </c>
      <c r="O2815"/>
      <c r="P2815"/>
      <c r="R2815" s="39">
        <v>41494</v>
      </c>
      <c r="S2815" s="37">
        <v>0.42809999999999998</v>
      </c>
    </row>
    <row r="2816" spans="6:19" ht="15" x14ac:dyDescent="0.25">
      <c r="F2816" s="39">
        <v>41502</v>
      </c>
      <c r="G2816" s="37">
        <v>2.5</v>
      </c>
      <c r="O2816"/>
      <c r="P2816"/>
      <c r="R2816" s="39">
        <v>41493</v>
      </c>
      <c r="S2816" s="37">
        <v>0.43009999999999998</v>
      </c>
    </row>
    <row r="2817" spans="6:19" ht="15" x14ac:dyDescent="0.25">
      <c r="F2817" s="39">
        <v>41501</v>
      </c>
      <c r="G2817" s="37">
        <v>2.5</v>
      </c>
      <c r="O2817"/>
      <c r="P2817"/>
      <c r="R2817" s="39">
        <v>41492</v>
      </c>
      <c r="S2817" s="37">
        <v>0.43330000000000002</v>
      </c>
    </row>
    <row r="2818" spans="6:19" ht="15" x14ac:dyDescent="0.25">
      <c r="F2818" s="39">
        <v>41500</v>
      </c>
      <c r="G2818" s="37">
        <v>2.5</v>
      </c>
      <c r="O2818"/>
      <c r="P2818"/>
      <c r="R2818" s="39">
        <v>41491</v>
      </c>
      <c r="S2818" s="37">
        <v>0.43049999999999999</v>
      </c>
    </row>
    <row r="2819" spans="6:19" ht="15" x14ac:dyDescent="0.25">
      <c r="F2819" s="39">
        <v>41499</v>
      </c>
      <c r="G2819" s="37">
        <v>2.5</v>
      </c>
      <c r="O2819"/>
      <c r="P2819"/>
      <c r="R2819" s="39">
        <v>41488</v>
      </c>
      <c r="S2819" s="37">
        <v>0.43140000000000001</v>
      </c>
    </row>
    <row r="2820" spans="6:19" ht="15" x14ac:dyDescent="0.25">
      <c r="F2820" s="39">
        <v>41498</v>
      </c>
      <c r="G2820" s="37">
        <v>2.5</v>
      </c>
      <c r="O2820"/>
      <c r="P2820"/>
      <c r="R2820" s="39">
        <v>41487</v>
      </c>
      <c r="S2820" s="37">
        <v>0.43669999999999998</v>
      </c>
    </row>
    <row r="2821" spans="6:19" ht="15" x14ac:dyDescent="0.25">
      <c r="F2821" s="39">
        <v>41495</v>
      </c>
      <c r="G2821" s="37">
        <v>2.5</v>
      </c>
      <c r="O2821"/>
      <c r="P2821"/>
      <c r="R2821" s="39">
        <v>41486</v>
      </c>
      <c r="S2821" s="37">
        <v>0.4299</v>
      </c>
    </row>
    <row r="2822" spans="6:19" ht="15" x14ac:dyDescent="0.25">
      <c r="F2822" s="39">
        <v>41494</v>
      </c>
      <c r="G2822" s="37">
        <v>2.5</v>
      </c>
      <c r="O2822"/>
      <c r="P2822"/>
      <c r="R2822" s="39">
        <v>41485</v>
      </c>
      <c r="S2822" s="37">
        <v>0.43240000000000001</v>
      </c>
    </row>
    <row r="2823" spans="6:19" ht="15" x14ac:dyDescent="0.25">
      <c r="F2823" s="39">
        <v>41493</v>
      </c>
      <c r="G2823" s="37">
        <v>2.5</v>
      </c>
      <c r="O2823"/>
      <c r="P2823"/>
      <c r="R2823" s="39">
        <v>41484</v>
      </c>
      <c r="S2823" s="37">
        <v>0.43149999999999999</v>
      </c>
    </row>
    <row r="2824" spans="6:19" ht="15" x14ac:dyDescent="0.25">
      <c r="F2824" s="39">
        <v>41492</v>
      </c>
      <c r="G2824" s="37">
        <v>2.75</v>
      </c>
      <c r="O2824"/>
      <c r="P2824"/>
      <c r="R2824" s="39">
        <v>41481</v>
      </c>
      <c r="S2824" s="37">
        <v>0.42980000000000002</v>
      </c>
    </row>
    <row r="2825" spans="6:19" ht="15" x14ac:dyDescent="0.25">
      <c r="F2825" s="39">
        <v>41491</v>
      </c>
      <c r="G2825" s="37">
        <v>2.75</v>
      </c>
      <c r="O2825"/>
      <c r="P2825"/>
      <c r="R2825" s="39">
        <v>41480</v>
      </c>
      <c r="S2825" s="37">
        <v>0.43099999999999999</v>
      </c>
    </row>
    <row r="2826" spans="6:19" ht="15" x14ac:dyDescent="0.25">
      <c r="F2826" s="39">
        <v>41488</v>
      </c>
      <c r="G2826" s="37">
        <v>2.75</v>
      </c>
      <c r="O2826"/>
      <c r="P2826"/>
      <c r="R2826" s="39">
        <v>41479</v>
      </c>
      <c r="S2826" s="37">
        <v>0.42930000000000001</v>
      </c>
    </row>
    <row r="2827" spans="6:19" ht="15" x14ac:dyDescent="0.25">
      <c r="F2827" s="39">
        <v>41487</v>
      </c>
      <c r="G2827" s="37">
        <v>2.75</v>
      </c>
      <c r="O2827"/>
      <c r="P2827"/>
      <c r="R2827" s="39">
        <v>41478</v>
      </c>
      <c r="S2827" s="37">
        <v>0.4299</v>
      </c>
    </row>
    <row r="2828" spans="6:19" ht="15" x14ac:dyDescent="0.25">
      <c r="F2828" s="39">
        <v>41486</v>
      </c>
      <c r="G2828" s="37">
        <v>2.75</v>
      </c>
      <c r="O2828"/>
      <c r="P2828"/>
      <c r="R2828" s="39">
        <v>41477</v>
      </c>
      <c r="S2828" s="37">
        <v>0.43120000000000003</v>
      </c>
    </row>
    <row r="2829" spans="6:19" ht="15" x14ac:dyDescent="0.25">
      <c r="F2829" s="39">
        <v>41485</v>
      </c>
      <c r="G2829" s="37">
        <v>2.75</v>
      </c>
      <c r="O2829"/>
      <c r="P2829"/>
      <c r="R2829" s="39">
        <v>41474</v>
      </c>
      <c r="S2829" s="37">
        <v>0.43240000000000001</v>
      </c>
    </row>
    <row r="2830" spans="6:19" ht="15" x14ac:dyDescent="0.25">
      <c r="F2830" s="39">
        <v>41484</v>
      </c>
      <c r="G2830" s="37">
        <v>2.75</v>
      </c>
      <c r="O2830"/>
      <c r="P2830"/>
      <c r="R2830" s="39">
        <v>41473</v>
      </c>
      <c r="S2830" s="37">
        <v>0.43140000000000001</v>
      </c>
    </row>
    <row r="2831" spans="6:19" ht="15" x14ac:dyDescent="0.25">
      <c r="F2831" s="39">
        <v>41481</v>
      </c>
      <c r="G2831" s="37">
        <v>2.75</v>
      </c>
      <c r="O2831"/>
      <c r="P2831"/>
      <c r="R2831" s="39">
        <v>41472</v>
      </c>
      <c r="S2831" s="37">
        <v>0.43090000000000001</v>
      </c>
    </row>
    <row r="2832" spans="6:19" ht="15" x14ac:dyDescent="0.25">
      <c r="F2832" s="39">
        <v>41480</v>
      </c>
      <c r="G2832" s="37">
        <v>2.75</v>
      </c>
      <c r="O2832"/>
      <c r="P2832"/>
      <c r="R2832" s="39">
        <v>41471</v>
      </c>
      <c r="S2832" s="37">
        <v>0.42659999999999998</v>
      </c>
    </row>
    <row r="2833" spans="6:19" ht="15" x14ac:dyDescent="0.25">
      <c r="F2833" s="39">
        <v>41479</v>
      </c>
      <c r="G2833" s="37">
        <v>2.75</v>
      </c>
      <c r="O2833"/>
      <c r="P2833"/>
      <c r="R2833" s="39">
        <v>41470</v>
      </c>
      <c r="S2833" s="37">
        <v>0.43130000000000002</v>
      </c>
    </row>
    <row r="2834" spans="6:19" ht="15" x14ac:dyDescent="0.25">
      <c r="F2834" s="39">
        <v>41478</v>
      </c>
      <c r="G2834" s="37">
        <v>2.75</v>
      </c>
      <c r="O2834"/>
      <c r="P2834"/>
      <c r="R2834" s="39">
        <v>41467</v>
      </c>
      <c r="S2834" s="37">
        <v>0.43120000000000003</v>
      </c>
    </row>
    <row r="2835" spans="6:19" ht="15" x14ac:dyDescent="0.25">
      <c r="F2835" s="39">
        <v>41477</v>
      </c>
      <c r="G2835" s="37">
        <v>2.75</v>
      </c>
      <c r="O2835"/>
      <c r="P2835"/>
      <c r="R2835" s="39">
        <v>41466</v>
      </c>
      <c r="S2835" s="37">
        <v>0.43180000000000002</v>
      </c>
    </row>
    <row r="2836" spans="6:19" ht="15" x14ac:dyDescent="0.25">
      <c r="F2836" s="39">
        <v>41474</v>
      </c>
      <c r="G2836" s="37">
        <v>2.75</v>
      </c>
      <c r="O2836"/>
      <c r="P2836"/>
      <c r="R2836" s="39">
        <v>41465</v>
      </c>
      <c r="S2836" s="37">
        <v>0.42930000000000001</v>
      </c>
    </row>
    <row r="2837" spans="6:19" ht="15" x14ac:dyDescent="0.25">
      <c r="F2837" s="39">
        <v>41473</v>
      </c>
      <c r="G2837" s="37">
        <v>2.75</v>
      </c>
      <c r="O2837"/>
      <c r="P2837"/>
      <c r="R2837" s="39">
        <v>41464</v>
      </c>
      <c r="S2837" s="37">
        <v>0.43109999999999998</v>
      </c>
    </row>
    <row r="2838" spans="6:19" ht="15" x14ac:dyDescent="0.25">
      <c r="F2838" s="39">
        <v>41472</v>
      </c>
      <c r="G2838" s="37">
        <v>2.75</v>
      </c>
      <c r="O2838"/>
      <c r="P2838"/>
      <c r="R2838" s="39">
        <v>41463</v>
      </c>
      <c r="S2838" s="37">
        <v>0.42899999999999999</v>
      </c>
    </row>
    <row r="2839" spans="6:19" ht="15" x14ac:dyDescent="0.25">
      <c r="F2839" s="39">
        <v>41471</v>
      </c>
      <c r="G2839" s="37">
        <v>2.75</v>
      </c>
      <c r="O2839"/>
      <c r="P2839"/>
      <c r="R2839" s="39">
        <v>41460</v>
      </c>
      <c r="S2839" s="37">
        <v>0.42870000000000003</v>
      </c>
    </row>
    <row r="2840" spans="6:19" ht="15" x14ac:dyDescent="0.25">
      <c r="F2840" s="39">
        <v>41470</v>
      </c>
      <c r="G2840" s="37">
        <v>2.75</v>
      </c>
      <c r="O2840"/>
      <c r="P2840"/>
      <c r="R2840" s="39">
        <v>41459</v>
      </c>
      <c r="S2840" s="37">
        <v>0.42880000000000001</v>
      </c>
    </row>
    <row r="2841" spans="6:19" ht="15" x14ac:dyDescent="0.25">
      <c r="F2841" s="39">
        <v>41467</v>
      </c>
      <c r="G2841" s="37">
        <v>2.75</v>
      </c>
      <c r="O2841"/>
      <c r="P2841"/>
      <c r="R2841" s="39">
        <v>41458</v>
      </c>
      <c r="S2841" s="37">
        <v>0.42859999999999998</v>
      </c>
    </row>
    <row r="2842" spans="6:19" ht="15" x14ac:dyDescent="0.25">
      <c r="F2842" s="39">
        <v>41466</v>
      </c>
      <c r="G2842" s="37">
        <v>2.75</v>
      </c>
      <c r="O2842"/>
      <c r="P2842"/>
      <c r="R2842" s="39">
        <v>41457</v>
      </c>
      <c r="S2842" s="37">
        <v>0.42949999999999999</v>
      </c>
    </row>
    <row r="2843" spans="6:19" ht="15" x14ac:dyDescent="0.25">
      <c r="F2843" s="39">
        <v>41465</v>
      </c>
      <c r="G2843" s="37">
        <v>2.75</v>
      </c>
      <c r="O2843"/>
      <c r="P2843"/>
      <c r="R2843" s="39">
        <v>41456</v>
      </c>
      <c r="S2843" s="37">
        <v>0.42730000000000001</v>
      </c>
    </row>
    <row r="2844" spans="6:19" ht="15" x14ac:dyDescent="0.25">
      <c r="F2844" s="39">
        <v>41464</v>
      </c>
      <c r="G2844" s="37">
        <v>2.75</v>
      </c>
      <c r="O2844"/>
      <c r="P2844"/>
      <c r="R2844" s="39">
        <v>41453</v>
      </c>
      <c r="S2844" s="37">
        <v>0.39190000000000003</v>
      </c>
    </row>
    <row r="2845" spans="6:19" ht="15" x14ac:dyDescent="0.25">
      <c r="F2845" s="39">
        <v>41463</v>
      </c>
      <c r="G2845" s="37">
        <v>2.75</v>
      </c>
      <c r="O2845"/>
      <c r="P2845"/>
      <c r="R2845" s="39">
        <v>41452</v>
      </c>
      <c r="S2845" s="37">
        <v>0.43030000000000002</v>
      </c>
    </row>
    <row r="2846" spans="6:19" ht="15" x14ac:dyDescent="0.25">
      <c r="F2846" s="39">
        <v>41460</v>
      </c>
      <c r="G2846" s="37">
        <v>2.75</v>
      </c>
      <c r="O2846"/>
      <c r="P2846"/>
      <c r="R2846" s="39">
        <v>41451</v>
      </c>
      <c r="S2846" s="37">
        <v>0.43049999999999999</v>
      </c>
    </row>
    <row r="2847" spans="6:19" ht="15" x14ac:dyDescent="0.25">
      <c r="F2847" s="39">
        <v>41459</v>
      </c>
      <c r="G2847" s="37">
        <v>2.75</v>
      </c>
      <c r="O2847"/>
      <c r="P2847"/>
      <c r="R2847" s="39">
        <v>41450</v>
      </c>
      <c r="S2847" s="37">
        <v>0.43259999999999998</v>
      </c>
    </row>
    <row r="2848" spans="6:19" ht="15" x14ac:dyDescent="0.25">
      <c r="F2848" s="39">
        <v>41458</v>
      </c>
      <c r="G2848" s="37">
        <v>2.75</v>
      </c>
      <c r="O2848"/>
      <c r="P2848"/>
      <c r="R2848" s="39">
        <v>41449</v>
      </c>
      <c r="S2848" s="37">
        <v>0.4335</v>
      </c>
    </row>
    <row r="2849" spans="6:19" ht="15" x14ac:dyDescent="0.25">
      <c r="F2849" s="39">
        <v>41457</v>
      </c>
      <c r="G2849" s="37">
        <v>2.75</v>
      </c>
      <c r="O2849"/>
      <c r="P2849"/>
      <c r="R2849" s="39">
        <v>41446</v>
      </c>
      <c r="S2849" s="37">
        <v>0.43030000000000002</v>
      </c>
    </row>
    <row r="2850" spans="6:19" ht="15" x14ac:dyDescent="0.25">
      <c r="F2850" s="39">
        <v>41456</v>
      </c>
      <c r="G2850" s="37">
        <v>2.75</v>
      </c>
      <c r="O2850"/>
      <c r="P2850"/>
      <c r="R2850" s="39">
        <v>41445</v>
      </c>
      <c r="S2850" s="37">
        <v>0.43099999999999999</v>
      </c>
    </row>
    <row r="2851" spans="6:19" ht="15" x14ac:dyDescent="0.25">
      <c r="F2851" s="39">
        <v>41453</v>
      </c>
      <c r="G2851" s="37">
        <v>2.75</v>
      </c>
      <c r="O2851"/>
      <c r="P2851"/>
      <c r="R2851" s="39">
        <v>41444</v>
      </c>
      <c r="S2851" s="37">
        <v>0.42930000000000001</v>
      </c>
    </row>
    <row r="2852" spans="6:19" ht="15" x14ac:dyDescent="0.25">
      <c r="F2852" s="39">
        <v>41452</v>
      </c>
      <c r="G2852" s="37">
        <v>2.75</v>
      </c>
      <c r="O2852"/>
      <c r="P2852"/>
      <c r="R2852" s="39">
        <v>41443</v>
      </c>
      <c r="S2852" s="37">
        <v>0.43020000000000003</v>
      </c>
    </row>
    <row r="2853" spans="6:19" ht="15" x14ac:dyDescent="0.25">
      <c r="F2853" s="39">
        <v>41451</v>
      </c>
      <c r="G2853" s="37">
        <v>2.75</v>
      </c>
      <c r="O2853"/>
      <c r="P2853"/>
      <c r="R2853" s="39">
        <v>41442</v>
      </c>
      <c r="S2853" s="37">
        <v>0.42870000000000003</v>
      </c>
    </row>
    <row r="2854" spans="6:19" ht="15" x14ac:dyDescent="0.25">
      <c r="F2854" s="39">
        <v>41450</v>
      </c>
      <c r="G2854" s="37">
        <v>2.75</v>
      </c>
      <c r="O2854"/>
      <c r="P2854"/>
      <c r="R2854" s="39">
        <v>41439</v>
      </c>
      <c r="S2854" s="37">
        <v>0.42770000000000002</v>
      </c>
    </row>
    <row r="2855" spans="6:19" ht="15" x14ac:dyDescent="0.25">
      <c r="F2855" s="39">
        <v>41449</v>
      </c>
      <c r="G2855" s="37">
        <v>2.75</v>
      </c>
      <c r="O2855"/>
      <c r="P2855"/>
      <c r="R2855" s="39">
        <v>41438</v>
      </c>
      <c r="S2855" s="37">
        <v>0.42630000000000001</v>
      </c>
    </row>
    <row r="2856" spans="6:19" ht="15" x14ac:dyDescent="0.25">
      <c r="F2856" s="39">
        <v>41446</v>
      </c>
      <c r="G2856" s="37">
        <v>2.75</v>
      </c>
      <c r="O2856"/>
      <c r="P2856"/>
      <c r="R2856" s="39">
        <v>41437</v>
      </c>
      <c r="S2856" s="37">
        <v>0.4269</v>
      </c>
    </row>
    <row r="2857" spans="6:19" ht="15" x14ac:dyDescent="0.25">
      <c r="F2857" s="39">
        <v>41445</v>
      </c>
      <c r="G2857" s="37">
        <v>2.75</v>
      </c>
      <c r="O2857"/>
      <c r="P2857"/>
      <c r="R2857" s="39">
        <v>41436</v>
      </c>
      <c r="S2857" s="37">
        <v>0.42470000000000002</v>
      </c>
    </row>
    <row r="2858" spans="6:19" ht="15" x14ac:dyDescent="0.25">
      <c r="F2858" s="39">
        <v>41444</v>
      </c>
      <c r="G2858" s="37">
        <v>2.75</v>
      </c>
      <c r="O2858"/>
      <c r="P2858"/>
      <c r="R2858" s="39">
        <v>41435</v>
      </c>
      <c r="S2858" s="37">
        <v>0.42130000000000001</v>
      </c>
    </row>
    <row r="2859" spans="6:19" ht="15" x14ac:dyDescent="0.25">
      <c r="F2859" s="39">
        <v>41443</v>
      </c>
      <c r="G2859" s="37">
        <v>2.75</v>
      </c>
      <c r="O2859"/>
      <c r="P2859"/>
      <c r="R2859" s="39">
        <v>41432</v>
      </c>
      <c r="S2859" s="37">
        <v>0.42180000000000001</v>
      </c>
    </row>
    <row r="2860" spans="6:19" ht="15" x14ac:dyDescent="0.25">
      <c r="F2860" s="39">
        <v>41442</v>
      </c>
      <c r="G2860" s="37">
        <v>2.75</v>
      </c>
      <c r="O2860"/>
      <c r="P2860"/>
      <c r="R2860" s="39">
        <v>41431</v>
      </c>
      <c r="S2860" s="37">
        <v>0.42430000000000001</v>
      </c>
    </row>
    <row r="2861" spans="6:19" ht="15" x14ac:dyDescent="0.25">
      <c r="F2861" s="39">
        <v>41439</v>
      </c>
      <c r="G2861" s="37">
        <v>2.75</v>
      </c>
      <c r="O2861"/>
      <c r="P2861"/>
      <c r="R2861" s="39">
        <v>41430</v>
      </c>
      <c r="S2861" s="37">
        <v>0.41720000000000002</v>
      </c>
    </row>
    <row r="2862" spans="6:19" ht="15" x14ac:dyDescent="0.25">
      <c r="F2862" s="39">
        <v>41438</v>
      </c>
      <c r="G2862" s="37">
        <v>2.75</v>
      </c>
      <c r="O2862"/>
      <c r="P2862"/>
      <c r="R2862" s="39">
        <v>41429</v>
      </c>
      <c r="S2862" s="37">
        <v>0.42080000000000001</v>
      </c>
    </row>
    <row r="2863" spans="6:19" ht="15" x14ac:dyDescent="0.25">
      <c r="F2863" s="39">
        <v>41437</v>
      </c>
      <c r="G2863" s="37">
        <v>2.75</v>
      </c>
      <c r="O2863"/>
      <c r="P2863"/>
      <c r="R2863" s="39">
        <v>41428</v>
      </c>
      <c r="S2863" s="37">
        <v>0.4239</v>
      </c>
    </row>
    <row r="2864" spans="6:19" ht="15" x14ac:dyDescent="0.25">
      <c r="F2864" s="39">
        <v>41436</v>
      </c>
      <c r="G2864" s="37">
        <v>2.75</v>
      </c>
      <c r="O2864"/>
      <c r="P2864"/>
      <c r="R2864" s="39">
        <v>41425</v>
      </c>
      <c r="S2864" s="37">
        <v>0.4204</v>
      </c>
    </row>
    <row r="2865" spans="6:19" ht="15" x14ac:dyDescent="0.25">
      <c r="F2865" s="39">
        <v>41432</v>
      </c>
      <c r="G2865" s="37">
        <v>2.75</v>
      </c>
      <c r="O2865"/>
      <c r="P2865"/>
      <c r="R2865" s="39">
        <v>41424</v>
      </c>
      <c r="S2865" s="37">
        <v>0.42309999999999998</v>
      </c>
    </row>
    <row r="2866" spans="6:19" ht="15" x14ac:dyDescent="0.25">
      <c r="F2866" s="39">
        <v>41431</v>
      </c>
      <c r="G2866" s="37">
        <v>2.75</v>
      </c>
      <c r="O2866"/>
      <c r="P2866"/>
      <c r="R2866" s="39">
        <v>41423</v>
      </c>
      <c r="S2866" s="37">
        <v>0.42380000000000001</v>
      </c>
    </row>
    <row r="2867" spans="6:19" ht="15" x14ac:dyDescent="0.25">
      <c r="F2867" s="39">
        <v>41430</v>
      </c>
      <c r="G2867" s="37">
        <v>2.75</v>
      </c>
      <c r="O2867"/>
      <c r="P2867"/>
      <c r="R2867" s="39">
        <v>41422</v>
      </c>
      <c r="S2867" s="37">
        <v>0.42280000000000001</v>
      </c>
    </row>
    <row r="2868" spans="6:19" ht="15" x14ac:dyDescent="0.25">
      <c r="F2868" s="39">
        <v>41429</v>
      </c>
      <c r="G2868" s="37">
        <v>2.75</v>
      </c>
      <c r="O2868"/>
      <c r="P2868"/>
      <c r="R2868" s="39">
        <v>41418</v>
      </c>
      <c r="S2868" s="37">
        <v>0.4214</v>
      </c>
    </row>
    <row r="2869" spans="6:19" ht="15" x14ac:dyDescent="0.25">
      <c r="F2869" s="39">
        <v>41428</v>
      </c>
      <c r="G2869" s="37">
        <v>2.75</v>
      </c>
      <c r="O2869"/>
      <c r="P2869"/>
      <c r="R2869" s="39">
        <v>41417</v>
      </c>
      <c r="S2869" s="37">
        <v>0.43840000000000001</v>
      </c>
    </row>
    <row r="2870" spans="6:19" ht="15" x14ac:dyDescent="0.25">
      <c r="F2870" s="39">
        <v>41425</v>
      </c>
      <c r="G2870" s="37">
        <v>2.75</v>
      </c>
      <c r="O2870"/>
      <c r="P2870"/>
      <c r="R2870" s="39">
        <v>41416</v>
      </c>
      <c r="S2870" s="37">
        <v>0.43640000000000001</v>
      </c>
    </row>
    <row r="2871" spans="6:19" ht="15" x14ac:dyDescent="0.25">
      <c r="F2871" s="39">
        <v>41424</v>
      </c>
      <c r="G2871" s="37">
        <v>2.75</v>
      </c>
      <c r="O2871"/>
      <c r="P2871"/>
      <c r="R2871" s="39">
        <v>41415</v>
      </c>
      <c r="S2871" s="37">
        <v>0.44309999999999999</v>
      </c>
    </row>
    <row r="2872" spans="6:19" ht="15" x14ac:dyDescent="0.25">
      <c r="F2872" s="39">
        <v>41423</v>
      </c>
      <c r="G2872" s="37">
        <v>2.75</v>
      </c>
      <c r="O2872"/>
      <c r="P2872"/>
      <c r="R2872" s="39">
        <v>41414</v>
      </c>
      <c r="S2872" s="37">
        <v>0.43390000000000001</v>
      </c>
    </row>
    <row r="2873" spans="6:19" ht="15" x14ac:dyDescent="0.25">
      <c r="F2873" s="39">
        <v>41422</v>
      </c>
      <c r="G2873" s="37">
        <v>2.75</v>
      </c>
      <c r="O2873"/>
      <c r="P2873"/>
      <c r="R2873" s="39">
        <v>41411</v>
      </c>
      <c r="S2873" s="37">
        <v>0.43630000000000002</v>
      </c>
    </row>
    <row r="2874" spans="6:19" ht="15" x14ac:dyDescent="0.25">
      <c r="F2874" s="39">
        <v>41421</v>
      </c>
      <c r="G2874" s="37">
        <v>2.75</v>
      </c>
      <c r="O2874"/>
      <c r="P2874"/>
      <c r="R2874" s="39">
        <v>41410</v>
      </c>
      <c r="S2874" s="37">
        <v>0.43569999999999998</v>
      </c>
    </row>
    <row r="2875" spans="6:19" ht="15" x14ac:dyDescent="0.25">
      <c r="F2875" s="39">
        <v>41418</v>
      </c>
      <c r="G2875" s="37">
        <v>2.75</v>
      </c>
      <c r="O2875"/>
      <c r="P2875"/>
      <c r="R2875" s="39">
        <v>41409</v>
      </c>
      <c r="S2875" s="37">
        <v>0.43640000000000001</v>
      </c>
    </row>
    <row r="2876" spans="6:19" ht="15" x14ac:dyDescent="0.25">
      <c r="F2876" s="39">
        <v>41417</v>
      </c>
      <c r="G2876" s="37">
        <v>2.75</v>
      </c>
      <c r="O2876"/>
      <c r="P2876"/>
      <c r="R2876" s="39">
        <v>41408</v>
      </c>
      <c r="S2876" s="37">
        <v>0.43730000000000002</v>
      </c>
    </row>
    <row r="2877" spans="6:19" ht="15" x14ac:dyDescent="0.25">
      <c r="F2877" s="39">
        <v>41416</v>
      </c>
      <c r="G2877" s="37">
        <v>2.75</v>
      </c>
      <c r="O2877"/>
      <c r="P2877"/>
      <c r="R2877" s="39">
        <v>41407</v>
      </c>
      <c r="S2877" s="37">
        <v>0.43769999999999998</v>
      </c>
    </row>
    <row r="2878" spans="6:19" ht="15" x14ac:dyDescent="0.25">
      <c r="F2878" s="39">
        <v>41415</v>
      </c>
      <c r="G2878" s="37">
        <v>2.75</v>
      </c>
      <c r="O2878"/>
      <c r="P2878"/>
      <c r="R2878" s="39">
        <v>41404</v>
      </c>
      <c r="S2878" s="37">
        <v>0.43480000000000002</v>
      </c>
    </row>
    <row r="2879" spans="6:19" ht="15" x14ac:dyDescent="0.25">
      <c r="F2879" s="39">
        <v>41414</v>
      </c>
      <c r="G2879" s="37">
        <v>2.75</v>
      </c>
      <c r="O2879"/>
      <c r="P2879"/>
      <c r="R2879" s="39">
        <v>41403</v>
      </c>
      <c r="S2879" s="37">
        <v>0.43569999999999998</v>
      </c>
    </row>
    <row r="2880" spans="6:19" ht="15" x14ac:dyDescent="0.25">
      <c r="F2880" s="39">
        <v>41411</v>
      </c>
      <c r="G2880" s="37">
        <v>2.75</v>
      </c>
      <c r="O2880"/>
      <c r="P2880"/>
      <c r="R2880" s="39">
        <v>41402</v>
      </c>
      <c r="S2880" s="37">
        <v>0.43490000000000001</v>
      </c>
    </row>
    <row r="2881" spans="6:19" ht="15" x14ac:dyDescent="0.25">
      <c r="F2881" s="39">
        <v>41410</v>
      </c>
      <c r="G2881" s="37">
        <v>2.75</v>
      </c>
      <c r="O2881"/>
      <c r="P2881"/>
      <c r="R2881" s="39">
        <v>41401</v>
      </c>
      <c r="S2881" s="37">
        <v>0.435</v>
      </c>
    </row>
    <row r="2882" spans="6:19" ht="15" x14ac:dyDescent="0.25">
      <c r="F2882" s="39">
        <v>41409</v>
      </c>
      <c r="G2882" s="37">
        <v>2.75</v>
      </c>
      <c r="O2882"/>
      <c r="P2882"/>
      <c r="R2882" s="39">
        <v>41397</v>
      </c>
      <c r="S2882" s="37">
        <v>0.44009999999999999</v>
      </c>
    </row>
    <row r="2883" spans="6:19" ht="15" x14ac:dyDescent="0.25">
      <c r="F2883" s="39">
        <v>41408</v>
      </c>
      <c r="G2883" s="37">
        <v>2.75</v>
      </c>
      <c r="O2883"/>
      <c r="P2883"/>
      <c r="R2883" s="39">
        <v>41396</v>
      </c>
      <c r="S2883" s="37">
        <v>0.44080000000000003</v>
      </c>
    </row>
    <row r="2884" spans="6:19" ht="15" x14ac:dyDescent="0.25">
      <c r="F2884" s="39">
        <v>41407</v>
      </c>
      <c r="G2884" s="37">
        <v>2.75</v>
      </c>
      <c r="O2884"/>
      <c r="P2884"/>
      <c r="R2884" s="39">
        <v>41395</v>
      </c>
      <c r="S2884" s="37">
        <v>0.43759999999999999</v>
      </c>
    </row>
    <row r="2885" spans="6:19" ht="15" x14ac:dyDescent="0.25">
      <c r="F2885" s="39">
        <v>41404</v>
      </c>
      <c r="G2885" s="37">
        <v>2.75</v>
      </c>
      <c r="O2885"/>
      <c r="P2885"/>
      <c r="R2885" s="39">
        <v>41394</v>
      </c>
      <c r="S2885" s="37">
        <v>0.43369999999999997</v>
      </c>
    </row>
    <row r="2886" spans="6:19" ht="15" x14ac:dyDescent="0.25">
      <c r="F2886" s="39">
        <v>41403</v>
      </c>
      <c r="G2886" s="37">
        <v>2.75</v>
      </c>
      <c r="O2886"/>
      <c r="P2886"/>
      <c r="R2886" s="39">
        <v>41393</v>
      </c>
      <c r="S2886" s="37">
        <v>0.43580000000000002</v>
      </c>
    </row>
    <row r="2887" spans="6:19" ht="15" x14ac:dyDescent="0.25">
      <c r="F2887" s="39">
        <v>41402</v>
      </c>
      <c r="G2887" s="37">
        <v>2.75</v>
      </c>
      <c r="O2887"/>
      <c r="P2887"/>
      <c r="R2887" s="39">
        <v>41390</v>
      </c>
      <c r="S2887" s="37">
        <v>0.4365</v>
      </c>
    </row>
    <row r="2888" spans="6:19" ht="15" x14ac:dyDescent="0.25">
      <c r="F2888" s="39">
        <v>41401</v>
      </c>
      <c r="G2888" s="37">
        <v>3</v>
      </c>
      <c r="O2888"/>
      <c r="P2888"/>
      <c r="R2888" s="39">
        <v>41389</v>
      </c>
      <c r="S2888" s="37">
        <v>0.44069999999999998</v>
      </c>
    </row>
    <row r="2889" spans="6:19" ht="15" x14ac:dyDescent="0.25">
      <c r="F2889" s="39">
        <v>41400</v>
      </c>
      <c r="G2889" s="37">
        <v>3</v>
      </c>
      <c r="O2889"/>
      <c r="P2889"/>
      <c r="R2889" s="39">
        <v>41388</v>
      </c>
      <c r="S2889" s="37">
        <v>0.4385</v>
      </c>
    </row>
    <row r="2890" spans="6:19" ht="15" x14ac:dyDescent="0.25">
      <c r="F2890" s="39">
        <v>41397</v>
      </c>
      <c r="G2890" s="37">
        <v>3</v>
      </c>
      <c r="O2890"/>
      <c r="P2890"/>
      <c r="R2890" s="39">
        <v>41387</v>
      </c>
      <c r="S2890" s="37">
        <v>0.43859999999999999</v>
      </c>
    </row>
    <row r="2891" spans="6:19" ht="15" x14ac:dyDescent="0.25">
      <c r="F2891" s="39">
        <v>41396</v>
      </c>
      <c r="G2891" s="37">
        <v>3</v>
      </c>
      <c r="O2891"/>
      <c r="P2891"/>
      <c r="R2891" s="39">
        <v>41386</v>
      </c>
      <c r="S2891" s="37">
        <v>0.4405</v>
      </c>
    </row>
    <row r="2892" spans="6:19" ht="15" x14ac:dyDescent="0.25">
      <c r="F2892" s="39">
        <v>41395</v>
      </c>
      <c r="G2892" s="37">
        <v>3</v>
      </c>
      <c r="O2892"/>
      <c r="P2892"/>
      <c r="R2892" s="39">
        <v>41383</v>
      </c>
      <c r="S2892" s="37">
        <v>0.44369999999999998</v>
      </c>
    </row>
    <row r="2893" spans="6:19" ht="15" x14ac:dyDescent="0.25">
      <c r="F2893" s="39">
        <v>41394</v>
      </c>
      <c r="G2893" s="37">
        <v>3</v>
      </c>
      <c r="O2893"/>
      <c r="P2893"/>
      <c r="R2893" s="39">
        <v>41382</v>
      </c>
      <c r="S2893" s="37">
        <v>0.4415</v>
      </c>
    </row>
    <row r="2894" spans="6:19" ht="15" x14ac:dyDescent="0.25">
      <c r="F2894" s="39">
        <v>41393</v>
      </c>
      <c r="G2894" s="37">
        <v>3</v>
      </c>
      <c r="O2894"/>
      <c r="P2894"/>
      <c r="R2894" s="39">
        <v>41381</v>
      </c>
      <c r="S2894" s="37">
        <v>0.44230000000000003</v>
      </c>
    </row>
    <row r="2895" spans="6:19" ht="15" x14ac:dyDescent="0.25">
      <c r="F2895" s="39">
        <v>41390</v>
      </c>
      <c r="G2895" s="37">
        <v>3</v>
      </c>
      <c r="O2895"/>
      <c r="P2895"/>
      <c r="R2895" s="39">
        <v>41380</v>
      </c>
      <c r="S2895" s="37">
        <v>0.44059999999999999</v>
      </c>
    </row>
    <row r="2896" spans="6:19" ht="15" x14ac:dyDescent="0.25">
      <c r="F2896" s="39">
        <v>41388</v>
      </c>
      <c r="G2896" s="37">
        <v>3</v>
      </c>
      <c r="O2896"/>
      <c r="P2896"/>
      <c r="R2896" s="39">
        <v>41379</v>
      </c>
      <c r="S2896" s="37">
        <v>0.43919999999999998</v>
      </c>
    </row>
    <row r="2897" spans="6:19" ht="15" x14ac:dyDescent="0.25">
      <c r="F2897" s="39">
        <v>41387</v>
      </c>
      <c r="G2897" s="37">
        <v>3</v>
      </c>
      <c r="O2897"/>
      <c r="P2897"/>
      <c r="R2897" s="39">
        <v>41376</v>
      </c>
      <c r="S2897" s="37">
        <v>0.44</v>
      </c>
    </row>
    <row r="2898" spans="6:19" ht="15" x14ac:dyDescent="0.25">
      <c r="F2898" s="39">
        <v>41386</v>
      </c>
      <c r="G2898" s="37">
        <v>3</v>
      </c>
      <c r="O2898"/>
      <c r="P2898"/>
      <c r="R2898" s="39">
        <v>41375</v>
      </c>
      <c r="S2898" s="37">
        <v>0.44340000000000002</v>
      </c>
    </row>
    <row r="2899" spans="6:19" ht="15" x14ac:dyDescent="0.25">
      <c r="F2899" s="39">
        <v>41383</v>
      </c>
      <c r="G2899" s="37">
        <v>3</v>
      </c>
      <c r="O2899"/>
      <c r="P2899"/>
      <c r="R2899" s="39">
        <v>41374</v>
      </c>
      <c r="S2899" s="37">
        <v>0.44479999999999997</v>
      </c>
    </row>
    <row r="2900" spans="6:19" ht="15" x14ac:dyDescent="0.25">
      <c r="F2900" s="39">
        <v>41382</v>
      </c>
      <c r="G2900" s="37">
        <v>3</v>
      </c>
      <c r="O2900"/>
      <c r="P2900"/>
      <c r="R2900" s="39">
        <v>41373</v>
      </c>
      <c r="S2900" s="37">
        <v>0.43709999999999999</v>
      </c>
    </row>
    <row r="2901" spans="6:19" ht="15" x14ac:dyDescent="0.25">
      <c r="F2901" s="39">
        <v>41381</v>
      </c>
      <c r="G2901" s="37">
        <v>3</v>
      </c>
      <c r="O2901"/>
      <c r="P2901"/>
      <c r="R2901" s="39">
        <v>41372</v>
      </c>
      <c r="S2901" s="37">
        <v>0.4375</v>
      </c>
    </row>
    <row r="2902" spans="6:19" ht="15" x14ac:dyDescent="0.25">
      <c r="F2902" s="39">
        <v>41380</v>
      </c>
      <c r="G2902" s="37">
        <v>3</v>
      </c>
      <c r="O2902"/>
      <c r="P2902"/>
      <c r="R2902" s="39">
        <v>41369</v>
      </c>
      <c r="S2902" s="37">
        <v>0.44519999999999998</v>
      </c>
    </row>
    <row r="2903" spans="6:19" ht="15" x14ac:dyDescent="0.25">
      <c r="F2903" s="39">
        <v>41379</v>
      </c>
      <c r="G2903" s="37">
        <v>3</v>
      </c>
      <c r="O2903"/>
      <c r="P2903"/>
      <c r="R2903" s="39">
        <v>41368</v>
      </c>
      <c r="S2903" s="37">
        <v>0.44209999999999999</v>
      </c>
    </row>
    <row r="2904" spans="6:19" ht="15" x14ac:dyDescent="0.25">
      <c r="F2904" s="39">
        <v>41376</v>
      </c>
      <c r="G2904" s="37">
        <v>3</v>
      </c>
      <c r="O2904"/>
      <c r="P2904"/>
      <c r="R2904" s="39">
        <v>41367</v>
      </c>
      <c r="S2904" s="37">
        <v>0.43530000000000002</v>
      </c>
    </row>
    <row r="2905" spans="6:19" ht="15" x14ac:dyDescent="0.25">
      <c r="F2905" s="39">
        <v>41375</v>
      </c>
      <c r="G2905" s="37">
        <v>3</v>
      </c>
      <c r="O2905"/>
      <c r="P2905"/>
      <c r="R2905" s="39">
        <v>41366</v>
      </c>
      <c r="S2905" s="37">
        <v>0.43559999999999999</v>
      </c>
    </row>
    <row r="2906" spans="6:19" ht="15" x14ac:dyDescent="0.25">
      <c r="F2906" s="39">
        <v>41374</v>
      </c>
      <c r="G2906" s="37">
        <v>3</v>
      </c>
      <c r="O2906"/>
      <c r="P2906"/>
      <c r="R2906" s="39">
        <v>41361</v>
      </c>
      <c r="S2906" s="37">
        <v>0.42030000000000001</v>
      </c>
    </row>
    <row r="2907" spans="6:19" ht="15" x14ac:dyDescent="0.25">
      <c r="F2907" s="39">
        <v>41373</v>
      </c>
      <c r="G2907" s="37">
        <v>3</v>
      </c>
      <c r="O2907"/>
      <c r="P2907"/>
      <c r="R2907" s="39">
        <v>41360</v>
      </c>
      <c r="S2907" s="37">
        <v>0.43419999999999997</v>
      </c>
    </row>
    <row r="2908" spans="6:19" ht="15" x14ac:dyDescent="0.25">
      <c r="F2908" s="39">
        <v>41372</v>
      </c>
      <c r="G2908" s="37">
        <v>3</v>
      </c>
      <c r="O2908"/>
      <c r="P2908"/>
      <c r="R2908" s="39">
        <v>41359</v>
      </c>
      <c r="S2908" s="37">
        <v>0.44030000000000002</v>
      </c>
    </row>
    <row r="2909" spans="6:19" ht="15" x14ac:dyDescent="0.25">
      <c r="F2909" s="39">
        <v>41369</v>
      </c>
      <c r="G2909" s="37">
        <v>3</v>
      </c>
      <c r="O2909"/>
      <c r="P2909"/>
      <c r="R2909" s="39">
        <v>41358</v>
      </c>
      <c r="S2909" s="37">
        <v>0.44069999999999998</v>
      </c>
    </row>
    <row r="2910" spans="6:19" ht="15" x14ac:dyDescent="0.25">
      <c r="F2910" s="39">
        <v>41368</v>
      </c>
      <c r="G2910" s="37">
        <v>3</v>
      </c>
      <c r="O2910"/>
      <c r="P2910"/>
      <c r="R2910" s="39">
        <v>41355</v>
      </c>
      <c r="S2910" s="37">
        <v>0.43559999999999999</v>
      </c>
    </row>
    <row r="2911" spans="6:19" ht="15" x14ac:dyDescent="0.25">
      <c r="F2911" s="39">
        <v>41367</v>
      </c>
      <c r="G2911" s="37">
        <v>3</v>
      </c>
      <c r="O2911"/>
      <c r="P2911"/>
      <c r="R2911" s="39">
        <v>41354</v>
      </c>
      <c r="S2911" s="37">
        <v>0.43380000000000002</v>
      </c>
    </row>
    <row r="2912" spans="6:19" ht="15" x14ac:dyDescent="0.25">
      <c r="F2912" s="39">
        <v>41366</v>
      </c>
      <c r="G2912" s="37">
        <v>3</v>
      </c>
      <c r="O2912"/>
      <c r="P2912"/>
      <c r="R2912" s="39">
        <v>41353</v>
      </c>
      <c r="S2912" s="37">
        <v>0.43840000000000001</v>
      </c>
    </row>
    <row r="2913" spans="6:19" ht="15" x14ac:dyDescent="0.25">
      <c r="F2913" s="39">
        <v>41361</v>
      </c>
      <c r="G2913" s="37">
        <v>3</v>
      </c>
      <c r="O2913"/>
      <c r="P2913"/>
      <c r="R2913" s="39">
        <v>41352</v>
      </c>
      <c r="S2913" s="37">
        <v>0.43990000000000001</v>
      </c>
    </row>
    <row r="2914" spans="6:19" ht="15" x14ac:dyDescent="0.25">
      <c r="F2914" s="39">
        <v>41360</v>
      </c>
      <c r="G2914" s="37">
        <v>3</v>
      </c>
      <c r="O2914"/>
      <c r="P2914"/>
      <c r="R2914" s="39">
        <v>41351</v>
      </c>
      <c r="S2914" s="37">
        <v>0.43959999999999999</v>
      </c>
    </row>
    <row r="2915" spans="6:19" ht="15" x14ac:dyDescent="0.25">
      <c r="F2915" s="39">
        <v>41359</v>
      </c>
      <c r="G2915" s="37">
        <v>3</v>
      </c>
      <c r="O2915"/>
      <c r="P2915"/>
      <c r="R2915" s="39">
        <v>41348</v>
      </c>
      <c r="S2915" s="37">
        <v>0.43709999999999999</v>
      </c>
    </row>
    <row r="2916" spans="6:19" ht="15" x14ac:dyDescent="0.25">
      <c r="F2916" s="39">
        <v>41358</v>
      </c>
      <c r="G2916" s="37">
        <v>3</v>
      </c>
      <c r="O2916"/>
      <c r="P2916"/>
      <c r="R2916" s="39">
        <v>41347</v>
      </c>
      <c r="S2916" s="37">
        <v>0.44790000000000002</v>
      </c>
    </row>
    <row r="2917" spans="6:19" ht="15" x14ac:dyDescent="0.25">
      <c r="F2917" s="39">
        <v>41355</v>
      </c>
      <c r="G2917" s="37">
        <v>3</v>
      </c>
      <c r="O2917"/>
      <c r="P2917"/>
      <c r="R2917" s="39">
        <v>41346</v>
      </c>
      <c r="S2917" s="37">
        <v>0.44800000000000001</v>
      </c>
    </row>
    <row r="2918" spans="6:19" ht="15" x14ac:dyDescent="0.25">
      <c r="F2918" s="39">
        <v>41354</v>
      </c>
      <c r="G2918" s="37">
        <v>3</v>
      </c>
      <c r="O2918"/>
      <c r="P2918"/>
      <c r="R2918" s="39">
        <v>41345</v>
      </c>
      <c r="S2918" s="37">
        <v>0.43369999999999997</v>
      </c>
    </row>
    <row r="2919" spans="6:19" ht="15" x14ac:dyDescent="0.25">
      <c r="F2919" s="39">
        <v>41353</v>
      </c>
      <c r="G2919" s="37">
        <v>3</v>
      </c>
      <c r="O2919"/>
      <c r="P2919"/>
      <c r="R2919" s="39">
        <v>41344</v>
      </c>
      <c r="S2919" s="37">
        <v>0.42949999999999999</v>
      </c>
    </row>
    <row r="2920" spans="6:19" ht="15" x14ac:dyDescent="0.25">
      <c r="F2920" s="39">
        <v>41352</v>
      </c>
      <c r="G2920" s="37">
        <v>3</v>
      </c>
      <c r="O2920"/>
      <c r="P2920"/>
      <c r="R2920" s="39">
        <v>41341</v>
      </c>
      <c r="S2920" s="37">
        <v>0.43130000000000002</v>
      </c>
    </row>
    <row r="2921" spans="6:19" ht="15" x14ac:dyDescent="0.25">
      <c r="F2921" s="39">
        <v>41351</v>
      </c>
      <c r="G2921" s="37">
        <v>3</v>
      </c>
      <c r="O2921"/>
      <c r="P2921"/>
      <c r="R2921" s="39">
        <v>41340</v>
      </c>
      <c r="S2921" s="37">
        <v>0.42899999999999999</v>
      </c>
    </row>
    <row r="2922" spans="6:19" ht="15" x14ac:dyDescent="0.25">
      <c r="F2922" s="39">
        <v>41348</v>
      </c>
      <c r="G2922" s="37">
        <v>3</v>
      </c>
      <c r="O2922"/>
      <c r="P2922"/>
      <c r="R2922" s="39">
        <v>41339</v>
      </c>
      <c r="S2922" s="37">
        <v>0.43459999999999999</v>
      </c>
    </row>
    <row r="2923" spans="6:19" ht="15" x14ac:dyDescent="0.25">
      <c r="F2923" s="39">
        <v>41347</v>
      </c>
      <c r="G2923" s="37">
        <v>3</v>
      </c>
      <c r="O2923"/>
      <c r="P2923"/>
      <c r="R2923" s="39">
        <v>41338</v>
      </c>
      <c r="S2923" s="37">
        <v>0.43330000000000002</v>
      </c>
    </row>
    <row r="2924" spans="6:19" ht="15" x14ac:dyDescent="0.25">
      <c r="F2924" s="39">
        <v>41346</v>
      </c>
      <c r="G2924" s="37">
        <v>3</v>
      </c>
      <c r="O2924"/>
      <c r="P2924"/>
      <c r="R2924" s="39">
        <v>41337</v>
      </c>
      <c r="S2924" s="37">
        <v>0.42870000000000003</v>
      </c>
    </row>
    <row r="2925" spans="6:19" ht="15" x14ac:dyDescent="0.25">
      <c r="F2925" s="39">
        <v>41345</v>
      </c>
      <c r="G2925" s="37">
        <v>3</v>
      </c>
      <c r="O2925"/>
      <c r="P2925"/>
      <c r="R2925" s="39">
        <v>41334</v>
      </c>
      <c r="S2925" s="37">
        <v>0.43049999999999999</v>
      </c>
    </row>
    <row r="2926" spans="6:19" ht="15" x14ac:dyDescent="0.25">
      <c r="F2926" s="39">
        <v>41344</v>
      </c>
      <c r="G2926" s="37">
        <v>3</v>
      </c>
      <c r="O2926"/>
      <c r="P2926"/>
      <c r="R2926" s="39">
        <v>41333</v>
      </c>
      <c r="S2926" s="37">
        <v>0.43390000000000001</v>
      </c>
    </row>
    <row r="2927" spans="6:19" ht="15" x14ac:dyDescent="0.25">
      <c r="F2927" s="39">
        <v>41341</v>
      </c>
      <c r="G2927" s="37">
        <v>3</v>
      </c>
      <c r="O2927"/>
      <c r="P2927"/>
      <c r="R2927" s="39">
        <v>41332</v>
      </c>
      <c r="S2927" s="37">
        <v>0.432</v>
      </c>
    </row>
    <row r="2928" spans="6:19" ht="15" x14ac:dyDescent="0.25">
      <c r="F2928" s="39">
        <v>41340</v>
      </c>
      <c r="G2928" s="37">
        <v>3</v>
      </c>
      <c r="O2928"/>
      <c r="P2928"/>
      <c r="R2928" s="39">
        <v>41331</v>
      </c>
      <c r="S2928" s="37">
        <v>0.43140000000000001</v>
      </c>
    </row>
    <row r="2929" spans="6:19" ht="15" x14ac:dyDescent="0.25">
      <c r="F2929" s="39">
        <v>41339</v>
      </c>
      <c r="G2929" s="37">
        <v>3</v>
      </c>
      <c r="O2929"/>
      <c r="P2929"/>
      <c r="R2929" s="39">
        <v>41330</v>
      </c>
      <c r="S2929" s="37">
        <v>0.43469999999999998</v>
      </c>
    </row>
    <row r="2930" spans="6:19" ht="15" x14ac:dyDescent="0.25">
      <c r="F2930" s="39">
        <v>41338</v>
      </c>
      <c r="G2930" s="37">
        <v>3</v>
      </c>
      <c r="O2930"/>
      <c r="P2930"/>
      <c r="R2930" s="39">
        <v>41327</v>
      </c>
      <c r="S2930" s="37">
        <v>0.433</v>
      </c>
    </row>
    <row r="2931" spans="6:19" ht="15" x14ac:dyDescent="0.25">
      <c r="F2931" s="39">
        <v>41337</v>
      </c>
      <c r="G2931" s="37">
        <v>3</v>
      </c>
      <c r="O2931"/>
      <c r="P2931"/>
      <c r="R2931" s="39">
        <v>41326</v>
      </c>
      <c r="S2931" s="37">
        <v>0.43209999999999998</v>
      </c>
    </row>
    <row r="2932" spans="6:19" ht="15" x14ac:dyDescent="0.25">
      <c r="F2932" s="39">
        <v>41334</v>
      </c>
      <c r="G2932" s="37">
        <v>3</v>
      </c>
      <c r="O2932"/>
      <c r="P2932"/>
      <c r="R2932" s="39">
        <v>41325</v>
      </c>
      <c r="S2932" s="37">
        <v>0.43209999999999998</v>
      </c>
    </row>
    <row r="2933" spans="6:19" ht="15" x14ac:dyDescent="0.25">
      <c r="F2933" s="39">
        <v>41333</v>
      </c>
      <c r="G2933" s="37">
        <v>3</v>
      </c>
      <c r="O2933"/>
      <c r="P2933"/>
      <c r="R2933" s="39">
        <v>41324</v>
      </c>
      <c r="S2933" s="37">
        <v>0.4345</v>
      </c>
    </row>
    <row r="2934" spans="6:19" ht="15" x14ac:dyDescent="0.25">
      <c r="F2934" s="39">
        <v>41332</v>
      </c>
      <c r="G2934" s="37">
        <v>3</v>
      </c>
      <c r="O2934"/>
      <c r="P2934"/>
      <c r="R2934" s="39">
        <v>41323</v>
      </c>
      <c r="S2934" s="37">
        <v>0.42899999999999999</v>
      </c>
    </row>
    <row r="2935" spans="6:19" ht="15" x14ac:dyDescent="0.25">
      <c r="F2935" s="39">
        <v>41331</v>
      </c>
      <c r="G2935" s="37">
        <v>3</v>
      </c>
      <c r="O2935"/>
      <c r="P2935"/>
      <c r="R2935" s="39">
        <v>41320</v>
      </c>
      <c r="S2935" s="37">
        <v>0.43169999999999997</v>
      </c>
    </row>
    <row r="2936" spans="6:19" ht="15" x14ac:dyDescent="0.25">
      <c r="F2936" s="39">
        <v>41330</v>
      </c>
      <c r="G2936" s="37">
        <v>3</v>
      </c>
      <c r="O2936"/>
      <c r="P2936"/>
      <c r="R2936" s="39">
        <v>41319</v>
      </c>
      <c r="S2936" s="37">
        <v>0.4345</v>
      </c>
    </row>
    <row r="2937" spans="6:19" ht="15" x14ac:dyDescent="0.25">
      <c r="F2937" s="39">
        <v>41327</v>
      </c>
      <c r="G2937" s="37">
        <v>3</v>
      </c>
      <c r="O2937"/>
      <c r="P2937"/>
      <c r="R2937" s="39">
        <v>41318</v>
      </c>
      <c r="S2937" s="37">
        <v>0.42670000000000002</v>
      </c>
    </row>
    <row r="2938" spans="6:19" ht="15" x14ac:dyDescent="0.25">
      <c r="F2938" s="39">
        <v>41326</v>
      </c>
      <c r="G2938" s="37">
        <v>3</v>
      </c>
      <c r="O2938"/>
      <c r="P2938"/>
      <c r="R2938" s="39">
        <v>41317</v>
      </c>
      <c r="S2938" s="37">
        <v>0.42659999999999998</v>
      </c>
    </row>
    <row r="2939" spans="6:19" ht="15" x14ac:dyDescent="0.25">
      <c r="F2939" s="39">
        <v>41325</v>
      </c>
      <c r="G2939" s="37">
        <v>3</v>
      </c>
      <c r="O2939"/>
      <c r="P2939"/>
      <c r="R2939" s="39">
        <v>41316</v>
      </c>
      <c r="S2939" s="37">
        <v>0.42449999999999999</v>
      </c>
    </row>
    <row r="2940" spans="6:19" ht="15" x14ac:dyDescent="0.25">
      <c r="F2940" s="39">
        <v>41324</v>
      </c>
      <c r="G2940" s="37">
        <v>3</v>
      </c>
      <c r="O2940"/>
      <c r="P2940"/>
      <c r="R2940" s="39">
        <v>41313</v>
      </c>
      <c r="S2940" s="37">
        <v>0.42520000000000002</v>
      </c>
    </row>
    <row r="2941" spans="6:19" ht="15" x14ac:dyDescent="0.25">
      <c r="F2941" s="39">
        <v>41323</v>
      </c>
      <c r="G2941" s="37">
        <v>3</v>
      </c>
      <c r="O2941"/>
      <c r="P2941"/>
      <c r="R2941" s="39">
        <v>41312</v>
      </c>
      <c r="S2941" s="37">
        <v>0.42649999999999999</v>
      </c>
    </row>
    <row r="2942" spans="6:19" ht="15" x14ac:dyDescent="0.25">
      <c r="F2942" s="39">
        <v>41320</v>
      </c>
      <c r="G2942" s="37">
        <v>3</v>
      </c>
      <c r="O2942"/>
      <c r="P2942"/>
      <c r="R2942" s="39">
        <v>41311</v>
      </c>
      <c r="S2942" s="37">
        <v>0.40550000000000003</v>
      </c>
    </row>
    <row r="2943" spans="6:19" ht="15" x14ac:dyDescent="0.25">
      <c r="F2943" s="39">
        <v>41319</v>
      </c>
      <c r="G2943" s="37">
        <v>3</v>
      </c>
      <c r="O2943"/>
      <c r="P2943"/>
      <c r="R2943" s="39">
        <v>41310</v>
      </c>
      <c r="S2943" s="37">
        <v>0.40589999999999998</v>
      </c>
    </row>
    <row r="2944" spans="6:19" ht="15" x14ac:dyDescent="0.25">
      <c r="F2944" s="39">
        <v>41318</v>
      </c>
      <c r="G2944" s="37">
        <v>3</v>
      </c>
      <c r="O2944"/>
      <c r="P2944"/>
      <c r="R2944" s="39">
        <v>41309</v>
      </c>
      <c r="S2944" s="37">
        <v>0.41360000000000002</v>
      </c>
    </row>
    <row r="2945" spans="6:19" ht="15" x14ac:dyDescent="0.25">
      <c r="F2945" s="39">
        <v>41317</v>
      </c>
      <c r="G2945" s="37">
        <v>3</v>
      </c>
      <c r="O2945"/>
      <c r="P2945"/>
      <c r="R2945" s="39">
        <v>41306</v>
      </c>
      <c r="S2945" s="37">
        <v>0.4093</v>
      </c>
    </row>
    <row r="2946" spans="6:19" ht="15" x14ac:dyDescent="0.25">
      <c r="F2946" s="39">
        <v>41316</v>
      </c>
      <c r="G2946" s="37">
        <v>3</v>
      </c>
      <c r="O2946"/>
      <c r="P2946"/>
      <c r="R2946" s="39">
        <v>41305</v>
      </c>
      <c r="S2946" s="37">
        <v>0.40820000000000001</v>
      </c>
    </row>
    <row r="2947" spans="6:19" ht="15" x14ac:dyDescent="0.25">
      <c r="F2947" s="39">
        <v>41313</v>
      </c>
      <c r="G2947" s="37">
        <v>3</v>
      </c>
      <c r="O2947"/>
      <c r="P2947"/>
      <c r="R2947" s="39">
        <v>41304</v>
      </c>
      <c r="S2947" s="37">
        <v>0.41149999999999998</v>
      </c>
    </row>
    <row r="2948" spans="6:19" ht="15" x14ac:dyDescent="0.25">
      <c r="F2948" s="39">
        <v>41312</v>
      </c>
      <c r="G2948" s="37">
        <v>3</v>
      </c>
      <c r="O2948"/>
      <c r="P2948"/>
      <c r="R2948" s="39">
        <v>41303</v>
      </c>
      <c r="S2948" s="37">
        <v>0.40660000000000002</v>
      </c>
    </row>
    <row r="2949" spans="6:19" ht="15" x14ac:dyDescent="0.25">
      <c r="F2949" s="39">
        <v>41311</v>
      </c>
      <c r="G2949" s="37">
        <v>3</v>
      </c>
      <c r="O2949"/>
      <c r="P2949"/>
      <c r="R2949" s="39">
        <v>41302</v>
      </c>
      <c r="S2949" s="37">
        <v>0.40510000000000002</v>
      </c>
    </row>
    <row r="2950" spans="6:19" ht="15" x14ac:dyDescent="0.25">
      <c r="F2950" s="39">
        <v>41310</v>
      </c>
      <c r="G2950" s="37">
        <v>3</v>
      </c>
      <c r="O2950"/>
      <c r="P2950"/>
      <c r="R2950" s="39">
        <v>41299</v>
      </c>
      <c r="S2950" s="37">
        <v>0.40389999999999998</v>
      </c>
    </row>
    <row r="2951" spans="6:19" ht="15" x14ac:dyDescent="0.25">
      <c r="F2951" s="39">
        <v>41309</v>
      </c>
      <c r="G2951" s="37">
        <v>3</v>
      </c>
      <c r="O2951"/>
      <c r="P2951"/>
      <c r="R2951" s="39">
        <v>41298</v>
      </c>
      <c r="S2951" s="37">
        <v>0.40179999999999999</v>
      </c>
    </row>
    <row r="2952" spans="6:19" ht="15" x14ac:dyDescent="0.25">
      <c r="F2952" s="39">
        <v>41306</v>
      </c>
      <c r="G2952" s="37">
        <v>3</v>
      </c>
      <c r="O2952"/>
      <c r="P2952"/>
      <c r="R2952" s="39">
        <v>41297</v>
      </c>
      <c r="S2952" s="37">
        <v>0.39939999999999998</v>
      </c>
    </row>
    <row r="2953" spans="6:19" ht="15" x14ac:dyDescent="0.25">
      <c r="F2953" s="39">
        <v>41305</v>
      </c>
      <c r="G2953" s="37">
        <v>3</v>
      </c>
      <c r="O2953"/>
      <c r="P2953"/>
      <c r="R2953" s="39">
        <v>41296</v>
      </c>
      <c r="S2953" s="37">
        <v>0.40289999999999998</v>
      </c>
    </row>
    <row r="2954" spans="6:19" ht="15" x14ac:dyDescent="0.25">
      <c r="F2954" s="39">
        <v>41304</v>
      </c>
      <c r="G2954" s="37">
        <v>3</v>
      </c>
      <c r="O2954"/>
      <c r="P2954"/>
      <c r="R2954" s="39">
        <v>41295</v>
      </c>
      <c r="S2954" s="37">
        <v>0.40229999999999999</v>
      </c>
    </row>
    <row r="2955" spans="6:19" ht="15" x14ac:dyDescent="0.25">
      <c r="F2955" s="39">
        <v>41303</v>
      </c>
      <c r="G2955" s="37">
        <v>3</v>
      </c>
      <c r="O2955"/>
      <c r="P2955"/>
      <c r="R2955" s="39">
        <v>41292</v>
      </c>
      <c r="S2955" s="37">
        <v>0.4042</v>
      </c>
    </row>
    <row r="2956" spans="6:19" ht="15" x14ac:dyDescent="0.25">
      <c r="F2956" s="39">
        <v>41299</v>
      </c>
      <c r="G2956" s="37">
        <v>3</v>
      </c>
      <c r="O2956"/>
      <c r="P2956"/>
      <c r="R2956" s="39">
        <v>41291</v>
      </c>
      <c r="S2956" s="37">
        <v>0.4022</v>
      </c>
    </row>
    <row r="2957" spans="6:19" ht="15" x14ac:dyDescent="0.25">
      <c r="F2957" s="39">
        <v>41298</v>
      </c>
      <c r="G2957" s="37">
        <v>3</v>
      </c>
      <c r="O2957"/>
      <c r="P2957"/>
      <c r="R2957" s="39">
        <v>41290</v>
      </c>
      <c r="S2957" s="37">
        <v>0.3977</v>
      </c>
    </row>
    <row r="2958" spans="6:19" ht="15" x14ac:dyDescent="0.25">
      <c r="F2958" s="39">
        <v>41297</v>
      </c>
      <c r="G2958" s="37">
        <v>3</v>
      </c>
      <c r="O2958"/>
      <c r="P2958"/>
      <c r="R2958" s="39">
        <v>41289</v>
      </c>
      <c r="S2958" s="37">
        <v>0.40539999999999998</v>
      </c>
    </row>
    <row r="2959" spans="6:19" ht="15" x14ac:dyDescent="0.25">
      <c r="F2959" s="39">
        <v>41296</v>
      </c>
      <c r="G2959" s="37">
        <v>3</v>
      </c>
      <c r="O2959"/>
      <c r="P2959"/>
      <c r="R2959" s="39">
        <v>41288</v>
      </c>
      <c r="S2959" s="37">
        <v>0.40410000000000001</v>
      </c>
    </row>
    <row r="2960" spans="6:19" ht="15" x14ac:dyDescent="0.25">
      <c r="F2960" s="39">
        <v>41295</v>
      </c>
      <c r="G2960" s="37">
        <v>3</v>
      </c>
      <c r="O2960"/>
      <c r="P2960"/>
      <c r="R2960" s="39">
        <v>41285</v>
      </c>
      <c r="S2960" s="37">
        <v>0.4027</v>
      </c>
    </row>
    <row r="2961" spans="6:19" ht="15" x14ac:dyDescent="0.25">
      <c r="F2961" s="39">
        <v>41292</v>
      </c>
      <c r="G2961" s="37">
        <v>3</v>
      </c>
      <c r="O2961"/>
      <c r="P2961"/>
      <c r="R2961" s="39">
        <v>41284</v>
      </c>
      <c r="S2961" s="37">
        <v>0.39879999999999999</v>
      </c>
    </row>
    <row r="2962" spans="6:19" ht="15" x14ac:dyDescent="0.25">
      <c r="F2962" s="39">
        <v>41291</v>
      </c>
      <c r="G2962" s="37">
        <v>3</v>
      </c>
      <c r="O2962"/>
      <c r="P2962"/>
      <c r="R2962" s="39">
        <v>41283</v>
      </c>
      <c r="S2962" s="37">
        <v>0.42730000000000001</v>
      </c>
    </row>
    <row r="2963" spans="6:19" ht="15" x14ac:dyDescent="0.25">
      <c r="F2963" s="39">
        <v>41290</v>
      </c>
      <c r="G2963" s="37">
        <v>3</v>
      </c>
      <c r="O2963"/>
      <c r="P2963"/>
      <c r="R2963" s="39">
        <v>41282</v>
      </c>
      <c r="S2963" s="37">
        <v>0.42309999999999998</v>
      </c>
    </row>
    <row r="2964" spans="6:19" ht="15" x14ac:dyDescent="0.25">
      <c r="F2964" s="39">
        <v>41289</v>
      </c>
      <c r="G2964" s="37">
        <v>3</v>
      </c>
      <c r="O2964"/>
      <c r="P2964"/>
      <c r="R2964" s="39">
        <v>41281</v>
      </c>
      <c r="S2964" s="37">
        <v>0.42380000000000001</v>
      </c>
    </row>
    <row r="2965" spans="6:19" ht="15" x14ac:dyDescent="0.25">
      <c r="F2965" s="39">
        <v>41288</v>
      </c>
      <c r="G2965" s="37">
        <v>3</v>
      </c>
      <c r="O2965"/>
      <c r="P2965"/>
      <c r="R2965" s="39">
        <v>41278</v>
      </c>
      <c r="S2965" s="37">
        <v>0.42609999999999998</v>
      </c>
    </row>
    <row r="2966" spans="6:19" ht="15" x14ac:dyDescent="0.25">
      <c r="F2966" s="39">
        <v>41285</v>
      </c>
      <c r="G2966" s="37">
        <v>3</v>
      </c>
      <c r="O2966"/>
      <c r="P2966"/>
      <c r="R2966" s="39">
        <v>41277</v>
      </c>
      <c r="S2966" s="37">
        <v>0.42609999999999998</v>
      </c>
    </row>
    <row r="2967" spans="6:19" ht="15" x14ac:dyDescent="0.25">
      <c r="F2967" s="39">
        <v>41284</v>
      </c>
      <c r="G2967" s="37">
        <v>3</v>
      </c>
      <c r="O2967"/>
      <c r="P2967"/>
      <c r="R2967" s="39">
        <v>41276</v>
      </c>
      <c r="S2967" s="37">
        <v>0.43</v>
      </c>
    </row>
    <row r="2968" spans="6:19" ht="15" x14ac:dyDescent="0.25">
      <c r="F2968" s="39">
        <v>41283</v>
      </c>
      <c r="G2968" s="37">
        <v>3</v>
      </c>
      <c r="O2968"/>
      <c r="P2968"/>
      <c r="R2968" s="39">
        <v>41274</v>
      </c>
      <c r="S2968" s="37">
        <v>0.42749999999999999</v>
      </c>
    </row>
    <row r="2969" spans="6:19" ht="15" x14ac:dyDescent="0.25">
      <c r="F2969" s="39">
        <v>41282</v>
      </c>
      <c r="G2969" s="37">
        <v>3</v>
      </c>
      <c r="O2969"/>
      <c r="P2969"/>
      <c r="R2969" s="39">
        <v>41271</v>
      </c>
      <c r="S2969" s="37">
        <v>0.4294</v>
      </c>
    </row>
    <row r="2970" spans="6:19" ht="15" x14ac:dyDescent="0.25">
      <c r="F2970" s="39">
        <v>41281</v>
      </c>
      <c r="G2970" s="37">
        <v>3</v>
      </c>
      <c r="O2970"/>
      <c r="P2970"/>
      <c r="R2970" s="39">
        <v>41270</v>
      </c>
      <c r="S2970" s="37">
        <v>0.4299</v>
      </c>
    </row>
    <row r="2971" spans="6:19" ht="15" x14ac:dyDescent="0.25">
      <c r="F2971" s="39">
        <v>41278</v>
      </c>
      <c r="G2971" s="37">
        <v>3</v>
      </c>
      <c r="O2971"/>
      <c r="P2971"/>
      <c r="R2971" s="39">
        <v>41267</v>
      </c>
      <c r="S2971" s="37">
        <v>0.4456</v>
      </c>
    </row>
    <row r="2972" spans="6:19" ht="15" x14ac:dyDescent="0.25">
      <c r="F2972" s="39">
        <v>41277</v>
      </c>
      <c r="G2972" s="37">
        <v>3</v>
      </c>
      <c r="O2972"/>
      <c r="P2972"/>
      <c r="R2972" s="39">
        <v>41264</v>
      </c>
      <c r="S2972" s="37">
        <v>0.4335</v>
      </c>
    </row>
    <row r="2973" spans="6:19" ht="15" x14ac:dyDescent="0.25">
      <c r="F2973" s="39">
        <v>41276</v>
      </c>
      <c r="G2973" s="37">
        <v>3</v>
      </c>
      <c r="O2973"/>
      <c r="P2973"/>
      <c r="R2973" s="39">
        <v>41263</v>
      </c>
      <c r="S2973" s="37">
        <v>0.42759999999999998</v>
      </c>
    </row>
    <row r="2974" spans="6:19" ht="15" x14ac:dyDescent="0.25">
      <c r="F2974" s="39">
        <v>41274</v>
      </c>
      <c r="G2974" s="37">
        <v>3</v>
      </c>
      <c r="O2974"/>
      <c r="P2974"/>
      <c r="R2974" s="39">
        <v>41262</v>
      </c>
      <c r="S2974" s="37">
        <v>0.43120000000000003</v>
      </c>
    </row>
    <row r="2975" spans="6:19" ht="15" x14ac:dyDescent="0.25">
      <c r="F2975" s="39">
        <v>41271</v>
      </c>
      <c r="G2975" s="37">
        <v>3</v>
      </c>
      <c r="O2975"/>
      <c r="P2975"/>
      <c r="R2975" s="39">
        <v>41261</v>
      </c>
      <c r="S2975" s="37">
        <v>0.43309999999999998</v>
      </c>
    </row>
    <row r="2976" spans="6:19" ht="15" x14ac:dyDescent="0.25">
      <c r="F2976" s="39">
        <v>41270</v>
      </c>
      <c r="G2976" s="37">
        <v>3</v>
      </c>
      <c r="O2976"/>
      <c r="P2976"/>
      <c r="R2976" s="39">
        <v>41260</v>
      </c>
      <c r="S2976" s="37">
        <v>0.43319999999999997</v>
      </c>
    </row>
    <row r="2977" spans="6:19" ht="15" x14ac:dyDescent="0.25">
      <c r="F2977" s="39">
        <v>41267</v>
      </c>
      <c r="G2977" s="37">
        <v>3</v>
      </c>
      <c r="O2977"/>
      <c r="P2977"/>
      <c r="R2977" s="39">
        <v>41257</v>
      </c>
      <c r="S2977" s="37">
        <v>0.42930000000000001</v>
      </c>
    </row>
    <row r="2978" spans="6:19" ht="15" x14ac:dyDescent="0.25">
      <c r="F2978" s="39">
        <v>41264</v>
      </c>
      <c r="G2978" s="37">
        <v>3</v>
      </c>
      <c r="O2978"/>
      <c r="P2978"/>
      <c r="R2978" s="39">
        <v>41256</v>
      </c>
      <c r="S2978" s="37">
        <v>0.43090000000000001</v>
      </c>
    </row>
    <row r="2979" spans="6:19" ht="15" x14ac:dyDescent="0.25">
      <c r="F2979" s="39">
        <v>41263</v>
      </c>
      <c r="G2979" s="37">
        <v>3</v>
      </c>
      <c r="O2979"/>
      <c r="P2979"/>
      <c r="R2979" s="39">
        <v>41255</v>
      </c>
      <c r="S2979" s="37">
        <v>0.43099999999999999</v>
      </c>
    </row>
    <row r="2980" spans="6:19" ht="15" x14ac:dyDescent="0.25">
      <c r="F2980" s="39">
        <v>41262</v>
      </c>
      <c r="G2980" s="37">
        <v>3</v>
      </c>
      <c r="O2980"/>
      <c r="P2980"/>
      <c r="R2980" s="39">
        <v>41254</v>
      </c>
      <c r="S2980" s="37">
        <v>0.4304</v>
      </c>
    </row>
    <row r="2981" spans="6:19" ht="15" x14ac:dyDescent="0.25">
      <c r="F2981" s="39">
        <v>41261</v>
      </c>
      <c r="G2981" s="37">
        <v>3</v>
      </c>
      <c r="O2981"/>
      <c r="P2981"/>
      <c r="R2981" s="39">
        <v>41253</v>
      </c>
      <c r="S2981" s="37">
        <v>0.43080000000000002</v>
      </c>
    </row>
    <row r="2982" spans="6:19" ht="15" x14ac:dyDescent="0.25">
      <c r="F2982" s="39">
        <v>41260</v>
      </c>
      <c r="G2982" s="37">
        <v>3</v>
      </c>
      <c r="O2982"/>
      <c r="P2982"/>
      <c r="R2982" s="39">
        <v>41250</v>
      </c>
      <c r="S2982" s="37">
        <v>0.43309999999999998</v>
      </c>
    </row>
    <row r="2983" spans="6:19" ht="15" x14ac:dyDescent="0.25">
      <c r="F2983" s="39">
        <v>41257</v>
      </c>
      <c r="G2983" s="37">
        <v>3</v>
      </c>
      <c r="O2983"/>
      <c r="P2983"/>
      <c r="R2983" s="39">
        <v>41249</v>
      </c>
      <c r="S2983" s="37">
        <v>0.42870000000000003</v>
      </c>
    </row>
    <row r="2984" spans="6:19" ht="15" x14ac:dyDescent="0.25">
      <c r="F2984" s="39">
        <v>41256</v>
      </c>
      <c r="G2984" s="37">
        <v>3</v>
      </c>
      <c r="O2984"/>
      <c r="P2984"/>
      <c r="R2984" s="39">
        <v>41248</v>
      </c>
      <c r="S2984" s="37">
        <v>0.42870000000000003</v>
      </c>
    </row>
    <row r="2985" spans="6:19" ht="15" x14ac:dyDescent="0.25">
      <c r="F2985" s="39">
        <v>41255</v>
      </c>
      <c r="G2985" s="37">
        <v>3</v>
      </c>
      <c r="O2985"/>
      <c r="P2985"/>
      <c r="R2985" s="39">
        <v>41247</v>
      </c>
      <c r="S2985" s="37">
        <v>0.42549999999999999</v>
      </c>
    </row>
    <row r="2986" spans="6:19" ht="15" x14ac:dyDescent="0.25">
      <c r="F2986" s="39">
        <v>41254</v>
      </c>
      <c r="G2986" s="37">
        <v>3</v>
      </c>
      <c r="O2986"/>
      <c r="P2986"/>
      <c r="R2986" s="39">
        <v>41246</v>
      </c>
      <c r="S2986" s="37">
        <v>0.42699999999999999</v>
      </c>
    </row>
    <row r="2987" spans="6:19" ht="15" x14ac:dyDescent="0.25">
      <c r="F2987" s="39">
        <v>41253</v>
      </c>
      <c r="G2987" s="37">
        <v>3</v>
      </c>
      <c r="O2987"/>
      <c r="P2987"/>
      <c r="R2987" s="39">
        <v>41243</v>
      </c>
      <c r="S2987" s="37">
        <v>0.43269999999999997</v>
      </c>
    </row>
    <row r="2988" spans="6:19" ht="15" x14ac:dyDescent="0.25">
      <c r="F2988" s="39">
        <v>41250</v>
      </c>
      <c r="G2988" s="37">
        <v>3</v>
      </c>
      <c r="O2988"/>
      <c r="P2988"/>
      <c r="R2988" s="39">
        <v>41242</v>
      </c>
      <c r="S2988" s="37">
        <v>0.43340000000000001</v>
      </c>
    </row>
    <row r="2989" spans="6:19" ht="15" x14ac:dyDescent="0.25">
      <c r="F2989" s="39">
        <v>41249</v>
      </c>
      <c r="G2989" s="37">
        <v>3</v>
      </c>
      <c r="O2989"/>
      <c r="P2989"/>
      <c r="R2989" s="39">
        <v>41241</v>
      </c>
      <c r="S2989" s="37">
        <v>0.43340000000000001</v>
      </c>
    </row>
    <row r="2990" spans="6:19" ht="15" x14ac:dyDescent="0.25">
      <c r="F2990" s="39">
        <v>41248</v>
      </c>
      <c r="G2990" s="37">
        <v>3</v>
      </c>
      <c r="O2990"/>
      <c r="P2990"/>
      <c r="R2990" s="39">
        <v>41240</v>
      </c>
      <c r="S2990" s="37">
        <v>0.43059999999999998</v>
      </c>
    </row>
    <row r="2991" spans="6:19" ht="15" x14ac:dyDescent="0.25">
      <c r="F2991" s="39">
        <v>41247</v>
      </c>
      <c r="G2991" s="37">
        <v>3.25</v>
      </c>
      <c r="O2991"/>
      <c r="P2991"/>
      <c r="R2991" s="39">
        <v>41239</v>
      </c>
      <c r="S2991" s="37">
        <v>0.42649999999999999</v>
      </c>
    </row>
    <row r="2992" spans="6:19" ht="15" x14ac:dyDescent="0.25">
      <c r="F2992" s="39">
        <v>41246</v>
      </c>
      <c r="G2992" s="37">
        <v>3.25</v>
      </c>
      <c r="O2992"/>
      <c r="P2992"/>
      <c r="R2992" s="39">
        <v>41236</v>
      </c>
      <c r="S2992" s="37">
        <v>0.42509999999999998</v>
      </c>
    </row>
    <row r="2993" spans="6:19" ht="15" x14ac:dyDescent="0.25">
      <c r="F2993" s="39">
        <v>41243</v>
      </c>
      <c r="G2993" s="37">
        <v>3.25</v>
      </c>
      <c r="O2993"/>
      <c r="P2993"/>
      <c r="R2993" s="39">
        <v>41235</v>
      </c>
      <c r="S2993" s="37">
        <v>0.42709999999999998</v>
      </c>
    </row>
    <row r="2994" spans="6:19" ht="15" x14ac:dyDescent="0.25">
      <c r="F2994" s="39">
        <v>41242</v>
      </c>
      <c r="G2994" s="37">
        <v>3.25</v>
      </c>
      <c r="O2994"/>
      <c r="P2994"/>
      <c r="R2994" s="39">
        <v>41234</v>
      </c>
      <c r="S2994" s="37">
        <v>0.41870000000000002</v>
      </c>
    </row>
    <row r="2995" spans="6:19" ht="15" x14ac:dyDescent="0.25">
      <c r="F2995" s="39">
        <v>41241</v>
      </c>
      <c r="G2995" s="37">
        <v>3.25</v>
      </c>
      <c r="O2995"/>
      <c r="P2995"/>
      <c r="R2995" s="39">
        <v>41233</v>
      </c>
      <c r="S2995" s="37">
        <v>0.41639999999999999</v>
      </c>
    </row>
    <row r="2996" spans="6:19" ht="15" x14ac:dyDescent="0.25">
      <c r="F2996" s="39">
        <v>41240</v>
      </c>
      <c r="G2996" s="37">
        <v>3.25</v>
      </c>
      <c r="O2996"/>
      <c r="P2996"/>
      <c r="R2996" s="39">
        <v>41232</v>
      </c>
      <c r="S2996" s="37">
        <v>0.41560000000000002</v>
      </c>
    </row>
    <row r="2997" spans="6:19" ht="15" x14ac:dyDescent="0.25">
      <c r="F2997" s="39">
        <v>41239</v>
      </c>
      <c r="G2997" s="37">
        <v>3.25</v>
      </c>
      <c r="O2997"/>
      <c r="P2997"/>
      <c r="R2997" s="39">
        <v>41229</v>
      </c>
      <c r="S2997" s="37">
        <v>0.4153</v>
      </c>
    </row>
    <row r="2998" spans="6:19" ht="15" x14ac:dyDescent="0.25">
      <c r="F2998" s="39">
        <v>41236</v>
      </c>
      <c r="G2998" s="37">
        <v>3.25</v>
      </c>
      <c r="O2998"/>
      <c r="P2998"/>
      <c r="R2998" s="39">
        <v>41228</v>
      </c>
      <c r="S2998" s="37">
        <v>0.4037</v>
      </c>
    </row>
    <row r="2999" spans="6:19" ht="15" x14ac:dyDescent="0.25">
      <c r="F2999" s="39">
        <v>41235</v>
      </c>
      <c r="G2999" s="37">
        <v>3.25</v>
      </c>
      <c r="O2999"/>
      <c r="P2999"/>
      <c r="R2999" s="39">
        <v>41227</v>
      </c>
      <c r="S2999" s="37">
        <v>0.40310000000000001</v>
      </c>
    </row>
    <row r="3000" spans="6:19" ht="15" x14ac:dyDescent="0.25">
      <c r="F3000" s="39">
        <v>41234</v>
      </c>
      <c r="G3000" s="37">
        <v>3.25</v>
      </c>
      <c r="O3000"/>
      <c r="P3000"/>
      <c r="R3000" s="39">
        <v>41226</v>
      </c>
      <c r="S3000" s="37">
        <v>0.40550000000000003</v>
      </c>
    </row>
    <row r="3001" spans="6:19" ht="15" x14ac:dyDescent="0.25">
      <c r="F3001" s="39">
        <v>41233</v>
      </c>
      <c r="G3001" s="37">
        <v>3.25</v>
      </c>
      <c r="O3001"/>
      <c r="P3001"/>
      <c r="R3001" s="39">
        <v>41225</v>
      </c>
      <c r="S3001" s="37">
        <v>0.42349999999999999</v>
      </c>
    </row>
    <row r="3002" spans="6:19" ht="15" x14ac:dyDescent="0.25">
      <c r="F3002" s="39">
        <v>41232</v>
      </c>
      <c r="G3002" s="37">
        <v>3.25</v>
      </c>
      <c r="O3002"/>
      <c r="P3002"/>
      <c r="R3002" s="39">
        <v>41222</v>
      </c>
      <c r="S3002" s="37">
        <v>0.44140000000000001</v>
      </c>
    </row>
    <row r="3003" spans="6:19" ht="15" x14ac:dyDescent="0.25">
      <c r="F3003" s="39">
        <v>41229</v>
      </c>
      <c r="G3003" s="37">
        <v>3.25</v>
      </c>
      <c r="O3003"/>
      <c r="P3003"/>
      <c r="R3003" s="39">
        <v>41221</v>
      </c>
      <c r="S3003" s="37">
        <v>0.436</v>
      </c>
    </row>
    <row r="3004" spans="6:19" ht="15" x14ac:dyDescent="0.25">
      <c r="F3004" s="39">
        <v>41228</v>
      </c>
      <c r="G3004" s="37">
        <v>3.25</v>
      </c>
      <c r="O3004"/>
      <c r="P3004"/>
      <c r="R3004" s="39">
        <v>41220</v>
      </c>
      <c r="S3004" s="37">
        <v>0.43790000000000001</v>
      </c>
    </row>
    <row r="3005" spans="6:19" ht="15" x14ac:dyDescent="0.25">
      <c r="F3005" s="39">
        <v>41227</v>
      </c>
      <c r="G3005" s="37">
        <v>3.25</v>
      </c>
      <c r="O3005"/>
      <c r="P3005"/>
      <c r="R3005" s="39">
        <v>41219</v>
      </c>
      <c r="S3005" s="37">
        <v>0.43540000000000001</v>
      </c>
    </row>
    <row r="3006" spans="6:19" ht="15" x14ac:dyDescent="0.25">
      <c r="F3006" s="39">
        <v>41226</v>
      </c>
      <c r="G3006" s="37">
        <v>3.25</v>
      </c>
      <c r="O3006"/>
      <c r="P3006"/>
      <c r="R3006" s="39">
        <v>41218</v>
      </c>
      <c r="S3006" s="37">
        <v>0.43590000000000001</v>
      </c>
    </row>
    <row r="3007" spans="6:19" ht="15" x14ac:dyDescent="0.25">
      <c r="F3007" s="39">
        <v>41225</v>
      </c>
      <c r="G3007" s="37">
        <v>3.25</v>
      </c>
      <c r="O3007"/>
      <c r="P3007"/>
      <c r="R3007" s="39">
        <v>41215</v>
      </c>
      <c r="S3007" s="37">
        <v>0.43440000000000001</v>
      </c>
    </row>
    <row r="3008" spans="6:19" ht="15" x14ac:dyDescent="0.25">
      <c r="F3008" s="39">
        <v>41222</v>
      </c>
      <c r="G3008" s="37">
        <v>3.25</v>
      </c>
      <c r="O3008"/>
      <c r="P3008"/>
      <c r="R3008" s="39">
        <v>41214</v>
      </c>
      <c r="S3008" s="37">
        <v>0.43209999999999998</v>
      </c>
    </row>
    <row r="3009" spans="6:19" ht="15" x14ac:dyDescent="0.25">
      <c r="F3009" s="39">
        <v>41221</v>
      </c>
      <c r="G3009" s="37">
        <v>3.25</v>
      </c>
      <c r="O3009"/>
      <c r="P3009"/>
      <c r="R3009" s="39">
        <v>41213</v>
      </c>
      <c r="S3009" s="37">
        <v>0.4088</v>
      </c>
    </row>
    <row r="3010" spans="6:19" ht="15" x14ac:dyDescent="0.25">
      <c r="F3010" s="39">
        <v>41220</v>
      </c>
      <c r="G3010" s="37">
        <v>3.25</v>
      </c>
      <c r="O3010"/>
      <c r="P3010"/>
      <c r="R3010" s="39">
        <v>41212</v>
      </c>
      <c r="S3010" s="37">
        <v>0.43490000000000001</v>
      </c>
    </row>
    <row r="3011" spans="6:19" ht="15" x14ac:dyDescent="0.25">
      <c r="F3011" s="39">
        <v>41219</v>
      </c>
      <c r="G3011" s="37">
        <v>3.25</v>
      </c>
      <c r="O3011"/>
      <c r="P3011"/>
      <c r="R3011" s="39">
        <v>41211</v>
      </c>
      <c r="S3011" s="37">
        <v>0.43149999999999999</v>
      </c>
    </row>
    <row r="3012" spans="6:19" ht="15" x14ac:dyDescent="0.25">
      <c r="F3012" s="39">
        <v>41218</v>
      </c>
      <c r="G3012" s="37">
        <v>3.25</v>
      </c>
      <c r="O3012"/>
      <c r="P3012"/>
      <c r="R3012" s="39">
        <v>41208</v>
      </c>
      <c r="S3012" s="37">
        <v>0.43469999999999998</v>
      </c>
    </row>
    <row r="3013" spans="6:19" ht="15" x14ac:dyDescent="0.25">
      <c r="F3013" s="39">
        <v>41215</v>
      </c>
      <c r="G3013" s="37">
        <v>3.25</v>
      </c>
      <c r="O3013"/>
      <c r="P3013"/>
      <c r="R3013" s="39">
        <v>41207</v>
      </c>
      <c r="S3013" s="37">
        <v>0.43319999999999997</v>
      </c>
    </row>
    <row r="3014" spans="6:19" ht="15" x14ac:dyDescent="0.25">
      <c r="F3014" s="39">
        <v>41214</v>
      </c>
      <c r="G3014" s="37">
        <v>3.25</v>
      </c>
      <c r="O3014"/>
      <c r="P3014"/>
      <c r="R3014" s="39">
        <v>41206</v>
      </c>
      <c r="S3014" s="37">
        <v>0.43240000000000001</v>
      </c>
    </row>
    <row r="3015" spans="6:19" ht="15" x14ac:dyDescent="0.25">
      <c r="F3015" s="39">
        <v>41213</v>
      </c>
      <c r="G3015" s="37">
        <v>3.25</v>
      </c>
      <c r="O3015"/>
      <c r="P3015"/>
      <c r="R3015" s="39">
        <v>41205</v>
      </c>
      <c r="S3015" s="37">
        <v>0.4365</v>
      </c>
    </row>
    <row r="3016" spans="6:19" ht="15" x14ac:dyDescent="0.25">
      <c r="F3016" s="39">
        <v>41212</v>
      </c>
      <c r="G3016" s="37">
        <v>3.25</v>
      </c>
      <c r="O3016"/>
      <c r="P3016"/>
      <c r="R3016" s="39">
        <v>41204</v>
      </c>
      <c r="S3016" s="37">
        <v>0.43880000000000002</v>
      </c>
    </row>
    <row r="3017" spans="6:19" ht="15" x14ac:dyDescent="0.25">
      <c r="F3017" s="39">
        <v>41211</v>
      </c>
      <c r="G3017" s="37">
        <v>3.25</v>
      </c>
      <c r="O3017"/>
      <c r="P3017"/>
      <c r="R3017" s="39">
        <v>41201</v>
      </c>
      <c r="S3017" s="37">
        <v>0.439</v>
      </c>
    </row>
    <row r="3018" spans="6:19" ht="15" x14ac:dyDescent="0.25">
      <c r="F3018" s="39">
        <v>41208</v>
      </c>
      <c r="G3018" s="37">
        <v>3.25</v>
      </c>
      <c r="O3018"/>
      <c r="P3018"/>
      <c r="R3018" s="39">
        <v>41200</v>
      </c>
      <c r="S3018" s="37">
        <v>0.43580000000000002</v>
      </c>
    </row>
    <row r="3019" spans="6:19" ht="15" x14ac:dyDescent="0.25">
      <c r="F3019" s="39">
        <v>41207</v>
      </c>
      <c r="G3019" s="37">
        <v>3.25</v>
      </c>
      <c r="O3019"/>
      <c r="P3019"/>
      <c r="R3019" s="39">
        <v>41199</v>
      </c>
      <c r="S3019" s="37">
        <v>0.43509999999999999</v>
      </c>
    </row>
    <row r="3020" spans="6:19" ht="15" x14ac:dyDescent="0.25">
      <c r="F3020" s="39">
        <v>41206</v>
      </c>
      <c r="G3020" s="37">
        <v>3.25</v>
      </c>
      <c r="O3020"/>
      <c r="P3020"/>
      <c r="R3020" s="39">
        <v>41198</v>
      </c>
      <c r="S3020" s="37">
        <v>0.43309999999999998</v>
      </c>
    </row>
    <row r="3021" spans="6:19" ht="15" x14ac:dyDescent="0.25">
      <c r="F3021" s="39">
        <v>41205</v>
      </c>
      <c r="G3021" s="37">
        <v>3.25</v>
      </c>
      <c r="O3021"/>
      <c r="P3021"/>
      <c r="R3021" s="39">
        <v>41197</v>
      </c>
      <c r="S3021" s="37">
        <v>0.42949999999999999</v>
      </c>
    </row>
    <row r="3022" spans="6:19" ht="15" x14ac:dyDescent="0.25">
      <c r="F3022" s="39">
        <v>41204</v>
      </c>
      <c r="G3022" s="37">
        <v>3.25</v>
      </c>
      <c r="O3022"/>
      <c r="P3022"/>
      <c r="R3022" s="39">
        <v>41194</v>
      </c>
      <c r="S3022" s="37">
        <v>0.43630000000000002</v>
      </c>
    </row>
    <row r="3023" spans="6:19" ht="15" x14ac:dyDescent="0.25">
      <c r="F3023" s="39">
        <v>41201</v>
      </c>
      <c r="G3023" s="37">
        <v>3.25</v>
      </c>
      <c r="O3023"/>
      <c r="P3023"/>
      <c r="R3023" s="39">
        <v>41193</v>
      </c>
      <c r="S3023" s="37">
        <v>0.43609999999999999</v>
      </c>
    </row>
    <row r="3024" spans="6:19" ht="15" x14ac:dyDescent="0.25">
      <c r="F3024" s="39">
        <v>41200</v>
      </c>
      <c r="G3024" s="37">
        <v>3.25</v>
      </c>
      <c r="O3024"/>
      <c r="P3024"/>
      <c r="R3024" s="39">
        <v>41192</v>
      </c>
      <c r="S3024" s="37">
        <v>0.43340000000000001</v>
      </c>
    </row>
    <row r="3025" spans="6:19" ht="15" x14ac:dyDescent="0.25">
      <c r="F3025" s="39">
        <v>41199</v>
      </c>
      <c r="G3025" s="37">
        <v>3.25</v>
      </c>
      <c r="O3025"/>
      <c r="P3025"/>
      <c r="R3025" s="39">
        <v>41191</v>
      </c>
      <c r="S3025" s="37">
        <v>0.43530000000000002</v>
      </c>
    </row>
    <row r="3026" spans="6:19" ht="15" x14ac:dyDescent="0.25">
      <c r="F3026" s="39">
        <v>41198</v>
      </c>
      <c r="G3026" s="37">
        <v>3.25</v>
      </c>
      <c r="O3026"/>
      <c r="P3026"/>
      <c r="R3026" s="39">
        <v>41190</v>
      </c>
      <c r="S3026" s="37">
        <v>0.43780000000000002</v>
      </c>
    </row>
    <row r="3027" spans="6:19" ht="15" x14ac:dyDescent="0.25">
      <c r="F3027" s="39">
        <v>41197</v>
      </c>
      <c r="G3027" s="37">
        <v>3.25</v>
      </c>
      <c r="O3027"/>
      <c r="P3027"/>
      <c r="R3027" s="39">
        <v>41187</v>
      </c>
      <c r="S3027" s="37">
        <v>0.43790000000000001</v>
      </c>
    </row>
    <row r="3028" spans="6:19" ht="15" x14ac:dyDescent="0.25">
      <c r="F3028" s="39">
        <v>41194</v>
      </c>
      <c r="G3028" s="37">
        <v>3.25</v>
      </c>
      <c r="O3028"/>
      <c r="P3028"/>
      <c r="R3028" s="39">
        <v>41186</v>
      </c>
      <c r="S3028" s="37">
        <v>0.43480000000000002</v>
      </c>
    </row>
    <row r="3029" spans="6:19" ht="15" x14ac:dyDescent="0.25">
      <c r="F3029" s="39">
        <v>41193</v>
      </c>
      <c r="G3029" s="37">
        <v>3.25</v>
      </c>
      <c r="O3029"/>
      <c r="P3029"/>
      <c r="R3029" s="39">
        <v>41185</v>
      </c>
      <c r="S3029" s="37">
        <v>0.43120000000000003</v>
      </c>
    </row>
    <row r="3030" spans="6:19" ht="15" x14ac:dyDescent="0.25">
      <c r="F3030" s="39">
        <v>41192</v>
      </c>
      <c r="G3030" s="37">
        <v>3.25</v>
      </c>
      <c r="O3030"/>
      <c r="P3030"/>
      <c r="R3030" s="39">
        <v>41184</v>
      </c>
      <c r="S3030" s="37">
        <v>0.4325</v>
      </c>
    </row>
    <row r="3031" spans="6:19" ht="15" x14ac:dyDescent="0.25">
      <c r="F3031" s="39">
        <v>41191</v>
      </c>
      <c r="G3031" s="37">
        <v>3.25</v>
      </c>
      <c r="O3031"/>
      <c r="P3031"/>
      <c r="R3031" s="39">
        <v>41183</v>
      </c>
      <c r="S3031" s="37">
        <v>0.42930000000000001</v>
      </c>
    </row>
    <row r="3032" spans="6:19" ht="15" x14ac:dyDescent="0.25">
      <c r="F3032" s="39">
        <v>41190</v>
      </c>
      <c r="G3032" s="37">
        <v>3.25</v>
      </c>
      <c r="O3032"/>
      <c r="P3032"/>
      <c r="R3032" s="39">
        <v>41180</v>
      </c>
      <c r="S3032" s="37">
        <v>0.39379999999999998</v>
      </c>
    </row>
    <row r="3033" spans="6:19" ht="15" x14ac:dyDescent="0.25">
      <c r="F3033" s="39">
        <v>41187</v>
      </c>
      <c r="G3033" s="37">
        <v>3.25</v>
      </c>
      <c r="O3033"/>
      <c r="P3033"/>
      <c r="R3033" s="39">
        <v>41179</v>
      </c>
      <c r="S3033" s="37">
        <v>0.42730000000000001</v>
      </c>
    </row>
    <row r="3034" spans="6:19" ht="15" x14ac:dyDescent="0.25">
      <c r="F3034" s="39">
        <v>41186</v>
      </c>
      <c r="G3034" s="37">
        <v>3.25</v>
      </c>
      <c r="O3034"/>
      <c r="P3034"/>
      <c r="R3034" s="39">
        <v>41178</v>
      </c>
      <c r="S3034" s="37">
        <v>0.42630000000000001</v>
      </c>
    </row>
    <row r="3035" spans="6:19" ht="15" x14ac:dyDescent="0.25">
      <c r="F3035" s="39">
        <v>41185</v>
      </c>
      <c r="G3035" s="37">
        <v>3.25</v>
      </c>
      <c r="O3035"/>
      <c r="P3035"/>
      <c r="R3035" s="39">
        <v>41177</v>
      </c>
      <c r="S3035" s="37">
        <v>0.43109999999999998</v>
      </c>
    </row>
    <row r="3036" spans="6:19" ht="15" x14ac:dyDescent="0.25">
      <c r="F3036" s="39">
        <v>41184</v>
      </c>
      <c r="G3036" s="37">
        <v>3.5</v>
      </c>
      <c r="O3036"/>
      <c r="P3036"/>
      <c r="R3036" s="39">
        <v>41176</v>
      </c>
      <c r="S3036" s="37">
        <v>0.42909999999999998</v>
      </c>
    </row>
    <row r="3037" spans="6:19" ht="15" x14ac:dyDescent="0.25">
      <c r="F3037" s="39">
        <v>41183</v>
      </c>
      <c r="G3037" s="37">
        <v>3.5</v>
      </c>
      <c r="O3037"/>
      <c r="P3037"/>
      <c r="R3037" s="39">
        <v>41173</v>
      </c>
      <c r="S3037" s="37">
        <v>0.43130000000000002</v>
      </c>
    </row>
    <row r="3038" spans="6:19" ht="15" x14ac:dyDescent="0.25">
      <c r="F3038" s="39">
        <v>41180</v>
      </c>
      <c r="G3038" s="37">
        <v>3.5</v>
      </c>
      <c r="O3038"/>
      <c r="P3038"/>
      <c r="R3038" s="39">
        <v>41172</v>
      </c>
      <c r="S3038" s="37">
        <v>0.42930000000000001</v>
      </c>
    </row>
    <row r="3039" spans="6:19" ht="15" x14ac:dyDescent="0.25">
      <c r="F3039" s="39">
        <v>41179</v>
      </c>
      <c r="G3039" s="37">
        <v>3.5</v>
      </c>
      <c r="O3039"/>
      <c r="P3039"/>
      <c r="R3039" s="39">
        <v>41171</v>
      </c>
      <c r="S3039" s="37">
        <v>0.42109999999999997</v>
      </c>
    </row>
    <row r="3040" spans="6:19" ht="15" x14ac:dyDescent="0.25">
      <c r="F3040" s="39">
        <v>41178</v>
      </c>
      <c r="G3040" s="37">
        <v>3.5</v>
      </c>
      <c r="O3040"/>
      <c r="P3040"/>
      <c r="R3040" s="39">
        <v>41170</v>
      </c>
      <c r="S3040" s="37">
        <v>0.41839999999999999</v>
      </c>
    </row>
    <row r="3041" spans="6:19" ht="15" x14ac:dyDescent="0.25">
      <c r="F3041" s="39">
        <v>41177</v>
      </c>
      <c r="G3041" s="37">
        <v>3.5</v>
      </c>
      <c r="O3041"/>
      <c r="P3041"/>
      <c r="R3041" s="39">
        <v>41169</v>
      </c>
      <c r="S3041" s="37">
        <v>0.41499999999999998</v>
      </c>
    </row>
    <row r="3042" spans="6:19" ht="15" x14ac:dyDescent="0.25">
      <c r="F3042" s="39">
        <v>41176</v>
      </c>
      <c r="G3042" s="37">
        <v>3.5</v>
      </c>
      <c r="O3042"/>
      <c r="P3042"/>
      <c r="R3042" s="39">
        <v>41166</v>
      </c>
      <c r="S3042" s="37">
        <v>0.4194</v>
      </c>
    </row>
    <row r="3043" spans="6:19" ht="15" x14ac:dyDescent="0.25">
      <c r="F3043" s="39">
        <v>41173</v>
      </c>
      <c r="G3043" s="37">
        <v>3.5</v>
      </c>
      <c r="O3043"/>
      <c r="P3043"/>
      <c r="R3043" s="39">
        <v>41165</v>
      </c>
      <c r="S3043" s="37">
        <v>0.41930000000000001</v>
      </c>
    </row>
    <row r="3044" spans="6:19" ht="15" x14ac:dyDescent="0.25">
      <c r="F3044" s="39">
        <v>41172</v>
      </c>
      <c r="G3044" s="37">
        <v>3.5</v>
      </c>
      <c r="O3044"/>
      <c r="P3044"/>
      <c r="R3044" s="39">
        <v>41164</v>
      </c>
      <c r="S3044" s="37">
        <v>0.41959999999999997</v>
      </c>
    </row>
    <row r="3045" spans="6:19" ht="15" x14ac:dyDescent="0.25">
      <c r="F3045" s="39">
        <v>41171</v>
      </c>
      <c r="G3045" s="37">
        <v>3.5</v>
      </c>
      <c r="O3045"/>
      <c r="P3045"/>
      <c r="R3045" s="39">
        <v>41163</v>
      </c>
      <c r="S3045" s="37">
        <v>0.42270000000000002</v>
      </c>
    </row>
    <row r="3046" spans="6:19" ht="15" x14ac:dyDescent="0.25">
      <c r="F3046" s="39">
        <v>41170</v>
      </c>
      <c r="G3046" s="37">
        <v>3.5</v>
      </c>
      <c r="O3046"/>
      <c r="P3046"/>
      <c r="R3046" s="39">
        <v>41162</v>
      </c>
      <c r="S3046" s="37">
        <v>0.42559999999999998</v>
      </c>
    </row>
    <row r="3047" spans="6:19" ht="15" x14ac:dyDescent="0.25">
      <c r="F3047" s="39">
        <v>41169</v>
      </c>
      <c r="G3047" s="37">
        <v>3.5</v>
      </c>
      <c r="O3047"/>
      <c r="P3047"/>
      <c r="R3047" s="39">
        <v>41159</v>
      </c>
      <c r="S3047" s="37">
        <v>0.42299999999999999</v>
      </c>
    </row>
    <row r="3048" spans="6:19" ht="15" x14ac:dyDescent="0.25">
      <c r="F3048" s="39">
        <v>41166</v>
      </c>
      <c r="G3048" s="37">
        <v>3.5</v>
      </c>
      <c r="O3048"/>
      <c r="P3048"/>
      <c r="R3048" s="39">
        <v>41158</v>
      </c>
      <c r="S3048" s="37">
        <v>0.44319999999999998</v>
      </c>
    </row>
    <row r="3049" spans="6:19" ht="15" x14ac:dyDescent="0.25">
      <c r="F3049" s="39">
        <v>41165</v>
      </c>
      <c r="G3049" s="37">
        <v>3.5</v>
      </c>
      <c r="O3049"/>
      <c r="P3049"/>
      <c r="R3049" s="39">
        <v>41157</v>
      </c>
      <c r="S3049" s="37">
        <v>0.44650000000000001</v>
      </c>
    </row>
    <row r="3050" spans="6:19" ht="15" x14ac:dyDescent="0.25">
      <c r="F3050" s="39">
        <v>41164</v>
      </c>
      <c r="G3050" s="37">
        <v>3.5</v>
      </c>
      <c r="O3050"/>
      <c r="P3050"/>
      <c r="R3050" s="39">
        <v>41156</v>
      </c>
      <c r="S3050" s="37">
        <v>0.45129999999999998</v>
      </c>
    </row>
    <row r="3051" spans="6:19" ht="15" x14ac:dyDescent="0.25">
      <c r="F3051" s="39">
        <v>41163</v>
      </c>
      <c r="G3051" s="37">
        <v>3.5</v>
      </c>
      <c r="O3051"/>
      <c r="P3051"/>
      <c r="R3051" s="39">
        <v>41155</v>
      </c>
      <c r="S3051" s="37">
        <v>0.4481</v>
      </c>
    </row>
    <row r="3052" spans="6:19" ht="15" x14ac:dyDescent="0.25">
      <c r="F3052" s="39">
        <v>41162</v>
      </c>
      <c r="G3052" s="37">
        <v>3.5</v>
      </c>
      <c r="O3052"/>
      <c r="P3052"/>
      <c r="R3052" s="39">
        <v>41152</v>
      </c>
      <c r="S3052" s="37">
        <v>0.42980000000000002</v>
      </c>
    </row>
    <row r="3053" spans="6:19" ht="15" x14ac:dyDescent="0.25">
      <c r="F3053" s="39">
        <v>41159</v>
      </c>
      <c r="G3053" s="37">
        <v>3.5</v>
      </c>
      <c r="O3053"/>
      <c r="P3053"/>
      <c r="R3053" s="39">
        <v>41151</v>
      </c>
      <c r="S3053" s="37">
        <v>0.44600000000000001</v>
      </c>
    </row>
    <row r="3054" spans="6:19" ht="15" x14ac:dyDescent="0.25">
      <c r="F3054" s="39">
        <v>41158</v>
      </c>
      <c r="G3054" s="37">
        <v>3.5</v>
      </c>
      <c r="O3054"/>
      <c r="P3054"/>
      <c r="R3054" s="39">
        <v>41150</v>
      </c>
      <c r="S3054" s="37">
        <v>0.45750000000000002</v>
      </c>
    </row>
    <row r="3055" spans="6:19" ht="15" x14ac:dyDescent="0.25">
      <c r="F3055" s="39">
        <v>41157</v>
      </c>
      <c r="G3055" s="37">
        <v>3.5</v>
      </c>
      <c r="O3055"/>
      <c r="P3055"/>
      <c r="R3055" s="39">
        <v>41149</v>
      </c>
      <c r="S3055" s="37">
        <v>0.45850000000000002</v>
      </c>
    </row>
    <row r="3056" spans="6:19" ht="15" x14ac:dyDescent="0.25">
      <c r="F3056" s="39">
        <v>41156</v>
      </c>
      <c r="G3056" s="37">
        <v>3.5</v>
      </c>
      <c r="O3056"/>
      <c r="P3056"/>
      <c r="R3056" s="39">
        <v>41145</v>
      </c>
      <c r="S3056" s="37">
        <v>0.44629999999999997</v>
      </c>
    </row>
    <row r="3057" spans="6:19" ht="15" x14ac:dyDescent="0.25">
      <c r="F3057" s="39">
        <v>41155</v>
      </c>
      <c r="G3057" s="37">
        <v>3.5</v>
      </c>
      <c r="O3057"/>
      <c r="P3057"/>
      <c r="R3057" s="39">
        <v>41144</v>
      </c>
      <c r="S3057" s="37">
        <v>0.45129999999999998</v>
      </c>
    </row>
    <row r="3058" spans="6:19" ht="15" x14ac:dyDescent="0.25">
      <c r="F3058" s="39">
        <v>41152</v>
      </c>
      <c r="G3058" s="37">
        <v>3.5</v>
      </c>
      <c r="O3058"/>
      <c r="P3058"/>
      <c r="R3058" s="39">
        <v>41143</v>
      </c>
      <c r="S3058" s="37">
        <v>0.4572</v>
      </c>
    </row>
    <row r="3059" spans="6:19" ht="15" x14ac:dyDescent="0.25">
      <c r="F3059" s="39">
        <v>41151</v>
      </c>
      <c r="G3059" s="37">
        <v>3.5</v>
      </c>
      <c r="O3059"/>
      <c r="P3059"/>
      <c r="R3059" s="39">
        <v>41142</v>
      </c>
      <c r="S3059" s="37">
        <v>0.4536</v>
      </c>
    </row>
    <row r="3060" spans="6:19" ht="15" x14ac:dyDescent="0.25">
      <c r="F3060" s="39">
        <v>41150</v>
      </c>
      <c r="G3060" s="37">
        <v>3.5</v>
      </c>
      <c r="O3060"/>
      <c r="P3060"/>
      <c r="R3060" s="39">
        <v>41141</v>
      </c>
      <c r="S3060" s="37">
        <v>0.44500000000000001</v>
      </c>
    </row>
    <row r="3061" spans="6:19" ht="15" x14ac:dyDescent="0.25">
      <c r="F3061" s="39">
        <v>41149</v>
      </c>
      <c r="G3061" s="37">
        <v>3.5</v>
      </c>
      <c r="O3061"/>
      <c r="P3061"/>
      <c r="R3061" s="39">
        <v>41138</v>
      </c>
      <c r="S3061" s="37">
        <v>0.44080000000000003</v>
      </c>
    </row>
    <row r="3062" spans="6:19" ht="15" x14ac:dyDescent="0.25">
      <c r="F3062" s="39">
        <v>41148</v>
      </c>
      <c r="G3062" s="37">
        <v>3.5</v>
      </c>
      <c r="O3062"/>
      <c r="P3062"/>
      <c r="R3062" s="39">
        <v>41137</v>
      </c>
      <c r="S3062" s="37">
        <v>0.45619999999999999</v>
      </c>
    </row>
    <row r="3063" spans="6:19" ht="15" x14ac:dyDescent="0.25">
      <c r="F3063" s="39">
        <v>41145</v>
      </c>
      <c r="G3063" s="37">
        <v>3.5</v>
      </c>
      <c r="O3063"/>
      <c r="P3063"/>
      <c r="R3063" s="39">
        <v>41136</v>
      </c>
      <c r="S3063" s="37">
        <v>0.45839999999999997</v>
      </c>
    </row>
    <row r="3064" spans="6:19" ht="15" x14ac:dyDescent="0.25">
      <c r="F3064" s="39">
        <v>41144</v>
      </c>
      <c r="G3064" s="37">
        <v>3.5</v>
      </c>
      <c r="O3064"/>
      <c r="P3064"/>
      <c r="R3064" s="39">
        <v>41135</v>
      </c>
      <c r="S3064" s="37">
        <v>0.4446</v>
      </c>
    </row>
    <row r="3065" spans="6:19" ht="15" x14ac:dyDescent="0.25">
      <c r="F3065" s="39">
        <v>41143</v>
      </c>
      <c r="G3065" s="37">
        <v>3.5</v>
      </c>
      <c r="O3065"/>
      <c r="P3065"/>
      <c r="R3065" s="39">
        <v>41134</v>
      </c>
      <c r="S3065" s="37">
        <v>0.4526</v>
      </c>
    </row>
    <row r="3066" spans="6:19" ht="15" x14ac:dyDescent="0.25">
      <c r="F3066" s="39">
        <v>41142</v>
      </c>
      <c r="G3066" s="37">
        <v>3.5</v>
      </c>
      <c r="O3066"/>
      <c r="P3066"/>
      <c r="R3066" s="39">
        <v>41131</v>
      </c>
      <c r="S3066" s="37">
        <v>0.44219999999999998</v>
      </c>
    </row>
    <row r="3067" spans="6:19" ht="15" x14ac:dyDescent="0.25">
      <c r="F3067" s="39">
        <v>41141</v>
      </c>
      <c r="G3067" s="37">
        <v>3.5</v>
      </c>
      <c r="O3067"/>
      <c r="P3067"/>
      <c r="R3067" s="39">
        <v>41130</v>
      </c>
      <c r="S3067" s="37">
        <v>0.45</v>
      </c>
    </row>
    <row r="3068" spans="6:19" ht="15" x14ac:dyDescent="0.25">
      <c r="F3068" s="39">
        <v>41138</v>
      </c>
      <c r="G3068" s="37">
        <v>3.5</v>
      </c>
      <c r="O3068"/>
      <c r="P3068"/>
      <c r="R3068" s="39">
        <v>41129</v>
      </c>
      <c r="S3068" s="37">
        <v>0.44890000000000002</v>
      </c>
    </row>
    <row r="3069" spans="6:19" ht="15" x14ac:dyDescent="0.25">
      <c r="F3069" s="39">
        <v>41137</v>
      </c>
      <c r="G3069" s="37">
        <v>3.5</v>
      </c>
      <c r="O3069"/>
      <c r="P3069"/>
      <c r="R3069" s="39">
        <v>41128</v>
      </c>
      <c r="S3069" s="37">
        <v>0.45619999999999999</v>
      </c>
    </row>
    <row r="3070" spans="6:19" ht="15" x14ac:dyDescent="0.25">
      <c r="F3070" s="39">
        <v>41136</v>
      </c>
      <c r="G3070" s="37">
        <v>3.5</v>
      </c>
      <c r="O3070"/>
      <c r="P3070"/>
      <c r="R3070" s="39">
        <v>41127</v>
      </c>
      <c r="S3070" s="37">
        <v>0.44700000000000001</v>
      </c>
    </row>
    <row r="3071" spans="6:19" ht="15" x14ac:dyDescent="0.25">
      <c r="F3071" s="39">
        <v>41135</v>
      </c>
      <c r="G3071" s="37">
        <v>3.5</v>
      </c>
      <c r="O3071"/>
      <c r="P3071"/>
      <c r="R3071" s="39">
        <v>41124</v>
      </c>
      <c r="S3071" s="37">
        <v>0.45660000000000001</v>
      </c>
    </row>
    <row r="3072" spans="6:19" ht="15" x14ac:dyDescent="0.25">
      <c r="F3072" s="39">
        <v>41134</v>
      </c>
      <c r="G3072" s="37">
        <v>3.5</v>
      </c>
      <c r="O3072"/>
      <c r="P3072"/>
      <c r="R3072" s="39">
        <v>41123</v>
      </c>
      <c r="S3072" s="37">
        <v>0.44340000000000002</v>
      </c>
    </row>
    <row r="3073" spans="6:19" ht="15" x14ac:dyDescent="0.25">
      <c r="F3073" s="39">
        <v>41131</v>
      </c>
      <c r="G3073" s="37">
        <v>3.5</v>
      </c>
      <c r="O3073"/>
      <c r="P3073"/>
      <c r="R3073" s="39">
        <v>41122</v>
      </c>
      <c r="S3073" s="37">
        <v>0.45889999999999997</v>
      </c>
    </row>
    <row r="3074" spans="6:19" ht="15" x14ac:dyDescent="0.25">
      <c r="F3074" s="39">
        <v>41130</v>
      </c>
      <c r="G3074" s="37">
        <v>3.5</v>
      </c>
      <c r="O3074"/>
      <c r="P3074"/>
      <c r="R3074" s="39">
        <v>41121</v>
      </c>
      <c r="S3074" s="37">
        <v>0.45529999999999998</v>
      </c>
    </row>
    <row r="3075" spans="6:19" ht="15" x14ac:dyDescent="0.25">
      <c r="F3075" s="39">
        <v>41129</v>
      </c>
      <c r="G3075" s="37">
        <v>3.5</v>
      </c>
      <c r="O3075"/>
      <c r="P3075"/>
      <c r="R3075" s="39">
        <v>41120</v>
      </c>
      <c r="S3075" s="37">
        <v>0.45789999999999997</v>
      </c>
    </row>
    <row r="3076" spans="6:19" ht="15" x14ac:dyDescent="0.25">
      <c r="F3076" s="39">
        <v>41128</v>
      </c>
      <c r="G3076" s="37">
        <v>3.5</v>
      </c>
      <c r="O3076"/>
      <c r="P3076"/>
      <c r="R3076" s="39">
        <v>41117</v>
      </c>
      <c r="S3076" s="37">
        <v>0.46289999999999998</v>
      </c>
    </row>
    <row r="3077" spans="6:19" ht="15" x14ac:dyDescent="0.25">
      <c r="F3077" s="39">
        <v>41127</v>
      </c>
      <c r="G3077" s="37">
        <v>3.5</v>
      </c>
      <c r="O3077"/>
      <c r="P3077"/>
      <c r="R3077" s="39">
        <v>41116</v>
      </c>
      <c r="S3077" s="37">
        <v>0.45479999999999998</v>
      </c>
    </row>
    <row r="3078" spans="6:19" ht="15" x14ac:dyDescent="0.25">
      <c r="F3078" s="39">
        <v>41124</v>
      </c>
      <c r="G3078" s="37">
        <v>3.5</v>
      </c>
      <c r="O3078"/>
      <c r="P3078"/>
      <c r="R3078" s="39">
        <v>41115</v>
      </c>
      <c r="S3078" s="37">
        <v>0.45910000000000001</v>
      </c>
    </row>
    <row r="3079" spans="6:19" ht="15" x14ac:dyDescent="0.25">
      <c r="F3079" s="39">
        <v>41123</v>
      </c>
      <c r="G3079" s="37">
        <v>3.5</v>
      </c>
      <c r="O3079"/>
      <c r="P3079"/>
      <c r="R3079" s="39">
        <v>41114</v>
      </c>
      <c r="S3079" s="37">
        <v>0.45829999999999999</v>
      </c>
    </row>
    <row r="3080" spans="6:19" ht="15" x14ac:dyDescent="0.25">
      <c r="F3080" s="39">
        <v>41122</v>
      </c>
      <c r="G3080" s="37">
        <v>3.5</v>
      </c>
      <c r="O3080"/>
      <c r="P3080"/>
      <c r="R3080" s="39">
        <v>41113</v>
      </c>
      <c r="S3080" s="37">
        <v>0.46179999999999999</v>
      </c>
    </row>
    <row r="3081" spans="6:19" ht="15" x14ac:dyDescent="0.25">
      <c r="F3081" s="39">
        <v>41121</v>
      </c>
      <c r="G3081" s="37">
        <v>3.5</v>
      </c>
      <c r="O3081"/>
      <c r="P3081"/>
      <c r="R3081" s="39">
        <v>41110</v>
      </c>
      <c r="S3081" s="37">
        <v>0.46410000000000001</v>
      </c>
    </row>
    <row r="3082" spans="6:19" ht="15" x14ac:dyDescent="0.25">
      <c r="F3082" s="39">
        <v>41120</v>
      </c>
      <c r="G3082" s="37">
        <v>3.5</v>
      </c>
      <c r="O3082"/>
      <c r="P3082"/>
      <c r="R3082" s="39">
        <v>41109</v>
      </c>
      <c r="S3082" s="37">
        <v>0.4607</v>
      </c>
    </row>
    <row r="3083" spans="6:19" ht="15" x14ac:dyDescent="0.25">
      <c r="F3083" s="39">
        <v>41117</v>
      </c>
      <c r="G3083" s="37">
        <v>3.5</v>
      </c>
      <c r="O3083"/>
      <c r="P3083"/>
      <c r="R3083" s="39">
        <v>41108</v>
      </c>
      <c r="S3083" s="37">
        <v>0.46200000000000002</v>
      </c>
    </row>
    <row r="3084" spans="6:19" ht="15" x14ac:dyDescent="0.25">
      <c r="F3084" s="39">
        <v>41116</v>
      </c>
      <c r="G3084" s="37">
        <v>3.5</v>
      </c>
      <c r="O3084"/>
      <c r="P3084"/>
      <c r="R3084" s="39">
        <v>41107</v>
      </c>
      <c r="S3084" s="37">
        <v>0.46339999999999998</v>
      </c>
    </row>
    <row r="3085" spans="6:19" ht="15" x14ac:dyDescent="0.25">
      <c r="F3085" s="39">
        <v>41115</v>
      </c>
      <c r="G3085" s="37">
        <v>3.5</v>
      </c>
      <c r="O3085"/>
      <c r="P3085"/>
      <c r="R3085" s="39">
        <v>41106</v>
      </c>
      <c r="S3085" s="37">
        <v>0.46050000000000002</v>
      </c>
    </row>
    <row r="3086" spans="6:19" ht="15" x14ac:dyDescent="0.25">
      <c r="F3086" s="39">
        <v>41114</v>
      </c>
      <c r="G3086" s="37">
        <v>3.5</v>
      </c>
      <c r="O3086"/>
      <c r="P3086"/>
      <c r="R3086" s="39">
        <v>41103</v>
      </c>
      <c r="S3086" s="37">
        <v>0.46610000000000001</v>
      </c>
    </row>
    <row r="3087" spans="6:19" ht="15" x14ac:dyDescent="0.25">
      <c r="F3087" s="39">
        <v>41113</v>
      </c>
      <c r="G3087" s="37">
        <v>3.5</v>
      </c>
      <c r="O3087"/>
      <c r="P3087"/>
      <c r="R3087" s="39">
        <v>41102</v>
      </c>
      <c r="S3087" s="37">
        <v>0.46400000000000002</v>
      </c>
    </row>
    <row r="3088" spans="6:19" ht="15" x14ac:dyDescent="0.25">
      <c r="F3088" s="39">
        <v>41110</v>
      </c>
      <c r="G3088" s="37">
        <v>3.5</v>
      </c>
      <c r="O3088"/>
      <c r="P3088"/>
      <c r="R3088" s="39">
        <v>41101</v>
      </c>
      <c r="S3088" s="37">
        <v>0.4713</v>
      </c>
    </row>
    <row r="3089" spans="6:19" ht="15" x14ac:dyDescent="0.25">
      <c r="F3089" s="39">
        <v>41109</v>
      </c>
      <c r="G3089" s="37">
        <v>3.5</v>
      </c>
      <c r="O3089"/>
      <c r="P3089"/>
      <c r="R3089" s="39">
        <v>41100</v>
      </c>
      <c r="S3089" s="37">
        <v>0.46760000000000002</v>
      </c>
    </row>
    <row r="3090" spans="6:19" ht="15" x14ac:dyDescent="0.25">
      <c r="F3090" s="39">
        <v>41108</v>
      </c>
      <c r="G3090" s="37">
        <v>3.5</v>
      </c>
      <c r="O3090"/>
      <c r="P3090"/>
      <c r="R3090" s="39">
        <v>41099</v>
      </c>
      <c r="S3090" s="37">
        <v>0.46850000000000003</v>
      </c>
    </row>
    <row r="3091" spans="6:19" ht="15" x14ac:dyDescent="0.25">
      <c r="F3091" s="39">
        <v>41107</v>
      </c>
      <c r="G3091" s="37">
        <v>3.5</v>
      </c>
      <c r="O3091"/>
      <c r="P3091"/>
      <c r="R3091" s="39">
        <v>41096</v>
      </c>
      <c r="S3091" s="37">
        <v>0.46779999999999999</v>
      </c>
    </row>
    <row r="3092" spans="6:19" ht="15" x14ac:dyDescent="0.25">
      <c r="F3092" s="39">
        <v>41106</v>
      </c>
      <c r="G3092" s="37">
        <v>3.5</v>
      </c>
      <c r="O3092"/>
      <c r="P3092"/>
      <c r="R3092" s="39">
        <v>41095</v>
      </c>
      <c r="S3092" s="37">
        <v>0.4713</v>
      </c>
    </row>
    <row r="3093" spans="6:19" ht="15" x14ac:dyDescent="0.25">
      <c r="F3093" s="39">
        <v>41103</v>
      </c>
      <c r="G3093" s="37">
        <v>3.5</v>
      </c>
      <c r="O3093"/>
      <c r="P3093"/>
      <c r="R3093" s="39">
        <v>41094</v>
      </c>
      <c r="S3093" s="37">
        <v>0.4723</v>
      </c>
    </row>
    <row r="3094" spans="6:19" ht="15" x14ac:dyDescent="0.25">
      <c r="F3094" s="39">
        <v>41102</v>
      </c>
      <c r="G3094" s="37">
        <v>3.5</v>
      </c>
      <c r="O3094"/>
      <c r="P3094"/>
      <c r="R3094" s="39">
        <v>41093</v>
      </c>
      <c r="S3094" s="37">
        <v>0.4763</v>
      </c>
    </row>
    <row r="3095" spans="6:19" ht="15" x14ac:dyDescent="0.25">
      <c r="F3095" s="39">
        <v>41101</v>
      </c>
      <c r="G3095" s="37">
        <v>3.5</v>
      </c>
      <c r="O3095"/>
      <c r="P3095"/>
      <c r="R3095" s="39">
        <v>41092</v>
      </c>
      <c r="S3095" s="37">
        <v>0.47420000000000001</v>
      </c>
    </row>
    <row r="3096" spans="6:19" ht="15" x14ac:dyDescent="0.25">
      <c r="F3096" s="39">
        <v>41100</v>
      </c>
      <c r="G3096" s="37">
        <v>3.5</v>
      </c>
      <c r="O3096"/>
      <c r="P3096"/>
      <c r="R3096" s="39">
        <v>41089</v>
      </c>
      <c r="S3096" s="37">
        <v>0.45860000000000001</v>
      </c>
    </row>
    <row r="3097" spans="6:19" ht="15" x14ac:dyDescent="0.25">
      <c r="F3097" s="39">
        <v>41099</v>
      </c>
      <c r="G3097" s="37">
        <v>3.5</v>
      </c>
      <c r="O3097"/>
      <c r="P3097"/>
      <c r="R3097" s="39">
        <v>41088</v>
      </c>
      <c r="S3097" s="37">
        <v>0.47489999999999999</v>
      </c>
    </row>
    <row r="3098" spans="6:19" ht="15" x14ac:dyDescent="0.25">
      <c r="F3098" s="39">
        <v>41096</v>
      </c>
      <c r="G3098" s="37">
        <v>3.5</v>
      </c>
      <c r="O3098"/>
      <c r="P3098"/>
      <c r="R3098" s="39">
        <v>41087</v>
      </c>
      <c r="S3098" s="37">
        <v>0.48799999999999999</v>
      </c>
    </row>
    <row r="3099" spans="6:19" ht="15" x14ac:dyDescent="0.25">
      <c r="F3099" s="39">
        <v>41095</v>
      </c>
      <c r="G3099" s="37">
        <v>3.5</v>
      </c>
      <c r="O3099"/>
      <c r="P3099"/>
      <c r="R3099" s="39">
        <v>41086</v>
      </c>
      <c r="S3099" s="37">
        <v>0.48420000000000002</v>
      </c>
    </row>
    <row r="3100" spans="6:19" ht="15" x14ac:dyDescent="0.25">
      <c r="F3100" s="39">
        <v>41094</v>
      </c>
      <c r="G3100" s="37">
        <v>3.5</v>
      </c>
      <c r="O3100"/>
      <c r="P3100"/>
      <c r="R3100" s="39">
        <v>41085</v>
      </c>
      <c r="S3100" s="37">
        <v>0.4869</v>
      </c>
    </row>
    <row r="3101" spans="6:19" ht="15" x14ac:dyDescent="0.25">
      <c r="F3101" s="39">
        <v>41093</v>
      </c>
      <c r="G3101" s="37">
        <v>3.5</v>
      </c>
      <c r="O3101"/>
      <c r="P3101"/>
      <c r="R3101" s="39">
        <v>41082</v>
      </c>
      <c r="S3101" s="37">
        <v>0.48180000000000001</v>
      </c>
    </row>
    <row r="3102" spans="6:19" ht="15" x14ac:dyDescent="0.25">
      <c r="F3102" s="39">
        <v>41092</v>
      </c>
      <c r="G3102" s="37">
        <v>3.5</v>
      </c>
      <c r="O3102"/>
      <c r="P3102"/>
      <c r="R3102" s="39">
        <v>41081</v>
      </c>
      <c r="S3102" s="37">
        <v>0.49409999999999998</v>
      </c>
    </row>
    <row r="3103" spans="6:19" ht="15" x14ac:dyDescent="0.25">
      <c r="F3103" s="39">
        <v>41089</v>
      </c>
      <c r="G3103" s="37">
        <v>3.5</v>
      </c>
      <c r="O3103"/>
      <c r="P3103"/>
      <c r="R3103" s="39">
        <v>41080</v>
      </c>
      <c r="S3103" s="37">
        <v>0.49330000000000002</v>
      </c>
    </row>
    <row r="3104" spans="6:19" ht="15" x14ac:dyDescent="0.25">
      <c r="F3104" s="39">
        <v>41088</v>
      </c>
      <c r="G3104" s="37">
        <v>3.5</v>
      </c>
      <c r="O3104"/>
      <c r="P3104"/>
      <c r="R3104" s="39">
        <v>41079</v>
      </c>
      <c r="S3104" s="37">
        <v>0.48909999999999998</v>
      </c>
    </row>
    <row r="3105" spans="6:19" ht="15" x14ac:dyDescent="0.25">
      <c r="F3105" s="39">
        <v>41087</v>
      </c>
      <c r="G3105" s="37">
        <v>3.5</v>
      </c>
      <c r="O3105"/>
      <c r="P3105"/>
      <c r="R3105" s="39">
        <v>41078</v>
      </c>
      <c r="S3105" s="37">
        <v>0.49409999999999998</v>
      </c>
    </row>
    <row r="3106" spans="6:19" ht="15" x14ac:dyDescent="0.25">
      <c r="F3106" s="39">
        <v>41086</v>
      </c>
      <c r="G3106" s="37">
        <v>3.5</v>
      </c>
      <c r="O3106"/>
      <c r="P3106"/>
      <c r="R3106" s="39">
        <v>41075</v>
      </c>
      <c r="S3106" s="37">
        <v>0.49099999999999999</v>
      </c>
    </row>
    <row r="3107" spans="6:19" ht="15" x14ac:dyDescent="0.25">
      <c r="F3107" s="39">
        <v>41085</v>
      </c>
      <c r="G3107" s="37">
        <v>3.5</v>
      </c>
      <c r="O3107"/>
      <c r="P3107"/>
      <c r="R3107" s="39">
        <v>41074</v>
      </c>
      <c r="S3107" s="37">
        <v>0.4864</v>
      </c>
    </row>
    <row r="3108" spans="6:19" ht="15" x14ac:dyDescent="0.25">
      <c r="F3108" s="39">
        <v>41082</v>
      </c>
      <c r="G3108" s="37">
        <v>3.5</v>
      </c>
      <c r="O3108"/>
      <c r="P3108"/>
      <c r="R3108" s="39">
        <v>41073</v>
      </c>
      <c r="S3108" s="37">
        <v>0.49099999999999999</v>
      </c>
    </row>
    <row r="3109" spans="6:19" ht="15" x14ac:dyDescent="0.25">
      <c r="F3109" s="39">
        <v>41081</v>
      </c>
      <c r="G3109" s="37">
        <v>3.5</v>
      </c>
      <c r="O3109"/>
      <c r="P3109"/>
      <c r="R3109" s="39">
        <v>41072</v>
      </c>
      <c r="S3109" s="37">
        <v>0.47870000000000001</v>
      </c>
    </row>
    <row r="3110" spans="6:19" ht="15" x14ac:dyDescent="0.25">
      <c r="F3110" s="39">
        <v>41080</v>
      </c>
      <c r="G3110" s="37">
        <v>3.5</v>
      </c>
      <c r="O3110"/>
      <c r="P3110"/>
      <c r="R3110" s="39">
        <v>41071</v>
      </c>
      <c r="S3110" s="37">
        <v>0.48470000000000002</v>
      </c>
    </row>
    <row r="3111" spans="6:19" ht="15" x14ac:dyDescent="0.25">
      <c r="F3111" s="39">
        <v>41079</v>
      </c>
      <c r="G3111" s="37">
        <v>3.5</v>
      </c>
      <c r="O3111"/>
      <c r="P3111"/>
      <c r="R3111" s="39">
        <v>41068</v>
      </c>
      <c r="S3111" s="37">
        <v>0.4874</v>
      </c>
    </row>
    <row r="3112" spans="6:19" ht="15" x14ac:dyDescent="0.25">
      <c r="F3112" s="39">
        <v>41078</v>
      </c>
      <c r="G3112" s="37">
        <v>3.5</v>
      </c>
      <c r="O3112"/>
      <c r="P3112"/>
      <c r="R3112" s="39">
        <v>41067</v>
      </c>
      <c r="S3112" s="37">
        <v>0.48809999999999998</v>
      </c>
    </row>
    <row r="3113" spans="6:19" ht="15" x14ac:dyDescent="0.25">
      <c r="F3113" s="39">
        <v>41075</v>
      </c>
      <c r="G3113" s="37">
        <v>3.5</v>
      </c>
      <c r="O3113"/>
      <c r="P3113"/>
      <c r="R3113" s="39">
        <v>41066</v>
      </c>
      <c r="S3113" s="37">
        <v>0.48599999999999999</v>
      </c>
    </row>
    <row r="3114" spans="6:19" ht="15" x14ac:dyDescent="0.25">
      <c r="F3114" s="39">
        <v>41074</v>
      </c>
      <c r="G3114" s="37">
        <v>3.5</v>
      </c>
      <c r="O3114"/>
      <c r="P3114"/>
      <c r="R3114" s="39">
        <v>41061</v>
      </c>
      <c r="S3114" s="37">
        <v>0.49349999999999999</v>
      </c>
    </row>
    <row r="3115" spans="6:19" ht="15" x14ac:dyDescent="0.25">
      <c r="F3115" s="39">
        <v>41073</v>
      </c>
      <c r="G3115" s="37">
        <v>3.5</v>
      </c>
      <c r="O3115"/>
      <c r="P3115"/>
      <c r="R3115" s="39">
        <v>41060</v>
      </c>
      <c r="S3115" s="37">
        <v>0.49390000000000001</v>
      </c>
    </row>
    <row r="3116" spans="6:19" ht="15" x14ac:dyDescent="0.25">
      <c r="F3116" s="39">
        <v>41072</v>
      </c>
      <c r="G3116" s="37">
        <v>3.5</v>
      </c>
      <c r="O3116"/>
      <c r="P3116"/>
      <c r="R3116" s="39">
        <v>41059</v>
      </c>
      <c r="S3116" s="37">
        <v>0.49270000000000003</v>
      </c>
    </row>
    <row r="3117" spans="6:19" ht="15" x14ac:dyDescent="0.25">
      <c r="F3117" s="39">
        <v>41068</v>
      </c>
      <c r="G3117" s="37">
        <v>3.5</v>
      </c>
      <c r="O3117"/>
      <c r="P3117"/>
      <c r="R3117" s="39">
        <v>41058</v>
      </c>
      <c r="S3117" s="37">
        <v>0.48709999999999998</v>
      </c>
    </row>
    <row r="3118" spans="6:19" ht="15" x14ac:dyDescent="0.25">
      <c r="F3118" s="39">
        <v>41067</v>
      </c>
      <c r="G3118" s="37">
        <v>3.5</v>
      </c>
      <c r="O3118"/>
      <c r="P3118"/>
      <c r="R3118" s="39">
        <v>41057</v>
      </c>
      <c r="S3118" s="37">
        <v>0.4894</v>
      </c>
    </row>
    <row r="3119" spans="6:19" ht="15" x14ac:dyDescent="0.25">
      <c r="F3119" s="39">
        <v>41066</v>
      </c>
      <c r="G3119" s="37">
        <v>3.5</v>
      </c>
      <c r="O3119"/>
      <c r="P3119"/>
      <c r="R3119" s="39">
        <v>41054</v>
      </c>
      <c r="S3119" s="37">
        <v>0.48809999999999998</v>
      </c>
    </row>
    <row r="3120" spans="6:19" ht="15" x14ac:dyDescent="0.25">
      <c r="F3120" s="39">
        <v>41065</v>
      </c>
      <c r="G3120" s="37">
        <v>3.75</v>
      </c>
      <c r="O3120"/>
      <c r="P3120"/>
      <c r="R3120" s="39">
        <v>41053</v>
      </c>
      <c r="S3120" s="37">
        <v>0.48449999999999999</v>
      </c>
    </row>
    <row r="3121" spans="6:19" ht="15" x14ac:dyDescent="0.25">
      <c r="F3121" s="39">
        <v>41064</v>
      </c>
      <c r="G3121" s="37">
        <v>3.75</v>
      </c>
      <c r="O3121"/>
      <c r="P3121"/>
      <c r="R3121" s="39">
        <v>41052</v>
      </c>
      <c r="S3121" s="37">
        <v>0.4899</v>
      </c>
    </row>
    <row r="3122" spans="6:19" ht="15" x14ac:dyDescent="0.25">
      <c r="F3122" s="39">
        <v>41061</v>
      </c>
      <c r="G3122" s="37">
        <v>3.75</v>
      </c>
      <c r="O3122"/>
      <c r="P3122"/>
      <c r="R3122" s="39">
        <v>41051</v>
      </c>
      <c r="S3122" s="37">
        <v>0.48659999999999998</v>
      </c>
    </row>
    <row r="3123" spans="6:19" ht="15" x14ac:dyDescent="0.25">
      <c r="F3123" s="39">
        <v>41060</v>
      </c>
      <c r="G3123" s="37">
        <v>3.75</v>
      </c>
      <c r="O3123"/>
      <c r="P3123"/>
      <c r="R3123" s="39">
        <v>41050</v>
      </c>
      <c r="S3123" s="37">
        <v>0.48630000000000001</v>
      </c>
    </row>
    <row r="3124" spans="6:19" ht="15" x14ac:dyDescent="0.25">
      <c r="F3124" s="39">
        <v>41059</v>
      </c>
      <c r="G3124" s="37">
        <v>3.75</v>
      </c>
      <c r="O3124"/>
      <c r="P3124"/>
      <c r="R3124" s="39">
        <v>41047</v>
      </c>
      <c r="S3124" s="37">
        <v>0.4859</v>
      </c>
    </row>
    <row r="3125" spans="6:19" ht="15" x14ac:dyDescent="0.25">
      <c r="F3125" s="39">
        <v>41058</v>
      </c>
      <c r="G3125" s="37">
        <v>3.75</v>
      </c>
      <c r="O3125"/>
      <c r="P3125"/>
      <c r="R3125" s="39">
        <v>41046</v>
      </c>
      <c r="S3125" s="37">
        <v>0.48670000000000002</v>
      </c>
    </row>
    <row r="3126" spans="6:19" ht="15" x14ac:dyDescent="0.25">
      <c r="F3126" s="39">
        <v>41057</v>
      </c>
      <c r="G3126" s="37">
        <v>3.75</v>
      </c>
      <c r="O3126"/>
      <c r="P3126"/>
      <c r="R3126" s="39">
        <v>41045</v>
      </c>
      <c r="S3126" s="37">
        <v>0.48730000000000001</v>
      </c>
    </row>
    <row r="3127" spans="6:19" ht="15" x14ac:dyDescent="0.25">
      <c r="F3127" s="39">
        <v>41054</v>
      </c>
      <c r="G3127" s="37">
        <v>3.75</v>
      </c>
      <c r="O3127"/>
      <c r="P3127"/>
      <c r="R3127" s="39">
        <v>41044</v>
      </c>
      <c r="S3127" s="37">
        <v>0.48559999999999998</v>
      </c>
    </row>
    <row r="3128" spans="6:19" ht="15" x14ac:dyDescent="0.25">
      <c r="F3128" s="39">
        <v>41053</v>
      </c>
      <c r="G3128" s="37">
        <v>3.75</v>
      </c>
      <c r="O3128"/>
      <c r="P3128"/>
      <c r="R3128" s="39">
        <v>41043</v>
      </c>
      <c r="S3128" s="37">
        <v>0.48630000000000001</v>
      </c>
    </row>
    <row r="3129" spans="6:19" ht="15" x14ac:dyDescent="0.25">
      <c r="F3129" s="39">
        <v>41052</v>
      </c>
      <c r="G3129" s="37">
        <v>3.75</v>
      </c>
      <c r="O3129"/>
      <c r="P3129"/>
      <c r="R3129" s="39">
        <v>41040</v>
      </c>
      <c r="S3129" s="37">
        <v>0.48120000000000002</v>
      </c>
    </row>
    <row r="3130" spans="6:19" ht="15" x14ac:dyDescent="0.25">
      <c r="F3130" s="39">
        <v>41051</v>
      </c>
      <c r="G3130" s="37">
        <v>3.75</v>
      </c>
      <c r="O3130"/>
      <c r="P3130"/>
      <c r="R3130" s="39">
        <v>41039</v>
      </c>
      <c r="S3130" s="37">
        <v>0.49340000000000001</v>
      </c>
    </row>
    <row r="3131" spans="6:19" ht="15" x14ac:dyDescent="0.25">
      <c r="F3131" s="39">
        <v>41050</v>
      </c>
      <c r="G3131" s="37">
        <v>3.75</v>
      </c>
      <c r="O3131"/>
      <c r="P3131"/>
      <c r="R3131" s="39">
        <v>41038</v>
      </c>
      <c r="S3131" s="37">
        <v>0.47789999999999999</v>
      </c>
    </row>
    <row r="3132" spans="6:19" ht="15" x14ac:dyDescent="0.25">
      <c r="F3132" s="39">
        <v>41047</v>
      </c>
      <c r="G3132" s="37">
        <v>3.75</v>
      </c>
      <c r="O3132"/>
      <c r="P3132"/>
      <c r="R3132" s="39">
        <v>41037</v>
      </c>
      <c r="S3132" s="37">
        <v>0.4733</v>
      </c>
    </row>
    <row r="3133" spans="6:19" ht="15" x14ac:dyDescent="0.25">
      <c r="F3133" s="39">
        <v>41046</v>
      </c>
      <c r="G3133" s="37">
        <v>3.75</v>
      </c>
      <c r="O3133"/>
      <c r="P3133"/>
      <c r="R3133" s="39">
        <v>41033</v>
      </c>
      <c r="S3133" s="37">
        <v>0.47899999999999998</v>
      </c>
    </row>
    <row r="3134" spans="6:19" ht="15" x14ac:dyDescent="0.25">
      <c r="F3134" s="39">
        <v>41045</v>
      </c>
      <c r="G3134" s="37">
        <v>3.75</v>
      </c>
      <c r="O3134"/>
      <c r="P3134"/>
      <c r="R3134" s="39">
        <v>41032</v>
      </c>
      <c r="S3134" s="37">
        <v>0.47420000000000001</v>
      </c>
    </row>
    <row r="3135" spans="6:19" ht="15" x14ac:dyDescent="0.25">
      <c r="F3135" s="39">
        <v>41044</v>
      </c>
      <c r="G3135" s="37">
        <v>3.75</v>
      </c>
      <c r="O3135"/>
      <c r="P3135"/>
      <c r="R3135" s="39">
        <v>41031</v>
      </c>
      <c r="S3135" s="37">
        <v>0.48149999999999998</v>
      </c>
    </row>
    <row r="3136" spans="6:19" ht="15" x14ac:dyDescent="0.25">
      <c r="F3136" s="39">
        <v>41043</v>
      </c>
      <c r="G3136" s="37">
        <v>3.75</v>
      </c>
      <c r="O3136"/>
      <c r="P3136"/>
      <c r="R3136" s="39">
        <v>41030</v>
      </c>
      <c r="S3136" s="37">
        <v>0.4748</v>
      </c>
    </row>
    <row r="3137" spans="6:19" ht="15" x14ac:dyDescent="0.25">
      <c r="F3137" s="39">
        <v>41040</v>
      </c>
      <c r="G3137" s="37">
        <v>3.75</v>
      </c>
      <c r="O3137"/>
      <c r="P3137"/>
      <c r="R3137" s="39">
        <v>41029</v>
      </c>
      <c r="S3137" s="37">
        <v>0.47849999999999998</v>
      </c>
    </row>
    <row r="3138" spans="6:19" ht="15" x14ac:dyDescent="0.25">
      <c r="F3138" s="39">
        <v>41039</v>
      </c>
      <c r="G3138" s="37">
        <v>3.75</v>
      </c>
      <c r="O3138"/>
      <c r="P3138"/>
      <c r="R3138" s="39">
        <v>41026</v>
      </c>
      <c r="S3138" s="37">
        <v>0.47489999999999999</v>
      </c>
    </row>
    <row r="3139" spans="6:19" ht="15" x14ac:dyDescent="0.25">
      <c r="F3139" s="39">
        <v>41038</v>
      </c>
      <c r="G3139" s="37">
        <v>3.75</v>
      </c>
      <c r="O3139"/>
      <c r="P3139"/>
      <c r="R3139" s="39">
        <v>41025</v>
      </c>
      <c r="S3139" s="37">
        <v>0.47739999999999999</v>
      </c>
    </row>
    <row r="3140" spans="6:19" ht="15" x14ac:dyDescent="0.25">
      <c r="F3140" s="39">
        <v>41037</v>
      </c>
      <c r="G3140" s="37">
        <v>3.75</v>
      </c>
      <c r="O3140"/>
      <c r="P3140"/>
      <c r="R3140" s="39">
        <v>41024</v>
      </c>
      <c r="S3140" s="37">
        <v>0.47960000000000003</v>
      </c>
    </row>
    <row r="3141" spans="6:19" ht="15" x14ac:dyDescent="0.25">
      <c r="F3141" s="39">
        <v>41036</v>
      </c>
      <c r="G3141" s="37">
        <v>3.75</v>
      </c>
      <c r="O3141"/>
      <c r="P3141"/>
      <c r="R3141" s="39">
        <v>41023</v>
      </c>
      <c r="S3141" s="37">
        <v>0.48259999999999997</v>
      </c>
    </row>
    <row r="3142" spans="6:19" ht="15" x14ac:dyDescent="0.25">
      <c r="F3142" s="39">
        <v>41033</v>
      </c>
      <c r="G3142" s="37">
        <v>3.75</v>
      </c>
      <c r="O3142"/>
      <c r="P3142"/>
      <c r="R3142" s="39">
        <v>41022</v>
      </c>
      <c r="S3142" s="37">
        <v>0.48359999999999997</v>
      </c>
    </row>
    <row r="3143" spans="6:19" ht="15" x14ac:dyDescent="0.25">
      <c r="F3143" s="39">
        <v>41032</v>
      </c>
      <c r="G3143" s="37">
        <v>3.75</v>
      </c>
      <c r="O3143"/>
      <c r="P3143"/>
      <c r="R3143" s="39">
        <v>41019</v>
      </c>
      <c r="S3143" s="37">
        <v>0.4899</v>
      </c>
    </row>
    <row r="3144" spans="6:19" ht="15" x14ac:dyDescent="0.25">
      <c r="F3144" s="39">
        <v>41031</v>
      </c>
      <c r="G3144" s="37">
        <v>3.75</v>
      </c>
      <c r="O3144"/>
      <c r="P3144"/>
      <c r="R3144" s="39">
        <v>41018</v>
      </c>
      <c r="S3144" s="37">
        <v>0.49149999999999999</v>
      </c>
    </row>
    <row r="3145" spans="6:19" ht="15" x14ac:dyDescent="0.25">
      <c r="F3145" s="39">
        <v>41030</v>
      </c>
      <c r="G3145" s="37">
        <v>4.25</v>
      </c>
      <c r="O3145"/>
      <c r="P3145"/>
      <c r="R3145" s="39">
        <v>41017</v>
      </c>
      <c r="S3145" s="37">
        <v>0.48480000000000001</v>
      </c>
    </row>
    <row r="3146" spans="6:19" ht="15" x14ac:dyDescent="0.25">
      <c r="F3146" s="39">
        <v>41029</v>
      </c>
      <c r="G3146" s="37">
        <v>4.25</v>
      </c>
      <c r="O3146"/>
      <c r="P3146"/>
      <c r="R3146" s="39">
        <v>41016</v>
      </c>
      <c r="S3146" s="37">
        <v>0.48880000000000001</v>
      </c>
    </row>
    <row r="3147" spans="6:19" ht="15" x14ac:dyDescent="0.25">
      <c r="F3147" s="39">
        <v>41026</v>
      </c>
      <c r="G3147" s="37">
        <v>4.25</v>
      </c>
      <c r="O3147"/>
      <c r="P3147"/>
      <c r="R3147" s="39">
        <v>41015</v>
      </c>
      <c r="S3147" s="37">
        <v>0.49070000000000003</v>
      </c>
    </row>
    <row r="3148" spans="6:19" ht="15" x14ac:dyDescent="0.25">
      <c r="F3148" s="39">
        <v>41025</v>
      </c>
      <c r="G3148" s="37">
        <v>4.25</v>
      </c>
      <c r="O3148"/>
      <c r="P3148"/>
      <c r="R3148" s="39">
        <v>41012</v>
      </c>
      <c r="S3148" s="37">
        <v>0.49299999999999999</v>
      </c>
    </row>
    <row r="3149" spans="6:19" ht="15" x14ac:dyDescent="0.25">
      <c r="F3149" s="39">
        <v>41023</v>
      </c>
      <c r="G3149" s="37">
        <v>4.25</v>
      </c>
      <c r="O3149"/>
      <c r="P3149"/>
      <c r="R3149" s="39">
        <v>41011</v>
      </c>
      <c r="S3149" s="37">
        <v>0.49320000000000003</v>
      </c>
    </row>
    <row r="3150" spans="6:19" ht="15" x14ac:dyDescent="0.25">
      <c r="F3150" s="39">
        <v>41022</v>
      </c>
      <c r="G3150" s="37">
        <v>4.25</v>
      </c>
      <c r="O3150"/>
      <c r="P3150"/>
      <c r="R3150" s="39">
        <v>41010</v>
      </c>
      <c r="S3150" s="37">
        <v>0.50390000000000001</v>
      </c>
    </row>
    <row r="3151" spans="6:19" ht="15" x14ac:dyDescent="0.25">
      <c r="F3151" s="39">
        <v>41019</v>
      </c>
      <c r="G3151" s="37">
        <v>4.25</v>
      </c>
      <c r="O3151"/>
      <c r="P3151"/>
      <c r="R3151" s="39">
        <v>41009</v>
      </c>
      <c r="S3151" s="37">
        <v>0.496</v>
      </c>
    </row>
    <row r="3152" spans="6:19" ht="15" x14ac:dyDescent="0.25">
      <c r="F3152" s="39">
        <v>41018</v>
      </c>
      <c r="G3152" s="37">
        <v>4.25</v>
      </c>
      <c r="O3152"/>
      <c r="P3152"/>
      <c r="R3152" s="39">
        <v>41004</v>
      </c>
      <c r="S3152" s="37">
        <v>0.4834</v>
      </c>
    </row>
    <row r="3153" spans="6:19" ht="15" x14ac:dyDescent="0.25">
      <c r="F3153" s="39">
        <v>41017</v>
      </c>
      <c r="G3153" s="37">
        <v>4.25</v>
      </c>
      <c r="O3153"/>
      <c r="P3153"/>
      <c r="R3153" s="39">
        <v>41003</v>
      </c>
      <c r="S3153" s="37">
        <v>0.47889999999999999</v>
      </c>
    </row>
    <row r="3154" spans="6:19" ht="15" x14ac:dyDescent="0.25">
      <c r="F3154" s="39">
        <v>41016</v>
      </c>
      <c r="G3154" s="37">
        <v>4.25</v>
      </c>
      <c r="O3154"/>
      <c r="P3154"/>
      <c r="R3154" s="39">
        <v>41002</v>
      </c>
      <c r="S3154" s="37">
        <v>0.48380000000000001</v>
      </c>
    </row>
    <row r="3155" spans="6:19" ht="15" x14ac:dyDescent="0.25">
      <c r="F3155" s="39">
        <v>41015</v>
      </c>
      <c r="G3155" s="37">
        <v>4.25</v>
      </c>
      <c r="O3155"/>
      <c r="P3155"/>
      <c r="R3155" s="39">
        <v>41001</v>
      </c>
      <c r="S3155" s="37">
        <v>0.48159999999999997</v>
      </c>
    </row>
    <row r="3156" spans="6:19" ht="15" x14ac:dyDescent="0.25">
      <c r="F3156" s="39">
        <v>41012</v>
      </c>
      <c r="G3156" s="37">
        <v>4.25</v>
      </c>
      <c r="O3156"/>
      <c r="P3156"/>
      <c r="R3156" s="39">
        <v>40998</v>
      </c>
      <c r="S3156" s="37">
        <v>0.47749999999999998</v>
      </c>
    </row>
    <row r="3157" spans="6:19" ht="15" x14ac:dyDescent="0.25">
      <c r="F3157" s="39">
        <v>41011</v>
      </c>
      <c r="G3157" s="37">
        <v>4.25</v>
      </c>
      <c r="O3157"/>
      <c r="P3157"/>
      <c r="R3157" s="39">
        <v>40997</v>
      </c>
      <c r="S3157" s="37">
        <v>0.49569999999999997</v>
      </c>
    </row>
    <row r="3158" spans="6:19" ht="15" x14ac:dyDescent="0.25">
      <c r="F3158" s="39">
        <v>41010</v>
      </c>
      <c r="G3158" s="37">
        <v>4.25</v>
      </c>
      <c r="O3158"/>
      <c r="P3158"/>
      <c r="R3158" s="39">
        <v>40996</v>
      </c>
      <c r="S3158" s="37">
        <v>0.48849999999999999</v>
      </c>
    </row>
    <row r="3159" spans="6:19" ht="15" x14ac:dyDescent="0.25">
      <c r="F3159" s="39">
        <v>41009</v>
      </c>
      <c r="G3159" s="37">
        <v>4.25</v>
      </c>
      <c r="O3159"/>
      <c r="P3159"/>
      <c r="R3159" s="39">
        <v>40995</v>
      </c>
      <c r="S3159" s="37">
        <v>0.49130000000000001</v>
      </c>
    </row>
    <row r="3160" spans="6:19" ht="15" x14ac:dyDescent="0.25">
      <c r="F3160" s="39">
        <v>41004</v>
      </c>
      <c r="G3160" s="37">
        <v>4.25</v>
      </c>
      <c r="O3160"/>
      <c r="P3160"/>
      <c r="R3160" s="39">
        <v>40994</v>
      </c>
      <c r="S3160" s="37">
        <v>0.49859999999999999</v>
      </c>
    </row>
    <row r="3161" spans="6:19" ht="15" x14ac:dyDescent="0.25">
      <c r="F3161" s="39">
        <v>41003</v>
      </c>
      <c r="G3161" s="37">
        <v>4.25</v>
      </c>
      <c r="O3161"/>
      <c r="P3161"/>
      <c r="R3161" s="39">
        <v>40991</v>
      </c>
      <c r="S3161" s="37">
        <v>0.49690000000000001</v>
      </c>
    </row>
    <row r="3162" spans="6:19" ht="15" x14ac:dyDescent="0.25">
      <c r="F3162" s="39">
        <v>41002</v>
      </c>
      <c r="G3162" s="37">
        <v>4.25</v>
      </c>
      <c r="O3162"/>
      <c r="P3162"/>
      <c r="R3162" s="39">
        <v>40990</v>
      </c>
      <c r="S3162" s="37">
        <v>0.50239999999999996</v>
      </c>
    </row>
    <row r="3163" spans="6:19" ht="15" x14ac:dyDescent="0.25">
      <c r="F3163" s="39">
        <v>41001</v>
      </c>
      <c r="G3163" s="37">
        <v>4.25</v>
      </c>
      <c r="O3163"/>
      <c r="P3163"/>
      <c r="R3163" s="39">
        <v>40989</v>
      </c>
      <c r="S3163" s="37">
        <v>0.49340000000000001</v>
      </c>
    </row>
    <row r="3164" spans="6:19" ht="15" x14ac:dyDescent="0.25">
      <c r="F3164" s="39">
        <v>40998</v>
      </c>
      <c r="G3164" s="37">
        <v>4.25</v>
      </c>
      <c r="O3164"/>
      <c r="P3164"/>
      <c r="R3164" s="39">
        <v>40988</v>
      </c>
      <c r="S3164" s="37">
        <v>0.48849999999999999</v>
      </c>
    </row>
    <row r="3165" spans="6:19" ht="15" x14ac:dyDescent="0.25">
      <c r="F3165" s="39">
        <v>40997</v>
      </c>
      <c r="G3165" s="37">
        <v>4.25</v>
      </c>
      <c r="O3165"/>
      <c r="P3165"/>
      <c r="R3165" s="39">
        <v>40987</v>
      </c>
      <c r="S3165" s="37">
        <v>0.4859</v>
      </c>
    </row>
    <row r="3166" spans="6:19" ht="15" x14ac:dyDescent="0.25">
      <c r="F3166" s="39">
        <v>40996</v>
      </c>
      <c r="G3166" s="37">
        <v>4.25</v>
      </c>
      <c r="O3166"/>
      <c r="P3166"/>
      <c r="R3166" s="39">
        <v>40984</v>
      </c>
      <c r="S3166" s="37">
        <v>0.47960000000000003</v>
      </c>
    </row>
    <row r="3167" spans="6:19" ht="15" x14ac:dyDescent="0.25">
      <c r="F3167" s="39">
        <v>40995</v>
      </c>
      <c r="G3167" s="37">
        <v>4.25</v>
      </c>
      <c r="O3167"/>
      <c r="P3167"/>
      <c r="R3167" s="39">
        <v>40983</v>
      </c>
      <c r="S3167" s="37">
        <v>0.48309999999999997</v>
      </c>
    </row>
    <row r="3168" spans="6:19" ht="15" x14ac:dyDescent="0.25">
      <c r="F3168" s="39">
        <v>40994</v>
      </c>
      <c r="G3168" s="37">
        <v>4.25</v>
      </c>
      <c r="O3168"/>
      <c r="P3168"/>
      <c r="R3168" s="39">
        <v>40982</v>
      </c>
      <c r="S3168" s="37">
        <v>0.47649999999999998</v>
      </c>
    </row>
    <row r="3169" spans="6:19" ht="15" x14ac:dyDescent="0.25">
      <c r="F3169" s="39">
        <v>40991</v>
      </c>
      <c r="G3169" s="37">
        <v>4.25</v>
      </c>
      <c r="O3169"/>
      <c r="P3169"/>
      <c r="R3169" s="39">
        <v>40981</v>
      </c>
      <c r="S3169" s="37">
        <v>0.48599999999999999</v>
      </c>
    </row>
    <row r="3170" spans="6:19" ht="15" x14ac:dyDescent="0.25">
      <c r="F3170" s="39">
        <v>40990</v>
      </c>
      <c r="G3170" s="37">
        <v>4.25</v>
      </c>
      <c r="O3170"/>
      <c r="P3170"/>
      <c r="R3170" s="39">
        <v>40980</v>
      </c>
      <c r="S3170" s="37">
        <v>0.48299999999999998</v>
      </c>
    </row>
    <row r="3171" spans="6:19" ht="15" x14ac:dyDescent="0.25">
      <c r="F3171" s="39">
        <v>40989</v>
      </c>
      <c r="G3171" s="37">
        <v>4.25</v>
      </c>
      <c r="O3171"/>
      <c r="P3171"/>
      <c r="R3171" s="39">
        <v>40977</v>
      </c>
      <c r="S3171" s="37">
        <v>0.48199999999999998</v>
      </c>
    </row>
    <row r="3172" spans="6:19" ht="15" x14ac:dyDescent="0.25">
      <c r="F3172" s="39">
        <v>40988</v>
      </c>
      <c r="G3172" s="37">
        <v>4.25</v>
      </c>
      <c r="O3172"/>
      <c r="P3172"/>
      <c r="R3172" s="39">
        <v>40976</v>
      </c>
      <c r="S3172" s="37">
        <v>0.47989999999999999</v>
      </c>
    </row>
    <row r="3173" spans="6:19" ht="15" x14ac:dyDescent="0.25">
      <c r="F3173" s="39">
        <v>40987</v>
      </c>
      <c r="G3173" s="37">
        <v>4.25</v>
      </c>
      <c r="O3173"/>
      <c r="P3173"/>
      <c r="R3173" s="39">
        <v>40975</v>
      </c>
      <c r="S3173" s="37">
        <v>0.4924</v>
      </c>
    </row>
    <row r="3174" spans="6:19" ht="15" x14ac:dyDescent="0.25">
      <c r="F3174" s="39">
        <v>40984</v>
      </c>
      <c r="G3174" s="37">
        <v>4.25</v>
      </c>
      <c r="O3174"/>
      <c r="P3174"/>
      <c r="R3174" s="39">
        <v>40974</v>
      </c>
      <c r="S3174" s="37">
        <v>0.49919999999999998</v>
      </c>
    </row>
    <row r="3175" spans="6:19" ht="15" x14ac:dyDescent="0.25">
      <c r="F3175" s="39">
        <v>40983</v>
      </c>
      <c r="G3175" s="37">
        <v>4.25</v>
      </c>
      <c r="O3175"/>
      <c r="P3175"/>
      <c r="R3175" s="39">
        <v>40973</v>
      </c>
      <c r="S3175" s="37">
        <v>0.49840000000000001</v>
      </c>
    </row>
    <row r="3176" spans="6:19" ht="15" x14ac:dyDescent="0.25">
      <c r="F3176" s="39">
        <v>40982</v>
      </c>
      <c r="G3176" s="37">
        <v>4.25</v>
      </c>
      <c r="O3176"/>
      <c r="P3176"/>
      <c r="R3176" s="39">
        <v>40970</v>
      </c>
      <c r="S3176" s="37">
        <v>0.49459999999999998</v>
      </c>
    </row>
    <row r="3177" spans="6:19" ht="15" x14ac:dyDescent="0.25">
      <c r="F3177" s="39">
        <v>40981</v>
      </c>
      <c r="G3177" s="37">
        <v>4.25</v>
      </c>
      <c r="O3177"/>
      <c r="P3177"/>
      <c r="R3177" s="39">
        <v>40969</v>
      </c>
      <c r="S3177" s="37">
        <v>0.50649999999999995</v>
      </c>
    </row>
    <row r="3178" spans="6:19" ht="15" x14ac:dyDescent="0.25">
      <c r="F3178" s="39">
        <v>40980</v>
      </c>
      <c r="G3178" s="37">
        <v>4.25</v>
      </c>
      <c r="O3178"/>
      <c r="P3178"/>
      <c r="R3178" s="39">
        <v>40968</v>
      </c>
      <c r="S3178" s="37">
        <v>0.50470000000000004</v>
      </c>
    </row>
    <row r="3179" spans="6:19" ht="15" x14ac:dyDescent="0.25">
      <c r="F3179" s="39">
        <v>40977</v>
      </c>
      <c r="G3179" s="37">
        <v>4.25</v>
      </c>
      <c r="O3179"/>
      <c r="P3179"/>
      <c r="R3179" s="39">
        <v>40967</v>
      </c>
      <c r="S3179" s="37">
        <v>0.50170000000000003</v>
      </c>
    </row>
    <row r="3180" spans="6:19" ht="15" x14ac:dyDescent="0.25">
      <c r="F3180" s="39">
        <v>40976</v>
      </c>
      <c r="G3180" s="37">
        <v>4.25</v>
      </c>
      <c r="O3180"/>
      <c r="P3180"/>
      <c r="R3180" s="39">
        <v>40966</v>
      </c>
      <c r="S3180" s="37">
        <v>0.498</v>
      </c>
    </row>
    <row r="3181" spans="6:19" ht="15" x14ac:dyDescent="0.25">
      <c r="F3181" s="39">
        <v>40975</v>
      </c>
      <c r="G3181" s="37">
        <v>4.25</v>
      </c>
      <c r="O3181"/>
      <c r="P3181"/>
      <c r="R3181" s="39">
        <v>40963</v>
      </c>
      <c r="S3181" s="37">
        <v>0.49709999999999999</v>
      </c>
    </row>
    <row r="3182" spans="6:19" ht="15" x14ac:dyDescent="0.25">
      <c r="F3182" s="39">
        <v>40974</v>
      </c>
      <c r="G3182" s="37">
        <v>4.25</v>
      </c>
      <c r="O3182"/>
      <c r="P3182"/>
      <c r="R3182" s="39">
        <v>40962</v>
      </c>
      <c r="S3182" s="37">
        <v>0.50039999999999996</v>
      </c>
    </row>
    <row r="3183" spans="6:19" ht="15" x14ac:dyDescent="0.25">
      <c r="F3183" s="39">
        <v>40973</v>
      </c>
      <c r="G3183" s="37">
        <v>4.25</v>
      </c>
      <c r="O3183"/>
      <c r="P3183"/>
      <c r="R3183" s="39">
        <v>40961</v>
      </c>
      <c r="S3183" s="37">
        <v>0.49569999999999997</v>
      </c>
    </row>
    <row r="3184" spans="6:19" ht="15" x14ac:dyDescent="0.25">
      <c r="F3184" s="39">
        <v>40970</v>
      </c>
      <c r="G3184" s="37">
        <v>4.25</v>
      </c>
      <c r="O3184"/>
      <c r="P3184"/>
      <c r="R3184" s="39">
        <v>40960</v>
      </c>
      <c r="S3184" s="37">
        <v>0.49220000000000003</v>
      </c>
    </row>
    <row r="3185" spans="6:19" ht="15" x14ac:dyDescent="0.25">
      <c r="F3185" s="39">
        <v>40969</v>
      </c>
      <c r="G3185" s="37">
        <v>4.25</v>
      </c>
      <c r="O3185"/>
      <c r="P3185"/>
      <c r="R3185" s="39">
        <v>40959</v>
      </c>
      <c r="S3185" s="37">
        <v>0.50129999999999997</v>
      </c>
    </row>
    <row r="3186" spans="6:19" ht="15" x14ac:dyDescent="0.25">
      <c r="F3186" s="39">
        <v>40968</v>
      </c>
      <c r="G3186" s="37">
        <v>4.25</v>
      </c>
      <c r="O3186"/>
      <c r="P3186"/>
      <c r="R3186" s="39">
        <v>40956</v>
      </c>
      <c r="S3186" s="37">
        <v>0.4975</v>
      </c>
    </row>
    <row r="3187" spans="6:19" ht="15" x14ac:dyDescent="0.25">
      <c r="F3187" s="39">
        <v>40967</v>
      </c>
      <c r="G3187" s="37">
        <v>4.25</v>
      </c>
      <c r="O3187"/>
      <c r="P3187"/>
      <c r="R3187" s="39">
        <v>40955</v>
      </c>
      <c r="S3187" s="37">
        <v>0.50149999999999995</v>
      </c>
    </row>
    <row r="3188" spans="6:19" ht="15" x14ac:dyDescent="0.25">
      <c r="F3188" s="39">
        <v>40966</v>
      </c>
      <c r="G3188" s="37">
        <v>4.25</v>
      </c>
      <c r="O3188"/>
      <c r="P3188"/>
      <c r="R3188" s="39">
        <v>40954</v>
      </c>
      <c r="S3188" s="37">
        <v>0.51039999999999996</v>
      </c>
    </row>
    <row r="3189" spans="6:19" ht="15" x14ac:dyDescent="0.25">
      <c r="F3189" s="39">
        <v>40963</v>
      </c>
      <c r="G3189" s="37">
        <v>4.25</v>
      </c>
      <c r="O3189"/>
      <c r="P3189"/>
      <c r="R3189" s="39">
        <v>40953</v>
      </c>
      <c r="S3189" s="37">
        <v>0.49469999999999997</v>
      </c>
    </row>
    <row r="3190" spans="6:19" ht="15" x14ac:dyDescent="0.25">
      <c r="F3190" s="39">
        <v>40962</v>
      </c>
      <c r="G3190" s="37">
        <v>4.25</v>
      </c>
      <c r="O3190"/>
      <c r="P3190"/>
      <c r="R3190" s="39">
        <v>40952</v>
      </c>
      <c r="S3190" s="37">
        <v>0.49199999999999999</v>
      </c>
    </row>
    <row r="3191" spans="6:19" ht="15" x14ac:dyDescent="0.25">
      <c r="F3191" s="39">
        <v>40961</v>
      </c>
      <c r="G3191" s="37">
        <v>4.25</v>
      </c>
      <c r="O3191"/>
      <c r="P3191"/>
      <c r="R3191" s="39">
        <v>40949</v>
      </c>
      <c r="S3191" s="37">
        <v>0.49680000000000002</v>
      </c>
    </row>
    <row r="3192" spans="6:19" ht="15" x14ac:dyDescent="0.25">
      <c r="F3192" s="39">
        <v>40960</v>
      </c>
      <c r="G3192" s="37">
        <v>4.25</v>
      </c>
      <c r="O3192"/>
      <c r="P3192"/>
      <c r="R3192" s="39">
        <v>40948</v>
      </c>
      <c r="S3192" s="37">
        <v>0.50370000000000004</v>
      </c>
    </row>
    <row r="3193" spans="6:19" ht="15" x14ac:dyDescent="0.25">
      <c r="F3193" s="39">
        <v>40959</v>
      </c>
      <c r="G3193" s="37">
        <v>4.25</v>
      </c>
      <c r="O3193"/>
      <c r="P3193"/>
      <c r="R3193" s="39">
        <v>40947</v>
      </c>
      <c r="S3193" s="37">
        <v>0.49809999999999999</v>
      </c>
    </row>
    <row r="3194" spans="6:19" ht="15" x14ac:dyDescent="0.25">
      <c r="F3194" s="39">
        <v>40956</v>
      </c>
      <c r="G3194" s="37">
        <v>4.25</v>
      </c>
      <c r="O3194"/>
      <c r="P3194"/>
      <c r="R3194" s="39">
        <v>40946</v>
      </c>
      <c r="S3194" s="37">
        <v>0.49890000000000001</v>
      </c>
    </row>
    <row r="3195" spans="6:19" ht="15" x14ac:dyDescent="0.25">
      <c r="F3195" s="39">
        <v>40955</v>
      </c>
      <c r="G3195" s="37">
        <v>4.25</v>
      </c>
      <c r="O3195"/>
      <c r="P3195"/>
      <c r="R3195" s="39">
        <v>40945</v>
      </c>
      <c r="S3195" s="37">
        <v>0.49969999999999998</v>
      </c>
    </row>
    <row r="3196" spans="6:19" ht="15" x14ac:dyDescent="0.25">
      <c r="F3196" s="39">
        <v>40954</v>
      </c>
      <c r="G3196" s="37">
        <v>4.25</v>
      </c>
      <c r="O3196"/>
      <c r="P3196"/>
      <c r="R3196" s="39">
        <v>40942</v>
      </c>
      <c r="S3196" s="37">
        <v>0.497</v>
      </c>
    </row>
    <row r="3197" spans="6:19" ht="15" x14ac:dyDescent="0.25">
      <c r="F3197" s="39">
        <v>40953</v>
      </c>
      <c r="G3197" s="37">
        <v>4.25</v>
      </c>
      <c r="O3197"/>
      <c r="P3197"/>
      <c r="R3197" s="39">
        <v>40941</v>
      </c>
      <c r="S3197" s="37">
        <v>0.502</v>
      </c>
    </row>
    <row r="3198" spans="6:19" ht="15" x14ac:dyDescent="0.25">
      <c r="F3198" s="39">
        <v>40952</v>
      </c>
      <c r="G3198" s="37">
        <v>4.25</v>
      </c>
      <c r="O3198"/>
      <c r="P3198"/>
      <c r="R3198" s="39">
        <v>40940</v>
      </c>
      <c r="S3198" s="37">
        <v>0.501</v>
      </c>
    </row>
    <row r="3199" spans="6:19" ht="15" x14ac:dyDescent="0.25">
      <c r="F3199" s="39">
        <v>40949</v>
      </c>
      <c r="G3199" s="37">
        <v>4.25</v>
      </c>
      <c r="O3199"/>
      <c r="P3199"/>
      <c r="R3199" s="39">
        <v>40939</v>
      </c>
      <c r="S3199" s="37">
        <v>0.51</v>
      </c>
    </row>
    <row r="3200" spans="6:19" ht="15" x14ac:dyDescent="0.25">
      <c r="F3200" s="39">
        <v>40948</v>
      </c>
      <c r="G3200" s="37">
        <v>4.25</v>
      </c>
      <c r="O3200"/>
      <c r="P3200"/>
      <c r="R3200" s="39">
        <v>40938</v>
      </c>
      <c r="S3200" s="37">
        <v>0.5252</v>
      </c>
    </row>
    <row r="3201" spans="6:19" ht="15" x14ac:dyDescent="0.25">
      <c r="F3201" s="39">
        <v>40947</v>
      </c>
      <c r="G3201" s="37">
        <v>4.25</v>
      </c>
      <c r="O3201"/>
      <c r="P3201"/>
      <c r="R3201" s="39">
        <v>40935</v>
      </c>
      <c r="S3201" s="37">
        <v>0.51819999999999999</v>
      </c>
    </row>
    <row r="3202" spans="6:19" ht="15" x14ac:dyDescent="0.25">
      <c r="F3202" s="39">
        <v>40946</v>
      </c>
      <c r="G3202" s="37">
        <v>4.25</v>
      </c>
      <c r="O3202"/>
      <c r="P3202"/>
      <c r="R3202" s="39">
        <v>40934</v>
      </c>
      <c r="S3202" s="37">
        <v>0.51770000000000005</v>
      </c>
    </row>
    <row r="3203" spans="6:19" ht="15" x14ac:dyDescent="0.25">
      <c r="F3203" s="39">
        <v>40945</v>
      </c>
      <c r="G3203" s="37">
        <v>4.25</v>
      </c>
      <c r="O3203"/>
      <c r="P3203"/>
      <c r="R3203" s="39">
        <v>40933</v>
      </c>
      <c r="S3203" s="37">
        <v>0.5171</v>
      </c>
    </row>
    <row r="3204" spans="6:19" ht="15" x14ac:dyDescent="0.25">
      <c r="F3204" s="39">
        <v>40942</v>
      </c>
      <c r="G3204" s="37">
        <v>4.25</v>
      </c>
      <c r="O3204"/>
      <c r="P3204"/>
      <c r="R3204" s="39">
        <v>40932</v>
      </c>
      <c r="S3204" s="37">
        <v>0.51149999999999995</v>
      </c>
    </row>
    <row r="3205" spans="6:19" ht="15" x14ac:dyDescent="0.25">
      <c r="F3205" s="39">
        <v>40941</v>
      </c>
      <c r="G3205" s="37">
        <v>4.25</v>
      </c>
      <c r="O3205"/>
      <c r="P3205"/>
      <c r="R3205" s="39">
        <v>40931</v>
      </c>
      <c r="S3205" s="37">
        <v>0.52110000000000001</v>
      </c>
    </row>
    <row r="3206" spans="6:19" ht="15" x14ac:dyDescent="0.25">
      <c r="F3206" s="39">
        <v>40940</v>
      </c>
      <c r="G3206" s="37">
        <v>4.25</v>
      </c>
      <c r="O3206"/>
      <c r="P3206"/>
      <c r="R3206" s="39">
        <v>40928</v>
      </c>
      <c r="S3206" s="37">
        <v>0.5081</v>
      </c>
    </row>
    <row r="3207" spans="6:19" ht="15" x14ac:dyDescent="0.25">
      <c r="F3207" s="39">
        <v>40939</v>
      </c>
      <c r="G3207" s="37">
        <v>4.25</v>
      </c>
      <c r="O3207"/>
      <c r="P3207"/>
      <c r="R3207" s="39">
        <v>40927</v>
      </c>
      <c r="S3207" s="37">
        <v>0.51180000000000003</v>
      </c>
    </row>
    <row r="3208" spans="6:19" ht="15" x14ac:dyDescent="0.25">
      <c r="F3208" s="39">
        <v>40938</v>
      </c>
      <c r="G3208" s="37">
        <v>4.25</v>
      </c>
      <c r="O3208"/>
      <c r="P3208"/>
      <c r="R3208" s="39">
        <v>40926</v>
      </c>
      <c r="S3208" s="37">
        <v>0.52200000000000002</v>
      </c>
    </row>
    <row r="3209" spans="6:19" ht="15" x14ac:dyDescent="0.25">
      <c r="F3209" s="39">
        <v>40935</v>
      </c>
      <c r="G3209" s="37">
        <v>4.25</v>
      </c>
      <c r="O3209"/>
      <c r="P3209"/>
      <c r="R3209" s="39">
        <v>40925</v>
      </c>
      <c r="S3209" s="37">
        <v>0.5181</v>
      </c>
    </row>
    <row r="3210" spans="6:19" ht="15" x14ac:dyDescent="0.25">
      <c r="F3210" s="39">
        <v>40933</v>
      </c>
      <c r="G3210" s="37">
        <v>4.25</v>
      </c>
      <c r="O3210"/>
      <c r="P3210"/>
      <c r="R3210" s="39">
        <v>40924</v>
      </c>
      <c r="S3210" s="37">
        <v>0.52439999999999998</v>
      </c>
    </row>
    <row r="3211" spans="6:19" ht="15" x14ac:dyDescent="0.25">
      <c r="F3211" s="39">
        <v>40932</v>
      </c>
      <c r="G3211" s="37">
        <v>4.25</v>
      </c>
      <c r="O3211"/>
      <c r="P3211"/>
      <c r="R3211" s="39">
        <v>40921</v>
      </c>
      <c r="S3211" s="37">
        <v>0.51519999999999999</v>
      </c>
    </row>
    <row r="3212" spans="6:19" ht="15" x14ac:dyDescent="0.25">
      <c r="F3212" s="39">
        <v>40931</v>
      </c>
      <c r="G3212" s="37">
        <v>4.25</v>
      </c>
      <c r="O3212"/>
      <c r="P3212"/>
      <c r="R3212" s="39">
        <v>40920</v>
      </c>
      <c r="S3212" s="37">
        <v>0.50570000000000004</v>
      </c>
    </row>
    <row r="3213" spans="6:19" ht="15" x14ac:dyDescent="0.25">
      <c r="F3213" s="39">
        <v>40928</v>
      </c>
      <c r="G3213" s="37">
        <v>4.25</v>
      </c>
      <c r="O3213"/>
      <c r="P3213"/>
      <c r="R3213" s="39">
        <v>40919</v>
      </c>
      <c r="S3213" s="37">
        <v>0.51559999999999995</v>
      </c>
    </row>
    <row r="3214" spans="6:19" ht="15" x14ac:dyDescent="0.25">
      <c r="F3214" s="39">
        <v>40927</v>
      </c>
      <c r="G3214" s="37">
        <v>4.25</v>
      </c>
      <c r="O3214"/>
      <c r="P3214"/>
      <c r="R3214" s="39">
        <v>40918</v>
      </c>
      <c r="S3214" s="37">
        <v>0.51900000000000002</v>
      </c>
    </row>
    <row r="3215" spans="6:19" ht="15" x14ac:dyDescent="0.25">
      <c r="F3215" s="39">
        <v>40926</v>
      </c>
      <c r="G3215" s="37">
        <v>4.25</v>
      </c>
      <c r="O3215"/>
      <c r="P3215"/>
      <c r="R3215" s="39">
        <v>40917</v>
      </c>
      <c r="S3215" s="37">
        <v>0.51280000000000003</v>
      </c>
    </row>
    <row r="3216" spans="6:19" ht="15" x14ac:dyDescent="0.25">
      <c r="F3216" s="39">
        <v>40925</v>
      </c>
      <c r="G3216" s="37">
        <v>4.25</v>
      </c>
      <c r="O3216"/>
      <c r="P3216"/>
      <c r="R3216" s="39">
        <v>40914</v>
      </c>
      <c r="S3216" s="37">
        <v>0.50380000000000003</v>
      </c>
    </row>
    <row r="3217" spans="6:19" ht="15" x14ac:dyDescent="0.25">
      <c r="F3217" s="39">
        <v>40924</v>
      </c>
      <c r="G3217" s="37">
        <v>4.25</v>
      </c>
      <c r="O3217"/>
      <c r="P3217"/>
      <c r="R3217" s="39">
        <v>40913</v>
      </c>
      <c r="S3217" s="37">
        <v>0.50770000000000004</v>
      </c>
    </row>
    <row r="3218" spans="6:19" ht="15" x14ac:dyDescent="0.25">
      <c r="F3218" s="39">
        <v>40921</v>
      </c>
      <c r="G3218" s="37">
        <v>4.25</v>
      </c>
      <c r="O3218"/>
      <c r="P3218"/>
      <c r="R3218" s="39">
        <v>40912</v>
      </c>
      <c r="S3218" s="37">
        <v>0.52690000000000003</v>
      </c>
    </row>
    <row r="3219" spans="6:19" ht="15" x14ac:dyDescent="0.25">
      <c r="F3219" s="39">
        <v>40920</v>
      </c>
      <c r="G3219" s="37">
        <v>4.25</v>
      </c>
      <c r="O3219"/>
      <c r="P3219"/>
      <c r="R3219" s="39">
        <v>40911</v>
      </c>
      <c r="S3219" s="37">
        <v>0.51690000000000003</v>
      </c>
    </row>
    <row r="3220" spans="6:19" ht="15" x14ac:dyDescent="0.25">
      <c r="F3220" s="39">
        <v>40919</v>
      </c>
      <c r="G3220" s="37">
        <v>4.25</v>
      </c>
      <c r="O3220"/>
      <c r="P3220"/>
      <c r="R3220" s="39">
        <v>40907</v>
      </c>
      <c r="S3220" s="37">
        <v>0.45779999999999998</v>
      </c>
    </row>
    <row r="3221" spans="6:19" ht="15" x14ac:dyDescent="0.25">
      <c r="F3221" s="39">
        <v>40918</v>
      </c>
      <c r="G3221" s="37">
        <v>4.25</v>
      </c>
      <c r="O3221"/>
      <c r="P3221"/>
      <c r="R3221" s="39">
        <v>40906</v>
      </c>
      <c r="S3221" s="37">
        <v>0.50119999999999998</v>
      </c>
    </row>
    <row r="3222" spans="6:19" ht="15" x14ac:dyDescent="0.25">
      <c r="F3222" s="39">
        <v>40917</v>
      </c>
      <c r="G3222" s="37">
        <v>4.25</v>
      </c>
      <c r="O3222"/>
      <c r="P3222"/>
      <c r="R3222" s="39">
        <v>40905</v>
      </c>
      <c r="S3222" s="37">
        <v>0.50860000000000005</v>
      </c>
    </row>
    <row r="3223" spans="6:19" ht="15" x14ac:dyDescent="0.25">
      <c r="F3223" s="39">
        <v>40914</v>
      </c>
      <c r="G3223" s="37">
        <v>4.25</v>
      </c>
      <c r="O3223"/>
      <c r="P3223"/>
      <c r="R3223" s="39">
        <v>40900</v>
      </c>
      <c r="S3223" s="37">
        <v>0.50370000000000004</v>
      </c>
    </row>
    <row r="3224" spans="6:19" ht="15" x14ac:dyDescent="0.25">
      <c r="F3224" s="39">
        <v>40913</v>
      </c>
      <c r="G3224" s="37">
        <v>4.25</v>
      </c>
      <c r="O3224"/>
      <c r="P3224"/>
      <c r="R3224" s="39">
        <v>40899</v>
      </c>
      <c r="S3224" s="37">
        <v>0.51380000000000003</v>
      </c>
    </row>
    <row r="3225" spans="6:19" ht="15" x14ac:dyDescent="0.25">
      <c r="F3225" s="39">
        <v>40912</v>
      </c>
      <c r="G3225" s="37">
        <v>4.25</v>
      </c>
      <c r="O3225"/>
      <c r="P3225"/>
      <c r="R3225" s="39">
        <v>40898</v>
      </c>
      <c r="S3225" s="37">
        <v>0.51190000000000002</v>
      </c>
    </row>
    <row r="3226" spans="6:19" ht="15" x14ac:dyDescent="0.25">
      <c r="F3226" s="39">
        <v>40911</v>
      </c>
      <c r="G3226" s="37">
        <v>4.25</v>
      </c>
      <c r="O3226"/>
      <c r="P3226"/>
      <c r="R3226" s="39">
        <v>40897</v>
      </c>
      <c r="S3226" s="37">
        <v>0.51980000000000004</v>
      </c>
    </row>
    <row r="3227" spans="6:19" ht="15" x14ac:dyDescent="0.25">
      <c r="F3227" s="39">
        <v>40907</v>
      </c>
      <c r="G3227" s="37">
        <v>4.25</v>
      </c>
      <c r="O3227"/>
      <c r="P3227"/>
      <c r="R3227" s="39">
        <v>40896</v>
      </c>
      <c r="S3227" s="37">
        <v>0.52949999999999997</v>
      </c>
    </row>
    <row r="3228" spans="6:19" ht="15" x14ac:dyDescent="0.25">
      <c r="F3228" s="39">
        <v>40906</v>
      </c>
      <c r="G3228" s="37">
        <v>4.25</v>
      </c>
      <c r="O3228"/>
      <c r="P3228"/>
      <c r="R3228" s="39">
        <v>40893</v>
      </c>
      <c r="S3228" s="37">
        <v>0.52339999999999998</v>
      </c>
    </row>
    <row r="3229" spans="6:19" ht="15" x14ac:dyDescent="0.25">
      <c r="F3229" s="39">
        <v>40905</v>
      </c>
      <c r="G3229" s="37">
        <v>4.25</v>
      </c>
      <c r="O3229"/>
      <c r="P3229"/>
      <c r="R3229" s="39">
        <v>40892</v>
      </c>
      <c r="S3229" s="37">
        <v>0.52790000000000004</v>
      </c>
    </row>
    <row r="3230" spans="6:19" ht="15" x14ac:dyDescent="0.25">
      <c r="F3230" s="39">
        <v>40900</v>
      </c>
      <c r="G3230" s="37">
        <v>4.25</v>
      </c>
      <c r="O3230"/>
      <c r="P3230"/>
      <c r="R3230" s="39">
        <v>40891</v>
      </c>
      <c r="S3230" s="37">
        <v>0.52710000000000001</v>
      </c>
    </row>
    <row r="3231" spans="6:19" ht="15" x14ac:dyDescent="0.25">
      <c r="F3231" s="39">
        <v>40899</v>
      </c>
      <c r="G3231" s="37">
        <v>4.25</v>
      </c>
      <c r="O3231"/>
      <c r="P3231"/>
      <c r="R3231" s="39">
        <v>40890</v>
      </c>
      <c r="S3231" s="37">
        <v>0.5423</v>
      </c>
    </row>
    <row r="3232" spans="6:19" ht="15" x14ac:dyDescent="0.25">
      <c r="F3232" s="39">
        <v>40898</v>
      </c>
      <c r="G3232" s="37">
        <v>4.25</v>
      </c>
      <c r="O3232"/>
      <c r="P3232"/>
      <c r="R3232" s="39">
        <v>40889</v>
      </c>
      <c r="S3232" s="37">
        <v>0.53759999999999997</v>
      </c>
    </row>
    <row r="3233" spans="6:19" ht="15" x14ac:dyDescent="0.25">
      <c r="F3233" s="39">
        <v>40897</v>
      </c>
      <c r="G3233" s="37">
        <v>4.25</v>
      </c>
      <c r="O3233"/>
      <c r="P3233"/>
      <c r="R3233" s="39">
        <v>40886</v>
      </c>
      <c r="S3233" s="37">
        <v>0.5292</v>
      </c>
    </row>
    <row r="3234" spans="6:19" ht="15" x14ac:dyDescent="0.25">
      <c r="F3234" s="39">
        <v>40896</v>
      </c>
      <c r="G3234" s="37">
        <v>4.25</v>
      </c>
      <c r="O3234"/>
      <c r="P3234"/>
      <c r="R3234" s="39">
        <v>40885</v>
      </c>
      <c r="S3234" s="37">
        <v>0.53920000000000001</v>
      </c>
    </row>
    <row r="3235" spans="6:19" ht="15" x14ac:dyDescent="0.25">
      <c r="F3235" s="39">
        <v>40893</v>
      </c>
      <c r="G3235" s="37">
        <v>4.25</v>
      </c>
      <c r="O3235"/>
      <c r="P3235"/>
      <c r="R3235" s="39">
        <v>40884</v>
      </c>
      <c r="S3235" s="37">
        <v>0.52639999999999998</v>
      </c>
    </row>
    <row r="3236" spans="6:19" ht="15" x14ac:dyDescent="0.25">
      <c r="F3236" s="39">
        <v>40892</v>
      </c>
      <c r="G3236" s="37">
        <v>4.25</v>
      </c>
      <c r="O3236"/>
      <c r="P3236"/>
      <c r="R3236" s="39">
        <v>40883</v>
      </c>
      <c r="S3236" s="37">
        <v>0.5272</v>
      </c>
    </row>
    <row r="3237" spans="6:19" ht="15" x14ac:dyDescent="0.25">
      <c r="F3237" s="39">
        <v>40891</v>
      </c>
      <c r="G3237" s="37">
        <v>4.25</v>
      </c>
      <c r="O3237"/>
      <c r="P3237"/>
      <c r="R3237" s="39">
        <v>40882</v>
      </c>
      <c r="S3237" s="37">
        <v>0.52729999999999999</v>
      </c>
    </row>
    <row r="3238" spans="6:19" ht="15" x14ac:dyDescent="0.25">
      <c r="F3238" s="39">
        <v>40890</v>
      </c>
      <c r="G3238" s="37">
        <v>4.25</v>
      </c>
      <c r="O3238"/>
      <c r="P3238"/>
      <c r="R3238" s="39">
        <v>40879</v>
      </c>
      <c r="S3238" s="37">
        <v>0.52310000000000001</v>
      </c>
    </row>
    <row r="3239" spans="6:19" ht="15" x14ac:dyDescent="0.25">
      <c r="F3239" s="39">
        <v>40889</v>
      </c>
      <c r="G3239" s="37">
        <v>4.25</v>
      </c>
      <c r="O3239"/>
      <c r="P3239"/>
      <c r="R3239" s="39">
        <v>40878</v>
      </c>
      <c r="S3239" s="37">
        <v>0.52400000000000002</v>
      </c>
    </row>
    <row r="3240" spans="6:19" ht="15" x14ac:dyDescent="0.25">
      <c r="F3240" s="39">
        <v>40886</v>
      </c>
      <c r="G3240" s="37">
        <v>4.25</v>
      </c>
      <c r="O3240"/>
      <c r="P3240"/>
      <c r="R3240" s="39">
        <v>40877</v>
      </c>
      <c r="S3240" s="37">
        <v>0.53269999999999995</v>
      </c>
    </row>
    <row r="3241" spans="6:19" ht="15" x14ac:dyDescent="0.25">
      <c r="F3241" s="39">
        <v>40885</v>
      </c>
      <c r="G3241" s="37">
        <v>4.25</v>
      </c>
      <c r="O3241"/>
      <c r="P3241"/>
      <c r="R3241" s="39">
        <v>40876</v>
      </c>
      <c r="S3241" s="37">
        <v>0.5353</v>
      </c>
    </row>
    <row r="3242" spans="6:19" ht="15" x14ac:dyDescent="0.25">
      <c r="F3242" s="39">
        <v>40884</v>
      </c>
      <c r="G3242" s="37">
        <v>4.25</v>
      </c>
      <c r="O3242"/>
      <c r="P3242"/>
      <c r="R3242" s="39">
        <v>40875</v>
      </c>
      <c r="S3242" s="37">
        <v>0.53049999999999997</v>
      </c>
    </row>
    <row r="3243" spans="6:19" ht="15" x14ac:dyDescent="0.25">
      <c r="F3243" s="39">
        <v>40883</v>
      </c>
      <c r="G3243" s="37">
        <v>4.5</v>
      </c>
      <c r="O3243"/>
      <c r="P3243"/>
      <c r="R3243" s="39">
        <v>40872</v>
      </c>
      <c r="S3243" s="37">
        <v>0.53190000000000004</v>
      </c>
    </row>
    <row r="3244" spans="6:19" ht="15" x14ac:dyDescent="0.25">
      <c r="F3244" s="39">
        <v>40882</v>
      </c>
      <c r="G3244" s="37">
        <v>4.5</v>
      </c>
      <c r="O3244"/>
      <c r="P3244"/>
      <c r="R3244" s="39">
        <v>40871</v>
      </c>
      <c r="S3244" s="37">
        <v>0.53839999999999999</v>
      </c>
    </row>
    <row r="3245" spans="6:19" ht="15" x14ac:dyDescent="0.25">
      <c r="F3245" s="39">
        <v>40879</v>
      </c>
      <c r="G3245" s="37">
        <v>4.5</v>
      </c>
      <c r="O3245"/>
      <c r="P3245"/>
      <c r="R3245" s="39">
        <v>40870</v>
      </c>
      <c r="S3245" s="37">
        <v>0.54500000000000004</v>
      </c>
    </row>
    <row r="3246" spans="6:19" ht="15" x14ac:dyDescent="0.25">
      <c r="F3246" s="39">
        <v>40878</v>
      </c>
      <c r="G3246" s="37">
        <v>4.5</v>
      </c>
      <c r="O3246"/>
      <c r="P3246"/>
      <c r="R3246" s="39">
        <v>40869</v>
      </c>
      <c r="S3246" s="37">
        <v>0.5302</v>
      </c>
    </row>
    <row r="3247" spans="6:19" ht="15" x14ac:dyDescent="0.25">
      <c r="F3247" s="39">
        <v>40877</v>
      </c>
      <c r="G3247" s="37">
        <v>4.5</v>
      </c>
      <c r="O3247"/>
      <c r="P3247"/>
      <c r="R3247" s="39">
        <v>40868</v>
      </c>
      <c r="S3247" s="37">
        <v>0.54220000000000002</v>
      </c>
    </row>
    <row r="3248" spans="6:19" ht="15" x14ac:dyDescent="0.25">
      <c r="F3248" s="39">
        <v>40876</v>
      </c>
      <c r="G3248" s="37">
        <v>4.5</v>
      </c>
      <c r="O3248"/>
      <c r="P3248"/>
      <c r="R3248" s="39">
        <v>40865</v>
      </c>
      <c r="S3248" s="37">
        <v>0.53180000000000005</v>
      </c>
    </row>
    <row r="3249" spans="6:19" ht="15" x14ac:dyDescent="0.25">
      <c r="F3249" s="39">
        <v>40875</v>
      </c>
      <c r="G3249" s="37">
        <v>4.5</v>
      </c>
      <c r="O3249"/>
      <c r="P3249"/>
      <c r="R3249" s="39">
        <v>40864</v>
      </c>
      <c r="S3249" s="37">
        <v>0.53849999999999998</v>
      </c>
    </row>
    <row r="3250" spans="6:19" ht="15" x14ac:dyDescent="0.25">
      <c r="F3250" s="39">
        <v>40872</v>
      </c>
      <c r="G3250" s="37">
        <v>4.5</v>
      </c>
      <c r="O3250"/>
      <c r="P3250"/>
      <c r="R3250" s="39">
        <v>40863</v>
      </c>
      <c r="S3250" s="37">
        <v>0.53810000000000002</v>
      </c>
    </row>
    <row r="3251" spans="6:19" ht="15" x14ac:dyDescent="0.25">
      <c r="F3251" s="39">
        <v>40871</v>
      </c>
      <c r="G3251" s="37">
        <v>4.5</v>
      </c>
      <c r="O3251"/>
      <c r="P3251"/>
      <c r="R3251" s="39">
        <v>40862</v>
      </c>
      <c r="S3251" s="37">
        <v>0.54010000000000002</v>
      </c>
    </row>
    <row r="3252" spans="6:19" ht="15" x14ac:dyDescent="0.25">
      <c r="F3252" s="39">
        <v>40870</v>
      </c>
      <c r="G3252" s="37">
        <v>4.5</v>
      </c>
      <c r="O3252"/>
      <c r="P3252"/>
      <c r="R3252" s="39">
        <v>40861</v>
      </c>
      <c r="S3252" s="37">
        <v>0.53400000000000003</v>
      </c>
    </row>
    <row r="3253" spans="6:19" ht="15" x14ac:dyDescent="0.25">
      <c r="F3253" s="39">
        <v>40869</v>
      </c>
      <c r="G3253" s="37">
        <v>4.5</v>
      </c>
      <c r="O3253"/>
      <c r="P3253"/>
      <c r="R3253" s="39">
        <v>40858</v>
      </c>
      <c r="S3253" s="37">
        <v>0.53200000000000003</v>
      </c>
    </row>
    <row r="3254" spans="6:19" ht="15" x14ac:dyDescent="0.25">
      <c r="F3254" s="39">
        <v>40868</v>
      </c>
      <c r="G3254" s="37">
        <v>4.5</v>
      </c>
      <c r="O3254"/>
      <c r="P3254"/>
      <c r="R3254" s="39">
        <v>40857</v>
      </c>
      <c r="S3254" s="37">
        <v>0.53300000000000003</v>
      </c>
    </row>
    <row r="3255" spans="6:19" ht="15" x14ac:dyDescent="0.25">
      <c r="F3255" s="39">
        <v>40865</v>
      </c>
      <c r="G3255" s="37">
        <v>4.5</v>
      </c>
      <c r="O3255"/>
      <c r="P3255"/>
      <c r="R3255" s="39">
        <v>40856</v>
      </c>
      <c r="S3255" s="37">
        <v>0.53549999999999998</v>
      </c>
    </row>
    <row r="3256" spans="6:19" ht="15" x14ac:dyDescent="0.25">
      <c r="F3256" s="39">
        <v>40864</v>
      </c>
      <c r="G3256" s="37">
        <v>4.5</v>
      </c>
      <c r="O3256"/>
      <c r="P3256"/>
      <c r="R3256" s="39">
        <v>40855</v>
      </c>
      <c r="S3256" s="37">
        <v>0.54290000000000005</v>
      </c>
    </row>
    <row r="3257" spans="6:19" ht="15" x14ac:dyDescent="0.25">
      <c r="F3257" s="39">
        <v>40863</v>
      </c>
      <c r="G3257" s="37">
        <v>4.5</v>
      </c>
      <c r="O3257"/>
      <c r="P3257"/>
      <c r="R3257" s="39">
        <v>40854</v>
      </c>
      <c r="S3257" s="37">
        <v>0.53280000000000005</v>
      </c>
    </row>
    <row r="3258" spans="6:19" ht="15" x14ac:dyDescent="0.25">
      <c r="F3258" s="39">
        <v>40862</v>
      </c>
      <c r="G3258" s="37">
        <v>4.5</v>
      </c>
      <c r="O3258"/>
      <c r="P3258"/>
      <c r="R3258" s="39">
        <v>40851</v>
      </c>
      <c r="S3258" s="37">
        <v>0.52769999999999995</v>
      </c>
    </row>
    <row r="3259" spans="6:19" ht="15" x14ac:dyDescent="0.25">
      <c r="F3259" s="39">
        <v>40861</v>
      </c>
      <c r="G3259" s="37">
        <v>4.5</v>
      </c>
      <c r="O3259"/>
      <c r="P3259"/>
      <c r="R3259" s="39">
        <v>40850</v>
      </c>
      <c r="S3259" s="37">
        <v>0.52990000000000004</v>
      </c>
    </row>
    <row r="3260" spans="6:19" ht="15" x14ac:dyDescent="0.25">
      <c r="F3260" s="39">
        <v>40858</v>
      </c>
      <c r="G3260" s="37">
        <v>4.5</v>
      </c>
      <c r="O3260"/>
      <c r="P3260"/>
      <c r="R3260" s="39">
        <v>40849</v>
      </c>
      <c r="S3260" s="37">
        <v>0.5302</v>
      </c>
    </row>
    <row r="3261" spans="6:19" ht="15" x14ac:dyDescent="0.25">
      <c r="F3261" s="39">
        <v>40857</v>
      </c>
      <c r="G3261" s="37">
        <v>4.5</v>
      </c>
      <c r="O3261"/>
      <c r="P3261"/>
      <c r="R3261" s="39">
        <v>40848</v>
      </c>
      <c r="S3261" s="37">
        <v>0.53120000000000001</v>
      </c>
    </row>
    <row r="3262" spans="6:19" ht="15" x14ac:dyDescent="0.25">
      <c r="F3262" s="39">
        <v>40856</v>
      </c>
      <c r="G3262" s="37">
        <v>4.5</v>
      </c>
      <c r="O3262"/>
      <c r="P3262"/>
      <c r="R3262" s="39">
        <v>40847</v>
      </c>
      <c r="S3262" s="37">
        <v>0.52700000000000002</v>
      </c>
    </row>
    <row r="3263" spans="6:19" ht="15" x14ac:dyDescent="0.25">
      <c r="F3263" s="39">
        <v>40855</v>
      </c>
      <c r="G3263" s="37">
        <v>4.5</v>
      </c>
      <c r="O3263"/>
      <c r="P3263"/>
      <c r="R3263" s="39">
        <v>40844</v>
      </c>
      <c r="S3263" s="37">
        <v>0.52310000000000001</v>
      </c>
    </row>
    <row r="3264" spans="6:19" ht="15" x14ac:dyDescent="0.25">
      <c r="F3264" s="39">
        <v>40854</v>
      </c>
      <c r="G3264" s="37">
        <v>4.5</v>
      </c>
      <c r="O3264"/>
      <c r="P3264"/>
      <c r="R3264" s="39">
        <v>40843</v>
      </c>
      <c r="S3264" s="37">
        <v>0.53169999999999995</v>
      </c>
    </row>
    <row r="3265" spans="6:19" ht="15" x14ac:dyDescent="0.25">
      <c r="F3265" s="39">
        <v>40851</v>
      </c>
      <c r="G3265" s="37">
        <v>4.5</v>
      </c>
      <c r="O3265"/>
      <c r="P3265"/>
      <c r="R3265" s="39">
        <v>40842</v>
      </c>
      <c r="S3265" s="37">
        <v>0.53069999999999995</v>
      </c>
    </row>
    <row r="3266" spans="6:19" ht="15" x14ac:dyDescent="0.25">
      <c r="F3266" s="39">
        <v>40850</v>
      </c>
      <c r="G3266" s="37">
        <v>4.5</v>
      </c>
      <c r="O3266"/>
      <c r="P3266"/>
      <c r="R3266" s="39">
        <v>40841</v>
      </c>
      <c r="S3266" s="37">
        <v>0.53090000000000004</v>
      </c>
    </row>
    <row r="3267" spans="6:19" ht="15" x14ac:dyDescent="0.25">
      <c r="F3267" s="39">
        <v>40849</v>
      </c>
      <c r="G3267" s="37">
        <v>4.5</v>
      </c>
      <c r="O3267"/>
      <c r="P3267"/>
      <c r="R3267" s="39">
        <v>40840</v>
      </c>
      <c r="S3267" s="37">
        <v>0.5393</v>
      </c>
    </row>
    <row r="3268" spans="6:19" ht="15" x14ac:dyDescent="0.25">
      <c r="F3268" s="39">
        <v>40848</v>
      </c>
      <c r="G3268" s="37">
        <v>4.75</v>
      </c>
      <c r="O3268"/>
      <c r="P3268"/>
      <c r="R3268" s="39">
        <v>40837</v>
      </c>
      <c r="S3268" s="37">
        <v>0.53190000000000004</v>
      </c>
    </row>
    <row r="3269" spans="6:19" ht="15" x14ac:dyDescent="0.25">
      <c r="F3269" s="39">
        <v>40847</v>
      </c>
      <c r="G3269" s="37">
        <v>4.75</v>
      </c>
      <c r="O3269"/>
      <c r="P3269"/>
      <c r="R3269" s="39">
        <v>40836</v>
      </c>
      <c r="S3269" s="37">
        <v>0.53180000000000005</v>
      </c>
    </row>
    <row r="3270" spans="6:19" ht="15" x14ac:dyDescent="0.25">
      <c r="F3270" s="39">
        <v>40844</v>
      </c>
      <c r="G3270" s="37">
        <v>4.75</v>
      </c>
      <c r="O3270"/>
      <c r="P3270"/>
      <c r="R3270" s="39">
        <v>40835</v>
      </c>
      <c r="S3270" s="37">
        <v>0.52969999999999995</v>
      </c>
    </row>
    <row r="3271" spans="6:19" ht="15" x14ac:dyDescent="0.25">
      <c r="F3271" s="39">
        <v>40843</v>
      </c>
      <c r="G3271" s="37">
        <v>4.75</v>
      </c>
      <c r="O3271"/>
      <c r="P3271"/>
      <c r="R3271" s="39">
        <v>40834</v>
      </c>
      <c r="S3271" s="37">
        <v>0.54830000000000001</v>
      </c>
    </row>
    <row r="3272" spans="6:19" ht="15" x14ac:dyDescent="0.25">
      <c r="F3272" s="39">
        <v>40842</v>
      </c>
      <c r="G3272" s="37">
        <v>4.75</v>
      </c>
      <c r="O3272"/>
      <c r="P3272"/>
      <c r="R3272" s="39">
        <v>40833</v>
      </c>
      <c r="S3272" s="37">
        <v>0.52990000000000004</v>
      </c>
    </row>
    <row r="3273" spans="6:19" ht="15" x14ac:dyDescent="0.25">
      <c r="F3273" s="39">
        <v>40841</v>
      </c>
      <c r="G3273" s="37">
        <v>4.75</v>
      </c>
      <c r="O3273"/>
      <c r="P3273"/>
      <c r="R3273" s="39">
        <v>40830</v>
      </c>
      <c r="S3273" s="37">
        <v>0.52590000000000003</v>
      </c>
    </row>
    <row r="3274" spans="6:19" ht="15" x14ac:dyDescent="0.25">
      <c r="F3274" s="39">
        <v>40840</v>
      </c>
      <c r="G3274" s="37">
        <v>4.75</v>
      </c>
      <c r="O3274"/>
      <c r="P3274"/>
      <c r="R3274" s="39">
        <v>40829</v>
      </c>
      <c r="S3274" s="37">
        <v>0.53269999999999995</v>
      </c>
    </row>
    <row r="3275" spans="6:19" ht="15" x14ac:dyDescent="0.25">
      <c r="F3275" s="39">
        <v>40837</v>
      </c>
      <c r="G3275" s="37">
        <v>4.75</v>
      </c>
      <c r="O3275"/>
      <c r="P3275"/>
      <c r="R3275" s="39">
        <v>40828</v>
      </c>
      <c r="S3275" s="37">
        <v>0.53849999999999998</v>
      </c>
    </row>
    <row r="3276" spans="6:19" ht="15" x14ac:dyDescent="0.25">
      <c r="F3276" s="39">
        <v>40836</v>
      </c>
      <c r="G3276" s="37">
        <v>4.75</v>
      </c>
      <c r="O3276"/>
      <c r="P3276"/>
      <c r="R3276" s="39">
        <v>40827</v>
      </c>
      <c r="S3276" s="37">
        <v>0.54330000000000001</v>
      </c>
    </row>
    <row r="3277" spans="6:19" ht="15" x14ac:dyDescent="0.25">
      <c r="F3277" s="39">
        <v>40835</v>
      </c>
      <c r="G3277" s="37">
        <v>4.75</v>
      </c>
      <c r="O3277"/>
      <c r="P3277"/>
      <c r="R3277" s="39">
        <v>40826</v>
      </c>
      <c r="S3277" s="37">
        <v>0.53759999999999997</v>
      </c>
    </row>
    <row r="3278" spans="6:19" ht="15" x14ac:dyDescent="0.25">
      <c r="F3278" s="39">
        <v>40834</v>
      </c>
      <c r="G3278" s="37">
        <v>4.75</v>
      </c>
      <c r="O3278"/>
      <c r="P3278"/>
      <c r="R3278" s="39">
        <v>40823</v>
      </c>
      <c r="S3278" s="37">
        <v>0.52680000000000005</v>
      </c>
    </row>
    <row r="3279" spans="6:19" ht="15" x14ac:dyDescent="0.25">
      <c r="F3279" s="39">
        <v>40833</v>
      </c>
      <c r="G3279" s="37">
        <v>4.75</v>
      </c>
      <c r="O3279"/>
      <c r="P3279"/>
      <c r="R3279" s="39">
        <v>40822</v>
      </c>
      <c r="S3279" s="37">
        <v>0.52680000000000005</v>
      </c>
    </row>
    <row r="3280" spans="6:19" ht="15" x14ac:dyDescent="0.25">
      <c r="F3280" s="39">
        <v>40830</v>
      </c>
      <c r="G3280" s="37">
        <v>4.75</v>
      </c>
      <c r="O3280"/>
      <c r="P3280"/>
      <c r="R3280" s="39">
        <v>40821</v>
      </c>
      <c r="S3280" s="37">
        <v>0.52939999999999998</v>
      </c>
    </row>
    <row r="3281" spans="6:19" ht="15" x14ac:dyDescent="0.25">
      <c r="F3281" s="39">
        <v>40829</v>
      </c>
      <c r="G3281" s="37">
        <v>4.75</v>
      </c>
      <c r="O3281"/>
      <c r="P3281"/>
      <c r="R3281" s="39">
        <v>40820</v>
      </c>
      <c r="S3281" s="37">
        <v>0.57650000000000001</v>
      </c>
    </row>
    <row r="3282" spans="6:19" ht="15" x14ac:dyDescent="0.25">
      <c r="F3282" s="39">
        <v>40828</v>
      </c>
      <c r="G3282" s="37">
        <v>4.75</v>
      </c>
      <c r="O3282"/>
      <c r="P3282"/>
      <c r="R3282" s="39">
        <v>40819</v>
      </c>
      <c r="S3282" s="37">
        <v>0.56010000000000004</v>
      </c>
    </row>
    <row r="3283" spans="6:19" ht="15" x14ac:dyDescent="0.25">
      <c r="F3283" s="39">
        <v>40827</v>
      </c>
      <c r="G3283" s="37">
        <v>4.75</v>
      </c>
      <c r="O3283"/>
      <c r="P3283"/>
      <c r="R3283" s="39">
        <v>40816</v>
      </c>
      <c r="S3283" s="37">
        <v>0.64870000000000005</v>
      </c>
    </row>
    <row r="3284" spans="6:19" ht="15" x14ac:dyDescent="0.25">
      <c r="F3284" s="39">
        <v>40826</v>
      </c>
      <c r="G3284" s="37">
        <v>4.75</v>
      </c>
      <c r="O3284"/>
      <c r="P3284"/>
      <c r="R3284" s="39">
        <v>40815</v>
      </c>
      <c r="S3284" s="37">
        <v>0.56340000000000001</v>
      </c>
    </row>
    <row r="3285" spans="6:19" ht="15" x14ac:dyDescent="0.25">
      <c r="F3285" s="39">
        <v>40823</v>
      </c>
      <c r="G3285" s="37">
        <v>4.75</v>
      </c>
      <c r="O3285"/>
      <c r="P3285"/>
      <c r="R3285" s="39">
        <v>40814</v>
      </c>
      <c r="S3285" s="37">
        <v>0.55010000000000003</v>
      </c>
    </row>
    <row r="3286" spans="6:19" ht="15" x14ac:dyDescent="0.25">
      <c r="F3286" s="39">
        <v>40822</v>
      </c>
      <c r="G3286" s="37">
        <v>4.75</v>
      </c>
      <c r="O3286"/>
      <c r="P3286"/>
      <c r="R3286" s="39">
        <v>40813</v>
      </c>
      <c r="S3286" s="37">
        <v>0.5393</v>
      </c>
    </row>
    <row r="3287" spans="6:19" ht="15" x14ac:dyDescent="0.25">
      <c r="F3287" s="39">
        <v>40821</v>
      </c>
      <c r="G3287" s="37">
        <v>4.75</v>
      </c>
      <c r="O3287"/>
      <c r="P3287"/>
      <c r="R3287" s="39">
        <v>40812</v>
      </c>
      <c r="S3287" s="37">
        <v>0.54320000000000002</v>
      </c>
    </row>
    <row r="3288" spans="6:19" ht="15" x14ac:dyDescent="0.25">
      <c r="F3288" s="39">
        <v>40820</v>
      </c>
      <c r="G3288" s="37">
        <v>4.75</v>
      </c>
      <c r="O3288"/>
      <c r="P3288"/>
      <c r="R3288" s="39">
        <v>40809</v>
      </c>
      <c r="S3288" s="37">
        <v>0.53359999999999996</v>
      </c>
    </row>
    <row r="3289" spans="6:19" ht="15" x14ac:dyDescent="0.25">
      <c r="F3289" s="39">
        <v>40819</v>
      </c>
      <c r="G3289" s="37">
        <v>4.75</v>
      </c>
      <c r="O3289"/>
      <c r="P3289"/>
      <c r="R3289" s="39">
        <v>40808</v>
      </c>
      <c r="S3289" s="37">
        <v>0.54410000000000003</v>
      </c>
    </row>
    <row r="3290" spans="6:19" ht="15" x14ac:dyDescent="0.25">
      <c r="F3290" s="39">
        <v>40816</v>
      </c>
      <c r="G3290" s="37">
        <v>4.75</v>
      </c>
      <c r="O3290"/>
      <c r="P3290"/>
      <c r="R3290" s="39">
        <v>40807</v>
      </c>
      <c r="S3290" s="37">
        <v>0.5464</v>
      </c>
    </row>
    <row r="3291" spans="6:19" ht="15" x14ac:dyDescent="0.25">
      <c r="F3291" s="39">
        <v>40815</v>
      </c>
      <c r="G3291" s="37">
        <v>4.75</v>
      </c>
      <c r="O3291"/>
      <c r="P3291"/>
      <c r="R3291" s="39">
        <v>40806</v>
      </c>
      <c r="S3291" s="37">
        <v>0.55810000000000004</v>
      </c>
    </row>
    <row r="3292" spans="6:19" ht="15" x14ac:dyDescent="0.25">
      <c r="F3292" s="39">
        <v>40814</v>
      </c>
      <c r="G3292" s="37">
        <v>4.75</v>
      </c>
      <c r="O3292"/>
      <c r="P3292"/>
      <c r="R3292" s="39">
        <v>40805</v>
      </c>
      <c r="S3292" s="37">
        <v>0.53979999999999995</v>
      </c>
    </row>
    <row r="3293" spans="6:19" ht="15" x14ac:dyDescent="0.25">
      <c r="F3293" s="39">
        <v>40813</v>
      </c>
      <c r="G3293" s="37">
        <v>4.75</v>
      </c>
      <c r="O3293"/>
      <c r="P3293"/>
      <c r="R3293" s="39">
        <v>40802</v>
      </c>
      <c r="S3293" s="37">
        <v>0.53720000000000001</v>
      </c>
    </row>
    <row r="3294" spans="6:19" ht="15" x14ac:dyDescent="0.25">
      <c r="F3294" s="39">
        <v>40812</v>
      </c>
      <c r="G3294" s="37">
        <v>4.75</v>
      </c>
      <c r="O3294"/>
      <c r="P3294"/>
      <c r="R3294" s="39">
        <v>40801</v>
      </c>
      <c r="S3294" s="37">
        <v>0.54990000000000006</v>
      </c>
    </row>
    <row r="3295" spans="6:19" ht="15" x14ac:dyDescent="0.25">
      <c r="F3295" s="39">
        <v>40809</v>
      </c>
      <c r="G3295" s="37">
        <v>4.75</v>
      </c>
      <c r="O3295"/>
      <c r="P3295"/>
      <c r="R3295" s="39">
        <v>40800</v>
      </c>
      <c r="S3295" s="37">
        <v>0.54579999999999995</v>
      </c>
    </row>
    <row r="3296" spans="6:19" ht="15" x14ac:dyDescent="0.25">
      <c r="F3296" s="39">
        <v>40808</v>
      </c>
      <c r="G3296" s="37">
        <v>4.75</v>
      </c>
      <c r="O3296"/>
      <c r="P3296"/>
      <c r="R3296" s="39">
        <v>40799</v>
      </c>
      <c r="S3296" s="37">
        <v>0.54159999999999997</v>
      </c>
    </row>
    <row r="3297" spans="6:19" ht="15" x14ac:dyDescent="0.25">
      <c r="F3297" s="39">
        <v>40807</v>
      </c>
      <c r="G3297" s="37">
        <v>4.75</v>
      </c>
      <c r="O3297"/>
      <c r="P3297"/>
      <c r="R3297" s="39">
        <v>40798</v>
      </c>
      <c r="S3297" s="37">
        <v>0.53469999999999995</v>
      </c>
    </row>
    <row r="3298" spans="6:19" ht="15" x14ac:dyDescent="0.25">
      <c r="F3298" s="39">
        <v>40806</v>
      </c>
      <c r="G3298" s="37">
        <v>4.75</v>
      </c>
      <c r="O3298"/>
      <c r="P3298"/>
      <c r="R3298" s="39">
        <v>40795</v>
      </c>
      <c r="S3298" s="37">
        <v>0.54149999999999998</v>
      </c>
    </row>
    <row r="3299" spans="6:19" ht="15" x14ac:dyDescent="0.25">
      <c r="F3299" s="39">
        <v>40805</v>
      </c>
      <c r="G3299" s="37">
        <v>4.75</v>
      </c>
      <c r="O3299"/>
      <c r="P3299"/>
      <c r="R3299" s="39">
        <v>40794</v>
      </c>
      <c r="S3299" s="37">
        <v>0.54379999999999995</v>
      </c>
    </row>
    <row r="3300" spans="6:19" ht="15" x14ac:dyDescent="0.25">
      <c r="F3300" s="39">
        <v>40802</v>
      </c>
      <c r="G3300" s="37">
        <v>4.75</v>
      </c>
      <c r="O3300"/>
      <c r="P3300"/>
      <c r="R3300" s="39">
        <v>40793</v>
      </c>
      <c r="S3300" s="37">
        <v>0.54</v>
      </c>
    </row>
    <row r="3301" spans="6:19" ht="15" x14ac:dyDescent="0.25">
      <c r="F3301" s="39">
        <v>40801</v>
      </c>
      <c r="G3301" s="37">
        <v>4.75</v>
      </c>
      <c r="O3301"/>
      <c r="P3301"/>
      <c r="R3301" s="39">
        <v>40792</v>
      </c>
      <c r="S3301" s="37">
        <v>0.5413</v>
      </c>
    </row>
    <row r="3302" spans="6:19" ht="15" x14ac:dyDescent="0.25">
      <c r="F3302" s="39">
        <v>40800</v>
      </c>
      <c r="G3302" s="37">
        <v>4.75</v>
      </c>
      <c r="O3302"/>
      <c r="P3302"/>
      <c r="R3302" s="39">
        <v>40791</v>
      </c>
      <c r="S3302" s="37">
        <v>0.53449999999999998</v>
      </c>
    </row>
    <row r="3303" spans="6:19" ht="15" x14ac:dyDescent="0.25">
      <c r="F3303" s="39">
        <v>40799</v>
      </c>
      <c r="G3303" s="37">
        <v>4.75</v>
      </c>
      <c r="O3303"/>
      <c r="P3303"/>
      <c r="R3303" s="39">
        <v>40788</v>
      </c>
      <c r="S3303" s="37">
        <v>0.53890000000000005</v>
      </c>
    </row>
    <row r="3304" spans="6:19" ht="15" x14ac:dyDescent="0.25">
      <c r="F3304" s="39">
        <v>40798</v>
      </c>
      <c r="G3304" s="37">
        <v>4.75</v>
      </c>
      <c r="O3304"/>
      <c r="P3304"/>
      <c r="R3304" s="39">
        <v>40787</v>
      </c>
      <c r="S3304" s="37">
        <v>0.5524</v>
      </c>
    </row>
    <row r="3305" spans="6:19" ht="15" x14ac:dyDescent="0.25">
      <c r="F3305" s="39">
        <v>40795</v>
      </c>
      <c r="G3305" s="37">
        <v>4.75</v>
      </c>
      <c r="O3305"/>
      <c r="P3305"/>
      <c r="R3305" s="39">
        <v>40786</v>
      </c>
      <c r="S3305" s="37">
        <v>0.56699999999999995</v>
      </c>
    </row>
    <row r="3306" spans="6:19" ht="15" x14ac:dyDescent="0.25">
      <c r="F3306" s="39">
        <v>40794</v>
      </c>
      <c r="G3306" s="37">
        <v>4.75</v>
      </c>
      <c r="O3306"/>
      <c r="P3306"/>
      <c r="R3306" s="39">
        <v>40785</v>
      </c>
      <c r="S3306" s="37">
        <v>0.54369999999999996</v>
      </c>
    </row>
    <row r="3307" spans="6:19" ht="15" x14ac:dyDescent="0.25">
      <c r="F3307" s="39">
        <v>40793</v>
      </c>
      <c r="G3307" s="37">
        <v>4.75</v>
      </c>
      <c r="O3307"/>
      <c r="P3307"/>
      <c r="R3307" s="39">
        <v>40781</v>
      </c>
      <c r="S3307" s="37">
        <v>0.55259999999999998</v>
      </c>
    </row>
    <row r="3308" spans="6:19" ht="15" x14ac:dyDescent="0.25">
      <c r="F3308" s="39">
        <v>40792</v>
      </c>
      <c r="G3308" s="37">
        <v>4.75</v>
      </c>
      <c r="O3308"/>
      <c r="P3308"/>
      <c r="R3308" s="39">
        <v>40780</v>
      </c>
      <c r="S3308" s="37">
        <v>0.54879999999999995</v>
      </c>
    </row>
    <row r="3309" spans="6:19" ht="15" x14ac:dyDescent="0.25">
      <c r="F3309" s="39">
        <v>40791</v>
      </c>
      <c r="G3309" s="37">
        <v>4.75</v>
      </c>
      <c r="O3309"/>
      <c r="P3309"/>
      <c r="R3309" s="39">
        <v>40779</v>
      </c>
      <c r="S3309" s="37">
        <v>0.54379999999999995</v>
      </c>
    </row>
    <row r="3310" spans="6:19" ht="15" x14ac:dyDescent="0.25">
      <c r="F3310" s="39">
        <v>40788</v>
      </c>
      <c r="G3310" s="37">
        <v>4.75</v>
      </c>
      <c r="O3310"/>
      <c r="P3310"/>
      <c r="R3310" s="39">
        <v>40778</v>
      </c>
      <c r="S3310" s="37">
        <v>0.5423</v>
      </c>
    </row>
    <row r="3311" spans="6:19" ht="15" x14ac:dyDescent="0.25">
      <c r="F3311" s="39">
        <v>40787</v>
      </c>
      <c r="G3311" s="37">
        <v>4.75</v>
      </c>
      <c r="O3311"/>
      <c r="P3311"/>
      <c r="R3311" s="39">
        <v>40777</v>
      </c>
      <c r="S3311" s="37">
        <v>0.54149999999999998</v>
      </c>
    </row>
    <row r="3312" spans="6:19" ht="15" x14ac:dyDescent="0.25">
      <c r="F3312" s="39">
        <v>40786</v>
      </c>
      <c r="G3312" s="37">
        <v>4.75</v>
      </c>
      <c r="O3312"/>
      <c r="P3312"/>
      <c r="R3312" s="39">
        <v>40774</v>
      </c>
      <c r="S3312" s="37">
        <v>0.54210000000000003</v>
      </c>
    </row>
    <row r="3313" spans="6:19" ht="15" x14ac:dyDescent="0.25">
      <c r="F3313" s="39">
        <v>40785</v>
      </c>
      <c r="G3313" s="37">
        <v>4.75</v>
      </c>
      <c r="O3313"/>
      <c r="P3313"/>
      <c r="R3313" s="39">
        <v>40773</v>
      </c>
      <c r="S3313" s="37">
        <v>0.53969999999999996</v>
      </c>
    </row>
    <row r="3314" spans="6:19" ht="15" x14ac:dyDescent="0.25">
      <c r="F3314" s="39">
        <v>40784</v>
      </c>
      <c r="G3314" s="37">
        <v>4.75</v>
      </c>
      <c r="O3314"/>
      <c r="P3314"/>
      <c r="R3314" s="39">
        <v>40772</v>
      </c>
      <c r="S3314" s="37">
        <v>0.53859999999999997</v>
      </c>
    </row>
    <row r="3315" spans="6:19" ht="15" x14ac:dyDescent="0.25">
      <c r="F3315" s="39">
        <v>40781</v>
      </c>
      <c r="G3315" s="37">
        <v>4.75</v>
      </c>
      <c r="O3315"/>
      <c r="P3315"/>
      <c r="R3315" s="39">
        <v>40771</v>
      </c>
      <c r="S3315" s="37">
        <v>0.54010000000000002</v>
      </c>
    </row>
    <row r="3316" spans="6:19" ht="15" x14ac:dyDescent="0.25">
      <c r="F3316" s="39">
        <v>40780</v>
      </c>
      <c r="G3316" s="37">
        <v>4.75</v>
      </c>
      <c r="O3316"/>
      <c r="P3316"/>
      <c r="R3316" s="39">
        <v>40770</v>
      </c>
      <c r="S3316" s="37">
        <v>0.5373</v>
      </c>
    </row>
    <row r="3317" spans="6:19" ht="15" x14ac:dyDescent="0.25">
      <c r="F3317" s="39">
        <v>40779</v>
      </c>
      <c r="G3317" s="37">
        <v>4.75</v>
      </c>
      <c r="O3317"/>
      <c r="P3317"/>
      <c r="R3317" s="39">
        <v>40767</v>
      </c>
      <c r="S3317" s="37">
        <v>0.53280000000000005</v>
      </c>
    </row>
    <row r="3318" spans="6:19" ht="15" x14ac:dyDescent="0.25">
      <c r="F3318" s="39">
        <v>40778</v>
      </c>
      <c r="G3318" s="37">
        <v>4.75</v>
      </c>
      <c r="O3318"/>
      <c r="P3318"/>
      <c r="R3318" s="39">
        <v>40766</v>
      </c>
      <c r="S3318" s="37">
        <v>0.53149999999999997</v>
      </c>
    </row>
    <row r="3319" spans="6:19" ht="15" x14ac:dyDescent="0.25">
      <c r="F3319" s="39">
        <v>40777</v>
      </c>
      <c r="G3319" s="37">
        <v>4.75</v>
      </c>
      <c r="O3319"/>
      <c r="P3319"/>
      <c r="R3319" s="39">
        <v>40765</v>
      </c>
      <c r="S3319" s="37">
        <v>0.52780000000000005</v>
      </c>
    </row>
    <row r="3320" spans="6:19" ht="15" x14ac:dyDescent="0.25">
      <c r="F3320" s="39">
        <v>40774</v>
      </c>
      <c r="G3320" s="37">
        <v>4.75</v>
      </c>
      <c r="O3320"/>
      <c r="P3320"/>
      <c r="R3320" s="39">
        <v>40764</v>
      </c>
      <c r="S3320" s="37">
        <v>0.52580000000000005</v>
      </c>
    </row>
    <row r="3321" spans="6:19" ht="15" x14ac:dyDescent="0.25">
      <c r="F3321" s="39">
        <v>40773</v>
      </c>
      <c r="G3321" s="37">
        <v>4.75</v>
      </c>
      <c r="O3321"/>
      <c r="P3321"/>
      <c r="R3321" s="39">
        <v>40763</v>
      </c>
      <c r="S3321" s="37">
        <v>0.52580000000000005</v>
      </c>
    </row>
    <row r="3322" spans="6:19" ht="15" x14ac:dyDescent="0.25">
      <c r="F3322" s="39">
        <v>40772</v>
      </c>
      <c r="G3322" s="37">
        <v>4.75</v>
      </c>
      <c r="O3322"/>
      <c r="P3322"/>
      <c r="R3322" s="39">
        <v>40760</v>
      </c>
      <c r="S3322" s="37">
        <v>0.52410000000000001</v>
      </c>
    </row>
    <row r="3323" spans="6:19" ht="15" x14ac:dyDescent="0.25">
      <c r="F3323" s="39">
        <v>40771</v>
      </c>
      <c r="G3323" s="37">
        <v>4.75</v>
      </c>
      <c r="O3323"/>
      <c r="P3323"/>
      <c r="R3323" s="39">
        <v>40759</v>
      </c>
      <c r="S3323" s="37">
        <v>0.52659999999999996</v>
      </c>
    </row>
    <row r="3324" spans="6:19" ht="15" x14ac:dyDescent="0.25">
      <c r="F3324" s="39">
        <v>40770</v>
      </c>
      <c r="G3324" s="37">
        <v>4.75</v>
      </c>
      <c r="O3324"/>
      <c r="P3324"/>
      <c r="R3324" s="39">
        <v>40758</v>
      </c>
      <c r="S3324" s="37">
        <v>0.53520000000000001</v>
      </c>
    </row>
    <row r="3325" spans="6:19" ht="15" x14ac:dyDescent="0.25">
      <c r="F3325" s="39">
        <v>40767</v>
      </c>
      <c r="G3325" s="37">
        <v>4.75</v>
      </c>
      <c r="O3325"/>
      <c r="P3325"/>
      <c r="R3325" s="39">
        <v>40757</v>
      </c>
      <c r="S3325" s="37">
        <v>0.5353</v>
      </c>
    </row>
    <row r="3326" spans="6:19" ht="15" x14ac:dyDescent="0.25">
      <c r="F3326" s="39">
        <v>40766</v>
      </c>
      <c r="G3326" s="37">
        <v>4.75</v>
      </c>
      <c r="O3326"/>
      <c r="P3326"/>
      <c r="R3326" s="39">
        <v>40756</v>
      </c>
      <c r="S3326" s="37">
        <v>0.53280000000000005</v>
      </c>
    </row>
    <row r="3327" spans="6:19" ht="15" x14ac:dyDescent="0.25">
      <c r="F3327" s="39">
        <v>40765</v>
      </c>
      <c r="G3327" s="37">
        <v>4.75</v>
      </c>
      <c r="O3327"/>
      <c r="P3327"/>
      <c r="R3327" s="39">
        <v>40753</v>
      </c>
      <c r="S3327" s="37">
        <v>0.55620000000000003</v>
      </c>
    </row>
    <row r="3328" spans="6:19" ht="15" x14ac:dyDescent="0.25">
      <c r="F3328" s="39">
        <v>40764</v>
      </c>
      <c r="G3328" s="37">
        <v>4.75</v>
      </c>
      <c r="O3328"/>
      <c r="P3328"/>
      <c r="R3328" s="39">
        <v>40752</v>
      </c>
      <c r="S3328" s="37">
        <v>0.5242</v>
      </c>
    </row>
    <row r="3329" spans="6:19" ht="15" x14ac:dyDescent="0.25">
      <c r="F3329" s="39">
        <v>40763</v>
      </c>
      <c r="G3329" s="37">
        <v>4.75</v>
      </c>
      <c r="O3329"/>
      <c r="P3329"/>
      <c r="R3329" s="39">
        <v>40751</v>
      </c>
      <c r="S3329" s="37">
        <v>0.52400000000000002</v>
      </c>
    </row>
    <row r="3330" spans="6:19" ht="15" x14ac:dyDescent="0.25">
      <c r="F3330" s="39">
        <v>40760</v>
      </c>
      <c r="G3330" s="37">
        <v>4.75</v>
      </c>
      <c r="O3330"/>
      <c r="P3330"/>
      <c r="R3330" s="39">
        <v>40750</v>
      </c>
      <c r="S3330" s="37">
        <v>0.51749999999999996</v>
      </c>
    </row>
    <row r="3331" spans="6:19" ht="15" x14ac:dyDescent="0.25">
      <c r="F3331" s="39">
        <v>40759</v>
      </c>
      <c r="G3331" s="37">
        <v>4.75</v>
      </c>
      <c r="O3331"/>
      <c r="P3331"/>
      <c r="R3331" s="39">
        <v>40749</v>
      </c>
      <c r="S3331" s="37">
        <v>0.52239999999999998</v>
      </c>
    </row>
    <row r="3332" spans="6:19" ht="15" x14ac:dyDescent="0.25">
      <c r="F3332" s="39">
        <v>40758</v>
      </c>
      <c r="G3332" s="37">
        <v>4.75</v>
      </c>
      <c r="O3332"/>
      <c r="P3332"/>
      <c r="R3332" s="39">
        <v>40746</v>
      </c>
      <c r="S3332" s="37">
        <v>0.52300000000000002</v>
      </c>
    </row>
    <row r="3333" spans="6:19" ht="15" x14ac:dyDescent="0.25">
      <c r="F3333" s="39">
        <v>40757</v>
      </c>
      <c r="G3333" s="37">
        <v>4.75</v>
      </c>
      <c r="O3333"/>
      <c r="P3333"/>
      <c r="R3333" s="39">
        <v>40745</v>
      </c>
      <c r="S3333" s="37">
        <v>0.52149999999999996</v>
      </c>
    </row>
    <row r="3334" spans="6:19" ht="15" x14ac:dyDescent="0.25">
      <c r="F3334" s="39">
        <v>40756</v>
      </c>
      <c r="G3334" s="37">
        <v>4.75</v>
      </c>
      <c r="O3334"/>
      <c r="P3334"/>
      <c r="R3334" s="39">
        <v>40744</v>
      </c>
      <c r="S3334" s="37">
        <v>0.52380000000000004</v>
      </c>
    </row>
    <row r="3335" spans="6:19" ht="15" x14ac:dyDescent="0.25">
      <c r="F3335" s="39">
        <v>40753</v>
      </c>
      <c r="G3335" s="37">
        <v>4.75</v>
      </c>
      <c r="O3335"/>
      <c r="P3335"/>
      <c r="R3335" s="39">
        <v>40743</v>
      </c>
      <c r="S3335" s="37">
        <v>0.52300000000000002</v>
      </c>
    </row>
    <row r="3336" spans="6:19" ht="15" x14ac:dyDescent="0.25">
      <c r="F3336" s="39">
        <v>40752</v>
      </c>
      <c r="G3336" s="37">
        <v>4.75</v>
      </c>
      <c r="O3336"/>
      <c r="P3336"/>
      <c r="R3336" s="39">
        <v>40742</v>
      </c>
      <c r="S3336" s="37">
        <v>0.52170000000000005</v>
      </c>
    </row>
    <row r="3337" spans="6:19" ht="15" x14ac:dyDescent="0.25">
      <c r="F3337" s="39">
        <v>40751</v>
      </c>
      <c r="G3337" s="37">
        <v>4.75</v>
      </c>
      <c r="O3337"/>
      <c r="P3337"/>
      <c r="R3337" s="39">
        <v>40739</v>
      </c>
      <c r="S3337" s="37">
        <v>0.5272</v>
      </c>
    </row>
    <row r="3338" spans="6:19" ht="15" x14ac:dyDescent="0.25">
      <c r="F3338" s="39">
        <v>40750</v>
      </c>
      <c r="G3338" s="37">
        <v>4.75</v>
      </c>
      <c r="O3338"/>
      <c r="P3338"/>
      <c r="R3338" s="39">
        <v>40738</v>
      </c>
      <c r="S3338" s="37">
        <v>0.51949999999999996</v>
      </c>
    </row>
    <row r="3339" spans="6:19" ht="15" x14ac:dyDescent="0.25">
      <c r="F3339" s="39">
        <v>40749</v>
      </c>
      <c r="G3339" s="37">
        <v>4.75</v>
      </c>
      <c r="O3339"/>
      <c r="P3339"/>
      <c r="R3339" s="39">
        <v>40737</v>
      </c>
      <c r="S3339" s="37">
        <v>0.51990000000000003</v>
      </c>
    </row>
    <row r="3340" spans="6:19" ht="15" x14ac:dyDescent="0.25">
      <c r="F3340" s="39">
        <v>40746</v>
      </c>
      <c r="G3340" s="37">
        <v>4.75</v>
      </c>
      <c r="O3340"/>
      <c r="P3340"/>
      <c r="R3340" s="39">
        <v>40736</v>
      </c>
      <c r="S3340" s="37">
        <v>0.51800000000000002</v>
      </c>
    </row>
    <row r="3341" spans="6:19" ht="15" x14ac:dyDescent="0.25">
      <c r="F3341" s="39">
        <v>40745</v>
      </c>
      <c r="G3341" s="37">
        <v>4.75</v>
      </c>
      <c r="O3341"/>
      <c r="P3341"/>
      <c r="R3341" s="39">
        <v>40735</v>
      </c>
      <c r="S3341" s="37">
        <v>0.52249999999999996</v>
      </c>
    </row>
    <row r="3342" spans="6:19" ht="15" x14ac:dyDescent="0.25">
      <c r="F3342" s="39">
        <v>40744</v>
      </c>
      <c r="G3342" s="37">
        <v>4.75</v>
      </c>
      <c r="O3342"/>
      <c r="P3342"/>
      <c r="R3342" s="39">
        <v>40732</v>
      </c>
      <c r="S3342" s="37">
        <v>0.51890000000000003</v>
      </c>
    </row>
    <row r="3343" spans="6:19" ht="15" x14ac:dyDescent="0.25">
      <c r="F3343" s="39">
        <v>40743</v>
      </c>
      <c r="G3343" s="37">
        <v>4.75</v>
      </c>
      <c r="O3343"/>
      <c r="P3343"/>
      <c r="R3343" s="39">
        <v>40731</v>
      </c>
      <c r="S3343" s="37">
        <v>0.5171</v>
      </c>
    </row>
    <row r="3344" spans="6:19" ht="15" x14ac:dyDescent="0.25">
      <c r="F3344" s="39">
        <v>40742</v>
      </c>
      <c r="G3344" s="37">
        <v>4.75</v>
      </c>
      <c r="O3344"/>
      <c r="P3344"/>
      <c r="R3344" s="39">
        <v>40730</v>
      </c>
      <c r="S3344" s="37">
        <v>0.52049999999999996</v>
      </c>
    </row>
    <row r="3345" spans="6:19" ht="15" x14ac:dyDescent="0.25">
      <c r="F3345" s="39">
        <v>40739</v>
      </c>
      <c r="G3345" s="37">
        <v>4.75</v>
      </c>
      <c r="O3345"/>
      <c r="P3345"/>
      <c r="R3345" s="39">
        <v>40729</v>
      </c>
      <c r="S3345" s="37">
        <v>0.52070000000000005</v>
      </c>
    </row>
    <row r="3346" spans="6:19" ht="15" x14ac:dyDescent="0.25">
      <c r="F3346" s="39">
        <v>40738</v>
      </c>
      <c r="G3346" s="37">
        <v>4.75</v>
      </c>
      <c r="O3346"/>
      <c r="P3346"/>
      <c r="R3346" s="39">
        <v>40728</v>
      </c>
      <c r="S3346" s="37">
        <v>0.51670000000000005</v>
      </c>
    </row>
    <row r="3347" spans="6:19" ht="15" x14ac:dyDescent="0.25">
      <c r="F3347" s="39">
        <v>40737</v>
      </c>
      <c r="G3347" s="37">
        <v>4.75</v>
      </c>
      <c r="O3347"/>
      <c r="P3347"/>
      <c r="R3347" s="39">
        <v>40725</v>
      </c>
      <c r="S3347" s="37">
        <v>0.52049999999999996</v>
      </c>
    </row>
    <row r="3348" spans="6:19" ht="15" x14ac:dyDescent="0.25">
      <c r="F3348" s="39">
        <v>40736</v>
      </c>
      <c r="G3348" s="37">
        <v>4.75</v>
      </c>
      <c r="O3348"/>
      <c r="P3348"/>
      <c r="R3348" s="39">
        <v>40724</v>
      </c>
      <c r="S3348" s="37">
        <v>0.73680000000000001</v>
      </c>
    </row>
    <row r="3349" spans="6:19" ht="15" x14ac:dyDescent="0.25">
      <c r="F3349" s="39">
        <v>40735</v>
      </c>
      <c r="G3349" s="37">
        <v>4.75</v>
      </c>
      <c r="O3349"/>
      <c r="P3349"/>
      <c r="R3349" s="39">
        <v>40723</v>
      </c>
      <c r="S3349" s="37">
        <v>0.53069999999999995</v>
      </c>
    </row>
    <row r="3350" spans="6:19" ht="15" x14ac:dyDescent="0.25">
      <c r="F3350" s="39">
        <v>40732</v>
      </c>
      <c r="G3350" s="37">
        <v>4.75</v>
      </c>
      <c r="O3350"/>
      <c r="P3350"/>
      <c r="R3350" s="39">
        <v>40722</v>
      </c>
      <c r="S3350" s="37">
        <v>0.51839999999999997</v>
      </c>
    </row>
    <row r="3351" spans="6:19" ht="15" x14ac:dyDescent="0.25">
      <c r="F3351" s="39">
        <v>40731</v>
      </c>
      <c r="G3351" s="37">
        <v>4.75</v>
      </c>
      <c r="O3351"/>
      <c r="P3351"/>
      <c r="R3351" s="39">
        <v>40721</v>
      </c>
      <c r="S3351" s="37">
        <v>0.51749999999999996</v>
      </c>
    </row>
    <row r="3352" spans="6:19" ht="15" x14ac:dyDescent="0.25">
      <c r="F3352" s="39">
        <v>40730</v>
      </c>
      <c r="G3352" s="37">
        <v>4.75</v>
      </c>
      <c r="O3352"/>
      <c r="P3352"/>
      <c r="R3352" s="39">
        <v>40718</v>
      </c>
      <c r="S3352" s="37">
        <v>0.52149999999999996</v>
      </c>
    </row>
    <row r="3353" spans="6:19" ht="15" x14ac:dyDescent="0.25">
      <c r="F3353" s="39">
        <v>40729</v>
      </c>
      <c r="G3353" s="37">
        <v>4.75</v>
      </c>
      <c r="O3353"/>
      <c r="P3353"/>
      <c r="R3353" s="39">
        <v>40717</v>
      </c>
      <c r="S3353" s="37">
        <v>0.51729999999999998</v>
      </c>
    </row>
    <row r="3354" spans="6:19" ht="15" x14ac:dyDescent="0.25">
      <c r="F3354" s="39">
        <v>40728</v>
      </c>
      <c r="G3354" s="37">
        <v>4.75</v>
      </c>
      <c r="O3354"/>
      <c r="P3354"/>
      <c r="R3354" s="39">
        <v>40716</v>
      </c>
      <c r="S3354" s="37">
        <v>0.51549999999999996</v>
      </c>
    </row>
    <row r="3355" spans="6:19" ht="15" x14ac:dyDescent="0.25">
      <c r="F3355" s="39">
        <v>40725</v>
      </c>
      <c r="G3355" s="37">
        <v>4.75</v>
      </c>
      <c r="O3355"/>
      <c r="P3355"/>
      <c r="R3355" s="39">
        <v>40715</v>
      </c>
      <c r="S3355" s="37">
        <v>0.51790000000000003</v>
      </c>
    </row>
    <row r="3356" spans="6:19" ht="15" x14ac:dyDescent="0.25">
      <c r="F3356" s="39">
        <v>40724</v>
      </c>
      <c r="G3356" s="37">
        <v>4.75</v>
      </c>
      <c r="O3356"/>
      <c r="P3356"/>
      <c r="R3356" s="39">
        <v>40714</v>
      </c>
      <c r="S3356" s="37">
        <v>0.51819999999999999</v>
      </c>
    </row>
    <row r="3357" spans="6:19" ht="15" x14ac:dyDescent="0.25">
      <c r="F3357" s="39">
        <v>40723</v>
      </c>
      <c r="G3357" s="37">
        <v>4.75</v>
      </c>
      <c r="O3357"/>
      <c r="P3357"/>
      <c r="R3357" s="39">
        <v>40711</v>
      </c>
      <c r="S3357" s="37">
        <v>0.51870000000000005</v>
      </c>
    </row>
    <row r="3358" spans="6:19" ht="15" x14ac:dyDescent="0.25">
      <c r="F3358" s="39">
        <v>40722</v>
      </c>
      <c r="G3358" s="37">
        <v>4.75</v>
      </c>
      <c r="O3358"/>
      <c r="P3358"/>
      <c r="R3358" s="39">
        <v>40710</v>
      </c>
      <c r="S3358" s="37">
        <v>0.51649999999999996</v>
      </c>
    </row>
    <row r="3359" spans="6:19" ht="15" x14ac:dyDescent="0.25">
      <c r="F3359" s="39">
        <v>40721</v>
      </c>
      <c r="G3359" s="37">
        <v>4.75</v>
      </c>
      <c r="O3359"/>
      <c r="P3359"/>
      <c r="R3359" s="39">
        <v>40709</v>
      </c>
      <c r="S3359" s="37">
        <v>0.51229999999999998</v>
      </c>
    </row>
    <row r="3360" spans="6:19" ht="15" x14ac:dyDescent="0.25">
      <c r="F3360" s="39">
        <v>40718</v>
      </c>
      <c r="G3360" s="37">
        <v>4.75</v>
      </c>
      <c r="O3360"/>
      <c r="P3360"/>
      <c r="R3360" s="39">
        <v>40708</v>
      </c>
      <c r="S3360" s="37">
        <v>0.52049999999999996</v>
      </c>
    </row>
    <row r="3361" spans="6:19" ht="15" x14ac:dyDescent="0.25">
      <c r="F3361" s="39">
        <v>40717</v>
      </c>
      <c r="G3361" s="37">
        <v>4.75</v>
      </c>
      <c r="O3361"/>
      <c r="P3361"/>
      <c r="R3361" s="39">
        <v>40707</v>
      </c>
      <c r="S3361" s="37">
        <v>0.52559999999999996</v>
      </c>
    </row>
    <row r="3362" spans="6:19" ht="15" x14ac:dyDescent="0.25">
      <c r="F3362" s="39">
        <v>40716</v>
      </c>
      <c r="G3362" s="37">
        <v>4.75</v>
      </c>
      <c r="O3362"/>
      <c r="P3362"/>
      <c r="R3362" s="39">
        <v>40704</v>
      </c>
      <c r="S3362" s="37">
        <v>0.52590000000000003</v>
      </c>
    </row>
    <row r="3363" spans="6:19" ht="15" x14ac:dyDescent="0.25">
      <c r="F3363" s="39">
        <v>40715</v>
      </c>
      <c r="G3363" s="37">
        <v>4.75</v>
      </c>
      <c r="O3363"/>
      <c r="P3363"/>
      <c r="R3363" s="39">
        <v>40703</v>
      </c>
      <c r="S3363" s="37">
        <v>0.52259999999999995</v>
      </c>
    </row>
    <row r="3364" spans="6:19" ht="15" x14ac:dyDescent="0.25">
      <c r="F3364" s="39">
        <v>40714</v>
      </c>
      <c r="G3364" s="37">
        <v>4.75</v>
      </c>
      <c r="O3364"/>
      <c r="P3364"/>
      <c r="R3364" s="39">
        <v>40702</v>
      </c>
      <c r="S3364" s="37">
        <v>0.52239999999999998</v>
      </c>
    </row>
    <row r="3365" spans="6:19" ht="15" x14ac:dyDescent="0.25">
      <c r="F3365" s="39">
        <v>40711</v>
      </c>
      <c r="G3365" s="37">
        <v>4.75</v>
      </c>
      <c r="O3365"/>
      <c r="P3365"/>
      <c r="R3365" s="39">
        <v>40701</v>
      </c>
      <c r="S3365" s="37">
        <v>0.51919999999999999</v>
      </c>
    </row>
    <row r="3366" spans="6:19" ht="15" x14ac:dyDescent="0.25">
      <c r="F3366" s="39">
        <v>40710</v>
      </c>
      <c r="G3366" s="37">
        <v>4.75</v>
      </c>
      <c r="O3366"/>
      <c r="P3366"/>
      <c r="R3366" s="39">
        <v>40700</v>
      </c>
      <c r="S3366" s="37">
        <v>0.5242</v>
      </c>
    </row>
    <row r="3367" spans="6:19" ht="15" x14ac:dyDescent="0.25">
      <c r="F3367" s="39">
        <v>40709</v>
      </c>
      <c r="G3367" s="37">
        <v>4.75</v>
      </c>
      <c r="O3367"/>
      <c r="P3367"/>
      <c r="R3367" s="39">
        <v>40697</v>
      </c>
      <c r="S3367" s="37">
        <v>0.53090000000000004</v>
      </c>
    </row>
    <row r="3368" spans="6:19" ht="15" x14ac:dyDescent="0.25">
      <c r="F3368" s="39">
        <v>40708</v>
      </c>
      <c r="G3368" s="37">
        <v>4.75</v>
      </c>
      <c r="O3368"/>
      <c r="P3368"/>
      <c r="R3368" s="39">
        <v>40696</v>
      </c>
      <c r="S3368" s="37">
        <v>0.52370000000000005</v>
      </c>
    </row>
    <row r="3369" spans="6:19" ht="15" x14ac:dyDescent="0.25">
      <c r="F3369" s="39">
        <v>40704</v>
      </c>
      <c r="G3369" s="37">
        <v>4.75</v>
      </c>
      <c r="O3369"/>
      <c r="P3369"/>
      <c r="R3369" s="39">
        <v>40695</v>
      </c>
      <c r="S3369" s="37">
        <v>0.52749999999999997</v>
      </c>
    </row>
    <row r="3370" spans="6:19" ht="15" x14ac:dyDescent="0.25">
      <c r="F3370" s="39">
        <v>40703</v>
      </c>
      <c r="G3370" s="37">
        <v>4.75</v>
      </c>
      <c r="O3370"/>
      <c r="P3370"/>
      <c r="R3370" s="39">
        <v>40694</v>
      </c>
      <c r="S3370" s="37">
        <v>0.54179999999999995</v>
      </c>
    </row>
    <row r="3371" spans="6:19" ht="15" x14ac:dyDescent="0.25">
      <c r="F3371" s="39">
        <v>40702</v>
      </c>
      <c r="G3371" s="37">
        <v>4.75</v>
      </c>
      <c r="O3371"/>
      <c r="P3371"/>
      <c r="R3371" s="39">
        <v>40690</v>
      </c>
      <c r="S3371" s="37">
        <v>0.51890000000000003</v>
      </c>
    </row>
    <row r="3372" spans="6:19" ht="15" x14ac:dyDescent="0.25">
      <c r="F3372" s="39">
        <v>40701</v>
      </c>
      <c r="G3372" s="37">
        <v>4.75</v>
      </c>
      <c r="O3372"/>
      <c r="P3372"/>
      <c r="R3372" s="39">
        <v>40689</v>
      </c>
      <c r="S3372" s="37">
        <v>0.51629999999999998</v>
      </c>
    </row>
    <row r="3373" spans="6:19" ht="15" x14ac:dyDescent="0.25">
      <c r="F3373" s="39">
        <v>40700</v>
      </c>
      <c r="G3373" s="37">
        <v>4.75</v>
      </c>
      <c r="O3373"/>
      <c r="P3373"/>
      <c r="R3373" s="39">
        <v>40688</v>
      </c>
      <c r="S3373" s="37">
        <v>0.51290000000000002</v>
      </c>
    </row>
    <row r="3374" spans="6:19" ht="15" x14ac:dyDescent="0.25">
      <c r="F3374" s="39">
        <v>40697</v>
      </c>
      <c r="G3374" s="37">
        <v>4.75</v>
      </c>
      <c r="O3374"/>
      <c r="P3374"/>
      <c r="R3374" s="39">
        <v>40687</v>
      </c>
      <c r="S3374" s="37">
        <v>0.51849999999999996</v>
      </c>
    </row>
    <row r="3375" spans="6:19" ht="15" x14ac:dyDescent="0.25">
      <c r="F3375" s="39">
        <v>40696</v>
      </c>
      <c r="G3375" s="37">
        <v>4.75</v>
      </c>
      <c r="O3375"/>
      <c r="P3375"/>
      <c r="R3375" s="39">
        <v>40686</v>
      </c>
      <c r="S3375" s="37">
        <v>0.51619999999999999</v>
      </c>
    </row>
    <row r="3376" spans="6:19" ht="15" x14ac:dyDescent="0.25">
      <c r="F3376" s="39">
        <v>40695</v>
      </c>
      <c r="G3376" s="37">
        <v>4.75</v>
      </c>
      <c r="O3376"/>
      <c r="P3376"/>
      <c r="R3376" s="39">
        <v>40683</v>
      </c>
      <c r="S3376" s="37">
        <v>0.51739999999999997</v>
      </c>
    </row>
    <row r="3377" spans="6:19" ht="15" x14ac:dyDescent="0.25">
      <c r="F3377" s="39">
        <v>40694</v>
      </c>
      <c r="G3377" s="37">
        <v>4.75</v>
      </c>
      <c r="O3377"/>
      <c r="P3377"/>
      <c r="R3377" s="39">
        <v>40682</v>
      </c>
      <c r="S3377" s="37">
        <v>0.51290000000000002</v>
      </c>
    </row>
    <row r="3378" spans="6:19" ht="15" x14ac:dyDescent="0.25">
      <c r="F3378" s="39">
        <v>40693</v>
      </c>
      <c r="G3378" s="37">
        <v>4.75</v>
      </c>
      <c r="O3378"/>
      <c r="P3378"/>
      <c r="R3378" s="39">
        <v>40681</v>
      </c>
      <c r="S3378" s="37">
        <v>0.51439999999999997</v>
      </c>
    </row>
    <row r="3379" spans="6:19" ht="15" x14ac:dyDescent="0.25">
      <c r="F3379" s="39">
        <v>40690</v>
      </c>
      <c r="G3379" s="37">
        <v>4.75</v>
      </c>
      <c r="O3379"/>
      <c r="P3379"/>
      <c r="R3379" s="39">
        <v>40680</v>
      </c>
      <c r="S3379" s="37">
        <v>0.51470000000000005</v>
      </c>
    </row>
    <row r="3380" spans="6:19" ht="15" x14ac:dyDescent="0.25">
      <c r="F3380" s="39">
        <v>40689</v>
      </c>
      <c r="G3380" s="37">
        <v>4.75</v>
      </c>
      <c r="O3380"/>
      <c r="P3380"/>
      <c r="R3380" s="39">
        <v>40679</v>
      </c>
      <c r="S3380" s="37">
        <v>0.51790000000000003</v>
      </c>
    </row>
    <row r="3381" spans="6:19" ht="15" x14ac:dyDescent="0.25">
      <c r="F3381" s="39">
        <v>40688</v>
      </c>
      <c r="G3381" s="37">
        <v>4.75</v>
      </c>
      <c r="O3381"/>
      <c r="P3381"/>
      <c r="R3381" s="39">
        <v>40676</v>
      </c>
      <c r="S3381" s="37">
        <v>0.51359999999999995</v>
      </c>
    </row>
    <row r="3382" spans="6:19" ht="15" x14ac:dyDescent="0.25">
      <c r="F3382" s="39">
        <v>40687</v>
      </c>
      <c r="G3382" s="37">
        <v>4.75</v>
      </c>
      <c r="O3382"/>
      <c r="P3382"/>
      <c r="R3382" s="39">
        <v>40675</v>
      </c>
      <c r="S3382" s="37">
        <v>0.51959999999999995</v>
      </c>
    </row>
    <row r="3383" spans="6:19" ht="15" x14ac:dyDescent="0.25">
      <c r="F3383" s="39">
        <v>40686</v>
      </c>
      <c r="G3383" s="37">
        <v>4.75</v>
      </c>
      <c r="O3383"/>
      <c r="P3383"/>
      <c r="R3383" s="39">
        <v>40674</v>
      </c>
      <c r="S3383" s="37">
        <v>0.51559999999999995</v>
      </c>
    </row>
    <row r="3384" spans="6:19" ht="15" x14ac:dyDescent="0.25">
      <c r="F3384" s="39">
        <v>40683</v>
      </c>
      <c r="G3384" s="37">
        <v>4.75</v>
      </c>
      <c r="O3384"/>
      <c r="P3384"/>
      <c r="R3384" s="39">
        <v>40673</v>
      </c>
      <c r="S3384" s="37">
        <v>0.52</v>
      </c>
    </row>
    <row r="3385" spans="6:19" ht="15" x14ac:dyDescent="0.25">
      <c r="F3385" s="39">
        <v>40682</v>
      </c>
      <c r="G3385" s="37">
        <v>4.75</v>
      </c>
      <c r="O3385"/>
      <c r="P3385"/>
      <c r="R3385" s="39">
        <v>40672</v>
      </c>
      <c r="S3385" s="37">
        <v>0.52629999999999999</v>
      </c>
    </row>
    <row r="3386" spans="6:19" ht="15" x14ac:dyDescent="0.25">
      <c r="F3386" s="39">
        <v>40681</v>
      </c>
      <c r="G3386" s="37">
        <v>4.75</v>
      </c>
      <c r="O3386"/>
      <c r="P3386"/>
      <c r="R3386" s="39">
        <v>40669</v>
      </c>
      <c r="S3386" s="37">
        <v>0.52559999999999996</v>
      </c>
    </row>
    <row r="3387" spans="6:19" ht="15" x14ac:dyDescent="0.25">
      <c r="F3387" s="39">
        <v>40680</v>
      </c>
      <c r="G3387" s="37">
        <v>4.75</v>
      </c>
      <c r="O3387"/>
      <c r="P3387"/>
      <c r="R3387" s="39">
        <v>40668</v>
      </c>
      <c r="S3387" s="37">
        <v>0.53400000000000003</v>
      </c>
    </row>
    <row r="3388" spans="6:19" ht="15" x14ac:dyDescent="0.25">
      <c r="F3388" s="39">
        <v>40679</v>
      </c>
      <c r="G3388" s="37">
        <v>4.75</v>
      </c>
      <c r="O3388"/>
      <c r="P3388"/>
      <c r="R3388" s="39">
        <v>40667</v>
      </c>
      <c r="S3388" s="37">
        <v>0.53649999999999998</v>
      </c>
    </row>
    <row r="3389" spans="6:19" ht="15" x14ac:dyDescent="0.25">
      <c r="F3389" s="39">
        <v>40676</v>
      </c>
      <c r="G3389" s="37">
        <v>4.75</v>
      </c>
      <c r="O3389"/>
      <c r="P3389"/>
      <c r="R3389" s="39">
        <v>40666</v>
      </c>
      <c r="S3389" s="37">
        <v>0.54020000000000001</v>
      </c>
    </row>
    <row r="3390" spans="6:19" ht="15" x14ac:dyDescent="0.25">
      <c r="F3390" s="39">
        <v>40675</v>
      </c>
      <c r="G3390" s="37">
        <v>4.75</v>
      </c>
      <c r="O3390"/>
      <c r="P3390"/>
      <c r="R3390" s="39">
        <v>40661</v>
      </c>
      <c r="S3390" s="37">
        <v>0.55720000000000003</v>
      </c>
    </row>
    <row r="3391" spans="6:19" ht="15" x14ac:dyDescent="0.25">
      <c r="F3391" s="39">
        <v>40674</v>
      </c>
      <c r="G3391" s="37">
        <v>4.75</v>
      </c>
      <c r="O3391"/>
      <c r="P3391"/>
      <c r="R3391" s="39">
        <v>40660</v>
      </c>
      <c r="S3391" s="37">
        <v>0.53649999999999998</v>
      </c>
    </row>
    <row r="3392" spans="6:19" ht="15" x14ac:dyDescent="0.25">
      <c r="F3392" s="39">
        <v>40673</v>
      </c>
      <c r="G3392" s="37">
        <v>4.75</v>
      </c>
      <c r="O3392"/>
      <c r="P3392"/>
      <c r="R3392" s="39">
        <v>40659</v>
      </c>
      <c r="S3392" s="37">
        <v>0.53600000000000003</v>
      </c>
    </row>
    <row r="3393" spans="6:19" ht="15" x14ac:dyDescent="0.25">
      <c r="F3393" s="39">
        <v>40672</v>
      </c>
      <c r="G3393" s="37">
        <v>4.75</v>
      </c>
      <c r="O3393"/>
      <c r="P3393"/>
      <c r="R3393" s="39">
        <v>40654</v>
      </c>
      <c r="S3393" s="37">
        <v>0.5363</v>
      </c>
    </row>
    <row r="3394" spans="6:19" ht="15" x14ac:dyDescent="0.25">
      <c r="F3394" s="39">
        <v>40669</v>
      </c>
      <c r="G3394" s="37">
        <v>4.75</v>
      </c>
      <c r="O3394"/>
      <c r="P3394"/>
      <c r="R3394" s="39">
        <v>40653</v>
      </c>
      <c r="S3394" s="37">
        <v>0.52329999999999999</v>
      </c>
    </row>
    <row r="3395" spans="6:19" ht="15" x14ac:dyDescent="0.25">
      <c r="F3395" s="39">
        <v>40668</v>
      </c>
      <c r="G3395" s="37">
        <v>4.75</v>
      </c>
      <c r="O3395"/>
      <c r="P3395"/>
      <c r="R3395" s="39">
        <v>40652</v>
      </c>
      <c r="S3395" s="37">
        <v>0.5242</v>
      </c>
    </row>
    <row r="3396" spans="6:19" ht="15" x14ac:dyDescent="0.25">
      <c r="F3396" s="39">
        <v>40667</v>
      </c>
      <c r="G3396" s="37">
        <v>4.75</v>
      </c>
      <c r="O3396"/>
      <c r="P3396"/>
      <c r="R3396" s="39">
        <v>40651</v>
      </c>
      <c r="S3396" s="37">
        <v>0.52390000000000003</v>
      </c>
    </row>
    <row r="3397" spans="6:19" ht="15" x14ac:dyDescent="0.25">
      <c r="F3397" s="39">
        <v>40666</v>
      </c>
      <c r="G3397" s="37">
        <v>4.75</v>
      </c>
      <c r="O3397"/>
      <c r="P3397"/>
      <c r="R3397" s="39">
        <v>40648</v>
      </c>
      <c r="S3397" s="37">
        <v>0.51549999999999996</v>
      </c>
    </row>
    <row r="3398" spans="6:19" ht="15" x14ac:dyDescent="0.25">
      <c r="F3398" s="39">
        <v>40665</v>
      </c>
      <c r="G3398" s="37">
        <v>4.75</v>
      </c>
      <c r="O3398"/>
      <c r="P3398"/>
      <c r="R3398" s="39">
        <v>40647</v>
      </c>
      <c r="S3398" s="37">
        <v>0.51910000000000001</v>
      </c>
    </row>
    <row r="3399" spans="6:19" ht="15" x14ac:dyDescent="0.25">
      <c r="F3399" s="39">
        <v>40662</v>
      </c>
      <c r="G3399" s="37">
        <v>4.75</v>
      </c>
      <c r="O3399"/>
      <c r="P3399"/>
      <c r="R3399" s="39">
        <v>40646</v>
      </c>
      <c r="S3399" s="37">
        <v>0.51400000000000001</v>
      </c>
    </row>
    <row r="3400" spans="6:19" ht="15" x14ac:dyDescent="0.25">
      <c r="F3400" s="39">
        <v>40661</v>
      </c>
      <c r="G3400" s="37">
        <v>4.75</v>
      </c>
      <c r="O3400"/>
      <c r="P3400"/>
      <c r="R3400" s="39">
        <v>40645</v>
      </c>
      <c r="S3400" s="37">
        <v>0.51549999999999996</v>
      </c>
    </row>
    <row r="3401" spans="6:19" ht="15" x14ac:dyDescent="0.25">
      <c r="F3401" s="39">
        <v>40660</v>
      </c>
      <c r="G3401" s="37">
        <v>4.75</v>
      </c>
      <c r="O3401"/>
      <c r="P3401"/>
      <c r="R3401" s="39">
        <v>40644</v>
      </c>
      <c r="S3401" s="37">
        <v>0.51959999999999995</v>
      </c>
    </row>
    <row r="3402" spans="6:19" ht="15" x14ac:dyDescent="0.25">
      <c r="F3402" s="39">
        <v>40654</v>
      </c>
      <c r="G3402" s="37">
        <v>4.75</v>
      </c>
      <c r="O3402"/>
      <c r="P3402"/>
      <c r="R3402" s="39">
        <v>40641</v>
      </c>
      <c r="S3402" s="37">
        <v>0.52580000000000005</v>
      </c>
    </row>
    <row r="3403" spans="6:19" ht="15" x14ac:dyDescent="0.25">
      <c r="F3403" s="39">
        <v>40653</v>
      </c>
      <c r="G3403" s="37">
        <v>4.75</v>
      </c>
      <c r="O3403"/>
      <c r="P3403"/>
      <c r="R3403" s="39">
        <v>40640</v>
      </c>
      <c r="S3403" s="37">
        <v>0.51229999999999998</v>
      </c>
    </row>
    <row r="3404" spans="6:19" ht="15" x14ac:dyDescent="0.25">
      <c r="F3404" s="39">
        <v>40652</v>
      </c>
      <c r="G3404" s="37">
        <v>4.75</v>
      </c>
      <c r="O3404"/>
      <c r="P3404"/>
      <c r="R3404" s="39">
        <v>40639</v>
      </c>
      <c r="S3404" s="37">
        <v>0.51270000000000004</v>
      </c>
    </row>
    <row r="3405" spans="6:19" ht="15" x14ac:dyDescent="0.25">
      <c r="F3405" s="39">
        <v>40651</v>
      </c>
      <c r="G3405" s="37">
        <v>4.75</v>
      </c>
      <c r="O3405"/>
      <c r="P3405"/>
      <c r="R3405" s="39">
        <v>40638</v>
      </c>
      <c r="S3405" s="37">
        <v>0.51659999999999995</v>
      </c>
    </row>
    <row r="3406" spans="6:19" ht="15" x14ac:dyDescent="0.25">
      <c r="F3406" s="39">
        <v>40648</v>
      </c>
      <c r="G3406" s="37">
        <v>4.75</v>
      </c>
      <c r="O3406"/>
      <c r="P3406"/>
      <c r="R3406" s="39">
        <v>40637</v>
      </c>
      <c r="S3406" s="37">
        <v>0.51529999999999998</v>
      </c>
    </row>
    <row r="3407" spans="6:19" ht="15" x14ac:dyDescent="0.25">
      <c r="F3407" s="39">
        <v>40647</v>
      </c>
      <c r="G3407" s="37">
        <v>4.75</v>
      </c>
      <c r="O3407"/>
      <c r="P3407"/>
      <c r="R3407" s="39">
        <v>40634</v>
      </c>
      <c r="S3407" s="37">
        <v>0.52829999999999999</v>
      </c>
    </row>
    <row r="3408" spans="6:19" ht="15" x14ac:dyDescent="0.25">
      <c r="F3408" s="39">
        <v>40646</v>
      </c>
      <c r="G3408" s="37">
        <v>4.75</v>
      </c>
      <c r="O3408"/>
      <c r="P3408"/>
      <c r="R3408" s="39">
        <v>40633</v>
      </c>
      <c r="S3408" s="37">
        <v>0.53959999999999997</v>
      </c>
    </row>
    <row r="3409" spans="6:19" ht="15" x14ac:dyDescent="0.25">
      <c r="F3409" s="39">
        <v>40645</v>
      </c>
      <c r="G3409" s="37">
        <v>4.75</v>
      </c>
      <c r="O3409"/>
      <c r="P3409"/>
      <c r="R3409" s="39">
        <v>40632</v>
      </c>
      <c r="S3409" s="37">
        <v>0.5202</v>
      </c>
    </row>
    <row r="3410" spans="6:19" ht="15" x14ac:dyDescent="0.25">
      <c r="F3410" s="39">
        <v>40644</v>
      </c>
      <c r="G3410" s="37">
        <v>4.75</v>
      </c>
      <c r="O3410"/>
      <c r="P3410"/>
      <c r="R3410" s="39">
        <v>40631</v>
      </c>
      <c r="S3410" s="37">
        <v>0.51390000000000002</v>
      </c>
    </row>
    <row r="3411" spans="6:19" ht="15" x14ac:dyDescent="0.25">
      <c r="F3411" s="39">
        <v>40641</v>
      </c>
      <c r="G3411" s="37">
        <v>4.75</v>
      </c>
      <c r="O3411"/>
      <c r="P3411"/>
      <c r="R3411" s="39">
        <v>40630</v>
      </c>
      <c r="S3411" s="37">
        <v>0.51749999999999996</v>
      </c>
    </row>
    <row r="3412" spans="6:19" ht="15" x14ac:dyDescent="0.25">
      <c r="F3412" s="39">
        <v>40640</v>
      </c>
      <c r="G3412" s="37">
        <v>4.75</v>
      </c>
      <c r="O3412"/>
      <c r="P3412"/>
      <c r="R3412" s="39">
        <v>40627</v>
      </c>
      <c r="S3412" s="37">
        <v>0.51880000000000004</v>
      </c>
    </row>
    <row r="3413" spans="6:19" ht="15" x14ac:dyDescent="0.25">
      <c r="F3413" s="39">
        <v>40639</v>
      </c>
      <c r="G3413" s="37">
        <v>4.75</v>
      </c>
      <c r="O3413"/>
      <c r="P3413"/>
      <c r="R3413" s="39">
        <v>40626</v>
      </c>
      <c r="S3413" s="37">
        <v>0.51249999999999996</v>
      </c>
    </row>
    <row r="3414" spans="6:19" ht="15" x14ac:dyDescent="0.25">
      <c r="F3414" s="39">
        <v>40638</v>
      </c>
      <c r="G3414" s="37">
        <v>4.75</v>
      </c>
      <c r="O3414"/>
      <c r="P3414"/>
      <c r="R3414" s="39">
        <v>40625</v>
      </c>
      <c r="S3414" s="37">
        <v>0.50780000000000003</v>
      </c>
    </row>
    <row r="3415" spans="6:19" ht="15" x14ac:dyDescent="0.25">
      <c r="F3415" s="39">
        <v>40637</v>
      </c>
      <c r="G3415" s="37">
        <v>4.75</v>
      </c>
      <c r="O3415"/>
      <c r="P3415"/>
      <c r="R3415" s="39">
        <v>40624</v>
      </c>
      <c r="S3415" s="37">
        <v>0.51700000000000002</v>
      </c>
    </row>
    <row r="3416" spans="6:19" ht="15" x14ac:dyDescent="0.25">
      <c r="F3416" s="39">
        <v>40634</v>
      </c>
      <c r="G3416" s="37">
        <v>4.75</v>
      </c>
      <c r="O3416"/>
      <c r="P3416"/>
      <c r="R3416" s="39">
        <v>40623</v>
      </c>
      <c r="S3416" s="37">
        <v>0.51659999999999995</v>
      </c>
    </row>
    <row r="3417" spans="6:19" ht="15" x14ac:dyDescent="0.25">
      <c r="F3417" s="39">
        <v>40633</v>
      </c>
      <c r="G3417" s="37">
        <v>4.75</v>
      </c>
      <c r="O3417"/>
      <c r="P3417"/>
      <c r="R3417" s="39">
        <v>40620</v>
      </c>
      <c r="S3417" s="37">
        <v>0.51829999999999998</v>
      </c>
    </row>
    <row r="3418" spans="6:19" ht="15" x14ac:dyDescent="0.25">
      <c r="F3418" s="39">
        <v>40632</v>
      </c>
      <c r="G3418" s="37">
        <v>4.75</v>
      </c>
      <c r="O3418"/>
      <c r="P3418"/>
      <c r="R3418" s="39">
        <v>40619</v>
      </c>
      <c r="S3418" s="37">
        <v>0.51559999999999995</v>
      </c>
    </row>
    <row r="3419" spans="6:19" ht="15" x14ac:dyDescent="0.25">
      <c r="F3419" s="39">
        <v>40631</v>
      </c>
      <c r="G3419" s="37">
        <v>4.75</v>
      </c>
      <c r="O3419"/>
      <c r="P3419"/>
      <c r="R3419" s="39">
        <v>40618</v>
      </c>
      <c r="S3419" s="37">
        <v>0.51329999999999998</v>
      </c>
    </row>
    <row r="3420" spans="6:19" ht="15" x14ac:dyDescent="0.25">
      <c r="F3420" s="39">
        <v>40630</v>
      </c>
      <c r="G3420" s="37">
        <v>4.75</v>
      </c>
      <c r="O3420"/>
      <c r="P3420"/>
      <c r="R3420" s="39">
        <v>40617</v>
      </c>
      <c r="S3420" s="37">
        <v>0.51290000000000002</v>
      </c>
    </row>
    <row r="3421" spans="6:19" ht="15" x14ac:dyDescent="0.25">
      <c r="F3421" s="39">
        <v>40627</v>
      </c>
      <c r="G3421" s="37">
        <v>4.75</v>
      </c>
      <c r="O3421"/>
      <c r="P3421"/>
      <c r="R3421" s="39">
        <v>40616</v>
      </c>
      <c r="S3421" s="37">
        <v>0.51539999999999997</v>
      </c>
    </row>
    <row r="3422" spans="6:19" ht="15" x14ac:dyDescent="0.25">
      <c r="F3422" s="39">
        <v>40626</v>
      </c>
      <c r="G3422" s="37">
        <v>4.75</v>
      </c>
      <c r="O3422"/>
      <c r="P3422"/>
      <c r="R3422" s="39">
        <v>40613</v>
      </c>
      <c r="S3422" s="37">
        <v>0.51419999999999999</v>
      </c>
    </row>
    <row r="3423" spans="6:19" ht="15" x14ac:dyDescent="0.25">
      <c r="F3423" s="39">
        <v>40625</v>
      </c>
      <c r="G3423" s="37">
        <v>4.75</v>
      </c>
      <c r="O3423"/>
      <c r="P3423"/>
      <c r="R3423" s="39">
        <v>40612</v>
      </c>
      <c r="S3423" s="37">
        <v>0.51239999999999997</v>
      </c>
    </row>
    <row r="3424" spans="6:19" ht="15" x14ac:dyDescent="0.25">
      <c r="F3424" s="39">
        <v>40624</v>
      </c>
      <c r="G3424" s="37">
        <v>4.75</v>
      </c>
      <c r="O3424"/>
      <c r="P3424"/>
      <c r="R3424" s="39">
        <v>40611</v>
      </c>
      <c r="S3424" s="37">
        <v>0.51070000000000004</v>
      </c>
    </row>
    <row r="3425" spans="6:19" ht="15" x14ac:dyDescent="0.25">
      <c r="F3425" s="39">
        <v>40623</v>
      </c>
      <c r="G3425" s="37">
        <v>4.75</v>
      </c>
      <c r="O3425"/>
      <c r="P3425"/>
      <c r="R3425" s="39">
        <v>40610</v>
      </c>
      <c r="S3425" s="37">
        <v>0.51380000000000003</v>
      </c>
    </row>
    <row r="3426" spans="6:19" ht="15" x14ac:dyDescent="0.25">
      <c r="F3426" s="39">
        <v>40620</v>
      </c>
      <c r="G3426" s="37">
        <v>4.75</v>
      </c>
      <c r="O3426"/>
      <c r="P3426"/>
      <c r="R3426" s="39">
        <v>40609</v>
      </c>
      <c r="S3426" s="37">
        <v>0.51759999999999995</v>
      </c>
    </row>
    <row r="3427" spans="6:19" ht="15" x14ac:dyDescent="0.25">
      <c r="F3427" s="39">
        <v>40619</v>
      </c>
      <c r="G3427" s="37">
        <v>4.75</v>
      </c>
      <c r="O3427"/>
      <c r="P3427"/>
      <c r="R3427" s="39">
        <v>40606</v>
      </c>
      <c r="S3427" s="37">
        <v>0.51549999999999996</v>
      </c>
    </row>
    <row r="3428" spans="6:19" ht="15" x14ac:dyDescent="0.25">
      <c r="F3428" s="39">
        <v>40618</v>
      </c>
      <c r="G3428" s="37">
        <v>4.75</v>
      </c>
      <c r="O3428"/>
      <c r="P3428"/>
      <c r="R3428" s="39">
        <v>40605</v>
      </c>
      <c r="S3428" s="37">
        <v>0.51219999999999999</v>
      </c>
    </row>
    <row r="3429" spans="6:19" ht="15" x14ac:dyDescent="0.25">
      <c r="F3429" s="39">
        <v>40617</v>
      </c>
      <c r="G3429" s="37">
        <v>4.75</v>
      </c>
      <c r="O3429"/>
      <c r="P3429"/>
      <c r="R3429" s="39">
        <v>40604</v>
      </c>
      <c r="S3429" s="37">
        <v>0.50860000000000005</v>
      </c>
    </row>
    <row r="3430" spans="6:19" ht="15" x14ac:dyDescent="0.25">
      <c r="F3430" s="39">
        <v>40616</v>
      </c>
      <c r="G3430" s="37">
        <v>4.75</v>
      </c>
      <c r="O3430"/>
      <c r="P3430"/>
      <c r="R3430" s="39">
        <v>40603</v>
      </c>
      <c r="S3430" s="37">
        <v>0.51049999999999995</v>
      </c>
    </row>
    <row r="3431" spans="6:19" ht="15" x14ac:dyDescent="0.25">
      <c r="F3431" s="39">
        <v>40613</v>
      </c>
      <c r="G3431" s="37">
        <v>4.75</v>
      </c>
      <c r="O3431"/>
      <c r="P3431"/>
      <c r="R3431" s="39">
        <v>40602</v>
      </c>
      <c r="S3431" s="37">
        <v>0.51359999999999995</v>
      </c>
    </row>
    <row r="3432" spans="6:19" ht="15" x14ac:dyDescent="0.25">
      <c r="F3432" s="39">
        <v>40612</v>
      </c>
      <c r="G3432" s="37">
        <v>4.75</v>
      </c>
      <c r="O3432"/>
      <c r="P3432"/>
      <c r="R3432" s="39">
        <v>40599</v>
      </c>
      <c r="S3432" s="37">
        <v>0.51019999999999999</v>
      </c>
    </row>
    <row r="3433" spans="6:19" ht="15" x14ac:dyDescent="0.25">
      <c r="F3433" s="39">
        <v>40611</v>
      </c>
      <c r="G3433" s="37">
        <v>4.75</v>
      </c>
      <c r="O3433"/>
      <c r="P3433"/>
      <c r="R3433" s="39">
        <v>40598</v>
      </c>
      <c r="S3433" s="37">
        <v>0.50870000000000004</v>
      </c>
    </row>
    <row r="3434" spans="6:19" ht="15" x14ac:dyDescent="0.25">
      <c r="F3434" s="39">
        <v>40610</v>
      </c>
      <c r="G3434" s="37">
        <v>4.75</v>
      </c>
      <c r="O3434"/>
      <c r="P3434"/>
      <c r="R3434" s="39">
        <v>40597</v>
      </c>
      <c r="S3434" s="37">
        <v>0.50780000000000003</v>
      </c>
    </row>
    <row r="3435" spans="6:19" ht="15" x14ac:dyDescent="0.25">
      <c r="F3435" s="39">
        <v>40609</v>
      </c>
      <c r="G3435" s="37">
        <v>4.75</v>
      </c>
      <c r="O3435"/>
      <c r="P3435"/>
      <c r="R3435" s="39">
        <v>40596</v>
      </c>
      <c r="S3435" s="37">
        <v>0.51</v>
      </c>
    </row>
    <row r="3436" spans="6:19" ht="15" x14ac:dyDescent="0.25">
      <c r="F3436" s="39">
        <v>40606</v>
      </c>
      <c r="G3436" s="37">
        <v>4.75</v>
      </c>
      <c r="O3436"/>
      <c r="P3436"/>
      <c r="R3436" s="39">
        <v>40595</v>
      </c>
      <c r="S3436" s="37">
        <v>0.51019999999999999</v>
      </c>
    </row>
    <row r="3437" spans="6:19" ht="15" x14ac:dyDescent="0.25">
      <c r="F3437" s="39">
        <v>40605</v>
      </c>
      <c r="G3437" s="37">
        <v>4.75</v>
      </c>
      <c r="O3437"/>
      <c r="P3437"/>
      <c r="R3437" s="39">
        <v>40592</v>
      </c>
      <c r="S3437" s="37">
        <v>0.51070000000000004</v>
      </c>
    </row>
    <row r="3438" spans="6:19" ht="15" x14ac:dyDescent="0.25">
      <c r="F3438" s="39">
        <v>40604</v>
      </c>
      <c r="G3438" s="37">
        <v>4.75</v>
      </c>
      <c r="O3438"/>
      <c r="P3438"/>
      <c r="R3438" s="39">
        <v>40591</v>
      </c>
      <c r="S3438" s="37">
        <v>0.5091</v>
      </c>
    </row>
    <row r="3439" spans="6:19" ht="15" x14ac:dyDescent="0.25">
      <c r="F3439" s="39">
        <v>40603</v>
      </c>
      <c r="G3439" s="37">
        <v>4.75</v>
      </c>
      <c r="O3439"/>
      <c r="P3439"/>
      <c r="R3439" s="39">
        <v>40590</v>
      </c>
      <c r="S3439" s="37">
        <v>0.50929999999999997</v>
      </c>
    </row>
    <row r="3440" spans="6:19" ht="15" x14ac:dyDescent="0.25">
      <c r="F3440" s="39">
        <v>40602</v>
      </c>
      <c r="G3440" s="37">
        <v>4.75</v>
      </c>
      <c r="O3440"/>
      <c r="P3440"/>
      <c r="R3440" s="39">
        <v>40589</v>
      </c>
      <c r="S3440" s="37">
        <v>0.51519999999999999</v>
      </c>
    </row>
    <row r="3441" spans="6:19" ht="15" x14ac:dyDescent="0.25">
      <c r="F3441" s="39">
        <v>40599</v>
      </c>
      <c r="G3441" s="37">
        <v>4.75</v>
      </c>
      <c r="O3441"/>
      <c r="P3441"/>
      <c r="R3441" s="39">
        <v>40588</v>
      </c>
      <c r="S3441" s="37">
        <v>0.51180000000000003</v>
      </c>
    </row>
    <row r="3442" spans="6:19" ht="15" x14ac:dyDescent="0.25">
      <c r="F3442" s="39">
        <v>40598</v>
      </c>
      <c r="G3442" s="37">
        <v>4.75</v>
      </c>
      <c r="O3442"/>
      <c r="P3442"/>
      <c r="R3442" s="39">
        <v>40585</v>
      </c>
      <c r="S3442" s="37">
        <v>0.51570000000000005</v>
      </c>
    </row>
    <row r="3443" spans="6:19" ht="15" x14ac:dyDescent="0.25">
      <c r="F3443" s="39">
        <v>40597</v>
      </c>
      <c r="G3443" s="37">
        <v>4.75</v>
      </c>
      <c r="O3443"/>
      <c r="P3443"/>
      <c r="R3443" s="39">
        <v>40584</v>
      </c>
      <c r="S3443" s="37">
        <v>0.50829999999999997</v>
      </c>
    </row>
    <row r="3444" spans="6:19" ht="15" x14ac:dyDescent="0.25">
      <c r="F3444" s="39">
        <v>40596</v>
      </c>
      <c r="G3444" s="37">
        <v>4.75</v>
      </c>
      <c r="O3444"/>
      <c r="P3444"/>
      <c r="R3444" s="39">
        <v>40583</v>
      </c>
      <c r="S3444" s="37">
        <v>0.50470000000000004</v>
      </c>
    </row>
    <row r="3445" spans="6:19" ht="15" x14ac:dyDescent="0.25">
      <c r="F3445" s="39">
        <v>40595</v>
      </c>
      <c r="G3445" s="37">
        <v>4.75</v>
      </c>
      <c r="O3445"/>
      <c r="P3445"/>
      <c r="R3445" s="39">
        <v>40582</v>
      </c>
      <c r="S3445" s="37">
        <v>0.50480000000000003</v>
      </c>
    </row>
    <row r="3446" spans="6:19" ht="15" x14ac:dyDescent="0.25">
      <c r="F3446" s="39">
        <v>40592</v>
      </c>
      <c r="G3446" s="37">
        <v>4.75</v>
      </c>
      <c r="O3446"/>
      <c r="P3446"/>
      <c r="R3446" s="39">
        <v>40581</v>
      </c>
      <c r="S3446" s="37">
        <v>0.49990000000000001</v>
      </c>
    </row>
    <row r="3447" spans="6:19" ht="15" x14ac:dyDescent="0.25">
      <c r="F3447" s="39">
        <v>40591</v>
      </c>
      <c r="G3447" s="37">
        <v>4.75</v>
      </c>
      <c r="O3447"/>
      <c r="P3447"/>
      <c r="R3447" s="39">
        <v>40578</v>
      </c>
      <c r="S3447" s="37">
        <v>0.50939999999999996</v>
      </c>
    </row>
    <row r="3448" spans="6:19" ht="15" x14ac:dyDescent="0.25">
      <c r="F3448" s="39">
        <v>40590</v>
      </c>
      <c r="G3448" s="37">
        <v>4.75</v>
      </c>
      <c r="O3448"/>
      <c r="P3448"/>
      <c r="R3448" s="39">
        <v>40577</v>
      </c>
      <c r="S3448" s="37">
        <v>0.50390000000000001</v>
      </c>
    </row>
    <row r="3449" spans="6:19" ht="15" x14ac:dyDescent="0.25">
      <c r="F3449" s="39">
        <v>40589</v>
      </c>
      <c r="G3449" s="37">
        <v>4.75</v>
      </c>
      <c r="O3449"/>
      <c r="P3449"/>
      <c r="R3449" s="39">
        <v>40576</v>
      </c>
      <c r="S3449" s="37">
        <v>0.50239999999999996</v>
      </c>
    </row>
    <row r="3450" spans="6:19" ht="15" x14ac:dyDescent="0.25">
      <c r="F3450" s="39">
        <v>40588</v>
      </c>
      <c r="G3450" s="37">
        <v>4.75</v>
      </c>
      <c r="O3450"/>
      <c r="P3450"/>
      <c r="R3450" s="39">
        <v>40575</v>
      </c>
      <c r="S3450" s="37">
        <v>0.50170000000000003</v>
      </c>
    </row>
    <row r="3451" spans="6:19" ht="15" x14ac:dyDescent="0.25">
      <c r="F3451" s="39">
        <v>40585</v>
      </c>
      <c r="G3451" s="37">
        <v>4.75</v>
      </c>
      <c r="O3451"/>
      <c r="P3451"/>
      <c r="R3451" s="39">
        <v>40574</v>
      </c>
      <c r="S3451" s="37">
        <v>0.51080000000000003</v>
      </c>
    </row>
    <row r="3452" spans="6:19" ht="15" x14ac:dyDescent="0.25">
      <c r="F3452" s="39">
        <v>40584</v>
      </c>
      <c r="G3452" s="37">
        <v>4.75</v>
      </c>
      <c r="O3452"/>
      <c r="P3452"/>
      <c r="R3452" s="39">
        <v>40571</v>
      </c>
      <c r="S3452" s="37">
        <v>0.50790000000000002</v>
      </c>
    </row>
    <row r="3453" spans="6:19" ht="15" x14ac:dyDescent="0.25">
      <c r="F3453" s="39">
        <v>40583</v>
      </c>
      <c r="G3453" s="37">
        <v>4.75</v>
      </c>
      <c r="O3453"/>
      <c r="P3453"/>
      <c r="R3453" s="39">
        <v>40570</v>
      </c>
      <c r="S3453" s="37">
        <v>0.5071</v>
      </c>
    </row>
    <row r="3454" spans="6:19" ht="15" x14ac:dyDescent="0.25">
      <c r="F3454" s="39">
        <v>40582</v>
      </c>
      <c r="G3454" s="37">
        <v>4.75</v>
      </c>
      <c r="O3454"/>
      <c r="P3454"/>
      <c r="R3454" s="39">
        <v>40569</v>
      </c>
      <c r="S3454" s="37">
        <v>0.505</v>
      </c>
    </row>
    <row r="3455" spans="6:19" ht="15" x14ac:dyDescent="0.25">
      <c r="F3455" s="39">
        <v>40581</v>
      </c>
      <c r="G3455" s="37">
        <v>4.75</v>
      </c>
      <c r="O3455"/>
      <c r="P3455"/>
      <c r="R3455" s="39">
        <v>40568</v>
      </c>
      <c r="S3455" s="37">
        <v>0.50360000000000005</v>
      </c>
    </row>
    <row r="3456" spans="6:19" ht="15" x14ac:dyDescent="0.25">
      <c r="F3456" s="39">
        <v>40578</v>
      </c>
      <c r="G3456" s="37">
        <v>4.75</v>
      </c>
      <c r="O3456"/>
      <c r="P3456"/>
      <c r="R3456" s="39">
        <v>40567</v>
      </c>
      <c r="S3456" s="37">
        <v>0.50590000000000002</v>
      </c>
    </row>
    <row r="3457" spans="6:19" ht="15" x14ac:dyDescent="0.25">
      <c r="F3457" s="39">
        <v>40577</v>
      </c>
      <c r="G3457" s="37">
        <v>4.75</v>
      </c>
      <c r="O3457"/>
      <c r="P3457"/>
      <c r="R3457" s="39">
        <v>40564</v>
      </c>
      <c r="S3457" s="37">
        <v>0.50619999999999998</v>
      </c>
    </row>
    <row r="3458" spans="6:19" ht="15" x14ac:dyDescent="0.25">
      <c r="F3458" s="39">
        <v>40576</v>
      </c>
      <c r="G3458" s="37">
        <v>4.75</v>
      </c>
      <c r="O3458"/>
      <c r="P3458"/>
      <c r="R3458" s="39">
        <v>40563</v>
      </c>
      <c r="S3458" s="37">
        <v>0.50229999999999997</v>
      </c>
    </row>
    <row r="3459" spans="6:19" ht="15" x14ac:dyDescent="0.25">
      <c r="F3459" s="39">
        <v>40575</v>
      </c>
      <c r="G3459" s="37">
        <v>4.75</v>
      </c>
      <c r="O3459"/>
      <c r="P3459"/>
      <c r="R3459" s="39">
        <v>40562</v>
      </c>
      <c r="S3459" s="37">
        <v>0.50680000000000003</v>
      </c>
    </row>
    <row r="3460" spans="6:19" ht="15" x14ac:dyDescent="0.25">
      <c r="F3460" s="39">
        <v>40574</v>
      </c>
      <c r="G3460" s="37">
        <v>4.75</v>
      </c>
      <c r="O3460"/>
      <c r="P3460"/>
      <c r="R3460" s="39">
        <v>40561</v>
      </c>
      <c r="S3460" s="37">
        <v>0.50649999999999995</v>
      </c>
    </row>
    <row r="3461" spans="6:19" ht="15" x14ac:dyDescent="0.25">
      <c r="F3461" s="39">
        <v>40571</v>
      </c>
      <c r="G3461" s="37">
        <v>4.75</v>
      </c>
      <c r="O3461"/>
      <c r="P3461"/>
      <c r="R3461" s="39">
        <v>40560</v>
      </c>
      <c r="S3461" s="37">
        <v>0.50360000000000005</v>
      </c>
    </row>
    <row r="3462" spans="6:19" ht="15" x14ac:dyDescent="0.25">
      <c r="F3462" s="39">
        <v>40570</v>
      </c>
      <c r="G3462" s="37">
        <v>4.75</v>
      </c>
      <c r="O3462"/>
      <c r="P3462"/>
      <c r="R3462" s="39">
        <v>40557</v>
      </c>
      <c r="S3462" s="37">
        <v>0.50409999999999999</v>
      </c>
    </row>
    <row r="3463" spans="6:19" ht="15" x14ac:dyDescent="0.25">
      <c r="F3463" s="39">
        <v>40568</v>
      </c>
      <c r="G3463" s="37">
        <v>4.75</v>
      </c>
      <c r="O3463"/>
      <c r="P3463"/>
      <c r="R3463" s="39">
        <v>40556</v>
      </c>
      <c r="S3463" s="37">
        <v>0.50380000000000003</v>
      </c>
    </row>
    <row r="3464" spans="6:19" ht="15" x14ac:dyDescent="0.25">
      <c r="F3464" s="39">
        <v>40567</v>
      </c>
      <c r="G3464" s="37">
        <v>4.75</v>
      </c>
      <c r="O3464"/>
      <c r="P3464"/>
      <c r="R3464" s="39">
        <v>40555</v>
      </c>
      <c r="S3464" s="37">
        <v>0.50339999999999996</v>
      </c>
    </row>
    <row r="3465" spans="6:19" ht="15" x14ac:dyDescent="0.25">
      <c r="F3465" s="39">
        <v>40564</v>
      </c>
      <c r="G3465" s="37">
        <v>4.75</v>
      </c>
      <c r="O3465"/>
      <c r="P3465"/>
      <c r="R3465" s="39">
        <v>40554</v>
      </c>
      <c r="S3465" s="37">
        <v>0.50290000000000001</v>
      </c>
    </row>
    <row r="3466" spans="6:19" ht="15" x14ac:dyDescent="0.25">
      <c r="F3466" s="39">
        <v>40563</v>
      </c>
      <c r="G3466" s="37">
        <v>4.75</v>
      </c>
      <c r="O3466"/>
      <c r="P3466"/>
      <c r="R3466" s="39">
        <v>40553</v>
      </c>
      <c r="S3466" s="37">
        <v>0.5081</v>
      </c>
    </row>
    <row r="3467" spans="6:19" ht="15" x14ac:dyDescent="0.25">
      <c r="F3467" s="39">
        <v>40562</v>
      </c>
      <c r="G3467" s="37">
        <v>4.75</v>
      </c>
      <c r="O3467"/>
      <c r="P3467"/>
      <c r="R3467" s="39">
        <v>40550</v>
      </c>
      <c r="S3467" s="37">
        <v>0.50690000000000002</v>
      </c>
    </row>
    <row r="3468" spans="6:19" ht="15" x14ac:dyDescent="0.25">
      <c r="F3468" s="39">
        <v>40561</v>
      </c>
      <c r="G3468" s="37">
        <v>4.75</v>
      </c>
      <c r="O3468"/>
      <c r="P3468"/>
      <c r="R3468" s="39">
        <v>40549</v>
      </c>
      <c r="S3468" s="37">
        <v>0.50519999999999998</v>
      </c>
    </row>
    <row r="3469" spans="6:19" ht="15" x14ac:dyDescent="0.25">
      <c r="F3469" s="39">
        <v>40560</v>
      </c>
      <c r="G3469" s="37">
        <v>4.75</v>
      </c>
      <c r="O3469"/>
      <c r="P3469"/>
      <c r="R3469" s="39">
        <v>40548</v>
      </c>
      <c r="S3469" s="37">
        <v>0.5071</v>
      </c>
    </row>
    <row r="3470" spans="6:19" ht="15" x14ac:dyDescent="0.25">
      <c r="F3470" s="39">
        <v>40557</v>
      </c>
      <c r="G3470" s="37">
        <v>4.75</v>
      </c>
      <c r="O3470"/>
      <c r="P3470"/>
      <c r="R3470" s="39">
        <v>40547</v>
      </c>
      <c r="S3470" s="37">
        <v>0.51100000000000001</v>
      </c>
    </row>
    <row r="3471" spans="6:19" ht="15" x14ac:dyDescent="0.25">
      <c r="F3471" s="39">
        <v>40556</v>
      </c>
      <c r="G3471" s="37">
        <v>4.75</v>
      </c>
      <c r="O3471"/>
      <c r="P3471"/>
      <c r="R3471" s="39">
        <v>40543</v>
      </c>
      <c r="S3471" s="37">
        <v>0.55640000000000001</v>
      </c>
    </row>
    <row r="3472" spans="6:19" ht="15" x14ac:dyDescent="0.25">
      <c r="F3472" s="39">
        <v>40555</v>
      </c>
      <c r="G3472" s="37">
        <v>4.75</v>
      </c>
      <c r="O3472"/>
      <c r="P3472"/>
      <c r="R3472" s="39">
        <v>40542</v>
      </c>
      <c r="S3472" s="37">
        <v>0.5131</v>
      </c>
    </row>
    <row r="3473" spans="6:19" ht="15" x14ac:dyDescent="0.25">
      <c r="F3473" s="39">
        <v>40554</v>
      </c>
      <c r="G3473" s="37">
        <v>4.75</v>
      </c>
      <c r="O3473"/>
      <c r="P3473"/>
      <c r="R3473" s="39">
        <v>40541</v>
      </c>
      <c r="S3473" s="37">
        <v>0.51290000000000002</v>
      </c>
    </row>
    <row r="3474" spans="6:19" ht="15" x14ac:dyDescent="0.25">
      <c r="F3474" s="39">
        <v>40553</v>
      </c>
      <c r="G3474" s="37">
        <v>4.75</v>
      </c>
      <c r="O3474"/>
      <c r="P3474"/>
      <c r="R3474" s="39">
        <v>40536</v>
      </c>
      <c r="S3474" s="37">
        <v>0.52080000000000004</v>
      </c>
    </row>
    <row r="3475" spans="6:19" ht="15" x14ac:dyDescent="0.25">
      <c r="F3475" s="39">
        <v>40550</v>
      </c>
      <c r="G3475" s="37">
        <v>4.75</v>
      </c>
      <c r="O3475"/>
      <c r="P3475"/>
      <c r="R3475" s="39">
        <v>40535</v>
      </c>
      <c r="S3475" s="37">
        <v>0.51180000000000003</v>
      </c>
    </row>
    <row r="3476" spans="6:19" ht="15" x14ac:dyDescent="0.25">
      <c r="F3476" s="39">
        <v>40549</v>
      </c>
      <c r="G3476" s="37">
        <v>4.75</v>
      </c>
      <c r="O3476"/>
      <c r="P3476"/>
      <c r="R3476" s="39">
        <v>40534</v>
      </c>
      <c r="S3476" s="37">
        <v>0.51439999999999997</v>
      </c>
    </row>
    <row r="3477" spans="6:19" ht="15" x14ac:dyDescent="0.25">
      <c r="F3477" s="39">
        <v>40548</v>
      </c>
      <c r="G3477" s="37">
        <v>4.75</v>
      </c>
      <c r="O3477"/>
      <c r="P3477"/>
      <c r="R3477" s="39">
        <v>40533</v>
      </c>
      <c r="S3477" s="37">
        <v>0.51339999999999997</v>
      </c>
    </row>
    <row r="3478" spans="6:19" ht="15" x14ac:dyDescent="0.25">
      <c r="F3478" s="39">
        <v>40547</v>
      </c>
      <c r="G3478" s="37">
        <v>4.75</v>
      </c>
      <c r="O3478"/>
      <c r="P3478"/>
      <c r="R3478" s="39">
        <v>40532</v>
      </c>
      <c r="S3478" s="37">
        <v>0.51129999999999998</v>
      </c>
    </row>
    <row r="3479" spans="6:19" ht="15" x14ac:dyDescent="0.25">
      <c r="O3479"/>
      <c r="P3479"/>
      <c r="R3479" s="39">
        <v>40529</v>
      </c>
      <c r="S3479" s="37">
        <v>0.51639999999999997</v>
      </c>
    </row>
    <row r="3480" spans="6:19" ht="15" x14ac:dyDescent="0.25">
      <c r="O3480"/>
      <c r="P3480"/>
      <c r="R3480" s="39">
        <v>40528</v>
      </c>
      <c r="S3480" s="37">
        <v>0.51490000000000002</v>
      </c>
    </row>
    <row r="3481" spans="6:19" ht="15" x14ac:dyDescent="0.25">
      <c r="O3481"/>
      <c r="P3481"/>
      <c r="R3481" s="39">
        <v>40527</v>
      </c>
      <c r="S3481" s="37">
        <v>0.51329999999999998</v>
      </c>
    </row>
    <row r="3482" spans="6:19" ht="15" x14ac:dyDescent="0.25">
      <c r="O3482"/>
      <c r="P3482"/>
      <c r="R3482" s="39">
        <v>40526</v>
      </c>
      <c r="S3482" s="37">
        <v>0.51749999999999996</v>
      </c>
    </row>
    <row r="3483" spans="6:19" ht="15" x14ac:dyDescent="0.25">
      <c r="O3483"/>
      <c r="P3483"/>
      <c r="R3483" s="39">
        <v>40525</v>
      </c>
      <c r="S3483" s="37">
        <v>0.51170000000000004</v>
      </c>
    </row>
    <row r="3484" spans="6:19" ht="15" x14ac:dyDescent="0.25">
      <c r="O3484"/>
      <c r="P3484"/>
      <c r="R3484" s="39">
        <v>40522</v>
      </c>
      <c r="S3484" s="37">
        <v>0.51919999999999999</v>
      </c>
    </row>
    <row r="3485" spans="6:19" ht="15" x14ac:dyDescent="0.25">
      <c r="O3485"/>
      <c r="P3485"/>
      <c r="R3485" s="39">
        <v>40521</v>
      </c>
      <c r="S3485" s="37">
        <v>0.5161</v>
      </c>
    </row>
    <row r="3486" spans="6:19" ht="15" x14ac:dyDescent="0.25">
      <c r="O3486"/>
      <c r="P3486"/>
      <c r="R3486" s="39">
        <v>40520</v>
      </c>
      <c r="S3486" s="37">
        <v>0.51849999999999996</v>
      </c>
    </row>
    <row r="3487" spans="6:19" ht="15" x14ac:dyDescent="0.25">
      <c r="O3487"/>
      <c r="P3487"/>
      <c r="R3487" s="39">
        <v>40519</v>
      </c>
      <c r="S3487" s="37">
        <v>0.51290000000000002</v>
      </c>
    </row>
    <row r="3488" spans="6:19" ht="15" x14ac:dyDescent="0.25">
      <c r="O3488"/>
      <c r="P3488"/>
      <c r="R3488" s="39">
        <v>40518</v>
      </c>
      <c r="S3488" s="37">
        <v>0.51449999999999996</v>
      </c>
    </row>
    <row r="3489" spans="15:19" ht="15" x14ac:dyDescent="0.25">
      <c r="O3489"/>
      <c r="P3489"/>
      <c r="R3489" s="39">
        <v>40515</v>
      </c>
      <c r="S3489" s="37">
        <v>0.51449999999999996</v>
      </c>
    </row>
    <row r="3490" spans="15:19" ht="15" x14ac:dyDescent="0.25">
      <c r="O3490"/>
      <c r="P3490"/>
      <c r="R3490" s="39">
        <v>40514</v>
      </c>
      <c r="S3490" s="37">
        <v>0.51670000000000005</v>
      </c>
    </row>
    <row r="3491" spans="15:19" ht="15" x14ac:dyDescent="0.25">
      <c r="O3491"/>
      <c r="P3491"/>
      <c r="R3491" s="39">
        <v>40513</v>
      </c>
      <c r="S3491" s="37">
        <v>0.52339999999999998</v>
      </c>
    </row>
    <row r="3492" spans="15:19" ht="15" x14ac:dyDescent="0.25">
      <c r="O3492"/>
      <c r="P3492"/>
      <c r="R3492" s="39">
        <v>40512</v>
      </c>
      <c r="S3492" s="37">
        <v>0.52400000000000002</v>
      </c>
    </row>
    <row r="3493" spans="15:19" ht="15" x14ac:dyDescent="0.25">
      <c r="O3493"/>
      <c r="P3493"/>
      <c r="R3493" s="39">
        <v>40511</v>
      </c>
      <c r="S3493" s="37">
        <v>0.5121</v>
      </c>
    </row>
    <row r="3494" spans="15:19" ht="15" x14ac:dyDescent="0.25">
      <c r="O3494"/>
      <c r="P3494"/>
      <c r="R3494" s="39">
        <v>40508</v>
      </c>
      <c r="S3494" s="37">
        <v>0.51339999999999997</v>
      </c>
    </row>
    <row r="3495" spans="15:19" ht="15" x14ac:dyDescent="0.25">
      <c r="O3495"/>
      <c r="P3495"/>
      <c r="R3495" s="39">
        <v>40507</v>
      </c>
      <c r="S3495" s="37">
        <v>0.50939999999999996</v>
      </c>
    </row>
    <row r="3496" spans="15:19" ht="15" x14ac:dyDescent="0.25">
      <c r="O3496"/>
      <c r="P3496"/>
      <c r="R3496" s="39">
        <v>40506</v>
      </c>
      <c r="S3496" s="37">
        <v>0.5081</v>
      </c>
    </row>
    <row r="3497" spans="15:19" ht="15" x14ac:dyDescent="0.25">
      <c r="O3497"/>
      <c r="P3497"/>
      <c r="R3497" s="39">
        <v>40505</v>
      </c>
      <c r="S3497" s="37">
        <v>0.50649999999999995</v>
      </c>
    </row>
    <row r="3498" spans="15:19" ht="15" x14ac:dyDescent="0.25">
      <c r="O3498"/>
      <c r="P3498"/>
      <c r="R3498" s="39">
        <v>40504</v>
      </c>
      <c r="S3498" s="37">
        <v>0.505</v>
      </c>
    </row>
    <row r="3499" spans="15:19" ht="15" x14ac:dyDescent="0.25">
      <c r="O3499"/>
      <c r="P3499"/>
      <c r="R3499" s="39">
        <v>40501</v>
      </c>
      <c r="S3499" s="37">
        <v>0.50880000000000003</v>
      </c>
    </row>
    <row r="3500" spans="15:19" ht="15" x14ac:dyDescent="0.25">
      <c r="O3500"/>
      <c r="P3500"/>
      <c r="R3500" s="39">
        <v>40500</v>
      </c>
      <c r="S3500" s="37">
        <v>0.504</v>
      </c>
    </row>
    <row r="3501" spans="15:19" ht="15" x14ac:dyDescent="0.25">
      <c r="O3501"/>
      <c r="P3501"/>
      <c r="R3501" s="39">
        <v>40499</v>
      </c>
      <c r="S3501" s="37">
        <v>0.50449999999999995</v>
      </c>
    </row>
    <row r="3502" spans="15:19" ht="15" x14ac:dyDescent="0.25">
      <c r="O3502"/>
      <c r="P3502"/>
      <c r="R3502" s="39">
        <v>40498</v>
      </c>
      <c r="S3502" s="37">
        <v>0.50490000000000002</v>
      </c>
    </row>
    <row r="3503" spans="15:19" ht="15" x14ac:dyDescent="0.25">
      <c r="O3503"/>
      <c r="P3503"/>
      <c r="R3503" s="39">
        <v>40497</v>
      </c>
      <c r="S3503" s="37">
        <v>0.50649999999999995</v>
      </c>
    </row>
    <row r="3504" spans="15:19" ht="15" x14ac:dyDescent="0.25">
      <c r="O3504"/>
      <c r="P3504"/>
      <c r="R3504" s="39">
        <v>40494</v>
      </c>
      <c r="S3504" s="37">
        <v>0.50749999999999995</v>
      </c>
    </row>
    <row r="3505" spans="15:19" ht="15" x14ac:dyDescent="0.25">
      <c r="O3505"/>
      <c r="P3505"/>
      <c r="R3505" s="39">
        <v>40493</v>
      </c>
      <c r="S3505" s="37">
        <v>0.50629999999999997</v>
      </c>
    </row>
    <row r="3506" spans="15:19" ht="15" x14ac:dyDescent="0.25">
      <c r="O3506"/>
      <c r="P3506"/>
      <c r="R3506" s="39">
        <v>40492</v>
      </c>
      <c r="S3506" s="37">
        <v>0.50790000000000002</v>
      </c>
    </row>
    <row r="3507" spans="15:19" ht="15" x14ac:dyDescent="0.25">
      <c r="O3507"/>
      <c r="P3507"/>
      <c r="R3507" s="39">
        <v>40491</v>
      </c>
      <c r="S3507" s="37">
        <v>0.50649999999999995</v>
      </c>
    </row>
    <row r="3508" spans="15:19" ht="15" x14ac:dyDescent="0.25">
      <c r="O3508"/>
      <c r="P3508"/>
      <c r="R3508" s="39">
        <v>40490</v>
      </c>
      <c r="S3508" s="37">
        <v>0.51060000000000005</v>
      </c>
    </row>
    <row r="3509" spans="15:19" ht="15" x14ac:dyDescent="0.25">
      <c r="O3509"/>
      <c r="P3509"/>
      <c r="R3509" s="39">
        <v>40487</v>
      </c>
      <c r="S3509" s="37">
        <v>0.5101</v>
      </c>
    </row>
    <row r="3510" spans="15:19" ht="15" x14ac:dyDescent="0.25">
      <c r="O3510"/>
      <c r="P3510"/>
      <c r="R3510" s="39">
        <v>40486</v>
      </c>
      <c r="S3510" s="37">
        <v>0.50449999999999995</v>
      </c>
    </row>
    <row r="3511" spans="15:19" ht="15" x14ac:dyDescent="0.25">
      <c r="O3511"/>
      <c r="P3511"/>
      <c r="R3511" s="39">
        <v>40485</v>
      </c>
      <c r="S3511" s="37">
        <v>0.50780000000000003</v>
      </c>
    </row>
    <row r="3512" spans="15:19" ht="15" x14ac:dyDescent="0.25">
      <c r="O3512"/>
      <c r="P3512"/>
      <c r="R3512" s="39">
        <v>40484</v>
      </c>
      <c r="S3512" s="37">
        <v>0.50839999999999996</v>
      </c>
    </row>
    <row r="3513" spans="15:19" ht="15" x14ac:dyDescent="0.25">
      <c r="O3513"/>
      <c r="P3513"/>
      <c r="R3513" s="39">
        <v>40483</v>
      </c>
      <c r="S3513" s="37">
        <v>0.51170000000000004</v>
      </c>
    </row>
    <row r="3514" spans="15:19" ht="15" x14ac:dyDescent="0.25">
      <c r="O3514"/>
      <c r="P3514"/>
      <c r="R3514" s="39">
        <v>40480</v>
      </c>
      <c r="S3514" s="37">
        <v>0.51239999999999997</v>
      </c>
    </row>
    <row r="3515" spans="15:19" ht="15" x14ac:dyDescent="0.25">
      <c r="O3515"/>
      <c r="P3515"/>
      <c r="R3515" s="39">
        <v>40479</v>
      </c>
      <c r="S3515" s="37">
        <v>0.50690000000000002</v>
      </c>
    </row>
    <row r="3516" spans="15:19" ht="15" x14ac:dyDescent="0.25">
      <c r="O3516"/>
      <c r="P3516"/>
      <c r="R3516" s="39">
        <v>40478</v>
      </c>
      <c r="S3516" s="37">
        <v>0.5111</v>
      </c>
    </row>
    <row r="3517" spans="15:19" ht="15" x14ac:dyDescent="0.25">
      <c r="O3517"/>
      <c r="P3517"/>
      <c r="R3517" s="39">
        <v>40477</v>
      </c>
      <c r="S3517" s="37">
        <v>0.50870000000000004</v>
      </c>
    </row>
    <row r="3518" spans="15:19" ht="15" x14ac:dyDescent="0.25">
      <c r="O3518"/>
      <c r="P3518"/>
      <c r="R3518" s="39">
        <v>40476</v>
      </c>
      <c r="S3518" s="37">
        <v>0.50560000000000005</v>
      </c>
    </row>
    <row r="3519" spans="15:19" ht="15" x14ac:dyDescent="0.25">
      <c r="O3519"/>
      <c r="P3519"/>
      <c r="R3519" s="39">
        <v>40473</v>
      </c>
      <c r="S3519" s="37">
        <v>0.50949999999999995</v>
      </c>
    </row>
    <row r="3520" spans="15:19" ht="15" x14ac:dyDescent="0.25">
      <c r="O3520"/>
      <c r="P3520"/>
      <c r="R3520" s="39">
        <v>40472</v>
      </c>
      <c r="S3520" s="37">
        <v>0.50749999999999995</v>
      </c>
    </row>
    <row r="3521" spans="15:19" ht="15" x14ac:dyDescent="0.25">
      <c r="O3521"/>
      <c r="P3521"/>
      <c r="R3521" s="39">
        <v>40471</v>
      </c>
      <c r="S3521" s="37">
        <v>0.5091</v>
      </c>
    </row>
    <row r="3522" spans="15:19" ht="15" x14ac:dyDescent="0.25">
      <c r="O3522"/>
      <c r="P3522"/>
      <c r="R3522" s="39">
        <v>40470</v>
      </c>
      <c r="S3522" s="37">
        <v>0.50970000000000004</v>
      </c>
    </row>
    <row r="3523" spans="15:19" ht="15" x14ac:dyDescent="0.25">
      <c r="O3523"/>
      <c r="P3523"/>
      <c r="R3523" s="39">
        <v>40469</v>
      </c>
      <c r="S3523" s="37">
        <v>0.50729999999999997</v>
      </c>
    </row>
    <row r="3524" spans="15:19" ht="15" x14ac:dyDescent="0.25">
      <c r="O3524"/>
      <c r="P3524"/>
      <c r="R3524" s="39">
        <v>40466</v>
      </c>
      <c r="S3524" s="37">
        <v>0.51400000000000001</v>
      </c>
    </row>
    <row r="3525" spans="15:19" ht="15" x14ac:dyDescent="0.25">
      <c r="O3525"/>
      <c r="P3525"/>
      <c r="R3525" s="39">
        <v>40465</v>
      </c>
      <c r="S3525" s="37">
        <v>0.51019999999999999</v>
      </c>
    </row>
    <row r="3526" spans="15:19" ht="15" x14ac:dyDescent="0.25">
      <c r="O3526"/>
      <c r="P3526"/>
      <c r="R3526" s="39">
        <v>40464</v>
      </c>
      <c r="S3526" s="37">
        <v>0.50409999999999999</v>
      </c>
    </row>
    <row r="3527" spans="15:19" ht="15" x14ac:dyDescent="0.25">
      <c r="O3527"/>
      <c r="P3527"/>
      <c r="R3527" s="39">
        <v>40463</v>
      </c>
      <c r="S3527" s="37">
        <v>0.504</v>
      </c>
    </row>
    <row r="3528" spans="15:19" ht="15" x14ac:dyDescent="0.25">
      <c r="O3528"/>
      <c r="P3528"/>
      <c r="R3528" s="39">
        <v>40462</v>
      </c>
      <c r="S3528" s="37">
        <v>0.505</v>
      </c>
    </row>
    <row r="3529" spans="15:19" ht="15" x14ac:dyDescent="0.25">
      <c r="O3529"/>
      <c r="P3529"/>
      <c r="R3529" s="39">
        <v>40459</v>
      </c>
      <c r="S3529" s="37">
        <v>0.50280000000000002</v>
      </c>
    </row>
    <row r="3530" spans="15:19" ht="15" x14ac:dyDescent="0.25">
      <c r="O3530"/>
      <c r="P3530"/>
      <c r="R3530" s="39">
        <v>40458</v>
      </c>
      <c r="S3530" s="37">
        <v>0.50260000000000005</v>
      </c>
    </row>
    <row r="3531" spans="15:19" ht="15" x14ac:dyDescent="0.25">
      <c r="O3531"/>
      <c r="P3531"/>
      <c r="R3531" s="39">
        <v>40457</v>
      </c>
      <c r="S3531" s="37">
        <v>0.50670000000000004</v>
      </c>
    </row>
    <row r="3532" spans="15:19" ht="15" x14ac:dyDescent="0.25">
      <c r="O3532"/>
      <c r="P3532"/>
      <c r="R3532" s="39">
        <v>40456</v>
      </c>
      <c r="S3532" s="37">
        <v>0.50600000000000001</v>
      </c>
    </row>
    <row r="3533" spans="15:19" ht="15" x14ac:dyDescent="0.25">
      <c r="O3533"/>
      <c r="P3533"/>
      <c r="R3533" s="39">
        <v>40455</v>
      </c>
      <c r="S3533" s="37">
        <v>0.50919999999999999</v>
      </c>
    </row>
    <row r="3534" spans="15:19" ht="15" x14ac:dyDescent="0.25">
      <c r="O3534"/>
      <c r="P3534"/>
      <c r="R3534" s="39">
        <v>40452</v>
      </c>
      <c r="S3534" s="37">
        <v>0.52129999999999999</v>
      </c>
    </row>
    <row r="3535" spans="15:19" ht="15" x14ac:dyDescent="0.25">
      <c r="O3535"/>
      <c r="P3535"/>
      <c r="R3535" s="39">
        <v>40451</v>
      </c>
      <c r="S3535" s="37">
        <v>0.52270000000000005</v>
      </c>
    </row>
    <row r="3536" spans="15:19" ht="15" x14ac:dyDescent="0.25">
      <c r="O3536"/>
      <c r="P3536"/>
      <c r="R3536" s="39">
        <v>40450</v>
      </c>
      <c r="S3536" s="37">
        <v>0.50349999999999995</v>
      </c>
    </row>
    <row r="3537" spans="15:19" ht="15" x14ac:dyDescent="0.25">
      <c r="O3537"/>
      <c r="P3537"/>
      <c r="R3537" s="39">
        <v>40449</v>
      </c>
      <c r="S3537" s="37">
        <v>0.50190000000000001</v>
      </c>
    </row>
    <row r="3538" spans="15:19" ht="15" x14ac:dyDescent="0.25">
      <c r="O3538"/>
      <c r="P3538"/>
      <c r="R3538" s="39">
        <v>40448</v>
      </c>
      <c r="S3538" s="37">
        <v>0.50680000000000003</v>
      </c>
    </row>
    <row r="3539" spans="15:19" ht="15" x14ac:dyDescent="0.25">
      <c r="O3539"/>
      <c r="P3539"/>
      <c r="R3539" s="39">
        <v>40445</v>
      </c>
      <c r="S3539" s="37">
        <v>0.50429999999999997</v>
      </c>
    </row>
    <row r="3540" spans="15:19" ht="15" x14ac:dyDescent="0.25">
      <c r="O3540"/>
      <c r="P3540"/>
      <c r="R3540" s="39">
        <v>40444</v>
      </c>
      <c r="S3540" s="37">
        <v>0.50109999999999999</v>
      </c>
    </row>
    <row r="3541" spans="15:19" ht="15" x14ac:dyDescent="0.25">
      <c r="O3541"/>
      <c r="P3541"/>
      <c r="R3541" s="39">
        <v>40443</v>
      </c>
      <c r="S3541" s="37">
        <v>0.50049999999999994</v>
      </c>
    </row>
    <row r="3542" spans="15:19" ht="15" x14ac:dyDescent="0.25">
      <c r="O3542"/>
      <c r="P3542"/>
      <c r="R3542" s="39">
        <v>40442</v>
      </c>
      <c r="S3542" s="37">
        <v>0.501</v>
      </c>
    </row>
    <row r="3543" spans="15:19" ht="15" x14ac:dyDescent="0.25">
      <c r="O3543"/>
      <c r="P3543"/>
      <c r="R3543" s="39">
        <v>40441</v>
      </c>
      <c r="S3543" s="37">
        <v>0.50419999999999998</v>
      </c>
    </row>
    <row r="3544" spans="15:19" ht="15" x14ac:dyDescent="0.25">
      <c r="O3544"/>
      <c r="P3544"/>
      <c r="R3544" s="39">
        <v>40438</v>
      </c>
      <c r="S3544" s="37">
        <v>0.50660000000000005</v>
      </c>
    </row>
    <row r="3545" spans="15:19" ht="15" x14ac:dyDescent="0.25">
      <c r="O3545"/>
      <c r="P3545"/>
      <c r="R3545" s="39">
        <v>40437</v>
      </c>
      <c r="S3545" s="37">
        <v>0.50270000000000004</v>
      </c>
    </row>
    <row r="3546" spans="15:19" ht="15" x14ac:dyDescent="0.25">
      <c r="O3546"/>
      <c r="P3546"/>
      <c r="R3546" s="39">
        <v>40436</v>
      </c>
      <c r="S3546" s="37">
        <v>0.49740000000000001</v>
      </c>
    </row>
    <row r="3547" spans="15:19" ht="15" x14ac:dyDescent="0.25">
      <c r="O3547"/>
      <c r="P3547"/>
      <c r="R3547" s="39">
        <v>40435</v>
      </c>
      <c r="S3547" s="37">
        <v>0.49940000000000001</v>
      </c>
    </row>
    <row r="3548" spans="15:19" ht="15" x14ac:dyDescent="0.25">
      <c r="O3548"/>
      <c r="P3548"/>
      <c r="R3548" s="39">
        <v>40434</v>
      </c>
      <c r="S3548" s="37">
        <v>0.49740000000000001</v>
      </c>
    </row>
    <row r="3549" spans="15:19" ht="15" x14ac:dyDescent="0.25">
      <c r="O3549"/>
      <c r="P3549"/>
      <c r="R3549" s="39">
        <v>40431</v>
      </c>
      <c r="S3549" s="37">
        <v>0.49940000000000001</v>
      </c>
    </row>
    <row r="3550" spans="15:19" ht="15" x14ac:dyDescent="0.25">
      <c r="O3550"/>
      <c r="P3550"/>
      <c r="R3550" s="39">
        <v>40430</v>
      </c>
      <c r="S3550" s="37">
        <v>0.49590000000000001</v>
      </c>
    </row>
    <row r="3551" spans="15:19" ht="15" x14ac:dyDescent="0.25">
      <c r="O3551"/>
      <c r="P3551"/>
      <c r="R3551" s="39">
        <v>40429</v>
      </c>
      <c r="S3551" s="37">
        <v>0.49559999999999998</v>
      </c>
    </row>
    <row r="3552" spans="15:19" ht="15" x14ac:dyDescent="0.25">
      <c r="O3552"/>
      <c r="P3552"/>
      <c r="R3552" s="39">
        <v>40428</v>
      </c>
      <c r="S3552" s="37">
        <v>0.49659999999999999</v>
      </c>
    </row>
    <row r="3553" spans="15:19" ht="15" x14ac:dyDescent="0.25">
      <c r="O3553"/>
      <c r="P3553"/>
      <c r="R3553" s="39">
        <v>40427</v>
      </c>
      <c r="S3553" s="37">
        <v>0.49740000000000001</v>
      </c>
    </row>
    <row r="3554" spans="15:19" ht="15" x14ac:dyDescent="0.25">
      <c r="O3554"/>
      <c r="P3554"/>
      <c r="R3554" s="39">
        <v>40424</v>
      </c>
      <c r="S3554" s="37">
        <v>0.49790000000000001</v>
      </c>
    </row>
    <row r="3555" spans="15:19" ht="15" x14ac:dyDescent="0.25">
      <c r="O3555"/>
      <c r="P3555"/>
      <c r="R3555" s="39">
        <v>40423</v>
      </c>
      <c r="S3555" s="37">
        <v>0.49609999999999999</v>
      </c>
    </row>
    <row r="3556" spans="15:19" ht="15" x14ac:dyDescent="0.25">
      <c r="O3556"/>
      <c r="P3556"/>
      <c r="R3556" s="39">
        <v>40422</v>
      </c>
      <c r="S3556" s="37">
        <v>0.4929</v>
      </c>
    </row>
    <row r="3557" spans="15:19" ht="15" x14ac:dyDescent="0.25">
      <c r="O3557"/>
      <c r="P3557"/>
      <c r="R3557" s="39">
        <v>40421</v>
      </c>
      <c r="S3557" s="37">
        <v>0.50070000000000003</v>
      </c>
    </row>
    <row r="3558" spans="15:19" ht="15" x14ac:dyDescent="0.25">
      <c r="O3558"/>
      <c r="P3558"/>
      <c r="R3558" s="39">
        <v>40417</v>
      </c>
      <c r="S3558" s="37">
        <v>0.49690000000000001</v>
      </c>
    </row>
    <row r="3559" spans="15:19" ht="15" x14ac:dyDescent="0.25">
      <c r="O3559"/>
      <c r="P3559"/>
      <c r="R3559" s="39">
        <v>40416</v>
      </c>
      <c r="S3559" s="37">
        <v>0.49280000000000002</v>
      </c>
    </row>
    <row r="3560" spans="15:19" ht="15" x14ac:dyDescent="0.25">
      <c r="O3560"/>
      <c r="P3560"/>
      <c r="R3560" s="39">
        <v>40415</v>
      </c>
      <c r="S3560" s="37">
        <v>0.49370000000000003</v>
      </c>
    </row>
    <row r="3561" spans="15:19" ht="15" x14ac:dyDescent="0.25">
      <c r="O3561"/>
      <c r="P3561"/>
      <c r="R3561" s="39">
        <v>40414</v>
      </c>
      <c r="S3561" s="37">
        <v>0.48909999999999998</v>
      </c>
    </row>
    <row r="3562" spans="15:19" ht="15" x14ac:dyDescent="0.25">
      <c r="O3562"/>
      <c r="P3562"/>
      <c r="R3562" s="39">
        <v>40413</v>
      </c>
      <c r="S3562" s="37">
        <v>0.49059999999999998</v>
      </c>
    </row>
    <row r="3563" spans="15:19" ht="15" x14ac:dyDescent="0.25">
      <c r="O3563"/>
      <c r="P3563"/>
      <c r="R3563" s="39">
        <v>40410</v>
      </c>
      <c r="S3563" s="37">
        <v>0.49130000000000001</v>
      </c>
    </row>
    <row r="3564" spans="15:19" ht="15" x14ac:dyDescent="0.25">
      <c r="O3564"/>
      <c r="P3564"/>
      <c r="R3564" s="39">
        <v>40409</v>
      </c>
      <c r="S3564" s="37">
        <v>0.4889</v>
      </c>
    </row>
    <row r="3565" spans="15:19" ht="15" x14ac:dyDescent="0.25">
      <c r="O3565"/>
      <c r="P3565"/>
      <c r="R3565" s="39">
        <v>40408</v>
      </c>
      <c r="S3565" s="37">
        <v>0.4879</v>
      </c>
    </row>
    <row r="3566" spans="15:19" ht="15" x14ac:dyDescent="0.25">
      <c r="O3566"/>
      <c r="P3566"/>
      <c r="R3566" s="39">
        <v>40407</v>
      </c>
      <c r="S3566" s="37">
        <v>0.48949999999999999</v>
      </c>
    </row>
    <row r="3567" spans="15:19" ht="15" x14ac:dyDescent="0.25">
      <c r="O3567"/>
      <c r="P3567"/>
      <c r="R3567" s="39">
        <v>40406</v>
      </c>
      <c r="S3567" s="37">
        <v>0.48930000000000001</v>
      </c>
    </row>
    <row r="3568" spans="15:19" ht="15" x14ac:dyDescent="0.25">
      <c r="O3568"/>
      <c r="P3568"/>
      <c r="R3568" s="39">
        <v>40403</v>
      </c>
      <c r="S3568" s="37">
        <v>0.49030000000000001</v>
      </c>
    </row>
    <row r="3569" spans="15:19" ht="15" x14ac:dyDescent="0.25">
      <c r="O3569"/>
      <c r="P3569"/>
      <c r="R3569" s="39">
        <v>40402</v>
      </c>
      <c r="S3569" s="37">
        <v>0.4904</v>
      </c>
    </row>
    <row r="3570" spans="15:19" ht="15" x14ac:dyDescent="0.25">
      <c r="O3570"/>
      <c r="P3570"/>
      <c r="R3570" s="39">
        <v>40401</v>
      </c>
      <c r="S3570" s="37">
        <v>0.4894</v>
      </c>
    </row>
    <row r="3571" spans="15:19" ht="15" x14ac:dyDescent="0.25">
      <c r="O3571"/>
      <c r="P3571"/>
      <c r="R3571" s="39">
        <v>40400</v>
      </c>
      <c r="S3571" s="37">
        <v>0.48899999999999999</v>
      </c>
    </row>
    <row r="3572" spans="15:19" ht="15" x14ac:dyDescent="0.25">
      <c r="O3572"/>
      <c r="P3572"/>
      <c r="R3572" s="39">
        <v>40399</v>
      </c>
      <c r="S3572" s="37">
        <v>0.48970000000000002</v>
      </c>
    </row>
    <row r="3573" spans="15:19" ht="15" x14ac:dyDescent="0.25">
      <c r="O3573"/>
      <c r="P3573"/>
      <c r="R3573" s="39">
        <v>40396</v>
      </c>
      <c r="S3573" s="37">
        <v>0.4909</v>
      </c>
    </row>
    <row r="3574" spans="15:19" ht="15" x14ac:dyDescent="0.25">
      <c r="O3574"/>
      <c r="P3574"/>
      <c r="R3574" s="39">
        <v>40395</v>
      </c>
      <c r="S3574" s="37">
        <v>0.49020000000000002</v>
      </c>
    </row>
    <row r="3575" spans="15:19" ht="15" x14ac:dyDescent="0.25">
      <c r="O3575"/>
      <c r="P3575"/>
      <c r="R3575" s="39">
        <v>40394</v>
      </c>
      <c r="S3575" s="37">
        <v>0.49059999999999998</v>
      </c>
    </row>
    <row r="3576" spans="15:19" ht="15" x14ac:dyDescent="0.25">
      <c r="O3576"/>
      <c r="P3576"/>
      <c r="R3576" s="39">
        <v>40393</v>
      </c>
      <c r="S3576" s="37">
        <v>0.4889</v>
      </c>
    </row>
    <row r="3577" spans="15:19" ht="15" x14ac:dyDescent="0.25">
      <c r="O3577"/>
      <c r="P3577"/>
      <c r="R3577" s="39">
        <v>40392</v>
      </c>
      <c r="S3577" s="37">
        <v>0.49030000000000001</v>
      </c>
    </row>
    <row r="3578" spans="15:19" ht="15" x14ac:dyDescent="0.25">
      <c r="O3578"/>
      <c r="P3578"/>
      <c r="R3578" s="39">
        <v>40389</v>
      </c>
      <c r="S3578" s="37">
        <v>0.49159999999999998</v>
      </c>
    </row>
    <row r="3579" spans="15:19" ht="15" x14ac:dyDescent="0.25">
      <c r="O3579"/>
      <c r="P3579"/>
      <c r="R3579" s="39">
        <v>40388</v>
      </c>
      <c r="S3579" s="37">
        <v>0.4874</v>
      </c>
    </row>
    <row r="3580" spans="15:19" ht="15" x14ac:dyDescent="0.25">
      <c r="O3580"/>
      <c r="P3580"/>
      <c r="R3580" s="39">
        <v>40387</v>
      </c>
      <c r="S3580" s="37">
        <v>0.48909999999999998</v>
      </c>
    </row>
    <row r="3581" spans="15:19" ht="15" x14ac:dyDescent="0.25">
      <c r="O3581"/>
      <c r="P3581"/>
      <c r="R3581" s="39">
        <v>40386</v>
      </c>
      <c r="S3581" s="37">
        <v>0.4899</v>
      </c>
    </row>
    <row r="3582" spans="15:19" ht="15" x14ac:dyDescent="0.25">
      <c r="O3582"/>
      <c r="P3582"/>
      <c r="R3582" s="39">
        <v>40385</v>
      </c>
      <c r="S3582" s="37">
        <v>0.49340000000000001</v>
      </c>
    </row>
    <row r="3583" spans="15:19" ht="15" x14ac:dyDescent="0.25">
      <c r="O3583"/>
      <c r="P3583"/>
      <c r="R3583" s="39">
        <v>40382</v>
      </c>
      <c r="S3583" s="37">
        <v>0.48970000000000002</v>
      </c>
    </row>
    <row r="3584" spans="15:19" ht="15" x14ac:dyDescent="0.25">
      <c r="O3584"/>
      <c r="P3584"/>
      <c r="R3584" s="39">
        <v>40381</v>
      </c>
      <c r="S3584" s="37">
        <v>0.4914</v>
      </c>
    </row>
    <row r="3585" spans="15:19" ht="15" x14ac:dyDescent="0.25">
      <c r="O3585"/>
      <c r="P3585"/>
      <c r="R3585" s="39">
        <v>40380</v>
      </c>
      <c r="S3585" s="37">
        <v>0.48959999999999998</v>
      </c>
    </row>
    <row r="3586" spans="15:19" ht="15" x14ac:dyDescent="0.25">
      <c r="O3586"/>
      <c r="P3586"/>
      <c r="R3586" s="39">
        <v>40379</v>
      </c>
      <c r="S3586" s="37">
        <v>0.48830000000000001</v>
      </c>
    </row>
    <row r="3587" spans="15:19" ht="15" x14ac:dyDescent="0.25">
      <c r="O3587"/>
      <c r="P3587"/>
      <c r="R3587" s="39">
        <v>40378</v>
      </c>
      <c r="S3587" s="37">
        <v>0.48549999999999999</v>
      </c>
    </row>
    <row r="3588" spans="15:19" ht="15" x14ac:dyDescent="0.25">
      <c r="O3588"/>
      <c r="P3588"/>
      <c r="R3588" s="39">
        <v>40375</v>
      </c>
      <c r="S3588" s="37">
        <v>0.48909999999999998</v>
      </c>
    </row>
    <row r="3589" spans="15:19" ht="15" x14ac:dyDescent="0.25">
      <c r="O3589"/>
      <c r="P3589"/>
      <c r="R3589" s="39">
        <v>40374</v>
      </c>
      <c r="S3589" s="37">
        <v>0.48820000000000002</v>
      </c>
    </row>
    <row r="3590" spans="15:19" ht="15" x14ac:dyDescent="0.25">
      <c r="O3590"/>
      <c r="P3590"/>
      <c r="R3590" s="39">
        <v>40373</v>
      </c>
      <c r="S3590" s="37">
        <v>0.49030000000000001</v>
      </c>
    </row>
    <row r="3591" spans="15:19" ht="15" x14ac:dyDescent="0.25">
      <c r="O3591"/>
      <c r="P3591"/>
      <c r="R3591" s="39">
        <v>40372</v>
      </c>
      <c r="S3591" s="37">
        <v>0.48959999999999998</v>
      </c>
    </row>
    <row r="3592" spans="15:19" ht="15" x14ac:dyDescent="0.25">
      <c r="O3592"/>
      <c r="P3592"/>
      <c r="R3592" s="39">
        <v>40371</v>
      </c>
      <c r="S3592" s="37">
        <v>0.48859999999999998</v>
      </c>
    </row>
    <row r="3593" spans="15:19" ht="15" x14ac:dyDescent="0.25">
      <c r="O3593"/>
      <c r="P3593"/>
      <c r="R3593" s="39">
        <v>40368</v>
      </c>
      <c r="S3593" s="37">
        <v>0.48770000000000002</v>
      </c>
    </row>
    <row r="3594" spans="15:19" ht="15" x14ac:dyDescent="0.25">
      <c r="O3594"/>
      <c r="P3594"/>
      <c r="R3594" s="39">
        <v>40367</v>
      </c>
      <c r="S3594" s="37">
        <v>0.49340000000000001</v>
      </c>
    </row>
    <row r="3595" spans="15:19" ht="15" x14ac:dyDescent="0.25">
      <c r="O3595"/>
      <c r="P3595"/>
      <c r="R3595" s="39">
        <v>40366</v>
      </c>
      <c r="S3595" s="37">
        <v>0.4914</v>
      </c>
    </row>
    <row r="3596" spans="15:19" ht="15" x14ac:dyDescent="0.25">
      <c r="O3596"/>
      <c r="P3596"/>
      <c r="R3596" s="39">
        <v>40365</v>
      </c>
      <c r="S3596" s="37">
        <v>0.4914</v>
      </c>
    </row>
    <row r="3597" spans="15:19" ht="15" x14ac:dyDescent="0.25">
      <c r="O3597"/>
      <c r="P3597"/>
      <c r="R3597" s="39">
        <v>40364</v>
      </c>
      <c r="S3597" s="37">
        <v>0.49120000000000003</v>
      </c>
    </row>
    <row r="3598" spans="15:19" ht="15" x14ac:dyDescent="0.25">
      <c r="O3598"/>
      <c r="P3598"/>
      <c r="R3598" s="39">
        <v>40361</v>
      </c>
      <c r="S3598" s="37">
        <v>0.48949999999999999</v>
      </c>
    </row>
    <row r="3599" spans="15:19" ht="15" x14ac:dyDescent="0.25">
      <c r="O3599"/>
      <c r="P3599"/>
      <c r="R3599" s="39">
        <v>40360</v>
      </c>
      <c r="S3599" s="37">
        <v>0.49330000000000002</v>
      </c>
    </row>
    <row r="3600" spans="15:19" ht="15" x14ac:dyDescent="0.25">
      <c r="O3600"/>
      <c r="P3600"/>
      <c r="R3600" s="39">
        <v>40359</v>
      </c>
      <c r="S3600" s="37">
        <v>0.50049999999999994</v>
      </c>
    </row>
    <row r="3601" spans="15:19" ht="15" x14ac:dyDescent="0.25">
      <c r="O3601"/>
      <c r="P3601"/>
      <c r="R3601" s="39">
        <v>40358</v>
      </c>
      <c r="S3601" s="37">
        <v>0.49009999999999998</v>
      </c>
    </row>
    <row r="3602" spans="15:19" ht="15" x14ac:dyDescent="0.25">
      <c r="O3602"/>
      <c r="P3602"/>
      <c r="R3602" s="39">
        <v>40357</v>
      </c>
      <c r="S3602" s="37">
        <v>0.48699999999999999</v>
      </c>
    </row>
    <row r="3603" spans="15:19" ht="15" x14ac:dyDescent="0.25">
      <c r="O3603"/>
      <c r="P3603"/>
      <c r="R3603" s="39">
        <v>40354</v>
      </c>
      <c r="S3603" s="37">
        <v>0.48720000000000002</v>
      </c>
    </row>
    <row r="3604" spans="15:19" ht="15" x14ac:dyDescent="0.25">
      <c r="O3604"/>
      <c r="P3604"/>
      <c r="R3604" s="39">
        <v>40353</v>
      </c>
      <c r="S3604" s="37">
        <v>0.48820000000000002</v>
      </c>
    </row>
    <row r="3605" spans="15:19" ht="15" x14ac:dyDescent="0.25">
      <c r="O3605"/>
      <c r="P3605"/>
      <c r="R3605" s="39">
        <v>40352</v>
      </c>
      <c r="S3605" s="37">
        <v>0.4874</v>
      </c>
    </row>
    <row r="3606" spans="15:19" ht="15" x14ac:dyDescent="0.25">
      <c r="O3606"/>
      <c r="P3606"/>
      <c r="R3606" s="39">
        <v>40351</v>
      </c>
      <c r="S3606" s="37">
        <v>0.48670000000000002</v>
      </c>
    </row>
    <row r="3607" spans="15:19" ht="15" x14ac:dyDescent="0.25">
      <c r="O3607"/>
      <c r="P3607"/>
      <c r="R3607" s="39">
        <v>40350</v>
      </c>
      <c r="S3607" s="37">
        <v>0.48949999999999999</v>
      </c>
    </row>
    <row r="3608" spans="15:19" ht="15" x14ac:dyDescent="0.25">
      <c r="O3608"/>
      <c r="P3608"/>
      <c r="R3608" s="39">
        <v>40347</v>
      </c>
      <c r="S3608" s="37">
        <v>0.48780000000000001</v>
      </c>
    </row>
    <row r="3609" spans="15:19" ht="15" x14ac:dyDescent="0.25">
      <c r="O3609"/>
      <c r="P3609"/>
      <c r="R3609" s="39">
        <v>40346</v>
      </c>
      <c r="S3609" s="37">
        <v>0.48630000000000001</v>
      </c>
    </row>
    <row r="3610" spans="15:19" ht="15" x14ac:dyDescent="0.25">
      <c r="O3610"/>
      <c r="P3610"/>
      <c r="R3610" s="39">
        <v>40345</v>
      </c>
      <c r="S3610" s="37">
        <v>0.48599999999999999</v>
      </c>
    </row>
    <row r="3611" spans="15:19" ht="15" x14ac:dyDescent="0.25">
      <c r="O3611"/>
      <c r="P3611"/>
      <c r="R3611" s="39">
        <v>40344</v>
      </c>
      <c r="S3611" s="37">
        <v>0.48799999999999999</v>
      </c>
    </row>
    <row r="3612" spans="15:19" ht="15" x14ac:dyDescent="0.25">
      <c r="O3612"/>
      <c r="P3612"/>
      <c r="R3612" s="39">
        <v>40343</v>
      </c>
      <c r="S3612" s="37">
        <v>0.48749999999999999</v>
      </c>
    </row>
    <row r="3613" spans="15:19" ht="15" x14ac:dyDescent="0.25">
      <c r="O3613"/>
      <c r="P3613"/>
      <c r="R3613" s="39">
        <v>40340</v>
      </c>
      <c r="S3613" s="37">
        <v>0.48730000000000001</v>
      </c>
    </row>
    <row r="3614" spans="15:19" ht="15" x14ac:dyDescent="0.25">
      <c r="O3614"/>
      <c r="P3614"/>
      <c r="R3614" s="39">
        <v>40339</v>
      </c>
      <c r="S3614" s="37">
        <v>0.48549999999999999</v>
      </c>
    </row>
    <row r="3615" spans="15:19" ht="15" x14ac:dyDescent="0.25">
      <c r="O3615"/>
      <c r="P3615"/>
      <c r="R3615" s="39">
        <v>40338</v>
      </c>
      <c r="S3615" s="37">
        <v>0.48480000000000001</v>
      </c>
    </row>
    <row r="3616" spans="15:19" ht="15" x14ac:dyDescent="0.25">
      <c r="O3616"/>
      <c r="P3616"/>
      <c r="R3616" s="39">
        <v>40337</v>
      </c>
      <c r="S3616" s="37">
        <v>0.48309999999999997</v>
      </c>
    </row>
    <row r="3617" spans="15:19" ht="15" x14ac:dyDescent="0.25">
      <c r="O3617"/>
      <c r="P3617"/>
      <c r="R3617" s="39">
        <v>40336</v>
      </c>
      <c r="S3617" s="37">
        <v>0.48309999999999997</v>
      </c>
    </row>
    <row r="3618" spans="15:19" ht="15" x14ac:dyDescent="0.25">
      <c r="O3618"/>
      <c r="P3618"/>
      <c r="R3618" s="39">
        <v>40333</v>
      </c>
      <c r="S3618" s="37">
        <v>0.48380000000000001</v>
      </c>
    </row>
    <row r="3619" spans="15:19" ht="15" x14ac:dyDescent="0.25">
      <c r="O3619"/>
      <c r="P3619"/>
      <c r="R3619" s="39">
        <v>40332</v>
      </c>
      <c r="S3619" s="37">
        <v>0.4834</v>
      </c>
    </row>
    <row r="3620" spans="15:19" ht="15" x14ac:dyDescent="0.25">
      <c r="O3620"/>
      <c r="P3620"/>
      <c r="R3620" s="39">
        <v>40331</v>
      </c>
      <c r="S3620" s="37">
        <v>0.48570000000000002</v>
      </c>
    </row>
    <row r="3621" spans="15:19" ht="15" x14ac:dyDescent="0.25">
      <c r="O3621"/>
      <c r="P3621"/>
      <c r="R3621" s="39">
        <v>40330</v>
      </c>
      <c r="S3621" s="37">
        <v>0.48520000000000002</v>
      </c>
    </row>
    <row r="3622" spans="15:19" ht="15" x14ac:dyDescent="0.25">
      <c r="O3622"/>
      <c r="P3622"/>
      <c r="R3622" s="39">
        <v>40326</v>
      </c>
      <c r="S3622" s="37">
        <v>0.48330000000000001</v>
      </c>
    </row>
    <row r="3623" spans="15:19" ht="15" x14ac:dyDescent="0.25">
      <c r="O3623"/>
      <c r="P3623"/>
      <c r="R3623" s="39">
        <v>40325</v>
      </c>
      <c r="S3623" s="37">
        <v>0.48659999999999998</v>
      </c>
    </row>
    <row r="3624" spans="15:19" ht="15" x14ac:dyDescent="0.25">
      <c r="O3624"/>
      <c r="P3624"/>
      <c r="R3624" s="39">
        <v>40324</v>
      </c>
      <c r="S3624" s="37">
        <v>0.4889</v>
      </c>
    </row>
    <row r="3625" spans="15:19" ht="15" x14ac:dyDescent="0.25">
      <c r="O3625"/>
      <c r="P3625"/>
      <c r="R3625" s="39">
        <v>40323</v>
      </c>
      <c r="S3625" s="37">
        <v>0.49270000000000003</v>
      </c>
    </row>
    <row r="3626" spans="15:19" ht="15" x14ac:dyDescent="0.25">
      <c r="O3626"/>
      <c r="P3626"/>
      <c r="R3626" s="39">
        <v>40322</v>
      </c>
      <c r="S3626" s="37">
        <v>0.48530000000000001</v>
      </c>
    </row>
    <row r="3627" spans="15:19" ht="15" x14ac:dyDescent="0.25">
      <c r="O3627"/>
      <c r="P3627"/>
      <c r="R3627" s="39">
        <v>40319</v>
      </c>
      <c r="S3627" s="37">
        <v>0.48870000000000002</v>
      </c>
    </row>
    <row r="3628" spans="15:19" ht="15" x14ac:dyDescent="0.25">
      <c r="O3628"/>
      <c r="P3628"/>
      <c r="R3628" s="39">
        <v>40318</v>
      </c>
      <c r="S3628" s="37">
        <v>0.48249999999999998</v>
      </c>
    </row>
    <row r="3629" spans="15:19" ht="15" x14ac:dyDescent="0.25">
      <c r="O3629"/>
      <c r="P3629"/>
      <c r="R3629" s="39">
        <v>40317</v>
      </c>
      <c r="S3629" s="37">
        <v>0.4788</v>
      </c>
    </row>
    <row r="3630" spans="15:19" ht="15" x14ac:dyDescent="0.25">
      <c r="O3630"/>
      <c r="P3630"/>
      <c r="R3630" s="39">
        <v>40316</v>
      </c>
      <c r="S3630" s="37">
        <v>0.48039999999999999</v>
      </c>
    </row>
    <row r="3631" spans="15:19" ht="15" x14ac:dyDescent="0.25">
      <c r="O3631"/>
      <c r="P3631"/>
      <c r="R3631" s="39">
        <v>40315</v>
      </c>
      <c r="S3631" s="37">
        <v>0.4793</v>
      </c>
    </row>
    <row r="3632" spans="15:19" ht="15" x14ac:dyDescent="0.25">
      <c r="O3632"/>
      <c r="P3632"/>
      <c r="R3632" s="39">
        <v>40312</v>
      </c>
      <c r="S3632" s="37">
        <v>0.48359999999999997</v>
      </c>
    </row>
    <row r="3633" spans="15:19" ht="15" x14ac:dyDescent="0.25">
      <c r="O3633"/>
      <c r="P3633"/>
      <c r="R3633" s="39">
        <v>40311</v>
      </c>
      <c r="S3633" s="37">
        <v>0.4773</v>
      </c>
    </row>
    <row r="3634" spans="15:19" ht="15" x14ac:dyDescent="0.25">
      <c r="O3634"/>
      <c r="P3634"/>
      <c r="R3634" s="39">
        <v>40310</v>
      </c>
      <c r="S3634" s="37">
        <v>0.4824</v>
      </c>
    </row>
    <row r="3635" spans="15:19" ht="15" x14ac:dyDescent="0.25">
      <c r="O3635"/>
      <c r="P3635"/>
      <c r="R3635" s="39">
        <v>40309</v>
      </c>
      <c r="S3635" s="37">
        <v>0.4869</v>
      </c>
    </row>
    <row r="3636" spans="15:19" ht="15" x14ac:dyDescent="0.25">
      <c r="O3636"/>
      <c r="P3636"/>
      <c r="R3636" s="39">
        <v>40308</v>
      </c>
      <c r="S3636" s="37">
        <v>0.49659999999999999</v>
      </c>
    </row>
    <row r="3637" spans="15:19" ht="15" x14ac:dyDescent="0.25">
      <c r="O3637"/>
      <c r="P3637"/>
      <c r="R3637" s="39">
        <v>40305</v>
      </c>
      <c r="S3637" s="37">
        <v>0.49440000000000001</v>
      </c>
    </row>
    <row r="3638" spans="15:19" ht="15" x14ac:dyDescent="0.25">
      <c r="O3638"/>
      <c r="P3638"/>
      <c r="R3638" s="39">
        <v>40304</v>
      </c>
      <c r="S3638" s="37">
        <v>0.47720000000000001</v>
      </c>
    </row>
    <row r="3639" spans="15:19" ht="15" x14ac:dyDescent="0.25">
      <c r="O3639"/>
      <c r="P3639"/>
      <c r="R3639" s="39">
        <v>40303</v>
      </c>
      <c r="S3639" s="37">
        <v>0.48010000000000003</v>
      </c>
    </row>
    <row r="3640" spans="15:19" ht="15" x14ac:dyDescent="0.25">
      <c r="O3640"/>
      <c r="P3640"/>
      <c r="R3640" s="39">
        <v>40302</v>
      </c>
      <c r="S3640" s="37">
        <v>0.47439999999999999</v>
      </c>
    </row>
    <row r="3641" spans="15:19" ht="15" x14ac:dyDescent="0.25">
      <c r="O3641"/>
      <c r="P3641"/>
      <c r="R3641" s="39">
        <v>40298</v>
      </c>
      <c r="S3641" s="37">
        <v>0.47689999999999999</v>
      </c>
    </row>
    <row r="3642" spans="15:19" ht="15" x14ac:dyDescent="0.25">
      <c r="O3642"/>
      <c r="P3642"/>
      <c r="R3642" s="39">
        <v>40297</v>
      </c>
      <c r="S3642" s="37">
        <v>0.4753</v>
      </c>
    </row>
    <row r="3643" spans="15:19" ht="15" x14ac:dyDescent="0.25">
      <c r="O3643"/>
      <c r="P3643"/>
      <c r="R3643" s="39">
        <v>40296</v>
      </c>
      <c r="S3643" s="37">
        <v>0.47449999999999998</v>
      </c>
    </row>
    <row r="3644" spans="15:19" ht="15" x14ac:dyDescent="0.25">
      <c r="O3644"/>
      <c r="P3644"/>
      <c r="R3644" s="39">
        <v>40295</v>
      </c>
      <c r="S3644" s="37">
        <v>0.47160000000000002</v>
      </c>
    </row>
    <row r="3645" spans="15:19" ht="15" x14ac:dyDescent="0.25">
      <c r="O3645"/>
      <c r="P3645"/>
      <c r="R3645" s="39">
        <v>40294</v>
      </c>
      <c r="S3645" s="37">
        <v>0.47499999999999998</v>
      </c>
    </row>
    <row r="3646" spans="15:19" ht="15" x14ac:dyDescent="0.25">
      <c r="O3646"/>
      <c r="P3646"/>
      <c r="R3646" s="39">
        <v>40291</v>
      </c>
      <c r="S3646" s="37">
        <v>0.4743</v>
      </c>
    </row>
    <row r="3647" spans="15:19" ht="15" x14ac:dyDescent="0.25">
      <c r="O3647"/>
      <c r="P3647"/>
      <c r="R3647" s="39">
        <v>40290</v>
      </c>
      <c r="S3647" s="37">
        <v>0.47289999999999999</v>
      </c>
    </row>
    <row r="3648" spans="15:19" ht="15" x14ac:dyDescent="0.25">
      <c r="O3648"/>
      <c r="P3648"/>
      <c r="R3648" s="39">
        <v>40289</v>
      </c>
      <c r="S3648" s="37">
        <v>0.47210000000000002</v>
      </c>
    </row>
    <row r="3649" spans="15:19" ht="15" x14ac:dyDescent="0.25">
      <c r="O3649"/>
      <c r="P3649"/>
      <c r="R3649" s="39">
        <v>40288</v>
      </c>
      <c r="S3649" s="37">
        <v>0.47170000000000001</v>
      </c>
    </row>
    <row r="3650" spans="15:19" ht="15" x14ac:dyDescent="0.25">
      <c r="O3650"/>
      <c r="P3650"/>
      <c r="R3650" s="39">
        <v>40287</v>
      </c>
      <c r="S3650" s="37">
        <v>0.4728</v>
      </c>
    </row>
    <row r="3651" spans="15:19" ht="15" x14ac:dyDescent="0.25">
      <c r="O3651"/>
      <c r="P3651"/>
      <c r="R3651" s="39">
        <v>40284</v>
      </c>
      <c r="S3651" s="37">
        <v>0.46939999999999998</v>
      </c>
    </row>
    <row r="3652" spans="15:19" ht="15" x14ac:dyDescent="0.25">
      <c r="O3652"/>
      <c r="P3652"/>
      <c r="R3652" s="39">
        <v>40283</v>
      </c>
      <c r="S3652" s="37">
        <v>0.47560000000000002</v>
      </c>
    </row>
    <row r="3653" spans="15:19" ht="15" x14ac:dyDescent="0.25">
      <c r="O3653"/>
      <c r="P3653"/>
      <c r="R3653" s="39">
        <v>40282</v>
      </c>
      <c r="S3653" s="37">
        <v>0.47170000000000001</v>
      </c>
    </row>
    <row r="3654" spans="15:19" ht="15" x14ac:dyDescent="0.25">
      <c r="O3654"/>
      <c r="P3654"/>
      <c r="R3654" s="39">
        <v>40281</v>
      </c>
      <c r="S3654" s="37">
        <v>0.4738</v>
      </c>
    </row>
    <row r="3655" spans="15:19" ht="15" x14ac:dyDescent="0.25">
      <c r="O3655"/>
      <c r="P3655"/>
      <c r="R3655" s="39">
        <v>40280</v>
      </c>
      <c r="S3655" s="37">
        <v>0.47</v>
      </c>
    </row>
    <row r="3656" spans="15:19" ht="15" x14ac:dyDescent="0.25">
      <c r="O3656"/>
      <c r="P3656"/>
      <c r="R3656" s="39">
        <v>40277</v>
      </c>
      <c r="S3656" s="37">
        <v>0.4708</v>
      </c>
    </row>
    <row r="3657" spans="15:19" ht="15" x14ac:dyDescent="0.25">
      <c r="O3657"/>
      <c r="P3657"/>
      <c r="R3657" s="39">
        <v>40276</v>
      </c>
      <c r="S3657" s="37">
        <v>0.4698</v>
      </c>
    </row>
    <row r="3658" spans="15:19" ht="15" x14ac:dyDescent="0.25">
      <c r="O3658"/>
      <c r="P3658"/>
      <c r="R3658" s="39">
        <v>40275</v>
      </c>
      <c r="S3658" s="37">
        <v>0.4698</v>
      </c>
    </row>
    <row r="3659" spans="15:19" ht="15" x14ac:dyDescent="0.25">
      <c r="O3659"/>
      <c r="P3659"/>
      <c r="R3659" s="39">
        <v>40274</v>
      </c>
      <c r="S3659" s="37">
        <v>0.47120000000000001</v>
      </c>
    </row>
    <row r="3660" spans="15:19" ht="15" x14ac:dyDescent="0.25">
      <c r="O3660"/>
      <c r="P3660"/>
      <c r="R3660" s="39">
        <v>40269</v>
      </c>
      <c r="S3660" s="37">
        <v>0.47349999999999998</v>
      </c>
    </row>
    <row r="3661" spans="15:19" ht="15" x14ac:dyDescent="0.25">
      <c r="O3661"/>
      <c r="P3661"/>
      <c r="R3661" s="39">
        <v>40268</v>
      </c>
      <c r="S3661" s="37">
        <v>0.47070000000000001</v>
      </c>
    </row>
    <row r="3662" spans="15:19" ht="15" x14ac:dyDescent="0.25">
      <c r="O3662"/>
      <c r="P3662"/>
      <c r="R3662" s="39">
        <v>40267</v>
      </c>
      <c r="S3662" s="37">
        <v>0.46989999999999998</v>
      </c>
    </row>
    <row r="3663" spans="15:19" ht="15" x14ac:dyDescent="0.25">
      <c r="O3663"/>
      <c r="P3663"/>
      <c r="R3663" s="39">
        <v>40266</v>
      </c>
      <c r="S3663" s="37">
        <v>0.4728</v>
      </c>
    </row>
    <row r="3664" spans="15:19" ht="15" x14ac:dyDescent="0.25">
      <c r="O3664"/>
      <c r="P3664"/>
      <c r="R3664" s="39">
        <v>40263</v>
      </c>
      <c r="S3664" s="37">
        <v>0.47160000000000002</v>
      </c>
    </row>
    <row r="3665" spans="15:19" ht="15" x14ac:dyDescent="0.25">
      <c r="O3665"/>
      <c r="P3665"/>
      <c r="R3665" s="39">
        <v>40262</v>
      </c>
      <c r="S3665" s="37">
        <v>0.47360000000000002</v>
      </c>
    </row>
    <row r="3666" spans="15:19" ht="15" x14ac:dyDescent="0.25">
      <c r="O3666"/>
      <c r="P3666"/>
      <c r="R3666" s="39">
        <v>40261</v>
      </c>
      <c r="S3666" s="37">
        <v>0.47120000000000001</v>
      </c>
    </row>
    <row r="3667" spans="15:19" ht="15" x14ac:dyDescent="0.25">
      <c r="O3667"/>
      <c r="P3667"/>
      <c r="R3667" s="39">
        <v>40260</v>
      </c>
      <c r="S3667" s="37">
        <v>0.47420000000000001</v>
      </c>
    </row>
    <row r="3668" spans="15:19" ht="15" x14ac:dyDescent="0.25">
      <c r="O3668"/>
      <c r="P3668"/>
      <c r="R3668" s="39">
        <v>40259</v>
      </c>
      <c r="S3668" s="37">
        <v>0.47110000000000002</v>
      </c>
    </row>
    <row r="3669" spans="15:19" ht="15" x14ac:dyDescent="0.25">
      <c r="O3669"/>
      <c r="P3669"/>
      <c r="R3669" s="39">
        <v>40256</v>
      </c>
      <c r="S3669" s="37">
        <v>0.4698</v>
      </c>
    </row>
    <row r="3670" spans="15:19" ht="15" x14ac:dyDescent="0.25">
      <c r="O3670"/>
      <c r="P3670"/>
      <c r="R3670" s="39">
        <v>40255</v>
      </c>
      <c r="S3670" s="37">
        <v>0.46820000000000001</v>
      </c>
    </row>
    <row r="3671" spans="15:19" ht="15" x14ac:dyDescent="0.25">
      <c r="O3671"/>
      <c r="P3671"/>
      <c r="R3671" s="39">
        <v>40254</v>
      </c>
      <c r="S3671" s="37">
        <v>0.46989999999999998</v>
      </c>
    </row>
    <row r="3672" spans="15:19" ht="15" x14ac:dyDescent="0.25">
      <c r="O3672"/>
      <c r="P3672"/>
      <c r="R3672" s="39">
        <v>40253</v>
      </c>
      <c r="S3672" s="37">
        <v>0.47370000000000001</v>
      </c>
    </row>
    <row r="3673" spans="15:19" ht="15" x14ac:dyDescent="0.25">
      <c r="O3673"/>
      <c r="P3673"/>
      <c r="R3673" s="39">
        <v>40252</v>
      </c>
      <c r="S3673" s="37">
        <v>0.47149999999999997</v>
      </c>
    </row>
    <row r="3674" spans="15:19" ht="15" x14ac:dyDescent="0.25">
      <c r="O3674"/>
      <c r="P3674"/>
      <c r="R3674" s="39">
        <v>40249</v>
      </c>
      <c r="S3674" s="37">
        <v>0.47320000000000001</v>
      </c>
    </row>
    <row r="3675" spans="15:19" ht="15" x14ac:dyDescent="0.25">
      <c r="O3675"/>
      <c r="P3675"/>
      <c r="R3675" s="39">
        <v>40248</v>
      </c>
      <c r="S3675" s="37">
        <v>0.46810000000000002</v>
      </c>
    </row>
    <row r="3676" spans="15:19" ht="15" x14ac:dyDescent="0.25">
      <c r="O3676"/>
      <c r="P3676"/>
      <c r="R3676" s="39">
        <v>40247</v>
      </c>
      <c r="S3676" s="37">
        <v>0.46970000000000001</v>
      </c>
    </row>
    <row r="3677" spans="15:19" ht="15" x14ac:dyDescent="0.25">
      <c r="O3677"/>
      <c r="P3677"/>
      <c r="R3677" s="39">
        <v>40246</v>
      </c>
      <c r="S3677" s="37">
        <v>0.4758</v>
      </c>
    </row>
    <row r="3678" spans="15:19" ht="15" x14ac:dyDescent="0.25">
      <c r="O3678"/>
      <c r="P3678"/>
      <c r="R3678" s="39">
        <v>40245</v>
      </c>
      <c r="S3678" s="37">
        <v>0.47249999999999998</v>
      </c>
    </row>
    <row r="3679" spans="15:19" ht="15" x14ac:dyDescent="0.25">
      <c r="O3679"/>
      <c r="P3679"/>
      <c r="R3679" s="39">
        <v>40242</v>
      </c>
      <c r="S3679" s="37">
        <v>0.47439999999999999</v>
      </c>
    </row>
    <row r="3680" spans="15:19" ht="15" x14ac:dyDescent="0.25">
      <c r="O3680"/>
      <c r="P3680"/>
      <c r="R3680" s="39">
        <v>40241</v>
      </c>
      <c r="S3680" s="37">
        <v>0.4657</v>
      </c>
    </row>
    <row r="3681" spans="15:19" ht="15" x14ac:dyDescent="0.25">
      <c r="O3681"/>
      <c r="P3681"/>
      <c r="R3681" s="39">
        <v>40240</v>
      </c>
      <c r="S3681" s="37">
        <v>0.46739999999999998</v>
      </c>
    </row>
    <row r="3682" spans="15:19" ht="15" x14ac:dyDescent="0.25">
      <c r="O3682"/>
      <c r="P3682"/>
      <c r="R3682" s="39">
        <v>40239</v>
      </c>
      <c r="S3682" s="37">
        <v>0.47460000000000002</v>
      </c>
    </row>
    <row r="3683" spans="15:19" ht="15" x14ac:dyDescent="0.25">
      <c r="O3683"/>
      <c r="P3683"/>
      <c r="R3683" s="39">
        <v>40238</v>
      </c>
      <c r="S3683" s="37">
        <v>0.46920000000000001</v>
      </c>
    </row>
    <row r="3684" spans="15:19" ht="15" x14ac:dyDescent="0.25">
      <c r="O3684"/>
      <c r="P3684"/>
      <c r="R3684" s="39">
        <v>40235</v>
      </c>
      <c r="S3684" s="37">
        <v>0.4708</v>
      </c>
    </row>
    <row r="3685" spans="15:19" ht="15" x14ac:dyDescent="0.25">
      <c r="O3685"/>
      <c r="P3685"/>
      <c r="R3685" s="39">
        <v>40234</v>
      </c>
      <c r="S3685" s="37">
        <v>0.46729999999999999</v>
      </c>
    </row>
    <row r="3686" spans="15:19" ht="15" x14ac:dyDescent="0.25">
      <c r="O3686"/>
      <c r="P3686"/>
      <c r="R3686" s="39">
        <v>40233</v>
      </c>
      <c r="S3686" s="37">
        <v>0.46789999999999998</v>
      </c>
    </row>
    <row r="3687" spans="15:19" ht="15" x14ac:dyDescent="0.25">
      <c r="O3687"/>
      <c r="P3687"/>
      <c r="R3687" s="39">
        <v>40232</v>
      </c>
      <c r="S3687" s="37">
        <v>0.4728</v>
      </c>
    </row>
    <row r="3688" spans="15:19" ht="15" x14ac:dyDescent="0.25">
      <c r="O3688"/>
      <c r="P3688"/>
      <c r="R3688" s="39">
        <v>40231</v>
      </c>
      <c r="S3688" s="37">
        <v>0.46860000000000002</v>
      </c>
    </row>
    <row r="3689" spans="15:19" ht="15" x14ac:dyDescent="0.25">
      <c r="O3689"/>
      <c r="P3689"/>
      <c r="R3689" s="39">
        <v>40228</v>
      </c>
      <c r="S3689" s="37">
        <v>0.47139999999999999</v>
      </c>
    </row>
    <row r="3690" spans="15:19" ht="15" x14ac:dyDescent="0.25">
      <c r="O3690"/>
      <c r="P3690"/>
      <c r="R3690" s="39">
        <v>40227</v>
      </c>
      <c r="S3690" s="37">
        <v>0.46860000000000002</v>
      </c>
    </row>
    <row r="3691" spans="15:19" ht="15" x14ac:dyDescent="0.25">
      <c r="O3691"/>
      <c r="P3691"/>
      <c r="R3691" s="39">
        <v>40226</v>
      </c>
      <c r="S3691" s="37">
        <v>0.46760000000000002</v>
      </c>
    </row>
    <row r="3692" spans="15:19" ht="15" x14ac:dyDescent="0.25">
      <c r="O3692"/>
      <c r="P3692"/>
      <c r="R3692" s="39">
        <v>40225</v>
      </c>
      <c r="S3692" s="37">
        <v>0.46529999999999999</v>
      </c>
    </row>
    <row r="3693" spans="15:19" ht="15" x14ac:dyDescent="0.25">
      <c r="O3693"/>
      <c r="P3693"/>
      <c r="R3693" s="39">
        <v>40224</v>
      </c>
      <c r="S3693" s="37">
        <v>0.4672</v>
      </c>
    </row>
    <row r="3694" spans="15:19" ht="15" x14ac:dyDescent="0.25">
      <c r="O3694"/>
      <c r="P3694"/>
      <c r="R3694" s="39">
        <v>40221</v>
      </c>
      <c r="S3694" s="37">
        <v>0.47</v>
      </c>
    </row>
    <row r="3695" spans="15:19" ht="15" x14ac:dyDescent="0.25">
      <c r="O3695"/>
      <c r="P3695"/>
      <c r="R3695" s="39">
        <v>40220</v>
      </c>
      <c r="S3695" s="37">
        <v>0.4708</v>
      </c>
    </row>
    <row r="3696" spans="15:19" ht="15" x14ac:dyDescent="0.25">
      <c r="O3696"/>
      <c r="P3696"/>
      <c r="R3696" s="39">
        <v>40219</v>
      </c>
      <c r="S3696" s="37">
        <v>0.46610000000000001</v>
      </c>
    </row>
    <row r="3697" spans="15:19" ht="15" x14ac:dyDescent="0.25">
      <c r="O3697"/>
      <c r="P3697"/>
      <c r="R3697" s="39">
        <v>40218</v>
      </c>
      <c r="S3697" s="37">
        <v>0.47299999999999998</v>
      </c>
    </row>
    <row r="3698" spans="15:19" ht="15" x14ac:dyDescent="0.25">
      <c r="O3698"/>
      <c r="P3698"/>
      <c r="R3698" s="39">
        <v>40217</v>
      </c>
      <c r="S3698" s="37">
        <v>0.46870000000000001</v>
      </c>
    </row>
    <row r="3699" spans="15:19" ht="15" x14ac:dyDescent="0.25">
      <c r="O3699"/>
      <c r="P3699"/>
      <c r="R3699" s="39">
        <v>40214</v>
      </c>
      <c r="S3699" s="37">
        <v>0.46439999999999998</v>
      </c>
    </row>
    <row r="3700" spans="15:19" ht="15" x14ac:dyDescent="0.25">
      <c r="O3700"/>
      <c r="P3700"/>
      <c r="R3700" s="39">
        <v>40213</v>
      </c>
      <c r="S3700" s="37">
        <v>0.46589999999999998</v>
      </c>
    </row>
    <row r="3701" spans="15:19" ht="15" x14ac:dyDescent="0.25">
      <c r="O3701"/>
      <c r="P3701"/>
      <c r="R3701" s="39">
        <v>40212</v>
      </c>
      <c r="S3701" s="37">
        <v>0.4602</v>
      </c>
    </row>
    <row r="3702" spans="15:19" ht="15" x14ac:dyDescent="0.25">
      <c r="O3702"/>
      <c r="P3702"/>
      <c r="R3702" s="39">
        <v>40211</v>
      </c>
      <c r="S3702" s="37">
        <v>0.45979999999999999</v>
      </c>
    </row>
    <row r="3703" spans="15:19" ht="15" x14ac:dyDescent="0.25">
      <c r="O3703"/>
      <c r="P3703"/>
      <c r="R3703" s="39">
        <v>40210</v>
      </c>
      <c r="S3703" s="37">
        <v>0.45850000000000002</v>
      </c>
    </row>
    <row r="3704" spans="15:19" ht="15" x14ac:dyDescent="0.25">
      <c r="O3704"/>
      <c r="P3704"/>
      <c r="R3704" s="39">
        <v>40207</v>
      </c>
      <c r="S3704" s="37">
        <v>0.46789999999999998</v>
      </c>
    </row>
    <row r="3705" spans="15:19" ht="15" x14ac:dyDescent="0.25">
      <c r="O3705"/>
      <c r="P3705"/>
      <c r="R3705" s="39">
        <v>40206</v>
      </c>
      <c r="S3705" s="37">
        <v>0.45710000000000001</v>
      </c>
    </row>
    <row r="3706" spans="15:19" ht="15" x14ac:dyDescent="0.25">
      <c r="O3706"/>
      <c r="P3706"/>
      <c r="R3706" s="39">
        <v>40205</v>
      </c>
      <c r="S3706" s="37">
        <v>0.45660000000000001</v>
      </c>
    </row>
    <row r="3707" spans="15:19" ht="15" x14ac:dyDescent="0.25">
      <c r="O3707"/>
      <c r="P3707"/>
      <c r="R3707" s="39">
        <v>40204</v>
      </c>
      <c r="S3707" s="37">
        <v>0.45379999999999998</v>
      </c>
    </row>
    <row r="3708" spans="15:19" ht="15" x14ac:dyDescent="0.25">
      <c r="O3708"/>
      <c r="P3708"/>
      <c r="R3708" s="39">
        <v>40203</v>
      </c>
      <c r="S3708" s="37">
        <v>0.45839999999999997</v>
      </c>
    </row>
    <row r="3709" spans="15:19" ht="15" x14ac:dyDescent="0.25">
      <c r="O3709"/>
      <c r="P3709"/>
      <c r="R3709" s="39">
        <v>40200</v>
      </c>
      <c r="S3709" s="37">
        <v>0.45519999999999999</v>
      </c>
    </row>
    <row r="3710" spans="15:19" ht="15" x14ac:dyDescent="0.25">
      <c r="O3710"/>
      <c r="P3710"/>
      <c r="R3710" s="39">
        <v>40199</v>
      </c>
      <c r="S3710" s="37">
        <v>0.45329999999999998</v>
      </c>
    </row>
    <row r="3711" spans="15:19" ht="15" x14ac:dyDescent="0.25">
      <c r="O3711"/>
      <c r="P3711"/>
      <c r="R3711" s="39">
        <v>40198</v>
      </c>
      <c r="S3711" s="37">
        <v>0.45419999999999999</v>
      </c>
    </row>
    <row r="3712" spans="15:19" ht="15" x14ac:dyDescent="0.25">
      <c r="O3712"/>
      <c r="P3712"/>
      <c r="R3712" s="39">
        <v>40197</v>
      </c>
      <c r="S3712" s="37">
        <v>0.4556</v>
      </c>
    </row>
    <row r="3713" spans="15:19" ht="15" x14ac:dyDescent="0.25">
      <c r="O3713"/>
      <c r="P3713"/>
      <c r="R3713" s="39">
        <v>40196</v>
      </c>
      <c r="S3713" s="37">
        <v>0.45479999999999998</v>
      </c>
    </row>
    <row r="3714" spans="15:19" ht="15" x14ac:dyDescent="0.25">
      <c r="O3714"/>
      <c r="P3714"/>
      <c r="R3714" s="39">
        <v>40193</v>
      </c>
      <c r="S3714" s="37">
        <v>0.4521</v>
      </c>
    </row>
    <row r="3715" spans="15:19" ht="15" x14ac:dyDescent="0.25">
      <c r="O3715"/>
      <c r="P3715"/>
      <c r="R3715" s="39">
        <v>40192</v>
      </c>
      <c r="S3715" s="37">
        <v>0.45450000000000002</v>
      </c>
    </row>
    <row r="3716" spans="15:19" ht="15" x14ac:dyDescent="0.25">
      <c r="O3716"/>
      <c r="P3716"/>
      <c r="R3716" s="39">
        <v>40191</v>
      </c>
      <c r="S3716" s="37">
        <v>0.45300000000000001</v>
      </c>
    </row>
    <row r="3717" spans="15:19" ht="15" x14ac:dyDescent="0.25">
      <c r="O3717"/>
      <c r="P3717"/>
      <c r="R3717" s="39">
        <v>40190</v>
      </c>
      <c r="S3717" s="37">
        <v>0.44900000000000001</v>
      </c>
    </row>
    <row r="3718" spans="15:19" ht="15" x14ac:dyDescent="0.25">
      <c r="O3718"/>
      <c r="P3718"/>
      <c r="R3718" s="39">
        <v>40189</v>
      </c>
      <c r="S3718" s="37">
        <v>0.45229999999999998</v>
      </c>
    </row>
    <row r="3719" spans="15:19" ht="15" x14ac:dyDescent="0.25">
      <c r="O3719"/>
      <c r="P3719"/>
      <c r="R3719" s="39">
        <v>40186</v>
      </c>
      <c r="S3719" s="37">
        <v>0.4546</v>
      </c>
    </row>
    <row r="3720" spans="15:19" ht="15" x14ac:dyDescent="0.25">
      <c r="O3720"/>
      <c r="P3720"/>
      <c r="R3720" s="39">
        <v>40185</v>
      </c>
      <c r="S3720" s="37">
        <v>0.4541</v>
      </c>
    </row>
    <row r="3721" spans="15:19" ht="15" x14ac:dyDescent="0.25">
      <c r="O3721"/>
      <c r="P3721"/>
      <c r="R3721" s="39">
        <v>40184</v>
      </c>
      <c r="S3721" s="37">
        <v>0.45340000000000003</v>
      </c>
    </row>
    <row r="3722" spans="15:19" ht="15" x14ac:dyDescent="0.25">
      <c r="O3722"/>
      <c r="P3722"/>
      <c r="R3722" s="39">
        <v>40183</v>
      </c>
      <c r="S3722" s="37">
        <v>0.45140000000000002</v>
      </c>
    </row>
    <row r="3723" spans="15:19" ht="15" x14ac:dyDescent="0.25">
      <c r="O3723"/>
      <c r="P3723"/>
      <c r="R3723" s="39">
        <v>40182</v>
      </c>
      <c r="S3723" s="37">
        <v>0.44869999999999999</v>
      </c>
    </row>
    <row r="3724" spans="15:19" ht="15" x14ac:dyDescent="0.25">
      <c r="O3724"/>
      <c r="P3724"/>
      <c r="R3724" s="39">
        <v>40178</v>
      </c>
      <c r="S3724" s="37">
        <v>0.44340000000000002</v>
      </c>
    </row>
    <row r="3725" spans="15:19" ht="15" x14ac:dyDescent="0.25">
      <c r="O3725"/>
      <c r="P3725"/>
      <c r="R3725" s="39">
        <v>40177</v>
      </c>
      <c r="S3725" s="37">
        <v>0.44890000000000002</v>
      </c>
    </row>
    <row r="3726" spans="15:19" ht="15" x14ac:dyDescent="0.25">
      <c r="O3726"/>
      <c r="P3726"/>
      <c r="R3726" s="39">
        <v>40176</v>
      </c>
      <c r="S3726" s="37">
        <v>0.44800000000000001</v>
      </c>
    </row>
    <row r="3727" spans="15:19" ht="15" x14ac:dyDescent="0.25">
      <c r="O3727"/>
      <c r="P3727"/>
      <c r="R3727" s="39">
        <v>40171</v>
      </c>
      <c r="S3727" s="37">
        <v>0.45529999999999998</v>
      </c>
    </row>
    <row r="3728" spans="15:19" ht="15" x14ac:dyDescent="0.25">
      <c r="O3728"/>
      <c r="P3728"/>
      <c r="R3728" s="39">
        <v>40170</v>
      </c>
      <c r="S3728" s="37">
        <v>0.45569999999999999</v>
      </c>
    </row>
    <row r="3729" spans="15:19" ht="15" x14ac:dyDescent="0.25">
      <c r="O3729"/>
      <c r="P3729"/>
      <c r="R3729" s="39">
        <v>40169</v>
      </c>
      <c r="S3729" s="37">
        <v>0.45219999999999999</v>
      </c>
    </row>
    <row r="3730" spans="15:19" ht="15" x14ac:dyDescent="0.25">
      <c r="O3730"/>
      <c r="P3730"/>
      <c r="R3730" s="39">
        <v>40168</v>
      </c>
      <c r="S3730" s="37">
        <v>0.45119999999999999</v>
      </c>
    </row>
    <row r="3731" spans="15:19" ht="15" x14ac:dyDescent="0.25">
      <c r="O3731"/>
      <c r="P3731"/>
      <c r="R3731" s="39">
        <v>40165</v>
      </c>
      <c r="S3731" s="37">
        <v>0.44779999999999998</v>
      </c>
    </row>
    <row r="3732" spans="15:19" ht="15" x14ac:dyDescent="0.25">
      <c r="O3732"/>
      <c r="P3732"/>
      <c r="R3732" s="39">
        <v>40164</v>
      </c>
      <c r="S3732" s="37">
        <v>0.44369999999999998</v>
      </c>
    </row>
    <row r="3733" spans="15:19" ht="15" x14ac:dyDescent="0.25">
      <c r="O3733"/>
      <c r="P3733"/>
      <c r="R3733" s="39">
        <v>40163</v>
      </c>
      <c r="S3733" s="37">
        <v>0.4461</v>
      </c>
    </row>
    <row r="3734" spans="15:19" ht="15" x14ac:dyDescent="0.25">
      <c r="O3734"/>
      <c r="P3734"/>
      <c r="R3734" s="39">
        <v>40162</v>
      </c>
      <c r="S3734" s="37">
        <v>0.4506</v>
      </c>
    </row>
    <row r="3735" spans="15:19" ht="15" x14ac:dyDescent="0.25">
      <c r="O3735"/>
      <c r="P3735"/>
      <c r="R3735" s="39">
        <v>40161</v>
      </c>
      <c r="S3735" s="37">
        <v>0.44779999999999998</v>
      </c>
    </row>
    <row r="3736" spans="15:19" ht="15" x14ac:dyDescent="0.25">
      <c r="O3736"/>
      <c r="P3736"/>
      <c r="R3736" s="39">
        <v>40158</v>
      </c>
      <c r="S3736" s="37">
        <v>0.45040000000000002</v>
      </c>
    </row>
    <row r="3737" spans="15:19" ht="15" x14ac:dyDescent="0.25">
      <c r="O3737"/>
      <c r="P3737"/>
      <c r="R3737" s="39">
        <v>40157</v>
      </c>
      <c r="S3737" s="37">
        <v>0.4461</v>
      </c>
    </row>
    <row r="3738" spans="15:19" ht="15" x14ac:dyDescent="0.25">
      <c r="O3738"/>
      <c r="P3738"/>
      <c r="R3738" s="39">
        <v>40156</v>
      </c>
      <c r="S3738" s="37">
        <v>0.44290000000000002</v>
      </c>
    </row>
    <row r="3739" spans="15:19" ht="15" x14ac:dyDescent="0.25">
      <c r="O3739"/>
      <c r="P3739"/>
      <c r="R3739" s="39">
        <v>40155</v>
      </c>
      <c r="S3739" s="37">
        <v>0.44579999999999997</v>
      </c>
    </row>
    <row r="3740" spans="15:19" ht="15" x14ac:dyDescent="0.25">
      <c r="O3740"/>
      <c r="P3740"/>
      <c r="R3740" s="39">
        <v>40154</v>
      </c>
      <c r="S3740" s="37">
        <v>0.4491</v>
      </c>
    </row>
    <row r="3741" spans="15:19" ht="15" x14ac:dyDescent="0.25">
      <c r="O3741"/>
      <c r="P3741"/>
      <c r="R3741" s="39">
        <v>40151</v>
      </c>
      <c r="S3741" s="37">
        <v>0.45019999999999999</v>
      </c>
    </row>
    <row r="3742" spans="15:19" ht="15" x14ac:dyDescent="0.25">
      <c r="O3742"/>
      <c r="P3742"/>
      <c r="R3742" s="39">
        <v>40150</v>
      </c>
      <c r="S3742" s="37">
        <v>0.45219999999999999</v>
      </c>
    </row>
    <row r="3743" spans="15:19" ht="15" x14ac:dyDescent="0.25">
      <c r="O3743"/>
      <c r="P3743"/>
      <c r="R3743" s="39">
        <v>40149</v>
      </c>
      <c r="S3743" s="37">
        <v>0.45319999999999999</v>
      </c>
    </row>
    <row r="3744" spans="15:19" ht="15" x14ac:dyDescent="0.25">
      <c r="O3744"/>
      <c r="P3744"/>
      <c r="R3744" s="39">
        <v>40148</v>
      </c>
      <c r="S3744" s="37">
        <v>0.45169999999999999</v>
      </c>
    </row>
    <row r="3745" spans="15:19" ht="15" x14ac:dyDescent="0.25">
      <c r="O3745"/>
      <c r="P3745"/>
      <c r="R3745" s="39">
        <v>40147</v>
      </c>
      <c r="S3745" s="37">
        <v>0.44990000000000002</v>
      </c>
    </row>
    <row r="3746" spans="15:19" ht="15" x14ac:dyDescent="0.25">
      <c r="O3746"/>
      <c r="P3746"/>
      <c r="R3746" s="39">
        <v>40144</v>
      </c>
      <c r="S3746" s="37">
        <v>0.45029999999999998</v>
      </c>
    </row>
    <row r="3747" spans="15:19" ht="15" x14ac:dyDescent="0.25">
      <c r="O3747"/>
      <c r="P3747"/>
      <c r="R3747" s="39">
        <v>40143</v>
      </c>
      <c r="S3747" s="37">
        <v>0.45400000000000001</v>
      </c>
    </row>
    <row r="3748" spans="15:19" ht="15" x14ac:dyDescent="0.25">
      <c r="O3748"/>
      <c r="P3748"/>
      <c r="R3748" s="39">
        <v>40142</v>
      </c>
      <c r="S3748" s="37">
        <v>0.45079999999999998</v>
      </c>
    </row>
    <row r="3749" spans="15:19" ht="15" x14ac:dyDescent="0.25">
      <c r="O3749"/>
      <c r="P3749"/>
      <c r="R3749" s="39">
        <v>40141</v>
      </c>
      <c r="S3749" s="37">
        <v>0.45269999999999999</v>
      </c>
    </row>
    <row r="3750" spans="15:19" ht="15" x14ac:dyDescent="0.25">
      <c r="O3750"/>
      <c r="P3750"/>
      <c r="R3750" s="39">
        <v>40140</v>
      </c>
      <c r="S3750" s="37">
        <v>0.4521</v>
      </c>
    </row>
    <row r="3751" spans="15:19" ht="15" x14ac:dyDescent="0.25">
      <c r="O3751"/>
      <c r="P3751"/>
      <c r="R3751" s="39">
        <v>40137</v>
      </c>
      <c r="S3751" s="37">
        <v>0.4516</v>
      </c>
    </row>
    <row r="3752" spans="15:19" ht="15" x14ac:dyDescent="0.25">
      <c r="O3752"/>
      <c r="P3752"/>
      <c r="R3752" s="39">
        <v>40136</v>
      </c>
      <c r="S3752" s="37">
        <v>0.44890000000000002</v>
      </c>
    </row>
    <row r="3753" spans="15:19" ht="15" x14ac:dyDescent="0.25">
      <c r="O3753"/>
      <c r="P3753"/>
      <c r="R3753" s="39">
        <v>40135</v>
      </c>
      <c r="S3753" s="37">
        <v>0.45090000000000002</v>
      </c>
    </row>
    <row r="3754" spans="15:19" ht="15" x14ac:dyDescent="0.25">
      <c r="O3754"/>
      <c r="P3754"/>
      <c r="R3754" s="39">
        <v>40134</v>
      </c>
      <c r="S3754" s="37">
        <v>0.44990000000000002</v>
      </c>
    </row>
    <row r="3755" spans="15:19" ht="15" x14ac:dyDescent="0.25">
      <c r="O3755"/>
      <c r="P3755"/>
      <c r="R3755" s="39">
        <v>40133</v>
      </c>
      <c r="S3755" s="37">
        <v>0.45200000000000001</v>
      </c>
    </row>
    <row r="3756" spans="15:19" ht="15" x14ac:dyDescent="0.25">
      <c r="O3756"/>
      <c r="P3756"/>
      <c r="R3756" s="39">
        <v>40130</v>
      </c>
      <c r="S3756" s="37">
        <v>0.45050000000000001</v>
      </c>
    </row>
    <row r="3757" spans="15:19" ht="15" x14ac:dyDescent="0.25">
      <c r="O3757"/>
      <c r="P3757"/>
      <c r="R3757" s="39">
        <v>40129</v>
      </c>
      <c r="S3757" s="37">
        <v>0.45140000000000002</v>
      </c>
    </row>
    <row r="3758" spans="15:19" ht="15" x14ac:dyDescent="0.25">
      <c r="O3758"/>
      <c r="P3758"/>
      <c r="R3758" s="39">
        <v>40128</v>
      </c>
      <c r="S3758" s="37">
        <v>0.45600000000000002</v>
      </c>
    </row>
    <row r="3759" spans="15:19" ht="15" x14ac:dyDescent="0.25">
      <c r="O3759"/>
      <c r="P3759"/>
      <c r="R3759" s="39">
        <v>40127</v>
      </c>
      <c r="S3759" s="37">
        <v>0.45140000000000002</v>
      </c>
    </row>
    <row r="3760" spans="15:19" ht="15" x14ac:dyDescent="0.25">
      <c r="O3760"/>
      <c r="P3760"/>
      <c r="R3760" s="39">
        <v>40126</v>
      </c>
      <c r="S3760" s="37">
        <v>0.44869999999999999</v>
      </c>
    </row>
    <row r="3761" spans="15:19" ht="15" x14ac:dyDescent="0.25">
      <c r="O3761"/>
      <c r="P3761"/>
      <c r="R3761" s="39">
        <v>40123</v>
      </c>
      <c r="S3761" s="37">
        <v>0.45229999999999998</v>
      </c>
    </row>
    <row r="3762" spans="15:19" ht="15" x14ac:dyDescent="0.25">
      <c r="O3762"/>
      <c r="P3762"/>
      <c r="R3762" s="39">
        <v>40122</v>
      </c>
      <c r="S3762" s="37">
        <v>0.45179999999999998</v>
      </c>
    </row>
    <row r="3763" spans="15:19" ht="15" x14ac:dyDescent="0.25">
      <c r="O3763"/>
      <c r="P3763"/>
      <c r="R3763" s="39">
        <v>40121</v>
      </c>
      <c r="S3763" s="37">
        <v>0.44619999999999999</v>
      </c>
    </row>
    <row r="3764" spans="15:19" ht="15" x14ac:dyDescent="0.25">
      <c r="O3764"/>
      <c r="P3764"/>
      <c r="R3764" s="39">
        <v>40120</v>
      </c>
      <c r="S3764" s="37">
        <v>0.44790000000000002</v>
      </c>
    </row>
    <row r="3765" spans="15:19" ht="15" x14ac:dyDescent="0.25">
      <c r="O3765"/>
      <c r="P3765"/>
      <c r="R3765" s="39">
        <v>40119</v>
      </c>
      <c r="S3765" s="37">
        <v>0.44979999999999998</v>
      </c>
    </row>
    <row r="3766" spans="15:19" ht="15" x14ac:dyDescent="0.25">
      <c r="O3766"/>
      <c r="P3766"/>
      <c r="R3766" s="39">
        <v>40116</v>
      </c>
      <c r="S3766" s="37">
        <v>0.44890000000000002</v>
      </c>
    </row>
    <row r="3767" spans="15:19" ht="15" x14ac:dyDescent="0.25">
      <c r="O3767"/>
      <c r="P3767"/>
      <c r="R3767" s="39">
        <v>40115</v>
      </c>
      <c r="S3767" s="37">
        <v>0.45269999999999999</v>
      </c>
    </row>
    <row r="3768" spans="15:19" ht="15" x14ac:dyDescent="0.25">
      <c r="O3768"/>
      <c r="P3768"/>
      <c r="R3768" s="39">
        <v>40114</v>
      </c>
      <c r="S3768" s="37">
        <v>0.44929999999999998</v>
      </c>
    </row>
    <row r="3769" spans="15:19" ht="15" x14ac:dyDescent="0.25">
      <c r="O3769"/>
      <c r="P3769"/>
      <c r="R3769" s="39">
        <v>40113</v>
      </c>
      <c r="S3769" s="37">
        <v>0.4521</v>
      </c>
    </row>
    <row r="3770" spans="15:19" ht="15" x14ac:dyDescent="0.25">
      <c r="O3770"/>
      <c r="P3770"/>
      <c r="R3770" s="39">
        <v>40112</v>
      </c>
      <c r="S3770" s="37">
        <v>0.4516</v>
      </c>
    </row>
    <row r="3771" spans="15:19" ht="15" x14ac:dyDescent="0.25">
      <c r="O3771"/>
      <c r="P3771"/>
      <c r="R3771" s="39">
        <v>40109</v>
      </c>
      <c r="S3771" s="37">
        <v>0.45710000000000001</v>
      </c>
    </row>
    <row r="3772" spans="15:19" ht="15" x14ac:dyDescent="0.25">
      <c r="O3772"/>
      <c r="P3772"/>
      <c r="R3772" s="39">
        <v>40108</v>
      </c>
      <c r="S3772" s="37">
        <v>0.45540000000000003</v>
      </c>
    </row>
    <row r="3773" spans="15:19" ht="15" x14ac:dyDescent="0.25">
      <c r="O3773"/>
      <c r="P3773"/>
      <c r="R3773" s="39">
        <v>40107</v>
      </c>
      <c r="S3773" s="37">
        <v>0.44900000000000001</v>
      </c>
    </row>
    <row r="3774" spans="15:19" ht="15" x14ac:dyDescent="0.25">
      <c r="O3774"/>
      <c r="P3774"/>
      <c r="R3774" s="39">
        <v>40106</v>
      </c>
      <c r="S3774" s="37">
        <v>0.45140000000000002</v>
      </c>
    </row>
    <row r="3775" spans="15:19" ht="15" x14ac:dyDescent="0.25">
      <c r="O3775"/>
      <c r="P3775"/>
      <c r="R3775" s="39">
        <v>40105</v>
      </c>
      <c r="S3775" s="37">
        <v>0.44840000000000002</v>
      </c>
    </row>
    <row r="3776" spans="15:19" ht="15" x14ac:dyDescent="0.25">
      <c r="O3776"/>
      <c r="P3776"/>
      <c r="R3776" s="39">
        <v>40102</v>
      </c>
      <c r="S3776" s="37">
        <v>0.4506</v>
      </c>
    </row>
    <row r="3777" spans="15:19" ht="15" x14ac:dyDescent="0.25">
      <c r="O3777"/>
      <c r="P3777"/>
      <c r="R3777" s="39">
        <v>40101</v>
      </c>
      <c r="S3777" s="37">
        <v>0.44829999999999998</v>
      </c>
    </row>
    <row r="3778" spans="15:19" ht="15" x14ac:dyDescent="0.25">
      <c r="O3778"/>
      <c r="P3778"/>
      <c r="R3778" s="39">
        <v>40100</v>
      </c>
      <c r="S3778" s="37">
        <v>0.44650000000000001</v>
      </c>
    </row>
    <row r="3779" spans="15:19" ht="15" x14ac:dyDescent="0.25">
      <c r="O3779"/>
      <c r="P3779"/>
      <c r="R3779" s="39">
        <v>40099</v>
      </c>
      <c r="S3779" s="37">
        <v>0.44690000000000002</v>
      </c>
    </row>
    <row r="3780" spans="15:19" ht="15" x14ac:dyDescent="0.25">
      <c r="O3780"/>
      <c r="P3780"/>
      <c r="R3780" s="39">
        <v>40098</v>
      </c>
      <c r="S3780" s="37">
        <v>0.44650000000000001</v>
      </c>
    </row>
    <row r="3781" spans="15:19" ht="15" x14ac:dyDescent="0.25">
      <c r="O3781"/>
      <c r="P3781"/>
      <c r="R3781" s="39">
        <v>40095</v>
      </c>
      <c r="S3781" s="37">
        <v>0.44629999999999997</v>
      </c>
    </row>
    <row r="3782" spans="15:19" ht="15" x14ac:dyDescent="0.25">
      <c r="O3782"/>
      <c r="P3782"/>
      <c r="R3782" s="39">
        <v>40094</v>
      </c>
      <c r="S3782" s="37">
        <v>0.44109999999999999</v>
      </c>
    </row>
    <row r="3783" spans="15:19" ht="15" x14ac:dyDescent="0.25">
      <c r="O3783"/>
      <c r="P3783"/>
      <c r="R3783" s="39">
        <v>40093</v>
      </c>
      <c r="S3783" s="37">
        <v>0.4385</v>
      </c>
    </row>
    <row r="3784" spans="15:19" ht="15" x14ac:dyDescent="0.25">
      <c r="O3784"/>
      <c r="P3784"/>
      <c r="R3784" s="39">
        <v>40092</v>
      </c>
      <c r="S3784" s="37">
        <v>0.43559999999999999</v>
      </c>
    </row>
    <row r="3785" spans="15:19" ht="15" x14ac:dyDescent="0.25">
      <c r="O3785"/>
      <c r="P3785"/>
      <c r="R3785" s="39">
        <v>40091</v>
      </c>
      <c r="S3785" s="37">
        <v>0.44130000000000003</v>
      </c>
    </row>
    <row r="3786" spans="15:19" ht="15" x14ac:dyDescent="0.25">
      <c r="O3786"/>
      <c r="P3786"/>
      <c r="R3786" s="39">
        <v>40088</v>
      </c>
      <c r="S3786" s="37">
        <v>0.44280000000000003</v>
      </c>
    </row>
    <row r="3787" spans="15:19" ht="15" x14ac:dyDescent="0.25">
      <c r="O3787"/>
      <c r="P3787"/>
      <c r="R3787" s="39">
        <v>40087</v>
      </c>
      <c r="S3787" s="37">
        <v>0.43840000000000001</v>
      </c>
    </row>
    <row r="3788" spans="15:19" ht="15" x14ac:dyDescent="0.25">
      <c r="O3788"/>
      <c r="P3788"/>
      <c r="R3788" s="39">
        <v>40086</v>
      </c>
      <c r="S3788" s="37">
        <v>0.42030000000000001</v>
      </c>
    </row>
    <row r="3789" spans="15:19" ht="15" x14ac:dyDescent="0.25">
      <c r="O3789"/>
      <c r="P3789"/>
      <c r="R3789" s="39">
        <v>40085</v>
      </c>
      <c r="S3789" s="37">
        <v>0.43</v>
      </c>
    </row>
    <row r="3790" spans="15:19" ht="15" x14ac:dyDescent="0.25">
      <c r="O3790"/>
      <c r="P3790"/>
      <c r="R3790" s="39">
        <v>40084</v>
      </c>
      <c r="S3790" s="37">
        <v>0.43140000000000001</v>
      </c>
    </row>
    <row r="3791" spans="15:19" ht="15" x14ac:dyDescent="0.25">
      <c r="O3791"/>
      <c r="P3791"/>
      <c r="R3791" s="39">
        <v>40081</v>
      </c>
      <c r="S3791" s="37">
        <v>0.43169999999999997</v>
      </c>
    </row>
    <row r="3792" spans="15:19" ht="15" x14ac:dyDescent="0.25">
      <c r="O3792"/>
      <c r="P3792"/>
      <c r="R3792" s="39">
        <v>40080</v>
      </c>
      <c r="S3792" s="37">
        <v>0.42670000000000002</v>
      </c>
    </row>
    <row r="3793" spans="15:19" ht="15" x14ac:dyDescent="0.25">
      <c r="O3793"/>
      <c r="P3793"/>
      <c r="R3793" s="39">
        <v>40079</v>
      </c>
      <c r="S3793" s="37">
        <v>0.42820000000000003</v>
      </c>
    </row>
    <row r="3794" spans="15:19" ht="15" x14ac:dyDescent="0.25">
      <c r="O3794"/>
      <c r="P3794"/>
      <c r="R3794" s="39">
        <v>40078</v>
      </c>
      <c r="S3794" s="37">
        <v>0.43080000000000002</v>
      </c>
    </row>
    <row r="3795" spans="15:19" ht="15" x14ac:dyDescent="0.25">
      <c r="O3795"/>
      <c r="P3795"/>
      <c r="R3795" s="39">
        <v>40077</v>
      </c>
      <c r="S3795" s="37">
        <v>0.42870000000000003</v>
      </c>
    </row>
    <row r="3796" spans="15:19" ht="15" x14ac:dyDescent="0.25">
      <c r="O3796"/>
      <c r="P3796"/>
      <c r="R3796" s="39">
        <v>40074</v>
      </c>
      <c r="S3796" s="37">
        <v>0.4335</v>
      </c>
    </row>
    <row r="3797" spans="15:19" ht="15" x14ac:dyDescent="0.25">
      <c r="O3797"/>
      <c r="P3797"/>
      <c r="R3797" s="39">
        <v>40073</v>
      </c>
      <c r="S3797" s="37">
        <v>0.43190000000000001</v>
      </c>
    </row>
    <row r="3798" spans="15:19" ht="15" x14ac:dyDescent="0.25">
      <c r="O3798"/>
      <c r="P3798"/>
      <c r="R3798" s="39">
        <v>40072</v>
      </c>
      <c r="S3798" s="37">
        <v>0.43909999999999999</v>
      </c>
    </row>
    <row r="3799" spans="15:19" ht="15" x14ac:dyDescent="0.25">
      <c r="O3799"/>
      <c r="P3799"/>
      <c r="R3799" s="39">
        <v>40071</v>
      </c>
      <c r="S3799" s="37">
        <v>0.43969999999999998</v>
      </c>
    </row>
    <row r="3800" spans="15:19" ht="15" x14ac:dyDescent="0.25">
      <c r="O3800"/>
      <c r="P3800"/>
      <c r="R3800" s="39">
        <v>40070</v>
      </c>
      <c r="S3800" s="37">
        <v>0.438</v>
      </c>
    </row>
    <row r="3801" spans="15:19" ht="15" x14ac:dyDescent="0.25">
      <c r="O3801"/>
      <c r="P3801"/>
      <c r="R3801" s="39">
        <v>40067</v>
      </c>
      <c r="S3801" s="37">
        <v>0.43909999999999999</v>
      </c>
    </row>
    <row r="3802" spans="15:19" ht="15" x14ac:dyDescent="0.25">
      <c r="O3802"/>
      <c r="P3802"/>
      <c r="R3802" s="39">
        <v>40066</v>
      </c>
      <c r="S3802" s="37">
        <v>0.42230000000000001</v>
      </c>
    </row>
    <row r="3803" spans="15:19" ht="15" x14ac:dyDescent="0.25">
      <c r="O3803"/>
      <c r="P3803"/>
      <c r="R3803" s="39">
        <v>40065</v>
      </c>
      <c r="S3803" s="37">
        <v>0.43070000000000003</v>
      </c>
    </row>
    <row r="3804" spans="15:19" ht="15" x14ac:dyDescent="0.25">
      <c r="O3804"/>
      <c r="P3804"/>
      <c r="R3804" s="39">
        <v>40064</v>
      </c>
      <c r="S3804" s="37">
        <v>0.43509999999999999</v>
      </c>
    </row>
    <row r="3805" spans="15:19" ht="15" x14ac:dyDescent="0.25">
      <c r="O3805"/>
      <c r="P3805"/>
      <c r="R3805" s="39">
        <v>40063</v>
      </c>
      <c r="S3805" s="37">
        <v>0.42959999999999998</v>
      </c>
    </row>
    <row r="3806" spans="15:19" ht="15" x14ac:dyDescent="0.25">
      <c r="O3806"/>
      <c r="P3806"/>
      <c r="R3806" s="39">
        <v>40060</v>
      </c>
      <c r="S3806" s="37">
        <v>0.42670000000000002</v>
      </c>
    </row>
    <row r="3807" spans="15:19" ht="15" x14ac:dyDescent="0.25">
      <c r="O3807"/>
      <c r="P3807"/>
      <c r="R3807" s="39">
        <v>40059</v>
      </c>
      <c r="S3807" s="37">
        <v>0.4254</v>
      </c>
    </row>
    <row r="3808" spans="15:19" ht="15" x14ac:dyDescent="0.25">
      <c r="O3808"/>
      <c r="P3808"/>
      <c r="R3808" s="39">
        <v>40058</v>
      </c>
      <c r="S3808" s="37">
        <v>0.42320000000000002</v>
      </c>
    </row>
    <row r="3809" spans="15:19" ht="15" x14ac:dyDescent="0.25">
      <c r="O3809"/>
      <c r="P3809"/>
      <c r="R3809" s="39">
        <v>40057</v>
      </c>
      <c r="S3809" s="37">
        <v>0.42320000000000002</v>
      </c>
    </row>
    <row r="3810" spans="15:19" ht="15" x14ac:dyDescent="0.25">
      <c r="O3810"/>
      <c r="P3810"/>
      <c r="R3810" s="39">
        <v>40053</v>
      </c>
      <c r="S3810" s="37">
        <v>0.43519999999999998</v>
      </c>
    </row>
    <row r="3811" spans="15:19" ht="15" x14ac:dyDescent="0.25">
      <c r="O3811"/>
      <c r="P3811"/>
      <c r="R3811" s="39">
        <v>40052</v>
      </c>
      <c r="S3811" s="37">
        <v>0.42630000000000001</v>
      </c>
    </row>
    <row r="3812" spans="15:19" ht="15" x14ac:dyDescent="0.25">
      <c r="O3812"/>
      <c r="P3812"/>
      <c r="R3812" s="39">
        <v>40051</v>
      </c>
      <c r="S3812" s="37">
        <v>0.42230000000000001</v>
      </c>
    </row>
    <row r="3813" spans="15:19" ht="15" x14ac:dyDescent="0.25">
      <c r="O3813"/>
      <c r="P3813"/>
      <c r="R3813" s="39">
        <v>40050</v>
      </c>
      <c r="S3813" s="37">
        <v>0.41909999999999997</v>
      </c>
    </row>
    <row r="3814" spans="15:19" ht="15" x14ac:dyDescent="0.25">
      <c r="O3814"/>
      <c r="P3814"/>
      <c r="R3814" s="39">
        <v>40049</v>
      </c>
      <c r="S3814" s="37">
        <v>0.42520000000000002</v>
      </c>
    </row>
    <row r="3815" spans="15:19" ht="15" x14ac:dyDescent="0.25">
      <c r="O3815"/>
      <c r="P3815"/>
      <c r="R3815" s="39">
        <v>40046</v>
      </c>
      <c r="S3815" s="37">
        <v>0.42670000000000002</v>
      </c>
    </row>
    <row r="3816" spans="15:19" ht="15" x14ac:dyDescent="0.25">
      <c r="O3816"/>
      <c r="P3816"/>
      <c r="R3816" s="39">
        <v>40045</v>
      </c>
      <c r="S3816" s="37">
        <v>0.42199999999999999</v>
      </c>
    </row>
    <row r="3817" spans="15:19" ht="15" x14ac:dyDescent="0.25">
      <c r="O3817"/>
      <c r="P3817"/>
      <c r="R3817" s="39">
        <v>40044</v>
      </c>
      <c r="S3817" s="37">
        <v>0.42899999999999999</v>
      </c>
    </row>
    <row r="3818" spans="15:19" ht="15" x14ac:dyDescent="0.25">
      <c r="O3818"/>
      <c r="P3818"/>
      <c r="R3818" s="39">
        <v>40043</v>
      </c>
      <c r="S3818" s="37">
        <v>0.4254</v>
      </c>
    </row>
    <row r="3819" spans="15:19" ht="15" x14ac:dyDescent="0.25">
      <c r="O3819"/>
      <c r="P3819"/>
      <c r="R3819" s="39">
        <v>40042</v>
      </c>
      <c r="S3819" s="37">
        <v>0.4163</v>
      </c>
    </row>
    <row r="3820" spans="15:19" ht="15" x14ac:dyDescent="0.25">
      <c r="O3820"/>
      <c r="P3820"/>
      <c r="R3820" s="39">
        <v>40039</v>
      </c>
      <c r="S3820" s="37">
        <v>0.42299999999999999</v>
      </c>
    </row>
    <row r="3821" spans="15:19" ht="15" x14ac:dyDescent="0.25">
      <c r="O3821"/>
      <c r="P3821"/>
      <c r="R3821" s="39">
        <v>40038</v>
      </c>
      <c r="S3821" s="37">
        <v>0.41909999999999997</v>
      </c>
    </row>
    <row r="3822" spans="15:19" ht="15" x14ac:dyDescent="0.25">
      <c r="O3822"/>
      <c r="P3822"/>
      <c r="R3822" s="39">
        <v>40037</v>
      </c>
      <c r="S3822" s="37">
        <v>0.41610000000000003</v>
      </c>
    </row>
    <row r="3823" spans="15:19" ht="15" x14ac:dyDescent="0.25">
      <c r="O3823"/>
      <c r="P3823"/>
      <c r="R3823" s="39">
        <v>40036</v>
      </c>
      <c r="S3823" s="37">
        <v>0.41909999999999997</v>
      </c>
    </row>
    <row r="3824" spans="15:19" ht="15" x14ac:dyDescent="0.25">
      <c r="O3824"/>
      <c r="P3824"/>
      <c r="R3824" s="39">
        <v>40035</v>
      </c>
      <c r="S3824" s="37">
        <v>0.42209999999999998</v>
      </c>
    </row>
    <row r="3825" spans="15:19" ht="15" x14ac:dyDescent="0.25">
      <c r="O3825"/>
      <c r="P3825"/>
      <c r="R3825" s="39">
        <v>40032</v>
      </c>
      <c r="S3825" s="37">
        <v>0.4219</v>
      </c>
    </row>
    <row r="3826" spans="15:19" ht="15" x14ac:dyDescent="0.25">
      <c r="O3826"/>
      <c r="P3826"/>
      <c r="R3826" s="39">
        <v>40031</v>
      </c>
      <c r="S3826" s="37">
        <v>0.4229</v>
      </c>
    </row>
    <row r="3827" spans="15:19" ht="15" x14ac:dyDescent="0.25">
      <c r="O3827"/>
      <c r="P3827"/>
      <c r="R3827" s="39">
        <v>40030</v>
      </c>
      <c r="S3827" s="37">
        <v>0.42009999999999997</v>
      </c>
    </row>
    <row r="3828" spans="15:19" ht="15" x14ac:dyDescent="0.25">
      <c r="O3828"/>
      <c r="P3828"/>
      <c r="R3828" s="39">
        <v>40029</v>
      </c>
      <c r="S3828" s="37">
        <v>0.41349999999999998</v>
      </c>
    </row>
    <row r="3829" spans="15:19" ht="15" x14ac:dyDescent="0.25">
      <c r="O3829"/>
      <c r="P3829"/>
      <c r="R3829" s="39">
        <v>40028</v>
      </c>
      <c r="S3829" s="37">
        <v>0.41449999999999998</v>
      </c>
    </row>
    <row r="3830" spans="15:19" ht="15" x14ac:dyDescent="0.25">
      <c r="O3830"/>
      <c r="P3830"/>
      <c r="R3830" s="39">
        <v>40025</v>
      </c>
      <c r="S3830" s="37">
        <v>0.4178</v>
      </c>
    </row>
    <row r="3831" spans="15:19" ht="15" x14ac:dyDescent="0.25">
      <c r="O3831"/>
      <c r="P3831"/>
      <c r="R3831" s="39">
        <v>40024</v>
      </c>
      <c r="S3831" s="37">
        <v>0.41660000000000003</v>
      </c>
    </row>
    <row r="3832" spans="15:19" ht="15" x14ac:dyDescent="0.25">
      <c r="O3832"/>
      <c r="P3832"/>
      <c r="R3832" s="39">
        <v>40023</v>
      </c>
      <c r="S3832" s="37">
        <v>0.41589999999999999</v>
      </c>
    </row>
    <row r="3833" spans="15:19" ht="15" x14ac:dyDescent="0.25">
      <c r="O3833"/>
      <c r="P3833"/>
      <c r="R3833" s="39">
        <v>40022</v>
      </c>
      <c r="S3833" s="37">
        <v>0.41920000000000002</v>
      </c>
    </row>
    <row r="3834" spans="15:19" ht="15" x14ac:dyDescent="0.25">
      <c r="O3834"/>
      <c r="P3834"/>
      <c r="R3834" s="39">
        <v>40021</v>
      </c>
      <c r="S3834" s="37">
        <v>0.41639999999999999</v>
      </c>
    </row>
    <row r="3835" spans="15:19" ht="15" x14ac:dyDescent="0.25">
      <c r="O3835"/>
      <c r="P3835"/>
      <c r="R3835" s="39">
        <v>40018</v>
      </c>
      <c r="S3835" s="37">
        <v>0.42109999999999997</v>
      </c>
    </row>
    <row r="3836" spans="15:19" ht="15" x14ac:dyDescent="0.25">
      <c r="O3836"/>
      <c r="P3836"/>
      <c r="R3836" s="39">
        <v>40017</v>
      </c>
      <c r="S3836" s="37">
        <v>0.42159999999999997</v>
      </c>
    </row>
    <row r="3837" spans="15:19" ht="15" x14ac:dyDescent="0.25">
      <c r="O3837"/>
      <c r="P3837"/>
      <c r="R3837" s="39">
        <v>40016</v>
      </c>
      <c r="S3837" s="37">
        <v>0.41539999999999999</v>
      </c>
    </row>
    <row r="3838" spans="15:19" ht="15" x14ac:dyDescent="0.25">
      <c r="O3838"/>
      <c r="P3838"/>
      <c r="R3838" s="39">
        <v>40015</v>
      </c>
      <c r="S3838" s="37">
        <v>0.41710000000000003</v>
      </c>
    </row>
    <row r="3839" spans="15:19" ht="15" x14ac:dyDescent="0.25">
      <c r="O3839"/>
      <c r="P3839"/>
      <c r="R3839" s="39">
        <v>40014</v>
      </c>
      <c r="S3839" s="37">
        <v>0.41880000000000001</v>
      </c>
    </row>
    <row r="3840" spans="15:19" ht="15" x14ac:dyDescent="0.25">
      <c r="O3840"/>
      <c r="P3840"/>
      <c r="R3840" s="39">
        <v>40011</v>
      </c>
      <c r="S3840" s="37">
        <v>0.41710000000000003</v>
      </c>
    </row>
    <row r="3841" spans="15:19" ht="15" x14ac:dyDescent="0.25">
      <c r="O3841"/>
      <c r="P3841"/>
      <c r="R3841" s="39">
        <v>40010</v>
      </c>
      <c r="S3841" s="37">
        <v>0.41039999999999999</v>
      </c>
    </row>
    <row r="3842" spans="15:19" ht="15" x14ac:dyDescent="0.25">
      <c r="O3842"/>
      <c r="P3842"/>
      <c r="R3842" s="39">
        <v>40009</v>
      </c>
      <c r="S3842" s="37">
        <v>0.40350000000000003</v>
      </c>
    </row>
    <row r="3843" spans="15:19" ht="15" x14ac:dyDescent="0.25">
      <c r="O3843"/>
      <c r="P3843"/>
      <c r="R3843" s="39">
        <v>40008</v>
      </c>
      <c r="S3843" s="37">
        <v>0.41220000000000001</v>
      </c>
    </row>
    <row r="3844" spans="15:19" ht="15" x14ac:dyDescent="0.25">
      <c r="O3844"/>
      <c r="P3844"/>
      <c r="R3844" s="39">
        <v>40007</v>
      </c>
      <c r="S3844" s="37">
        <v>0.4163</v>
      </c>
    </row>
    <row r="3845" spans="15:19" ht="15" x14ac:dyDescent="0.25">
      <c r="O3845"/>
      <c r="P3845"/>
      <c r="R3845" s="39">
        <v>40004</v>
      </c>
      <c r="S3845" s="37">
        <v>0.41980000000000001</v>
      </c>
    </row>
    <row r="3846" spans="15:19" ht="15" x14ac:dyDescent="0.25">
      <c r="O3846"/>
      <c r="P3846"/>
      <c r="R3846" s="39">
        <v>40003</v>
      </c>
      <c r="S3846" s="37">
        <v>0.41570000000000001</v>
      </c>
    </row>
    <row r="3847" spans="15:19" ht="15" x14ac:dyDescent="0.25">
      <c r="O3847"/>
      <c r="P3847"/>
      <c r="R3847" s="39">
        <v>40002</v>
      </c>
      <c r="S3847" s="37">
        <v>0.4158</v>
      </c>
    </row>
    <row r="3848" spans="15:19" ht="15" x14ac:dyDescent="0.25">
      <c r="O3848"/>
      <c r="P3848"/>
      <c r="R3848" s="39">
        <v>40001</v>
      </c>
      <c r="S3848" s="37">
        <v>0.42480000000000001</v>
      </c>
    </row>
    <row r="3849" spans="15:19" ht="15" x14ac:dyDescent="0.25">
      <c r="O3849"/>
      <c r="P3849"/>
      <c r="R3849" s="39">
        <v>40000</v>
      </c>
      <c r="S3849" s="37">
        <v>0.41710000000000003</v>
      </c>
    </row>
    <row r="3850" spans="15:19" ht="15" x14ac:dyDescent="0.25">
      <c r="O3850"/>
      <c r="P3850"/>
      <c r="R3850" s="39">
        <v>39997</v>
      </c>
      <c r="S3850" s="37">
        <v>0.43</v>
      </c>
    </row>
    <row r="3851" spans="15:19" ht="15" x14ac:dyDescent="0.25">
      <c r="O3851"/>
      <c r="P3851"/>
      <c r="R3851" s="39">
        <v>39996</v>
      </c>
      <c r="S3851" s="37">
        <v>0.41599999999999998</v>
      </c>
    </row>
    <row r="3852" spans="15:19" ht="15" x14ac:dyDescent="0.25">
      <c r="O3852"/>
      <c r="P3852"/>
      <c r="R3852" s="39">
        <v>39995</v>
      </c>
      <c r="S3852" s="37">
        <v>0.41949999999999998</v>
      </c>
    </row>
    <row r="3853" spans="15:19" ht="15" x14ac:dyDescent="0.25">
      <c r="O3853"/>
      <c r="P3853"/>
      <c r="R3853" s="39">
        <v>39994</v>
      </c>
      <c r="S3853" s="37">
        <v>0.37109999999999999</v>
      </c>
    </row>
    <row r="3854" spans="15:19" ht="15" x14ac:dyDescent="0.25">
      <c r="O3854"/>
      <c r="P3854"/>
      <c r="R3854" s="39">
        <v>39993</v>
      </c>
      <c r="S3854" s="37">
        <v>0.41389999999999999</v>
      </c>
    </row>
    <row r="3855" spans="15:19" ht="15" x14ac:dyDescent="0.25">
      <c r="O3855"/>
      <c r="P3855"/>
      <c r="R3855" s="39">
        <v>39990</v>
      </c>
      <c r="S3855" s="37">
        <v>0.41189999999999999</v>
      </c>
    </row>
    <row r="3856" spans="15:19" ht="15" x14ac:dyDescent="0.25">
      <c r="O3856"/>
      <c r="P3856"/>
      <c r="R3856" s="39">
        <v>39989</v>
      </c>
      <c r="S3856" s="37">
        <v>0.41299999999999998</v>
      </c>
    </row>
    <row r="3857" spans="15:19" ht="15" x14ac:dyDescent="0.25">
      <c r="O3857"/>
      <c r="P3857"/>
      <c r="R3857" s="39">
        <v>39988</v>
      </c>
      <c r="S3857" s="37">
        <v>0.40889999999999999</v>
      </c>
    </row>
    <row r="3858" spans="15:19" ht="15" x14ac:dyDescent="0.25">
      <c r="O3858"/>
      <c r="P3858"/>
      <c r="R3858" s="39">
        <v>39987</v>
      </c>
      <c r="S3858" s="37">
        <v>0.40670000000000001</v>
      </c>
    </row>
    <row r="3859" spans="15:19" ht="15" x14ac:dyDescent="0.25">
      <c r="O3859"/>
      <c r="P3859"/>
      <c r="R3859" s="39">
        <v>39986</v>
      </c>
      <c r="S3859" s="37">
        <v>0.41099999999999998</v>
      </c>
    </row>
    <row r="3860" spans="15:19" ht="15" x14ac:dyDescent="0.25">
      <c r="O3860"/>
      <c r="P3860"/>
      <c r="R3860" s="39">
        <v>39983</v>
      </c>
      <c r="S3860" s="37">
        <v>0.40899999999999997</v>
      </c>
    </row>
    <row r="3861" spans="15:19" ht="15" x14ac:dyDescent="0.25">
      <c r="O3861"/>
      <c r="P3861"/>
      <c r="R3861" s="39">
        <v>39982</v>
      </c>
      <c r="S3861" s="37">
        <v>0.39879999999999999</v>
      </c>
    </row>
    <row r="3862" spans="15:19" ht="15" x14ac:dyDescent="0.25">
      <c r="O3862"/>
      <c r="P3862"/>
      <c r="R3862" s="39">
        <v>39981</v>
      </c>
      <c r="S3862" s="37">
        <v>0.4153</v>
      </c>
    </row>
    <row r="3863" spans="15:19" ht="15" x14ac:dyDescent="0.25">
      <c r="O3863"/>
      <c r="P3863"/>
      <c r="R3863" s="39">
        <v>39980</v>
      </c>
      <c r="S3863" s="37">
        <v>0.42370000000000002</v>
      </c>
    </row>
    <row r="3864" spans="15:19" ht="15" x14ac:dyDescent="0.25">
      <c r="O3864"/>
      <c r="P3864"/>
      <c r="R3864" s="39">
        <v>39979</v>
      </c>
      <c r="S3864" s="37">
        <v>0.42499999999999999</v>
      </c>
    </row>
    <row r="3865" spans="15:19" ht="15" x14ac:dyDescent="0.25">
      <c r="O3865"/>
      <c r="P3865"/>
      <c r="R3865" s="39">
        <v>39976</v>
      </c>
      <c r="S3865" s="37">
        <v>0.42770000000000002</v>
      </c>
    </row>
    <row r="3866" spans="15:19" ht="15" x14ac:dyDescent="0.25">
      <c r="O3866"/>
      <c r="P3866"/>
      <c r="R3866" s="39">
        <v>39975</v>
      </c>
      <c r="S3866" s="37">
        <v>0.42730000000000001</v>
      </c>
    </row>
    <row r="3867" spans="15:19" ht="15" x14ac:dyDescent="0.25">
      <c r="O3867"/>
      <c r="P3867"/>
      <c r="R3867" s="39">
        <v>39974</v>
      </c>
      <c r="S3867" s="37">
        <v>0.4204</v>
      </c>
    </row>
    <row r="3868" spans="15:19" ht="15" x14ac:dyDescent="0.25">
      <c r="O3868"/>
      <c r="P3868"/>
      <c r="R3868" s="39">
        <v>39973</v>
      </c>
      <c r="S3868" s="37">
        <v>0.42699999999999999</v>
      </c>
    </row>
    <row r="3869" spans="15:19" ht="15" x14ac:dyDescent="0.25">
      <c r="O3869"/>
      <c r="P3869"/>
      <c r="R3869" s="39">
        <v>39972</v>
      </c>
      <c r="S3869" s="37">
        <v>0.42080000000000001</v>
      </c>
    </row>
    <row r="3870" spans="15:19" ht="15" x14ac:dyDescent="0.25">
      <c r="O3870"/>
      <c r="P3870"/>
      <c r="R3870" s="39">
        <v>39969</v>
      </c>
      <c r="S3870" s="37">
        <v>0.41830000000000001</v>
      </c>
    </row>
    <row r="3871" spans="15:19" ht="15" x14ac:dyDescent="0.25">
      <c r="O3871"/>
      <c r="P3871"/>
      <c r="R3871" s="39">
        <v>39968</v>
      </c>
      <c r="S3871" s="37">
        <v>0.41439999999999999</v>
      </c>
    </row>
    <row r="3872" spans="15:19" ht="15" x14ac:dyDescent="0.25">
      <c r="O3872"/>
      <c r="P3872"/>
      <c r="R3872" s="39">
        <v>39967</v>
      </c>
      <c r="S3872" s="37">
        <v>0.42409999999999998</v>
      </c>
    </row>
    <row r="3873" spans="15:19" ht="15" x14ac:dyDescent="0.25">
      <c r="O3873"/>
      <c r="P3873"/>
      <c r="R3873" s="39">
        <v>39966</v>
      </c>
      <c r="S3873" s="37">
        <v>0.42580000000000001</v>
      </c>
    </row>
    <row r="3874" spans="15:19" ht="15" x14ac:dyDescent="0.25">
      <c r="O3874"/>
      <c r="P3874"/>
      <c r="R3874" s="39">
        <v>39965</v>
      </c>
      <c r="S3874" s="37">
        <v>0.43359999999999999</v>
      </c>
    </row>
    <row r="3875" spans="15:19" ht="15" x14ac:dyDescent="0.25">
      <c r="O3875"/>
      <c r="P3875"/>
      <c r="R3875" s="39">
        <v>39962</v>
      </c>
      <c r="S3875" s="37">
        <v>0.43009999999999998</v>
      </c>
    </row>
    <row r="3876" spans="15:19" ht="15" x14ac:dyDescent="0.25">
      <c r="O3876"/>
      <c r="P3876"/>
      <c r="R3876" s="39">
        <v>39961</v>
      </c>
      <c r="S3876" s="37">
        <v>0.4199</v>
      </c>
    </row>
    <row r="3877" spans="15:19" ht="15" x14ac:dyDescent="0.25">
      <c r="O3877"/>
      <c r="P3877"/>
      <c r="R3877" s="39">
        <v>39960</v>
      </c>
      <c r="S3877" s="37">
        <v>0.42130000000000001</v>
      </c>
    </row>
    <row r="3878" spans="15:19" ht="15" x14ac:dyDescent="0.25">
      <c r="O3878"/>
      <c r="P3878"/>
      <c r="R3878" s="39">
        <v>39959</v>
      </c>
      <c r="S3878" s="37">
        <v>0.41770000000000002</v>
      </c>
    </row>
    <row r="3879" spans="15:19" ht="15" x14ac:dyDescent="0.25">
      <c r="O3879"/>
      <c r="P3879"/>
      <c r="R3879" s="39">
        <v>39955</v>
      </c>
      <c r="S3879" s="37">
        <v>0.41389999999999999</v>
      </c>
    </row>
    <row r="3880" spans="15:19" ht="15" x14ac:dyDescent="0.25">
      <c r="O3880"/>
      <c r="P3880"/>
      <c r="R3880" s="39">
        <v>39954</v>
      </c>
      <c r="S3880" s="37">
        <v>0.40760000000000002</v>
      </c>
    </row>
    <row r="3881" spans="15:19" ht="15" x14ac:dyDescent="0.25">
      <c r="O3881"/>
      <c r="P3881"/>
      <c r="R3881" s="39">
        <v>39953</v>
      </c>
      <c r="S3881" s="37">
        <v>0.41120000000000001</v>
      </c>
    </row>
    <row r="3882" spans="15:19" ht="15" x14ac:dyDescent="0.25">
      <c r="O3882"/>
      <c r="P3882"/>
      <c r="R3882" s="39">
        <v>39952</v>
      </c>
      <c r="S3882" s="37">
        <v>0.41220000000000001</v>
      </c>
    </row>
    <row r="3883" spans="15:19" ht="15" x14ac:dyDescent="0.25">
      <c r="O3883"/>
      <c r="P3883"/>
      <c r="R3883" s="39">
        <v>39951</v>
      </c>
      <c r="S3883" s="37">
        <v>0.41660000000000003</v>
      </c>
    </row>
    <row r="3884" spans="15:19" ht="15" x14ac:dyDescent="0.25">
      <c r="O3884"/>
      <c r="P3884"/>
      <c r="R3884" s="39">
        <v>39948</v>
      </c>
      <c r="S3884" s="37">
        <v>0.41839999999999999</v>
      </c>
    </row>
    <row r="3885" spans="15:19" ht="15" x14ac:dyDescent="0.25">
      <c r="O3885"/>
      <c r="P3885"/>
      <c r="R3885" s="39">
        <v>39947</v>
      </c>
      <c r="S3885" s="37">
        <v>0.40579999999999999</v>
      </c>
    </row>
    <row r="3886" spans="15:19" ht="15" x14ac:dyDescent="0.25">
      <c r="O3886"/>
      <c r="P3886"/>
      <c r="R3886" s="39">
        <v>39946</v>
      </c>
      <c r="S3886" s="37">
        <v>0.40050000000000002</v>
      </c>
    </row>
    <row r="3887" spans="15:19" ht="15" x14ac:dyDescent="0.25">
      <c r="O3887"/>
      <c r="P3887"/>
      <c r="R3887" s="39">
        <v>39945</v>
      </c>
      <c r="S3887" s="37">
        <v>0.40360000000000001</v>
      </c>
    </row>
    <row r="3888" spans="15:19" ht="15" x14ac:dyDescent="0.25">
      <c r="O3888"/>
      <c r="P3888"/>
      <c r="R3888" s="39">
        <v>39944</v>
      </c>
      <c r="S3888" s="37">
        <v>0.41010000000000002</v>
      </c>
    </row>
    <row r="3889" spans="15:19" ht="15" x14ac:dyDescent="0.25">
      <c r="O3889"/>
      <c r="P3889"/>
      <c r="R3889" s="39">
        <v>39941</v>
      </c>
      <c r="S3889" s="37">
        <v>0.42249999999999999</v>
      </c>
    </row>
    <row r="3890" spans="15:19" ht="15" x14ac:dyDescent="0.25">
      <c r="O3890"/>
      <c r="P3890"/>
      <c r="R3890" s="39">
        <v>39940</v>
      </c>
      <c r="S3890" s="37">
        <v>0.41749999999999998</v>
      </c>
    </row>
    <row r="3891" spans="15:19" ht="15" x14ac:dyDescent="0.25">
      <c r="O3891"/>
      <c r="P3891"/>
      <c r="R3891" s="39">
        <v>39939</v>
      </c>
      <c r="S3891" s="37">
        <v>0.39979999999999999</v>
      </c>
    </row>
    <row r="3892" spans="15:19" ht="15" x14ac:dyDescent="0.25">
      <c r="O3892"/>
      <c r="P3892"/>
      <c r="R3892" s="39">
        <v>39938</v>
      </c>
      <c r="S3892" s="37">
        <v>0.39779999999999999</v>
      </c>
    </row>
    <row r="3893" spans="15:19" ht="15" x14ac:dyDescent="0.25">
      <c r="O3893"/>
      <c r="P3893"/>
      <c r="R3893" s="39">
        <v>39934</v>
      </c>
      <c r="S3893" s="37">
        <v>0.42570000000000002</v>
      </c>
    </row>
    <row r="3894" spans="15:19" ht="15" x14ac:dyDescent="0.25">
      <c r="O3894"/>
      <c r="P3894"/>
      <c r="R3894" s="39">
        <v>39933</v>
      </c>
      <c r="S3894" s="37">
        <v>0.40500000000000003</v>
      </c>
    </row>
    <row r="3895" spans="15:19" ht="15" x14ac:dyDescent="0.25">
      <c r="O3895"/>
      <c r="P3895"/>
      <c r="R3895" s="39">
        <v>39932</v>
      </c>
      <c r="S3895" s="37">
        <v>0.39360000000000001</v>
      </c>
    </row>
    <row r="3896" spans="15:19" ht="15" x14ac:dyDescent="0.25">
      <c r="O3896"/>
      <c r="P3896"/>
      <c r="R3896" s="39">
        <v>39931</v>
      </c>
      <c r="S3896" s="37">
        <v>0.37859999999999999</v>
      </c>
    </row>
    <row r="3897" spans="15:19" ht="15" x14ac:dyDescent="0.25">
      <c r="O3897"/>
      <c r="P3897"/>
      <c r="R3897" s="39">
        <v>39930</v>
      </c>
      <c r="S3897" s="37">
        <v>0.3916</v>
      </c>
    </row>
    <row r="3898" spans="15:19" ht="15" x14ac:dyDescent="0.25">
      <c r="O3898"/>
      <c r="P3898"/>
      <c r="R3898" s="39">
        <v>39927</v>
      </c>
      <c r="S3898" s="37">
        <v>0.37859999999999999</v>
      </c>
    </row>
    <row r="3899" spans="15:19" ht="15" x14ac:dyDescent="0.25">
      <c r="O3899"/>
      <c r="P3899"/>
      <c r="R3899" s="39">
        <v>39926</v>
      </c>
      <c r="S3899" s="37">
        <v>0.39079999999999998</v>
      </c>
    </row>
    <row r="3900" spans="15:19" ht="15" x14ac:dyDescent="0.25">
      <c r="O3900"/>
      <c r="P3900"/>
      <c r="R3900" s="39">
        <v>39925</v>
      </c>
      <c r="S3900" s="37">
        <v>0.40679999999999999</v>
      </c>
    </row>
    <row r="3901" spans="15:19" ht="15" x14ac:dyDescent="0.25">
      <c r="O3901"/>
      <c r="P3901"/>
      <c r="R3901" s="39">
        <v>39924</v>
      </c>
      <c r="S3901" s="37">
        <v>0.4153</v>
      </c>
    </row>
    <row r="3902" spans="15:19" ht="15" x14ac:dyDescent="0.25">
      <c r="O3902"/>
      <c r="P3902"/>
      <c r="R3902" s="39">
        <v>39923</v>
      </c>
      <c r="S3902" s="37">
        <v>0.41649999999999998</v>
      </c>
    </row>
    <row r="3903" spans="15:19" ht="15" x14ac:dyDescent="0.25">
      <c r="O3903"/>
      <c r="P3903"/>
      <c r="R3903" s="39">
        <v>39920</v>
      </c>
      <c r="S3903" s="37">
        <v>0.40699999999999997</v>
      </c>
    </row>
    <row r="3904" spans="15:19" ht="15" x14ac:dyDescent="0.25">
      <c r="O3904"/>
      <c r="P3904"/>
      <c r="R3904" s="39">
        <v>39919</v>
      </c>
      <c r="S3904" s="37">
        <v>0.4163</v>
      </c>
    </row>
    <row r="3905" spans="15:19" ht="15" x14ac:dyDescent="0.25">
      <c r="O3905"/>
      <c r="P3905"/>
      <c r="R3905" s="39">
        <v>39918</v>
      </c>
      <c r="S3905" s="37">
        <v>0.42059999999999997</v>
      </c>
    </row>
    <row r="3906" spans="15:19" ht="15" x14ac:dyDescent="0.25">
      <c r="O3906"/>
      <c r="P3906"/>
      <c r="R3906" s="39">
        <v>39917</v>
      </c>
      <c r="S3906" s="37">
        <v>0.41820000000000002</v>
      </c>
    </row>
    <row r="3907" spans="15:19" ht="15" x14ac:dyDescent="0.25">
      <c r="O3907"/>
      <c r="P3907"/>
      <c r="R3907" s="39">
        <v>39912</v>
      </c>
      <c r="S3907" s="37">
        <v>0.41660000000000003</v>
      </c>
    </row>
    <row r="3908" spans="15:19" ht="15" x14ac:dyDescent="0.25">
      <c r="O3908"/>
      <c r="P3908"/>
      <c r="R3908" s="39">
        <v>39911</v>
      </c>
      <c r="S3908" s="37">
        <v>0.41110000000000002</v>
      </c>
    </row>
    <row r="3909" spans="15:19" ht="15" x14ac:dyDescent="0.25">
      <c r="O3909"/>
      <c r="P3909"/>
      <c r="R3909" s="39">
        <v>39910</v>
      </c>
      <c r="S3909" s="37">
        <v>0.4168</v>
      </c>
    </row>
    <row r="3910" spans="15:19" ht="15" x14ac:dyDescent="0.25">
      <c r="O3910"/>
      <c r="P3910"/>
      <c r="R3910" s="39">
        <v>39909</v>
      </c>
      <c r="S3910" s="37">
        <v>0.41449999999999998</v>
      </c>
    </row>
    <row r="3911" spans="15:19" ht="15" x14ac:dyDescent="0.25">
      <c r="O3911"/>
      <c r="P3911"/>
      <c r="R3911" s="39">
        <v>39906</v>
      </c>
      <c r="S3911" s="37">
        <v>0.41439999999999999</v>
      </c>
    </row>
    <row r="3912" spans="15:19" ht="15" x14ac:dyDescent="0.25">
      <c r="O3912"/>
      <c r="P3912"/>
      <c r="R3912" s="39">
        <v>39905</v>
      </c>
      <c r="S3912" s="37">
        <v>0.43149999999999999</v>
      </c>
    </row>
    <row r="3913" spans="15:19" ht="15" x14ac:dyDescent="0.25">
      <c r="O3913"/>
      <c r="P3913"/>
      <c r="R3913" s="39">
        <v>39904</v>
      </c>
      <c r="S3913" s="37">
        <v>0.45450000000000002</v>
      </c>
    </row>
    <row r="3914" spans="15:19" ht="15" x14ac:dyDescent="0.25">
      <c r="O3914"/>
      <c r="P3914"/>
      <c r="R3914" s="39">
        <v>39903</v>
      </c>
      <c r="S3914" s="37">
        <v>0.50270000000000004</v>
      </c>
    </row>
    <row r="3915" spans="15:19" ht="15" x14ac:dyDescent="0.25">
      <c r="O3915"/>
      <c r="P3915"/>
      <c r="R3915" s="39">
        <v>39902</v>
      </c>
      <c r="S3915" s="37">
        <v>0.45</v>
      </c>
    </row>
    <row r="3916" spans="15:19" ht="15" x14ac:dyDescent="0.25">
      <c r="O3916"/>
      <c r="P3916"/>
      <c r="R3916" s="39">
        <v>39899</v>
      </c>
      <c r="S3916" s="37">
        <v>0.45419999999999999</v>
      </c>
    </row>
    <row r="3917" spans="15:19" ht="15" x14ac:dyDescent="0.25">
      <c r="O3917"/>
      <c r="P3917"/>
      <c r="R3917" s="39">
        <v>39898</v>
      </c>
      <c r="S3917" s="37">
        <v>0.45290000000000002</v>
      </c>
    </row>
    <row r="3918" spans="15:19" ht="15" x14ac:dyDescent="0.25">
      <c r="O3918"/>
      <c r="P3918"/>
      <c r="R3918" s="39">
        <v>39897</v>
      </c>
      <c r="S3918" s="37">
        <v>0.4582</v>
      </c>
    </row>
    <row r="3919" spans="15:19" ht="15" x14ac:dyDescent="0.25">
      <c r="O3919"/>
      <c r="P3919"/>
      <c r="R3919" s="39">
        <v>39896</v>
      </c>
      <c r="S3919" s="37">
        <v>0.44940000000000002</v>
      </c>
    </row>
    <row r="3920" spans="15:19" ht="15" x14ac:dyDescent="0.25">
      <c r="O3920"/>
      <c r="P3920"/>
      <c r="R3920" s="39">
        <v>39895</v>
      </c>
      <c r="S3920" s="37">
        <v>0.44159999999999999</v>
      </c>
    </row>
    <row r="3921" spans="15:19" ht="15" x14ac:dyDescent="0.25">
      <c r="O3921"/>
      <c r="P3921"/>
      <c r="R3921" s="39">
        <v>39892</v>
      </c>
      <c r="S3921" s="37">
        <v>0.44640000000000002</v>
      </c>
    </row>
    <row r="3922" spans="15:19" ht="15" x14ac:dyDescent="0.25">
      <c r="O3922"/>
      <c r="P3922"/>
      <c r="R3922" s="39">
        <v>39891</v>
      </c>
      <c r="S3922" s="37">
        <v>0.433</v>
      </c>
    </row>
    <row r="3923" spans="15:19" ht="15" x14ac:dyDescent="0.25">
      <c r="O3923"/>
      <c r="P3923"/>
      <c r="R3923" s="39">
        <v>39890</v>
      </c>
      <c r="S3923" s="37">
        <v>0.42830000000000001</v>
      </c>
    </row>
    <row r="3924" spans="15:19" ht="15" x14ac:dyDescent="0.25">
      <c r="O3924"/>
      <c r="P3924"/>
      <c r="R3924" s="39">
        <v>39889</v>
      </c>
      <c r="S3924" s="37">
        <v>0.43340000000000001</v>
      </c>
    </row>
    <row r="3925" spans="15:19" ht="15" x14ac:dyDescent="0.25">
      <c r="O3925"/>
      <c r="P3925"/>
      <c r="R3925" s="39">
        <v>39888</v>
      </c>
      <c r="S3925" s="37">
        <v>0.45300000000000001</v>
      </c>
    </row>
    <row r="3926" spans="15:19" ht="15" x14ac:dyDescent="0.25">
      <c r="O3926"/>
      <c r="P3926"/>
      <c r="R3926" s="39">
        <v>39885</v>
      </c>
      <c r="S3926" s="37">
        <v>0.47220000000000001</v>
      </c>
    </row>
    <row r="3927" spans="15:19" ht="15" x14ac:dyDescent="0.25">
      <c r="O3927"/>
      <c r="P3927"/>
      <c r="R3927" s="39">
        <v>39884</v>
      </c>
      <c r="S3927" s="37">
        <v>0.4773</v>
      </c>
    </row>
    <row r="3928" spans="15:19" ht="15" x14ac:dyDescent="0.25">
      <c r="O3928"/>
      <c r="P3928"/>
      <c r="R3928" s="39">
        <v>39883</v>
      </c>
      <c r="S3928" s="37">
        <v>0.50329999999999997</v>
      </c>
    </row>
    <row r="3929" spans="15:19" ht="15" x14ac:dyDescent="0.25">
      <c r="O3929"/>
      <c r="P3929"/>
      <c r="R3929" s="39">
        <v>39882</v>
      </c>
      <c r="S3929" s="37">
        <v>0.50480000000000003</v>
      </c>
    </row>
    <row r="3930" spans="15:19" ht="15" x14ac:dyDescent="0.25">
      <c r="O3930"/>
      <c r="P3930"/>
      <c r="R3930" s="39">
        <v>39881</v>
      </c>
      <c r="S3930" s="37">
        <v>0.49690000000000001</v>
      </c>
    </row>
    <row r="3931" spans="15:19" ht="15" x14ac:dyDescent="0.25">
      <c r="O3931"/>
      <c r="P3931"/>
      <c r="R3931" s="39">
        <v>39878</v>
      </c>
      <c r="S3931" s="37">
        <v>0.47870000000000001</v>
      </c>
    </row>
    <row r="3932" spans="15:19" ht="15" x14ac:dyDescent="0.25">
      <c r="O3932"/>
      <c r="P3932"/>
      <c r="R3932" s="39">
        <v>39877</v>
      </c>
      <c r="S3932" s="37">
        <v>0.56620000000000004</v>
      </c>
    </row>
    <row r="3933" spans="15:19" ht="15" x14ac:dyDescent="0.25">
      <c r="O3933"/>
      <c r="P3933"/>
      <c r="R3933" s="39">
        <v>39876</v>
      </c>
      <c r="S3933" s="37">
        <v>0.87080000000000002</v>
      </c>
    </row>
    <row r="3934" spans="15:19" ht="15" x14ac:dyDescent="0.25">
      <c r="O3934"/>
      <c r="P3934"/>
      <c r="R3934" s="39">
        <v>39875</v>
      </c>
      <c r="S3934" s="37">
        <v>0.88160000000000005</v>
      </c>
    </row>
    <row r="3935" spans="15:19" ht="15" x14ac:dyDescent="0.25">
      <c r="O3935"/>
      <c r="P3935"/>
      <c r="R3935" s="39">
        <v>39874</v>
      </c>
      <c r="S3935" s="37">
        <v>0.83779999999999999</v>
      </c>
    </row>
    <row r="3936" spans="15:19" ht="15" x14ac:dyDescent="0.25">
      <c r="O3936"/>
      <c r="P3936"/>
      <c r="R3936" s="39">
        <v>39871</v>
      </c>
      <c r="S3936" s="37">
        <v>0.90249999999999997</v>
      </c>
    </row>
    <row r="3937" spans="15:19" ht="15" x14ac:dyDescent="0.25">
      <c r="O3937"/>
      <c r="P3937"/>
      <c r="R3937" s="39">
        <v>39870</v>
      </c>
      <c r="S3937" s="37">
        <v>0.75219999999999998</v>
      </c>
    </row>
    <row r="3938" spans="15:19" ht="15" x14ac:dyDescent="0.25">
      <c r="O3938"/>
      <c r="P3938"/>
      <c r="R3938" s="39">
        <v>39869</v>
      </c>
      <c r="S3938" s="37">
        <v>0.68030000000000002</v>
      </c>
    </row>
    <row r="3939" spans="15:19" ht="15" x14ac:dyDescent="0.25">
      <c r="O3939"/>
      <c r="P3939"/>
      <c r="R3939" s="39">
        <v>39868</v>
      </c>
      <c r="S3939" s="37">
        <v>0.69640000000000002</v>
      </c>
    </row>
    <row r="3940" spans="15:19" ht="15" x14ac:dyDescent="0.25">
      <c r="O3940"/>
      <c r="P3940"/>
      <c r="R3940" s="39">
        <v>39867</v>
      </c>
      <c r="S3940" s="37">
        <v>0.74829999999999997</v>
      </c>
    </row>
    <row r="3941" spans="15:19" ht="15" x14ac:dyDescent="0.25">
      <c r="O3941"/>
      <c r="P3941"/>
      <c r="R3941" s="39">
        <v>39864</v>
      </c>
      <c r="S3941" s="37">
        <v>0.77669999999999995</v>
      </c>
    </row>
    <row r="3942" spans="15:19" ht="15" x14ac:dyDescent="0.25">
      <c r="O3942"/>
      <c r="P3942"/>
      <c r="R3942" s="39">
        <v>39863</v>
      </c>
      <c r="S3942" s="37">
        <v>0.85819999999999996</v>
      </c>
    </row>
    <row r="3943" spans="15:19" ht="15" x14ac:dyDescent="0.25">
      <c r="O3943"/>
      <c r="P3943"/>
      <c r="R3943" s="39">
        <v>39862</v>
      </c>
      <c r="S3943" s="37">
        <v>0.9506</v>
      </c>
    </row>
    <row r="3944" spans="15:19" ht="15" x14ac:dyDescent="0.25">
      <c r="O3944"/>
      <c r="P3944"/>
      <c r="R3944" s="39">
        <v>39861</v>
      </c>
      <c r="S3944" s="37">
        <v>0.91930000000000001</v>
      </c>
    </row>
    <row r="3945" spans="15:19" ht="15" x14ac:dyDescent="0.25">
      <c r="O3945"/>
      <c r="P3945"/>
      <c r="R3945" s="39">
        <v>39860</v>
      </c>
      <c r="S3945" s="37">
        <v>0.91500000000000004</v>
      </c>
    </row>
    <row r="3946" spans="15:19" ht="15" x14ac:dyDescent="0.25">
      <c r="O3946"/>
      <c r="P3946"/>
      <c r="R3946" s="39">
        <v>39857</v>
      </c>
      <c r="S3946" s="37">
        <v>0.83340000000000003</v>
      </c>
    </row>
    <row r="3947" spans="15:19" ht="15" x14ac:dyDescent="0.25">
      <c r="O3947"/>
      <c r="P3947"/>
      <c r="R3947" s="39">
        <v>39856</v>
      </c>
      <c r="S3947" s="37">
        <v>0.75770000000000004</v>
      </c>
    </row>
    <row r="3948" spans="15:19" ht="15" x14ac:dyDescent="0.25">
      <c r="O3948"/>
      <c r="P3948"/>
      <c r="R3948" s="39">
        <v>39855</v>
      </c>
      <c r="S3948" s="37">
        <v>0.76490000000000002</v>
      </c>
    </row>
    <row r="3949" spans="15:19" ht="15" x14ac:dyDescent="0.25">
      <c r="O3949"/>
      <c r="P3949"/>
      <c r="R3949" s="39">
        <v>39854</v>
      </c>
      <c r="S3949" s="37">
        <v>0.7732</v>
      </c>
    </row>
    <row r="3950" spans="15:19" ht="15" x14ac:dyDescent="0.25">
      <c r="O3950"/>
      <c r="P3950"/>
      <c r="R3950" s="39">
        <v>39853</v>
      </c>
      <c r="S3950" s="37">
        <v>0.79510000000000003</v>
      </c>
    </row>
    <row r="3951" spans="15:19" ht="15" x14ac:dyDescent="0.25">
      <c r="O3951"/>
      <c r="P3951"/>
      <c r="R3951" s="39">
        <v>39850</v>
      </c>
      <c r="S3951" s="37">
        <v>0.83289999999999997</v>
      </c>
    </row>
    <row r="3952" spans="15:19" ht="15" x14ac:dyDescent="0.25">
      <c r="O3952"/>
      <c r="P3952"/>
      <c r="R3952" s="39">
        <v>39849</v>
      </c>
      <c r="S3952" s="37">
        <v>0.99870000000000003</v>
      </c>
    </row>
    <row r="3953" spans="15:19" ht="15" x14ac:dyDescent="0.25">
      <c r="O3953"/>
      <c r="P3953"/>
      <c r="R3953" s="39">
        <v>39848</v>
      </c>
      <c r="S3953" s="37">
        <v>1.3579000000000001</v>
      </c>
    </row>
    <row r="3954" spans="15:19" ht="15" x14ac:dyDescent="0.25">
      <c r="O3954"/>
      <c r="P3954"/>
      <c r="R3954" s="39">
        <v>39847</v>
      </c>
      <c r="S3954" s="37">
        <v>1.3088</v>
      </c>
    </row>
    <row r="3955" spans="15:19" ht="15" x14ac:dyDescent="0.25">
      <c r="O3955"/>
      <c r="P3955"/>
      <c r="R3955" s="39">
        <v>39846</v>
      </c>
      <c r="S3955" s="37">
        <v>1.3246</v>
      </c>
    </row>
    <row r="3956" spans="15:19" ht="15" x14ac:dyDescent="0.25">
      <c r="O3956"/>
      <c r="P3956"/>
      <c r="R3956" s="39">
        <v>39843</v>
      </c>
      <c r="S3956" s="37">
        <v>1.3413999999999999</v>
      </c>
    </row>
    <row r="3957" spans="15:19" ht="15" x14ac:dyDescent="0.25">
      <c r="O3957"/>
      <c r="P3957"/>
      <c r="R3957" s="39">
        <v>39842</v>
      </c>
      <c r="S3957" s="37">
        <v>1.3310999999999999</v>
      </c>
    </row>
    <row r="3958" spans="15:19" ht="15" x14ac:dyDescent="0.25">
      <c r="O3958"/>
      <c r="P3958"/>
      <c r="R3958" s="39">
        <v>39841</v>
      </c>
      <c r="S3958" s="37">
        <v>1.3080000000000001</v>
      </c>
    </row>
    <row r="3959" spans="15:19" ht="15" x14ac:dyDescent="0.25">
      <c r="O3959"/>
      <c r="P3959"/>
      <c r="R3959" s="39">
        <v>39840</v>
      </c>
      <c r="S3959" s="37">
        <v>1.2525999999999999</v>
      </c>
    </row>
    <row r="3960" spans="15:19" ht="15" x14ac:dyDescent="0.25">
      <c r="O3960"/>
      <c r="P3960"/>
      <c r="R3960" s="39">
        <v>39839</v>
      </c>
      <c r="S3960" s="37">
        <v>1.2665999999999999</v>
      </c>
    </row>
    <row r="3961" spans="15:19" ht="15" x14ac:dyDescent="0.25">
      <c r="O3961"/>
      <c r="P3961"/>
      <c r="R3961" s="39">
        <v>39836</v>
      </c>
      <c r="S3961" s="37">
        <v>1.246</v>
      </c>
    </row>
    <row r="3962" spans="15:19" ht="15" x14ac:dyDescent="0.25">
      <c r="O3962"/>
      <c r="P3962"/>
      <c r="R3962" s="39">
        <v>39835</v>
      </c>
      <c r="S3962" s="37">
        <v>1.2493000000000001</v>
      </c>
    </row>
    <row r="3963" spans="15:19" ht="15" x14ac:dyDescent="0.25">
      <c r="O3963"/>
      <c r="P3963"/>
      <c r="R3963" s="39">
        <v>39834</v>
      </c>
      <c r="S3963" s="37">
        <v>1.2728999999999999</v>
      </c>
    </row>
    <row r="3964" spans="15:19" ht="15" x14ac:dyDescent="0.25">
      <c r="O3964"/>
      <c r="P3964"/>
      <c r="R3964" s="39">
        <v>39833</v>
      </c>
      <c r="S3964" s="37">
        <v>1.2947</v>
      </c>
    </row>
    <row r="3965" spans="15:19" ht="15" x14ac:dyDescent="0.25">
      <c r="O3965"/>
      <c r="P3965"/>
      <c r="R3965" s="39">
        <v>39832</v>
      </c>
      <c r="S3965" s="37">
        <v>1.3024</v>
      </c>
    </row>
    <row r="3966" spans="15:19" ht="15" x14ac:dyDescent="0.25">
      <c r="O3966"/>
      <c r="P3966"/>
      <c r="R3966" s="39">
        <v>39829</v>
      </c>
      <c r="S3966" s="37">
        <v>1.3196000000000001</v>
      </c>
    </row>
    <row r="3967" spans="15:19" ht="15" x14ac:dyDescent="0.25">
      <c r="O3967"/>
      <c r="P3967"/>
      <c r="R3967" s="39">
        <v>39828</v>
      </c>
      <c r="S3967" s="37">
        <v>1.2412000000000001</v>
      </c>
    </row>
    <row r="3968" spans="15:19" ht="15" x14ac:dyDescent="0.25">
      <c r="O3968"/>
      <c r="P3968"/>
      <c r="R3968" s="39">
        <v>39827</v>
      </c>
      <c r="S3968" s="37">
        <v>1.2145999999999999</v>
      </c>
    </row>
    <row r="3969" spans="15:19" ht="15" x14ac:dyDescent="0.25">
      <c r="O3969"/>
      <c r="P3969"/>
      <c r="R3969" s="39">
        <v>39826</v>
      </c>
      <c r="S3969" s="37">
        <v>1.2166999999999999</v>
      </c>
    </row>
    <row r="3970" spans="15:19" ht="15" x14ac:dyDescent="0.25">
      <c r="O3970"/>
      <c r="P3970"/>
      <c r="R3970" s="39">
        <v>39825</v>
      </c>
      <c r="S3970" s="37">
        <v>1.2091000000000001</v>
      </c>
    </row>
    <row r="3971" spans="15:19" ht="15" x14ac:dyDescent="0.25">
      <c r="O3971"/>
      <c r="P3971"/>
      <c r="R3971" s="39">
        <v>39822</v>
      </c>
      <c r="S3971" s="37">
        <v>1.2236</v>
      </c>
    </row>
    <row r="3972" spans="15:19" ht="15" x14ac:dyDescent="0.25">
      <c r="O3972"/>
      <c r="P3972"/>
      <c r="R3972" s="39">
        <v>39821</v>
      </c>
      <c r="S3972" s="37">
        <v>1.1551</v>
      </c>
    </row>
    <row r="3973" spans="15:19" ht="15" x14ac:dyDescent="0.25">
      <c r="O3973"/>
      <c r="P3973"/>
      <c r="R3973" s="39">
        <v>39820</v>
      </c>
      <c r="S3973" s="37">
        <v>1.6669</v>
      </c>
    </row>
    <row r="3974" spans="15:19" ht="15" x14ac:dyDescent="0.25">
      <c r="O3974"/>
      <c r="P3974"/>
      <c r="R3974" s="39">
        <v>39819</v>
      </c>
      <c r="S3974" s="37">
        <v>1.5881000000000001</v>
      </c>
    </row>
    <row r="3975" spans="15:19" ht="15" x14ac:dyDescent="0.25">
      <c r="O3975"/>
      <c r="P3975"/>
      <c r="R3975" s="39">
        <v>39818</v>
      </c>
      <c r="S3975" s="37">
        <v>1.5834999999999999</v>
      </c>
    </row>
    <row r="3976" spans="15:19" ht="15" x14ac:dyDescent="0.25">
      <c r="O3976"/>
      <c r="P3976"/>
      <c r="R3976" s="39">
        <v>39815</v>
      </c>
      <c r="S3976" s="37">
        <v>1.5620000000000001</v>
      </c>
    </row>
    <row r="3977" spans="15:19" ht="15" x14ac:dyDescent="0.25">
      <c r="O3977"/>
      <c r="P3977"/>
      <c r="R3977" s="39">
        <v>39813</v>
      </c>
      <c r="S3977" s="37">
        <v>1.5373000000000001</v>
      </c>
    </row>
    <row r="3978" spans="15:19" ht="15" x14ac:dyDescent="0.25">
      <c r="O3978"/>
      <c r="P3978"/>
      <c r="R3978" s="39">
        <v>39812</v>
      </c>
      <c r="S3978" s="37">
        <v>1.5563</v>
      </c>
    </row>
    <row r="3979" spans="15:19" ht="15" x14ac:dyDescent="0.25">
      <c r="O3979"/>
      <c r="P3979"/>
      <c r="R3979" s="39">
        <v>39811</v>
      </c>
      <c r="S3979" s="37">
        <v>1.5677000000000001</v>
      </c>
    </row>
    <row r="3980" spans="15:19" ht="15" x14ac:dyDescent="0.25">
      <c r="O3980"/>
      <c r="P3980"/>
      <c r="R3980" s="39">
        <v>39806</v>
      </c>
      <c r="S3980" s="37">
        <v>1.5096000000000001</v>
      </c>
    </row>
    <row r="3981" spans="15:19" ht="15" x14ac:dyDescent="0.25">
      <c r="O3981"/>
      <c r="P3981"/>
      <c r="R3981" s="39">
        <v>39805</v>
      </c>
      <c r="S3981" s="37">
        <v>1.5097</v>
      </c>
    </row>
    <row r="3982" spans="15:19" ht="15" x14ac:dyDescent="0.25">
      <c r="O3982"/>
      <c r="P3982"/>
      <c r="R3982" s="39">
        <v>39804</v>
      </c>
      <c r="S3982" s="37">
        <v>1.5066999999999999</v>
      </c>
    </row>
    <row r="3983" spans="15:19" ht="15" x14ac:dyDescent="0.25">
      <c r="O3983"/>
      <c r="P3983"/>
      <c r="R3983" s="39">
        <v>39801</v>
      </c>
      <c r="S3983" s="37">
        <v>1.5021</v>
      </c>
    </row>
    <row r="3984" spans="15:19" ht="15" x14ac:dyDescent="0.25">
      <c r="O3984"/>
      <c r="P3984"/>
      <c r="R3984" s="39">
        <v>39800</v>
      </c>
      <c r="S3984" s="37">
        <v>1.4878</v>
      </c>
    </row>
    <row r="3985" spans="15:19" ht="15" x14ac:dyDescent="0.25">
      <c r="O3985"/>
      <c r="P3985"/>
      <c r="R3985" s="39">
        <v>39799</v>
      </c>
      <c r="S3985" s="37">
        <v>1.5722</v>
      </c>
    </row>
    <row r="3986" spans="15:19" ht="15" x14ac:dyDescent="0.25">
      <c r="O3986"/>
      <c r="P3986"/>
      <c r="R3986" s="39">
        <v>39798</v>
      </c>
      <c r="S3986" s="37">
        <v>1.5359</v>
      </c>
    </row>
    <row r="3987" spans="15:19" ht="15" x14ac:dyDescent="0.25">
      <c r="O3987"/>
      <c r="P3987"/>
      <c r="R3987" s="39">
        <v>39797</v>
      </c>
      <c r="S3987" s="37">
        <v>1.4773000000000001</v>
      </c>
    </row>
    <row r="3988" spans="15:19" ht="15" x14ac:dyDescent="0.25">
      <c r="O3988"/>
      <c r="P3988"/>
      <c r="R3988" s="39">
        <v>39794</v>
      </c>
      <c r="S3988" s="37">
        <v>1.5309999999999999</v>
      </c>
    </row>
    <row r="3989" spans="15:19" ht="15" x14ac:dyDescent="0.25">
      <c r="O3989"/>
      <c r="P3989"/>
      <c r="R3989" s="39">
        <v>39793</v>
      </c>
      <c r="S3989" s="37">
        <v>1.4683999999999999</v>
      </c>
    </row>
    <row r="3990" spans="15:19" ht="15" x14ac:dyDescent="0.25">
      <c r="O3990"/>
      <c r="P3990"/>
      <c r="R3990" s="39">
        <v>39792</v>
      </c>
      <c r="S3990" s="37">
        <v>1.3759999999999999</v>
      </c>
    </row>
    <row r="3991" spans="15:19" ht="15" x14ac:dyDescent="0.25">
      <c r="O3991"/>
      <c r="P3991"/>
      <c r="R3991" s="39">
        <v>39791</v>
      </c>
      <c r="S3991" s="37">
        <v>1.363</v>
      </c>
    </row>
    <row r="3992" spans="15:19" ht="15" x14ac:dyDescent="0.25">
      <c r="O3992"/>
      <c r="P3992"/>
      <c r="R3992" s="39">
        <v>39790</v>
      </c>
      <c r="S3992" s="37">
        <v>1.4278</v>
      </c>
    </row>
    <row r="3993" spans="15:19" ht="15" x14ac:dyDescent="0.25">
      <c r="O3993"/>
      <c r="P3993"/>
      <c r="R3993" s="39">
        <v>39787</v>
      </c>
      <c r="S3993" s="37">
        <v>1.4253</v>
      </c>
    </row>
    <row r="3994" spans="15:19" ht="15" x14ac:dyDescent="0.25">
      <c r="O3994"/>
      <c r="P3994"/>
      <c r="R3994" s="39">
        <v>39786</v>
      </c>
      <c r="S3994" s="37">
        <v>1.5024</v>
      </c>
    </row>
    <row r="3995" spans="15:19" ht="15" x14ac:dyDescent="0.25">
      <c r="O3995"/>
      <c r="P3995"/>
      <c r="R3995" s="39">
        <v>39785</v>
      </c>
      <c r="S3995" s="37">
        <v>2.6762000000000001</v>
      </c>
    </row>
    <row r="3996" spans="15:19" ht="15" x14ac:dyDescent="0.25">
      <c r="O3996"/>
      <c r="P3996"/>
      <c r="R3996" s="39">
        <v>39784</v>
      </c>
      <c r="S3996" s="37">
        <v>2.6021000000000001</v>
      </c>
    </row>
    <row r="3997" spans="15:19" ht="15" x14ac:dyDescent="0.25">
      <c r="O3997"/>
      <c r="P3997"/>
      <c r="R3997" s="39">
        <v>39783</v>
      </c>
      <c r="S3997" s="37">
        <v>2.5678000000000001</v>
      </c>
    </row>
    <row r="3998" spans="15:19" ht="15" x14ac:dyDescent="0.25">
      <c r="O3998"/>
      <c r="P3998"/>
      <c r="R3998" s="39">
        <v>39780</v>
      </c>
      <c r="S3998" s="37">
        <v>2.6459999999999999</v>
      </c>
    </row>
    <row r="3999" spans="15:19" ht="15" x14ac:dyDescent="0.25">
      <c r="O3999"/>
      <c r="P3999"/>
      <c r="R3999" s="39">
        <v>39779</v>
      </c>
      <c r="S3999" s="37">
        <v>2.5565000000000002</v>
      </c>
    </row>
    <row r="4000" spans="15:19" ht="15" x14ac:dyDescent="0.25">
      <c r="O4000"/>
      <c r="P4000"/>
      <c r="R4000" s="39">
        <v>39778</v>
      </c>
      <c r="S4000" s="37">
        <v>2.4079999999999999</v>
      </c>
    </row>
    <row r="4001" spans="15:19" ht="15" x14ac:dyDescent="0.25">
      <c r="O4001"/>
      <c r="P4001"/>
      <c r="R4001" s="39">
        <v>39777</v>
      </c>
      <c r="S4001" s="37">
        <v>2.4241000000000001</v>
      </c>
    </row>
    <row r="4002" spans="15:19" ht="15" x14ac:dyDescent="0.25">
      <c r="O4002"/>
      <c r="P4002"/>
      <c r="R4002" s="39">
        <v>39776</v>
      </c>
      <c r="S4002" s="37">
        <v>2.4089999999999998</v>
      </c>
    </row>
    <row r="4003" spans="15:19" ht="15" x14ac:dyDescent="0.25">
      <c r="O4003"/>
      <c r="P4003"/>
      <c r="R4003" s="39">
        <v>39773</v>
      </c>
      <c r="S4003" s="37">
        <v>2.4394</v>
      </c>
    </row>
    <row r="4004" spans="15:19" ht="15" x14ac:dyDescent="0.25">
      <c r="O4004"/>
      <c r="P4004"/>
      <c r="R4004" s="39">
        <v>39772</v>
      </c>
      <c r="S4004" s="37">
        <v>2.4426999999999999</v>
      </c>
    </row>
    <row r="4005" spans="15:19" ht="15" x14ac:dyDescent="0.25">
      <c r="O4005"/>
      <c r="P4005"/>
      <c r="R4005" s="39">
        <v>39771</v>
      </c>
      <c r="S4005" s="37">
        <v>2.3935</v>
      </c>
    </row>
    <row r="4006" spans="15:19" ht="15" x14ac:dyDescent="0.25">
      <c r="O4006"/>
      <c r="P4006"/>
      <c r="R4006" s="39">
        <v>39770</v>
      </c>
      <c r="S4006" s="37">
        <v>2.4275000000000002</v>
      </c>
    </row>
    <row r="4007" spans="15:19" ht="15" x14ac:dyDescent="0.25">
      <c r="O4007"/>
      <c r="P4007"/>
      <c r="R4007" s="39">
        <v>39769</v>
      </c>
      <c r="S4007" s="37">
        <v>2.4232</v>
      </c>
    </row>
    <row r="4008" spans="15:19" ht="15" x14ac:dyDescent="0.25">
      <c r="O4008"/>
      <c r="P4008"/>
      <c r="R4008" s="39">
        <v>39766</v>
      </c>
      <c r="S4008" s="37">
        <v>2.4451999999999998</v>
      </c>
    </row>
    <row r="4009" spans="15:19" ht="15" x14ac:dyDescent="0.25">
      <c r="O4009"/>
      <c r="P4009"/>
      <c r="R4009" s="39">
        <v>39765</v>
      </c>
      <c r="S4009" s="37">
        <v>2.4731999999999998</v>
      </c>
    </row>
    <row r="4010" spans="15:19" ht="15" x14ac:dyDescent="0.25">
      <c r="O4010"/>
      <c r="P4010"/>
      <c r="R4010" s="39">
        <v>39764</v>
      </c>
      <c r="S4010" s="37">
        <v>2.4834999999999998</v>
      </c>
    </row>
    <row r="4011" spans="15:19" ht="15" x14ac:dyDescent="0.25">
      <c r="O4011"/>
      <c r="P4011"/>
      <c r="R4011" s="39">
        <v>39763</v>
      </c>
      <c r="S4011" s="37">
        <v>2.5487000000000002</v>
      </c>
    </row>
    <row r="4012" spans="15:19" ht="15" x14ac:dyDescent="0.25">
      <c r="O4012"/>
      <c r="P4012"/>
      <c r="R4012" s="39">
        <v>39762</v>
      </c>
      <c r="S4012" s="37">
        <v>2.6395</v>
      </c>
    </row>
    <row r="4013" spans="15:19" ht="15" x14ac:dyDescent="0.25">
      <c r="O4013"/>
      <c r="P4013"/>
      <c r="R4013" s="39">
        <v>39759</v>
      </c>
      <c r="S4013" s="37">
        <v>2.6804999999999999</v>
      </c>
    </row>
    <row r="4014" spans="15:19" ht="15" x14ac:dyDescent="0.25">
      <c r="O4014"/>
      <c r="P4014"/>
      <c r="R4014" s="39">
        <v>39758</v>
      </c>
      <c r="S4014" s="37">
        <v>3.2875999999999999</v>
      </c>
    </row>
    <row r="4015" spans="15:19" ht="15" x14ac:dyDescent="0.25">
      <c r="O4015"/>
      <c r="P4015"/>
      <c r="R4015" s="39">
        <v>39757</v>
      </c>
      <c r="S4015" s="37">
        <v>4.1729000000000003</v>
      </c>
    </row>
    <row r="4016" spans="15:19" ht="15" x14ac:dyDescent="0.25">
      <c r="O4016"/>
      <c r="P4016"/>
      <c r="R4016" s="39">
        <v>39756</v>
      </c>
      <c r="S4016" s="37">
        <v>4.1649000000000003</v>
      </c>
    </row>
    <row r="4017" spans="15:19" ht="15" x14ac:dyDescent="0.25">
      <c r="O4017"/>
      <c r="P4017"/>
      <c r="R4017" s="39">
        <v>39755</v>
      </c>
      <c r="S4017" s="37">
        <v>4.226</v>
      </c>
    </row>
    <row r="4018" spans="15:19" ht="15" x14ac:dyDescent="0.25">
      <c r="O4018"/>
      <c r="P4018"/>
      <c r="R4018" s="39">
        <v>39752</v>
      </c>
      <c r="S4018" s="37">
        <v>4.2961</v>
      </c>
    </row>
    <row r="4019" spans="15:19" ht="15" x14ac:dyDescent="0.25">
      <c r="O4019"/>
      <c r="P4019"/>
      <c r="R4019" s="39">
        <v>39751</v>
      </c>
      <c r="S4019" s="37">
        <v>4.2859999999999996</v>
      </c>
    </row>
    <row r="4020" spans="15:19" ht="15" x14ac:dyDescent="0.25">
      <c r="O4020"/>
      <c r="P4020"/>
      <c r="R4020" s="39">
        <v>39750</v>
      </c>
      <c r="S4020" s="37">
        <v>4.3621999999999996</v>
      </c>
    </row>
    <row r="4021" spans="15:19" ht="15" x14ac:dyDescent="0.25">
      <c r="O4021"/>
      <c r="P4021"/>
      <c r="R4021" s="39">
        <v>39749</v>
      </c>
      <c r="S4021" s="37">
        <v>4.3773</v>
      </c>
    </row>
    <row r="4022" spans="15:19" ht="15" x14ac:dyDescent="0.25">
      <c r="O4022"/>
      <c r="P4022"/>
      <c r="R4022" s="39">
        <v>39748</v>
      </c>
      <c r="S4022" s="37">
        <v>4.3653000000000004</v>
      </c>
    </row>
    <row r="4023" spans="15:19" ht="15" x14ac:dyDescent="0.25">
      <c r="O4023"/>
      <c r="P4023"/>
      <c r="R4023" s="39">
        <v>39745</v>
      </c>
      <c r="S4023" s="37">
        <v>4.3244999999999996</v>
      </c>
    </row>
    <row r="4024" spans="15:19" ht="15" x14ac:dyDescent="0.25">
      <c r="O4024"/>
      <c r="P4024"/>
      <c r="R4024" s="39">
        <v>39744</v>
      </c>
      <c r="S4024" s="37">
        <v>4.0195999999999996</v>
      </c>
    </row>
    <row r="4025" spans="15:19" ht="15" x14ac:dyDescent="0.25">
      <c r="O4025"/>
      <c r="P4025"/>
      <c r="R4025" s="39">
        <v>39743</v>
      </c>
      <c r="S4025" s="37">
        <v>3.9165000000000001</v>
      </c>
    </row>
    <row r="4026" spans="15:19" ht="15" x14ac:dyDescent="0.25">
      <c r="O4026"/>
      <c r="P4026"/>
      <c r="R4026" s="39">
        <v>39742</v>
      </c>
      <c r="S4026" s="37">
        <v>4.0839999999999996</v>
      </c>
    </row>
    <row r="4027" spans="15:19" ht="15" x14ac:dyDescent="0.25">
      <c r="O4027"/>
      <c r="P4027"/>
      <c r="R4027" s="39">
        <v>39741</v>
      </c>
      <c r="S4027" s="37">
        <v>4.0685000000000002</v>
      </c>
    </row>
    <row r="4028" spans="15:19" ht="15" x14ac:dyDescent="0.25">
      <c r="O4028"/>
      <c r="P4028"/>
      <c r="R4028" s="39">
        <v>39738</v>
      </c>
      <c r="S4028" s="37">
        <v>3.8702000000000001</v>
      </c>
    </row>
    <row r="4029" spans="15:19" ht="15" x14ac:dyDescent="0.25">
      <c r="O4029"/>
      <c r="P4029"/>
      <c r="R4029" s="39">
        <v>39737</v>
      </c>
      <c r="S4029" s="37">
        <v>4.1802000000000001</v>
      </c>
    </row>
    <row r="4030" spans="15:19" ht="15" x14ac:dyDescent="0.25">
      <c r="O4030"/>
      <c r="P4030"/>
      <c r="R4030" s="39">
        <v>39736</v>
      </c>
      <c r="S4030" s="37">
        <v>4.6566000000000001</v>
      </c>
    </row>
    <row r="4031" spans="15:19" ht="15" x14ac:dyDescent="0.25">
      <c r="O4031"/>
      <c r="P4031"/>
      <c r="R4031" s="39">
        <v>39735</v>
      </c>
      <c r="S4031" s="37">
        <v>4.8272000000000004</v>
      </c>
    </row>
    <row r="4032" spans="15:19" ht="15" x14ac:dyDescent="0.25">
      <c r="O4032"/>
      <c r="P4032"/>
      <c r="R4032" s="39">
        <v>39734</v>
      </c>
      <c r="S4032" s="37">
        <v>4.9455999999999998</v>
      </c>
    </row>
    <row r="4033" spans="15:19" ht="15" x14ac:dyDescent="0.25">
      <c r="O4033"/>
      <c r="P4033"/>
      <c r="R4033" s="39">
        <v>39731</v>
      </c>
      <c r="S4033" s="37">
        <v>5.2796000000000003</v>
      </c>
    </row>
    <row r="4034" spans="15:19" ht="15" x14ac:dyDescent="0.25">
      <c r="O4034"/>
      <c r="P4034"/>
      <c r="R4034" s="39">
        <v>39730</v>
      </c>
      <c r="S4034" s="37">
        <v>4.7687999999999997</v>
      </c>
    </row>
    <row r="4035" spans="15:19" ht="15" x14ac:dyDescent="0.25">
      <c r="O4035"/>
      <c r="P4035"/>
      <c r="R4035" s="39">
        <v>39729</v>
      </c>
      <c r="S4035" s="37">
        <v>4.9417</v>
      </c>
    </row>
    <row r="4036" spans="15:19" ht="15" x14ac:dyDescent="0.25">
      <c r="O4036"/>
      <c r="P4036"/>
      <c r="R4036" s="39">
        <v>39728</v>
      </c>
      <c r="S4036" s="37">
        <v>4.9778000000000002</v>
      </c>
    </row>
    <row r="4037" spans="15:19" ht="15" x14ac:dyDescent="0.25">
      <c r="O4037"/>
      <c r="P4037"/>
      <c r="R4037" s="39">
        <v>39727</v>
      </c>
      <c r="S4037" s="37">
        <v>4.5747</v>
      </c>
    </row>
    <row r="4038" spans="15:19" ht="15" x14ac:dyDescent="0.25">
      <c r="O4038"/>
      <c r="P4038"/>
      <c r="R4038" s="39">
        <v>39724</v>
      </c>
      <c r="S4038" s="37">
        <v>4.4401000000000002</v>
      </c>
    </row>
    <row r="4039" spans="15:19" ht="15" x14ac:dyDescent="0.25">
      <c r="O4039"/>
      <c r="P4039"/>
      <c r="R4039" s="39">
        <v>39723</v>
      </c>
      <c r="S4039" s="37">
        <v>4.2664999999999997</v>
      </c>
    </row>
    <row r="4040" spans="15:19" ht="15" x14ac:dyDescent="0.25">
      <c r="O4040"/>
      <c r="P4040"/>
      <c r="R4040" s="39">
        <v>39722</v>
      </c>
      <c r="S4040" s="37">
        <v>3.6364999999999998</v>
      </c>
    </row>
    <row r="4041" spans="15:19" ht="15" x14ac:dyDescent="0.25">
      <c r="O4041"/>
      <c r="P4041"/>
      <c r="R4041" s="39">
        <v>39721</v>
      </c>
      <c r="S4041" s="37">
        <v>5.0906000000000002</v>
      </c>
    </row>
    <row r="4042" spans="15:19" ht="15" x14ac:dyDescent="0.25">
      <c r="O4042"/>
      <c r="P4042"/>
      <c r="R4042" s="39">
        <v>39720</v>
      </c>
      <c r="S4042" s="37">
        <v>4.9538000000000002</v>
      </c>
    </row>
    <row r="4043" spans="15:19" ht="15" x14ac:dyDescent="0.25">
      <c r="O4043"/>
      <c r="P4043"/>
      <c r="R4043" s="39">
        <v>39717</v>
      </c>
      <c r="S4043" s="37">
        <v>4.6946000000000003</v>
      </c>
    </row>
    <row r="4044" spans="15:19" ht="15" x14ac:dyDescent="0.25">
      <c r="O4044"/>
      <c r="P4044"/>
      <c r="R4044" s="39">
        <v>39716</v>
      </c>
      <c r="S4044" s="37">
        <v>4.6471</v>
      </c>
    </row>
    <row r="4045" spans="15:19" ht="15" x14ac:dyDescent="0.25">
      <c r="O4045"/>
      <c r="P4045"/>
      <c r="R4045" s="39">
        <v>39715</v>
      </c>
      <c r="S4045" s="37">
        <v>4.4749999999999996</v>
      </c>
    </row>
    <row r="4046" spans="15:19" ht="15" x14ac:dyDescent="0.25">
      <c r="O4046"/>
      <c r="P4046"/>
      <c r="R4046" s="39">
        <v>39714</v>
      </c>
      <c r="S4046" s="37">
        <v>4.0472000000000001</v>
      </c>
    </row>
    <row r="4047" spans="15:19" ht="15" x14ac:dyDescent="0.25">
      <c r="O4047"/>
      <c r="P4047"/>
      <c r="R4047" s="39">
        <v>39713</v>
      </c>
      <c r="S4047" s="37">
        <v>4.2778999999999998</v>
      </c>
    </row>
    <row r="4048" spans="15:19" ht="15" x14ac:dyDescent="0.25">
      <c r="O4048"/>
      <c r="P4048"/>
      <c r="R4048" s="39">
        <v>39710</v>
      </c>
      <c r="S4048" s="37">
        <v>4.5343</v>
      </c>
    </row>
    <row r="4049" spans="15:19" ht="15" x14ac:dyDescent="0.25">
      <c r="O4049"/>
      <c r="P4049"/>
      <c r="R4049" s="39">
        <v>39709</v>
      </c>
      <c r="S4049" s="37">
        <v>4.8678999999999997</v>
      </c>
    </row>
    <row r="4050" spans="15:19" ht="15" x14ac:dyDescent="0.25">
      <c r="O4050"/>
      <c r="P4050"/>
      <c r="R4050" s="39">
        <v>39708</v>
      </c>
      <c r="S4050" s="37">
        <v>4.9771999999999998</v>
      </c>
    </row>
    <row r="4051" spans="15:19" ht="15" x14ac:dyDescent="0.25">
      <c r="O4051"/>
      <c r="P4051"/>
      <c r="R4051" s="39">
        <v>39707</v>
      </c>
      <c r="S4051" s="37">
        <v>5.5838000000000001</v>
      </c>
    </row>
    <row r="4052" spans="15:19" ht="15" x14ac:dyDescent="0.25">
      <c r="O4052"/>
      <c r="P4052"/>
      <c r="R4052" s="39">
        <v>39706</v>
      </c>
      <c r="S4052" s="37">
        <v>5.3122999999999996</v>
      </c>
    </row>
    <row r="4053" spans="15:19" ht="15" x14ac:dyDescent="0.25">
      <c r="O4053"/>
      <c r="P4053"/>
      <c r="R4053" s="39">
        <v>39703</v>
      </c>
      <c r="S4053" s="37">
        <v>5.0122</v>
      </c>
    </row>
    <row r="4054" spans="15:19" ht="15" x14ac:dyDescent="0.25">
      <c r="O4054"/>
      <c r="P4054"/>
      <c r="R4054" s="39">
        <v>39702</v>
      </c>
      <c r="S4054" s="37">
        <v>5.0096999999999996</v>
      </c>
    </row>
    <row r="4055" spans="15:19" ht="15" x14ac:dyDescent="0.25">
      <c r="O4055"/>
      <c r="P4055"/>
      <c r="R4055" s="39">
        <v>39701</v>
      </c>
      <c r="S4055" s="37">
        <v>5.0075000000000003</v>
      </c>
    </row>
    <row r="4056" spans="15:19" ht="15" x14ac:dyDescent="0.25">
      <c r="O4056"/>
      <c r="P4056"/>
      <c r="R4056" s="39">
        <v>39700</v>
      </c>
      <c r="S4056" s="37">
        <v>5.0133000000000001</v>
      </c>
    </row>
    <row r="4057" spans="15:19" ht="15" x14ac:dyDescent="0.25">
      <c r="O4057"/>
      <c r="P4057"/>
      <c r="R4057" s="39">
        <v>39699</v>
      </c>
      <c r="S4057" s="37">
        <v>5.0198999999999998</v>
      </c>
    </row>
    <row r="4058" spans="15:19" ht="15" x14ac:dyDescent="0.25">
      <c r="O4058"/>
      <c r="P4058"/>
      <c r="R4058" s="39">
        <v>39696</v>
      </c>
      <c r="S4058" s="37">
        <v>5.0228000000000002</v>
      </c>
    </row>
    <row r="4059" spans="15:19" ht="15" x14ac:dyDescent="0.25">
      <c r="O4059"/>
      <c r="P4059"/>
      <c r="R4059" s="39">
        <v>39695</v>
      </c>
      <c r="S4059" s="37">
        <v>5.0183</v>
      </c>
    </row>
    <row r="4060" spans="15:19" ht="15" x14ac:dyDescent="0.25">
      <c r="O4060"/>
      <c r="P4060"/>
      <c r="R4060" s="39">
        <v>39694</v>
      </c>
      <c r="S4060" s="37">
        <v>5.0209000000000001</v>
      </c>
    </row>
    <row r="4061" spans="15:19" ht="15" x14ac:dyDescent="0.25">
      <c r="O4061"/>
      <c r="P4061"/>
      <c r="R4061" s="39">
        <v>39693</v>
      </c>
      <c r="S4061" s="37">
        <v>5.0237999999999996</v>
      </c>
    </row>
    <row r="4062" spans="15:19" ht="15" x14ac:dyDescent="0.25">
      <c r="O4062"/>
      <c r="P4062"/>
      <c r="R4062" s="39">
        <v>39692</v>
      </c>
      <c r="S4062" s="37">
        <v>5.0256999999999996</v>
      </c>
    </row>
    <row r="4063" spans="15:19" ht="15" x14ac:dyDescent="0.25">
      <c r="O4063"/>
      <c r="P4063"/>
      <c r="R4063" s="39">
        <v>39689</v>
      </c>
      <c r="S4063" s="37">
        <v>5.0350000000000001</v>
      </c>
    </row>
    <row r="4064" spans="15:19" ht="15" x14ac:dyDescent="0.25">
      <c r="O4064"/>
      <c r="P4064"/>
      <c r="R4064" s="39">
        <v>39688</v>
      </c>
      <c r="S4064" s="37">
        <v>5.0016999999999996</v>
      </c>
    </row>
    <row r="4065" spans="15:19" ht="15" x14ac:dyDescent="0.25">
      <c r="O4065"/>
      <c r="P4065"/>
      <c r="R4065" s="39">
        <v>39687</v>
      </c>
      <c r="S4065" s="37">
        <v>4.9913999999999996</v>
      </c>
    </row>
    <row r="4066" spans="15:19" ht="15" x14ac:dyDescent="0.25">
      <c r="O4066"/>
      <c r="P4066"/>
      <c r="R4066" s="39">
        <v>39686</v>
      </c>
      <c r="S4066" s="37">
        <v>4.9961000000000002</v>
      </c>
    </row>
    <row r="4067" spans="15:19" ht="15" x14ac:dyDescent="0.25">
      <c r="O4067"/>
      <c r="P4067"/>
      <c r="R4067" s="39">
        <v>39682</v>
      </c>
      <c r="S4067" s="37">
        <v>4.9973000000000001</v>
      </c>
    </row>
    <row r="4068" spans="15:19" ht="15" x14ac:dyDescent="0.25">
      <c r="O4068"/>
      <c r="P4068"/>
      <c r="R4068" s="39">
        <v>39681</v>
      </c>
      <c r="S4068" s="37">
        <v>5.0014000000000003</v>
      </c>
    </row>
    <row r="4069" spans="15:19" ht="15" x14ac:dyDescent="0.25">
      <c r="O4069"/>
      <c r="P4069"/>
      <c r="R4069" s="39">
        <v>39680</v>
      </c>
      <c r="S4069" s="37">
        <v>5.0037000000000003</v>
      </c>
    </row>
    <row r="4070" spans="15:19" ht="15" x14ac:dyDescent="0.25">
      <c r="O4070"/>
      <c r="P4070"/>
      <c r="R4070" s="39">
        <v>39679</v>
      </c>
      <c r="S4070" s="37">
        <v>5.0021000000000004</v>
      </c>
    </row>
    <row r="4071" spans="15:19" ht="15" x14ac:dyDescent="0.25">
      <c r="O4071"/>
      <c r="P4071"/>
      <c r="R4071" s="39">
        <v>39678</v>
      </c>
      <c r="S4071" s="37">
        <v>4.9983000000000004</v>
      </c>
    </row>
    <row r="4072" spans="15:19" ht="15" x14ac:dyDescent="0.25">
      <c r="O4072"/>
      <c r="P4072"/>
      <c r="R4072" s="39">
        <v>39675</v>
      </c>
      <c r="S4072" s="37">
        <v>5.0083000000000002</v>
      </c>
    </row>
    <row r="4073" spans="15:19" ht="15" x14ac:dyDescent="0.25">
      <c r="O4073"/>
      <c r="P4073"/>
      <c r="R4073" s="39">
        <v>39674</v>
      </c>
      <c r="S4073" s="37">
        <v>5.0012999999999996</v>
      </c>
    </row>
    <row r="4074" spans="15:19" ht="15" x14ac:dyDescent="0.25">
      <c r="O4074"/>
      <c r="P4074"/>
      <c r="R4074" s="39">
        <v>39673</v>
      </c>
      <c r="S4074" s="37">
        <v>4.9885000000000002</v>
      </c>
    </row>
    <row r="4075" spans="15:19" ht="15" x14ac:dyDescent="0.25">
      <c r="O4075"/>
      <c r="P4075"/>
      <c r="R4075" s="39">
        <v>39672</v>
      </c>
      <c r="S4075" s="37">
        <v>4.9973999999999998</v>
      </c>
    </row>
    <row r="4076" spans="15:19" ht="15" x14ac:dyDescent="0.25">
      <c r="O4076"/>
      <c r="P4076"/>
      <c r="R4076" s="39">
        <v>39671</v>
      </c>
      <c r="S4076" s="37">
        <v>5.0042999999999997</v>
      </c>
    </row>
    <row r="4077" spans="15:19" ht="15" x14ac:dyDescent="0.25">
      <c r="O4077"/>
      <c r="P4077"/>
      <c r="R4077" s="39">
        <v>39668</v>
      </c>
      <c r="S4077" s="37">
        <v>5.0072000000000001</v>
      </c>
    </row>
    <row r="4078" spans="15:19" ht="15" x14ac:dyDescent="0.25">
      <c r="O4078"/>
      <c r="P4078"/>
      <c r="R4078" s="39">
        <v>39667</v>
      </c>
      <c r="S4078" s="37">
        <v>4.9924999999999997</v>
      </c>
    </row>
    <row r="4079" spans="15:19" ht="15" x14ac:dyDescent="0.25">
      <c r="O4079"/>
      <c r="P4079"/>
      <c r="R4079" s="39">
        <v>39666</v>
      </c>
      <c r="S4079" s="37">
        <v>4.9757999999999996</v>
      </c>
    </row>
    <row r="4080" spans="15:19" ht="15" x14ac:dyDescent="0.25">
      <c r="O4080"/>
      <c r="P4080"/>
      <c r="R4080" s="39">
        <v>39665</v>
      </c>
      <c r="S4080" s="37">
        <v>4.9836</v>
      </c>
    </row>
    <row r="4081" spans="15:19" ht="15" x14ac:dyDescent="0.25">
      <c r="O4081"/>
      <c r="P4081"/>
      <c r="R4081" s="39">
        <v>39664</v>
      </c>
      <c r="S4081" s="37">
        <v>4.9915000000000003</v>
      </c>
    </row>
    <row r="4082" spans="15:19" ht="15" x14ac:dyDescent="0.25">
      <c r="O4082"/>
      <c r="P4082"/>
      <c r="R4082" s="39">
        <v>39661</v>
      </c>
      <c r="S4082" s="37">
        <v>4.9634</v>
      </c>
    </row>
    <row r="4083" spans="15:19" ht="15" x14ac:dyDescent="0.25">
      <c r="O4083"/>
      <c r="P4083"/>
      <c r="R4083" s="39">
        <v>39660</v>
      </c>
      <c r="S4083" s="37">
        <v>4.9592000000000001</v>
      </c>
    </row>
    <row r="4084" spans="15:19" ht="15" x14ac:dyDescent="0.25">
      <c r="O4084"/>
      <c r="P4084"/>
      <c r="R4084" s="39">
        <v>39659</v>
      </c>
      <c r="S4084" s="37">
        <v>4.9813999999999998</v>
      </c>
    </row>
    <row r="4085" spans="15:19" ht="15" x14ac:dyDescent="0.25">
      <c r="O4085"/>
      <c r="P4085"/>
      <c r="R4085" s="39">
        <v>39658</v>
      </c>
      <c r="S4085" s="37">
        <v>5.0167000000000002</v>
      </c>
    </row>
    <row r="4086" spans="15:19" ht="15" x14ac:dyDescent="0.25">
      <c r="O4086"/>
      <c r="P4086"/>
      <c r="R4086" s="39">
        <v>39657</v>
      </c>
      <c r="S4086" s="37">
        <v>5.0225</v>
      </c>
    </row>
    <row r="4087" spans="15:19" ht="15" x14ac:dyDescent="0.25">
      <c r="O4087"/>
      <c r="P4087"/>
      <c r="R4087" s="39">
        <v>39654</v>
      </c>
      <c r="S4087" s="37">
        <v>5.0309999999999997</v>
      </c>
    </row>
    <row r="4088" spans="15:19" ht="15" x14ac:dyDescent="0.25">
      <c r="O4088"/>
      <c r="P4088"/>
      <c r="R4088" s="39">
        <v>39653</v>
      </c>
      <c r="S4088" s="37">
        <v>5.0178000000000003</v>
      </c>
    </row>
    <row r="4089" spans="15:19" ht="15" x14ac:dyDescent="0.25">
      <c r="O4089"/>
      <c r="P4089"/>
      <c r="R4089" s="39">
        <v>39652</v>
      </c>
      <c r="S4089" s="37">
        <v>5.0076999999999998</v>
      </c>
    </row>
    <row r="4090" spans="15:19" ht="15" x14ac:dyDescent="0.25">
      <c r="O4090"/>
      <c r="P4090"/>
      <c r="R4090" s="39">
        <v>39651</v>
      </c>
      <c r="S4090" s="37">
        <v>5.0041000000000002</v>
      </c>
    </row>
    <row r="4091" spans="15:19" ht="15" x14ac:dyDescent="0.25">
      <c r="O4091"/>
      <c r="P4091"/>
      <c r="R4091" s="39">
        <v>39650</v>
      </c>
      <c r="S4091" s="37">
        <v>5.0067000000000004</v>
      </c>
    </row>
    <row r="4092" spans="15:19" ht="15" x14ac:dyDescent="0.25">
      <c r="O4092"/>
      <c r="P4092"/>
      <c r="R4092" s="39">
        <v>39647</v>
      </c>
      <c r="S4092" s="37">
        <v>5.0038999999999998</v>
      </c>
    </row>
    <row r="4093" spans="15:19" ht="15" x14ac:dyDescent="0.25">
      <c r="O4093"/>
      <c r="P4093"/>
      <c r="R4093" s="39">
        <v>39646</v>
      </c>
      <c r="S4093" s="37">
        <v>5.0155000000000003</v>
      </c>
    </row>
    <row r="4094" spans="15:19" ht="15" x14ac:dyDescent="0.25">
      <c r="O4094"/>
      <c r="P4094"/>
      <c r="R4094" s="39">
        <v>39645</v>
      </c>
      <c r="S4094" s="37">
        <v>5.0179999999999998</v>
      </c>
    </row>
    <row r="4095" spans="15:19" ht="15" x14ac:dyDescent="0.25">
      <c r="O4095"/>
      <c r="P4095"/>
      <c r="R4095" s="39">
        <v>39644</v>
      </c>
      <c r="S4095" s="37">
        <v>5.0229999999999997</v>
      </c>
    </row>
    <row r="4096" spans="15:19" ht="15" x14ac:dyDescent="0.25">
      <c r="O4096"/>
      <c r="P4096"/>
      <c r="R4096" s="39">
        <v>39643</v>
      </c>
      <c r="S4096" s="37">
        <v>5.0170000000000003</v>
      </c>
    </row>
    <row r="4097" spans="15:19" ht="15" x14ac:dyDescent="0.25">
      <c r="O4097"/>
      <c r="P4097"/>
      <c r="R4097" s="39">
        <v>39640</v>
      </c>
      <c r="S4097" s="37">
        <v>5.0185000000000004</v>
      </c>
    </row>
    <row r="4098" spans="15:19" ht="15" x14ac:dyDescent="0.25">
      <c r="O4098"/>
      <c r="P4098"/>
      <c r="R4098" s="39">
        <v>39639</v>
      </c>
      <c r="S4098" s="37">
        <v>5.0082000000000004</v>
      </c>
    </row>
    <row r="4099" spans="15:19" ht="15" x14ac:dyDescent="0.25">
      <c r="O4099"/>
      <c r="P4099"/>
      <c r="R4099" s="39">
        <v>39638</v>
      </c>
      <c r="S4099" s="37">
        <v>5.0057</v>
      </c>
    </row>
    <row r="4100" spans="15:19" ht="15" x14ac:dyDescent="0.25">
      <c r="O4100"/>
      <c r="P4100"/>
      <c r="R4100" s="39">
        <v>39637</v>
      </c>
      <c r="S4100" s="37">
        <v>5.0175000000000001</v>
      </c>
    </row>
    <row r="4101" spans="15:19" ht="15" x14ac:dyDescent="0.25">
      <c r="O4101"/>
      <c r="P4101"/>
      <c r="R4101" s="39">
        <v>39636</v>
      </c>
      <c r="S4101" s="37">
        <v>4.9984000000000002</v>
      </c>
    </row>
    <row r="4102" spans="15:19" ht="15" x14ac:dyDescent="0.25">
      <c r="O4102"/>
      <c r="P4102"/>
      <c r="R4102" s="39">
        <v>39633</v>
      </c>
      <c r="S4102" s="37">
        <v>4.9996</v>
      </c>
    </row>
    <row r="4103" spans="15:19" ht="15" x14ac:dyDescent="0.25">
      <c r="O4103"/>
      <c r="P4103"/>
      <c r="R4103" s="39">
        <v>39632</v>
      </c>
      <c r="S4103" s="37">
        <v>4.9930000000000003</v>
      </c>
    </row>
    <row r="4104" spans="15:19" ht="15" x14ac:dyDescent="0.25">
      <c r="O4104"/>
      <c r="P4104"/>
      <c r="R4104" s="39">
        <v>39631</v>
      </c>
      <c r="S4104" s="37">
        <v>5.0110000000000001</v>
      </c>
    </row>
    <row r="4105" spans="15:19" ht="15" x14ac:dyDescent="0.25">
      <c r="O4105"/>
      <c r="P4105"/>
      <c r="R4105" s="39">
        <v>39630</v>
      </c>
      <c r="S4105" s="37">
        <v>5.0503999999999998</v>
      </c>
    </row>
    <row r="4106" spans="15:19" ht="15" x14ac:dyDescent="0.25">
      <c r="O4106"/>
      <c r="P4106"/>
      <c r="R4106" s="39">
        <v>39629</v>
      </c>
      <c r="S4106" s="37">
        <v>5.2880000000000003</v>
      </c>
    </row>
    <row r="4107" spans="15:19" ht="15" x14ac:dyDescent="0.25">
      <c r="O4107"/>
      <c r="P4107"/>
      <c r="R4107" s="39">
        <v>39626</v>
      </c>
      <c r="S4107" s="37">
        <v>4.9931000000000001</v>
      </c>
    </row>
    <row r="4108" spans="15:19" ht="15" x14ac:dyDescent="0.25">
      <c r="O4108"/>
      <c r="P4108"/>
      <c r="R4108" s="39">
        <v>39625</v>
      </c>
      <c r="S4108" s="37">
        <v>4.9847999999999999</v>
      </c>
    </row>
    <row r="4109" spans="15:19" ht="15" x14ac:dyDescent="0.25">
      <c r="O4109"/>
      <c r="P4109"/>
      <c r="R4109" s="39">
        <v>39624</v>
      </c>
      <c r="S4109" s="37">
        <v>4.9828999999999999</v>
      </c>
    </row>
    <row r="4110" spans="15:19" ht="15" x14ac:dyDescent="0.25">
      <c r="O4110"/>
      <c r="P4110"/>
      <c r="R4110" s="39">
        <v>39623</v>
      </c>
      <c r="S4110" s="37">
        <v>5.0064000000000002</v>
      </c>
    </row>
    <row r="4111" spans="15:19" ht="15" x14ac:dyDescent="0.25">
      <c r="O4111"/>
      <c r="P4111"/>
      <c r="R4111" s="39">
        <v>39622</v>
      </c>
      <c r="S4111" s="37">
        <v>5.0143000000000004</v>
      </c>
    </row>
    <row r="4112" spans="15:19" ht="15" x14ac:dyDescent="0.25">
      <c r="O4112"/>
      <c r="P4112"/>
      <c r="R4112" s="39">
        <v>39619</v>
      </c>
      <c r="S4112" s="37">
        <v>5.0236999999999998</v>
      </c>
    </row>
    <row r="4113" spans="15:19" ht="15" x14ac:dyDescent="0.25">
      <c r="O4113"/>
      <c r="P4113"/>
      <c r="R4113" s="39">
        <v>39618</v>
      </c>
      <c r="S4113" s="37">
        <v>5.0286</v>
      </c>
    </row>
    <row r="4114" spans="15:19" ht="15" x14ac:dyDescent="0.25">
      <c r="O4114"/>
      <c r="P4114"/>
      <c r="R4114" s="39">
        <v>39617</v>
      </c>
      <c r="S4114" s="37">
        <v>5.0350000000000001</v>
      </c>
    </row>
    <row r="4115" spans="15:19" ht="15" x14ac:dyDescent="0.25">
      <c r="O4115"/>
      <c r="P4115"/>
      <c r="R4115" s="39">
        <v>39616</v>
      </c>
      <c r="S4115" s="37">
        <v>5.0316999999999998</v>
      </c>
    </row>
    <row r="4116" spans="15:19" ht="15" x14ac:dyDescent="0.25">
      <c r="O4116"/>
      <c r="P4116"/>
      <c r="R4116" s="39">
        <v>39615</v>
      </c>
      <c r="S4116" s="37">
        <v>5.0290999999999997</v>
      </c>
    </row>
    <row r="4117" spans="15:19" ht="15" x14ac:dyDescent="0.25">
      <c r="O4117"/>
      <c r="P4117"/>
      <c r="R4117" s="39">
        <v>39612</v>
      </c>
      <c r="S4117" s="37">
        <v>5.0403000000000002</v>
      </c>
    </row>
    <row r="4118" spans="15:19" ht="15" x14ac:dyDescent="0.25">
      <c r="O4118"/>
      <c r="P4118"/>
      <c r="R4118" s="39">
        <v>39611</v>
      </c>
      <c r="S4118" s="37">
        <v>5.0301</v>
      </c>
    </row>
    <row r="4119" spans="15:19" ht="15" x14ac:dyDescent="0.25">
      <c r="O4119"/>
      <c r="P4119"/>
      <c r="R4119" s="39">
        <v>39610</v>
      </c>
      <c r="S4119" s="37">
        <v>5.0328999999999997</v>
      </c>
    </row>
    <row r="4120" spans="15:19" ht="15" x14ac:dyDescent="0.25">
      <c r="O4120"/>
      <c r="P4120"/>
      <c r="R4120" s="39">
        <v>39609</v>
      </c>
      <c r="S4120" s="37">
        <v>5.0429000000000004</v>
      </c>
    </row>
    <row r="4121" spans="15:19" ht="15" x14ac:dyDescent="0.25">
      <c r="O4121"/>
      <c r="P4121"/>
      <c r="R4121" s="39">
        <v>39608</v>
      </c>
      <c r="S4121" s="37">
        <v>5.0498000000000003</v>
      </c>
    </row>
    <row r="4122" spans="15:19" ht="15" x14ac:dyDescent="0.25">
      <c r="O4122"/>
      <c r="P4122"/>
      <c r="R4122" s="39">
        <v>39605</v>
      </c>
      <c r="S4122" s="37">
        <v>5.0232000000000001</v>
      </c>
    </row>
    <row r="4123" spans="15:19" ht="15" x14ac:dyDescent="0.25">
      <c r="O4123"/>
      <c r="P4123"/>
      <c r="R4123" s="39">
        <v>39604</v>
      </c>
      <c r="S4123" s="37">
        <v>5.0057</v>
      </c>
    </row>
    <row r="4124" spans="15:19" ht="15" x14ac:dyDescent="0.25">
      <c r="O4124"/>
      <c r="P4124"/>
      <c r="R4124" s="39">
        <v>39603</v>
      </c>
      <c r="S4124" s="37">
        <v>4.9972000000000003</v>
      </c>
    </row>
    <row r="4125" spans="15:19" ht="15" x14ac:dyDescent="0.25">
      <c r="O4125"/>
      <c r="P4125"/>
      <c r="R4125" s="39">
        <v>39602</v>
      </c>
      <c r="S4125" s="37">
        <v>5.0171999999999999</v>
      </c>
    </row>
    <row r="4126" spans="15:19" ht="15" x14ac:dyDescent="0.25">
      <c r="O4126"/>
      <c r="P4126"/>
      <c r="R4126" s="39">
        <v>39601</v>
      </c>
      <c r="S4126" s="37">
        <v>5.0277000000000003</v>
      </c>
    </row>
    <row r="4127" spans="15:19" ht="15" x14ac:dyDescent="0.25">
      <c r="O4127"/>
      <c r="P4127"/>
      <c r="R4127" s="39">
        <v>39598</v>
      </c>
      <c r="S4127" s="37">
        <v>5.0654000000000003</v>
      </c>
    </row>
    <row r="4128" spans="15:19" ht="15" x14ac:dyDescent="0.25">
      <c r="O4128"/>
      <c r="P4128"/>
      <c r="R4128" s="39">
        <v>39597</v>
      </c>
      <c r="S4128" s="37">
        <v>5.0286</v>
      </c>
    </row>
    <row r="4129" spans="15:19" ht="15" x14ac:dyDescent="0.25">
      <c r="O4129"/>
      <c r="P4129"/>
      <c r="R4129" s="39">
        <v>39596</v>
      </c>
      <c r="S4129" s="37">
        <v>5.0305</v>
      </c>
    </row>
    <row r="4130" spans="15:19" ht="15" x14ac:dyDescent="0.25">
      <c r="O4130"/>
      <c r="P4130"/>
      <c r="R4130" s="39">
        <v>39595</v>
      </c>
      <c r="S4130" s="37">
        <v>5.0350999999999999</v>
      </c>
    </row>
    <row r="4131" spans="15:19" ht="15" x14ac:dyDescent="0.25">
      <c r="O4131"/>
      <c r="P4131"/>
      <c r="R4131" s="39">
        <v>39591</v>
      </c>
      <c r="S4131" s="37">
        <v>5.0319000000000003</v>
      </c>
    </row>
    <row r="4132" spans="15:19" ht="15" x14ac:dyDescent="0.25">
      <c r="O4132"/>
      <c r="P4132"/>
      <c r="R4132" s="39">
        <v>39590</v>
      </c>
      <c r="S4132" s="37">
        <v>5.0346000000000002</v>
      </c>
    </row>
    <row r="4133" spans="15:19" ht="15" x14ac:dyDescent="0.25">
      <c r="O4133"/>
      <c r="P4133"/>
      <c r="R4133" s="39">
        <v>39589</v>
      </c>
      <c r="S4133" s="37">
        <v>5.0316000000000001</v>
      </c>
    </row>
    <row r="4134" spans="15:19" ht="15" x14ac:dyDescent="0.25">
      <c r="O4134"/>
      <c r="P4134"/>
      <c r="R4134" s="39">
        <v>39588</v>
      </c>
      <c r="S4134" s="37">
        <v>5.0244</v>
      </c>
    </row>
    <row r="4135" spans="15:19" ht="15" x14ac:dyDescent="0.25">
      <c r="O4135"/>
      <c r="P4135"/>
      <c r="R4135" s="39">
        <v>39587</v>
      </c>
      <c r="S4135" s="37">
        <v>5.0265000000000004</v>
      </c>
    </row>
    <row r="4136" spans="15:19" ht="15" x14ac:dyDescent="0.25">
      <c r="O4136"/>
      <c r="P4136"/>
      <c r="R4136" s="39">
        <v>39584</v>
      </c>
      <c r="S4136" s="37">
        <v>5.0225</v>
      </c>
    </row>
    <row r="4137" spans="15:19" ht="15" x14ac:dyDescent="0.25">
      <c r="O4137"/>
      <c r="P4137"/>
      <c r="R4137" s="39">
        <v>39583</v>
      </c>
      <c r="S4137" s="37">
        <v>5.0171999999999999</v>
      </c>
    </row>
    <row r="4138" spans="15:19" ht="15" x14ac:dyDescent="0.25">
      <c r="O4138"/>
      <c r="P4138"/>
      <c r="R4138" s="39">
        <v>39582</v>
      </c>
      <c r="S4138" s="37">
        <v>5.0164999999999997</v>
      </c>
    </row>
    <row r="4139" spans="15:19" ht="15" x14ac:dyDescent="0.25">
      <c r="O4139"/>
      <c r="P4139"/>
      <c r="R4139" s="39">
        <v>39581</v>
      </c>
      <c r="S4139" s="37">
        <v>5.0388000000000002</v>
      </c>
    </row>
    <row r="4140" spans="15:19" ht="15" x14ac:dyDescent="0.25">
      <c r="O4140"/>
      <c r="P4140"/>
      <c r="R4140" s="39">
        <v>39580</v>
      </c>
      <c r="S4140" s="37">
        <v>5.0290999999999997</v>
      </c>
    </row>
    <row r="4141" spans="15:19" ht="15" x14ac:dyDescent="0.25">
      <c r="O4141"/>
      <c r="P4141"/>
      <c r="R4141" s="39">
        <v>39577</v>
      </c>
      <c r="S4141" s="37">
        <v>5.0282</v>
      </c>
    </row>
    <row r="4142" spans="15:19" ht="15" x14ac:dyDescent="0.25">
      <c r="O4142"/>
      <c r="P4142"/>
      <c r="R4142" s="39">
        <v>39576</v>
      </c>
      <c r="S4142" s="37">
        <v>5.0179</v>
      </c>
    </row>
    <row r="4143" spans="15:19" ht="15" x14ac:dyDescent="0.25">
      <c r="O4143"/>
      <c r="P4143"/>
      <c r="R4143" s="39">
        <v>39575</v>
      </c>
      <c r="S4143" s="37">
        <v>5.0198</v>
      </c>
    </row>
    <row r="4144" spans="15:19" ht="15" x14ac:dyDescent="0.25">
      <c r="O4144"/>
      <c r="P4144"/>
      <c r="R4144" s="39">
        <v>39574</v>
      </c>
      <c r="S4144" s="37">
        <v>5.0292000000000003</v>
      </c>
    </row>
    <row r="4145" spans="15:19" ht="15" x14ac:dyDescent="0.25">
      <c r="O4145"/>
      <c r="P4145"/>
      <c r="R4145" s="39">
        <v>39570</v>
      </c>
      <c r="S4145" s="37">
        <v>5.0444000000000004</v>
      </c>
    </row>
    <row r="4146" spans="15:19" ht="15" x14ac:dyDescent="0.25">
      <c r="O4146"/>
      <c r="P4146"/>
      <c r="R4146" s="39">
        <v>39569</v>
      </c>
      <c r="S4146" s="37">
        <v>5.0548000000000002</v>
      </c>
    </row>
    <row r="4147" spans="15:19" ht="15" x14ac:dyDescent="0.25">
      <c r="O4147"/>
      <c r="P4147"/>
      <c r="R4147" s="39">
        <v>39568</v>
      </c>
      <c r="S4147" s="37">
        <v>5.0476000000000001</v>
      </c>
    </row>
    <row r="4148" spans="15:19" ht="15" x14ac:dyDescent="0.25">
      <c r="O4148"/>
      <c r="P4148"/>
      <c r="R4148" s="39">
        <v>39567</v>
      </c>
      <c r="S4148" s="37">
        <v>5.0336999999999996</v>
      </c>
    </row>
    <row r="4149" spans="15:19" ht="15" x14ac:dyDescent="0.25">
      <c r="O4149"/>
      <c r="P4149"/>
      <c r="R4149" s="39">
        <v>39566</v>
      </c>
      <c r="S4149" s="37">
        <v>5.0288000000000004</v>
      </c>
    </row>
    <row r="4150" spans="15:19" ht="15" x14ac:dyDescent="0.25">
      <c r="O4150"/>
      <c r="P4150"/>
      <c r="R4150" s="39">
        <v>39563</v>
      </c>
      <c r="S4150" s="37">
        <v>5.0095999999999998</v>
      </c>
    </row>
    <row r="4151" spans="15:19" ht="15" x14ac:dyDescent="0.25">
      <c r="O4151"/>
      <c r="P4151"/>
      <c r="R4151" s="39">
        <v>39562</v>
      </c>
      <c r="S4151" s="37">
        <v>4.9882999999999997</v>
      </c>
    </row>
    <row r="4152" spans="15:19" ht="15" x14ac:dyDescent="0.25">
      <c r="O4152"/>
      <c r="P4152"/>
      <c r="R4152" s="39">
        <v>39561</v>
      </c>
      <c r="S4152" s="37">
        <v>4.9782000000000002</v>
      </c>
    </row>
    <row r="4153" spans="15:19" ht="15" x14ac:dyDescent="0.25">
      <c r="O4153"/>
      <c r="P4153"/>
      <c r="R4153" s="39">
        <v>39560</v>
      </c>
      <c r="S4153" s="37">
        <v>5.0033000000000003</v>
      </c>
    </row>
    <row r="4154" spans="15:19" ht="15" x14ac:dyDescent="0.25">
      <c r="O4154"/>
      <c r="P4154"/>
      <c r="R4154" s="39">
        <v>39559</v>
      </c>
      <c r="S4154" s="37">
        <v>5.0126999999999997</v>
      </c>
    </row>
    <row r="4155" spans="15:19" ht="15" x14ac:dyDescent="0.25">
      <c r="O4155"/>
      <c r="P4155"/>
      <c r="R4155" s="39">
        <v>39556</v>
      </c>
      <c r="S4155" s="37">
        <v>5.0232000000000001</v>
      </c>
    </row>
    <row r="4156" spans="15:19" ht="15" x14ac:dyDescent="0.25">
      <c r="O4156"/>
      <c r="P4156"/>
      <c r="R4156" s="39">
        <v>39555</v>
      </c>
      <c r="S4156" s="37">
        <v>5.0087999999999999</v>
      </c>
    </row>
    <row r="4157" spans="15:19" ht="15" x14ac:dyDescent="0.25">
      <c r="O4157"/>
      <c r="P4157"/>
      <c r="R4157" s="39">
        <v>39554</v>
      </c>
      <c r="S4157" s="37">
        <v>5.0162000000000004</v>
      </c>
    </row>
    <row r="4158" spans="15:19" ht="15" x14ac:dyDescent="0.25">
      <c r="O4158"/>
      <c r="P4158"/>
      <c r="R4158" s="39">
        <v>39553</v>
      </c>
      <c r="S4158" s="37">
        <v>5.0359999999999996</v>
      </c>
    </row>
    <row r="4159" spans="15:19" ht="15" x14ac:dyDescent="0.25">
      <c r="O4159"/>
      <c r="P4159"/>
      <c r="R4159" s="39">
        <v>39552</v>
      </c>
      <c r="S4159" s="37">
        <v>5.0246000000000004</v>
      </c>
    </row>
    <row r="4160" spans="15:19" ht="15" x14ac:dyDescent="0.25">
      <c r="O4160"/>
      <c r="P4160"/>
      <c r="R4160" s="39">
        <v>39549</v>
      </c>
      <c r="S4160" s="37">
        <v>5.0220000000000002</v>
      </c>
    </row>
    <row r="4161" spans="15:19" ht="15" x14ac:dyDescent="0.25">
      <c r="O4161"/>
      <c r="P4161"/>
      <c r="R4161" s="39">
        <v>39548</v>
      </c>
      <c r="S4161" s="37">
        <v>5.0816999999999997</v>
      </c>
    </row>
    <row r="4162" spans="15:19" ht="15" x14ac:dyDescent="0.25">
      <c r="O4162"/>
      <c r="P4162"/>
      <c r="R4162" s="39">
        <v>39547</v>
      </c>
      <c r="S4162" s="37">
        <v>5.1692</v>
      </c>
    </row>
    <row r="4163" spans="15:19" ht="15" x14ac:dyDescent="0.25">
      <c r="O4163"/>
      <c r="P4163"/>
      <c r="R4163" s="39">
        <v>39546</v>
      </c>
      <c r="S4163" s="37">
        <v>5.1346999999999996</v>
      </c>
    </row>
    <row r="4164" spans="15:19" ht="15" x14ac:dyDescent="0.25">
      <c r="O4164"/>
      <c r="P4164"/>
      <c r="R4164" s="39">
        <v>39545</v>
      </c>
      <c r="S4164" s="37">
        <v>5.1642999999999999</v>
      </c>
    </row>
    <row r="4165" spans="15:19" ht="15" x14ac:dyDescent="0.25">
      <c r="O4165"/>
      <c r="P4165"/>
      <c r="R4165" s="39">
        <v>39542</v>
      </c>
      <c r="S4165" s="37">
        <v>5.1624999999999996</v>
      </c>
    </row>
    <row r="4166" spans="15:19" ht="15" x14ac:dyDescent="0.25">
      <c r="O4166"/>
      <c r="P4166"/>
      <c r="R4166" s="39">
        <v>39541</v>
      </c>
      <c r="S4166" s="37">
        <v>5.2278000000000002</v>
      </c>
    </row>
    <row r="4167" spans="15:19" ht="15" x14ac:dyDescent="0.25">
      <c r="O4167"/>
      <c r="P4167"/>
      <c r="R4167" s="39">
        <v>39540</v>
      </c>
      <c r="S4167" s="37">
        <v>5.2766000000000002</v>
      </c>
    </row>
    <row r="4168" spans="15:19" ht="15" x14ac:dyDescent="0.25">
      <c r="O4168"/>
      <c r="P4168"/>
      <c r="R4168" s="39">
        <v>39539</v>
      </c>
      <c r="S4168" s="37">
        <v>5.3105000000000002</v>
      </c>
    </row>
    <row r="4169" spans="15:19" ht="15" x14ac:dyDescent="0.25">
      <c r="O4169"/>
      <c r="P4169"/>
      <c r="R4169" s="39">
        <v>39538</v>
      </c>
      <c r="S4169" s="37">
        <v>5.4267000000000003</v>
      </c>
    </row>
    <row r="4170" spans="15:19" ht="15" x14ac:dyDescent="0.25">
      <c r="O4170"/>
      <c r="P4170"/>
      <c r="R4170" s="39">
        <v>39535</v>
      </c>
      <c r="S4170" s="37">
        <v>5.2552000000000003</v>
      </c>
    </row>
    <row r="4171" spans="15:19" ht="15" x14ac:dyDescent="0.25">
      <c r="O4171"/>
      <c r="P4171"/>
      <c r="R4171" s="39">
        <v>39534</v>
      </c>
      <c r="S4171" s="37">
        <v>5.2801999999999998</v>
      </c>
    </row>
    <row r="4172" spans="15:19" ht="15" x14ac:dyDescent="0.25">
      <c r="O4172"/>
      <c r="P4172"/>
      <c r="R4172" s="39">
        <v>39533</v>
      </c>
      <c r="S4172" s="37">
        <v>5.3578999999999999</v>
      </c>
    </row>
    <row r="4173" spans="15:19" ht="15" x14ac:dyDescent="0.25">
      <c r="O4173"/>
      <c r="P4173"/>
      <c r="R4173" s="39">
        <v>39532</v>
      </c>
      <c r="S4173" s="37">
        <v>5.3783000000000003</v>
      </c>
    </row>
    <row r="4174" spans="15:19" ht="15" x14ac:dyDescent="0.25">
      <c r="O4174"/>
      <c r="P4174"/>
      <c r="R4174" s="39">
        <v>39527</v>
      </c>
      <c r="S4174" s="37">
        <v>5.2840999999999996</v>
      </c>
    </row>
    <row r="4175" spans="15:19" ht="15" x14ac:dyDescent="0.25">
      <c r="O4175"/>
      <c r="P4175"/>
      <c r="R4175" s="39">
        <v>39526</v>
      </c>
      <c r="S4175" s="37">
        <v>5.2981999999999996</v>
      </c>
    </row>
    <row r="4176" spans="15:19" ht="15" x14ac:dyDescent="0.25">
      <c r="O4176"/>
      <c r="P4176"/>
      <c r="R4176" s="39">
        <v>39525</v>
      </c>
      <c r="S4176" s="37">
        <v>5.3789999999999996</v>
      </c>
    </row>
    <row r="4177" spans="15:19" ht="15" x14ac:dyDescent="0.25">
      <c r="O4177"/>
      <c r="P4177"/>
      <c r="R4177" s="39">
        <v>39524</v>
      </c>
      <c r="S4177" s="37">
        <v>5.4005000000000001</v>
      </c>
    </row>
    <row r="4178" spans="15:19" ht="15" x14ac:dyDescent="0.25">
      <c r="O4178"/>
      <c r="P4178"/>
      <c r="R4178" s="39">
        <v>39521</v>
      </c>
      <c r="S4178" s="37">
        <v>5.2784000000000004</v>
      </c>
    </row>
    <row r="4179" spans="15:19" ht="15" x14ac:dyDescent="0.25">
      <c r="O4179"/>
      <c r="P4179"/>
      <c r="R4179" s="39">
        <v>39520</v>
      </c>
      <c r="S4179" s="37">
        <v>5.2629999999999999</v>
      </c>
    </row>
    <row r="4180" spans="15:19" ht="15" x14ac:dyDescent="0.25">
      <c r="O4180"/>
      <c r="P4180"/>
      <c r="R4180" s="39">
        <v>39519</v>
      </c>
      <c r="S4180" s="37">
        <v>5.2766999999999999</v>
      </c>
    </row>
    <row r="4181" spans="15:19" ht="15" x14ac:dyDescent="0.25">
      <c r="O4181"/>
      <c r="P4181"/>
      <c r="R4181" s="39">
        <v>39518</v>
      </c>
      <c r="S4181" s="37">
        <v>5.2743000000000002</v>
      </c>
    </row>
    <row r="4182" spans="15:19" ht="15" x14ac:dyDescent="0.25">
      <c r="O4182"/>
      <c r="P4182"/>
      <c r="R4182" s="39">
        <v>39517</v>
      </c>
      <c r="S4182" s="37">
        <v>5.2828999999999997</v>
      </c>
    </row>
    <row r="4183" spans="15:19" ht="15" x14ac:dyDescent="0.25">
      <c r="O4183"/>
      <c r="P4183"/>
      <c r="R4183" s="39">
        <v>39514</v>
      </c>
      <c r="S4183" s="37">
        <v>5.2744999999999997</v>
      </c>
    </row>
    <row r="4184" spans="15:19" ht="15" x14ac:dyDescent="0.25">
      <c r="O4184"/>
      <c r="P4184"/>
      <c r="R4184" s="39">
        <v>39513</v>
      </c>
      <c r="S4184" s="37">
        <v>5.2572999999999999</v>
      </c>
    </row>
    <row r="4185" spans="15:19" ht="15" x14ac:dyDescent="0.25">
      <c r="O4185"/>
      <c r="P4185"/>
      <c r="R4185" s="39">
        <v>39512</v>
      </c>
      <c r="S4185" s="37">
        <v>5.2724000000000002</v>
      </c>
    </row>
    <row r="4186" spans="15:19" ht="15" x14ac:dyDescent="0.25">
      <c r="O4186"/>
      <c r="P4186"/>
      <c r="R4186" s="39">
        <v>39511</v>
      </c>
      <c r="S4186" s="37">
        <v>5.3052999999999999</v>
      </c>
    </row>
    <row r="4187" spans="15:19" ht="15" x14ac:dyDescent="0.25">
      <c r="O4187"/>
      <c r="P4187"/>
      <c r="R4187" s="39">
        <v>39510</v>
      </c>
      <c r="S4187" s="37">
        <v>5.3037999999999998</v>
      </c>
    </row>
    <row r="4188" spans="15:19" ht="15" x14ac:dyDescent="0.25">
      <c r="O4188"/>
      <c r="P4188"/>
      <c r="R4188" s="39">
        <v>39507</v>
      </c>
      <c r="S4188" s="37">
        <v>5.2976000000000001</v>
      </c>
    </row>
    <row r="4189" spans="15:19" ht="15" x14ac:dyDescent="0.25">
      <c r="O4189"/>
      <c r="P4189"/>
      <c r="R4189" s="39">
        <v>39506</v>
      </c>
      <c r="S4189" s="37">
        <v>5.2811000000000003</v>
      </c>
    </row>
    <row r="4190" spans="15:19" ht="15" x14ac:dyDescent="0.25">
      <c r="O4190"/>
      <c r="P4190"/>
      <c r="R4190" s="39">
        <v>39505</v>
      </c>
      <c r="S4190" s="37">
        <v>5.2838000000000003</v>
      </c>
    </row>
    <row r="4191" spans="15:19" ht="15" x14ac:dyDescent="0.25">
      <c r="O4191"/>
      <c r="P4191"/>
      <c r="R4191" s="39">
        <v>39504</v>
      </c>
      <c r="S4191" s="37">
        <v>5.2899000000000003</v>
      </c>
    </row>
    <row r="4192" spans="15:19" ht="15" x14ac:dyDescent="0.25">
      <c r="O4192"/>
      <c r="P4192"/>
      <c r="R4192" s="39">
        <v>39503</v>
      </c>
      <c r="S4192" s="37">
        <v>5.2925000000000004</v>
      </c>
    </row>
    <row r="4193" spans="15:19" ht="15" x14ac:dyDescent="0.25">
      <c r="O4193"/>
      <c r="P4193"/>
      <c r="R4193" s="39">
        <v>39500</v>
      </c>
      <c r="S4193" s="37">
        <v>5.2869999999999999</v>
      </c>
    </row>
    <row r="4194" spans="15:19" ht="15" x14ac:dyDescent="0.25">
      <c r="O4194"/>
      <c r="P4194"/>
      <c r="R4194" s="39">
        <v>39499</v>
      </c>
      <c r="S4194" s="37">
        <v>5.2895000000000003</v>
      </c>
    </row>
    <row r="4195" spans="15:19" ht="15" x14ac:dyDescent="0.25">
      <c r="O4195"/>
      <c r="P4195"/>
      <c r="R4195" s="39">
        <v>39498</v>
      </c>
      <c r="S4195" s="37">
        <v>5.2918000000000003</v>
      </c>
    </row>
    <row r="4196" spans="15:19" ht="15" x14ac:dyDescent="0.25">
      <c r="O4196"/>
      <c r="P4196"/>
      <c r="R4196" s="39">
        <v>39497</v>
      </c>
      <c r="S4196" s="37">
        <v>5.2965</v>
      </c>
    </row>
    <row r="4197" spans="15:19" ht="15" x14ac:dyDescent="0.25">
      <c r="O4197"/>
      <c r="P4197"/>
      <c r="R4197" s="39">
        <v>39496</v>
      </c>
      <c r="S4197" s="37">
        <v>5.2927999999999997</v>
      </c>
    </row>
    <row r="4198" spans="15:19" ht="15" x14ac:dyDescent="0.25">
      <c r="O4198"/>
      <c r="P4198"/>
      <c r="R4198" s="39">
        <v>39493</v>
      </c>
      <c r="S4198" s="37">
        <v>5.2843</v>
      </c>
    </row>
    <row r="4199" spans="15:19" ht="15" x14ac:dyDescent="0.25">
      <c r="O4199"/>
      <c r="P4199"/>
      <c r="R4199" s="39">
        <v>39492</v>
      </c>
      <c r="S4199" s="37">
        <v>5.2797000000000001</v>
      </c>
    </row>
    <row r="4200" spans="15:19" ht="15" x14ac:dyDescent="0.25">
      <c r="O4200"/>
      <c r="P4200"/>
      <c r="R4200" s="39">
        <v>39491</v>
      </c>
      <c r="S4200" s="37">
        <v>5.2725999999999997</v>
      </c>
    </row>
    <row r="4201" spans="15:19" ht="15" x14ac:dyDescent="0.25">
      <c r="O4201"/>
      <c r="P4201"/>
      <c r="R4201" s="39">
        <v>39490</v>
      </c>
      <c r="S4201" s="37">
        <v>5.2807000000000004</v>
      </c>
    </row>
    <row r="4202" spans="15:19" ht="15" x14ac:dyDescent="0.25">
      <c r="O4202"/>
      <c r="P4202"/>
      <c r="R4202" s="39">
        <v>39489</v>
      </c>
      <c r="S4202" s="37">
        <v>5.2839999999999998</v>
      </c>
    </row>
    <row r="4203" spans="15:19" ht="15" x14ac:dyDescent="0.25">
      <c r="O4203"/>
      <c r="P4203"/>
      <c r="R4203" s="39">
        <v>39486</v>
      </c>
      <c r="S4203" s="37">
        <v>5.2843</v>
      </c>
    </row>
    <row r="4204" spans="15:19" ht="15" x14ac:dyDescent="0.25">
      <c r="O4204"/>
      <c r="P4204"/>
      <c r="R4204" s="39">
        <v>39485</v>
      </c>
      <c r="S4204" s="37">
        <v>5.3056000000000001</v>
      </c>
    </row>
    <row r="4205" spans="15:19" ht="15" x14ac:dyDescent="0.25">
      <c r="O4205"/>
      <c r="P4205"/>
      <c r="R4205" s="39">
        <v>39484</v>
      </c>
      <c r="S4205" s="37">
        <v>5.5377000000000001</v>
      </c>
    </row>
    <row r="4206" spans="15:19" ht="15" x14ac:dyDescent="0.25">
      <c r="O4206"/>
      <c r="P4206"/>
      <c r="R4206" s="39">
        <v>39483</v>
      </c>
      <c r="S4206" s="37">
        <v>5.5163000000000002</v>
      </c>
    </row>
    <row r="4207" spans="15:19" ht="15" x14ac:dyDescent="0.25">
      <c r="O4207"/>
      <c r="P4207"/>
      <c r="R4207" s="39">
        <v>39482</v>
      </c>
      <c r="S4207" s="37">
        <v>5.5129000000000001</v>
      </c>
    </row>
    <row r="4208" spans="15:19" ht="15" x14ac:dyDescent="0.25">
      <c r="O4208"/>
      <c r="P4208"/>
      <c r="R4208" s="39">
        <v>39479</v>
      </c>
      <c r="S4208" s="37">
        <v>5.5164</v>
      </c>
    </row>
    <row r="4209" spans="15:19" ht="15" x14ac:dyDescent="0.25">
      <c r="O4209"/>
      <c r="P4209"/>
      <c r="R4209" s="39">
        <v>39478</v>
      </c>
      <c r="S4209" s="37">
        <v>5.5156000000000001</v>
      </c>
    </row>
    <row r="4210" spans="15:19" ht="15" x14ac:dyDescent="0.25">
      <c r="O4210"/>
      <c r="P4210"/>
      <c r="R4210" s="39">
        <v>39477</v>
      </c>
      <c r="S4210" s="37">
        <v>5.492</v>
      </c>
    </row>
    <row r="4211" spans="15:19" ht="15" x14ac:dyDescent="0.25">
      <c r="O4211"/>
      <c r="P4211"/>
      <c r="R4211" s="39">
        <v>39476</v>
      </c>
      <c r="S4211" s="37">
        <v>5.5048000000000004</v>
      </c>
    </row>
    <row r="4212" spans="15:19" ht="15" x14ac:dyDescent="0.25">
      <c r="O4212"/>
      <c r="P4212"/>
      <c r="R4212" s="39">
        <v>39475</v>
      </c>
      <c r="S4212" s="37">
        <v>5.4992000000000001</v>
      </c>
    </row>
    <row r="4213" spans="15:19" ht="15" x14ac:dyDescent="0.25">
      <c r="O4213"/>
      <c r="P4213"/>
      <c r="R4213" s="39">
        <v>39472</v>
      </c>
      <c r="S4213" s="37">
        <v>5.4814999999999996</v>
      </c>
    </row>
    <row r="4214" spans="15:19" ht="15" x14ac:dyDescent="0.25">
      <c r="O4214"/>
      <c r="P4214"/>
      <c r="R4214" s="39">
        <v>39471</v>
      </c>
      <c r="S4214" s="37">
        <v>5.4687999999999999</v>
      </c>
    </row>
    <row r="4215" spans="15:19" ht="15" x14ac:dyDescent="0.25">
      <c r="O4215"/>
      <c r="P4215"/>
      <c r="R4215" s="39">
        <v>39470</v>
      </c>
      <c r="S4215" s="37">
        <v>5.48</v>
      </c>
    </row>
    <row r="4216" spans="15:19" ht="15" x14ac:dyDescent="0.25">
      <c r="O4216"/>
      <c r="P4216"/>
      <c r="R4216" s="39">
        <v>39469</v>
      </c>
      <c r="S4216" s="37">
        <v>5.4817</v>
      </c>
    </row>
    <row r="4217" spans="15:19" ht="15" x14ac:dyDescent="0.25">
      <c r="O4217"/>
      <c r="P4217"/>
      <c r="R4217" s="39">
        <v>39468</v>
      </c>
      <c r="S4217" s="37">
        <v>5.5054999999999996</v>
      </c>
    </row>
    <row r="4218" spans="15:19" ht="15" x14ac:dyDescent="0.25">
      <c r="O4218"/>
      <c r="P4218"/>
      <c r="R4218" s="39">
        <v>39465</v>
      </c>
      <c r="S4218" s="37">
        <v>5.5023999999999997</v>
      </c>
    </row>
    <row r="4219" spans="15:19" ht="15" x14ac:dyDescent="0.25">
      <c r="O4219"/>
      <c r="P4219"/>
      <c r="R4219" s="39">
        <v>39464</v>
      </c>
      <c r="S4219" s="37">
        <v>5.5042</v>
      </c>
    </row>
    <row r="4220" spans="15:19" ht="15" x14ac:dyDescent="0.25">
      <c r="O4220"/>
      <c r="P4220"/>
      <c r="R4220" s="39">
        <v>39463</v>
      </c>
      <c r="S4220" s="37">
        <v>5.5111999999999997</v>
      </c>
    </row>
    <row r="4221" spans="15:19" ht="15" x14ac:dyDescent="0.25">
      <c r="O4221"/>
      <c r="P4221"/>
      <c r="R4221" s="39">
        <v>39462</v>
      </c>
      <c r="S4221" s="37">
        <v>5.5247000000000002</v>
      </c>
    </row>
    <row r="4222" spans="15:19" ht="15" x14ac:dyDescent="0.25">
      <c r="O4222"/>
      <c r="P4222"/>
      <c r="R4222" s="39">
        <v>39461</v>
      </c>
      <c r="S4222" s="37">
        <v>5.5270999999999999</v>
      </c>
    </row>
    <row r="4223" spans="15:19" ht="15" x14ac:dyDescent="0.25">
      <c r="O4223"/>
      <c r="P4223"/>
      <c r="R4223" s="39">
        <v>39458</v>
      </c>
      <c r="S4223" s="37">
        <v>5.5429000000000004</v>
      </c>
    </row>
    <row r="4224" spans="15:19" ht="15" x14ac:dyDescent="0.25">
      <c r="O4224"/>
      <c r="P4224"/>
      <c r="R4224" s="39">
        <v>39457</v>
      </c>
      <c r="S4224" s="37">
        <v>5.46</v>
      </c>
    </row>
    <row r="4225" spans="15:19" ht="15" x14ac:dyDescent="0.25">
      <c r="O4225"/>
      <c r="P4225"/>
      <c r="R4225" s="39">
        <v>39456</v>
      </c>
      <c r="S4225" s="37">
        <v>5.4583000000000004</v>
      </c>
    </row>
    <row r="4226" spans="15:19" ht="15" x14ac:dyDescent="0.25">
      <c r="O4226"/>
      <c r="P4226"/>
      <c r="R4226" s="39">
        <v>39455</v>
      </c>
      <c r="S4226" s="37">
        <v>5.5103</v>
      </c>
    </row>
    <row r="4227" spans="15:19" ht="15" x14ac:dyDescent="0.25">
      <c r="O4227"/>
      <c r="P4227"/>
      <c r="R4227" s="39">
        <v>39454</v>
      </c>
      <c r="S4227" s="37">
        <v>5.5345000000000004</v>
      </c>
    </row>
    <row r="4228" spans="15:19" ht="15" x14ac:dyDescent="0.25">
      <c r="O4228"/>
      <c r="P4228"/>
      <c r="R4228" s="39">
        <v>39451</v>
      </c>
      <c r="S4228" s="37">
        <v>5.5423</v>
      </c>
    </row>
    <row r="4229" spans="15:19" ht="15" x14ac:dyDescent="0.25">
      <c r="O4229"/>
      <c r="P4229"/>
      <c r="R4229" s="39">
        <v>39450</v>
      </c>
      <c r="S4229" s="37">
        <v>5.5262000000000002</v>
      </c>
    </row>
    <row r="4230" spans="15:19" ht="15" x14ac:dyDescent="0.25">
      <c r="O4230"/>
      <c r="P4230"/>
      <c r="R4230" s="39">
        <v>39449</v>
      </c>
      <c r="S4230" s="37">
        <v>5.5350000000000001</v>
      </c>
    </row>
    <row r="4231" spans="15:19" ht="15" x14ac:dyDescent="0.25">
      <c r="O4231"/>
      <c r="P4231"/>
      <c r="R4231" s="39">
        <v>39447</v>
      </c>
      <c r="S4231" s="37">
        <v>5.7798999999999996</v>
      </c>
    </row>
    <row r="4232" spans="15:19" ht="15" x14ac:dyDescent="0.25">
      <c r="O4232"/>
      <c r="P4232"/>
      <c r="R4232" s="39">
        <v>39444</v>
      </c>
      <c r="S4232" s="37">
        <v>5.3445999999999998</v>
      </c>
    </row>
    <row r="4233" spans="15:19" ht="15" x14ac:dyDescent="0.25">
      <c r="O4233"/>
      <c r="P4233"/>
      <c r="R4233" s="39">
        <v>39443</v>
      </c>
      <c r="S4233" s="37">
        <v>5.4048999999999996</v>
      </c>
    </row>
    <row r="4234" spans="15:19" ht="15" x14ac:dyDescent="0.25">
      <c r="O4234"/>
      <c r="P4234"/>
      <c r="R4234" s="39">
        <v>39440</v>
      </c>
      <c r="S4234" s="37">
        <v>5.4740000000000002</v>
      </c>
    </row>
    <row r="4235" spans="15:19" ht="15" x14ac:dyDescent="0.25">
      <c r="O4235"/>
      <c r="P4235"/>
      <c r="R4235" s="39">
        <v>39437</v>
      </c>
      <c r="S4235" s="37">
        <v>5.5016999999999996</v>
      </c>
    </row>
    <row r="4236" spans="15:19" ht="15" x14ac:dyDescent="0.25">
      <c r="O4236"/>
      <c r="P4236"/>
      <c r="R4236" s="39">
        <v>39436</v>
      </c>
      <c r="S4236" s="37">
        <v>5.5179</v>
      </c>
    </row>
    <row r="4237" spans="15:19" ht="15" x14ac:dyDescent="0.25">
      <c r="O4237"/>
      <c r="P4237"/>
      <c r="R4237" s="39">
        <v>39435</v>
      </c>
      <c r="S4237" s="37">
        <v>5.5317999999999996</v>
      </c>
    </row>
    <row r="4238" spans="15:19" ht="15" x14ac:dyDescent="0.25">
      <c r="O4238"/>
      <c r="P4238"/>
      <c r="R4238" s="39">
        <v>39434</v>
      </c>
      <c r="S4238" s="37">
        <v>5.5475000000000003</v>
      </c>
    </row>
    <row r="4239" spans="15:19" ht="15" x14ac:dyDescent="0.25">
      <c r="O4239"/>
      <c r="P4239"/>
      <c r="R4239" s="39">
        <v>39433</v>
      </c>
      <c r="S4239" s="37">
        <v>5.5561999999999996</v>
      </c>
    </row>
    <row r="4240" spans="15:19" ht="15" x14ac:dyDescent="0.25">
      <c r="O4240"/>
      <c r="P4240"/>
      <c r="R4240" s="39">
        <v>39430</v>
      </c>
      <c r="S4240" s="37">
        <v>5.5473999999999997</v>
      </c>
    </row>
    <row r="4241" spans="15:19" ht="15" x14ac:dyDescent="0.25">
      <c r="O4241"/>
      <c r="P4241"/>
      <c r="R4241" s="39">
        <v>39429</v>
      </c>
      <c r="S4241" s="37">
        <v>5.5590999999999999</v>
      </c>
    </row>
    <row r="4242" spans="15:19" ht="15" x14ac:dyDescent="0.25">
      <c r="O4242"/>
      <c r="P4242"/>
      <c r="R4242" s="39">
        <v>39428</v>
      </c>
      <c r="S4242" s="37">
        <v>5.6060999999999996</v>
      </c>
    </row>
    <row r="4243" spans="15:19" ht="15" x14ac:dyDescent="0.25">
      <c r="O4243"/>
      <c r="P4243"/>
      <c r="R4243" s="39">
        <v>39427</v>
      </c>
      <c r="S4243" s="37">
        <v>5.6357999999999997</v>
      </c>
    </row>
    <row r="4244" spans="15:19" ht="15" x14ac:dyDescent="0.25">
      <c r="O4244"/>
      <c r="P4244"/>
      <c r="R4244" s="39">
        <v>39426</v>
      </c>
      <c r="S4244" s="37">
        <v>5.6300999999999997</v>
      </c>
    </row>
    <row r="4245" spans="15:19" ht="15" x14ac:dyDescent="0.25">
      <c r="O4245"/>
      <c r="P4245"/>
      <c r="R4245" s="39">
        <v>39423</v>
      </c>
      <c r="S4245" s="37">
        <v>5.6336000000000004</v>
      </c>
    </row>
    <row r="4246" spans="15:19" ht="15" x14ac:dyDescent="0.25">
      <c r="O4246"/>
      <c r="P4246"/>
      <c r="R4246" s="39">
        <v>39422</v>
      </c>
      <c r="S4246" s="37">
        <v>5.6702000000000004</v>
      </c>
    </row>
    <row r="4247" spans="15:19" ht="15" x14ac:dyDescent="0.25">
      <c r="O4247"/>
      <c r="P4247"/>
      <c r="R4247" s="39">
        <v>39421</v>
      </c>
      <c r="S4247" s="37">
        <v>5.7842000000000002</v>
      </c>
    </row>
    <row r="4248" spans="15:19" ht="15" x14ac:dyDescent="0.25">
      <c r="O4248"/>
      <c r="P4248"/>
      <c r="R4248" s="39">
        <v>39420</v>
      </c>
      <c r="S4248" s="37">
        <v>5.7949000000000002</v>
      </c>
    </row>
    <row r="4249" spans="15:19" ht="15" x14ac:dyDescent="0.25">
      <c r="O4249"/>
      <c r="P4249"/>
      <c r="R4249" s="39">
        <v>39419</v>
      </c>
      <c r="S4249" s="37">
        <v>5.8117999999999999</v>
      </c>
    </row>
    <row r="4250" spans="15:19" ht="15" x14ac:dyDescent="0.25">
      <c r="O4250"/>
      <c r="P4250"/>
      <c r="R4250" s="39">
        <v>39416</v>
      </c>
      <c r="S4250" s="37">
        <v>5.8799000000000001</v>
      </c>
    </row>
    <row r="4251" spans="15:19" ht="15" x14ac:dyDescent="0.25">
      <c r="O4251"/>
      <c r="P4251"/>
      <c r="R4251" s="39">
        <v>39415</v>
      </c>
      <c r="S4251" s="37">
        <v>5.7910000000000004</v>
      </c>
    </row>
    <row r="4252" spans="15:19" ht="15" x14ac:dyDescent="0.25">
      <c r="O4252"/>
      <c r="P4252"/>
      <c r="R4252" s="39">
        <v>39414</v>
      </c>
      <c r="S4252" s="37">
        <v>5.7840999999999996</v>
      </c>
    </row>
    <row r="4253" spans="15:19" ht="15" x14ac:dyDescent="0.25">
      <c r="O4253"/>
      <c r="P4253"/>
      <c r="R4253" s="39">
        <v>39413</v>
      </c>
      <c r="S4253" s="37">
        <v>5.7793999999999999</v>
      </c>
    </row>
    <row r="4254" spans="15:19" ht="15" x14ac:dyDescent="0.25">
      <c r="O4254"/>
      <c r="P4254"/>
      <c r="R4254" s="39">
        <v>39412</v>
      </c>
      <c r="S4254" s="37">
        <v>5.7858999999999998</v>
      </c>
    </row>
    <row r="4255" spans="15:19" ht="15" x14ac:dyDescent="0.25">
      <c r="O4255"/>
      <c r="P4255"/>
      <c r="R4255" s="39">
        <v>39409</v>
      </c>
      <c r="S4255" s="37">
        <v>5.7720000000000002</v>
      </c>
    </row>
    <row r="4256" spans="15:19" ht="15" x14ac:dyDescent="0.25">
      <c r="O4256"/>
      <c r="P4256"/>
      <c r="R4256" s="39">
        <v>39408</v>
      </c>
      <c r="S4256" s="37">
        <v>5.7801999999999998</v>
      </c>
    </row>
    <row r="4257" spans="15:19" ht="15" x14ac:dyDescent="0.25">
      <c r="O4257"/>
      <c r="P4257"/>
      <c r="R4257" s="39">
        <v>39407</v>
      </c>
      <c r="S4257" s="37">
        <v>5.7798999999999996</v>
      </c>
    </row>
    <row r="4258" spans="15:19" ht="15" x14ac:dyDescent="0.25">
      <c r="O4258"/>
      <c r="P4258"/>
      <c r="R4258" s="39">
        <v>39406</v>
      </c>
      <c r="S4258" s="37">
        <v>5.835</v>
      </c>
    </row>
    <row r="4259" spans="15:19" ht="15" x14ac:dyDescent="0.25">
      <c r="O4259"/>
      <c r="P4259"/>
      <c r="R4259" s="39">
        <v>39405</v>
      </c>
      <c r="S4259" s="37">
        <v>5.8575999999999997</v>
      </c>
    </row>
    <row r="4260" spans="15:19" ht="15" x14ac:dyDescent="0.25">
      <c r="O4260"/>
      <c r="P4260"/>
      <c r="R4260" s="39">
        <v>39402</v>
      </c>
      <c r="S4260" s="37">
        <v>5.8273999999999999</v>
      </c>
    </row>
    <row r="4261" spans="15:19" ht="15" x14ac:dyDescent="0.25">
      <c r="O4261"/>
      <c r="P4261"/>
      <c r="R4261" s="39">
        <v>39401</v>
      </c>
      <c r="S4261" s="37">
        <v>5.8028000000000004</v>
      </c>
    </row>
    <row r="4262" spans="15:19" ht="15" x14ac:dyDescent="0.25">
      <c r="O4262"/>
      <c r="P4262"/>
      <c r="R4262" s="39">
        <v>39400</v>
      </c>
      <c r="S4262" s="37">
        <v>5.7995999999999999</v>
      </c>
    </row>
    <row r="4263" spans="15:19" ht="15" x14ac:dyDescent="0.25">
      <c r="O4263"/>
      <c r="P4263"/>
      <c r="R4263" s="39">
        <v>39399</v>
      </c>
      <c r="S4263" s="37">
        <v>5.7817999999999996</v>
      </c>
    </row>
    <row r="4264" spans="15:19" ht="15" x14ac:dyDescent="0.25">
      <c r="O4264"/>
      <c r="P4264"/>
      <c r="R4264" s="39">
        <v>39398</v>
      </c>
      <c r="S4264" s="37">
        <v>5.7759999999999998</v>
      </c>
    </row>
    <row r="4265" spans="15:19" ht="15" x14ac:dyDescent="0.25">
      <c r="O4265"/>
      <c r="P4265"/>
      <c r="R4265" s="39">
        <v>39395</v>
      </c>
      <c r="S4265" s="37">
        <v>5.774</v>
      </c>
    </row>
    <row r="4266" spans="15:19" ht="15" x14ac:dyDescent="0.25">
      <c r="O4266"/>
      <c r="P4266"/>
      <c r="R4266" s="39">
        <v>39394</v>
      </c>
      <c r="S4266" s="37">
        <v>5.7633999999999999</v>
      </c>
    </row>
    <row r="4267" spans="15:19" ht="15" x14ac:dyDescent="0.25">
      <c r="O4267"/>
      <c r="P4267"/>
      <c r="R4267" s="39">
        <v>39393</v>
      </c>
      <c r="S4267" s="37">
        <v>5.7591999999999999</v>
      </c>
    </row>
    <row r="4268" spans="15:19" ht="15" x14ac:dyDescent="0.25">
      <c r="O4268"/>
      <c r="P4268"/>
      <c r="R4268" s="39">
        <v>39392</v>
      </c>
      <c r="S4268" s="37">
        <v>5.7606999999999999</v>
      </c>
    </row>
    <row r="4269" spans="15:19" ht="15" x14ac:dyDescent="0.25">
      <c r="O4269"/>
      <c r="P4269"/>
      <c r="R4269" s="39">
        <v>39391</v>
      </c>
      <c r="S4269" s="37">
        <v>5.7625999999999999</v>
      </c>
    </row>
    <row r="4270" spans="15:19" ht="15" x14ac:dyDescent="0.25">
      <c r="O4270"/>
      <c r="P4270"/>
      <c r="R4270" s="39">
        <v>39388</v>
      </c>
      <c r="S4270" s="37">
        <v>5.7542</v>
      </c>
    </row>
    <row r="4271" spans="15:19" ht="15" x14ac:dyDescent="0.25">
      <c r="O4271"/>
      <c r="P4271"/>
      <c r="R4271" s="39">
        <v>39387</v>
      </c>
      <c r="S4271" s="37">
        <v>5.7560000000000002</v>
      </c>
    </row>
    <row r="4272" spans="15:19" ht="15" x14ac:dyDescent="0.25">
      <c r="O4272"/>
      <c r="P4272"/>
      <c r="R4272" s="39">
        <v>39386</v>
      </c>
      <c r="S4272" s="37">
        <v>5.8079000000000001</v>
      </c>
    </row>
    <row r="4273" spans="15:19" ht="15" x14ac:dyDescent="0.25">
      <c r="O4273"/>
      <c r="P4273"/>
      <c r="R4273" s="39">
        <v>39385</v>
      </c>
      <c r="S4273" s="37">
        <v>5.7683999999999997</v>
      </c>
    </row>
    <row r="4274" spans="15:19" ht="15" x14ac:dyDescent="0.25">
      <c r="O4274"/>
      <c r="P4274"/>
      <c r="R4274" s="39">
        <v>39384</v>
      </c>
      <c r="S4274" s="37">
        <v>5.7579000000000002</v>
      </c>
    </row>
    <row r="4275" spans="15:19" ht="15" x14ac:dyDescent="0.25">
      <c r="O4275"/>
      <c r="P4275"/>
      <c r="R4275" s="39">
        <v>39381</v>
      </c>
      <c r="S4275" s="37">
        <v>5.7514000000000003</v>
      </c>
    </row>
    <row r="4276" spans="15:19" ht="15" x14ac:dyDescent="0.25">
      <c r="O4276"/>
      <c r="P4276"/>
      <c r="R4276" s="39">
        <v>39380</v>
      </c>
      <c r="S4276" s="37">
        <v>5.7442000000000002</v>
      </c>
    </row>
    <row r="4277" spans="15:19" ht="15" x14ac:dyDescent="0.25">
      <c r="O4277"/>
      <c r="P4277"/>
      <c r="R4277" s="39">
        <v>39379</v>
      </c>
      <c r="S4277" s="37">
        <v>5.7507000000000001</v>
      </c>
    </row>
    <row r="4278" spans="15:19" ht="15" x14ac:dyDescent="0.25">
      <c r="O4278"/>
      <c r="P4278"/>
      <c r="R4278" s="39">
        <v>39378</v>
      </c>
      <c r="S4278" s="37">
        <v>5.7641</v>
      </c>
    </row>
    <row r="4279" spans="15:19" ht="15" x14ac:dyDescent="0.25">
      <c r="O4279"/>
      <c r="P4279"/>
      <c r="R4279" s="39">
        <v>39377</v>
      </c>
      <c r="S4279" s="37">
        <v>5.7675999999999998</v>
      </c>
    </row>
    <row r="4280" spans="15:19" ht="15" x14ac:dyDescent="0.25">
      <c r="O4280"/>
      <c r="P4280"/>
      <c r="R4280" s="39">
        <v>39374</v>
      </c>
      <c r="S4280" s="37">
        <v>5.7739000000000003</v>
      </c>
    </row>
    <row r="4281" spans="15:19" ht="15" x14ac:dyDescent="0.25">
      <c r="O4281"/>
      <c r="P4281"/>
      <c r="R4281" s="39">
        <v>39373</v>
      </c>
      <c r="S4281" s="37">
        <v>5.7813999999999997</v>
      </c>
    </row>
    <row r="4282" spans="15:19" ht="15" x14ac:dyDescent="0.25">
      <c r="O4282"/>
      <c r="P4282"/>
      <c r="R4282" s="39">
        <v>39372</v>
      </c>
      <c r="S4282" s="37">
        <v>5.7828999999999997</v>
      </c>
    </row>
    <row r="4283" spans="15:19" ht="15" x14ac:dyDescent="0.25">
      <c r="O4283"/>
      <c r="P4283"/>
      <c r="R4283" s="39">
        <v>39371</v>
      </c>
      <c r="S4283" s="37">
        <v>5.7851999999999997</v>
      </c>
    </row>
    <row r="4284" spans="15:19" ht="15" x14ac:dyDescent="0.25">
      <c r="O4284"/>
      <c r="P4284"/>
      <c r="R4284" s="39">
        <v>39370</v>
      </c>
      <c r="S4284" s="37">
        <v>5.7968999999999999</v>
      </c>
    </row>
    <row r="4285" spans="15:19" ht="15" x14ac:dyDescent="0.25">
      <c r="O4285"/>
      <c r="P4285"/>
      <c r="R4285" s="39">
        <v>39367</v>
      </c>
      <c r="S4285" s="37">
        <v>5.8095999999999997</v>
      </c>
    </row>
    <row r="4286" spans="15:19" ht="15" x14ac:dyDescent="0.25">
      <c r="O4286"/>
      <c r="P4286"/>
      <c r="R4286" s="39">
        <v>39366</v>
      </c>
      <c r="S4286" s="37">
        <v>5.7911999999999999</v>
      </c>
    </row>
    <row r="4287" spans="15:19" ht="15" x14ac:dyDescent="0.25">
      <c r="O4287"/>
      <c r="P4287"/>
      <c r="R4287" s="39">
        <v>39365</v>
      </c>
      <c r="S4287" s="37">
        <v>5.8026</v>
      </c>
    </row>
    <row r="4288" spans="15:19" ht="15" x14ac:dyDescent="0.25">
      <c r="O4288"/>
      <c r="P4288"/>
      <c r="R4288" s="39">
        <v>39364</v>
      </c>
      <c r="S4288" s="37">
        <v>5.8049999999999997</v>
      </c>
    </row>
    <row r="4289" spans="15:19" ht="15" x14ac:dyDescent="0.25">
      <c r="O4289"/>
      <c r="P4289"/>
      <c r="R4289" s="39">
        <v>39363</v>
      </c>
      <c r="S4289" s="37">
        <v>5.7965999999999998</v>
      </c>
    </row>
    <row r="4290" spans="15:19" ht="15" x14ac:dyDescent="0.25">
      <c r="O4290"/>
      <c r="P4290"/>
      <c r="R4290" s="39">
        <v>39360</v>
      </c>
      <c r="S4290" s="37">
        <v>5.7750000000000004</v>
      </c>
    </row>
    <row r="4291" spans="15:19" ht="15" x14ac:dyDescent="0.25">
      <c r="O4291"/>
      <c r="P4291"/>
      <c r="R4291" s="39">
        <v>39359</v>
      </c>
      <c r="S4291" s="37">
        <v>5.7603999999999997</v>
      </c>
    </row>
    <row r="4292" spans="15:19" ht="15" x14ac:dyDescent="0.25">
      <c r="O4292"/>
      <c r="P4292"/>
      <c r="R4292" s="39">
        <v>39358</v>
      </c>
      <c r="S4292" s="37">
        <v>5.7446999999999999</v>
      </c>
    </row>
    <row r="4293" spans="15:19" ht="15" x14ac:dyDescent="0.25">
      <c r="O4293"/>
      <c r="P4293"/>
      <c r="R4293" s="39">
        <v>39357</v>
      </c>
      <c r="S4293" s="37">
        <v>5.7603999999999997</v>
      </c>
    </row>
    <row r="4294" spans="15:19" ht="15" x14ac:dyDescent="0.25">
      <c r="O4294"/>
      <c r="P4294"/>
      <c r="R4294" s="39">
        <v>39356</v>
      </c>
      <c r="S4294" s="37">
        <v>5.7481999999999998</v>
      </c>
    </row>
    <row r="4295" spans="15:19" ht="15" x14ac:dyDescent="0.25">
      <c r="O4295"/>
      <c r="P4295"/>
      <c r="R4295" s="39">
        <v>39353</v>
      </c>
      <c r="S4295" s="37">
        <v>5.9287999999999998</v>
      </c>
    </row>
    <row r="4296" spans="15:19" ht="15" x14ac:dyDescent="0.25">
      <c r="O4296"/>
      <c r="P4296"/>
      <c r="R4296" s="39">
        <v>39352</v>
      </c>
      <c r="S4296" s="37">
        <v>5.7199</v>
      </c>
    </row>
    <row r="4297" spans="15:19" ht="15" x14ac:dyDescent="0.25">
      <c r="O4297"/>
      <c r="P4297"/>
      <c r="R4297" s="39">
        <v>39351</v>
      </c>
      <c r="S4297" s="37">
        <v>5.5804999999999998</v>
      </c>
    </row>
    <row r="4298" spans="15:19" ht="15" x14ac:dyDescent="0.25">
      <c r="O4298"/>
      <c r="P4298"/>
      <c r="R4298" s="39">
        <v>39350</v>
      </c>
      <c r="S4298" s="37">
        <v>5.6174999999999997</v>
      </c>
    </row>
    <row r="4299" spans="15:19" ht="15" x14ac:dyDescent="0.25">
      <c r="O4299"/>
      <c r="P4299"/>
      <c r="R4299" s="39">
        <v>39349</v>
      </c>
      <c r="S4299" s="37">
        <v>5.6790000000000003</v>
      </c>
    </row>
    <row r="4300" spans="15:19" ht="15" x14ac:dyDescent="0.25">
      <c r="O4300"/>
      <c r="P4300"/>
      <c r="R4300" s="39">
        <v>39346</v>
      </c>
      <c r="S4300" s="37">
        <v>5.6780999999999997</v>
      </c>
    </row>
    <row r="4301" spans="15:19" ht="15" x14ac:dyDescent="0.25">
      <c r="O4301"/>
      <c r="P4301"/>
      <c r="R4301" s="39">
        <v>39345</v>
      </c>
      <c r="S4301" s="37">
        <v>5.7316000000000003</v>
      </c>
    </row>
    <row r="4302" spans="15:19" ht="15" x14ac:dyDescent="0.25">
      <c r="O4302"/>
      <c r="P4302"/>
      <c r="R4302" s="39">
        <v>39344</v>
      </c>
      <c r="S4302" s="37">
        <v>5.8017000000000003</v>
      </c>
    </row>
    <row r="4303" spans="15:19" ht="15" x14ac:dyDescent="0.25">
      <c r="O4303"/>
      <c r="P4303"/>
      <c r="R4303" s="39">
        <v>39343</v>
      </c>
      <c r="S4303" s="37">
        <v>5.9640000000000004</v>
      </c>
    </row>
    <row r="4304" spans="15:19" ht="15" x14ac:dyDescent="0.25">
      <c r="O4304"/>
      <c r="P4304"/>
      <c r="R4304" s="39">
        <v>39342</v>
      </c>
      <c r="S4304" s="37">
        <v>6.1414</v>
      </c>
    </row>
    <row r="4305" spans="15:19" ht="15" x14ac:dyDescent="0.25">
      <c r="O4305"/>
      <c r="P4305"/>
      <c r="R4305" s="39">
        <v>39339</v>
      </c>
      <c r="S4305" s="37">
        <v>5.8318000000000003</v>
      </c>
    </row>
    <row r="4306" spans="15:19" ht="15" x14ac:dyDescent="0.25">
      <c r="O4306"/>
      <c r="P4306"/>
      <c r="R4306" s="39">
        <v>39338</v>
      </c>
      <c r="S4306" s="37">
        <v>5.7897999999999996</v>
      </c>
    </row>
    <row r="4307" spans="15:19" ht="15" x14ac:dyDescent="0.25">
      <c r="O4307"/>
      <c r="P4307"/>
      <c r="R4307" s="39">
        <v>39337</v>
      </c>
      <c r="S4307" s="37">
        <v>5.8166000000000002</v>
      </c>
    </row>
    <row r="4308" spans="15:19" ht="15" x14ac:dyDescent="0.25">
      <c r="O4308"/>
      <c r="P4308"/>
      <c r="R4308" s="39">
        <v>39336</v>
      </c>
      <c r="S4308" s="37">
        <v>5.8189000000000002</v>
      </c>
    </row>
    <row r="4309" spans="15:19" ht="15" x14ac:dyDescent="0.25">
      <c r="O4309"/>
      <c r="P4309"/>
      <c r="R4309" s="39">
        <v>39335</v>
      </c>
      <c r="S4309" s="37">
        <v>5.8251999999999997</v>
      </c>
    </row>
    <row r="4310" spans="15:19" ht="15" x14ac:dyDescent="0.25">
      <c r="O4310"/>
      <c r="P4310"/>
      <c r="R4310" s="39">
        <v>39332</v>
      </c>
      <c r="S4310" s="37">
        <v>5.8400999999999996</v>
      </c>
    </row>
    <row r="4311" spans="15:19" ht="15" x14ac:dyDescent="0.25">
      <c r="O4311"/>
      <c r="P4311"/>
      <c r="R4311" s="39">
        <v>39331</v>
      </c>
      <c r="S4311" s="37">
        <v>5.8219000000000003</v>
      </c>
    </row>
    <row r="4312" spans="15:19" ht="15" x14ac:dyDescent="0.25">
      <c r="O4312"/>
      <c r="P4312"/>
      <c r="R4312" s="39">
        <v>39330</v>
      </c>
      <c r="S4312" s="37">
        <v>5.8006000000000002</v>
      </c>
    </row>
    <row r="4313" spans="15:19" ht="15" x14ac:dyDescent="0.25">
      <c r="O4313"/>
      <c r="P4313"/>
      <c r="R4313" s="39">
        <v>39329</v>
      </c>
      <c r="S4313" s="37">
        <v>5.9912999999999998</v>
      </c>
    </row>
    <row r="4314" spans="15:19" ht="15" x14ac:dyDescent="0.25">
      <c r="O4314"/>
      <c r="P4314"/>
      <c r="R4314" s="39">
        <v>39328</v>
      </c>
      <c r="S4314" s="37">
        <v>6.1140999999999996</v>
      </c>
    </row>
    <row r="4315" spans="15:19" ht="15" x14ac:dyDescent="0.25">
      <c r="O4315"/>
      <c r="P4315"/>
      <c r="R4315" s="39">
        <v>39325</v>
      </c>
      <c r="S4315" s="37">
        <v>6.1242000000000001</v>
      </c>
    </row>
    <row r="4316" spans="15:19" ht="15" x14ac:dyDescent="0.25">
      <c r="O4316"/>
      <c r="P4316"/>
      <c r="R4316" s="39">
        <v>39324</v>
      </c>
      <c r="S4316" s="37">
        <v>5.9432</v>
      </c>
    </row>
    <row r="4317" spans="15:19" ht="15" x14ac:dyDescent="0.25">
      <c r="O4317"/>
      <c r="P4317"/>
      <c r="R4317" s="39">
        <v>39323</v>
      </c>
      <c r="S4317" s="37">
        <v>5.8174999999999999</v>
      </c>
    </row>
    <row r="4318" spans="15:19" ht="15" x14ac:dyDescent="0.25">
      <c r="O4318"/>
      <c r="P4318"/>
      <c r="R4318" s="39">
        <v>39322</v>
      </c>
      <c r="S4318" s="37">
        <v>5.8068</v>
      </c>
    </row>
    <row r="4319" spans="15:19" ht="15" x14ac:dyDescent="0.25">
      <c r="O4319"/>
      <c r="P4319"/>
      <c r="R4319" s="39">
        <v>39318</v>
      </c>
      <c r="S4319" s="37">
        <v>5.8140000000000001</v>
      </c>
    </row>
    <row r="4320" spans="15:19" ht="15" x14ac:dyDescent="0.25">
      <c r="O4320"/>
      <c r="P4320"/>
      <c r="R4320" s="39">
        <v>39317</v>
      </c>
      <c r="S4320" s="37">
        <v>5.8056999999999999</v>
      </c>
    </row>
    <row r="4321" spans="15:19" ht="15" x14ac:dyDescent="0.25">
      <c r="O4321"/>
      <c r="P4321"/>
      <c r="R4321" s="39">
        <v>39316</v>
      </c>
      <c r="S4321" s="37">
        <v>5.8129</v>
      </c>
    </row>
    <row r="4322" spans="15:19" ht="15" x14ac:dyDescent="0.25">
      <c r="O4322"/>
      <c r="P4322"/>
      <c r="R4322" s="39">
        <v>39315</v>
      </c>
      <c r="S4322" s="37">
        <v>5.8318000000000003</v>
      </c>
    </row>
    <row r="4323" spans="15:19" ht="15" x14ac:dyDescent="0.25">
      <c r="O4323"/>
      <c r="P4323"/>
      <c r="R4323" s="39">
        <v>39314</v>
      </c>
      <c r="S4323" s="37">
        <v>5.9292999999999996</v>
      </c>
    </row>
    <row r="4324" spans="15:19" ht="15" x14ac:dyDescent="0.25">
      <c r="O4324"/>
      <c r="P4324"/>
      <c r="R4324" s="39">
        <v>39311</v>
      </c>
      <c r="S4324" s="37">
        <v>5.9935</v>
      </c>
    </row>
    <row r="4325" spans="15:19" ht="15" x14ac:dyDescent="0.25">
      <c r="O4325"/>
      <c r="P4325"/>
      <c r="R4325" s="39">
        <v>39310</v>
      </c>
      <c r="S4325" s="37">
        <v>5.8771000000000004</v>
      </c>
    </row>
    <row r="4326" spans="15:19" ht="15" x14ac:dyDescent="0.25">
      <c r="O4326"/>
      <c r="P4326"/>
      <c r="R4326" s="39">
        <v>39309</v>
      </c>
      <c r="S4326" s="37">
        <v>5.9009</v>
      </c>
    </row>
    <row r="4327" spans="15:19" ht="15" x14ac:dyDescent="0.25">
      <c r="O4327"/>
      <c r="P4327"/>
      <c r="R4327" s="39">
        <v>39308</v>
      </c>
      <c r="S4327" s="37">
        <v>5.9554</v>
      </c>
    </row>
    <row r="4328" spans="15:19" ht="15" x14ac:dyDescent="0.25">
      <c r="O4328"/>
      <c r="P4328"/>
      <c r="R4328" s="39">
        <v>39307</v>
      </c>
      <c r="S4328" s="37">
        <v>6.1851000000000003</v>
      </c>
    </row>
    <row r="4329" spans="15:19" ht="15" x14ac:dyDescent="0.25">
      <c r="O4329"/>
      <c r="P4329"/>
      <c r="R4329" s="39">
        <v>39304</v>
      </c>
      <c r="S4329" s="37">
        <v>6.49</v>
      </c>
    </row>
    <row r="4330" spans="15:19" ht="15" x14ac:dyDescent="0.25">
      <c r="O4330"/>
      <c r="P4330"/>
      <c r="R4330" s="39">
        <v>39303</v>
      </c>
      <c r="S4330" s="37">
        <v>6.0186000000000002</v>
      </c>
    </row>
    <row r="4331" spans="15:19" ht="15" x14ac:dyDescent="0.25">
      <c r="O4331"/>
      <c r="P4331"/>
      <c r="R4331" s="39">
        <v>39302</v>
      </c>
      <c r="S4331" s="37">
        <v>5.8037999999999998</v>
      </c>
    </row>
    <row r="4332" spans="15:19" ht="15" x14ac:dyDescent="0.25">
      <c r="O4332"/>
      <c r="P4332"/>
      <c r="R4332" s="39">
        <v>39301</v>
      </c>
      <c r="S4332" s="37">
        <v>5.8071000000000002</v>
      </c>
    </row>
    <row r="4333" spans="15:19" ht="15" x14ac:dyDescent="0.25">
      <c r="O4333"/>
      <c r="P4333"/>
      <c r="R4333" s="39">
        <v>39300</v>
      </c>
      <c r="S4333" s="37">
        <v>5.8112000000000004</v>
      </c>
    </row>
    <row r="4334" spans="15:19" ht="15" x14ac:dyDescent="0.25">
      <c r="O4334"/>
      <c r="P4334"/>
      <c r="R4334" s="39">
        <v>39297</v>
      </c>
      <c r="S4334" s="37">
        <v>5.8006000000000002</v>
      </c>
    </row>
    <row r="4335" spans="15:19" ht="15" x14ac:dyDescent="0.25">
      <c r="O4335"/>
      <c r="P4335"/>
      <c r="R4335" s="39">
        <v>39296</v>
      </c>
      <c r="S4335" s="37">
        <v>5.7914000000000003</v>
      </c>
    </row>
    <row r="4336" spans="15:19" ht="15" x14ac:dyDescent="0.25">
      <c r="O4336"/>
      <c r="P4336"/>
      <c r="R4336" s="39">
        <v>39295</v>
      </c>
      <c r="S4336" s="37">
        <v>5.7601000000000004</v>
      </c>
    </row>
    <row r="4337" spans="15:19" ht="15" x14ac:dyDescent="0.25">
      <c r="O4337"/>
      <c r="P4337"/>
      <c r="R4337" s="39">
        <v>39294</v>
      </c>
      <c r="S4337" s="37">
        <v>5.7774000000000001</v>
      </c>
    </row>
    <row r="4338" spans="15:19" ht="15" x14ac:dyDescent="0.25">
      <c r="O4338"/>
      <c r="P4338"/>
      <c r="R4338" s="39">
        <v>39293</v>
      </c>
      <c r="S4338" s="37">
        <v>5.7774999999999999</v>
      </c>
    </row>
    <row r="4339" spans="15:19" ht="15" x14ac:dyDescent="0.25">
      <c r="O4339"/>
      <c r="P4339"/>
      <c r="R4339" s="39">
        <v>39290</v>
      </c>
      <c r="S4339" s="37">
        <v>5.7748999999999997</v>
      </c>
    </row>
    <row r="4340" spans="15:19" ht="15" x14ac:dyDescent="0.25">
      <c r="O4340"/>
      <c r="P4340"/>
      <c r="R4340" s="39">
        <v>39289</v>
      </c>
      <c r="S4340" s="37">
        <v>5.7731000000000003</v>
      </c>
    </row>
    <row r="4341" spans="15:19" ht="15" x14ac:dyDescent="0.25">
      <c r="O4341"/>
      <c r="P4341"/>
      <c r="R4341" s="39">
        <v>39288</v>
      </c>
      <c r="S4341" s="37">
        <v>5.7714999999999996</v>
      </c>
    </row>
    <row r="4342" spans="15:19" ht="15" x14ac:dyDescent="0.25">
      <c r="O4342"/>
      <c r="P4342"/>
      <c r="R4342" s="39">
        <v>39287</v>
      </c>
      <c r="S4342" s="37">
        <v>5.7755999999999998</v>
      </c>
    </row>
    <row r="4343" spans="15:19" ht="15" x14ac:dyDescent="0.25">
      <c r="O4343"/>
      <c r="P4343"/>
      <c r="R4343" s="39">
        <v>39286</v>
      </c>
      <c r="S4343" s="37">
        <v>5.7781000000000002</v>
      </c>
    </row>
    <row r="4344" spans="15:19" ht="15" x14ac:dyDescent="0.25">
      <c r="O4344"/>
      <c r="P4344"/>
      <c r="R4344" s="39">
        <v>39283</v>
      </c>
      <c r="S4344" s="37">
        <v>5.7784000000000004</v>
      </c>
    </row>
    <row r="4345" spans="15:19" ht="15" x14ac:dyDescent="0.25">
      <c r="O4345"/>
      <c r="P4345"/>
      <c r="R4345" s="39">
        <v>39282</v>
      </c>
      <c r="S4345" s="37">
        <v>5.7925000000000004</v>
      </c>
    </row>
    <row r="4346" spans="15:19" ht="15" x14ac:dyDescent="0.25">
      <c r="O4346"/>
      <c r="P4346"/>
      <c r="R4346" s="39">
        <v>39281</v>
      </c>
      <c r="S4346" s="37">
        <v>5.7968000000000002</v>
      </c>
    </row>
    <row r="4347" spans="15:19" ht="15" x14ac:dyDescent="0.25">
      <c r="O4347"/>
      <c r="P4347"/>
      <c r="R4347" s="39">
        <v>39280</v>
      </c>
      <c r="S4347" s="37">
        <v>5.7971000000000004</v>
      </c>
    </row>
    <row r="4348" spans="15:19" ht="15" x14ac:dyDescent="0.25">
      <c r="O4348"/>
      <c r="P4348"/>
      <c r="R4348" s="39">
        <v>39279</v>
      </c>
      <c r="S4348" s="37">
        <v>5.8025000000000002</v>
      </c>
    </row>
    <row r="4349" spans="15:19" ht="15" x14ac:dyDescent="0.25">
      <c r="O4349"/>
      <c r="P4349"/>
      <c r="R4349" s="39">
        <v>39276</v>
      </c>
      <c r="S4349" s="37">
        <v>5.8011999999999997</v>
      </c>
    </row>
    <row r="4350" spans="15:19" ht="15" x14ac:dyDescent="0.25">
      <c r="O4350"/>
      <c r="P4350"/>
      <c r="R4350" s="39">
        <v>39275</v>
      </c>
      <c r="S4350" s="37">
        <v>5.8037000000000001</v>
      </c>
    </row>
    <row r="4351" spans="15:19" ht="15" x14ac:dyDescent="0.25">
      <c r="O4351"/>
      <c r="P4351"/>
      <c r="R4351" s="39">
        <v>39274</v>
      </c>
      <c r="S4351" s="37">
        <v>5.8056999999999999</v>
      </c>
    </row>
    <row r="4352" spans="15:19" ht="15" x14ac:dyDescent="0.25">
      <c r="O4352"/>
      <c r="P4352"/>
      <c r="R4352" s="39">
        <v>39273</v>
      </c>
      <c r="S4352" s="37">
        <v>5.8033999999999999</v>
      </c>
    </row>
    <row r="4353" spans="15:19" ht="15" x14ac:dyDescent="0.25">
      <c r="O4353"/>
      <c r="P4353"/>
      <c r="R4353" s="39">
        <v>39272</v>
      </c>
      <c r="S4353" s="37">
        <v>5.8120000000000003</v>
      </c>
    </row>
    <row r="4354" spans="15:19" ht="15" x14ac:dyDescent="0.25">
      <c r="O4354"/>
      <c r="P4354"/>
      <c r="R4354" s="39">
        <v>39269</v>
      </c>
      <c r="S4354" s="37">
        <v>5.8201999999999998</v>
      </c>
    </row>
    <row r="4355" spans="15:19" ht="15" x14ac:dyDescent="0.25">
      <c r="O4355"/>
      <c r="P4355"/>
      <c r="R4355" s="39">
        <v>39268</v>
      </c>
      <c r="S4355" s="37">
        <v>5.8154000000000003</v>
      </c>
    </row>
    <row r="4356" spans="15:19" ht="15" x14ac:dyDescent="0.25">
      <c r="O4356"/>
      <c r="P4356"/>
      <c r="R4356" s="39">
        <v>39267</v>
      </c>
      <c r="S4356" s="37">
        <v>5.6139999999999999</v>
      </c>
    </row>
    <row r="4357" spans="15:19" ht="15" x14ac:dyDescent="0.25">
      <c r="O4357"/>
      <c r="P4357"/>
      <c r="R4357" s="39">
        <v>39266</v>
      </c>
      <c r="S4357" s="37">
        <v>6.4127999999999998</v>
      </c>
    </row>
    <row r="4358" spans="15:19" ht="15" x14ac:dyDescent="0.25">
      <c r="O4358"/>
      <c r="P4358"/>
      <c r="R4358" s="39">
        <v>39265</v>
      </c>
      <c r="S4358" s="37">
        <v>6.4706999999999999</v>
      </c>
    </row>
    <row r="4359" spans="15:19" ht="15" x14ac:dyDescent="0.25">
      <c r="O4359"/>
      <c r="P4359"/>
      <c r="R4359" s="39">
        <v>39262</v>
      </c>
      <c r="S4359" s="37">
        <v>6.4568000000000003</v>
      </c>
    </row>
    <row r="4360" spans="15:19" ht="15" x14ac:dyDescent="0.25">
      <c r="O4360"/>
      <c r="P4360"/>
      <c r="R4360" s="39">
        <v>39261</v>
      </c>
      <c r="S4360" s="37">
        <v>5.9199000000000002</v>
      </c>
    </row>
    <row r="4361" spans="15:19" ht="15" x14ac:dyDescent="0.25">
      <c r="O4361"/>
      <c r="P4361"/>
      <c r="R4361" s="39">
        <v>39260</v>
      </c>
      <c r="S4361" s="37">
        <v>5.5068000000000001</v>
      </c>
    </row>
    <row r="4362" spans="15:19" ht="15" x14ac:dyDescent="0.25">
      <c r="O4362"/>
      <c r="P4362"/>
      <c r="R4362" s="39">
        <v>39259</v>
      </c>
      <c r="S4362" s="37">
        <v>5.5240999999999998</v>
      </c>
    </row>
    <row r="4363" spans="15:19" ht="15" x14ac:dyDescent="0.25">
      <c r="O4363"/>
      <c r="P4363"/>
      <c r="R4363" s="39">
        <v>39258</v>
      </c>
      <c r="S4363" s="37">
        <v>5.5442</v>
      </c>
    </row>
    <row r="4364" spans="15:19" ht="15" x14ac:dyDescent="0.25">
      <c r="O4364"/>
      <c r="P4364"/>
      <c r="R4364" s="39">
        <v>39255</v>
      </c>
      <c r="S4364" s="37">
        <v>5.5431999999999997</v>
      </c>
    </row>
    <row r="4365" spans="15:19" ht="15" x14ac:dyDescent="0.25">
      <c r="O4365"/>
      <c r="P4365"/>
      <c r="R4365" s="39">
        <v>39254</v>
      </c>
      <c r="S4365" s="37">
        <v>5.5442999999999998</v>
      </c>
    </row>
    <row r="4366" spans="15:19" ht="15" x14ac:dyDescent="0.25">
      <c r="O4366"/>
      <c r="P4366"/>
      <c r="R4366" s="39">
        <v>39253</v>
      </c>
      <c r="S4366" s="37">
        <v>5.5438000000000001</v>
      </c>
    </row>
    <row r="4367" spans="15:19" ht="15" x14ac:dyDescent="0.25">
      <c r="O4367"/>
      <c r="P4367"/>
      <c r="R4367" s="39">
        <v>39252</v>
      </c>
      <c r="S4367" s="37">
        <v>5.5534999999999997</v>
      </c>
    </row>
    <row r="4368" spans="15:19" ht="15" x14ac:dyDescent="0.25">
      <c r="O4368"/>
      <c r="P4368"/>
      <c r="R4368" s="39">
        <v>39251</v>
      </c>
      <c r="S4368" s="37">
        <v>5.5580999999999996</v>
      </c>
    </row>
    <row r="4369" spans="15:19" ht="15" x14ac:dyDescent="0.25">
      <c r="O4369"/>
      <c r="P4369"/>
      <c r="R4369" s="39">
        <v>39248</v>
      </c>
      <c r="S4369" s="37">
        <v>5.5567000000000002</v>
      </c>
    </row>
    <row r="4370" spans="15:19" ht="15" x14ac:dyDescent="0.25">
      <c r="O4370"/>
      <c r="P4370"/>
      <c r="R4370" s="39">
        <v>39247</v>
      </c>
      <c r="S4370" s="37">
        <v>5.5568</v>
      </c>
    </row>
    <row r="4371" spans="15:19" ht="15" x14ac:dyDescent="0.25">
      <c r="O4371"/>
      <c r="P4371"/>
      <c r="R4371" s="39">
        <v>39246</v>
      </c>
      <c r="S4371" s="37">
        <v>5.5609999999999999</v>
      </c>
    </row>
    <row r="4372" spans="15:19" ht="15" x14ac:dyDescent="0.25">
      <c r="O4372"/>
      <c r="P4372"/>
      <c r="R4372" s="39">
        <v>39245</v>
      </c>
      <c r="S4372" s="37">
        <v>5.5685000000000002</v>
      </c>
    </row>
    <row r="4373" spans="15:19" ht="15" x14ac:dyDescent="0.25">
      <c r="O4373"/>
      <c r="P4373"/>
      <c r="R4373" s="39">
        <v>39244</v>
      </c>
      <c r="S4373" s="37">
        <v>5.5740999999999996</v>
      </c>
    </row>
    <row r="4374" spans="15:19" ht="15" x14ac:dyDescent="0.25">
      <c r="O4374"/>
      <c r="P4374"/>
      <c r="R4374" s="39">
        <v>39241</v>
      </c>
      <c r="S4374" s="37">
        <v>5.5742000000000003</v>
      </c>
    </row>
    <row r="4375" spans="15:19" ht="15" x14ac:dyDescent="0.25">
      <c r="O4375"/>
      <c r="P4375"/>
      <c r="R4375" s="39">
        <v>39240</v>
      </c>
      <c r="S4375" s="37">
        <v>5.5846999999999998</v>
      </c>
    </row>
    <row r="4376" spans="15:19" ht="15" x14ac:dyDescent="0.25">
      <c r="O4376"/>
      <c r="P4376"/>
      <c r="R4376" s="39">
        <v>39239</v>
      </c>
      <c r="S4376" s="37">
        <v>5.5494000000000003</v>
      </c>
    </row>
    <row r="4377" spans="15:19" ht="15" x14ac:dyDescent="0.25">
      <c r="O4377"/>
      <c r="P4377"/>
      <c r="R4377" s="39">
        <v>39238</v>
      </c>
      <c r="S4377" s="37">
        <v>5.5065999999999997</v>
      </c>
    </row>
    <row r="4378" spans="15:19" ht="15" x14ac:dyDescent="0.25">
      <c r="O4378"/>
      <c r="P4378"/>
      <c r="R4378" s="39">
        <v>39237</v>
      </c>
      <c r="S4378" s="37">
        <v>5.5266000000000002</v>
      </c>
    </row>
    <row r="4379" spans="15:19" ht="15" x14ac:dyDescent="0.25">
      <c r="O4379"/>
      <c r="P4379"/>
      <c r="R4379" s="39">
        <v>39234</v>
      </c>
      <c r="S4379" s="37">
        <v>5.5423999999999998</v>
      </c>
    </row>
    <row r="4380" spans="15:19" ht="15" x14ac:dyDescent="0.25">
      <c r="O4380"/>
      <c r="P4380"/>
      <c r="R4380" s="39">
        <v>39233</v>
      </c>
      <c r="S4380" s="37">
        <v>5.5491000000000001</v>
      </c>
    </row>
    <row r="4381" spans="15:19" ht="15" x14ac:dyDescent="0.25">
      <c r="O4381"/>
      <c r="P4381"/>
      <c r="R4381" s="39">
        <v>39232</v>
      </c>
      <c r="S4381" s="37">
        <v>5.5669000000000004</v>
      </c>
    </row>
    <row r="4382" spans="15:19" ht="15" x14ac:dyDescent="0.25">
      <c r="O4382"/>
      <c r="P4382"/>
      <c r="R4382" s="39">
        <v>39231</v>
      </c>
      <c r="S4382" s="37">
        <v>5.5717999999999996</v>
      </c>
    </row>
    <row r="4383" spans="15:19" ht="15" x14ac:dyDescent="0.25">
      <c r="O4383"/>
      <c r="P4383"/>
      <c r="R4383" s="39">
        <v>39227</v>
      </c>
      <c r="S4383" s="37">
        <v>5.5763999999999996</v>
      </c>
    </row>
    <row r="4384" spans="15:19" ht="15" x14ac:dyDescent="0.25">
      <c r="O4384"/>
      <c r="P4384"/>
      <c r="R4384" s="39">
        <v>39226</v>
      </c>
      <c r="S4384" s="37">
        <v>5.5728</v>
      </c>
    </row>
    <row r="4385" spans="15:19" ht="15" x14ac:dyDescent="0.25">
      <c r="O4385"/>
      <c r="P4385"/>
      <c r="R4385" s="39">
        <v>39225</v>
      </c>
      <c r="S4385" s="37">
        <v>5.5773000000000001</v>
      </c>
    </row>
    <row r="4386" spans="15:19" ht="15" x14ac:dyDescent="0.25">
      <c r="O4386"/>
      <c r="P4386"/>
      <c r="R4386" s="39">
        <v>39224</v>
      </c>
      <c r="S4386" s="37">
        <v>5.5464000000000002</v>
      </c>
    </row>
    <row r="4387" spans="15:19" ht="15" x14ac:dyDescent="0.25">
      <c r="O4387"/>
      <c r="P4387"/>
      <c r="R4387" s="39">
        <v>39223</v>
      </c>
      <c r="S4387" s="37">
        <v>5.5401999999999996</v>
      </c>
    </row>
    <row r="4388" spans="15:19" ht="15" x14ac:dyDescent="0.25">
      <c r="O4388"/>
      <c r="P4388"/>
      <c r="R4388" s="39">
        <v>39220</v>
      </c>
      <c r="S4388" s="37">
        <v>5.5404</v>
      </c>
    </row>
    <row r="4389" spans="15:19" ht="15" x14ac:dyDescent="0.25">
      <c r="O4389"/>
      <c r="P4389"/>
      <c r="R4389" s="39">
        <v>39219</v>
      </c>
      <c r="S4389" s="37">
        <v>5.5538999999999996</v>
      </c>
    </row>
    <row r="4390" spans="15:19" ht="15" x14ac:dyDescent="0.25">
      <c r="O4390"/>
      <c r="P4390"/>
      <c r="R4390" s="39">
        <v>39218</v>
      </c>
      <c r="S4390" s="37">
        <v>5.5445000000000002</v>
      </c>
    </row>
    <row r="4391" spans="15:19" ht="15" x14ac:dyDescent="0.25">
      <c r="O4391"/>
      <c r="P4391"/>
      <c r="R4391" s="39">
        <v>39217</v>
      </c>
      <c r="S4391" s="37">
        <v>5.5556000000000001</v>
      </c>
    </row>
    <row r="4392" spans="15:19" ht="15" x14ac:dyDescent="0.25">
      <c r="O4392"/>
      <c r="P4392"/>
      <c r="R4392" s="39">
        <v>39216</v>
      </c>
      <c r="S4392" s="37">
        <v>5.5589000000000004</v>
      </c>
    </row>
    <row r="4393" spans="15:19" ht="15" x14ac:dyDescent="0.25">
      <c r="O4393"/>
      <c r="P4393"/>
      <c r="R4393" s="39">
        <v>39213</v>
      </c>
      <c r="S4393" s="37">
        <v>5.5651000000000002</v>
      </c>
    </row>
    <row r="4394" spans="15:19" ht="15" x14ac:dyDescent="0.25">
      <c r="O4394"/>
      <c r="P4394"/>
      <c r="R4394" s="39">
        <v>39212</v>
      </c>
      <c r="S4394" s="37">
        <v>5.5762</v>
      </c>
    </row>
    <row r="4395" spans="15:19" ht="15" x14ac:dyDescent="0.25">
      <c r="O4395"/>
      <c r="P4395"/>
      <c r="R4395" s="39">
        <v>39211</v>
      </c>
      <c r="S4395" s="37">
        <v>5.2561</v>
      </c>
    </row>
    <row r="4396" spans="15:19" ht="15" x14ac:dyDescent="0.25">
      <c r="O4396"/>
      <c r="P4396"/>
      <c r="R4396" s="39">
        <v>39210</v>
      </c>
      <c r="S4396" s="37">
        <v>5.2675000000000001</v>
      </c>
    </row>
    <row r="4397" spans="15:19" ht="15" x14ac:dyDescent="0.25">
      <c r="O4397"/>
      <c r="P4397"/>
      <c r="R4397" s="39">
        <v>39206</v>
      </c>
      <c r="S4397" s="37">
        <v>5.2634999999999996</v>
      </c>
    </row>
    <row r="4398" spans="15:19" ht="15" x14ac:dyDescent="0.25">
      <c r="O4398"/>
      <c r="P4398"/>
      <c r="R4398" s="39">
        <v>39205</v>
      </c>
      <c r="S4398" s="37">
        <v>5.2760999999999996</v>
      </c>
    </row>
    <row r="4399" spans="15:19" ht="15" x14ac:dyDescent="0.25">
      <c r="O4399"/>
      <c r="P4399"/>
      <c r="R4399" s="39">
        <v>39204</v>
      </c>
      <c r="S4399" s="37">
        <v>5.2801</v>
      </c>
    </row>
    <row r="4400" spans="15:19" ht="15" x14ac:dyDescent="0.25">
      <c r="O4400"/>
      <c r="P4400"/>
      <c r="R4400" s="39">
        <v>39203</v>
      </c>
      <c r="S4400" s="37">
        <v>5.2942999999999998</v>
      </c>
    </row>
    <row r="4401" spans="15:19" ht="15" x14ac:dyDescent="0.25">
      <c r="O4401"/>
      <c r="P4401"/>
      <c r="R4401" s="39">
        <v>39202</v>
      </c>
      <c r="S4401" s="37">
        <v>5.2934999999999999</v>
      </c>
    </row>
    <row r="4402" spans="15:19" ht="15" x14ac:dyDescent="0.25">
      <c r="O4402"/>
      <c r="P4402"/>
      <c r="R4402" s="39">
        <v>39199</v>
      </c>
      <c r="S4402" s="37">
        <v>5.2843</v>
      </c>
    </row>
    <row r="4403" spans="15:19" ht="15" x14ac:dyDescent="0.25">
      <c r="O4403"/>
      <c r="P4403"/>
      <c r="R4403" s="39">
        <v>39198</v>
      </c>
      <c r="S4403" s="37">
        <v>5.2891000000000004</v>
      </c>
    </row>
    <row r="4404" spans="15:19" ht="15" x14ac:dyDescent="0.25">
      <c r="O4404"/>
      <c r="P4404"/>
      <c r="R4404" s="39">
        <v>39197</v>
      </c>
      <c r="S4404" s="37">
        <v>5.2786</v>
      </c>
    </row>
    <row r="4405" spans="15:19" ht="15" x14ac:dyDescent="0.25">
      <c r="O4405"/>
      <c r="P4405"/>
      <c r="R4405" s="39">
        <v>39196</v>
      </c>
      <c r="S4405" s="37">
        <v>5.2689000000000004</v>
      </c>
    </row>
    <row r="4406" spans="15:19" ht="15" x14ac:dyDescent="0.25">
      <c r="O4406"/>
      <c r="P4406"/>
      <c r="R4406" s="39">
        <v>39195</v>
      </c>
      <c r="S4406" s="37">
        <v>5.2759999999999998</v>
      </c>
    </row>
    <row r="4407" spans="15:19" ht="15" x14ac:dyDescent="0.25">
      <c r="O4407"/>
      <c r="P4407"/>
      <c r="R4407" s="39">
        <v>39192</v>
      </c>
      <c r="S4407" s="37">
        <v>5.2774999999999999</v>
      </c>
    </row>
    <row r="4408" spans="15:19" ht="15" x14ac:dyDescent="0.25">
      <c r="O4408"/>
      <c r="P4408"/>
      <c r="R4408" s="39">
        <v>39191</v>
      </c>
      <c r="S4408" s="37">
        <v>5.2731000000000003</v>
      </c>
    </row>
    <row r="4409" spans="15:19" ht="15" x14ac:dyDescent="0.25">
      <c r="O4409"/>
      <c r="P4409"/>
      <c r="R4409" s="39">
        <v>39190</v>
      </c>
      <c r="S4409" s="37">
        <v>5.2832999999999997</v>
      </c>
    </row>
    <row r="4410" spans="15:19" ht="15" x14ac:dyDescent="0.25">
      <c r="O4410"/>
      <c r="P4410"/>
      <c r="R4410" s="39">
        <v>39189</v>
      </c>
      <c r="S4410" s="37">
        <v>5.3026999999999997</v>
      </c>
    </row>
    <row r="4411" spans="15:19" ht="15" x14ac:dyDescent="0.25">
      <c r="O4411"/>
      <c r="P4411"/>
      <c r="R4411" s="39">
        <v>39188</v>
      </c>
      <c r="S4411" s="37">
        <v>5.3057999999999996</v>
      </c>
    </row>
    <row r="4412" spans="15:19" ht="15" x14ac:dyDescent="0.25">
      <c r="O4412"/>
      <c r="P4412"/>
      <c r="R4412" s="39">
        <v>39185</v>
      </c>
      <c r="S4412" s="37">
        <v>5.3110999999999997</v>
      </c>
    </row>
    <row r="4413" spans="15:19" ht="15" x14ac:dyDescent="0.25">
      <c r="O4413"/>
      <c r="P4413"/>
      <c r="R4413" s="39">
        <v>39184</v>
      </c>
      <c r="S4413" s="37">
        <v>5.3170000000000002</v>
      </c>
    </row>
    <row r="4414" spans="15:19" ht="15" x14ac:dyDescent="0.25">
      <c r="O4414"/>
      <c r="P4414"/>
      <c r="R4414" s="39">
        <v>39183</v>
      </c>
      <c r="S4414" s="37">
        <v>5.3182</v>
      </c>
    </row>
    <row r="4415" spans="15:19" ht="15" x14ac:dyDescent="0.25">
      <c r="O4415"/>
      <c r="P4415"/>
      <c r="R4415" s="39">
        <v>39182</v>
      </c>
      <c r="S4415" s="37">
        <v>5.3121999999999998</v>
      </c>
    </row>
    <row r="4416" spans="15:19" ht="15" x14ac:dyDescent="0.25">
      <c r="O4416"/>
      <c r="P4416"/>
      <c r="R4416" s="39">
        <v>39177</v>
      </c>
      <c r="S4416" s="37">
        <v>5.3415999999999997</v>
      </c>
    </row>
    <row r="4417" spans="15:19" ht="15" x14ac:dyDescent="0.25">
      <c r="O4417"/>
      <c r="P4417"/>
      <c r="R4417" s="39">
        <v>39176</v>
      </c>
      <c r="S4417" s="37">
        <v>5.2545999999999999</v>
      </c>
    </row>
    <row r="4418" spans="15:19" ht="15" x14ac:dyDescent="0.25">
      <c r="O4418"/>
      <c r="P4418"/>
      <c r="R4418" s="39">
        <v>39175</v>
      </c>
      <c r="S4418" s="37">
        <v>5.2672999999999996</v>
      </c>
    </row>
    <row r="4419" spans="15:19" ht="15" x14ac:dyDescent="0.25">
      <c r="O4419"/>
      <c r="P4419"/>
      <c r="R4419" s="39">
        <v>39174</v>
      </c>
      <c r="S4419" s="37">
        <v>5.2843</v>
      </c>
    </row>
    <row r="4420" spans="15:19" ht="15" x14ac:dyDescent="0.25">
      <c r="O4420"/>
      <c r="P4420"/>
      <c r="R4420" s="39">
        <v>39171</v>
      </c>
      <c r="S4420" s="37">
        <v>5.3122999999999996</v>
      </c>
    </row>
    <row r="4421" spans="15:19" ht="15" x14ac:dyDescent="0.25">
      <c r="O4421"/>
      <c r="P4421"/>
      <c r="R4421" s="39">
        <v>39170</v>
      </c>
      <c r="S4421" s="37">
        <v>5.2950999999999997</v>
      </c>
    </row>
    <row r="4422" spans="15:19" ht="15" x14ac:dyDescent="0.25">
      <c r="O4422"/>
      <c r="P4422"/>
      <c r="R4422" s="39">
        <v>39169</v>
      </c>
      <c r="S4422" s="37">
        <v>5.2968999999999999</v>
      </c>
    </row>
    <row r="4423" spans="15:19" ht="15" x14ac:dyDescent="0.25">
      <c r="O4423"/>
      <c r="P4423"/>
      <c r="R4423" s="39">
        <v>39168</v>
      </c>
      <c r="S4423" s="37">
        <v>5.2984999999999998</v>
      </c>
    </row>
    <row r="4424" spans="15:19" ht="15" x14ac:dyDescent="0.25">
      <c r="O4424"/>
      <c r="P4424"/>
      <c r="R4424" s="39">
        <v>39167</v>
      </c>
      <c r="S4424" s="37">
        <v>5.2967000000000004</v>
      </c>
    </row>
    <row r="4425" spans="15:19" ht="15" x14ac:dyDescent="0.25">
      <c r="O4425"/>
      <c r="P4425"/>
      <c r="R4425" s="39">
        <v>39164</v>
      </c>
      <c r="S4425" s="37">
        <v>5.2896999999999998</v>
      </c>
    </row>
    <row r="4426" spans="15:19" ht="15" x14ac:dyDescent="0.25">
      <c r="O4426"/>
      <c r="P4426"/>
      <c r="R4426" s="39">
        <v>39163</v>
      </c>
      <c r="S4426" s="37">
        <v>5.2979000000000003</v>
      </c>
    </row>
    <row r="4427" spans="15:19" ht="15" x14ac:dyDescent="0.25">
      <c r="O4427"/>
      <c r="P4427"/>
      <c r="R4427" s="39">
        <v>39162</v>
      </c>
      <c r="S4427" s="37">
        <v>5.3045999999999998</v>
      </c>
    </row>
    <row r="4428" spans="15:19" ht="15" x14ac:dyDescent="0.25">
      <c r="O4428"/>
      <c r="P4428"/>
      <c r="R4428" s="39">
        <v>39161</v>
      </c>
      <c r="S4428" s="37">
        <v>5.3125999999999998</v>
      </c>
    </row>
    <row r="4429" spans="15:19" ht="15" x14ac:dyDescent="0.25">
      <c r="O4429"/>
      <c r="P4429"/>
      <c r="R4429" s="39">
        <v>39160</v>
      </c>
      <c r="S4429" s="37">
        <v>5.3117000000000001</v>
      </c>
    </row>
    <row r="4430" spans="15:19" ht="15" x14ac:dyDescent="0.25">
      <c r="O4430"/>
      <c r="P4430"/>
      <c r="R4430" s="39">
        <v>39157</v>
      </c>
      <c r="S4430" s="37">
        <v>5.3076999999999996</v>
      </c>
    </row>
    <row r="4431" spans="15:19" ht="15" x14ac:dyDescent="0.25">
      <c r="O4431"/>
      <c r="P4431"/>
      <c r="R4431" s="39">
        <v>39156</v>
      </c>
      <c r="S4431" s="37">
        <v>5.3140000000000001</v>
      </c>
    </row>
    <row r="4432" spans="15:19" ht="15" x14ac:dyDescent="0.25">
      <c r="O4432"/>
      <c r="P4432"/>
      <c r="R4432" s="39">
        <v>39155</v>
      </c>
      <c r="S4432" s="37">
        <v>5.3272000000000004</v>
      </c>
    </row>
    <row r="4433" spans="15:19" ht="15" x14ac:dyDescent="0.25">
      <c r="O4433"/>
      <c r="P4433"/>
      <c r="R4433" s="39">
        <v>39154</v>
      </c>
      <c r="S4433" s="37">
        <v>5.3266</v>
      </c>
    </row>
    <row r="4434" spans="15:19" ht="15" x14ac:dyDescent="0.25">
      <c r="O4434"/>
      <c r="P4434"/>
      <c r="R4434" s="39">
        <v>39153</v>
      </c>
      <c r="S4434" s="37">
        <v>5.3243999999999998</v>
      </c>
    </row>
    <row r="4435" spans="15:19" ht="15" x14ac:dyDescent="0.25">
      <c r="O4435"/>
      <c r="P4435"/>
      <c r="R4435" s="39">
        <v>39150</v>
      </c>
      <c r="S4435" s="37">
        <v>5.3273999999999999</v>
      </c>
    </row>
    <row r="4436" spans="15:19" ht="15" x14ac:dyDescent="0.25">
      <c r="O4436"/>
      <c r="P4436"/>
      <c r="R4436" s="39">
        <v>39149</v>
      </c>
      <c r="S4436" s="37">
        <v>5.3396999999999997</v>
      </c>
    </row>
    <row r="4437" spans="15:19" ht="15" x14ac:dyDescent="0.25">
      <c r="O4437"/>
      <c r="P4437"/>
      <c r="R4437" s="39">
        <v>39148</v>
      </c>
      <c r="S4437" s="37">
        <v>5.2268999999999997</v>
      </c>
    </row>
    <row r="4438" spans="15:19" ht="15" x14ac:dyDescent="0.25">
      <c r="O4438"/>
      <c r="P4438"/>
      <c r="R4438" s="39">
        <v>39147</v>
      </c>
      <c r="S4438" s="37">
        <v>5.2638999999999996</v>
      </c>
    </row>
    <row r="4439" spans="15:19" ht="15" x14ac:dyDescent="0.25">
      <c r="O4439"/>
      <c r="P4439"/>
      <c r="R4439" s="39">
        <v>39146</v>
      </c>
      <c r="S4439" s="37">
        <v>5.2881</v>
      </c>
    </row>
    <row r="4440" spans="15:19" ht="15" x14ac:dyDescent="0.25">
      <c r="O4440"/>
      <c r="P4440"/>
      <c r="R4440" s="39">
        <v>39143</v>
      </c>
      <c r="S4440" s="37">
        <v>5.298</v>
      </c>
    </row>
    <row r="4441" spans="15:19" ht="15" x14ac:dyDescent="0.25">
      <c r="O4441"/>
      <c r="P4441"/>
      <c r="R4441" s="39">
        <v>39142</v>
      </c>
      <c r="S4441" s="37">
        <v>5.3108000000000004</v>
      </c>
    </row>
    <row r="4442" spans="15:19" ht="15" x14ac:dyDescent="0.25">
      <c r="O4442"/>
      <c r="P4442"/>
      <c r="R4442" s="39">
        <v>39141</v>
      </c>
      <c r="S4442" s="37">
        <v>5.3178000000000001</v>
      </c>
    </row>
    <row r="4443" spans="15:19" ht="15" x14ac:dyDescent="0.25">
      <c r="O4443"/>
      <c r="P4443"/>
      <c r="R4443" s="39">
        <v>39140</v>
      </c>
      <c r="S4443" s="37">
        <v>5.3162000000000003</v>
      </c>
    </row>
    <row r="4444" spans="15:19" ht="15" x14ac:dyDescent="0.25">
      <c r="O4444"/>
      <c r="P4444"/>
      <c r="R4444" s="39">
        <v>39139</v>
      </c>
      <c r="S4444" s="37">
        <v>5.3185000000000002</v>
      </c>
    </row>
    <row r="4445" spans="15:19" ht="15" x14ac:dyDescent="0.25">
      <c r="O4445"/>
      <c r="P4445"/>
      <c r="R4445" s="39">
        <v>39136</v>
      </c>
      <c r="S4445" s="37">
        <v>5.3205</v>
      </c>
    </row>
    <row r="4446" spans="15:19" ht="15" x14ac:dyDescent="0.25">
      <c r="O4446"/>
      <c r="P4446"/>
      <c r="R4446" s="39">
        <v>39135</v>
      </c>
      <c r="S4446" s="37">
        <v>5.3201999999999998</v>
      </c>
    </row>
    <row r="4447" spans="15:19" ht="15" x14ac:dyDescent="0.25">
      <c r="O4447"/>
      <c r="P4447"/>
      <c r="R4447" s="39">
        <v>39134</v>
      </c>
      <c r="S4447" s="37">
        <v>5.3247999999999998</v>
      </c>
    </row>
    <row r="4448" spans="15:19" ht="15" x14ac:dyDescent="0.25">
      <c r="O4448"/>
      <c r="P4448"/>
      <c r="R4448" s="39">
        <v>39133</v>
      </c>
      <c r="S4448" s="37">
        <v>5.3285</v>
      </c>
    </row>
    <row r="4449" spans="15:19" ht="15" x14ac:dyDescent="0.25">
      <c r="O4449"/>
      <c r="P4449"/>
      <c r="R4449" s="39">
        <v>39132</v>
      </c>
      <c r="S4449" s="37">
        <v>5.4</v>
      </c>
    </row>
    <row r="4450" spans="15:19" ht="15" x14ac:dyDescent="0.25">
      <c r="O4450"/>
      <c r="P4450"/>
      <c r="R4450" s="39">
        <v>39129</v>
      </c>
      <c r="S4450" s="37">
        <v>5.3234000000000004</v>
      </c>
    </row>
    <row r="4451" spans="15:19" ht="15" x14ac:dyDescent="0.25">
      <c r="O4451"/>
      <c r="P4451"/>
      <c r="R4451" s="39">
        <v>39128</v>
      </c>
      <c r="S4451" s="37">
        <v>5.3234000000000004</v>
      </c>
    </row>
    <row r="4452" spans="15:19" ht="15" x14ac:dyDescent="0.25">
      <c r="O4452"/>
      <c r="P4452"/>
      <c r="R4452" s="39">
        <v>39127</v>
      </c>
      <c r="S4452" s="37">
        <v>5.3231999999999999</v>
      </c>
    </row>
    <row r="4453" spans="15:19" ht="15" x14ac:dyDescent="0.25">
      <c r="O4453"/>
      <c r="P4453"/>
      <c r="R4453" s="39">
        <v>39126</v>
      </c>
      <c r="S4453" s="37">
        <v>5.3227000000000002</v>
      </c>
    </row>
    <row r="4454" spans="15:19" ht="15" x14ac:dyDescent="0.25">
      <c r="O4454"/>
      <c r="P4454"/>
      <c r="R4454" s="39">
        <v>39125</v>
      </c>
      <c r="S4454" s="37">
        <v>5.3227000000000002</v>
      </c>
    </row>
    <row r="4455" spans="15:19" ht="15" x14ac:dyDescent="0.25">
      <c r="O4455"/>
      <c r="P4455"/>
      <c r="R4455" s="39">
        <v>39122</v>
      </c>
      <c r="S4455" s="37">
        <v>5.3314000000000004</v>
      </c>
    </row>
    <row r="4456" spans="15:19" ht="15" x14ac:dyDescent="0.25">
      <c r="O4456"/>
      <c r="P4456"/>
      <c r="R4456" s="39">
        <v>39121</v>
      </c>
      <c r="S4456" s="37">
        <v>5.3501000000000003</v>
      </c>
    </row>
    <row r="4457" spans="15:19" ht="15" x14ac:dyDescent="0.25">
      <c r="O4457"/>
      <c r="P4457"/>
      <c r="R4457" s="39">
        <v>39120</v>
      </c>
      <c r="S4457" s="37">
        <v>5.2267000000000001</v>
      </c>
    </row>
    <row r="4458" spans="15:19" ht="15" x14ac:dyDescent="0.25">
      <c r="O4458"/>
      <c r="P4458"/>
      <c r="R4458" s="39">
        <v>39119</v>
      </c>
      <c r="S4458" s="37">
        <v>5.2869999999999999</v>
      </c>
    </row>
    <row r="4459" spans="15:19" ht="15" x14ac:dyDescent="0.25">
      <c r="O4459"/>
      <c r="P4459"/>
      <c r="R4459" s="39">
        <v>39118</v>
      </c>
      <c r="S4459" s="37">
        <v>5.3018999999999998</v>
      </c>
    </row>
    <row r="4460" spans="15:19" ht="15" x14ac:dyDescent="0.25">
      <c r="O4460"/>
      <c r="P4460"/>
      <c r="R4460" s="39">
        <v>39115</v>
      </c>
      <c r="S4460" s="37">
        <v>5.3023999999999996</v>
      </c>
    </row>
    <row r="4461" spans="15:19" ht="15" x14ac:dyDescent="0.25">
      <c r="O4461"/>
      <c r="P4461"/>
      <c r="R4461" s="39">
        <v>39114</v>
      </c>
      <c r="S4461" s="37">
        <v>5.3041</v>
      </c>
    </row>
    <row r="4462" spans="15:19" ht="15" x14ac:dyDescent="0.25">
      <c r="O4462"/>
      <c r="P4462"/>
      <c r="R4462" s="39">
        <v>39113</v>
      </c>
      <c r="S4462" s="37">
        <v>5.3236999999999997</v>
      </c>
    </row>
    <row r="4463" spans="15:19" ht="15" x14ac:dyDescent="0.25">
      <c r="O4463"/>
      <c r="P4463"/>
      <c r="R4463" s="39">
        <v>39112</v>
      </c>
      <c r="S4463" s="37">
        <v>5.3015999999999996</v>
      </c>
    </row>
    <row r="4464" spans="15:19" ht="15" x14ac:dyDescent="0.25">
      <c r="O4464"/>
      <c r="P4464"/>
      <c r="R4464" s="39">
        <v>39111</v>
      </c>
      <c r="S4464" s="37">
        <v>5.3002000000000002</v>
      </c>
    </row>
    <row r="4465" spans="15:19" ht="15" x14ac:dyDescent="0.25">
      <c r="O4465"/>
      <c r="P4465"/>
      <c r="R4465" s="39">
        <v>39108</v>
      </c>
      <c r="S4465" s="37">
        <v>5.3003999999999998</v>
      </c>
    </row>
    <row r="4466" spans="15:19" ht="15" x14ac:dyDescent="0.25">
      <c r="O4466"/>
      <c r="P4466"/>
      <c r="R4466" s="39">
        <v>39107</v>
      </c>
      <c r="S4466" s="37">
        <v>5.3000999999999996</v>
      </c>
    </row>
    <row r="4467" spans="15:19" ht="15" x14ac:dyDescent="0.25">
      <c r="O4467"/>
      <c r="P4467"/>
      <c r="R4467" s="39">
        <v>39106</v>
      </c>
      <c r="S4467" s="37">
        <v>5.3007999999999997</v>
      </c>
    </row>
    <row r="4468" spans="15:19" ht="15" x14ac:dyDescent="0.25">
      <c r="O4468"/>
      <c r="P4468"/>
      <c r="R4468" s="39">
        <v>39105</v>
      </c>
      <c r="S4468" s="37">
        <v>5.3090999999999999</v>
      </c>
    </row>
    <row r="4469" spans="15:19" ht="15" x14ac:dyDescent="0.25">
      <c r="O4469"/>
      <c r="P4469"/>
      <c r="R4469" s="39">
        <v>39104</v>
      </c>
      <c r="S4469" s="37">
        <v>5.3121</v>
      </c>
    </row>
    <row r="4470" spans="15:19" ht="15" x14ac:dyDescent="0.25">
      <c r="O4470"/>
      <c r="P4470"/>
      <c r="R4470" s="39">
        <v>39101</v>
      </c>
      <c r="S4470" s="37">
        <v>5.3087</v>
      </c>
    </row>
    <row r="4471" spans="15:19" ht="15" x14ac:dyDescent="0.25">
      <c r="O4471"/>
      <c r="P4471"/>
      <c r="R4471" s="39">
        <v>39100</v>
      </c>
      <c r="S4471" s="37">
        <v>5.3082000000000003</v>
      </c>
    </row>
    <row r="4472" spans="15:19" ht="15" x14ac:dyDescent="0.25">
      <c r="O4472"/>
      <c r="P4472"/>
      <c r="R4472" s="39">
        <v>39099</v>
      </c>
      <c r="S4472" s="37">
        <v>5.3071000000000002</v>
      </c>
    </row>
    <row r="4473" spans="15:19" ht="15" x14ac:dyDescent="0.25">
      <c r="O4473"/>
      <c r="P4473"/>
      <c r="R4473" s="39">
        <v>39098</v>
      </c>
      <c r="S4473" s="37">
        <v>5.3097000000000003</v>
      </c>
    </row>
    <row r="4474" spans="15:19" ht="15" x14ac:dyDescent="0.25">
      <c r="O4474"/>
      <c r="P4474"/>
      <c r="R4474" s="39">
        <v>39097</v>
      </c>
      <c r="S4474" s="37">
        <v>5.3122999999999996</v>
      </c>
    </row>
    <row r="4475" spans="15:19" ht="15" x14ac:dyDescent="0.25">
      <c r="O4475"/>
      <c r="P4475"/>
      <c r="R4475" s="39">
        <v>39094</v>
      </c>
      <c r="S4475" s="37">
        <v>5.3051000000000004</v>
      </c>
    </row>
    <row r="4476" spans="15:19" ht="15" x14ac:dyDescent="0.25">
      <c r="O4476"/>
      <c r="P4476"/>
      <c r="R4476" s="39">
        <v>39093</v>
      </c>
      <c r="S4476" s="37">
        <v>5.2351999999999999</v>
      </c>
    </row>
    <row r="4477" spans="15:19" ht="15" x14ac:dyDescent="0.25">
      <c r="O4477"/>
      <c r="P4477"/>
      <c r="R4477" s="39">
        <v>39092</v>
      </c>
      <c r="S4477" s="37">
        <v>4.9824999999999999</v>
      </c>
    </row>
    <row r="4478" spans="15:19" ht="15" x14ac:dyDescent="0.25">
      <c r="O4478"/>
      <c r="P4478"/>
      <c r="R4478" s="39">
        <v>39091</v>
      </c>
      <c r="S4478" s="37">
        <v>5.0419</v>
      </c>
    </row>
    <row r="4479" spans="15:19" ht="15" x14ac:dyDescent="0.25">
      <c r="O4479"/>
      <c r="P4479"/>
      <c r="R4479" s="39">
        <v>39090</v>
      </c>
      <c r="S4479" s="37">
        <v>5.0526</v>
      </c>
    </row>
    <row r="4480" spans="15:19" ht="15" x14ac:dyDescent="0.25">
      <c r="O4480"/>
      <c r="P4480"/>
      <c r="R4480" s="39">
        <v>39087</v>
      </c>
      <c r="S4480" s="37">
        <v>5.0678000000000001</v>
      </c>
    </row>
    <row r="4481" spans="15:19" ht="15" x14ac:dyDescent="0.25">
      <c r="O4481"/>
      <c r="P4481"/>
      <c r="R4481" s="39">
        <v>39086</v>
      </c>
      <c r="S4481" s="37">
        <v>5.0721999999999996</v>
      </c>
    </row>
    <row r="4482" spans="15:19" ht="15" x14ac:dyDescent="0.25">
      <c r="O4482"/>
      <c r="P4482"/>
      <c r="R4482" s="39">
        <v>39085</v>
      </c>
      <c r="S4482" s="37">
        <v>5.0780000000000003</v>
      </c>
    </row>
    <row r="4483" spans="15:19" ht="15" x14ac:dyDescent="0.25">
      <c r="O4483"/>
      <c r="P4483"/>
      <c r="R4483" s="39">
        <v>39084</v>
      </c>
      <c r="S4483" s="37">
        <v>5.0782999999999996</v>
      </c>
    </row>
    <row r="4484" spans="15:19" ht="15" x14ac:dyDescent="0.25">
      <c r="O4484"/>
      <c r="P4484"/>
      <c r="R4484" s="39">
        <v>39080</v>
      </c>
      <c r="S4484" s="37">
        <v>5.2009999999999996</v>
      </c>
    </row>
    <row r="4485" spans="15:19" ht="15" x14ac:dyDescent="0.25">
      <c r="O4485"/>
      <c r="P4485"/>
      <c r="R4485" s="39">
        <v>39079</v>
      </c>
      <c r="S4485" s="37">
        <v>5.0848000000000004</v>
      </c>
    </row>
    <row r="4486" spans="15:19" ht="15" x14ac:dyDescent="0.25">
      <c r="O4486"/>
      <c r="P4486"/>
      <c r="R4486" s="39">
        <v>39078</v>
      </c>
      <c r="S4486" s="37">
        <v>5.0804</v>
      </c>
    </row>
    <row r="4487" spans="15:19" ht="15" x14ac:dyDescent="0.25">
      <c r="O4487"/>
      <c r="P4487"/>
      <c r="R4487" s="39">
        <v>39073</v>
      </c>
      <c r="S4487" s="37">
        <v>5.0713999999999997</v>
      </c>
    </row>
    <row r="4488" spans="15:19" ht="15" x14ac:dyDescent="0.25">
      <c r="O4488"/>
      <c r="P4488"/>
      <c r="R4488" s="39">
        <v>39072</v>
      </c>
      <c r="S4488" s="37">
        <v>5.0780000000000003</v>
      </c>
    </row>
    <row r="4489" spans="15:19" ht="15" x14ac:dyDescent="0.25">
      <c r="O4489"/>
      <c r="P4489"/>
      <c r="R4489" s="39">
        <v>39071</v>
      </c>
      <c r="S4489" s="37">
        <v>5.0784000000000002</v>
      </c>
    </row>
    <row r="4490" spans="15:19" ht="15" x14ac:dyDescent="0.25">
      <c r="O4490"/>
      <c r="P4490"/>
      <c r="R4490" s="39">
        <v>39070</v>
      </c>
      <c r="S4490" s="37">
        <v>5.0805999999999996</v>
      </c>
    </row>
    <row r="4491" spans="15:19" ht="15" x14ac:dyDescent="0.25">
      <c r="O4491"/>
      <c r="P4491"/>
      <c r="R4491" s="39">
        <v>39069</v>
      </c>
      <c r="S4491" s="37">
        <v>5.0887000000000002</v>
      </c>
    </row>
    <row r="4492" spans="15:19" ht="15" x14ac:dyDescent="0.25">
      <c r="O4492"/>
      <c r="P4492"/>
      <c r="R4492" s="39">
        <v>39066</v>
      </c>
      <c r="S4492" s="37">
        <v>5.0979000000000001</v>
      </c>
    </row>
    <row r="4493" spans="15:19" ht="15" x14ac:dyDescent="0.25">
      <c r="O4493"/>
      <c r="P4493"/>
      <c r="R4493" s="39">
        <v>39065</v>
      </c>
      <c r="S4493" s="37">
        <v>5.0829000000000004</v>
      </c>
    </row>
    <row r="4494" spans="15:19" ht="15" x14ac:dyDescent="0.25">
      <c r="O4494"/>
      <c r="P4494"/>
      <c r="R4494" s="39">
        <v>39064</v>
      </c>
      <c r="S4494" s="37">
        <v>5.0842000000000001</v>
      </c>
    </row>
    <row r="4495" spans="15:19" ht="15" x14ac:dyDescent="0.25">
      <c r="O4495"/>
      <c r="P4495"/>
      <c r="R4495" s="39">
        <v>39063</v>
      </c>
      <c r="S4495" s="37">
        <v>5.09</v>
      </c>
    </row>
    <row r="4496" spans="15:19" ht="15" x14ac:dyDescent="0.25">
      <c r="O4496"/>
      <c r="P4496"/>
      <c r="R4496" s="39">
        <v>39062</v>
      </c>
      <c r="S4496" s="37">
        <v>5.1120999999999999</v>
      </c>
    </row>
    <row r="4497" spans="15:19" ht="15" x14ac:dyDescent="0.25">
      <c r="O4497"/>
      <c r="P4497"/>
      <c r="R4497" s="39">
        <v>39059</v>
      </c>
      <c r="S4497" s="37">
        <v>5.1172000000000004</v>
      </c>
    </row>
    <row r="4498" spans="15:19" ht="15" x14ac:dyDescent="0.25">
      <c r="O4498"/>
      <c r="P4498"/>
      <c r="R4498" s="39">
        <v>39058</v>
      </c>
      <c r="S4498" s="37">
        <v>5.0812999999999997</v>
      </c>
    </row>
    <row r="4499" spans="15:19" ht="15" x14ac:dyDescent="0.25">
      <c r="O4499"/>
      <c r="P4499"/>
      <c r="R4499" s="39">
        <v>39057</v>
      </c>
      <c r="S4499" s="37">
        <v>5.0159000000000002</v>
      </c>
    </row>
    <row r="4500" spans="15:19" ht="15" x14ac:dyDescent="0.25">
      <c r="O4500"/>
      <c r="P4500"/>
      <c r="R4500" s="39">
        <v>39056</v>
      </c>
      <c r="S4500" s="37">
        <v>5.0448000000000004</v>
      </c>
    </row>
    <row r="4501" spans="15:19" ht="15" x14ac:dyDescent="0.25">
      <c r="O4501"/>
      <c r="P4501"/>
      <c r="R4501" s="39">
        <v>39055</v>
      </c>
      <c r="S4501" s="37">
        <v>5.0552999999999999</v>
      </c>
    </row>
    <row r="4502" spans="15:19" ht="15" x14ac:dyDescent="0.25">
      <c r="O4502"/>
      <c r="P4502"/>
      <c r="R4502" s="39">
        <v>39052</v>
      </c>
      <c r="S4502" s="37">
        <v>5.0578000000000003</v>
      </c>
    </row>
    <row r="4503" spans="15:19" ht="15" x14ac:dyDescent="0.25">
      <c r="O4503"/>
      <c r="P4503"/>
      <c r="R4503" s="39">
        <v>39051</v>
      </c>
      <c r="S4503" s="37">
        <v>5.0780000000000003</v>
      </c>
    </row>
    <row r="4504" spans="15:19" ht="15" x14ac:dyDescent="0.25">
      <c r="O4504"/>
      <c r="P4504"/>
      <c r="R4504" s="39">
        <v>39050</v>
      </c>
      <c r="S4504" s="37">
        <v>5.0621999999999998</v>
      </c>
    </row>
    <row r="4505" spans="15:19" ht="15" x14ac:dyDescent="0.25">
      <c r="O4505"/>
      <c r="P4505"/>
      <c r="R4505" s="39">
        <v>39049</v>
      </c>
      <c r="S4505" s="37">
        <v>5.0688000000000004</v>
      </c>
    </row>
    <row r="4506" spans="15:19" ht="15" x14ac:dyDescent="0.25">
      <c r="O4506"/>
      <c r="P4506"/>
      <c r="R4506" s="39">
        <v>39048</v>
      </c>
      <c r="S4506" s="37">
        <v>5.0755999999999997</v>
      </c>
    </row>
    <row r="4507" spans="15:19" ht="15" x14ac:dyDescent="0.25">
      <c r="O4507"/>
      <c r="P4507"/>
      <c r="R4507" s="39">
        <v>39045</v>
      </c>
      <c r="S4507" s="37">
        <v>5.0750000000000002</v>
      </c>
    </row>
    <row r="4508" spans="15:19" ht="15" x14ac:dyDescent="0.25">
      <c r="O4508"/>
      <c r="P4508"/>
      <c r="R4508" s="39">
        <v>39044</v>
      </c>
      <c r="S4508" s="37">
        <v>5.0736999999999997</v>
      </c>
    </row>
    <row r="4509" spans="15:19" ht="15" x14ac:dyDescent="0.25">
      <c r="O4509"/>
      <c r="P4509"/>
      <c r="R4509" s="39">
        <v>39043</v>
      </c>
      <c r="S4509" s="37">
        <v>5.0679999999999996</v>
      </c>
    </row>
    <row r="4510" spans="15:19" ht="15" x14ac:dyDescent="0.25">
      <c r="O4510"/>
      <c r="P4510"/>
      <c r="R4510" s="39">
        <v>39042</v>
      </c>
      <c r="S4510" s="37">
        <v>5.0651999999999999</v>
      </c>
    </row>
    <row r="4511" spans="15:19" ht="15" x14ac:dyDescent="0.25">
      <c r="O4511"/>
      <c r="P4511"/>
      <c r="R4511" s="39">
        <v>39041</v>
      </c>
      <c r="S4511" s="37">
        <v>5.0671999999999997</v>
      </c>
    </row>
    <row r="4512" spans="15:19" ht="15" x14ac:dyDescent="0.25">
      <c r="O4512"/>
      <c r="P4512"/>
      <c r="R4512" s="39">
        <v>39038</v>
      </c>
      <c r="S4512" s="37">
        <v>5.0686</v>
      </c>
    </row>
    <row r="4513" spans="15:19" ht="15" x14ac:dyDescent="0.25">
      <c r="O4513"/>
      <c r="P4513"/>
      <c r="R4513" s="39">
        <v>39037</v>
      </c>
      <c r="S4513" s="37">
        <v>5.0579999999999998</v>
      </c>
    </row>
    <row r="4514" spans="15:19" ht="15" x14ac:dyDescent="0.25">
      <c r="O4514"/>
      <c r="P4514"/>
      <c r="R4514" s="39">
        <v>39036</v>
      </c>
      <c r="S4514" s="37">
        <v>5.0707000000000004</v>
      </c>
    </row>
    <row r="4515" spans="15:19" ht="15" x14ac:dyDescent="0.25">
      <c r="O4515"/>
      <c r="P4515"/>
      <c r="R4515" s="39">
        <v>39035</v>
      </c>
      <c r="S4515" s="37">
        <v>5.09</v>
      </c>
    </row>
    <row r="4516" spans="15:19" ht="15" x14ac:dyDescent="0.25">
      <c r="O4516"/>
      <c r="P4516"/>
      <c r="R4516" s="39">
        <v>39034</v>
      </c>
      <c r="S4516" s="37">
        <v>5.0926999999999998</v>
      </c>
    </row>
    <row r="4517" spans="15:19" ht="15" x14ac:dyDescent="0.25">
      <c r="O4517"/>
      <c r="P4517"/>
      <c r="R4517" s="39">
        <v>39031</v>
      </c>
      <c r="S4517" s="37">
        <v>5.1016000000000004</v>
      </c>
    </row>
    <row r="4518" spans="15:19" ht="15" x14ac:dyDescent="0.25">
      <c r="O4518"/>
      <c r="P4518"/>
      <c r="R4518" s="39">
        <v>39030</v>
      </c>
      <c r="S4518" s="37">
        <v>5.0628000000000002</v>
      </c>
    </row>
    <row r="4519" spans="15:19" ht="15" x14ac:dyDescent="0.25">
      <c r="O4519"/>
      <c r="P4519"/>
      <c r="R4519" s="39">
        <v>39029</v>
      </c>
      <c r="S4519" s="37">
        <v>4.7426000000000004</v>
      </c>
    </row>
    <row r="4520" spans="15:19" ht="15" x14ac:dyDescent="0.25">
      <c r="O4520"/>
      <c r="P4520"/>
      <c r="R4520" s="39">
        <v>39028</v>
      </c>
      <c r="S4520" s="37">
        <v>4.7983000000000002</v>
      </c>
    </row>
    <row r="4521" spans="15:19" ht="15" x14ac:dyDescent="0.25">
      <c r="O4521"/>
      <c r="P4521"/>
      <c r="R4521" s="39">
        <v>39027</v>
      </c>
      <c r="S4521" s="37">
        <v>4.7975000000000003</v>
      </c>
    </row>
    <row r="4522" spans="15:19" ht="15" x14ac:dyDescent="0.25">
      <c r="O4522"/>
      <c r="P4522"/>
      <c r="R4522" s="39">
        <v>39024</v>
      </c>
      <c r="S4522" s="37">
        <v>4.7922000000000002</v>
      </c>
    </row>
    <row r="4523" spans="15:19" ht="15" x14ac:dyDescent="0.25">
      <c r="O4523"/>
      <c r="P4523"/>
      <c r="R4523" s="39">
        <v>39023</v>
      </c>
      <c r="S4523" s="37">
        <v>4.7965999999999998</v>
      </c>
    </row>
    <row r="4524" spans="15:19" ht="15" x14ac:dyDescent="0.25">
      <c r="O4524"/>
      <c r="P4524"/>
      <c r="R4524" s="39">
        <v>39022</v>
      </c>
      <c r="S4524" s="37">
        <v>4.8235000000000001</v>
      </c>
    </row>
    <row r="4525" spans="15:19" ht="15" x14ac:dyDescent="0.25">
      <c r="O4525"/>
      <c r="P4525"/>
      <c r="R4525" s="39">
        <v>39021</v>
      </c>
      <c r="S4525" s="37">
        <v>4.8875999999999999</v>
      </c>
    </row>
    <row r="4526" spans="15:19" ht="15" x14ac:dyDescent="0.25">
      <c r="O4526"/>
      <c r="P4526"/>
      <c r="R4526" s="39">
        <v>39020</v>
      </c>
      <c r="S4526" s="37">
        <v>4.8586999999999998</v>
      </c>
    </row>
    <row r="4527" spans="15:19" ht="15" x14ac:dyDescent="0.25">
      <c r="O4527"/>
      <c r="P4527"/>
      <c r="R4527" s="39">
        <v>39017</v>
      </c>
      <c r="S4527" s="37">
        <v>4.8426</v>
      </c>
    </row>
    <row r="4528" spans="15:19" ht="15" x14ac:dyDescent="0.25">
      <c r="O4528"/>
      <c r="P4528"/>
      <c r="R4528" s="39">
        <v>39016</v>
      </c>
      <c r="S4528" s="37">
        <v>4.8365999999999998</v>
      </c>
    </row>
    <row r="4529" spans="15:19" ht="15" x14ac:dyDescent="0.25">
      <c r="O4529"/>
      <c r="P4529"/>
      <c r="R4529" s="39">
        <v>39015</v>
      </c>
      <c r="S4529" s="37">
        <v>4.8388999999999998</v>
      </c>
    </row>
    <row r="4530" spans="15:19" ht="15" x14ac:dyDescent="0.25">
      <c r="O4530"/>
      <c r="P4530"/>
      <c r="R4530" s="39">
        <v>39014</v>
      </c>
      <c r="S4530" s="37">
        <v>4.8451000000000004</v>
      </c>
    </row>
    <row r="4531" spans="15:19" ht="15" x14ac:dyDescent="0.25">
      <c r="O4531"/>
      <c r="P4531"/>
      <c r="R4531" s="39">
        <v>39013</v>
      </c>
      <c r="S4531" s="37">
        <v>4.8489000000000004</v>
      </c>
    </row>
    <row r="4532" spans="15:19" ht="15" x14ac:dyDescent="0.25">
      <c r="O4532"/>
      <c r="P4532"/>
      <c r="R4532" s="39">
        <v>39010</v>
      </c>
      <c r="S4532" s="37">
        <v>4.8422999999999998</v>
      </c>
    </row>
    <row r="4533" spans="15:19" ht="15" x14ac:dyDescent="0.25">
      <c r="O4533"/>
      <c r="P4533"/>
      <c r="R4533" s="39">
        <v>39009</v>
      </c>
      <c r="S4533" s="37">
        <v>4.8201999999999998</v>
      </c>
    </row>
    <row r="4534" spans="15:19" ht="15" x14ac:dyDescent="0.25">
      <c r="O4534"/>
      <c r="P4534"/>
      <c r="R4534" s="39">
        <v>39008</v>
      </c>
      <c r="S4534" s="37">
        <v>4.8178000000000001</v>
      </c>
    </row>
    <row r="4535" spans="15:19" ht="15" x14ac:dyDescent="0.25">
      <c r="O4535"/>
      <c r="P4535"/>
      <c r="R4535" s="39">
        <v>39007</v>
      </c>
      <c r="S4535" s="37">
        <v>4.7987000000000002</v>
      </c>
    </row>
    <row r="4536" spans="15:19" ht="15" x14ac:dyDescent="0.25">
      <c r="O4536"/>
      <c r="P4536"/>
      <c r="R4536" s="39">
        <v>39006</v>
      </c>
      <c r="S4536" s="37">
        <v>4.7911999999999999</v>
      </c>
    </row>
    <row r="4537" spans="15:19" ht="15" x14ac:dyDescent="0.25">
      <c r="O4537"/>
      <c r="P4537"/>
      <c r="R4537" s="39">
        <v>39003</v>
      </c>
      <c r="S4537" s="37">
        <v>4.7979000000000003</v>
      </c>
    </row>
    <row r="4538" spans="15:19" ht="15" x14ac:dyDescent="0.25">
      <c r="O4538"/>
      <c r="P4538"/>
      <c r="R4538" s="39">
        <v>39002</v>
      </c>
      <c r="S4538" s="37">
        <v>4.8028000000000004</v>
      </c>
    </row>
    <row r="4539" spans="15:19" ht="15" x14ac:dyDescent="0.25">
      <c r="O4539"/>
      <c r="P4539"/>
      <c r="R4539" s="39">
        <v>39001</v>
      </c>
      <c r="S4539" s="37">
        <v>4.8007</v>
      </c>
    </row>
    <row r="4540" spans="15:19" ht="15" x14ac:dyDescent="0.25">
      <c r="O4540"/>
      <c r="P4540"/>
      <c r="R4540" s="39">
        <v>39000</v>
      </c>
      <c r="S4540" s="37">
        <v>4.8048000000000002</v>
      </c>
    </row>
    <row r="4541" spans="15:19" ht="15" x14ac:dyDescent="0.25">
      <c r="O4541"/>
      <c r="P4541"/>
      <c r="R4541" s="39">
        <v>38999</v>
      </c>
      <c r="S4541" s="37">
        <v>4.8063000000000002</v>
      </c>
    </row>
    <row r="4542" spans="15:19" ht="15" x14ac:dyDescent="0.25">
      <c r="O4542"/>
      <c r="P4542"/>
      <c r="R4542" s="39">
        <v>38996</v>
      </c>
      <c r="S4542" s="37">
        <v>4.7888000000000002</v>
      </c>
    </row>
    <row r="4543" spans="15:19" ht="15" x14ac:dyDescent="0.25">
      <c r="O4543"/>
      <c r="P4543"/>
      <c r="R4543" s="39">
        <v>38995</v>
      </c>
      <c r="S4543" s="37">
        <v>4.8257000000000003</v>
      </c>
    </row>
    <row r="4544" spans="15:19" ht="15" x14ac:dyDescent="0.25">
      <c r="O4544"/>
      <c r="P4544"/>
      <c r="R4544" s="39">
        <v>38994</v>
      </c>
      <c r="S4544" s="37">
        <v>4.7398999999999996</v>
      </c>
    </row>
    <row r="4545" spans="15:19" ht="15" x14ac:dyDescent="0.25">
      <c r="O4545"/>
      <c r="P4545"/>
      <c r="R4545" s="39">
        <v>38993</v>
      </c>
      <c r="S4545" s="37">
        <v>4.9116999999999997</v>
      </c>
    </row>
    <row r="4546" spans="15:19" ht="15" x14ac:dyDescent="0.25">
      <c r="O4546"/>
      <c r="P4546"/>
      <c r="R4546" s="39">
        <v>38992</v>
      </c>
      <c r="S4546" s="37">
        <v>4.8540999999999999</v>
      </c>
    </row>
    <row r="4547" spans="15:19" ht="15" x14ac:dyDescent="0.25">
      <c r="O4547"/>
      <c r="P4547"/>
      <c r="R4547" s="39">
        <v>38989</v>
      </c>
      <c r="S4547" s="37">
        <v>4.8971999999999998</v>
      </c>
    </row>
    <row r="4548" spans="15:19" ht="15" x14ac:dyDescent="0.25">
      <c r="O4548"/>
      <c r="P4548"/>
      <c r="R4548" s="39">
        <v>38988</v>
      </c>
      <c r="S4548" s="37">
        <v>4.7976000000000001</v>
      </c>
    </row>
    <row r="4549" spans="15:19" ht="15" x14ac:dyDescent="0.25">
      <c r="O4549"/>
      <c r="P4549"/>
      <c r="R4549" s="39">
        <v>38987</v>
      </c>
      <c r="S4549" s="37">
        <v>4.7794999999999996</v>
      </c>
    </row>
    <row r="4550" spans="15:19" ht="15" x14ac:dyDescent="0.25">
      <c r="O4550"/>
      <c r="P4550"/>
      <c r="R4550" s="39">
        <v>38986</v>
      </c>
      <c r="S4550" s="37">
        <v>4.7878999999999996</v>
      </c>
    </row>
    <row r="4551" spans="15:19" ht="15" x14ac:dyDescent="0.25">
      <c r="O4551"/>
      <c r="P4551"/>
      <c r="R4551" s="39">
        <v>38985</v>
      </c>
      <c r="S4551" s="37">
        <v>4.8037000000000001</v>
      </c>
    </row>
    <row r="4552" spans="15:19" ht="15" x14ac:dyDescent="0.25">
      <c r="O4552"/>
      <c r="P4552"/>
      <c r="R4552" s="39">
        <v>38982</v>
      </c>
      <c r="S4552" s="37">
        <v>4.7816999999999998</v>
      </c>
    </row>
    <row r="4553" spans="15:19" ht="15" x14ac:dyDescent="0.25">
      <c r="O4553"/>
      <c r="P4553"/>
      <c r="R4553" s="39">
        <v>38981</v>
      </c>
      <c r="S4553" s="37">
        <v>4.7754000000000003</v>
      </c>
    </row>
    <row r="4554" spans="15:19" ht="15" x14ac:dyDescent="0.25">
      <c r="O4554"/>
      <c r="P4554"/>
      <c r="R4554" s="39">
        <v>38980</v>
      </c>
      <c r="S4554" s="37">
        <v>4.7808999999999999</v>
      </c>
    </row>
    <row r="4555" spans="15:19" ht="15" x14ac:dyDescent="0.25">
      <c r="O4555"/>
      <c r="P4555"/>
      <c r="R4555" s="39">
        <v>38979</v>
      </c>
      <c r="S4555" s="37">
        <v>4.7912999999999997</v>
      </c>
    </row>
    <row r="4556" spans="15:19" ht="15" x14ac:dyDescent="0.25">
      <c r="O4556"/>
      <c r="P4556"/>
      <c r="R4556" s="39">
        <v>38978</v>
      </c>
      <c r="S4556" s="37">
        <v>4.7904</v>
      </c>
    </row>
    <row r="4557" spans="15:19" ht="15" x14ac:dyDescent="0.25">
      <c r="O4557"/>
      <c r="P4557"/>
      <c r="R4557" s="39">
        <v>38975</v>
      </c>
      <c r="S4557" s="37">
        <v>4.7843</v>
      </c>
    </row>
    <row r="4558" spans="15:19" ht="15" x14ac:dyDescent="0.25">
      <c r="O4558"/>
      <c r="P4558"/>
      <c r="R4558" s="39">
        <v>38974</v>
      </c>
      <c r="S4558" s="37">
        <v>4.7801999999999998</v>
      </c>
    </row>
    <row r="4559" spans="15:19" ht="15" x14ac:dyDescent="0.25">
      <c r="O4559"/>
      <c r="P4559"/>
      <c r="R4559" s="39">
        <v>38973</v>
      </c>
      <c r="S4559" s="37">
        <v>4.7786999999999997</v>
      </c>
    </row>
    <row r="4560" spans="15:19" ht="15" x14ac:dyDescent="0.25">
      <c r="O4560"/>
      <c r="P4560"/>
      <c r="R4560" s="39">
        <v>38972</v>
      </c>
      <c r="S4560" s="37">
        <v>4.79</v>
      </c>
    </row>
    <row r="4561" spans="15:19" ht="15" x14ac:dyDescent="0.25">
      <c r="O4561"/>
      <c r="P4561"/>
      <c r="R4561" s="39">
        <v>38971</v>
      </c>
      <c r="S4561" s="37">
        <v>4.8106</v>
      </c>
    </row>
    <row r="4562" spans="15:19" ht="15" x14ac:dyDescent="0.25">
      <c r="O4562"/>
      <c r="P4562"/>
      <c r="R4562" s="39">
        <v>38968</v>
      </c>
      <c r="S4562" s="37">
        <v>4.8162000000000003</v>
      </c>
    </row>
    <row r="4563" spans="15:19" ht="15" x14ac:dyDescent="0.25">
      <c r="O4563"/>
      <c r="P4563"/>
      <c r="R4563" s="39">
        <v>38967</v>
      </c>
      <c r="S4563" s="37">
        <v>4.7930000000000001</v>
      </c>
    </row>
    <row r="4564" spans="15:19" ht="15" x14ac:dyDescent="0.25">
      <c r="O4564"/>
      <c r="P4564"/>
      <c r="R4564" s="39">
        <v>38966</v>
      </c>
      <c r="S4564" s="37">
        <v>4.6901999999999999</v>
      </c>
    </row>
    <row r="4565" spans="15:19" ht="15" x14ac:dyDescent="0.25">
      <c r="O4565"/>
      <c r="P4565"/>
      <c r="R4565" s="39">
        <v>38965</v>
      </c>
      <c r="S4565" s="37">
        <v>4.7702</v>
      </c>
    </row>
    <row r="4566" spans="15:19" ht="15" x14ac:dyDescent="0.25">
      <c r="O4566"/>
      <c r="P4566"/>
      <c r="R4566" s="39">
        <v>38964</v>
      </c>
      <c r="S4566" s="37">
        <v>4.7850000000000001</v>
      </c>
    </row>
    <row r="4567" spans="15:19" ht="15" x14ac:dyDescent="0.25">
      <c r="O4567"/>
      <c r="P4567"/>
      <c r="R4567" s="39">
        <v>38961</v>
      </c>
      <c r="S4567" s="37">
        <v>4.7892999999999999</v>
      </c>
    </row>
    <row r="4568" spans="15:19" ht="15" x14ac:dyDescent="0.25">
      <c r="O4568"/>
      <c r="P4568"/>
      <c r="R4568" s="39">
        <v>38960</v>
      </c>
      <c r="S4568" s="37">
        <v>4.8703000000000003</v>
      </c>
    </row>
    <row r="4569" spans="15:19" ht="15" x14ac:dyDescent="0.25">
      <c r="O4569"/>
      <c r="P4569"/>
      <c r="R4569" s="39">
        <v>38959</v>
      </c>
      <c r="S4569" s="37">
        <v>4.8414000000000001</v>
      </c>
    </row>
    <row r="4570" spans="15:19" ht="15" x14ac:dyDescent="0.25">
      <c r="O4570"/>
      <c r="P4570"/>
      <c r="R4570" s="39">
        <v>38958</v>
      </c>
      <c r="S4570" s="37">
        <v>4.8556999999999997</v>
      </c>
    </row>
    <row r="4571" spans="15:19" ht="15" x14ac:dyDescent="0.25">
      <c r="O4571"/>
      <c r="P4571"/>
      <c r="R4571" s="39">
        <v>38954</v>
      </c>
      <c r="S4571" s="37">
        <v>4.8493000000000004</v>
      </c>
    </row>
    <row r="4572" spans="15:19" ht="15" x14ac:dyDescent="0.25">
      <c r="O4572"/>
      <c r="P4572"/>
      <c r="R4572" s="39">
        <v>38953</v>
      </c>
      <c r="S4572" s="37">
        <v>4.8072999999999997</v>
      </c>
    </row>
    <row r="4573" spans="15:19" ht="15" x14ac:dyDescent="0.25">
      <c r="O4573"/>
      <c r="P4573"/>
      <c r="R4573" s="39">
        <v>38952</v>
      </c>
      <c r="S4573" s="37">
        <v>4.8022999999999998</v>
      </c>
    </row>
    <row r="4574" spans="15:19" ht="15" x14ac:dyDescent="0.25">
      <c r="O4574"/>
      <c r="P4574"/>
      <c r="R4574" s="39">
        <v>38951</v>
      </c>
      <c r="S4574" s="37">
        <v>4.8026</v>
      </c>
    </row>
    <row r="4575" spans="15:19" ht="15" x14ac:dyDescent="0.25">
      <c r="O4575"/>
      <c r="P4575"/>
      <c r="R4575" s="39">
        <v>38950</v>
      </c>
      <c r="S4575" s="37">
        <v>4.8052999999999999</v>
      </c>
    </row>
    <row r="4576" spans="15:19" ht="15" x14ac:dyDescent="0.25">
      <c r="O4576"/>
      <c r="P4576"/>
      <c r="R4576" s="39">
        <v>38947</v>
      </c>
      <c r="S4576" s="37">
        <v>4.8181000000000003</v>
      </c>
    </row>
    <row r="4577" spans="15:19" ht="15" x14ac:dyDescent="0.25">
      <c r="O4577"/>
      <c r="P4577"/>
      <c r="R4577" s="39">
        <v>38946</v>
      </c>
      <c r="S4577" s="37">
        <v>4.8144</v>
      </c>
    </row>
    <row r="4578" spans="15:19" ht="15" x14ac:dyDescent="0.25">
      <c r="O4578"/>
      <c r="P4578"/>
      <c r="R4578" s="39">
        <v>38945</v>
      </c>
      <c r="S4578" s="37">
        <v>4.8426</v>
      </c>
    </row>
    <row r="4579" spans="15:19" ht="15" x14ac:dyDescent="0.25">
      <c r="O4579"/>
      <c r="P4579"/>
      <c r="R4579" s="39">
        <v>38944</v>
      </c>
      <c r="S4579" s="37">
        <v>4.8742000000000001</v>
      </c>
    </row>
    <row r="4580" spans="15:19" ht="15" x14ac:dyDescent="0.25">
      <c r="O4580"/>
      <c r="P4580"/>
      <c r="R4580" s="39">
        <v>38943</v>
      </c>
      <c r="S4580" s="37">
        <v>4.8448000000000002</v>
      </c>
    </row>
    <row r="4581" spans="15:19" ht="15" x14ac:dyDescent="0.25">
      <c r="O4581"/>
      <c r="P4581"/>
      <c r="R4581" s="39">
        <v>38940</v>
      </c>
      <c r="S4581" s="37">
        <v>4.8038999999999996</v>
      </c>
    </row>
    <row r="4582" spans="15:19" ht="15" x14ac:dyDescent="0.25">
      <c r="O4582"/>
      <c r="P4582"/>
      <c r="R4582" s="39">
        <v>38939</v>
      </c>
      <c r="S4582" s="37">
        <v>4.7876000000000003</v>
      </c>
    </row>
    <row r="4583" spans="15:19" ht="15" x14ac:dyDescent="0.25">
      <c r="O4583"/>
      <c r="P4583"/>
      <c r="R4583" s="39">
        <v>38938</v>
      </c>
      <c r="S4583" s="37">
        <v>4.7847</v>
      </c>
    </row>
    <row r="4584" spans="15:19" ht="15" x14ac:dyDescent="0.25">
      <c r="O4584"/>
      <c r="P4584"/>
      <c r="R4584" s="39">
        <v>38937</v>
      </c>
      <c r="S4584" s="37">
        <v>4.7885</v>
      </c>
    </row>
    <row r="4585" spans="15:19" ht="15" x14ac:dyDescent="0.25">
      <c r="O4585"/>
      <c r="P4585"/>
      <c r="R4585" s="39">
        <v>38936</v>
      </c>
      <c r="S4585" s="37">
        <v>4.8045999999999998</v>
      </c>
    </row>
    <row r="4586" spans="15:19" ht="15" x14ac:dyDescent="0.25">
      <c r="O4586"/>
      <c r="P4586"/>
      <c r="R4586" s="39">
        <v>38933</v>
      </c>
      <c r="S4586" s="37">
        <v>4.8197000000000001</v>
      </c>
    </row>
    <row r="4587" spans="15:19" ht="15" x14ac:dyDescent="0.25">
      <c r="O4587"/>
      <c r="P4587"/>
      <c r="R4587" s="39">
        <v>38932</v>
      </c>
      <c r="S4587" s="37">
        <v>4.7085999999999997</v>
      </c>
    </row>
    <row r="4588" spans="15:19" ht="15" x14ac:dyDescent="0.25">
      <c r="O4588"/>
      <c r="P4588"/>
      <c r="R4588" s="39">
        <v>38931</v>
      </c>
      <c r="S4588" s="37">
        <v>4.5724</v>
      </c>
    </row>
    <row r="4589" spans="15:19" ht="15" x14ac:dyDescent="0.25">
      <c r="O4589"/>
      <c r="P4589"/>
      <c r="R4589" s="39">
        <v>38930</v>
      </c>
      <c r="S4589" s="37">
        <v>4.7586000000000004</v>
      </c>
    </row>
    <row r="4590" spans="15:19" ht="15" x14ac:dyDescent="0.25">
      <c r="O4590"/>
      <c r="P4590"/>
      <c r="R4590" s="39">
        <v>38929</v>
      </c>
      <c r="S4590" s="37">
        <v>4.8059000000000003</v>
      </c>
    </row>
    <row r="4591" spans="15:19" ht="15" x14ac:dyDescent="0.25">
      <c r="O4591"/>
      <c r="P4591"/>
      <c r="R4591" s="39">
        <v>38926</v>
      </c>
      <c r="S4591" s="37">
        <v>4.5507</v>
      </c>
    </row>
    <row r="4592" spans="15:19" ht="15" x14ac:dyDescent="0.25">
      <c r="O4592"/>
      <c r="P4592"/>
      <c r="R4592" s="39">
        <v>38925</v>
      </c>
      <c r="S4592" s="37">
        <v>4.5290999999999997</v>
      </c>
    </row>
    <row r="4593" spans="15:19" ht="15" x14ac:dyDescent="0.25">
      <c r="O4593"/>
      <c r="P4593"/>
      <c r="R4593" s="39">
        <v>38924</v>
      </c>
      <c r="S4593" s="37">
        <v>4.5224000000000002</v>
      </c>
    </row>
    <row r="4594" spans="15:19" ht="15" x14ac:dyDescent="0.25">
      <c r="O4594"/>
      <c r="P4594"/>
      <c r="R4594" s="39">
        <v>38923</v>
      </c>
      <c r="S4594" s="37">
        <v>4.5189000000000004</v>
      </c>
    </row>
    <row r="4595" spans="15:19" ht="15" x14ac:dyDescent="0.25">
      <c r="O4595"/>
      <c r="P4595"/>
      <c r="R4595" s="39">
        <v>38922</v>
      </c>
      <c r="S4595" s="37">
        <v>4.5236999999999998</v>
      </c>
    </row>
    <row r="4596" spans="15:19" ht="15" x14ac:dyDescent="0.25">
      <c r="O4596"/>
      <c r="P4596"/>
      <c r="R4596" s="39">
        <v>38919</v>
      </c>
      <c r="S4596" s="37">
        <v>4.5254000000000003</v>
      </c>
    </row>
    <row r="4597" spans="15:19" ht="15" x14ac:dyDescent="0.25">
      <c r="O4597"/>
      <c r="P4597"/>
      <c r="R4597" s="39">
        <v>38918</v>
      </c>
      <c r="S4597" s="37">
        <v>4.5303000000000004</v>
      </c>
    </row>
    <row r="4598" spans="15:19" ht="15" x14ac:dyDescent="0.25">
      <c r="O4598"/>
      <c r="P4598"/>
      <c r="R4598" s="39">
        <v>38917</v>
      </c>
      <c r="S4598" s="37">
        <v>4.5332999999999997</v>
      </c>
    </row>
    <row r="4599" spans="15:19" ht="15" x14ac:dyDescent="0.25">
      <c r="O4599"/>
      <c r="P4599"/>
      <c r="R4599" s="39">
        <v>38916</v>
      </c>
      <c r="S4599" s="37">
        <v>4.5427</v>
      </c>
    </row>
    <row r="4600" spans="15:19" ht="15" x14ac:dyDescent="0.25">
      <c r="O4600"/>
      <c r="P4600"/>
      <c r="R4600" s="39">
        <v>38915</v>
      </c>
      <c r="S4600" s="37">
        <v>4.5506000000000002</v>
      </c>
    </row>
    <row r="4601" spans="15:19" ht="15" x14ac:dyDescent="0.25">
      <c r="O4601"/>
      <c r="P4601"/>
      <c r="R4601" s="39">
        <v>38912</v>
      </c>
      <c r="S4601" s="37">
        <v>4.5258000000000003</v>
      </c>
    </row>
    <row r="4602" spans="15:19" ht="15" x14ac:dyDescent="0.25">
      <c r="O4602"/>
      <c r="P4602"/>
      <c r="R4602" s="39">
        <v>38911</v>
      </c>
      <c r="S4602" s="37">
        <v>4.5187999999999997</v>
      </c>
    </row>
    <row r="4603" spans="15:19" ht="15" x14ac:dyDescent="0.25">
      <c r="O4603"/>
      <c r="P4603"/>
      <c r="R4603" s="39">
        <v>38910</v>
      </c>
      <c r="S4603" s="37">
        <v>4.524</v>
      </c>
    </row>
    <row r="4604" spans="15:19" ht="15" x14ac:dyDescent="0.25">
      <c r="O4604"/>
      <c r="P4604"/>
      <c r="R4604" s="39">
        <v>38909</v>
      </c>
      <c r="S4604" s="37">
        <v>4.5326000000000004</v>
      </c>
    </row>
    <row r="4605" spans="15:19" ht="15" x14ac:dyDescent="0.25">
      <c r="O4605"/>
      <c r="P4605"/>
      <c r="R4605" s="39">
        <v>38908</v>
      </c>
      <c r="S4605" s="37">
        <v>4.5446</v>
      </c>
    </row>
    <row r="4606" spans="15:19" ht="15" x14ac:dyDescent="0.25">
      <c r="O4606"/>
      <c r="P4606"/>
      <c r="R4606" s="39">
        <v>38905</v>
      </c>
      <c r="S4606" s="37">
        <v>4.5400999999999998</v>
      </c>
    </row>
    <row r="4607" spans="15:19" ht="15" x14ac:dyDescent="0.25">
      <c r="O4607"/>
      <c r="P4607"/>
      <c r="R4607" s="39">
        <v>38904</v>
      </c>
      <c r="S4607" s="37">
        <v>4.5361000000000002</v>
      </c>
    </row>
    <row r="4608" spans="15:19" ht="15" x14ac:dyDescent="0.25">
      <c r="O4608"/>
      <c r="P4608"/>
      <c r="R4608" s="39">
        <v>38903</v>
      </c>
      <c r="S4608" s="37">
        <v>4.4802</v>
      </c>
    </row>
    <row r="4609" spans="15:19" ht="15" x14ac:dyDescent="0.25">
      <c r="O4609"/>
      <c r="P4609"/>
      <c r="R4609" s="39">
        <v>38902</v>
      </c>
      <c r="S4609" s="37">
        <v>4.5445000000000002</v>
      </c>
    </row>
    <row r="4610" spans="15:19" ht="15" x14ac:dyDescent="0.25">
      <c r="O4610"/>
      <c r="P4610"/>
      <c r="R4610" s="39">
        <v>38901</v>
      </c>
      <c r="S4610" s="37">
        <v>4.5831999999999997</v>
      </c>
    </row>
    <row r="4611" spans="15:19" ht="15" x14ac:dyDescent="0.25">
      <c r="O4611"/>
      <c r="P4611"/>
      <c r="R4611" s="39">
        <v>38898</v>
      </c>
      <c r="S4611" s="37">
        <v>4.7194000000000003</v>
      </c>
    </row>
    <row r="4612" spans="15:19" ht="15" x14ac:dyDescent="0.25">
      <c r="O4612"/>
      <c r="P4612"/>
      <c r="R4612" s="39">
        <v>38897</v>
      </c>
      <c r="S4612" s="37">
        <v>4.5532000000000004</v>
      </c>
    </row>
    <row r="4613" spans="15:19" ht="15" x14ac:dyDescent="0.25">
      <c r="O4613"/>
      <c r="P4613"/>
      <c r="R4613" s="39">
        <v>38896</v>
      </c>
      <c r="S4613" s="37">
        <v>4.5423999999999998</v>
      </c>
    </row>
    <row r="4614" spans="15:19" ht="15" x14ac:dyDescent="0.25">
      <c r="O4614"/>
      <c r="P4614"/>
      <c r="R4614" s="39">
        <v>38895</v>
      </c>
      <c r="S4614" s="37">
        <v>4.5377000000000001</v>
      </c>
    </row>
    <row r="4615" spans="15:19" ht="15" x14ac:dyDescent="0.25">
      <c r="O4615"/>
      <c r="P4615"/>
      <c r="R4615" s="39">
        <v>38894</v>
      </c>
      <c r="S4615" s="37">
        <v>4.5416999999999996</v>
      </c>
    </row>
    <row r="4616" spans="15:19" ht="15" x14ac:dyDescent="0.25">
      <c r="O4616"/>
      <c r="P4616"/>
      <c r="R4616" s="39">
        <v>38891</v>
      </c>
      <c r="S4616" s="37">
        <v>4.5377999999999998</v>
      </c>
    </row>
    <row r="4617" spans="15:19" ht="15" x14ac:dyDescent="0.25">
      <c r="O4617"/>
      <c r="P4617"/>
      <c r="R4617" s="39">
        <v>38890</v>
      </c>
      <c r="S4617" s="37">
        <v>4.5473999999999997</v>
      </c>
    </row>
    <row r="4618" spans="15:19" ht="15" x14ac:dyDescent="0.25">
      <c r="O4618"/>
      <c r="P4618"/>
      <c r="R4618" s="39">
        <v>38889</v>
      </c>
      <c r="S4618" s="37">
        <v>4.5496999999999996</v>
      </c>
    </row>
    <row r="4619" spans="15:19" ht="15" x14ac:dyDescent="0.25">
      <c r="O4619"/>
      <c r="P4619"/>
      <c r="R4619" s="39">
        <v>38888</v>
      </c>
      <c r="S4619" s="37">
        <v>4.5429000000000004</v>
      </c>
    </row>
    <row r="4620" spans="15:19" ht="15" x14ac:dyDescent="0.25">
      <c r="O4620"/>
      <c r="P4620"/>
      <c r="R4620" s="39">
        <v>38887</v>
      </c>
      <c r="S4620" s="37">
        <v>4.5548000000000002</v>
      </c>
    </row>
    <row r="4621" spans="15:19" ht="15" x14ac:dyDescent="0.25">
      <c r="O4621"/>
      <c r="P4621"/>
      <c r="R4621" s="39">
        <v>38884</v>
      </c>
      <c r="S4621" s="37">
        <v>4.5621999999999998</v>
      </c>
    </row>
    <row r="4622" spans="15:19" ht="15" x14ac:dyDescent="0.25">
      <c r="O4622"/>
      <c r="P4622"/>
      <c r="R4622" s="39">
        <v>38883</v>
      </c>
      <c r="S4622" s="37">
        <v>4.5556999999999999</v>
      </c>
    </row>
    <row r="4623" spans="15:19" ht="15" x14ac:dyDescent="0.25">
      <c r="O4623"/>
      <c r="P4623"/>
      <c r="R4623" s="39">
        <v>38882</v>
      </c>
      <c r="S4623" s="37">
        <v>4.5688000000000004</v>
      </c>
    </row>
    <row r="4624" spans="15:19" ht="15" x14ac:dyDescent="0.25">
      <c r="O4624"/>
      <c r="P4624"/>
      <c r="R4624" s="39">
        <v>38881</v>
      </c>
      <c r="S4624" s="37">
        <v>4.5755999999999997</v>
      </c>
    </row>
    <row r="4625" spans="15:19" ht="15" x14ac:dyDescent="0.25">
      <c r="O4625"/>
      <c r="P4625"/>
      <c r="R4625" s="39">
        <v>38880</v>
      </c>
      <c r="S4625" s="37">
        <v>4.5852000000000004</v>
      </c>
    </row>
    <row r="4626" spans="15:19" ht="15" x14ac:dyDescent="0.25">
      <c r="O4626"/>
      <c r="P4626"/>
      <c r="R4626" s="39">
        <v>38877</v>
      </c>
      <c r="S4626" s="37">
        <v>4.5898000000000003</v>
      </c>
    </row>
    <row r="4627" spans="15:19" ht="15" x14ac:dyDescent="0.25">
      <c r="O4627"/>
      <c r="P4627"/>
      <c r="R4627" s="39">
        <v>38876</v>
      </c>
      <c r="S4627" s="37">
        <v>4.5842999999999998</v>
      </c>
    </row>
    <row r="4628" spans="15:19" ht="15" x14ac:dyDescent="0.25">
      <c r="O4628"/>
      <c r="P4628"/>
      <c r="R4628" s="39">
        <v>38875</v>
      </c>
      <c r="S4628" s="37">
        <v>4.5628000000000002</v>
      </c>
    </row>
    <row r="4629" spans="15:19" ht="15" x14ac:dyDescent="0.25">
      <c r="O4629"/>
      <c r="P4629"/>
      <c r="R4629" s="39">
        <v>38874</v>
      </c>
      <c r="S4629" s="37">
        <v>4.5979999999999999</v>
      </c>
    </row>
    <row r="4630" spans="15:19" ht="15" x14ac:dyDescent="0.25">
      <c r="O4630"/>
      <c r="P4630"/>
      <c r="R4630" s="39">
        <v>38873</v>
      </c>
      <c r="S4630" s="37">
        <v>4.5885999999999996</v>
      </c>
    </row>
    <row r="4631" spans="15:19" ht="15" x14ac:dyDescent="0.25">
      <c r="O4631"/>
      <c r="P4631"/>
      <c r="R4631" s="39">
        <v>38870</v>
      </c>
      <c r="S4631" s="37">
        <v>4.58</v>
      </c>
    </row>
    <row r="4632" spans="15:19" ht="15" x14ac:dyDescent="0.25">
      <c r="O4632"/>
      <c r="P4632"/>
      <c r="R4632" s="39">
        <v>38869</v>
      </c>
      <c r="S4632" s="37">
        <v>4.5883000000000003</v>
      </c>
    </row>
    <row r="4633" spans="15:19" ht="15" x14ac:dyDescent="0.25">
      <c r="O4633"/>
      <c r="P4633"/>
      <c r="R4633" s="39">
        <v>38868</v>
      </c>
      <c r="S4633" s="37">
        <v>4.6207000000000003</v>
      </c>
    </row>
    <row r="4634" spans="15:19" ht="15" x14ac:dyDescent="0.25">
      <c r="O4634"/>
      <c r="P4634"/>
      <c r="R4634" s="39">
        <v>38867</v>
      </c>
      <c r="S4634" s="37">
        <v>4.5990000000000002</v>
      </c>
    </row>
    <row r="4635" spans="15:19" ht="15" x14ac:dyDescent="0.25">
      <c r="O4635"/>
      <c r="P4635"/>
      <c r="R4635" s="39">
        <v>38863</v>
      </c>
      <c r="S4635" s="37">
        <v>4.5963000000000003</v>
      </c>
    </row>
    <row r="4636" spans="15:19" ht="15" x14ac:dyDescent="0.25">
      <c r="O4636"/>
      <c r="P4636"/>
      <c r="R4636" s="39">
        <v>38862</v>
      </c>
      <c r="S4636" s="37">
        <v>4.5763999999999996</v>
      </c>
    </row>
    <row r="4637" spans="15:19" ht="15" x14ac:dyDescent="0.25">
      <c r="O4637"/>
      <c r="P4637"/>
      <c r="R4637" s="39">
        <v>38861</v>
      </c>
      <c r="S4637" s="37">
        <v>4.5743999999999998</v>
      </c>
    </row>
    <row r="4638" spans="15:19" ht="15" x14ac:dyDescent="0.25">
      <c r="O4638"/>
      <c r="P4638"/>
      <c r="R4638" s="39">
        <v>38860</v>
      </c>
      <c r="S4638" s="37">
        <v>4.5582000000000003</v>
      </c>
    </row>
    <row r="4639" spans="15:19" ht="15" x14ac:dyDescent="0.25">
      <c r="O4639"/>
      <c r="P4639"/>
      <c r="R4639" s="39">
        <v>38859</v>
      </c>
      <c r="S4639" s="37">
        <v>4.5457999999999998</v>
      </c>
    </row>
    <row r="4640" spans="15:19" ht="15" x14ac:dyDescent="0.25">
      <c r="O4640"/>
      <c r="P4640"/>
      <c r="R4640" s="39">
        <v>38856</v>
      </c>
      <c r="S4640" s="37">
        <v>4.5427</v>
      </c>
    </row>
    <row r="4641" spans="15:19" ht="15" x14ac:dyDescent="0.25">
      <c r="O4641"/>
      <c r="P4641"/>
      <c r="R4641" s="39">
        <v>38855</v>
      </c>
      <c r="S4641" s="37">
        <v>4.5388000000000002</v>
      </c>
    </row>
    <row r="4642" spans="15:19" ht="15" x14ac:dyDescent="0.25">
      <c r="O4642"/>
      <c r="P4642"/>
      <c r="R4642" s="39">
        <v>38854</v>
      </c>
      <c r="S4642" s="37">
        <v>4.3621999999999996</v>
      </c>
    </row>
    <row r="4643" spans="15:19" ht="15" x14ac:dyDescent="0.25">
      <c r="O4643"/>
      <c r="P4643"/>
      <c r="R4643" s="39">
        <v>38853</v>
      </c>
      <c r="S4643" s="37">
        <v>4.5045000000000002</v>
      </c>
    </row>
    <row r="4644" spans="15:19" ht="15" x14ac:dyDescent="0.25">
      <c r="O4644"/>
      <c r="P4644"/>
      <c r="R4644" s="39">
        <v>38852</v>
      </c>
      <c r="S4644" s="37">
        <v>4.3844000000000003</v>
      </c>
    </row>
    <row r="4645" spans="15:19" ht="15" x14ac:dyDescent="0.25">
      <c r="O4645"/>
      <c r="P4645"/>
      <c r="R4645" s="39">
        <v>38849</v>
      </c>
      <c r="S4645" s="37">
        <v>4.5769000000000002</v>
      </c>
    </row>
    <row r="4646" spans="15:19" ht="15" x14ac:dyDescent="0.25">
      <c r="O4646"/>
      <c r="P4646"/>
      <c r="R4646" s="39">
        <v>38848</v>
      </c>
      <c r="S4646" s="37">
        <v>4.3827999999999996</v>
      </c>
    </row>
    <row r="4647" spans="15:19" ht="15" x14ac:dyDescent="0.25">
      <c r="O4647"/>
      <c r="P4647"/>
      <c r="R4647" s="39">
        <v>38847</v>
      </c>
      <c r="S4647" s="37">
        <v>4.3867000000000003</v>
      </c>
    </row>
    <row r="4648" spans="15:19" ht="15" x14ac:dyDescent="0.25">
      <c r="O4648"/>
      <c r="P4648"/>
      <c r="R4648" s="39">
        <v>38846</v>
      </c>
      <c r="S4648" s="37">
        <v>4.5738000000000003</v>
      </c>
    </row>
    <row r="4649" spans="15:19" ht="15" x14ac:dyDescent="0.25">
      <c r="O4649"/>
      <c r="P4649"/>
      <c r="R4649" s="39">
        <v>38845</v>
      </c>
      <c r="S4649" s="37">
        <v>4.4409999999999998</v>
      </c>
    </row>
    <row r="4650" spans="15:19" ht="15" x14ac:dyDescent="0.25">
      <c r="O4650"/>
      <c r="P4650"/>
      <c r="R4650" s="39">
        <v>38842</v>
      </c>
      <c r="S4650" s="37">
        <v>4.4486999999999997</v>
      </c>
    </row>
    <row r="4651" spans="15:19" ht="15" x14ac:dyDescent="0.25">
      <c r="O4651"/>
      <c r="P4651"/>
      <c r="R4651" s="39">
        <v>38841</v>
      </c>
      <c r="S4651" s="37">
        <v>4.4421999999999997</v>
      </c>
    </row>
    <row r="4652" spans="15:19" ht="15" x14ac:dyDescent="0.25">
      <c r="O4652"/>
      <c r="P4652"/>
      <c r="R4652" s="39">
        <v>38840</v>
      </c>
      <c r="S4652" s="37">
        <v>4.58</v>
      </c>
    </row>
    <row r="4653" spans="15:19" ht="15" x14ac:dyDescent="0.25">
      <c r="O4653"/>
      <c r="P4653"/>
      <c r="R4653" s="39">
        <v>38839</v>
      </c>
      <c r="S4653" s="37">
        <v>4.4592999999999998</v>
      </c>
    </row>
    <row r="4654" spans="15:19" ht="15" x14ac:dyDescent="0.25">
      <c r="O4654"/>
      <c r="P4654"/>
      <c r="R4654" s="39">
        <v>38835</v>
      </c>
      <c r="S4654" s="37">
        <v>4.4298999999999999</v>
      </c>
    </row>
    <row r="4655" spans="15:19" ht="15" x14ac:dyDescent="0.25">
      <c r="O4655"/>
      <c r="P4655"/>
      <c r="R4655" s="39">
        <v>38834</v>
      </c>
      <c r="S4655" s="37">
        <v>4.6489000000000003</v>
      </c>
    </row>
    <row r="4656" spans="15:19" ht="15" x14ac:dyDescent="0.25">
      <c r="O4656"/>
      <c r="P4656"/>
      <c r="R4656" s="39">
        <v>38833</v>
      </c>
      <c r="S4656" s="37">
        <v>4.3997000000000002</v>
      </c>
    </row>
    <row r="4657" spans="15:19" ht="15" x14ac:dyDescent="0.25">
      <c r="O4657"/>
      <c r="P4657"/>
      <c r="R4657" s="39">
        <v>38832</v>
      </c>
      <c r="S4657" s="37">
        <v>4.6060999999999996</v>
      </c>
    </row>
    <row r="4658" spans="15:19" ht="15" x14ac:dyDescent="0.25">
      <c r="O4658"/>
      <c r="P4658"/>
      <c r="R4658" s="39">
        <v>38831</v>
      </c>
      <c r="S4658" s="37">
        <v>4.6082000000000001</v>
      </c>
    </row>
    <row r="4659" spans="15:19" ht="15" x14ac:dyDescent="0.25">
      <c r="O4659"/>
      <c r="P4659"/>
      <c r="R4659" s="39">
        <v>38828</v>
      </c>
      <c r="S4659" s="37">
        <v>4.3750999999999998</v>
      </c>
    </row>
    <row r="4660" spans="15:19" ht="15" x14ac:dyDescent="0.25">
      <c r="O4660"/>
      <c r="P4660"/>
      <c r="R4660" s="39">
        <v>38827</v>
      </c>
      <c r="S4660" s="37">
        <v>4.4010999999999996</v>
      </c>
    </row>
    <row r="4661" spans="15:19" ht="15" x14ac:dyDescent="0.25">
      <c r="O4661"/>
      <c r="P4661"/>
      <c r="R4661" s="39">
        <v>38826</v>
      </c>
      <c r="S4661" s="37">
        <v>4.3906000000000001</v>
      </c>
    </row>
    <row r="4662" spans="15:19" ht="15" x14ac:dyDescent="0.25">
      <c r="O4662"/>
      <c r="P4662"/>
      <c r="R4662" s="39">
        <v>38825</v>
      </c>
      <c r="S4662" s="37">
        <v>4.38</v>
      </c>
    </row>
    <row r="4663" spans="15:19" ht="15" x14ac:dyDescent="0.25">
      <c r="O4663"/>
      <c r="P4663"/>
      <c r="R4663" s="39">
        <v>38820</v>
      </c>
      <c r="S4663" s="37">
        <v>4.3901000000000003</v>
      </c>
    </row>
    <row r="4664" spans="15:19" ht="15" x14ac:dyDescent="0.25">
      <c r="O4664"/>
      <c r="P4664"/>
      <c r="R4664" s="39">
        <v>38819</v>
      </c>
      <c r="S4664" s="37">
        <v>4.3788</v>
      </c>
    </row>
    <row r="4665" spans="15:19" ht="15" x14ac:dyDescent="0.25">
      <c r="O4665"/>
      <c r="P4665"/>
      <c r="R4665" s="39">
        <v>38818</v>
      </c>
      <c r="S4665" s="37">
        <v>4.4527999999999999</v>
      </c>
    </row>
    <row r="4666" spans="15:19" ht="15" x14ac:dyDescent="0.25">
      <c r="O4666"/>
      <c r="P4666"/>
      <c r="R4666" s="39">
        <v>38817</v>
      </c>
      <c r="S4666" s="37">
        <v>4.6201999999999996</v>
      </c>
    </row>
    <row r="4667" spans="15:19" ht="15" x14ac:dyDescent="0.25">
      <c r="O4667"/>
      <c r="P4667"/>
      <c r="R4667" s="39">
        <v>38814</v>
      </c>
      <c r="S4667" s="37">
        <v>4.3863000000000003</v>
      </c>
    </row>
    <row r="4668" spans="15:19" ht="15" x14ac:dyDescent="0.25">
      <c r="O4668"/>
      <c r="P4668"/>
      <c r="R4668" s="39">
        <v>38813</v>
      </c>
      <c r="S4668" s="37">
        <v>4.4678000000000004</v>
      </c>
    </row>
    <row r="4669" spans="15:19" ht="15" x14ac:dyDescent="0.25">
      <c r="O4669"/>
      <c r="P4669"/>
      <c r="R4669" s="39">
        <v>38812</v>
      </c>
      <c r="S4669" s="37">
        <v>4.6527000000000003</v>
      </c>
    </row>
    <row r="4670" spans="15:19" ht="15" x14ac:dyDescent="0.25">
      <c r="O4670"/>
      <c r="P4670"/>
      <c r="R4670" s="39">
        <v>38811</v>
      </c>
      <c r="S4670" s="37">
        <v>4.6311999999999998</v>
      </c>
    </row>
    <row r="4671" spans="15:19" ht="15" x14ac:dyDescent="0.25">
      <c r="O4671"/>
      <c r="P4671"/>
      <c r="R4671" s="39">
        <v>38810</v>
      </c>
      <c r="S4671" s="37">
        <v>4.6510999999999996</v>
      </c>
    </row>
    <row r="4672" spans="15:19" ht="15" x14ac:dyDescent="0.25">
      <c r="O4672"/>
      <c r="P4672"/>
      <c r="R4672" s="39">
        <v>38807</v>
      </c>
      <c r="S4672" s="37">
        <v>4.7527999999999997</v>
      </c>
    </row>
    <row r="4673" spans="15:19" ht="15" x14ac:dyDescent="0.25">
      <c r="O4673"/>
      <c r="P4673"/>
      <c r="R4673" s="39">
        <v>38806</v>
      </c>
      <c r="S4673" s="37">
        <v>4.4055999999999997</v>
      </c>
    </row>
    <row r="4674" spans="15:19" ht="15" x14ac:dyDescent="0.25">
      <c r="O4674"/>
      <c r="P4674"/>
      <c r="R4674" s="39">
        <v>38805</v>
      </c>
      <c r="S4674" s="37">
        <v>4.3769</v>
      </c>
    </row>
    <row r="4675" spans="15:19" ht="15" x14ac:dyDescent="0.25">
      <c r="O4675"/>
      <c r="P4675"/>
      <c r="R4675" s="39">
        <v>38804</v>
      </c>
      <c r="S4675" s="37">
        <v>4.3970000000000002</v>
      </c>
    </row>
    <row r="4676" spans="15:19" ht="15" x14ac:dyDescent="0.25">
      <c r="O4676"/>
      <c r="P4676"/>
      <c r="R4676" s="39">
        <v>38803</v>
      </c>
      <c r="S4676" s="37">
        <v>4.4236000000000004</v>
      </c>
    </row>
    <row r="4677" spans="15:19" ht="15" x14ac:dyDescent="0.25">
      <c r="O4677"/>
      <c r="P4677"/>
      <c r="R4677" s="39">
        <v>38800</v>
      </c>
      <c r="S4677" s="37">
        <v>4.3708999999999998</v>
      </c>
    </row>
    <row r="4678" spans="15:19" ht="15" x14ac:dyDescent="0.25">
      <c r="O4678"/>
      <c r="P4678"/>
      <c r="R4678" s="39">
        <v>38799</v>
      </c>
      <c r="S4678" s="37">
        <v>4.3697999999999997</v>
      </c>
    </row>
    <row r="4679" spans="15:19" ht="15" x14ac:dyDescent="0.25">
      <c r="O4679"/>
      <c r="P4679"/>
      <c r="R4679" s="39">
        <v>38798</v>
      </c>
      <c r="S4679" s="37">
        <v>4.3673999999999999</v>
      </c>
    </row>
    <row r="4680" spans="15:19" ht="15" x14ac:dyDescent="0.25">
      <c r="O4680"/>
      <c r="P4680"/>
      <c r="R4680" s="39">
        <v>38797</v>
      </c>
      <c r="S4680" s="37">
        <v>4.3891999999999998</v>
      </c>
    </row>
    <row r="4681" spans="15:19" ht="15" x14ac:dyDescent="0.25">
      <c r="O4681"/>
      <c r="P4681"/>
      <c r="R4681" s="39">
        <v>38796</v>
      </c>
      <c r="S4681" s="37">
        <v>4.4298000000000002</v>
      </c>
    </row>
    <row r="4682" spans="15:19" ht="15" x14ac:dyDescent="0.25">
      <c r="O4682"/>
      <c r="P4682"/>
      <c r="R4682" s="39">
        <v>38793</v>
      </c>
      <c r="S4682" s="37">
        <v>4.7022000000000004</v>
      </c>
    </row>
    <row r="4683" spans="15:19" ht="15" x14ac:dyDescent="0.25">
      <c r="O4683"/>
      <c r="P4683"/>
      <c r="R4683" s="39">
        <v>38792</v>
      </c>
      <c r="S4683" s="37">
        <v>4.7537000000000003</v>
      </c>
    </row>
    <row r="4684" spans="15:19" ht="15" x14ac:dyDescent="0.25">
      <c r="O4684"/>
      <c r="P4684"/>
      <c r="R4684" s="39">
        <v>38791</v>
      </c>
      <c r="S4684" s="37">
        <v>4.6002999999999998</v>
      </c>
    </row>
    <row r="4685" spans="15:19" ht="15" x14ac:dyDescent="0.25">
      <c r="O4685"/>
      <c r="P4685"/>
      <c r="R4685" s="39">
        <v>38790</v>
      </c>
      <c r="S4685" s="37">
        <v>4.7624000000000004</v>
      </c>
    </row>
    <row r="4686" spans="15:19" ht="15" x14ac:dyDescent="0.25">
      <c r="O4686"/>
      <c r="P4686"/>
      <c r="R4686" s="39">
        <v>38789</v>
      </c>
      <c r="S4686" s="37">
        <v>4.7554999999999996</v>
      </c>
    </row>
    <row r="4687" spans="15:19" ht="15" x14ac:dyDescent="0.25">
      <c r="O4687"/>
      <c r="P4687"/>
      <c r="R4687" s="39">
        <v>38786</v>
      </c>
      <c r="S4687" s="37">
        <v>4.6631999999999998</v>
      </c>
    </row>
    <row r="4688" spans="15:19" ht="15" x14ac:dyDescent="0.25">
      <c r="O4688"/>
      <c r="P4688"/>
      <c r="R4688" s="39">
        <v>38785</v>
      </c>
      <c r="S4688" s="37">
        <v>4.3841999999999999</v>
      </c>
    </row>
    <row r="4689" spans="15:19" ht="15" x14ac:dyDescent="0.25">
      <c r="O4689"/>
      <c r="P4689"/>
      <c r="R4689" s="39">
        <v>38784</v>
      </c>
      <c r="S4689" s="37">
        <v>4.3823999999999996</v>
      </c>
    </row>
    <row r="4690" spans="15:19" ht="15" x14ac:dyDescent="0.25">
      <c r="O4690"/>
      <c r="P4690"/>
      <c r="R4690" s="39">
        <v>38783</v>
      </c>
      <c r="S4690" s="37">
        <v>4.4271000000000003</v>
      </c>
    </row>
    <row r="4691" spans="15:19" ht="15" x14ac:dyDescent="0.25">
      <c r="O4691"/>
      <c r="P4691"/>
      <c r="R4691" s="39">
        <v>38782</v>
      </c>
      <c r="S4691" s="37">
        <v>4.4325000000000001</v>
      </c>
    </row>
    <row r="4692" spans="15:19" ht="15" x14ac:dyDescent="0.25">
      <c r="O4692"/>
      <c r="P4692"/>
      <c r="R4692" s="39">
        <v>38779</v>
      </c>
      <c r="S4692" s="37">
        <v>4.7298999999999998</v>
      </c>
    </row>
    <row r="4693" spans="15:19" ht="15" x14ac:dyDescent="0.25">
      <c r="O4693"/>
      <c r="P4693"/>
      <c r="R4693" s="39">
        <v>38778</v>
      </c>
      <c r="S4693" s="37">
        <v>4.8047000000000004</v>
      </c>
    </row>
    <row r="4694" spans="15:19" ht="15" x14ac:dyDescent="0.25">
      <c r="O4694"/>
      <c r="P4694"/>
      <c r="R4694" s="39">
        <v>38777</v>
      </c>
      <c r="S4694" s="37">
        <v>4.7442000000000002</v>
      </c>
    </row>
    <row r="4695" spans="15:19" ht="15" x14ac:dyDescent="0.25">
      <c r="O4695"/>
      <c r="P4695"/>
      <c r="R4695" s="39">
        <v>38776</v>
      </c>
      <c r="S4695" s="37">
        <v>4.6553000000000004</v>
      </c>
    </row>
    <row r="4696" spans="15:19" ht="15" x14ac:dyDescent="0.25">
      <c r="O4696"/>
      <c r="P4696"/>
      <c r="R4696" s="39">
        <v>38775</v>
      </c>
      <c r="S4696" s="37">
        <v>4.3686999999999996</v>
      </c>
    </row>
    <row r="4697" spans="15:19" ht="15" x14ac:dyDescent="0.25">
      <c r="O4697"/>
      <c r="P4697"/>
      <c r="R4697" s="39">
        <v>38772</v>
      </c>
      <c r="S4697" s="37">
        <v>4.3768000000000002</v>
      </c>
    </row>
    <row r="4698" spans="15:19" ht="15" x14ac:dyDescent="0.25">
      <c r="O4698"/>
      <c r="P4698"/>
      <c r="R4698" s="39">
        <v>38771</v>
      </c>
      <c r="S4698" s="37">
        <v>4.4466999999999999</v>
      </c>
    </row>
    <row r="4699" spans="15:19" ht="15" x14ac:dyDescent="0.25">
      <c r="O4699"/>
      <c r="P4699"/>
      <c r="R4699" s="39">
        <v>38770</v>
      </c>
      <c r="S4699" s="37">
        <v>4.3681000000000001</v>
      </c>
    </row>
    <row r="4700" spans="15:19" ht="15" x14ac:dyDescent="0.25">
      <c r="O4700"/>
      <c r="P4700"/>
      <c r="R4700" s="39">
        <v>38769</v>
      </c>
      <c r="S4700" s="37">
        <v>4.3853</v>
      </c>
    </row>
    <row r="4701" spans="15:19" ht="15" x14ac:dyDescent="0.25">
      <c r="O4701"/>
      <c r="P4701"/>
      <c r="R4701" s="39">
        <v>38768</v>
      </c>
      <c r="S4701" s="37">
        <v>4.3712999999999997</v>
      </c>
    </row>
    <row r="4702" spans="15:19" ht="15" x14ac:dyDescent="0.25">
      <c r="O4702"/>
      <c r="P4702"/>
      <c r="R4702" s="39">
        <v>38765</v>
      </c>
      <c r="S4702" s="37">
        <v>4.3574000000000002</v>
      </c>
    </row>
    <row r="4703" spans="15:19" ht="15" x14ac:dyDescent="0.25">
      <c r="O4703"/>
      <c r="P4703"/>
      <c r="R4703" s="39">
        <v>38764</v>
      </c>
      <c r="S4703" s="37">
        <v>4.37</v>
      </c>
    </row>
    <row r="4704" spans="15:19" ht="15" x14ac:dyDescent="0.25">
      <c r="O4704"/>
      <c r="P4704"/>
      <c r="R4704" s="39">
        <v>38763</v>
      </c>
      <c r="S4704" s="37">
        <v>4.4265999999999996</v>
      </c>
    </row>
    <row r="4705" spans="15:19" ht="15" x14ac:dyDescent="0.25">
      <c r="O4705"/>
      <c r="P4705"/>
      <c r="R4705" s="39">
        <v>38762</v>
      </c>
      <c r="S4705" s="37">
        <v>4.4280999999999997</v>
      </c>
    </row>
    <row r="4706" spans="15:19" ht="15" x14ac:dyDescent="0.25">
      <c r="O4706"/>
      <c r="P4706"/>
      <c r="R4706" s="39">
        <v>38761</v>
      </c>
      <c r="S4706" s="37">
        <v>4.3883999999999999</v>
      </c>
    </row>
    <row r="4707" spans="15:19" ht="15" x14ac:dyDescent="0.25">
      <c r="O4707"/>
      <c r="P4707"/>
      <c r="R4707" s="39">
        <v>38758</v>
      </c>
      <c r="S4707" s="37">
        <v>4.37</v>
      </c>
    </row>
    <row r="4708" spans="15:19" ht="15" x14ac:dyDescent="0.25">
      <c r="O4708"/>
      <c r="P4708"/>
      <c r="R4708" s="39">
        <v>38757</v>
      </c>
      <c r="S4708" s="37">
        <v>4.5983000000000001</v>
      </c>
    </row>
    <row r="4709" spans="15:19" ht="15" x14ac:dyDescent="0.25">
      <c r="O4709"/>
      <c r="P4709"/>
      <c r="R4709" s="39">
        <v>38756</v>
      </c>
      <c r="S4709" s="37">
        <v>4.5514000000000001</v>
      </c>
    </row>
    <row r="4710" spans="15:19" ht="15" x14ac:dyDescent="0.25">
      <c r="O4710"/>
      <c r="P4710"/>
      <c r="R4710" s="39">
        <v>38755</v>
      </c>
      <c r="S4710" s="37">
        <v>4.3693999999999997</v>
      </c>
    </row>
    <row r="4711" spans="15:19" ht="15" x14ac:dyDescent="0.25">
      <c r="O4711"/>
      <c r="P4711"/>
      <c r="R4711" s="39">
        <v>38754</v>
      </c>
      <c r="S4711" s="37">
        <v>4.5172999999999996</v>
      </c>
    </row>
    <row r="4712" spans="15:19" ht="15" x14ac:dyDescent="0.25">
      <c r="O4712"/>
      <c r="P4712"/>
      <c r="R4712" s="39">
        <v>38751</v>
      </c>
      <c r="S4712" s="37">
        <v>4.3738000000000001</v>
      </c>
    </row>
    <row r="4713" spans="15:19" ht="15" x14ac:dyDescent="0.25">
      <c r="O4713"/>
      <c r="P4713"/>
      <c r="R4713" s="39">
        <v>38750</v>
      </c>
      <c r="S4713" s="37">
        <v>4.3775000000000004</v>
      </c>
    </row>
    <row r="4714" spans="15:19" ht="15" x14ac:dyDescent="0.25">
      <c r="O4714"/>
      <c r="P4714"/>
      <c r="R4714" s="39">
        <v>38749</v>
      </c>
      <c r="S4714" s="37">
        <v>4.4088000000000003</v>
      </c>
    </row>
    <row r="4715" spans="15:19" ht="15" x14ac:dyDescent="0.25">
      <c r="O4715"/>
      <c r="P4715"/>
      <c r="R4715" s="39">
        <v>38748</v>
      </c>
      <c r="S4715" s="37">
        <v>4.7004000000000001</v>
      </c>
    </row>
    <row r="4716" spans="15:19" ht="15" x14ac:dyDescent="0.25">
      <c r="O4716"/>
      <c r="P4716"/>
      <c r="R4716" s="39">
        <v>38747</v>
      </c>
      <c r="S4716" s="37">
        <v>4.6337999999999999</v>
      </c>
    </row>
    <row r="4717" spans="15:19" ht="15" x14ac:dyDescent="0.25">
      <c r="O4717"/>
      <c r="P4717"/>
      <c r="R4717" s="39">
        <v>38744</v>
      </c>
      <c r="S4717" s="37">
        <v>4.5237999999999996</v>
      </c>
    </row>
    <row r="4718" spans="15:19" ht="15" x14ac:dyDescent="0.25">
      <c r="O4718"/>
      <c r="P4718"/>
      <c r="R4718" s="39">
        <v>38743</v>
      </c>
      <c r="S4718" s="37">
        <v>4.4810999999999996</v>
      </c>
    </row>
    <row r="4719" spans="15:19" ht="15" x14ac:dyDescent="0.25">
      <c r="O4719"/>
      <c r="P4719"/>
      <c r="R4719" s="39">
        <v>38742</v>
      </c>
      <c r="S4719" s="37">
        <v>4.3832000000000004</v>
      </c>
    </row>
    <row r="4720" spans="15:19" ht="15" x14ac:dyDescent="0.25">
      <c r="O4720"/>
      <c r="P4720"/>
      <c r="R4720" s="39">
        <v>38741</v>
      </c>
      <c r="S4720" s="37">
        <v>4.3651</v>
      </c>
    </row>
    <row r="4721" spans="15:19" ht="15" x14ac:dyDescent="0.25">
      <c r="O4721"/>
      <c r="P4721"/>
      <c r="R4721" s="39">
        <v>38740</v>
      </c>
      <c r="S4721" s="37">
        <v>4.3639999999999999</v>
      </c>
    </row>
    <row r="4722" spans="15:19" ht="15" x14ac:dyDescent="0.25">
      <c r="O4722"/>
      <c r="P4722"/>
      <c r="R4722" s="39">
        <v>38737</v>
      </c>
      <c r="S4722" s="37">
        <v>4.4131999999999998</v>
      </c>
    </row>
    <row r="4723" spans="15:19" ht="15" x14ac:dyDescent="0.25">
      <c r="O4723"/>
      <c r="P4723"/>
      <c r="R4723" s="39">
        <v>38736</v>
      </c>
      <c r="S4723" s="37">
        <v>4.3640999999999996</v>
      </c>
    </row>
    <row r="4724" spans="15:19" ht="15" x14ac:dyDescent="0.25">
      <c r="O4724"/>
      <c r="P4724"/>
      <c r="R4724" s="39">
        <v>38735</v>
      </c>
      <c r="S4724" s="37">
        <v>4.3596000000000004</v>
      </c>
    </row>
    <row r="4725" spans="15:19" ht="15" x14ac:dyDescent="0.25">
      <c r="O4725"/>
      <c r="P4725"/>
      <c r="R4725" s="39">
        <v>38734</v>
      </c>
      <c r="S4725" s="37">
        <v>4.3628</v>
      </c>
    </row>
    <row r="4726" spans="15:19" ht="15" x14ac:dyDescent="0.25">
      <c r="O4726"/>
      <c r="P4726"/>
      <c r="R4726" s="39">
        <v>38733</v>
      </c>
      <c r="S4726" s="37">
        <v>4.3730000000000002</v>
      </c>
    </row>
    <row r="4727" spans="15:19" ht="15" x14ac:dyDescent="0.25">
      <c r="O4727"/>
      <c r="P4727"/>
      <c r="R4727" s="39">
        <v>38730</v>
      </c>
      <c r="S4727" s="37">
        <v>4.3829000000000002</v>
      </c>
    </row>
    <row r="4728" spans="15:19" ht="15" x14ac:dyDescent="0.25">
      <c r="O4728"/>
      <c r="P4728"/>
      <c r="R4728" s="39">
        <v>38729</v>
      </c>
      <c r="S4728" s="37">
        <v>4.5519999999999996</v>
      </c>
    </row>
    <row r="4729" spans="15:19" ht="15" x14ac:dyDescent="0.25">
      <c r="O4729"/>
      <c r="P4729"/>
      <c r="R4729" s="39">
        <v>38728</v>
      </c>
      <c r="S4729" s="37">
        <v>4.4542999999999999</v>
      </c>
    </row>
    <row r="4730" spans="15:19" ht="15" x14ac:dyDescent="0.25">
      <c r="O4730"/>
      <c r="P4730"/>
      <c r="R4730" s="39">
        <v>38727</v>
      </c>
      <c r="S4730" s="37">
        <v>4.5658000000000003</v>
      </c>
    </row>
    <row r="4731" spans="15:19" ht="15" x14ac:dyDescent="0.25">
      <c r="O4731"/>
      <c r="P4731"/>
      <c r="R4731" s="39">
        <v>38726</v>
      </c>
      <c r="S4731" s="37">
        <v>4.4180999999999999</v>
      </c>
    </row>
    <row r="4732" spans="15:19" ht="15" x14ac:dyDescent="0.25">
      <c r="O4732"/>
      <c r="P4732"/>
      <c r="R4732" s="39">
        <v>38723</v>
      </c>
      <c r="S4732" s="37">
        <v>4.3887</v>
      </c>
    </row>
    <row r="4733" spans="15:19" ht="15" x14ac:dyDescent="0.25">
      <c r="O4733"/>
      <c r="P4733"/>
      <c r="R4733" s="39">
        <v>38722</v>
      </c>
      <c r="S4733" s="37">
        <v>4.6837</v>
      </c>
    </row>
    <row r="4734" spans="15:19" ht="15" x14ac:dyDescent="0.25">
      <c r="O4734"/>
      <c r="P4734"/>
      <c r="R4734" s="39">
        <v>38721</v>
      </c>
      <c r="S4734" s="37">
        <v>4.6817000000000002</v>
      </c>
    </row>
    <row r="4735" spans="15:19" ht="15" x14ac:dyDescent="0.25">
      <c r="O4735"/>
      <c r="P4735"/>
      <c r="R4735" s="39">
        <v>38720</v>
      </c>
      <c r="S4735" s="37">
        <v>4.6893000000000002</v>
      </c>
    </row>
    <row r="4736" spans="15:19" ht="15" x14ac:dyDescent="0.25">
      <c r="O4736"/>
      <c r="P4736"/>
      <c r="R4736" s="39">
        <v>38716</v>
      </c>
      <c r="S4736" s="37">
        <v>4.7626999999999997</v>
      </c>
    </row>
    <row r="4737" spans="15:19" ht="15" x14ac:dyDescent="0.25">
      <c r="O4737"/>
      <c r="P4737"/>
      <c r="R4737" s="39">
        <v>38715</v>
      </c>
      <c r="S4737" s="37">
        <v>4.7683</v>
      </c>
    </row>
    <row r="4738" spans="15:19" ht="15" x14ac:dyDescent="0.25">
      <c r="O4738"/>
      <c r="P4738"/>
      <c r="R4738" s="39">
        <v>38714</v>
      </c>
      <c r="S4738" s="37">
        <v>4.7438000000000002</v>
      </c>
    </row>
    <row r="4739" spans="15:19" ht="15" x14ac:dyDescent="0.25">
      <c r="O4739"/>
      <c r="P4739"/>
      <c r="R4739" s="39">
        <v>38709</v>
      </c>
      <c r="S4739" s="37">
        <v>4.6492000000000004</v>
      </c>
    </row>
    <row r="4740" spans="15:19" ht="15" x14ac:dyDescent="0.25">
      <c r="O4740"/>
      <c r="P4740"/>
      <c r="R4740" s="39">
        <v>38708</v>
      </c>
      <c r="S4740" s="37">
        <v>4.7474999999999996</v>
      </c>
    </row>
    <row r="4741" spans="15:19" ht="15" x14ac:dyDescent="0.25">
      <c r="O4741"/>
      <c r="P4741"/>
      <c r="R4741" s="39">
        <v>38707</v>
      </c>
      <c r="S4741" s="37">
        <v>4.7215999999999996</v>
      </c>
    </row>
    <row r="4742" spans="15:19" ht="15" x14ac:dyDescent="0.25">
      <c r="O4742"/>
      <c r="P4742"/>
      <c r="R4742" s="39">
        <v>38706</v>
      </c>
      <c r="S4742" s="37">
        <v>4.5632999999999999</v>
      </c>
    </row>
    <row r="4743" spans="15:19" ht="15" x14ac:dyDescent="0.25">
      <c r="O4743"/>
      <c r="P4743"/>
      <c r="R4743" s="39">
        <v>38705</v>
      </c>
      <c r="S4743" s="37">
        <v>4.6327999999999996</v>
      </c>
    </row>
    <row r="4744" spans="15:19" ht="15" x14ac:dyDescent="0.25">
      <c r="O4744"/>
      <c r="P4744"/>
      <c r="R4744" s="39">
        <v>38702</v>
      </c>
      <c r="S4744" s="37">
        <v>4.7221000000000002</v>
      </c>
    </row>
    <row r="4745" spans="15:19" ht="15" x14ac:dyDescent="0.25">
      <c r="O4745"/>
      <c r="P4745"/>
      <c r="R4745" s="39">
        <v>38701</v>
      </c>
      <c r="S4745" s="37">
        <v>4.6970000000000001</v>
      </c>
    </row>
    <row r="4746" spans="15:19" ht="15" x14ac:dyDescent="0.25">
      <c r="O4746"/>
      <c r="P4746"/>
      <c r="R4746" s="39">
        <v>38700</v>
      </c>
      <c r="S4746" s="37">
        <v>4.6761999999999997</v>
      </c>
    </row>
    <row r="4747" spans="15:19" ht="15" x14ac:dyDescent="0.25">
      <c r="O4747"/>
      <c r="P4747"/>
      <c r="R4747" s="39">
        <v>38699</v>
      </c>
      <c r="S4747" s="37">
        <v>4.5191999999999997</v>
      </c>
    </row>
    <row r="4748" spans="15:19" ht="15" x14ac:dyDescent="0.25">
      <c r="O4748"/>
      <c r="P4748"/>
      <c r="R4748" s="39">
        <v>38698</v>
      </c>
      <c r="S4748" s="37">
        <v>4.3792999999999997</v>
      </c>
    </row>
    <row r="4749" spans="15:19" ht="15" x14ac:dyDescent="0.25">
      <c r="O4749"/>
      <c r="P4749"/>
      <c r="R4749" s="39">
        <v>38695</v>
      </c>
      <c r="S4749" s="37">
        <v>4.3693999999999997</v>
      </c>
    </row>
    <row r="4750" spans="15:19" ht="15" x14ac:dyDescent="0.25">
      <c r="O4750"/>
      <c r="P4750"/>
      <c r="R4750" s="39">
        <v>38694</v>
      </c>
      <c r="S4750" s="37">
        <v>4.6287000000000003</v>
      </c>
    </row>
    <row r="4751" spans="15:19" ht="15" x14ac:dyDescent="0.25">
      <c r="O4751"/>
      <c r="P4751"/>
      <c r="R4751" s="39">
        <v>38693</v>
      </c>
      <c r="S4751" s="37">
        <v>4.6848000000000001</v>
      </c>
    </row>
    <row r="4752" spans="15:19" ht="15" x14ac:dyDescent="0.25">
      <c r="O4752"/>
      <c r="P4752"/>
      <c r="R4752" s="39">
        <v>38692</v>
      </c>
      <c r="S4752" s="37">
        <v>4.7122000000000002</v>
      </c>
    </row>
    <row r="4753" spans="15:19" ht="15" x14ac:dyDescent="0.25">
      <c r="O4753"/>
      <c r="P4753"/>
      <c r="R4753" s="39">
        <v>38691</v>
      </c>
      <c r="S4753" s="37">
        <v>4.7202000000000002</v>
      </c>
    </row>
    <row r="4754" spans="15:19" ht="15" x14ac:dyDescent="0.25">
      <c r="O4754"/>
      <c r="P4754"/>
      <c r="R4754" s="39">
        <v>38688</v>
      </c>
      <c r="S4754" s="37">
        <v>4.6729000000000003</v>
      </c>
    </row>
    <row r="4755" spans="15:19" ht="15" x14ac:dyDescent="0.25">
      <c r="O4755"/>
      <c r="P4755"/>
      <c r="R4755" s="39">
        <v>38687</v>
      </c>
      <c r="S4755" s="37">
        <v>4.3906999999999998</v>
      </c>
    </row>
    <row r="4756" spans="15:19" ht="15" x14ac:dyDescent="0.25">
      <c r="O4756"/>
      <c r="P4756"/>
      <c r="R4756" s="39">
        <v>38686</v>
      </c>
      <c r="S4756" s="37">
        <v>4.7195999999999998</v>
      </c>
    </row>
    <row r="4757" spans="15:19" ht="15" x14ac:dyDescent="0.25">
      <c r="O4757"/>
      <c r="P4757"/>
      <c r="R4757" s="39">
        <v>38685</v>
      </c>
      <c r="S4757" s="37">
        <v>4.6555</v>
      </c>
    </row>
    <row r="4758" spans="15:19" ht="15" x14ac:dyDescent="0.25">
      <c r="O4758"/>
      <c r="P4758"/>
      <c r="R4758" s="39">
        <v>38684</v>
      </c>
      <c r="S4758" s="37">
        <v>4.5167999999999999</v>
      </c>
    </row>
    <row r="4759" spans="15:19" ht="15" x14ac:dyDescent="0.25">
      <c r="O4759"/>
      <c r="P4759"/>
      <c r="R4759" s="39">
        <v>38681</v>
      </c>
      <c r="S4759" s="37">
        <v>4.3651</v>
      </c>
    </row>
    <row r="4760" spans="15:19" ht="15" x14ac:dyDescent="0.25">
      <c r="O4760"/>
      <c r="P4760"/>
      <c r="R4760" s="39">
        <v>38680</v>
      </c>
      <c r="S4760" s="37">
        <v>4.3712999999999997</v>
      </c>
    </row>
    <row r="4761" spans="15:19" ht="15" x14ac:dyDescent="0.25">
      <c r="O4761"/>
      <c r="P4761"/>
      <c r="R4761" s="39">
        <v>38679</v>
      </c>
      <c r="S4761" s="37">
        <v>4.6938000000000004</v>
      </c>
    </row>
    <row r="4762" spans="15:19" ht="15" x14ac:dyDescent="0.25">
      <c r="O4762"/>
      <c r="P4762"/>
      <c r="R4762" s="39">
        <v>38678</v>
      </c>
      <c r="S4762" s="37">
        <v>4.6695000000000002</v>
      </c>
    </row>
    <row r="4763" spans="15:19" ht="15" x14ac:dyDescent="0.25">
      <c r="O4763"/>
      <c r="P4763"/>
      <c r="R4763" s="39">
        <v>38677</v>
      </c>
      <c r="S4763" s="37">
        <v>4.6323999999999996</v>
      </c>
    </row>
    <row r="4764" spans="15:19" ht="15" x14ac:dyDescent="0.25">
      <c r="O4764"/>
      <c r="P4764"/>
      <c r="R4764" s="39">
        <v>38674</v>
      </c>
      <c r="S4764" s="37">
        <v>4.5896999999999997</v>
      </c>
    </row>
    <row r="4765" spans="15:19" ht="15" x14ac:dyDescent="0.25">
      <c r="O4765"/>
      <c r="P4765"/>
      <c r="R4765" s="39">
        <v>38673</v>
      </c>
      <c r="S4765" s="37">
        <v>4.6478000000000002</v>
      </c>
    </row>
    <row r="4766" spans="15:19" ht="15" x14ac:dyDescent="0.25">
      <c r="O4766"/>
      <c r="P4766"/>
      <c r="R4766" s="39">
        <v>38672</v>
      </c>
      <c r="S4766" s="37">
        <v>4.3573000000000004</v>
      </c>
    </row>
    <row r="4767" spans="15:19" ht="15" x14ac:dyDescent="0.25">
      <c r="O4767"/>
      <c r="P4767"/>
      <c r="R4767" s="39">
        <v>38671</v>
      </c>
      <c r="S4767" s="37">
        <v>4.4417999999999997</v>
      </c>
    </row>
    <row r="4768" spans="15:19" ht="15" x14ac:dyDescent="0.25">
      <c r="O4768"/>
      <c r="P4768"/>
      <c r="R4768" s="39">
        <v>38670</v>
      </c>
      <c r="S4768" s="37">
        <v>4.3601000000000001</v>
      </c>
    </row>
    <row r="4769" spans="15:19" ht="15" x14ac:dyDescent="0.25">
      <c r="O4769"/>
      <c r="P4769"/>
      <c r="R4769" s="39">
        <v>38667</v>
      </c>
      <c r="S4769" s="37">
        <v>4.3841999999999999</v>
      </c>
    </row>
    <row r="4770" spans="15:19" ht="15" x14ac:dyDescent="0.25">
      <c r="O4770"/>
      <c r="P4770"/>
      <c r="R4770" s="39">
        <v>38666</v>
      </c>
      <c r="S4770" s="37">
        <v>4.6292</v>
      </c>
    </row>
    <row r="4771" spans="15:19" ht="15" x14ac:dyDescent="0.25">
      <c r="O4771"/>
      <c r="P4771"/>
      <c r="R4771" s="39">
        <v>38665</v>
      </c>
      <c r="S4771" s="37">
        <v>4.6691000000000003</v>
      </c>
    </row>
    <row r="4772" spans="15:19" ht="15" x14ac:dyDescent="0.25">
      <c r="O4772"/>
      <c r="P4772"/>
      <c r="R4772" s="39">
        <v>38664</v>
      </c>
      <c r="S4772" s="37">
        <v>4.6332000000000004</v>
      </c>
    </row>
    <row r="4773" spans="15:19" ht="15" x14ac:dyDescent="0.25">
      <c r="O4773"/>
      <c r="P4773"/>
      <c r="R4773" s="39">
        <v>38663</v>
      </c>
      <c r="S4773" s="37">
        <v>4.6395999999999997</v>
      </c>
    </row>
    <row r="4774" spans="15:19" ht="15" x14ac:dyDescent="0.25">
      <c r="O4774"/>
      <c r="P4774"/>
      <c r="R4774" s="39">
        <v>38660</v>
      </c>
      <c r="S4774" s="37">
        <v>4.6261999999999999</v>
      </c>
    </row>
    <row r="4775" spans="15:19" ht="15" x14ac:dyDescent="0.25">
      <c r="O4775"/>
      <c r="P4775"/>
      <c r="R4775" s="39">
        <v>38659</v>
      </c>
      <c r="S4775" s="37">
        <v>4.3678999999999997</v>
      </c>
    </row>
    <row r="4776" spans="15:19" ht="15" x14ac:dyDescent="0.25">
      <c r="O4776"/>
      <c r="P4776"/>
      <c r="R4776" s="39">
        <v>38658</v>
      </c>
      <c r="S4776" s="37">
        <v>4.3897000000000004</v>
      </c>
    </row>
    <row r="4777" spans="15:19" ht="15" x14ac:dyDescent="0.25">
      <c r="O4777"/>
      <c r="P4777"/>
      <c r="R4777" s="39">
        <v>38657</v>
      </c>
      <c r="S4777" s="37">
        <v>4.6483999999999996</v>
      </c>
    </row>
    <row r="4778" spans="15:19" ht="15" x14ac:dyDescent="0.25">
      <c r="O4778"/>
      <c r="P4778"/>
      <c r="R4778" s="39">
        <v>38656</v>
      </c>
      <c r="S4778" s="37">
        <v>4.3925000000000001</v>
      </c>
    </row>
    <row r="4779" spans="15:19" ht="15" x14ac:dyDescent="0.25">
      <c r="O4779"/>
      <c r="P4779"/>
      <c r="R4779" s="39">
        <v>38653</v>
      </c>
      <c r="S4779" s="37">
        <v>4.3470000000000004</v>
      </c>
    </row>
    <row r="4780" spans="15:19" ht="15" x14ac:dyDescent="0.25">
      <c r="O4780"/>
      <c r="P4780"/>
      <c r="R4780" s="39">
        <v>38652</v>
      </c>
      <c r="S4780" s="37">
        <v>4.4051999999999998</v>
      </c>
    </row>
    <row r="4781" spans="15:19" ht="15" x14ac:dyDescent="0.25">
      <c r="O4781"/>
      <c r="P4781"/>
      <c r="R4781" s="39">
        <v>38651</v>
      </c>
      <c r="S4781" s="37">
        <v>4.6744000000000003</v>
      </c>
    </row>
    <row r="4782" spans="15:19" ht="15" x14ac:dyDescent="0.25">
      <c r="O4782"/>
      <c r="P4782"/>
      <c r="R4782" s="39">
        <v>38650</v>
      </c>
      <c r="S4782" s="37">
        <v>4.3627000000000002</v>
      </c>
    </row>
    <row r="4783" spans="15:19" ht="15" x14ac:dyDescent="0.25">
      <c r="O4783"/>
      <c r="P4783"/>
      <c r="R4783" s="39">
        <v>38649</v>
      </c>
      <c r="S4783" s="37">
        <v>4.3499999999999996</v>
      </c>
    </row>
    <row r="4784" spans="15:19" ht="15" x14ac:dyDescent="0.25">
      <c r="O4784"/>
      <c r="P4784"/>
      <c r="R4784" s="39">
        <v>38646</v>
      </c>
      <c r="S4784" s="37">
        <v>4.6052</v>
      </c>
    </row>
    <row r="4785" spans="15:19" ht="15" x14ac:dyDescent="0.25">
      <c r="O4785"/>
      <c r="P4785"/>
      <c r="R4785" s="39">
        <v>38645</v>
      </c>
      <c r="S4785" s="37">
        <v>4.3940999999999999</v>
      </c>
    </row>
    <row r="4786" spans="15:19" ht="15" x14ac:dyDescent="0.25">
      <c r="O4786"/>
      <c r="P4786"/>
      <c r="R4786" s="39">
        <v>38644</v>
      </c>
      <c r="S4786" s="37">
        <v>4.3262</v>
      </c>
    </row>
    <row r="4787" spans="15:19" ht="15" x14ac:dyDescent="0.25">
      <c r="O4787"/>
      <c r="P4787"/>
      <c r="R4787" s="39">
        <v>38643</v>
      </c>
      <c r="S4787" s="37">
        <v>4.3136000000000001</v>
      </c>
    </row>
    <row r="4788" spans="15:19" ht="15" x14ac:dyDescent="0.25">
      <c r="O4788"/>
      <c r="P4788"/>
      <c r="R4788" s="39">
        <v>38642</v>
      </c>
      <c r="S4788" s="37">
        <v>4.3396999999999997</v>
      </c>
    </row>
    <row r="4789" spans="15:19" ht="15" x14ac:dyDescent="0.25">
      <c r="O4789"/>
      <c r="P4789"/>
      <c r="R4789" s="39">
        <v>38639</v>
      </c>
      <c r="S4789" s="37">
        <v>4.6475999999999997</v>
      </c>
    </row>
    <row r="4790" spans="15:19" ht="15" x14ac:dyDescent="0.25">
      <c r="O4790"/>
      <c r="P4790"/>
      <c r="R4790" s="39">
        <v>38638</v>
      </c>
      <c r="S4790" s="37">
        <v>4.6113999999999997</v>
      </c>
    </row>
    <row r="4791" spans="15:19" ht="15" x14ac:dyDescent="0.25">
      <c r="O4791"/>
      <c r="P4791"/>
      <c r="R4791" s="39">
        <v>38637</v>
      </c>
      <c r="S4791" s="37">
        <v>4.5122</v>
      </c>
    </row>
    <row r="4792" spans="15:19" ht="15" x14ac:dyDescent="0.25">
      <c r="O4792"/>
      <c r="P4792"/>
      <c r="R4792" s="39">
        <v>38636</v>
      </c>
      <c r="S4792" s="37">
        <v>4.3582000000000001</v>
      </c>
    </row>
    <row r="4793" spans="15:19" ht="15" x14ac:dyDescent="0.25">
      <c r="O4793"/>
      <c r="P4793"/>
      <c r="R4793" s="39">
        <v>38635</v>
      </c>
      <c r="S4793" s="37">
        <v>4.3383000000000003</v>
      </c>
    </row>
    <row r="4794" spans="15:19" ht="15" x14ac:dyDescent="0.25">
      <c r="O4794"/>
      <c r="P4794"/>
      <c r="R4794" s="39">
        <v>38632</v>
      </c>
      <c r="S4794" s="37">
        <v>4.3365999999999998</v>
      </c>
    </row>
    <row r="4795" spans="15:19" ht="15" x14ac:dyDescent="0.25">
      <c r="O4795"/>
      <c r="P4795"/>
      <c r="R4795" s="39">
        <v>38631</v>
      </c>
      <c r="S4795" s="37">
        <v>4.4135999999999997</v>
      </c>
    </row>
    <row r="4796" spans="15:19" ht="15" x14ac:dyDescent="0.25">
      <c r="O4796"/>
      <c r="P4796"/>
      <c r="R4796" s="39">
        <v>38630</v>
      </c>
      <c r="S4796" s="37">
        <v>4.3413000000000004</v>
      </c>
    </row>
    <row r="4797" spans="15:19" ht="15" x14ac:dyDescent="0.25">
      <c r="O4797"/>
      <c r="P4797"/>
      <c r="R4797" s="39">
        <v>38629</v>
      </c>
      <c r="S4797" s="37">
        <v>4.3425000000000002</v>
      </c>
    </row>
    <row r="4798" spans="15:19" ht="15" x14ac:dyDescent="0.25">
      <c r="O4798"/>
      <c r="P4798"/>
      <c r="R4798" s="39">
        <v>38628</v>
      </c>
      <c r="S4798" s="37">
        <v>4.5053000000000001</v>
      </c>
    </row>
    <row r="4799" spans="15:19" ht="15" x14ac:dyDescent="0.25">
      <c r="O4799"/>
      <c r="P4799"/>
      <c r="R4799" s="39">
        <v>38625</v>
      </c>
      <c r="S4799" s="37">
        <v>4.3941999999999997</v>
      </c>
    </row>
    <row r="4800" spans="15:19" ht="15" x14ac:dyDescent="0.25">
      <c r="O4800"/>
      <c r="P4800"/>
      <c r="R4800" s="39">
        <v>38624</v>
      </c>
      <c r="S4800" s="37">
        <v>4.6768000000000001</v>
      </c>
    </row>
    <row r="4801" spans="15:19" ht="15" x14ac:dyDescent="0.25">
      <c r="O4801"/>
      <c r="P4801"/>
      <c r="R4801" s="39">
        <v>38623</v>
      </c>
      <c r="S4801" s="37">
        <v>4.5925000000000002</v>
      </c>
    </row>
    <row r="4802" spans="15:19" ht="15" x14ac:dyDescent="0.25">
      <c r="O4802"/>
      <c r="P4802"/>
      <c r="R4802" s="39">
        <v>38622</v>
      </c>
      <c r="S4802" s="37">
        <v>4.4531000000000001</v>
      </c>
    </row>
    <row r="4803" spans="15:19" ht="15" x14ac:dyDescent="0.25">
      <c r="O4803"/>
      <c r="P4803"/>
      <c r="R4803" s="39">
        <v>38621</v>
      </c>
      <c r="S4803" s="37">
        <v>4.6173999999999999</v>
      </c>
    </row>
    <row r="4804" spans="15:19" ht="15" x14ac:dyDescent="0.25">
      <c r="O4804"/>
      <c r="P4804"/>
      <c r="R4804" s="39">
        <v>38618</v>
      </c>
      <c r="S4804" s="37">
        <v>4.3384</v>
      </c>
    </row>
    <row r="4805" spans="15:19" ht="15" x14ac:dyDescent="0.25">
      <c r="O4805"/>
      <c r="P4805"/>
      <c r="R4805" s="39">
        <v>38617</v>
      </c>
      <c r="S4805" s="37">
        <v>4.3498000000000001</v>
      </c>
    </row>
    <row r="4806" spans="15:19" ht="15" x14ac:dyDescent="0.25">
      <c r="O4806"/>
      <c r="P4806"/>
      <c r="R4806" s="39">
        <v>38616</v>
      </c>
      <c r="S4806" s="37">
        <v>4.5616000000000003</v>
      </c>
    </row>
    <row r="4807" spans="15:19" ht="15" x14ac:dyDescent="0.25">
      <c r="O4807"/>
      <c r="P4807"/>
      <c r="R4807" s="39">
        <v>38615</v>
      </c>
      <c r="S4807" s="37">
        <v>4.3532999999999999</v>
      </c>
    </row>
    <row r="4808" spans="15:19" ht="15" x14ac:dyDescent="0.25">
      <c r="O4808"/>
      <c r="P4808"/>
      <c r="R4808" s="39">
        <v>38614</v>
      </c>
      <c r="S4808" s="37">
        <v>4.3646000000000003</v>
      </c>
    </row>
    <row r="4809" spans="15:19" ht="15" x14ac:dyDescent="0.25">
      <c r="O4809"/>
      <c r="P4809"/>
      <c r="R4809" s="39">
        <v>38611</v>
      </c>
      <c r="S4809" s="37">
        <v>4.6265000000000001</v>
      </c>
    </row>
    <row r="4810" spans="15:19" ht="15" x14ac:dyDescent="0.25">
      <c r="O4810"/>
      <c r="P4810"/>
      <c r="R4810" s="39">
        <v>38610</v>
      </c>
      <c r="S4810" s="37">
        <v>4.5651999999999999</v>
      </c>
    </row>
    <row r="4811" spans="15:19" ht="15" x14ac:dyDescent="0.25">
      <c r="O4811"/>
      <c r="P4811"/>
      <c r="R4811" s="39">
        <v>38609</v>
      </c>
      <c r="S4811" s="37">
        <v>4.6553000000000004</v>
      </c>
    </row>
    <row r="4812" spans="15:19" ht="15" x14ac:dyDescent="0.25">
      <c r="O4812"/>
      <c r="P4812"/>
      <c r="R4812" s="39">
        <v>38608</v>
      </c>
      <c r="S4812" s="37">
        <v>4.4074999999999998</v>
      </c>
    </row>
    <row r="4813" spans="15:19" ht="15" x14ac:dyDescent="0.25">
      <c r="O4813"/>
      <c r="P4813"/>
      <c r="R4813" s="39">
        <v>38607</v>
      </c>
      <c r="S4813" s="37">
        <v>4.6311</v>
      </c>
    </row>
    <row r="4814" spans="15:19" ht="15" x14ac:dyDescent="0.25">
      <c r="O4814"/>
      <c r="P4814"/>
      <c r="R4814" s="39">
        <v>38604</v>
      </c>
      <c r="S4814" s="37">
        <v>4.6889000000000003</v>
      </c>
    </row>
    <row r="4815" spans="15:19" ht="15" x14ac:dyDescent="0.25">
      <c r="O4815"/>
      <c r="P4815"/>
      <c r="R4815" s="39">
        <v>38603</v>
      </c>
      <c r="S4815" s="37">
        <v>4.7255000000000003</v>
      </c>
    </row>
    <row r="4816" spans="15:19" ht="15" x14ac:dyDescent="0.25">
      <c r="O4816"/>
      <c r="P4816"/>
      <c r="R4816" s="39">
        <v>38602</v>
      </c>
      <c r="S4816" s="37">
        <v>4.6858000000000004</v>
      </c>
    </row>
    <row r="4817" spans="15:19" ht="15" x14ac:dyDescent="0.25">
      <c r="O4817"/>
      <c r="P4817"/>
      <c r="R4817" s="39">
        <v>38601</v>
      </c>
      <c r="S4817" s="37">
        <v>4.5167000000000002</v>
      </c>
    </row>
    <row r="4818" spans="15:19" ht="15" x14ac:dyDescent="0.25">
      <c r="O4818"/>
      <c r="P4818"/>
      <c r="R4818" s="39">
        <v>38600</v>
      </c>
      <c r="S4818" s="37">
        <v>4.4100999999999999</v>
      </c>
    </row>
    <row r="4819" spans="15:19" ht="15" x14ac:dyDescent="0.25">
      <c r="O4819"/>
      <c r="P4819"/>
      <c r="R4819" s="39">
        <v>38597</v>
      </c>
      <c r="S4819" s="37">
        <v>4.7255000000000003</v>
      </c>
    </row>
    <row r="4820" spans="15:19" ht="15" x14ac:dyDescent="0.25">
      <c r="O4820"/>
      <c r="P4820"/>
      <c r="R4820" s="39">
        <v>38596</v>
      </c>
      <c r="S4820" s="37">
        <v>4.7590000000000003</v>
      </c>
    </row>
    <row r="4821" spans="15:19" ht="15" x14ac:dyDescent="0.25">
      <c r="O4821"/>
      <c r="P4821"/>
      <c r="R4821" s="39">
        <v>38595</v>
      </c>
      <c r="S4821" s="37">
        <v>4.7576999999999998</v>
      </c>
    </row>
    <row r="4822" spans="15:19" ht="15" x14ac:dyDescent="0.25">
      <c r="O4822"/>
      <c r="P4822"/>
      <c r="R4822" s="39">
        <v>38594</v>
      </c>
      <c r="S4822" s="37">
        <v>4.7362000000000002</v>
      </c>
    </row>
    <row r="4823" spans="15:19" ht="15" x14ac:dyDescent="0.25">
      <c r="O4823"/>
      <c r="P4823"/>
      <c r="R4823" s="39">
        <v>38590</v>
      </c>
      <c r="S4823" s="37">
        <v>4.7046999999999999</v>
      </c>
    </row>
    <row r="4824" spans="15:19" ht="15" x14ac:dyDescent="0.25">
      <c r="O4824"/>
      <c r="P4824"/>
      <c r="R4824" s="39">
        <v>38589</v>
      </c>
      <c r="S4824" s="37">
        <v>4.7370999999999999</v>
      </c>
    </row>
    <row r="4825" spans="15:19" ht="15" x14ac:dyDescent="0.25">
      <c r="O4825"/>
      <c r="P4825"/>
      <c r="R4825" s="39">
        <v>38588</v>
      </c>
      <c r="S4825" s="37">
        <v>4.7359</v>
      </c>
    </row>
    <row r="4826" spans="15:19" ht="15" x14ac:dyDescent="0.25">
      <c r="O4826"/>
      <c r="P4826"/>
      <c r="R4826" s="39">
        <v>38587</v>
      </c>
      <c r="S4826" s="37">
        <v>4.7157999999999998</v>
      </c>
    </row>
    <row r="4827" spans="15:19" ht="15" x14ac:dyDescent="0.25">
      <c r="O4827"/>
      <c r="P4827"/>
      <c r="R4827" s="39">
        <v>38586</v>
      </c>
      <c r="S4827" s="37">
        <v>4.6969000000000003</v>
      </c>
    </row>
    <row r="4828" spans="15:19" ht="15" x14ac:dyDescent="0.25">
      <c r="O4828"/>
      <c r="P4828"/>
      <c r="R4828" s="39">
        <v>38583</v>
      </c>
      <c r="S4828" s="37">
        <v>4.6012000000000004</v>
      </c>
    </row>
    <row r="4829" spans="15:19" ht="15" x14ac:dyDescent="0.25">
      <c r="O4829"/>
      <c r="P4829"/>
      <c r="R4829" s="39">
        <v>38582</v>
      </c>
      <c r="S4829" s="37">
        <v>4.5213000000000001</v>
      </c>
    </row>
    <row r="4830" spans="15:19" ht="15" x14ac:dyDescent="0.25">
      <c r="O4830"/>
      <c r="P4830"/>
      <c r="R4830" s="39">
        <v>38581</v>
      </c>
      <c r="S4830" s="37">
        <v>4.3631000000000002</v>
      </c>
    </row>
    <row r="4831" spans="15:19" ht="15" x14ac:dyDescent="0.25">
      <c r="O4831"/>
      <c r="P4831"/>
      <c r="R4831" s="39">
        <v>38580</v>
      </c>
      <c r="S4831" s="37">
        <v>4.3608000000000002</v>
      </c>
    </row>
    <row r="4832" spans="15:19" ht="15" x14ac:dyDescent="0.25">
      <c r="O4832"/>
      <c r="P4832"/>
      <c r="R4832" s="39">
        <v>38579</v>
      </c>
      <c r="S4832" s="37">
        <v>4.3624000000000001</v>
      </c>
    </row>
    <row r="4833" spans="15:19" ht="15" x14ac:dyDescent="0.25">
      <c r="O4833"/>
      <c r="P4833"/>
      <c r="R4833" s="39">
        <v>38576</v>
      </c>
      <c r="S4833" s="37">
        <v>4.3457999999999997</v>
      </c>
    </row>
    <row r="4834" spans="15:19" ht="15" x14ac:dyDescent="0.25">
      <c r="O4834"/>
      <c r="P4834"/>
      <c r="R4834" s="39">
        <v>38575</v>
      </c>
      <c r="S4834" s="37">
        <v>4.3544</v>
      </c>
    </row>
    <row r="4835" spans="15:19" ht="15" x14ac:dyDescent="0.25">
      <c r="O4835"/>
      <c r="P4835"/>
      <c r="R4835" s="39">
        <v>38574</v>
      </c>
      <c r="S4835" s="37">
        <v>4.6071999999999997</v>
      </c>
    </row>
    <row r="4836" spans="15:19" ht="15" x14ac:dyDescent="0.25">
      <c r="O4836"/>
      <c r="P4836"/>
      <c r="R4836" s="39">
        <v>38573</v>
      </c>
      <c r="S4836" s="37">
        <v>4.4294000000000002</v>
      </c>
    </row>
    <row r="4837" spans="15:19" ht="15" x14ac:dyDescent="0.25">
      <c r="O4837"/>
      <c r="P4837"/>
      <c r="R4837" s="39">
        <v>38572</v>
      </c>
      <c r="S4837" s="37">
        <v>4.6741999999999999</v>
      </c>
    </row>
    <row r="4838" spans="15:19" ht="15" x14ac:dyDescent="0.25">
      <c r="O4838"/>
      <c r="P4838"/>
      <c r="R4838" s="39">
        <v>38569</v>
      </c>
      <c r="S4838" s="37">
        <v>4.4301000000000004</v>
      </c>
    </row>
    <row r="4839" spans="15:19" ht="15" x14ac:dyDescent="0.25">
      <c r="O4839"/>
      <c r="P4839"/>
      <c r="R4839" s="39">
        <v>38568</v>
      </c>
      <c r="S4839" s="37">
        <v>4.6475999999999997</v>
      </c>
    </row>
    <row r="4840" spans="15:19" ht="15" x14ac:dyDescent="0.25">
      <c r="O4840"/>
      <c r="P4840"/>
      <c r="R4840" s="39">
        <v>38567</v>
      </c>
      <c r="S4840" s="37">
        <v>4.6132</v>
      </c>
    </row>
    <row r="4841" spans="15:19" ht="15" x14ac:dyDescent="0.25">
      <c r="O4841"/>
      <c r="P4841"/>
      <c r="R4841" s="39">
        <v>38566</v>
      </c>
      <c r="S4841" s="37">
        <v>4.6162999999999998</v>
      </c>
    </row>
    <row r="4842" spans="15:19" ht="15" x14ac:dyDescent="0.25">
      <c r="O4842"/>
      <c r="P4842"/>
      <c r="R4842" s="39">
        <v>38565</v>
      </c>
      <c r="S4842" s="37">
        <v>4.6932</v>
      </c>
    </row>
    <row r="4843" spans="15:19" ht="15" x14ac:dyDescent="0.25">
      <c r="O4843"/>
      <c r="P4843"/>
      <c r="R4843" s="39">
        <v>38562</v>
      </c>
      <c r="S4843" s="37">
        <v>4.6204000000000001</v>
      </c>
    </row>
    <row r="4844" spans="15:19" ht="15" x14ac:dyDescent="0.25">
      <c r="O4844"/>
      <c r="P4844"/>
      <c r="R4844" s="39">
        <v>38561</v>
      </c>
      <c r="S4844" s="37">
        <v>4.6162999999999998</v>
      </c>
    </row>
    <row r="4845" spans="15:19" ht="15" x14ac:dyDescent="0.25">
      <c r="O4845"/>
      <c r="P4845"/>
      <c r="R4845" s="39">
        <v>38560</v>
      </c>
      <c r="S4845" s="37">
        <v>4.6299000000000001</v>
      </c>
    </row>
    <row r="4846" spans="15:19" ht="15" x14ac:dyDescent="0.25">
      <c r="O4846"/>
      <c r="P4846"/>
      <c r="R4846" s="39">
        <v>38559</v>
      </c>
      <c r="S4846" s="37">
        <v>4.9657999999999998</v>
      </c>
    </row>
    <row r="4847" spans="15:19" ht="15" x14ac:dyDescent="0.25">
      <c r="O4847"/>
      <c r="P4847"/>
      <c r="R4847" s="39">
        <v>38558</v>
      </c>
      <c r="S4847" s="37">
        <v>4.923</v>
      </c>
    </row>
    <row r="4848" spans="15:19" ht="15" x14ac:dyDescent="0.25">
      <c r="O4848"/>
      <c r="P4848"/>
      <c r="R4848" s="39">
        <v>38555</v>
      </c>
      <c r="S4848" s="37">
        <v>4.8917999999999999</v>
      </c>
    </row>
    <row r="4849" spans="15:19" ht="15" x14ac:dyDescent="0.25">
      <c r="O4849"/>
      <c r="P4849"/>
      <c r="R4849" s="39">
        <v>38554</v>
      </c>
      <c r="S4849" s="37">
        <v>4.8677999999999999</v>
      </c>
    </row>
    <row r="4850" spans="15:19" ht="15" x14ac:dyDescent="0.25">
      <c r="O4850"/>
      <c r="P4850"/>
      <c r="R4850" s="39">
        <v>38553</v>
      </c>
      <c r="S4850" s="37">
        <v>4.617</v>
      </c>
    </row>
    <row r="4851" spans="15:19" ht="15" x14ac:dyDescent="0.25">
      <c r="O4851"/>
      <c r="P4851"/>
      <c r="R4851" s="39">
        <v>38552</v>
      </c>
      <c r="S4851" s="37">
        <v>4.8682999999999996</v>
      </c>
    </row>
    <row r="4852" spans="15:19" ht="15" x14ac:dyDescent="0.25">
      <c r="O4852"/>
      <c r="P4852"/>
      <c r="R4852" s="39">
        <v>38551</v>
      </c>
      <c r="S4852" s="37">
        <v>4.8269000000000002</v>
      </c>
    </row>
    <row r="4853" spans="15:19" ht="15" x14ac:dyDescent="0.25">
      <c r="O4853"/>
      <c r="P4853"/>
      <c r="R4853" s="39">
        <v>38548</v>
      </c>
      <c r="S4853" s="37">
        <v>4.8432000000000004</v>
      </c>
    </row>
    <row r="4854" spans="15:19" ht="15" x14ac:dyDescent="0.25">
      <c r="O4854"/>
      <c r="P4854"/>
      <c r="R4854" s="39">
        <v>38547</v>
      </c>
      <c r="S4854" s="37">
        <v>4.7874999999999996</v>
      </c>
    </row>
    <row r="4855" spans="15:19" ht="15" x14ac:dyDescent="0.25">
      <c r="O4855"/>
      <c r="P4855"/>
      <c r="R4855" s="39">
        <v>38546</v>
      </c>
      <c r="S4855" s="37">
        <v>4.5960999999999999</v>
      </c>
    </row>
    <row r="4856" spans="15:19" ht="15" x14ac:dyDescent="0.25">
      <c r="O4856"/>
      <c r="P4856"/>
      <c r="R4856" s="39">
        <v>38545</v>
      </c>
      <c r="S4856" s="37">
        <v>4.6111000000000004</v>
      </c>
    </row>
    <row r="4857" spans="15:19" ht="15" x14ac:dyDescent="0.25">
      <c r="O4857"/>
      <c r="P4857"/>
      <c r="R4857" s="39">
        <v>38544</v>
      </c>
      <c r="S4857" s="37">
        <v>4.8757000000000001</v>
      </c>
    </row>
    <row r="4858" spans="15:19" ht="15" x14ac:dyDescent="0.25">
      <c r="O4858"/>
      <c r="P4858"/>
      <c r="R4858" s="39">
        <v>38541</v>
      </c>
      <c r="S4858" s="37">
        <v>4.7606000000000002</v>
      </c>
    </row>
    <row r="4859" spans="15:19" ht="15" x14ac:dyDescent="0.25">
      <c r="O4859"/>
      <c r="P4859"/>
      <c r="R4859" s="39">
        <v>38540</v>
      </c>
      <c r="S4859" s="37">
        <v>4.7495000000000003</v>
      </c>
    </row>
    <row r="4860" spans="15:19" ht="15" x14ac:dyDescent="0.25">
      <c r="O4860"/>
      <c r="P4860"/>
      <c r="R4860" s="39">
        <v>38539</v>
      </c>
      <c r="S4860" s="37">
        <v>4.7569999999999997</v>
      </c>
    </row>
    <row r="4861" spans="15:19" ht="15" x14ac:dyDescent="0.25">
      <c r="O4861"/>
      <c r="P4861"/>
      <c r="R4861" s="39">
        <v>38538</v>
      </c>
      <c r="S4861" s="37">
        <v>4.7305000000000001</v>
      </c>
    </row>
    <row r="4862" spans="15:19" ht="15" x14ac:dyDescent="0.25">
      <c r="O4862"/>
      <c r="P4862"/>
      <c r="R4862" s="39">
        <v>38537</v>
      </c>
      <c r="S4862" s="37">
        <v>4.6528</v>
      </c>
    </row>
    <row r="4863" spans="15:19" ht="15" x14ac:dyDescent="0.25">
      <c r="O4863"/>
      <c r="P4863"/>
      <c r="R4863" s="39">
        <v>38534</v>
      </c>
      <c r="S4863" s="37">
        <v>4.6561000000000003</v>
      </c>
    </row>
    <row r="4864" spans="15:19" ht="15" x14ac:dyDescent="0.25">
      <c r="O4864"/>
      <c r="P4864"/>
      <c r="R4864" s="39">
        <v>38533</v>
      </c>
      <c r="S4864" s="37">
        <v>4.8483000000000001</v>
      </c>
    </row>
    <row r="4865" spans="15:19" ht="15" x14ac:dyDescent="0.25">
      <c r="O4865"/>
      <c r="P4865"/>
      <c r="R4865" s="39">
        <v>38532</v>
      </c>
      <c r="S4865" s="37">
        <v>4.8692000000000002</v>
      </c>
    </row>
    <row r="4866" spans="15:19" ht="15" x14ac:dyDescent="0.25">
      <c r="O4866"/>
      <c r="P4866"/>
      <c r="R4866" s="39">
        <v>38531</v>
      </c>
      <c r="S4866" s="37">
        <v>4.7211999999999996</v>
      </c>
    </row>
    <row r="4867" spans="15:19" ht="15" x14ac:dyDescent="0.25">
      <c r="O4867"/>
      <c r="P4867"/>
      <c r="R4867" s="39">
        <v>38530</v>
      </c>
      <c r="S4867" s="37">
        <v>4.8933</v>
      </c>
    </row>
    <row r="4868" spans="15:19" ht="15" x14ac:dyDescent="0.25">
      <c r="O4868"/>
      <c r="P4868"/>
      <c r="R4868" s="39">
        <v>38527</v>
      </c>
      <c r="S4868" s="37">
        <v>4.8734000000000002</v>
      </c>
    </row>
    <row r="4869" spans="15:19" ht="15" x14ac:dyDescent="0.25">
      <c r="O4869"/>
      <c r="P4869"/>
      <c r="R4869" s="39">
        <v>38526</v>
      </c>
      <c r="S4869" s="37">
        <v>4.9748000000000001</v>
      </c>
    </row>
    <row r="4870" spans="15:19" ht="15" x14ac:dyDescent="0.25">
      <c r="O4870"/>
      <c r="P4870"/>
      <c r="R4870" s="39">
        <v>38525</v>
      </c>
      <c r="S4870" s="37">
        <v>4.9355000000000002</v>
      </c>
    </row>
    <row r="4871" spans="15:19" ht="15" x14ac:dyDescent="0.25">
      <c r="O4871"/>
      <c r="P4871"/>
      <c r="R4871" s="39">
        <v>38524</v>
      </c>
      <c r="S4871" s="37">
        <v>4.9139999999999997</v>
      </c>
    </row>
    <row r="4872" spans="15:19" ht="15" x14ac:dyDescent="0.25">
      <c r="O4872"/>
      <c r="P4872"/>
      <c r="R4872" s="39">
        <v>38523</v>
      </c>
      <c r="S4872" s="37">
        <v>4.9131</v>
      </c>
    </row>
    <row r="4873" spans="15:19" ht="15" x14ac:dyDescent="0.25">
      <c r="O4873"/>
      <c r="P4873"/>
      <c r="R4873" s="39">
        <v>38520</v>
      </c>
      <c r="S4873" s="37">
        <v>4.7732000000000001</v>
      </c>
    </row>
    <row r="4874" spans="15:19" ht="15" x14ac:dyDescent="0.25">
      <c r="O4874"/>
      <c r="P4874"/>
      <c r="R4874" s="39">
        <v>38519</v>
      </c>
      <c r="S4874" s="37">
        <v>4.7195</v>
      </c>
    </row>
    <row r="4875" spans="15:19" ht="15" x14ac:dyDescent="0.25">
      <c r="O4875"/>
      <c r="P4875"/>
      <c r="R4875" s="39">
        <v>38518</v>
      </c>
      <c r="S4875" s="37">
        <v>4.6706000000000003</v>
      </c>
    </row>
    <row r="4876" spans="15:19" ht="15" x14ac:dyDescent="0.25">
      <c r="O4876"/>
      <c r="P4876"/>
      <c r="R4876" s="39">
        <v>38517</v>
      </c>
      <c r="S4876" s="37">
        <v>4.734</v>
      </c>
    </row>
    <row r="4877" spans="15:19" ht="15" x14ac:dyDescent="0.25">
      <c r="O4877"/>
      <c r="P4877"/>
      <c r="R4877" s="39">
        <v>38516</v>
      </c>
      <c r="S4877" s="37">
        <v>4.8663999999999996</v>
      </c>
    </row>
    <row r="4878" spans="15:19" ht="15" x14ac:dyDescent="0.25">
      <c r="O4878"/>
      <c r="P4878"/>
      <c r="R4878" s="39">
        <v>38513</v>
      </c>
      <c r="S4878" s="37">
        <v>4.6726000000000001</v>
      </c>
    </row>
    <row r="4879" spans="15:19" ht="15" x14ac:dyDescent="0.25">
      <c r="O4879"/>
      <c r="P4879"/>
      <c r="R4879" s="39">
        <v>38512</v>
      </c>
      <c r="S4879" s="37">
        <v>4.8494999999999999</v>
      </c>
    </row>
    <row r="4880" spans="15:19" ht="15" x14ac:dyDescent="0.25">
      <c r="O4880"/>
      <c r="P4880"/>
      <c r="R4880" s="39">
        <v>38511</v>
      </c>
      <c r="S4880" s="37">
        <v>4.7671999999999999</v>
      </c>
    </row>
    <row r="4881" spans="15:19" ht="15" x14ac:dyDescent="0.25">
      <c r="O4881"/>
      <c r="P4881"/>
      <c r="R4881" s="39">
        <v>38510</v>
      </c>
      <c r="S4881" s="37">
        <v>4.585</v>
      </c>
    </row>
    <row r="4882" spans="15:19" ht="15" x14ac:dyDescent="0.25">
      <c r="O4882"/>
      <c r="P4882"/>
      <c r="R4882" s="39">
        <v>38509</v>
      </c>
      <c r="S4882" s="37">
        <v>4.5955000000000004</v>
      </c>
    </row>
    <row r="4883" spans="15:19" ht="15" x14ac:dyDescent="0.25">
      <c r="O4883"/>
      <c r="P4883"/>
      <c r="R4883" s="39">
        <v>38506</v>
      </c>
      <c r="S4883" s="37">
        <v>4.6010999999999997</v>
      </c>
    </row>
    <row r="4884" spans="15:19" ht="15" x14ac:dyDescent="0.25">
      <c r="O4884"/>
      <c r="P4884"/>
      <c r="R4884" s="39">
        <v>38505</v>
      </c>
      <c r="S4884" s="37">
        <v>4.8178999999999998</v>
      </c>
    </row>
    <row r="4885" spans="15:19" ht="15" x14ac:dyDescent="0.25">
      <c r="O4885"/>
      <c r="P4885"/>
      <c r="R4885" s="39">
        <v>38504</v>
      </c>
      <c r="S4885" s="37">
        <v>4.8616000000000001</v>
      </c>
    </row>
    <row r="4886" spans="15:19" ht="15" x14ac:dyDescent="0.25">
      <c r="O4886"/>
      <c r="P4886"/>
      <c r="R4886" s="39">
        <v>38503</v>
      </c>
      <c r="S4886" s="37">
        <v>4.7560000000000002</v>
      </c>
    </row>
    <row r="4887" spans="15:19" ht="15" x14ac:dyDescent="0.25">
      <c r="O4887"/>
      <c r="P4887"/>
      <c r="R4887" s="39">
        <v>38499</v>
      </c>
      <c r="S4887" s="37">
        <v>4.6204000000000001</v>
      </c>
    </row>
    <row r="4888" spans="15:19" ht="15" x14ac:dyDescent="0.25">
      <c r="O4888"/>
      <c r="P4888"/>
      <c r="R4888" s="39">
        <v>38498</v>
      </c>
      <c r="S4888" s="37">
        <v>4.7609000000000004</v>
      </c>
    </row>
    <row r="4889" spans="15:19" ht="15" x14ac:dyDescent="0.25">
      <c r="O4889"/>
      <c r="P4889"/>
      <c r="R4889" s="39">
        <v>38497</v>
      </c>
      <c r="S4889" s="37">
        <v>4.9142000000000001</v>
      </c>
    </row>
    <row r="4890" spans="15:19" ht="15" x14ac:dyDescent="0.25">
      <c r="O4890"/>
      <c r="P4890"/>
      <c r="R4890" s="39">
        <v>38496</v>
      </c>
      <c r="S4890" s="37">
        <v>4.8940000000000001</v>
      </c>
    </row>
    <row r="4891" spans="15:19" ht="15" x14ac:dyDescent="0.25">
      <c r="O4891"/>
      <c r="P4891"/>
      <c r="R4891" s="39">
        <v>38495</v>
      </c>
      <c r="S4891" s="37">
        <v>4.7103999999999999</v>
      </c>
    </row>
    <row r="4892" spans="15:19" ht="15" x14ac:dyDescent="0.25">
      <c r="O4892"/>
      <c r="P4892"/>
      <c r="R4892" s="39">
        <v>38492</v>
      </c>
      <c r="S4892" s="37">
        <v>4.5979999999999999</v>
      </c>
    </row>
    <row r="4893" spans="15:19" ht="15" x14ac:dyDescent="0.25">
      <c r="O4893"/>
      <c r="P4893"/>
      <c r="R4893" s="39">
        <v>38491</v>
      </c>
      <c r="S4893" s="37">
        <v>4.6040999999999999</v>
      </c>
    </row>
    <row r="4894" spans="15:19" ht="15" x14ac:dyDescent="0.25">
      <c r="O4894"/>
      <c r="P4894"/>
      <c r="R4894" s="39">
        <v>38490</v>
      </c>
      <c r="S4894" s="37">
        <v>4.7247000000000003</v>
      </c>
    </row>
    <row r="4895" spans="15:19" ht="15" x14ac:dyDescent="0.25">
      <c r="O4895"/>
      <c r="P4895"/>
      <c r="R4895" s="39">
        <v>38489</v>
      </c>
      <c r="S4895" s="37">
        <v>4.5933000000000002</v>
      </c>
    </row>
    <row r="4896" spans="15:19" ht="15" x14ac:dyDescent="0.25">
      <c r="O4896"/>
      <c r="P4896"/>
      <c r="R4896" s="39">
        <v>38488</v>
      </c>
      <c r="S4896" s="37">
        <v>4.6025</v>
      </c>
    </row>
    <row r="4897" spans="15:19" ht="15" x14ac:dyDescent="0.25">
      <c r="O4897"/>
      <c r="P4897"/>
      <c r="R4897" s="39">
        <v>38485</v>
      </c>
      <c r="S4897" s="37">
        <v>4.6018999999999997</v>
      </c>
    </row>
    <row r="4898" spans="15:19" ht="15" x14ac:dyDescent="0.25">
      <c r="O4898"/>
      <c r="P4898"/>
      <c r="R4898" s="39">
        <v>38484</v>
      </c>
      <c r="S4898" s="37">
        <v>4.7073</v>
      </c>
    </row>
    <row r="4899" spans="15:19" ht="15" x14ac:dyDescent="0.25">
      <c r="O4899"/>
      <c r="P4899"/>
      <c r="R4899" s="39">
        <v>38483</v>
      </c>
      <c r="S4899" s="37">
        <v>4.5976999999999997</v>
      </c>
    </row>
    <row r="4900" spans="15:19" ht="15" x14ac:dyDescent="0.25">
      <c r="O4900"/>
      <c r="P4900"/>
      <c r="R4900" s="39">
        <v>38482</v>
      </c>
      <c r="S4900" s="37">
        <v>4.6230000000000002</v>
      </c>
    </row>
    <row r="4901" spans="15:19" ht="15" x14ac:dyDescent="0.25">
      <c r="O4901"/>
      <c r="P4901"/>
      <c r="R4901" s="39">
        <v>38481</v>
      </c>
      <c r="S4901" s="37">
        <v>4.7664</v>
      </c>
    </row>
    <row r="4902" spans="15:19" ht="15" x14ac:dyDescent="0.25">
      <c r="O4902"/>
      <c r="P4902"/>
      <c r="R4902" s="39">
        <v>38478</v>
      </c>
      <c r="S4902" s="37">
        <v>4.6334</v>
      </c>
    </row>
    <row r="4903" spans="15:19" ht="15" x14ac:dyDescent="0.25">
      <c r="O4903"/>
      <c r="P4903"/>
      <c r="R4903" s="39">
        <v>38477</v>
      </c>
      <c r="S4903" s="37">
        <v>4.7732999999999999</v>
      </c>
    </row>
    <row r="4904" spans="15:19" ht="15" x14ac:dyDescent="0.25">
      <c r="O4904"/>
      <c r="P4904"/>
      <c r="R4904" s="39">
        <v>38476</v>
      </c>
      <c r="S4904" s="37">
        <v>4.8242000000000003</v>
      </c>
    </row>
    <row r="4905" spans="15:19" ht="15" x14ac:dyDescent="0.25">
      <c r="O4905"/>
      <c r="P4905"/>
      <c r="R4905" s="39">
        <v>38475</v>
      </c>
      <c r="S4905" s="37">
        <v>4.8513000000000002</v>
      </c>
    </row>
    <row r="4906" spans="15:19" ht="15" x14ac:dyDescent="0.25">
      <c r="O4906"/>
      <c r="P4906"/>
      <c r="R4906" s="39">
        <v>38471</v>
      </c>
      <c r="S4906" s="37">
        <v>4.8696999999999999</v>
      </c>
    </row>
    <row r="4907" spans="15:19" ht="15" x14ac:dyDescent="0.25">
      <c r="O4907"/>
      <c r="P4907"/>
      <c r="R4907" s="39">
        <v>38470</v>
      </c>
      <c r="S4907" s="37">
        <v>4.8874000000000004</v>
      </c>
    </row>
    <row r="4908" spans="15:19" ht="15" x14ac:dyDescent="0.25">
      <c r="O4908"/>
      <c r="P4908"/>
      <c r="R4908" s="39">
        <v>38469</v>
      </c>
      <c r="S4908" s="37">
        <v>4.8714000000000004</v>
      </c>
    </row>
    <row r="4909" spans="15:19" ht="15" x14ac:dyDescent="0.25">
      <c r="O4909"/>
      <c r="P4909"/>
      <c r="R4909" s="39">
        <v>38468</v>
      </c>
      <c r="S4909" s="37">
        <v>4.6296999999999997</v>
      </c>
    </row>
    <row r="4910" spans="15:19" ht="15" x14ac:dyDescent="0.25">
      <c r="O4910"/>
      <c r="P4910"/>
      <c r="R4910" s="39">
        <v>38467</v>
      </c>
      <c r="S4910" s="37">
        <v>4.8752000000000004</v>
      </c>
    </row>
    <row r="4911" spans="15:19" ht="15" x14ac:dyDescent="0.25">
      <c r="O4911"/>
      <c r="P4911"/>
      <c r="R4911" s="39">
        <v>38464</v>
      </c>
      <c r="S4911" s="37">
        <v>4.6379000000000001</v>
      </c>
    </row>
    <row r="4912" spans="15:19" ht="15" x14ac:dyDescent="0.25">
      <c r="O4912"/>
      <c r="P4912"/>
      <c r="R4912" s="39">
        <v>38463</v>
      </c>
      <c r="S4912" s="37">
        <v>4.6557000000000004</v>
      </c>
    </row>
    <row r="4913" spans="15:19" ht="15" x14ac:dyDescent="0.25">
      <c r="O4913"/>
      <c r="P4913"/>
      <c r="R4913" s="39">
        <v>38462</v>
      </c>
      <c r="S4913" s="37">
        <v>4.8432000000000004</v>
      </c>
    </row>
    <row r="4914" spans="15:19" ht="15" x14ac:dyDescent="0.25">
      <c r="O4914"/>
      <c r="P4914"/>
      <c r="R4914" s="39">
        <v>38461</v>
      </c>
      <c r="S4914" s="37">
        <v>4.6638000000000002</v>
      </c>
    </row>
    <row r="4915" spans="15:19" ht="15" x14ac:dyDescent="0.25">
      <c r="O4915"/>
      <c r="P4915"/>
      <c r="R4915" s="39">
        <v>38460</v>
      </c>
      <c r="S4915" s="37">
        <v>4.6359000000000004</v>
      </c>
    </row>
    <row r="4916" spans="15:19" ht="15" x14ac:dyDescent="0.25">
      <c r="O4916"/>
      <c r="P4916"/>
      <c r="R4916" s="39">
        <v>38457</v>
      </c>
      <c r="S4916" s="37">
        <v>4.8570000000000002</v>
      </c>
    </row>
    <row r="4917" spans="15:19" ht="15" x14ac:dyDescent="0.25">
      <c r="O4917"/>
      <c r="P4917"/>
      <c r="R4917" s="39">
        <v>38456</v>
      </c>
      <c r="S4917" s="37">
        <v>4.9203999999999999</v>
      </c>
    </row>
    <row r="4918" spans="15:19" ht="15" x14ac:dyDescent="0.25">
      <c r="O4918"/>
      <c r="P4918"/>
      <c r="R4918" s="39">
        <v>38455</v>
      </c>
      <c r="S4918" s="37">
        <v>4.8769</v>
      </c>
    </row>
    <row r="4919" spans="15:19" ht="15" x14ac:dyDescent="0.25">
      <c r="O4919"/>
      <c r="P4919"/>
      <c r="R4919" s="39">
        <v>38454</v>
      </c>
      <c r="S4919" s="37">
        <v>4.8551000000000002</v>
      </c>
    </row>
    <row r="4920" spans="15:19" ht="15" x14ac:dyDescent="0.25">
      <c r="O4920"/>
      <c r="P4920"/>
      <c r="R4920" s="39">
        <v>38453</v>
      </c>
      <c r="S4920" s="37">
        <v>4.6615000000000002</v>
      </c>
    </row>
    <row r="4921" spans="15:19" ht="15" x14ac:dyDescent="0.25">
      <c r="O4921"/>
      <c r="P4921"/>
      <c r="R4921" s="39">
        <v>38450</v>
      </c>
      <c r="S4921" s="37">
        <v>4.7354000000000003</v>
      </c>
    </row>
    <row r="4922" spans="15:19" ht="15" x14ac:dyDescent="0.25">
      <c r="O4922"/>
      <c r="P4922"/>
      <c r="R4922" s="39">
        <v>38449</v>
      </c>
      <c r="S4922" s="37">
        <v>4.8659999999999997</v>
      </c>
    </row>
    <row r="4923" spans="15:19" ht="15" x14ac:dyDescent="0.25">
      <c r="O4923"/>
      <c r="P4923"/>
      <c r="R4923" s="39">
        <v>38448</v>
      </c>
      <c r="S4923" s="37">
        <v>4.9679000000000002</v>
      </c>
    </row>
    <row r="4924" spans="15:19" ht="15" x14ac:dyDescent="0.25">
      <c r="O4924"/>
      <c r="P4924"/>
      <c r="R4924" s="39">
        <v>38447</v>
      </c>
      <c r="S4924" s="37">
        <v>4.9546999999999999</v>
      </c>
    </row>
    <row r="4925" spans="15:19" ht="15" x14ac:dyDescent="0.25">
      <c r="O4925"/>
      <c r="P4925"/>
      <c r="R4925" s="39">
        <v>38446</v>
      </c>
      <c r="S4925" s="37">
        <v>4.9314999999999998</v>
      </c>
    </row>
    <row r="4926" spans="15:19" ht="15" x14ac:dyDescent="0.25">
      <c r="O4926"/>
      <c r="P4926"/>
      <c r="R4926" s="39">
        <v>38443</v>
      </c>
      <c r="S4926" s="37">
        <v>4.8661000000000003</v>
      </c>
    </row>
    <row r="4927" spans="15:19" ht="15" x14ac:dyDescent="0.25">
      <c r="O4927"/>
      <c r="P4927"/>
      <c r="R4927" s="39">
        <v>38442</v>
      </c>
      <c r="S4927" s="37">
        <v>4.8667999999999996</v>
      </c>
    </row>
    <row r="4928" spans="15:19" ht="15" x14ac:dyDescent="0.25">
      <c r="O4928"/>
      <c r="P4928"/>
      <c r="R4928" s="39">
        <v>38441</v>
      </c>
      <c r="S4928" s="37">
        <v>4.6689999999999996</v>
      </c>
    </row>
    <row r="4929" spans="15:19" ht="15" x14ac:dyDescent="0.25">
      <c r="O4929"/>
      <c r="P4929"/>
      <c r="R4929" s="39">
        <v>38440</v>
      </c>
      <c r="S4929" s="37">
        <v>4.6576000000000004</v>
      </c>
    </row>
    <row r="4930" spans="15:19" ht="15" x14ac:dyDescent="0.25">
      <c r="O4930"/>
      <c r="P4930"/>
      <c r="R4930" s="39">
        <v>38435</v>
      </c>
      <c r="S4930" s="37">
        <v>4.6390000000000002</v>
      </c>
    </row>
    <row r="4931" spans="15:19" ht="15" x14ac:dyDescent="0.25">
      <c r="O4931"/>
      <c r="P4931"/>
      <c r="R4931" s="39">
        <v>38434</v>
      </c>
      <c r="S4931" s="37">
        <v>4.9692999999999996</v>
      </c>
    </row>
    <row r="4932" spans="15:19" ht="15" x14ac:dyDescent="0.25">
      <c r="O4932"/>
      <c r="P4932"/>
      <c r="R4932" s="39">
        <v>38433</v>
      </c>
      <c r="S4932" s="37">
        <v>4.9349999999999996</v>
      </c>
    </row>
    <row r="4933" spans="15:19" ht="15" x14ac:dyDescent="0.25">
      <c r="O4933"/>
      <c r="P4933"/>
      <c r="R4933" s="39">
        <v>38432</v>
      </c>
      <c r="S4933" s="37">
        <v>4.8860000000000001</v>
      </c>
    </row>
    <row r="4934" spans="15:19" ht="15" x14ac:dyDescent="0.25">
      <c r="O4934"/>
      <c r="P4934"/>
      <c r="R4934" s="39">
        <v>38429</v>
      </c>
      <c r="S4934" s="37">
        <v>4.6443000000000003</v>
      </c>
    </row>
    <row r="4935" spans="15:19" ht="15" x14ac:dyDescent="0.25">
      <c r="O4935"/>
      <c r="P4935"/>
      <c r="R4935" s="39">
        <v>38428</v>
      </c>
      <c r="S4935" s="37">
        <v>4.6416000000000004</v>
      </c>
    </row>
    <row r="4936" spans="15:19" ht="15" x14ac:dyDescent="0.25">
      <c r="O4936"/>
      <c r="P4936"/>
      <c r="R4936" s="39">
        <v>38427</v>
      </c>
      <c r="S4936" s="37">
        <v>4.6829000000000001</v>
      </c>
    </row>
    <row r="4937" spans="15:19" ht="15" x14ac:dyDescent="0.25">
      <c r="O4937"/>
      <c r="P4937"/>
      <c r="R4937" s="39">
        <v>38426</v>
      </c>
      <c r="S4937" s="37">
        <v>4.6234000000000002</v>
      </c>
    </row>
    <row r="4938" spans="15:19" ht="15" x14ac:dyDescent="0.25">
      <c r="O4938"/>
      <c r="P4938"/>
      <c r="R4938" s="39">
        <v>38425</v>
      </c>
      <c r="S4938" s="37">
        <v>4.6227</v>
      </c>
    </row>
    <row r="4939" spans="15:19" ht="15" x14ac:dyDescent="0.25">
      <c r="O4939"/>
      <c r="P4939"/>
      <c r="R4939" s="39">
        <v>38422</v>
      </c>
      <c r="S4939" s="37">
        <v>4.62</v>
      </c>
    </row>
    <row r="4940" spans="15:19" ht="15" x14ac:dyDescent="0.25">
      <c r="O4940"/>
      <c r="P4940"/>
      <c r="R4940" s="39">
        <v>38421</v>
      </c>
      <c r="S4940" s="37">
        <v>4.8441999999999998</v>
      </c>
    </row>
    <row r="4941" spans="15:19" ht="15" x14ac:dyDescent="0.25">
      <c r="O4941"/>
      <c r="P4941"/>
      <c r="R4941" s="39">
        <v>38420</v>
      </c>
      <c r="S4941" s="37">
        <v>4.7003000000000004</v>
      </c>
    </row>
    <row r="4942" spans="15:19" ht="15" x14ac:dyDescent="0.25">
      <c r="O4942"/>
      <c r="P4942"/>
      <c r="R4942" s="39">
        <v>38419</v>
      </c>
      <c r="S4942" s="37">
        <v>4.6429999999999998</v>
      </c>
    </row>
    <row r="4943" spans="15:19" ht="15" x14ac:dyDescent="0.25">
      <c r="O4943"/>
      <c r="P4943"/>
      <c r="R4943" s="39">
        <v>38418</v>
      </c>
      <c r="S4943" s="37">
        <v>4.6113999999999997</v>
      </c>
    </row>
    <row r="4944" spans="15:19" ht="15" x14ac:dyDescent="0.25">
      <c r="O4944"/>
      <c r="P4944"/>
      <c r="R4944" s="39">
        <v>38415</v>
      </c>
      <c r="S4944" s="37">
        <v>4.6242000000000001</v>
      </c>
    </row>
    <row r="4945" spans="15:19" ht="15" x14ac:dyDescent="0.25">
      <c r="O4945"/>
      <c r="P4945"/>
      <c r="R4945" s="39">
        <v>38414</v>
      </c>
      <c r="S4945" s="37">
        <v>5.2558999999999996</v>
      </c>
    </row>
    <row r="4946" spans="15:19" ht="15" x14ac:dyDescent="0.25">
      <c r="O4946"/>
      <c r="P4946"/>
      <c r="R4946" s="39">
        <v>38413</v>
      </c>
      <c r="S4946" s="37">
        <v>4.6365999999999996</v>
      </c>
    </row>
    <row r="4947" spans="15:19" ht="15" x14ac:dyDescent="0.25">
      <c r="O4947"/>
      <c r="P4947"/>
      <c r="R4947" s="39">
        <v>38412</v>
      </c>
      <c r="S4947" s="37">
        <v>5.2252999999999998</v>
      </c>
    </row>
    <row r="4948" spans="15:19" ht="15" x14ac:dyDescent="0.25">
      <c r="O4948"/>
      <c r="P4948"/>
      <c r="R4948" s="39">
        <v>38411</v>
      </c>
      <c r="S4948" s="37">
        <v>5.2804000000000002</v>
      </c>
    </row>
    <row r="4949" spans="15:19" ht="15" x14ac:dyDescent="0.25">
      <c r="O4949"/>
      <c r="P4949"/>
      <c r="R4949" s="39">
        <v>38408</v>
      </c>
      <c r="S4949" s="37">
        <v>4.9762000000000004</v>
      </c>
    </row>
    <row r="4950" spans="15:19" ht="15" x14ac:dyDescent="0.25">
      <c r="O4950"/>
      <c r="P4950"/>
      <c r="R4950" s="39">
        <v>38407</v>
      </c>
      <c r="S4950" s="37">
        <v>4.9050000000000002</v>
      </c>
    </row>
    <row r="4951" spans="15:19" ht="15" x14ac:dyDescent="0.25">
      <c r="O4951"/>
      <c r="P4951"/>
      <c r="R4951" s="39">
        <v>38406</v>
      </c>
      <c r="S4951" s="37">
        <v>4.9215999999999998</v>
      </c>
    </row>
    <row r="4952" spans="15:19" ht="15" x14ac:dyDescent="0.25">
      <c r="O4952"/>
      <c r="P4952"/>
      <c r="R4952" s="39">
        <v>38405</v>
      </c>
      <c r="S4952" s="37">
        <v>4.8494999999999999</v>
      </c>
    </row>
    <row r="4953" spans="15:19" ht="15" x14ac:dyDescent="0.25">
      <c r="O4953"/>
      <c r="P4953"/>
      <c r="R4953" s="39">
        <v>38404</v>
      </c>
      <c r="S4953" s="37">
        <v>4.6424000000000003</v>
      </c>
    </row>
    <row r="4954" spans="15:19" ht="15" x14ac:dyDescent="0.25">
      <c r="O4954"/>
      <c r="P4954"/>
      <c r="R4954" s="39">
        <v>38401</v>
      </c>
      <c r="S4954" s="37">
        <v>4.8521000000000001</v>
      </c>
    </row>
    <row r="4955" spans="15:19" ht="15" x14ac:dyDescent="0.25">
      <c r="O4955"/>
      <c r="P4955"/>
      <c r="R4955" s="39">
        <v>38400</v>
      </c>
      <c r="S4955" s="37">
        <v>4.6307</v>
      </c>
    </row>
    <row r="4956" spans="15:19" ht="15" x14ac:dyDescent="0.25">
      <c r="O4956"/>
      <c r="P4956"/>
      <c r="R4956" s="39">
        <v>38399</v>
      </c>
      <c r="S4956" s="37">
        <v>4.6287000000000003</v>
      </c>
    </row>
    <row r="4957" spans="15:19" ht="15" x14ac:dyDescent="0.25">
      <c r="O4957"/>
      <c r="P4957"/>
      <c r="R4957" s="39">
        <v>38398</v>
      </c>
      <c r="S4957" s="37">
        <v>4.6645000000000003</v>
      </c>
    </row>
    <row r="4958" spans="15:19" ht="15" x14ac:dyDescent="0.25">
      <c r="O4958"/>
      <c r="P4958"/>
      <c r="R4958" s="39">
        <v>38397</v>
      </c>
      <c r="S4958" s="37">
        <v>4.9115000000000002</v>
      </c>
    </row>
    <row r="4959" spans="15:19" ht="15" x14ac:dyDescent="0.25">
      <c r="O4959"/>
      <c r="P4959"/>
      <c r="R4959" s="39">
        <v>38394</v>
      </c>
      <c r="S4959" s="37">
        <v>4.6460999999999997</v>
      </c>
    </row>
    <row r="4960" spans="15:19" ht="15" x14ac:dyDescent="0.25">
      <c r="O4960"/>
      <c r="P4960"/>
      <c r="R4960" s="39">
        <v>38393</v>
      </c>
      <c r="S4960" s="37">
        <v>5.1115000000000004</v>
      </c>
    </row>
    <row r="4961" spans="15:19" ht="15" x14ac:dyDescent="0.25">
      <c r="O4961"/>
      <c r="P4961"/>
      <c r="R4961" s="39">
        <v>38392</v>
      </c>
      <c r="S4961" s="37">
        <v>4.7728999999999999</v>
      </c>
    </row>
    <row r="4962" spans="15:19" ht="15" x14ac:dyDescent="0.25">
      <c r="O4962"/>
      <c r="P4962"/>
      <c r="R4962" s="39">
        <v>38391</v>
      </c>
      <c r="S4962" s="37">
        <v>4.8426</v>
      </c>
    </row>
    <row r="4963" spans="15:19" ht="15" x14ac:dyDescent="0.25">
      <c r="O4963"/>
      <c r="P4963"/>
      <c r="R4963" s="39">
        <v>38390</v>
      </c>
      <c r="S4963" s="37">
        <v>4.7831999999999999</v>
      </c>
    </row>
    <row r="4964" spans="15:19" ht="15" x14ac:dyDescent="0.25">
      <c r="O4964"/>
      <c r="P4964"/>
      <c r="R4964" s="39">
        <v>38387</v>
      </c>
      <c r="S4964" s="37">
        <v>4.6124999999999998</v>
      </c>
    </row>
    <row r="4965" spans="15:19" ht="15" x14ac:dyDescent="0.25">
      <c r="O4965"/>
      <c r="P4965"/>
      <c r="R4965" s="39">
        <v>38386</v>
      </c>
      <c r="S4965" s="37">
        <v>4.8540999999999999</v>
      </c>
    </row>
    <row r="4966" spans="15:19" ht="15" x14ac:dyDescent="0.25">
      <c r="O4966"/>
      <c r="P4966"/>
      <c r="R4966" s="39">
        <v>38385</v>
      </c>
      <c r="S4966" s="37">
        <v>4.6289999999999996</v>
      </c>
    </row>
    <row r="4967" spans="15:19" ht="15" x14ac:dyDescent="0.25">
      <c r="O4967"/>
      <c r="P4967"/>
      <c r="R4967" s="39">
        <v>38384</v>
      </c>
      <c r="S4967" s="37">
        <v>4.806</v>
      </c>
    </row>
    <row r="4968" spans="15:19" ht="15" x14ac:dyDescent="0.25">
      <c r="O4968"/>
      <c r="P4968"/>
      <c r="R4968" s="39">
        <v>38383</v>
      </c>
      <c r="S4968" s="37">
        <v>4.6467999999999998</v>
      </c>
    </row>
    <row r="4969" spans="15:19" ht="15" x14ac:dyDescent="0.25">
      <c r="O4969"/>
      <c r="P4969"/>
      <c r="R4969" s="39">
        <v>38380</v>
      </c>
      <c r="S4969" s="37">
        <v>4.7986000000000004</v>
      </c>
    </row>
    <row r="4970" spans="15:19" ht="15" x14ac:dyDescent="0.25">
      <c r="O4970"/>
      <c r="P4970"/>
      <c r="R4970" s="39">
        <v>38379</v>
      </c>
      <c r="S4970" s="37">
        <v>4.6268000000000002</v>
      </c>
    </row>
    <row r="4971" spans="15:19" ht="15" x14ac:dyDescent="0.25">
      <c r="O4971"/>
      <c r="P4971"/>
      <c r="R4971" s="39">
        <v>38378</v>
      </c>
      <c r="S4971" s="37">
        <v>4.7427000000000001</v>
      </c>
    </row>
    <row r="4972" spans="15:19" ht="15" x14ac:dyDescent="0.25">
      <c r="O4972"/>
      <c r="P4972"/>
      <c r="R4972" s="39">
        <v>38377</v>
      </c>
      <c r="S4972" s="37">
        <v>5.0019999999999998</v>
      </c>
    </row>
    <row r="4973" spans="15:19" ht="15" x14ac:dyDescent="0.25">
      <c r="O4973"/>
      <c r="P4973"/>
      <c r="R4973" s="39">
        <v>38376</v>
      </c>
      <c r="S4973" s="37">
        <v>4.6256000000000004</v>
      </c>
    </row>
    <row r="4974" spans="15:19" ht="15" x14ac:dyDescent="0.25">
      <c r="O4974"/>
      <c r="P4974"/>
      <c r="R4974" s="39">
        <v>38373</v>
      </c>
      <c r="S4974" s="37">
        <v>4.6504000000000003</v>
      </c>
    </row>
    <row r="4975" spans="15:19" ht="15" x14ac:dyDescent="0.25">
      <c r="O4975"/>
      <c r="P4975"/>
      <c r="R4975" s="39">
        <v>38372</v>
      </c>
      <c r="S4975" s="37">
        <v>4.8758999999999997</v>
      </c>
    </row>
    <row r="4976" spans="15:19" ht="15" x14ac:dyDescent="0.25">
      <c r="O4976"/>
      <c r="P4976"/>
      <c r="R4976" s="39">
        <v>38371</v>
      </c>
      <c r="S4976" s="37">
        <v>4.8356000000000003</v>
      </c>
    </row>
    <row r="4977" spans="15:19" ht="15" x14ac:dyDescent="0.25">
      <c r="O4977"/>
      <c r="P4977"/>
      <c r="R4977" s="39">
        <v>38370</v>
      </c>
      <c r="S4977" s="37">
        <v>4.8048000000000002</v>
      </c>
    </row>
    <row r="4978" spans="15:19" ht="15" x14ac:dyDescent="0.25">
      <c r="O4978"/>
      <c r="P4978"/>
      <c r="R4978" s="39">
        <v>38369</v>
      </c>
      <c r="S4978" s="37">
        <v>4.6262999999999996</v>
      </c>
    </row>
    <row r="4979" spans="15:19" ht="15" x14ac:dyDescent="0.25">
      <c r="O4979"/>
      <c r="P4979"/>
      <c r="R4979" s="39">
        <v>38366</v>
      </c>
      <c r="S4979" s="37">
        <v>4.5974000000000004</v>
      </c>
    </row>
    <row r="4980" spans="15:19" ht="15" x14ac:dyDescent="0.25">
      <c r="O4980"/>
      <c r="P4980"/>
      <c r="R4980" s="39">
        <v>38365</v>
      </c>
      <c r="S4980" s="37">
        <v>4.6456999999999997</v>
      </c>
    </row>
    <row r="4981" spans="15:19" ht="15" x14ac:dyDescent="0.25">
      <c r="O4981"/>
      <c r="P4981"/>
      <c r="R4981" s="39">
        <v>38364</v>
      </c>
      <c r="S4981" s="37">
        <v>4.7481</v>
      </c>
    </row>
    <row r="4982" spans="15:19" ht="15" x14ac:dyDescent="0.25">
      <c r="O4982"/>
      <c r="P4982"/>
      <c r="R4982" s="39">
        <v>38363</v>
      </c>
      <c r="S4982" s="37">
        <v>5.0046999999999997</v>
      </c>
    </row>
    <row r="4983" spans="15:19" ht="15" x14ac:dyDescent="0.25">
      <c r="O4983"/>
      <c r="P4983"/>
      <c r="R4983" s="39">
        <v>38362</v>
      </c>
      <c r="S4983" s="37">
        <v>4.6208</v>
      </c>
    </row>
    <row r="4984" spans="15:19" ht="15" x14ac:dyDescent="0.25">
      <c r="O4984"/>
      <c r="P4984"/>
      <c r="R4984" s="39">
        <v>38359</v>
      </c>
      <c r="S4984" s="37">
        <v>4.7115999999999998</v>
      </c>
    </row>
    <row r="4985" spans="15:19" ht="15" x14ac:dyDescent="0.25">
      <c r="O4985"/>
      <c r="P4985"/>
      <c r="R4985" s="39">
        <v>38358</v>
      </c>
      <c r="S4985" s="37">
        <v>4.9036999999999997</v>
      </c>
    </row>
    <row r="4986" spans="15:19" ht="15" x14ac:dyDescent="0.25">
      <c r="O4986"/>
      <c r="P4986"/>
      <c r="R4986" s="39">
        <v>38357</v>
      </c>
      <c r="S4986" s="37">
        <v>4.8329000000000004</v>
      </c>
    </row>
    <row r="4987" spans="15:19" ht="15" x14ac:dyDescent="0.25">
      <c r="O4987"/>
      <c r="P4987"/>
      <c r="R4987" s="39">
        <v>38356</v>
      </c>
      <c r="S4987" s="37">
        <v>4.8981000000000003</v>
      </c>
    </row>
    <row r="4988" spans="15:19" ht="15" x14ac:dyDescent="0.25">
      <c r="O4988"/>
      <c r="P4988"/>
      <c r="R4988" s="39">
        <v>38352</v>
      </c>
      <c r="S4988" s="37">
        <v>4.8015999999999996</v>
      </c>
    </row>
    <row r="4989" spans="15:19" ht="15" x14ac:dyDescent="0.25">
      <c r="O4989"/>
      <c r="P4989"/>
      <c r="R4989" s="39">
        <v>38351</v>
      </c>
      <c r="S4989" s="37">
        <v>4.6234999999999999</v>
      </c>
    </row>
    <row r="4990" spans="15:19" ht="15" x14ac:dyDescent="0.25">
      <c r="O4990"/>
      <c r="P4990"/>
      <c r="R4990" s="39">
        <v>38350</v>
      </c>
      <c r="S4990" s="37">
        <v>4.8137999999999996</v>
      </c>
    </row>
    <row r="4991" spans="15:19" ht="15" x14ac:dyDescent="0.25">
      <c r="O4991"/>
      <c r="P4991"/>
      <c r="R4991" s="39">
        <v>38345</v>
      </c>
      <c r="S4991" s="37">
        <v>4.7934999999999999</v>
      </c>
    </row>
    <row r="4992" spans="15:19" ht="15" x14ac:dyDescent="0.25">
      <c r="O4992"/>
      <c r="P4992"/>
      <c r="R4992" s="39">
        <v>38344</v>
      </c>
      <c r="S4992" s="37">
        <v>4.8207000000000004</v>
      </c>
    </row>
    <row r="4993" spans="15:19" ht="15" x14ac:dyDescent="0.25">
      <c r="O4993"/>
      <c r="P4993"/>
      <c r="R4993" s="39">
        <v>38343</v>
      </c>
      <c r="S4993" s="37">
        <v>4.8357999999999999</v>
      </c>
    </row>
    <row r="4994" spans="15:19" ht="15" x14ac:dyDescent="0.25">
      <c r="O4994"/>
      <c r="P4994"/>
      <c r="R4994" s="39">
        <v>38342</v>
      </c>
      <c r="S4994" s="37">
        <v>4.7862999999999998</v>
      </c>
    </row>
    <row r="4995" spans="15:19" ht="15" x14ac:dyDescent="0.25">
      <c r="O4995"/>
      <c r="P4995"/>
      <c r="R4995" s="39">
        <v>38341</v>
      </c>
      <c r="S4995" s="37">
        <v>4.7622</v>
      </c>
    </row>
    <row r="4996" spans="15:19" ht="15" x14ac:dyDescent="0.25">
      <c r="O4996"/>
      <c r="P4996"/>
      <c r="R4996" s="39">
        <v>38338</v>
      </c>
      <c r="S4996" s="37">
        <v>4.8948</v>
      </c>
    </row>
    <row r="4997" spans="15:19" ht="15" x14ac:dyDescent="0.25">
      <c r="O4997"/>
      <c r="P4997"/>
      <c r="R4997" s="39">
        <v>38337</v>
      </c>
      <c r="S4997" s="37">
        <v>4.9116999999999997</v>
      </c>
    </row>
    <row r="4998" spans="15:19" ht="15" x14ac:dyDescent="0.25">
      <c r="O4998"/>
      <c r="P4998"/>
      <c r="R4998" s="39">
        <v>38336</v>
      </c>
      <c r="S4998" s="37">
        <v>5.0086000000000004</v>
      </c>
    </row>
    <row r="4999" spans="15:19" ht="15" x14ac:dyDescent="0.25">
      <c r="O4999"/>
      <c r="P4999"/>
      <c r="R4999" s="39">
        <v>38335</v>
      </c>
      <c r="S4999" s="37">
        <v>4.7310999999999996</v>
      </c>
    </row>
    <row r="5000" spans="15:19" ht="15" x14ac:dyDescent="0.25">
      <c r="O5000"/>
      <c r="P5000"/>
      <c r="R5000" s="39">
        <v>38334</v>
      </c>
      <c r="S5000" s="37">
        <v>4.7114000000000003</v>
      </c>
    </row>
    <row r="5001" spans="15:19" ht="15" x14ac:dyDescent="0.25">
      <c r="O5001"/>
      <c r="P5001"/>
      <c r="R5001" s="39">
        <v>38331</v>
      </c>
      <c r="S5001" s="37">
        <v>4.8170999999999999</v>
      </c>
    </row>
    <row r="5002" spans="15:19" ht="15" x14ac:dyDescent="0.25">
      <c r="O5002"/>
      <c r="P5002"/>
      <c r="R5002" s="39">
        <v>38330</v>
      </c>
      <c r="S5002" s="37">
        <v>4.6355000000000004</v>
      </c>
    </row>
    <row r="5003" spans="15:19" ht="15" x14ac:dyDescent="0.25">
      <c r="O5003"/>
      <c r="P5003"/>
      <c r="R5003" s="39">
        <v>38329</v>
      </c>
      <c r="S5003" s="37">
        <v>4.6435000000000004</v>
      </c>
    </row>
    <row r="5004" spans="15:19" ht="15" x14ac:dyDescent="0.25">
      <c r="O5004"/>
      <c r="P5004"/>
      <c r="R5004" s="39">
        <v>38328</v>
      </c>
      <c r="S5004" s="37">
        <v>4.6535000000000002</v>
      </c>
    </row>
    <row r="5005" spans="15:19" ht="15" x14ac:dyDescent="0.25">
      <c r="O5005"/>
      <c r="P5005"/>
      <c r="R5005" s="39">
        <v>38327</v>
      </c>
      <c r="S5005" s="37">
        <v>4.6031000000000004</v>
      </c>
    </row>
    <row r="5006" spans="15:19" ht="15" x14ac:dyDescent="0.25">
      <c r="O5006"/>
      <c r="P5006"/>
      <c r="R5006" s="39">
        <v>38324</v>
      </c>
      <c r="S5006" s="37">
        <v>4.6726999999999999</v>
      </c>
    </row>
    <row r="5007" spans="15:19" ht="15" x14ac:dyDescent="0.25">
      <c r="O5007"/>
      <c r="P5007"/>
      <c r="R5007" s="39">
        <v>38323</v>
      </c>
      <c r="S5007" s="37">
        <v>4.8681999999999999</v>
      </c>
    </row>
    <row r="5008" spans="15:19" ht="15" x14ac:dyDescent="0.25">
      <c r="O5008"/>
      <c r="P5008"/>
      <c r="R5008" s="39">
        <v>38322</v>
      </c>
      <c r="S5008" s="37">
        <v>4.6093999999999999</v>
      </c>
    </row>
    <row r="5009" spans="15:19" ht="15" x14ac:dyDescent="0.25">
      <c r="O5009"/>
      <c r="P5009"/>
      <c r="R5009" s="39">
        <v>38321</v>
      </c>
      <c r="S5009" s="37">
        <v>4.7724000000000002</v>
      </c>
    </row>
    <row r="5010" spans="15:19" ht="15" x14ac:dyDescent="0.25">
      <c r="O5010"/>
      <c r="P5010"/>
      <c r="R5010" s="39">
        <v>38320</v>
      </c>
      <c r="S5010" s="37">
        <v>5.0616000000000003</v>
      </c>
    </row>
    <row r="5011" spans="15:19" ht="15" x14ac:dyDescent="0.25">
      <c r="O5011"/>
      <c r="P5011"/>
      <c r="R5011" s="39">
        <v>38317</v>
      </c>
      <c r="S5011" s="37">
        <v>4.88</v>
      </c>
    </row>
    <row r="5012" spans="15:19" ht="15" x14ac:dyDescent="0.25">
      <c r="O5012"/>
      <c r="P5012"/>
      <c r="R5012" s="39">
        <v>38316</v>
      </c>
      <c r="S5012" s="37">
        <v>4.8525</v>
      </c>
    </row>
    <row r="5013" spans="15:19" ht="15" x14ac:dyDescent="0.25">
      <c r="O5013"/>
      <c r="P5013"/>
      <c r="R5013" s="39">
        <v>38315</v>
      </c>
      <c r="S5013" s="37">
        <v>4.5885999999999996</v>
      </c>
    </row>
    <row r="5014" spans="15:19" ht="15" x14ac:dyDescent="0.25">
      <c r="O5014"/>
      <c r="P5014"/>
      <c r="R5014" s="39">
        <v>38314</v>
      </c>
      <c r="S5014" s="37">
        <v>4.6573000000000002</v>
      </c>
    </row>
    <row r="5015" spans="15:19" ht="15" x14ac:dyDescent="0.25">
      <c r="O5015"/>
      <c r="P5015"/>
      <c r="R5015" s="39">
        <v>38313</v>
      </c>
      <c r="S5015" s="37">
        <v>4.8417000000000003</v>
      </c>
    </row>
    <row r="5016" spans="15:19" ht="15" x14ac:dyDescent="0.25">
      <c r="O5016"/>
      <c r="P5016"/>
      <c r="R5016" s="39">
        <v>38310</v>
      </c>
      <c r="S5016" s="37">
        <v>4.8284000000000002</v>
      </c>
    </row>
    <row r="5017" spans="15:19" ht="15" x14ac:dyDescent="0.25">
      <c r="O5017"/>
      <c r="P5017"/>
      <c r="R5017" s="39">
        <v>38309</v>
      </c>
      <c r="S5017" s="37">
        <v>4.9935999999999998</v>
      </c>
    </row>
    <row r="5018" spans="15:19" ht="15" x14ac:dyDescent="0.25">
      <c r="O5018"/>
      <c r="P5018"/>
      <c r="R5018" s="39">
        <v>38308</v>
      </c>
      <c r="S5018" s="37">
        <v>4.6013000000000002</v>
      </c>
    </row>
    <row r="5019" spans="15:19" ht="15" x14ac:dyDescent="0.25">
      <c r="O5019"/>
      <c r="P5019"/>
      <c r="R5019" s="39">
        <v>38307</v>
      </c>
      <c r="S5019" s="37">
        <v>4.6279000000000003</v>
      </c>
    </row>
    <row r="5020" spans="15:19" ht="15" x14ac:dyDescent="0.25">
      <c r="O5020"/>
      <c r="P5020"/>
      <c r="R5020" s="39">
        <v>38306</v>
      </c>
      <c r="S5020" s="37">
        <v>4.6006999999999998</v>
      </c>
    </row>
    <row r="5021" spans="15:19" ht="15" x14ac:dyDescent="0.25">
      <c r="O5021"/>
      <c r="P5021"/>
      <c r="R5021" s="39">
        <v>38303</v>
      </c>
      <c r="S5021" s="37">
        <v>4.6227999999999998</v>
      </c>
    </row>
    <row r="5022" spans="15:19" ht="15" x14ac:dyDescent="0.25">
      <c r="O5022"/>
      <c r="P5022"/>
      <c r="R5022" s="39">
        <v>38302</v>
      </c>
      <c r="S5022" s="37">
        <v>4.6121999999999996</v>
      </c>
    </row>
    <row r="5023" spans="15:19" ht="15" x14ac:dyDescent="0.25">
      <c r="O5023"/>
      <c r="P5023"/>
      <c r="R5023" s="39">
        <v>38301</v>
      </c>
      <c r="S5023" s="37">
        <v>4.6143999999999998</v>
      </c>
    </row>
    <row r="5024" spans="15:19" ht="15" x14ac:dyDescent="0.25">
      <c r="O5024"/>
      <c r="P5024"/>
      <c r="R5024" s="39">
        <v>38300</v>
      </c>
      <c r="S5024" s="37">
        <v>4.6266999999999996</v>
      </c>
    </row>
    <row r="5025" spans="15:19" ht="15" x14ac:dyDescent="0.25">
      <c r="O5025"/>
      <c r="P5025"/>
      <c r="R5025" s="39">
        <v>38299</v>
      </c>
      <c r="S5025" s="37">
        <v>4.6161000000000003</v>
      </c>
    </row>
    <row r="5026" spans="15:19" ht="15" x14ac:dyDescent="0.25">
      <c r="O5026"/>
      <c r="P5026"/>
      <c r="R5026" s="39">
        <v>38296</v>
      </c>
      <c r="S5026" s="37">
        <v>5.0068999999999999</v>
      </c>
    </row>
    <row r="5027" spans="15:19" ht="15" x14ac:dyDescent="0.25">
      <c r="O5027"/>
      <c r="P5027"/>
      <c r="R5027" s="39">
        <v>38295</v>
      </c>
      <c r="S5027" s="37">
        <v>5.0522999999999998</v>
      </c>
    </row>
    <row r="5028" spans="15:19" ht="15" x14ac:dyDescent="0.25">
      <c r="O5028"/>
      <c r="P5028"/>
      <c r="R5028" s="39">
        <v>38294</v>
      </c>
      <c r="S5028" s="37">
        <v>4.6821999999999999</v>
      </c>
    </row>
    <row r="5029" spans="15:19" ht="15" x14ac:dyDescent="0.25">
      <c r="O5029"/>
      <c r="P5029"/>
      <c r="R5029" s="39">
        <v>38293</v>
      </c>
      <c r="S5029" s="37">
        <v>4.5650000000000004</v>
      </c>
    </row>
    <row r="5030" spans="15:19" ht="15" x14ac:dyDescent="0.25">
      <c r="O5030"/>
      <c r="P5030"/>
      <c r="R5030" s="39">
        <v>38292</v>
      </c>
      <c r="S5030" s="37">
        <v>4.5926</v>
      </c>
    </row>
    <row r="5031" spans="15:19" ht="15" x14ac:dyDescent="0.25">
      <c r="O5031"/>
      <c r="P5031"/>
      <c r="R5031" s="39">
        <v>38289</v>
      </c>
      <c r="S5031" s="37">
        <v>4.6003999999999996</v>
      </c>
    </row>
    <row r="5032" spans="15:19" ht="15" x14ac:dyDescent="0.25">
      <c r="O5032"/>
      <c r="P5032"/>
      <c r="R5032" s="39">
        <v>38288</v>
      </c>
      <c r="S5032" s="37">
        <v>4.8663999999999996</v>
      </c>
    </row>
    <row r="5033" spans="15:19" ht="15" x14ac:dyDescent="0.25">
      <c r="O5033"/>
      <c r="P5033"/>
      <c r="R5033" s="39">
        <v>38287</v>
      </c>
      <c r="S5033" s="37">
        <v>4.6829000000000001</v>
      </c>
    </row>
    <row r="5034" spans="15:19" ht="15" x14ac:dyDescent="0.25">
      <c r="O5034"/>
      <c r="P5034"/>
      <c r="R5034" s="39">
        <v>38286</v>
      </c>
      <c r="S5034" s="37">
        <v>4.6317000000000004</v>
      </c>
    </row>
    <row r="5035" spans="15:19" ht="15" x14ac:dyDescent="0.25">
      <c r="O5035"/>
      <c r="P5035"/>
      <c r="R5035" s="39">
        <v>38285</v>
      </c>
      <c r="S5035" s="37">
        <v>4.8308</v>
      </c>
    </row>
    <row r="5036" spans="15:19" ht="15" x14ac:dyDescent="0.25">
      <c r="O5036"/>
      <c r="P5036"/>
      <c r="R5036" s="39">
        <v>38282</v>
      </c>
      <c r="S5036" s="37">
        <v>4.7931999999999997</v>
      </c>
    </row>
    <row r="5037" spans="15:19" ht="15" x14ac:dyDescent="0.25">
      <c r="O5037"/>
      <c r="P5037"/>
      <c r="R5037" s="39">
        <v>38281</v>
      </c>
      <c r="S5037" s="37">
        <v>4.7659000000000002</v>
      </c>
    </row>
    <row r="5038" spans="15:19" ht="15" x14ac:dyDescent="0.25">
      <c r="O5038"/>
      <c r="P5038"/>
      <c r="R5038" s="39">
        <v>38280</v>
      </c>
      <c r="S5038" s="37">
        <v>4.6462000000000003</v>
      </c>
    </row>
    <row r="5039" spans="15:19" ht="15" x14ac:dyDescent="0.25">
      <c r="O5039"/>
      <c r="P5039"/>
      <c r="R5039" s="39">
        <v>38279</v>
      </c>
      <c r="S5039" s="37">
        <v>4.7682000000000002</v>
      </c>
    </row>
    <row r="5040" spans="15:19" ht="15" x14ac:dyDescent="0.25">
      <c r="O5040"/>
      <c r="P5040"/>
      <c r="R5040" s="39">
        <v>38278</v>
      </c>
      <c r="S5040" s="37">
        <v>4.6433999999999997</v>
      </c>
    </row>
    <row r="5041" spans="15:19" ht="15" x14ac:dyDescent="0.25">
      <c r="O5041"/>
      <c r="P5041"/>
      <c r="R5041" s="39">
        <v>38275</v>
      </c>
      <c r="S5041" s="37">
        <v>4.6436999999999999</v>
      </c>
    </row>
    <row r="5042" spans="15:19" ht="15" x14ac:dyDescent="0.25">
      <c r="O5042"/>
      <c r="P5042"/>
      <c r="R5042" s="39">
        <v>38274</v>
      </c>
      <c r="S5042" s="37">
        <v>5.0106000000000002</v>
      </c>
    </row>
    <row r="5043" spans="15:19" ht="15" x14ac:dyDescent="0.25">
      <c r="O5043"/>
      <c r="P5043"/>
      <c r="R5043" s="39">
        <v>38273</v>
      </c>
      <c r="S5043" s="37">
        <v>4.6698000000000004</v>
      </c>
    </row>
    <row r="5044" spans="15:19" ht="15" x14ac:dyDescent="0.25">
      <c r="O5044"/>
      <c r="P5044"/>
      <c r="R5044" s="39">
        <v>38272</v>
      </c>
      <c r="S5044" s="37">
        <v>4.6045999999999996</v>
      </c>
    </row>
    <row r="5045" spans="15:19" ht="15" x14ac:dyDescent="0.25">
      <c r="O5045"/>
      <c r="P5045"/>
      <c r="R5045" s="39">
        <v>38271</v>
      </c>
      <c r="S5045" s="37">
        <v>4.6398999999999999</v>
      </c>
    </row>
    <row r="5046" spans="15:19" ht="15" x14ac:dyDescent="0.25">
      <c r="O5046"/>
      <c r="P5046"/>
      <c r="R5046" s="39">
        <v>38268</v>
      </c>
      <c r="S5046" s="37">
        <v>4.7912999999999997</v>
      </c>
    </row>
    <row r="5047" spans="15:19" ht="15" x14ac:dyDescent="0.25">
      <c r="O5047"/>
      <c r="P5047"/>
      <c r="R5047" s="39">
        <v>38267</v>
      </c>
      <c r="S5047" s="37">
        <v>4.8243</v>
      </c>
    </row>
    <row r="5048" spans="15:19" ht="15" x14ac:dyDescent="0.25">
      <c r="O5048"/>
      <c r="P5048"/>
      <c r="R5048" s="39">
        <v>38266</v>
      </c>
      <c r="S5048" s="37">
        <v>4.5965999999999996</v>
      </c>
    </row>
    <row r="5049" spans="15:19" ht="15" x14ac:dyDescent="0.25">
      <c r="O5049"/>
      <c r="P5049"/>
      <c r="R5049" s="39">
        <v>38265</v>
      </c>
      <c r="S5049" s="37">
        <v>4.6832000000000003</v>
      </c>
    </row>
    <row r="5050" spans="15:19" ht="15" x14ac:dyDescent="0.25">
      <c r="O5050"/>
      <c r="P5050"/>
      <c r="R5050" s="39">
        <v>38264</v>
      </c>
      <c r="S5050" s="37">
        <v>4.9817</v>
      </c>
    </row>
    <row r="5051" spans="15:19" ht="15" x14ac:dyDescent="0.25">
      <c r="O5051"/>
      <c r="P5051"/>
      <c r="R5051" s="39">
        <v>38261</v>
      </c>
      <c r="S5051" s="37">
        <v>4.6498999999999997</v>
      </c>
    </row>
    <row r="5052" spans="15:19" ht="15" x14ac:dyDescent="0.25">
      <c r="O5052"/>
      <c r="P5052"/>
      <c r="R5052" s="39">
        <v>38260</v>
      </c>
      <c r="S5052" s="37">
        <v>4.6412000000000004</v>
      </c>
    </row>
    <row r="5053" spans="15:19" ht="15" x14ac:dyDescent="0.25">
      <c r="O5053"/>
      <c r="P5053"/>
      <c r="R5053" s="39">
        <v>38259</v>
      </c>
      <c r="S5053" s="37">
        <v>4.9169</v>
      </c>
    </row>
    <row r="5054" spans="15:19" ht="15" x14ac:dyDescent="0.25">
      <c r="O5054"/>
      <c r="P5054"/>
      <c r="R5054" s="39">
        <v>38258</v>
      </c>
      <c r="S5054" s="37">
        <v>4.8068999999999997</v>
      </c>
    </row>
    <row r="5055" spans="15:19" ht="15" x14ac:dyDescent="0.25">
      <c r="O5055"/>
      <c r="P5055"/>
      <c r="R5055" s="39">
        <v>38257</v>
      </c>
      <c r="S5055" s="37">
        <v>4.6260000000000003</v>
      </c>
    </row>
    <row r="5056" spans="15:19" ht="15" x14ac:dyDescent="0.25">
      <c r="O5056"/>
      <c r="P5056"/>
      <c r="R5056" s="39">
        <v>38254</v>
      </c>
      <c r="S5056" s="37">
        <v>4.6092000000000004</v>
      </c>
    </row>
    <row r="5057" spans="15:19" ht="15" x14ac:dyDescent="0.25">
      <c r="O5057"/>
      <c r="P5057"/>
      <c r="R5057" s="39">
        <v>38253</v>
      </c>
      <c r="S5057" s="37">
        <v>4.6904000000000003</v>
      </c>
    </row>
    <row r="5058" spans="15:19" ht="15" x14ac:dyDescent="0.25">
      <c r="O5058"/>
      <c r="P5058"/>
      <c r="R5058" s="39">
        <v>38252</v>
      </c>
      <c r="S5058" s="37">
        <v>4.6302000000000003</v>
      </c>
    </row>
    <row r="5059" spans="15:19" ht="15" x14ac:dyDescent="0.25">
      <c r="O5059"/>
      <c r="P5059"/>
      <c r="R5059" s="39">
        <v>38251</v>
      </c>
      <c r="S5059" s="37">
        <v>4.6382000000000003</v>
      </c>
    </row>
    <row r="5060" spans="15:19" ht="15" x14ac:dyDescent="0.25">
      <c r="O5060"/>
      <c r="P5060"/>
      <c r="R5060" s="39">
        <v>38250</v>
      </c>
      <c r="S5060" s="37">
        <v>4.6485000000000003</v>
      </c>
    </row>
    <row r="5061" spans="15:19" ht="15" x14ac:dyDescent="0.25">
      <c r="O5061"/>
      <c r="P5061"/>
      <c r="R5061" s="39">
        <v>38247</v>
      </c>
      <c r="S5061" s="37">
        <v>4.8605999999999998</v>
      </c>
    </row>
    <row r="5062" spans="15:19" ht="15" x14ac:dyDescent="0.25">
      <c r="O5062"/>
      <c r="P5062"/>
      <c r="R5062" s="39">
        <v>38246</v>
      </c>
      <c r="S5062" s="37">
        <v>4.9904999999999999</v>
      </c>
    </row>
    <row r="5063" spans="15:19" ht="15" x14ac:dyDescent="0.25">
      <c r="O5063"/>
      <c r="P5063"/>
      <c r="R5063" s="39">
        <v>38245</v>
      </c>
      <c r="S5063" s="37">
        <v>4.6622000000000003</v>
      </c>
    </row>
    <row r="5064" spans="15:19" ht="15" x14ac:dyDescent="0.25">
      <c r="O5064"/>
      <c r="P5064"/>
      <c r="R5064" s="39">
        <v>38244</v>
      </c>
      <c r="S5064" s="37">
        <v>4.5930999999999997</v>
      </c>
    </row>
    <row r="5065" spans="15:19" ht="15" x14ac:dyDescent="0.25">
      <c r="O5065"/>
      <c r="P5065"/>
      <c r="R5065" s="39">
        <v>38243</v>
      </c>
      <c r="S5065" s="37">
        <v>4.7320000000000002</v>
      </c>
    </row>
    <row r="5066" spans="15:19" ht="15" x14ac:dyDescent="0.25">
      <c r="O5066"/>
      <c r="P5066"/>
      <c r="R5066" s="39">
        <v>38240</v>
      </c>
      <c r="S5066" s="37">
        <v>4.5979000000000001</v>
      </c>
    </row>
    <row r="5067" spans="15:19" ht="15" x14ac:dyDescent="0.25">
      <c r="O5067"/>
      <c r="P5067"/>
      <c r="R5067" s="39">
        <v>38239</v>
      </c>
      <c r="S5067" s="37">
        <v>4.6319999999999997</v>
      </c>
    </row>
    <row r="5068" spans="15:19" ht="15" x14ac:dyDescent="0.25">
      <c r="O5068"/>
      <c r="P5068"/>
      <c r="R5068" s="39">
        <v>38238</v>
      </c>
      <c r="S5068" s="37">
        <v>4.7019000000000002</v>
      </c>
    </row>
    <row r="5069" spans="15:19" ht="15" x14ac:dyDescent="0.25">
      <c r="O5069"/>
      <c r="P5069"/>
      <c r="R5069" s="39">
        <v>38237</v>
      </c>
      <c r="S5069" s="37">
        <v>4.6036999999999999</v>
      </c>
    </row>
    <row r="5070" spans="15:19" ht="15" x14ac:dyDescent="0.25">
      <c r="O5070"/>
      <c r="P5070"/>
      <c r="R5070" s="39">
        <v>38236</v>
      </c>
      <c r="S5070" s="37">
        <v>4.9728000000000003</v>
      </c>
    </row>
    <row r="5071" spans="15:19" ht="15" x14ac:dyDescent="0.25">
      <c r="O5071"/>
      <c r="P5071"/>
      <c r="R5071" s="39">
        <v>38233</v>
      </c>
      <c r="S5071" s="37">
        <v>4.7380000000000004</v>
      </c>
    </row>
    <row r="5072" spans="15:19" ht="15" x14ac:dyDescent="0.25">
      <c r="O5072"/>
      <c r="P5072"/>
      <c r="R5072" s="39">
        <v>38232</v>
      </c>
      <c r="S5072" s="37">
        <v>5.1247999999999996</v>
      </c>
    </row>
    <row r="5073" spans="15:19" ht="15" x14ac:dyDescent="0.25">
      <c r="O5073"/>
      <c r="P5073"/>
      <c r="R5073" s="39">
        <v>38231</v>
      </c>
      <c r="S5073" s="37">
        <v>4.6746999999999996</v>
      </c>
    </row>
    <row r="5074" spans="15:19" ht="15" x14ac:dyDescent="0.25">
      <c r="O5074"/>
      <c r="P5074"/>
      <c r="R5074" s="39">
        <v>38230</v>
      </c>
      <c r="S5074" s="37">
        <v>4.6303999999999998</v>
      </c>
    </row>
    <row r="5075" spans="15:19" ht="15" x14ac:dyDescent="0.25">
      <c r="O5075"/>
      <c r="P5075"/>
      <c r="R5075" s="39">
        <v>38226</v>
      </c>
      <c r="S5075" s="37">
        <v>4.593</v>
      </c>
    </row>
    <row r="5076" spans="15:19" ht="15" x14ac:dyDescent="0.25">
      <c r="O5076"/>
      <c r="P5076"/>
      <c r="R5076" s="39">
        <v>38225</v>
      </c>
      <c r="S5076" s="37">
        <v>5.1871</v>
      </c>
    </row>
    <row r="5077" spans="15:19" ht="15" x14ac:dyDescent="0.25">
      <c r="O5077"/>
      <c r="P5077"/>
      <c r="R5077" s="39">
        <v>38224</v>
      </c>
      <c r="S5077" s="37">
        <v>4.6656000000000004</v>
      </c>
    </row>
    <row r="5078" spans="15:19" ht="15" x14ac:dyDescent="0.25">
      <c r="O5078"/>
      <c r="P5078"/>
      <c r="R5078" s="39">
        <v>38223</v>
      </c>
      <c r="S5078" s="37">
        <v>5.0495999999999999</v>
      </c>
    </row>
    <row r="5079" spans="15:19" ht="15" x14ac:dyDescent="0.25">
      <c r="O5079"/>
      <c r="P5079"/>
      <c r="R5079" s="39">
        <v>38222</v>
      </c>
      <c r="S5079" s="37">
        <v>4.6401000000000003</v>
      </c>
    </row>
    <row r="5080" spans="15:19" ht="15" x14ac:dyDescent="0.25">
      <c r="O5080"/>
      <c r="P5080"/>
      <c r="R5080" s="39">
        <v>38219</v>
      </c>
      <c r="S5080" s="37">
        <v>4.6632999999999996</v>
      </c>
    </row>
    <row r="5081" spans="15:19" ht="15" x14ac:dyDescent="0.25">
      <c r="O5081"/>
      <c r="P5081"/>
      <c r="R5081" s="39">
        <v>38218</v>
      </c>
      <c r="S5081" s="37">
        <v>4.8026999999999997</v>
      </c>
    </row>
    <row r="5082" spans="15:19" ht="15" x14ac:dyDescent="0.25">
      <c r="O5082"/>
      <c r="P5082"/>
      <c r="R5082" s="39">
        <v>38217</v>
      </c>
      <c r="S5082" s="37">
        <v>4.7419000000000002</v>
      </c>
    </row>
    <row r="5083" spans="15:19" ht="15" x14ac:dyDescent="0.25">
      <c r="O5083"/>
      <c r="P5083"/>
      <c r="R5083" s="39">
        <v>38216</v>
      </c>
      <c r="S5083" s="37">
        <v>4.7453000000000003</v>
      </c>
    </row>
    <row r="5084" spans="15:19" ht="15" x14ac:dyDescent="0.25">
      <c r="O5084"/>
      <c r="P5084"/>
      <c r="R5084" s="39">
        <v>38215</v>
      </c>
      <c r="S5084" s="37">
        <v>4.9128999999999996</v>
      </c>
    </row>
    <row r="5085" spans="15:19" ht="15" x14ac:dyDescent="0.25">
      <c r="O5085"/>
      <c r="P5085"/>
      <c r="R5085" s="39">
        <v>38212</v>
      </c>
      <c r="S5085" s="37">
        <v>4.7750000000000004</v>
      </c>
    </row>
    <row r="5086" spans="15:19" ht="15" x14ac:dyDescent="0.25">
      <c r="O5086"/>
      <c r="P5086"/>
      <c r="R5086" s="39">
        <v>38211</v>
      </c>
      <c r="S5086" s="37">
        <v>4.7706999999999997</v>
      </c>
    </row>
    <row r="5087" spans="15:19" ht="15" x14ac:dyDescent="0.25">
      <c r="O5087"/>
      <c r="P5087"/>
      <c r="R5087" s="39">
        <v>38210</v>
      </c>
      <c r="S5087" s="37">
        <v>4.5983000000000001</v>
      </c>
    </row>
    <row r="5088" spans="15:19" ht="15" x14ac:dyDescent="0.25">
      <c r="O5088"/>
      <c r="P5088"/>
      <c r="R5088" s="39">
        <v>38209</v>
      </c>
      <c r="S5088" s="37">
        <v>4.5841000000000003</v>
      </c>
    </row>
    <row r="5089" spans="15:19" ht="15" x14ac:dyDescent="0.25">
      <c r="O5089"/>
      <c r="P5089"/>
      <c r="R5089" s="39">
        <v>38208</v>
      </c>
      <c r="S5089" s="37">
        <v>4.5795000000000003</v>
      </c>
    </row>
    <row r="5090" spans="15:19" ht="15" x14ac:dyDescent="0.25">
      <c r="O5090"/>
      <c r="P5090"/>
      <c r="R5090" s="39">
        <v>38205</v>
      </c>
      <c r="S5090" s="37">
        <v>4.9227999999999996</v>
      </c>
    </row>
    <row r="5091" spans="15:19" ht="15" x14ac:dyDescent="0.25">
      <c r="O5091"/>
      <c r="P5091"/>
      <c r="R5091" s="39">
        <v>38204</v>
      </c>
      <c r="S5091" s="37">
        <v>4.5761000000000003</v>
      </c>
    </row>
    <row r="5092" spans="15:19" ht="15" x14ac:dyDescent="0.25">
      <c r="O5092"/>
      <c r="P5092"/>
      <c r="R5092" s="39">
        <v>38203</v>
      </c>
      <c r="S5092" s="37">
        <v>3.7509999999999999</v>
      </c>
    </row>
    <row r="5093" spans="15:19" ht="15" x14ac:dyDescent="0.25">
      <c r="O5093"/>
      <c r="P5093"/>
      <c r="R5093" s="39">
        <v>38202</v>
      </c>
      <c r="S5093" s="37">
        <v>3.9388000000000001</v>
      </c>
    </row>
    <row r="5094" spans="15:19" ht="15" x14ac:dyDescent="0.25">
      <c r="O5094"/>
      <c r="P5094"/>
      <c r="R5094" s="39">
        <v>38201</v>
      </c>
      <c r="S5094" s="37">
        <v>4.1014999999999997</v>
      </c>
    </row>
    <row r="5095" spans="15:19" ht="15" x14ac:dyDescent="0.25">
      <c r="O5095"/>
      <c r="P5095"/>
      <c r="R5095" s="39">
        <v>38198</v>
      </c>
      <c r="S5095" s="37">
        <v>4.2417999999999996</v>
      </c>
    </row>
    <row r="5096" spans="15:19" ht="15" x14ac:dyDescent="0.25">
      <c r="O5096"/>
      <c r="P5096"/>
      <c r="R5096" s="39">
        <v>38197</v>
      </c>
      <c r="S5096" s="37">
        <v>4.8662000000000001</v>
      </c>
    </row>
    <row r="5097" spans="15:19" ht="15" x14ac:dyDescent="0.25">
      <c r="O5097"/>
      <c r="P5097"/>
      <c r="R5097" s="39">
        <v>38196</v>
      </c>
      <c r="S5097" s="37">
        <v>4.9108999999999998</v>
      </c>
    </row>
    <row r="5098" spans="15:19" ht="15" x14ac:dyDescent="0.25">
      <c r="O5098"/>
      <c r="P5098"/>
      <c r="R5098" s="39">
        <v>38195</v>
      </c>
      <c r="S5098" s="37">
        <v>4.7007000000000003</v>
      </c>
    </row>
    <row r="5099" spans="15:19" ht="15" x14ac:dyDescent="0.25">
      <c r="O5099"/>
      <c r="P5099"/>
      <c r="R5099" s="39">
        <v>38194</v>
      </c>
      <c r="S5099" s="37">
        <v>4.6319999999999997</v>
      </c>
    </row>
    <row r="5100" spans="15:19" ht="15" x14ac:dyDescent="0.25">
      <c r="O5100"/>
      <c r="P5100"/>
      <c r="R5100" s="39">
        <v>38191</v>
      </c>
      <c r="S5100" s="37">
        <v>4.3914999999999997</v>
      </c>
    </row>
    <row r="5101" spans="15:19" ht="15" x14ac:dyDescent="0.25">
      <c r="O5101"/>
      <c r="P5101"/>
      <c r="R5101" s="39">
        <v>38190</v>
      </c>
      <c r="S5101" s="37">
        <v>4.3562000000000003</v>
      </c>
    </row>
    <row r="5102" spans="15:19" ht="15" x14ac:dyDescent="0.25">
      <c r="O5102"/>
      <c r="P5102"/>
      <c r="R5102" s="39">
        <v>38189</v>
      </c>
      <c r="S5102" s="37">
        <v>4.4058000000000002</v>
      </c>
    </row>
    <row r="5103" spans="15:19" ht="15" x14ac:dyDescent="0.25">
      <c r="O5103"/>
      <c r="P5103"/>
      <c r="R5103" s="39">
        <v>38188</v>
      </c>
      <c r="S5103" s="37">
        <v>4.4406999999999996</v>
      </c>
    </row>
    <row r="5104" spans="15:19" ht="15" x14ac:dyDescent="0.25">
      <c r="O5104"/>
      <c r="P5104"/>
      <c r="R5104" s="39">
        <v>38187</v>
      </c>
      <c r="S5104" s="37">
        <v>4.3345000000000002</v>
      </c>
    </row>
    <row r="5105" spans="15:19" ht="15" x14ac:dyDescent="0.25">
      <c r="O5105"/>
      <c r="P5105"/>
      <c r="R5105" s="39">
        <v>38184</v>
      </c>
      <c r="S5105" s="37">
        <v>4.4843999999999999</v>
      </c>
    </row>
    <row r="5106" spans="15:19" ht="15" x14ac:dyDescent="0.25">
      <c r="O5106"/>
      <c r="P5106"/>
      <c r="R5106" s="39">
        <v>38183</v>
      </c>
      <c r="S5106" s="37">
        <v>4.6627000000000001</v>
      </c>
    </row>
    <row r="5107" spans="15:19" ht="15" x14ac:dyDescent="0.25">
      <c r="O5107"/>
      <c r="P5107"/>
      <c r="R5107" s="39">
        <v>38182</v>
      </c>
      <c r="S5107" s="37">
        <v>4.3170999999999999</v>
      </c>
    </row>
    <row r="5108" spans="15:19" ht="15" x14ac:dyDescent="0.25">
      <c r="O5108"/>
      <c r="P5108"/>
      <c r="R5108" s="39">
        <v>38181</v>
      </c>
      <c r="S5108" s="37">
        <v>4.4000000000000004</v>
      </c>
    </row>
    <row r="5109" spans="15:19" ht="15" x14ac:dyDescent="0.25">
      <c r="O5109"/>
      <c r="P5109"/>
      <c r="R5109" s="39">
        <v>38180</v>
      </c>
      <c r="S5109" s="37">
        <v>4.4675000000000002</v>
      </c>
    </row>
    <row r="5110" spans="15:19" ht="15" x14ac:dyDescent="0.25">
      <c r="O5110"/>
      <c r="P5110"/>
      <c r="R5110" s="39">
        <v>38177</v>
      </c>
      <c r="S5110" s="37">
        <v>4.4828000000000001</v>
      </c>
    </row>
    <row r="5111" spans="15:19" ht="15" x14ac:dyDescent="0.25">
      <c r="O5111"/>
      <c r="P5111"/>
      <c r="R5111" s="39">
        <v>38176</v>
      </c>
      <c r="S5111" s="37">
        <v>4.4236000000000004</v>
      </c>
    </row>
    <row r="5112" spans="15:19" ht="15" x14ac:dyDescent="0.25">
      <c r="O5112"/>
      <c r="P5112"/>
      <c r="R5112" s="39">
        <v>38175</v>
      </c>
      <c r="S5112" s="37">
        <v>4.2998000000000003</v>
      </c>
    </row>
    <row r="5113" spans="15:19" ht="15" x14ac:dyDescent="0.25">
      <c r="O5113"/>
      <c r="P5113"/>
      <c r="R5113" s="39">
        <v>38174</v>
      </c>
      <c r="S5113" s="37">
        <v>4.3109999999999999</v>
      </c>
    </row>
    <row r="5114" spans="15:19" ht="15" x14ac:dyDescent="0.25">
      <c r="O5114"/>
      <c r="P5114"/>
      <c r="R5114" s="39">
        <v>38173</v>
      </c>
      <c r="S5114" s="37">
        <v>4.3604000000000003</v>
      </c>
    </row>
    <row r="5115" spans="15:19" ht="15" x14ac:dyDescent="0.25">
      <c r="O5115"/>
      <c r="P5115"/>
      <c r="R5115" s="39">
        <v>38170</v>
      </c>
      <c r="S5115" s="37">
        <v>4.3501000000000003</v>
      </c>
    </row>
    <row r="5116" spans="15:19" ht="15" x14ac:dyDescent="0.25">
      <c r="O5116"/>
      <c r="P5116"/>
      <c r="R5116" s="39">
        <v>38169</v>
      </c>
      <c r="S5116" s="37">
        <v>4.3297999999999996</v>
      </c>
    </row>
    <row r="5117" spans="15:19" ht="15" x14ac:dyDescent="0.25">
      <c r="O5117"/>
      <c r="P5117"/>
      <c r="R5117" s="39">
        <v>38168</v>
      </c>
      <c r="S5117" s="37">
        <v>4.7367999999999997</v>
      </c>
    </row>
    <row r="5118" spans="15:19" ht="15" x14ac:dyDescent="0.25">
      <c r="O5118"/>
      <c r="P5118"/>
      <c r="R5118" s="39">
        <v>38167</v>
      </c>
      <c r="S5118" s="37">
        <v>4.6307999999999998</v>
      </c>
    </row>
    <row r="5119" spans="15:19" ht="15" x14ac:dyDescent="0.25">
      <c r="O5119"/>
      <c r="P5119"/>
      <c r="R5119" s="39">
        <v>38166</v>
      </c>
      <c r="S5119" s="37">
        <v>4.5719000000000003</v>
      </c>
    </row>
    <row r="5120" spans="15:19" ht="15" x14ac:dyDescent="0.25">
      <c r="O5120"/>
      <c r="P5120"/>
      <c r="R5120" s="39">
        <v>38163</v>
      </c>
      <c r="S5120" s="37">
        <v>4.5098000000000003</v>
      </c>
    </row>
    <row r="5121" spans="15:19" ht="15" x14ac:dyDescent="0.25">
      <c r="O5121"/>
      <c r="P5121"/>
      <c r="R5121" s="39">
        <v>38162</v>
      </c>
      <c r="S5121" s="37">
        <v>4.4043000000000001</v>
      </c>
    </row>
    <row r="5122" spans="15:19" ht="15" x14ac:dyDescent="0.25">
      <c r="O5122"/>
      <c r="P5122"/>
      <c r="R5122" s="39">
        <v>38161</v>
      </c>
      <c r="S5122" s="37">
        <v>4.5190999999999999</v>
      </c>
    </row>
    <row r="5123" spans="15:19" ht="15" x14ac:dyDescent="0.25">
      <c r="O5123"/>
      <c r="P5123"/>
      <c r="R5123" s="39">
        <v>38160</v>
      </c>
      <c r="S5123" s="37">
        <v>4.3696999999999999</v>
      </c>
    </row>
    <row r="5124" spans="15:19" ht="15" x14ac:dyDescent="0.25">
      <c r="O5124"/>
      <c r="P5124"/>
      <c r="R5124" s="39">
        <v>38159</v>
      </c>
      <c r="S5124" s="37">
        <v>4.3677000000000001</v>
      </c>
    </row>
    <row r="5125" spans="15:19" ht="15" x14ac:dyDescent="0.25">
      <c r="O5125"/>
      <c r="P5125"/>
      <c r="R5125" s="39">
        <v>38156</v>
      </c>
      <c r="S5125" s="37">
        <v>4.3196000000000003</v>
      </c>
    </row>
    <row r="5126" spans="15:19" ht="15" x14ac:dyDescent="0.25">
      <c r="O5126"/>
      <c r="P5126"/>
      <c r="R5126" s="39">
        <v>38155</v>
      </c>
      <c r="S5126" s="37">
        <v>4.3323999999999998</v>
      </c>
    </row>
    <row r="5127" spans="15:19" ht="15" x14ac:dyDescent="0.25">
      <c r="O5127"/>
      <c r="P5127"/>
      <c r="R5127" s="39">
        <v>38154</v>
      </c>
      <c r="S5127" s="37">
        <v>4.5422000000000002</v>
      </c>
    </row>
    <row r="5128" spans="15:19" ht="15" x14ac:dyDescent="0.25">
      <c r="O5128"/>
      <c r="P5128"/>
      <c r="R5128" s="39">
        <v>38153</v>
      </c>
      <c r="S5128" s="37">
        <v>4.4382999999999999</v>
      </c>
    </row>
    <row r="5129" spans="15:19" ht="15" x14ac:dyDescent="0.25">
      <c r="O5129"/>
      <c r="P5129"/>
      <c r="R5129" s="39">
        <v>38152</v>
      </c>
      <c r="S5129" s="37">
        <v>4.4481999999999999</v>
      </c>
    </row>
    <row r="5130" spans="15:19" ht="15" x14ac:dyDescent="0.25">
      <c r="O5130"/>
      <c r="P5130"/>
      <c r="R5130" s="39">
        <v>38149</v>
      </c>
      <c r="S5130" s="37">
        <v>4.4006999999999996</v>
      </c>
    </row>
    <row r="5131" spans="15:19" ht="15" x14ac:dyDescent="0.25">
      <c r="O5131"/>
      <c r="P5131"/>
      <c r="R5131" s="39">
        <v>38148</v>
      </c>
      <c r="S5131" s="37">
        <v>4.3379000000000003</v>
      </c>
    </row>
    <row r="5132" spans="15:19" ht="15" x14ac:dyDescent="0.25">
      <c r="O5132"/>
      <c r="P5132"/>
      <c r="R5132" s="39">
        <v>38147</v>
      </c>
      <c r="S5132" s="37">
        <v>3.7256</v>
      </c>
    </row>
    <row r="5133" spans="15:19" ht="15" x14ac:dyDescent="0.25">
      <c r="O5133"/>
      <c r="P5133"/>
      <c r="R5133" s="39">
        <v>38146</v>
      </c>
      <c r="S5133" s="37">
        <v>3.8165</v>
      </c>
    </row>
    <row r="5134" spans="15:19" ht="15" x14ac:dyDescent="0.25">
      <c r="O5134"/>
      <c r="P5134"/>
      <c r="R5134" s="39">
        <v>38145</v>
      </c>
      <c r="S5134" s="37">
        <v>3.9077000000000002</v>
      </c>
    </row>
    <row r="5135" spans="15:19" ht="15" x14ac:dyDescent="0.25">
      <c r="O5135"/>
      <c r="P5135"/>
      <c r="R5135" s="39">
        <v>38142</v>
      </c>
      <c r="S5135" s="37">
        <v>3.9851000000000001</v>
      </c>
    </row>
    <row r="5136" spans="15:19" ht="15" x14ac:dyDescent="0.25">
      <c r="O5136"/>
      <c r="P5136"/>
      <c r="R5136" s="39">
        <v>38141</v>
      </c>
      <c r="S5136" s="37">
        <v>4.4234</v>
      </c>
    </row>
    <row r="5137" spans="15:19" ht="15" x14ac:dyDescent="0.25">
      <c r="O5137"/>
      <c r="P5137"/>
      <c r="R5137" s="39">
        <v>38140</v>
      </c>
      <c r="S5137" s="37">
        <v>4.6718000000000002</v>
      </c>
    </row>
    <row r="5138" spans="15:19" ht="15" x14ac:dyDescent="0.25">
      <c r="O5138"/>
      <c r="P5138"/>
      <c r="R5138" s="39">
        <v>38139</v>
      </c>
      <c r="S5138" s="37">
        <v>4.5213000000000001</v>
      </c>
    </row>
    <row r="5139" spans="15:19" ht="15" x14ac:dyDescent="0.25">
      <c r="O5139"/>
      <c r="P5139"/>
      <c r="R5139" s="39">
        <v>38135</v>
      </c>
      <c r="S5139" s="37">
        <v>4.6398999999999999</v>
      </c>
    </row>
    <row r="5140" spans="15:19" ht="15" x14ac:dyDescent="0.25">
      <c r="O5140"/>
      <c r="P5140"/>
      <c r="R5140" s="39">
        <v>38134</v>
      </c>
      <c r="S5140" s="37">
        <v>4.4325000000000001</v>
      </c>
    </row>
    <row r="5141" spans="15:19" ht="15" x14ac:dyDescent="0.25">
      <c r="O5141"/>
      <c r="P5141"/>
      <c r="R5141" s="39">
        <v>38133</v>
      </c>
      <c r="S5141" s="37">
        <v>4.2817999999999996</v>
      </c>
    </row>
    <row r="5142" spans="15:19" ht="15" x14ac:dyDescent="0.25">
      <c r="O5142"/>
      <c r="P5142"/>
      <c r="R5142" s="39">
        <v>38132</v>
      </c>
      <c r="S5142" s="37">
        <v>4.2077999999999998</v>
      </c>
    </row>
    <row r="5143" spans="15:19" ht="15" x14ac:dyDescent="0.25">
      <c r="O5143"/>
      <c r="P5143"/>
      <c r="R5143" s="39">
        <v>38131</v>
      </c>
      <c r="S5143" s="37">
        <v>4.1928000000000001</v>
      </c>
    </row>
    <row r="5144" spans="15:19" ht="15" x14ac:dyDescent="0.25">
      <c r="O5144"/>
      <c r="P5144"/>
      <c r="R5144" s="39">
        <v>38128</v>
      </c>
      <c r="S5144" s="37">
        <v>4.0827</v>
      </c>
    </row>
    <row r="5145" spans="15:19" ht="15" x14ac:dyDescent="0.25">
      <c r="O5145"/>
      <c r="P5145"/>
      <c r="R5145" s="39">
        <v>38127</v>
      </c>
      <c r="S5145" s="37">
        <v>4.1669999999999998</v>
      </c>
    </row>
    <row r="5146" spans="15:19" ht="15" x14ac:dyDescent="0.25">
      <c r="O5146"/>
      <c r="P5146"/>
      <c r="R5146" s="39">
        <v>38126</v>
      </c>
      <c r="S5146" s="37">
        <v>4.3686999999999996</v>
      </c>
    </row>
    <row r="5147" spans="15:19" ht="15" x14ac:dyDescent="0.25">
      <c r="O5147"/>
      <c r="P5147"/>
      <c r="R5147" s="39">
        <v>38125</v>
      </c>
      <c r="S5147" s="37">
        <v>4.2801</v>
      </c>
    </row>
    <row r="5148" spans="15:19" ht="15" x14ac:dyDescent="0.25">
      <c r="O5148"/>
      <c r="P5148"/>
      <c r="R5148" s="39">
        <v>38124</v>
      </c>
      <c r="S5148" s="37">
        <v>4.3535000000000004</v>
      </c>
    </row>
    <row r="5149" spans="15:19" ht="15" x14ac:dyDescent="0.25">
      <c r="O5149"/>
      <c r="P5149"/>
      <c r="R5149" s="39">
        <v>38121</v>
      </c>
      <c r="S5149" s="37">
        <v>4.3457999999999997</v>
      </c>
    </row>
    <row r="5150" spans="15:19" ht="15" x14ac:dyDescent="0.25">
      <c r="O5150"/>
      <c r="P5150"/>
      <c r="R5150" s="39">
        <v>38120</v>
      </c>
      <c r="S5150" s="37">
        <v>4.3464</v>
      </c>
    </row>
    <row r="5151" spans="15:19" ht="15" x14ac:dyDescent="0.25">
      <c r="O5151"/>
      <c r="P5151"/>
      <c r="R5151" s="39">
        <v>38119</v>
      </c>
      <c r="S5151" s="37">
        <v>4.3499999999999996</v>
      </c>
    </row>
    <row r="5152" spans="15:19" ht="15" x14ac:dyDescent="0.25">
      <c r="O5152"/>
      <c r="P5152"/>
      <c r="R5152" s="39">
        <v>38118</v>
      </c>
      <c r="S5152" s="37">
        <v>4.3362999999999996</v>
      </c>
    </row>
    <row r="5153" spans="15:19" ht="15" x14ac:dyDescent="0.25">
      <c r="O5153"/>
      <c r="P5153"/>
      <c r="R5153" s="39">
        <v>38117</v>
      </c>
      <c r="S5153" s="37">
        <v>4.2709999999999999</v>
      </c>
    </row>
    <row r="5154" spans="15:19" ht="15" x14ac:dyDescent="0.25">
      <c r="O5154"/>
      <c r="P5154"/>
      <c r="R5154" s="39">
        <v>38114</v>
      </c>
      <c r="S5154" s="37">
        <v>4.2390999999999996</v>
      </c>
    </row>
    <row r="5155" spans="15:19" ht="15" x14ac:dyDescent="0.25">
      <c r="O5155"/>
      <c r="P5155"/>
      <c r="R5155" s="39">
        <v>38113</v>
      </c>
      <c r="S5155" s="37">
        <v>3.8936000000000002</v>
      </c>
    </row>
    <row r="5156" spans="15:19" ht="15" x14ac:dyDescent="0.25">
      <c r="O5156"/>
      <c r="P5156"/>
      <c r="R5156" s="39">
        <v>38112</v>
      </c>
      <c r="S5156" s="37">
        <v>3.4830000000000001</v>
      </c>
    </row>
    <row r="5157" spans="15:19" ht="15" x14ac:dyDescent="0.25">
      <c r="O5157"/>
      <c r="P5157"/>
      <c r="R5157" s="39">
        <v>38111</v>
      </c>
      <c r="S5157" s="37">
        <v>3.5844</v>
      </c>
    </row>
    <row r="5158" spans="15:19" ht="15" x14ac:dyDescent="0.25">
      <c r="O5158"/>
      <c r="P5158"/>
      <c r="R5158" s="39">
        <v>38107</v>
      </c>
      <c r="S5158" s="37">
        <v>3.9925000000000002</v>
      </c>
    </row>
    <row r="5159" spans="15:19" ht="15" x14ac:dyDescent="0.25">
      <c r="O5159"/>
      <c r="P5159"/>
      <c r="R5159" s="39">
        <v>38106</v>
      </c>
      <c r="S5159" s="37">
        <v>4.4356999999999998</v>
      </c>
    </row>
    <row r="5160" spans="15:19" ht="15" x14ac:dyDescent="0.25">
      <c r="O5160"/>
      <c r="P5160"/>
      <c r="R5160" s="39">
        <v>38105</v>
      </c>
      <c r="S5160" s="37">
        <v>4.6101999999999999</v>
      </c>
    </row>
    <row r="5161" spans="15:19" ht="15" x14ac:dyDescent="0.25">
      <c r="O5161"/>
      <c r="P5161"/>
      <c r="R5161" s="39">
        <v>38104</v>
      </c>
      <c r="S5161" s="37">
        <v>4.5266000000000002</v>
      </c>
    </row>
    <row r="5162" spans="15:19" ht="15" x14ac:dyDescent="0.25">
      <c r="O5162"/>
      <c r="P5162"/>
      <c r="R5162" s="39">
        <v>38103</v>
      </c>
      <c r="S5162" s="37">
        <v>4.4352999999999998</v>
      </c>
    </row>
    <row r="5163" spans="15:19" ht="15" x14ac:dyDescent="0.25">
      <c r="O5163"/>
      <c r="P5163"/>
      <c r="R5163" s="39">
        <v>38100</v>
      </c>
      <c r="S5163" s="37">
        <v>4.2478999999999996</v>
      </c>
    </row>
    <row r="5164" spans="15:19" ht="15" x14ac:dyDescent="0.25">
      <c r="O5164"/>
      <c r="P5164"/>
      <c r="R5164" s="39">
        <v>38099</v>
      </c>
      <c r="S5164" s="37">
        <v>3.5505</v>
      </c>
    </row>
    <row r="5165" spans="15:19" ht="15" x14ac:dyDescent="0.25">
      <c r="O5165"/>
      <c r="P5165"/>
      <c r="R5165" s="39">
        <v>38098</v>
      </c>
      <c r="S5165" s="37">
        <v>3.5855999999999999</v>
      </c>
    </row>
    <row r="5166" spans="15:19" ht="15" x14ac:dyDescent="0.25">
      <c r="O5166"/>
      <c r="P5166"/>
      <c r="R5166" s="39">
        <v>38097</v>
      </c>
      <c r="S5166" s="37">
        <v>3.7099000000000002</v>
      </c>
    </row>
    <row r="5167" spans="15:19" ht="15" x14ac:dyDescent="0.25">
      <c r="O5167"/>
      <c r="P5167"/>
      <c r="R5167" s="39">
        <v>38096</v>
      </c>
      <c r="S5167" s="37">
        <v>3.4950000000000001</v>
      </c>
    </row>
    <row r="5168" spans="15:19" ht="15" x14ac:dyDescent="0.25">
      <c r="O5168"/>
      <c r="P5168"/>
      <c r="R5168" s="39">
        <v>38093</v>
      </c>
      <c r="S5168" s="37">
        <v>3.5154999999999998</v>
      </c>
    </row>
    <row r="5169" spans="15:19" ht="15" x14ac:dyDescent="0.25">
      <c r="O5169"/>
      <c r="P5169"/>
      <c r="R5169" s="39">
        <v>38092</v>
      </c>
      <c r="S5169" s="37">
        <v>3.5777000000000001</v>
      </c>
    </row>
    <row r="5170" spans="15:19" ht="15" x14ac:dyDescent="0.25">
      <c r="O5170"/>
      <c r="P5170"/>
      <c r="R5170" s="39">
        <v>38091</v>
      </c>
      <c r="S5170" s="37">
        <v>4.3834999999999997</v>
      </c>
    </row>
    <row r="5171" spans="15:19" ht="15" x14ac:dyDescent="0.25">
      <c r="O5171"/>
      <c r="P5171"/>
      <c r="R5171" s="39">
        <v>38090</v>
      </c>
      <c r="S5171" s="37">
        <v>4.1813000000000002</v>
      </c>
    </row>
    <row r="5172" spans="15:19" ht="15" x14ac:dyDescent="0.25">
      <c r="O5172"/>
      <c r="P5172"/>
      <c r="R5172" s="39">
        <v>38085</v>
      </c>
      <c r="S5172" s="37">
        <v>3.7121</v>
      </c>
    </row>
    <row r="5173" spans="15:19" ht="15" x14ac:dyDescent="0.25">
      <c r="O5173"/>
      <c r="P5173"/>
      <c r="R5173" s="39">
        <v>38084</v>
      </c>
      <c r="S5173" s="37">
        <v>3.4195000000000002</v>
      </c>
    </row>
    <row r="5174" spans="15:19" ht="15" x14ac:dyDescent="0.25">
      <c r="O5174"/>
      <c r="P5174"/>
      <c r="R5174" s="39">
        <v>38083</v>
      </c>
      <c r="S5174" s="37">
        <v>3.5177</v>
      </c>
    </row>
    <row r="5175" spans="15:19" ht="15" x14ac:dyDescent="0.25">
      <c r="O5175"/>
      <c r="P5175"/>
      <c r="R5175" s="39">
        <v>38082</v>
      </c>
      <c r="S5175" s="37">
        <v>3.6202000000000001</v>
      </c>
    </row>
    <row r="5176" spans="15:19" ht="15" x14ac:dyDescent="0.25">
      <c r="O5176"/>
      <c r="P5176"/>
      <c r="R5176" s="39">
        <v>38079</v>
      </c>
      <c r="S5176" s="37">
        <v>3.6595</v>
      </c>
    </row>
    <row r="5177" spans="15:19" ht="15" x14ac:dyDescent="0.25">
      <c r="O5177"/>
      <c r="P5177"/>
      <c r="R5177" s="39">
        <v>38078</v>
      </c>
      <c r="S5177" s="37">
        <v>3.6520999999999999</v>
      </c>
    </row>
    <row r="5178" spans="15:19" ht="15" x14ac:dyDescent="0.25">
      <c r="O5178"/>
      <c r="P5178"/>
      <c r="R5178" s="39">
        <v>38077</v>
      </c>
      <c r="S5178" s="37">
        <v>3.6909000000000001</v>
      </c>
    </row>
    <row r="5179" spans="15:19" ht="15" x14ac:dyDescent="0.25">
      <c r="O5179"/>
      <c r="P5179"/>
      <c r="R5179" s="39">
        <v>38076</v>
      </c>
      <c r="S5179" s="37">
        <v>3.6909000000000001</v>
      </c>
    </row>
    <row r="5180" spans="15:19" ht="15" x14ac:dyDescent="0.25">
      <c r="O5180"/>
      <c r="P5180"/>
      <c r="R5180" s="39">
        <v>38075</v>
      </c>
      <c r="S5180" s="37">
        <v>4.2568000000000001</v>
      </c>
    </row>
    <row r="5181" spans="15:19" ht="15" x14ac:dyDescent="0.25">
      <c r="O5181"/>
      <c r="P5181"/>
      <c r="R5181" s="39">
        <v>38072</v>
      </c>
      <c r="S5181" s="37">
        <v>4.1106999999999996</v>
      </c>
    </row>
    <row r="5182" spans="15:19" ht="15" x14ac:dyDescent="0.25">
      <c r="O5182"/>
      <c r="P5182"/>
      <c r="R5182" s="39">
        <v>38071</v>
      </c>
      <c r="S5182" s="37">
        <v>4.1261999999999999</v>
      </c>
    </row>
    <row r="5183" spans="15:19" ht="15" x14ac:dyDescent="0.25">
      <c r="O5183"/>
      <c r="P5183"/>
      <c r="R5183" s="39">
        <v>38070</v>
      </c>
      <c r="S5183" s="37">
        <v>3.6816</v>
      </c>
    </row>
    <row r="5184" spans="15:19" ht="15" x14ac:dyDescent="0.25">
      <c r="O5184"/>
      <c r="P5184"/>
      <c r="R5184" s="39">
        <v>38069</v>
      </c>
      <c r="S5184" s="37">
        <v>3.6802999999999999</v>
      </c>
    </row>
    <row r="5185" spans="15:19" ht="15" x14ac:dyDescent="0.25">
      <c r="O5185"/>
      <c r="P5185"/>
      <c r="R5185" s="39">
        <v>38068</v>
      </c>
      <c r="S5185" s="37">
        <v>3.8933</v>
      </c>
    </row>
    <row r="5186" spans="15:19" ht="15" x14ac:dyDescent="0.25">
      <c r="O5186"/>
      <c r="P5186"/>
      <c r="R5186" s="39">
        <v>38065</v>
      </c>
      <c r="S5186" s="37">
        <v>3.8570000000000002</v>
      </c>
    </row>
    <row r="5187" spans="15:19" ht="15" x14ac:dyDescent="0.25">
      <c r="O5187"/>
      <c r="P5187"/>
      <c r="R5187" s="39">
        <v>38064</v>
      </c>
      <c r="S5187" s="37">
        <v>3.8552</v>
      </c>
    </row>
    <row r="5188" spans="15:19" ht="15" x14ac:dyDescent="0.25">
      <c r="O5188"/>
      <c r="P5188"/>
      <c r="R5188" s="39">
        <v>38063</v>
      </c>
      <c r="S5188" s="37">
        <v>3.6844999999999999</v>
      </c>
    </row>
    <row r="5189" spans="15:19" ht="15" x14ac:dyDescent="0.25">
      <c r="O5189"/>
      <c r="P5189"/>
      <c r="R5189" s="39">
        <v>38062</v>
      </c>
      <c r="S5189" s="37">
        <v>3.6869999999999998</v>
      </c>
    </row>
    <row r="5190" spans="15:19" ht="15" x14ac:dyDescent="0.25">
      <c r="O5190"/>
      <c r="P5190"/>
      <c r="R5190" s="39">
        <v>38061</v>
      </c>
      <c r="S5190" s="37">
        <v>3.6760000000000002</v>
      </c>
    </row>
    <row r="5191" spans="15:19" ht="15" x14ac:dyDescent="0.25">
      <c r="O5191"/>
      <c r="P5191"/>
      <c r="R5191" s="39">
        <v>38058</v>
      </c>
      <c r="S5191" s="37">
        <v>3.6745000000000001</v>
      </c>
    </row>
    <row r="5192" spans="15:19" ht="15" x14ac:dyDescent="0.25">
      <c r="O5192"/>
      <c r="P5192"/>
      <c r="R5192" s="39">
        <v>38057</v>
      </c>
      <c r="S5192" s="37">
        <v>3.6297000000000001</v>
      </c>
    </row>
    <row r="5193" spans="15:19" ht="15" x14ac:dyDescent="0.25">
      <c r="O5193"/>
      <c r="P5193"/>
      <c r="R5193" s="39">
        <v>38056</v>
      </c>
      <c r="S5193" s="37">
        <v>3.6524000000000001</v>
      </c>
    </row>
    <row r="5194" spans="15:19" ht="15" x14ac:dyDescent="0.25">
      <c r="O5194"/>
      <c r="P5194"/>
      <c r="R5194" s="39">
        <v>38055</v>
      </c>
      <c r="S5194" s="37">
        <v>3.9624999999999999</v>
      </c>
    </row>
    <row r="5195" spans="15:19" ht="15" x14ac:dyDescent="0.25">
      <c r="O5195"/>
      <c r="P5195"/>
      <c r="R5195" s="39">
        <v>38054</v>
      </c>
      <c r="S5195" s="37">
        <v>4.3041999999999998</v>
      </c>
    </row>
    <row r="5196" spans="15:19" ht="15" x14ac:dyDescent="0.25">
      <c r="O5196"/>
      <c r="P5196"/>
      <c r="R5196" s="39">
        <v>38051</v>
      </c>
      <c r="S5196" s="37">
        <v>4.2013999999999996</v>
      </c>
    </row>
    <row r="5197" spans="15:19" ht="15" x14ac:dyDescent="0.25">
      <c r="O5197"/>
      <c r="P5197"/>
      <c r="R5197" s="39">
        <v>38050</v>
      </c>
      <c r="S5197" s="37">
        <v>4.5246000000000004</v>
      </c>
    </row>
    <row r="5198" spans="15:19" ht="15" x14ac:dyDescent="0.25">
      <c r="O5198"/>
      <c r="P5198"/>
      <c r="R5198" s="39">
        <v>38049</v>
      </c>
      <c r="S5198" s="37">
        <v>3.8704999999999998</v>
      </c>
    </row>
    <row r="5199" spans="15:19" ht="15" x14ac:dyDescent="0.25">
      <c r="O5199"/>
      <c r="P5199"/>
      <c r="R5199" s="39">
        <v>38048</v>
      </c>
      <c r="S5199" s="37">
        <v>3.9607000000000001</v>
      </c>
    </row>
    <row r="5200" spans="15:19" ht="15" x14ac:dyDescent="0.25">
      <c r="O5200"/>
      <c r="P5200"/>
      <c r="R5200" s="39">
        <v>38047</v>
      </c>
      <c r="S5200" s="37">
        <v>4.1205999999999996</v>
      </c>
    </row>
    <row r="5201" spans="15:19" ht="15" x14ac:dyDescent="0.25">
      <c r="O5201"/>
      <c r="P5201"/>
      <c r="R5201" s="39">
        <v>38044</v>
      </c>
      <c r="S5201" s="37">
        <v>3.6589</v>
      </c>
    </row>
    <row r="5202" spans="15:19" ht="15" x14ac:dyDescent="0.25">
      <c r="O5202"/>
      <c r="P5202"/>
      <c r="R5202" s="39">
        <v>38043</v>
      </c>
      <c r="S5202" s="37">
        <v>3.7035999999999998</v>
      </c>
    </row>
    <row r="5203" spans="15:19" ht="15" x14ac:dyDescent="0.25">
      <c r="O5203"/>
      <c r="P5203"/>
      <c r="R5203" s="39">
        <v>38042</v>
      </c>
      <c r="S5203" s="37">
        <v>4.1783999999999999</v>
      </c>
    </row>
    <row r="5204" spans="15:19" ht="15" x14ac:dyDescent="0.25">
      <c r="O5204"/>
      <c r="P5204"/>
      <c r="R5204" s="39">
        <v>38041</v>
      </c>
      <c r="S5204" s="37">
        <v>4.2904999999999998</v>
      </c>
    </row>
    <row r="5205" spans="15:19" ht="15" x14ac:dyDescent="0.25">
      <c r="O5205"/>
      <c r="P5205"/>
      <c r="R5205" s="39">
        <v>38040</v>
      </c>
      <c r="S5205" s="37">
        <v>4.4954000000000001</v>
      </c>
    </row>
    <row r="5206" spans="15:19" ht="15" x14ac:dyDescent="0.25">
      <c r="O5206"/>
      <c r="P5206"/>
      <c r="R5206" s="39">
        <v>38037</v>
      </c>
      <c r="S5206" s="37">
        <v>4.2003000000000004</v>
      </c>
    </row>
    <row r="5207" spans="15:19" ht="15" x14ac:dyDescent="0.25">
      <c r="O5207"/>
      <c r="P5207"/>
      <c r="R5207" s="39">
        <v>38036</v>
      </c>
      <c r="S5207" s="37">
        <v>3.7824</v>
      </c>
    </row>
    <row r="5208" spans="15:19" ht="15" x14ac:dyDescent="0.25">
      <c r="O5208"/>
      <c r="P5208"/>
      <c r="R5208" s="39">
        <v>38035</v>
      </c>
      <c r="S5208" s="37">
        <v>4.4568000000000003</v>
      </c>
    </row>
    <row r="5209" spans="15:19" ht="15" x14ac:dyDescent="0.25">
      <c r="O5209"/>
      <c r="P5209"/>
      <c r="R5209" s="39">
        <v>38034</v>
      </c>
      <c r="S5209" s="37">
        <v>4.4775</v>
      </c>
    </row>
    <row r="5210" spans="15:19" ht="15" x14ac:dyDescent="0.25">
      <c r="O5210"/>
      <c r="P5210"/>
      <c r="R5210" s="39">
        <v>38033</v>
      </c>
      <c r="S5210" s="37">
        <v>4.8109999999999999</v>
      </c>
    </row>
    <row r="5211" spans="15:19" ht="15" x14ac:dyDescent="0.25">
      <c r="O5211"/>
      <c r="P5211"/>
      <c r="R5211" s="39">
        <v>38030</v>
      </c>
      <c r="S5211" s="37">
        <v>4.3993000000000002</v>
      </c>
    </row>
    <row r="5212" spans="15:19" ht="15" x14ac:dyDescent="0.25">
      <c r="O5212"/>
      <c r="P5212"/>
      <c r="R5212" s="39">
        <v>38029</v>
      </c>
      <c r="S5212" s="37">
        <v>4.8650000000000002</v>
      </c>
    </row>
    <row r="5213" spans="15:19" ht="15" x14ac:dyDescent="0.25">
      <c r="O5213"/>
      <c r="P5213"/>
      <c r="R5213" s="39">
        <v>38028</v>
      </c>
      <c r="S5213" s="37">
        <v>4.6970000000000001</v>
      </c>
    </row>
    <row r="5214" spans="15:19" ht="15" x14ac:dyDescent="0.25">
      <c r="O5214"/>
      <c r="P5214"/>
      <c r="R5214" s="39">
        <v>38027</v>
      </c>
      <c r="S5214" s="37">
        <v>4.4280999999999997</v>
      </c>
    </row>
    <row r="5215" spans="15:19" ht="15" x14ac:dyDescent="0.25">
      <c r="O5215"/>
      <c r="P5215"/>
      <c r="R5215" s="39">
        <v>38026</v>
      </c>
      <c r="S5215" s="37">
        <v>4.5107999999999997</v>
      </c>
    </row>
    <row r="5216" spans="15:19" ht="15" x14ac:dyDescent="0.25">
      <c r="O5216"/>
      <c r="P5216"/>
      <c r="R5216" s="39">
        <v>38023</v>
      </c>
      <c r="S5216" s="37">
        <v>3.5436000000000001</v>
      </c>
    </row>
    <row r="5217" spans="15:19" ht="15" x14ac:dyDescent="0.25">
      <c r="O5217"/>
      <c r="P5217"/>
      <c r="R5217" s="39">
        <v>38022</v>
      </c>
      <c r="S5217" s="37">
        <v>3.6309999999999998</v>
      </c>
    </row>
    <row r="5218" spans="15:19" ht="15" x14ac:dyDescent="0.25">
      <c r="O5218"/>
      <c r="P5218"/>
      <c r="R5218" s="39">
        <v>38021</v>
      </c>
      <c r="S5218" s="37">
        <v>3.0369999999999999</v>
      </c>
    </row>
    <row r="5219" spans="15:19" ht="15" x14ac:dyDescent="0.25">
      <c r="O5219"/>
      <c r="P5219"/>
      <c r="R5219" s="39">
        <v>38020</v>
      </c>
      <c r="S5219" s="37">
        <v>3.2126000000000001</v>
      </c>
    </row>
    <row r="5220" spans="15:19" ht="15" x14ac:dyDescent="0.25">
      <c r="O5220"/>
      <c r="P5220"/>
      <c r="R5220" s="39">
        <v>38019</v>
      </c>
      <c r="S5220" s="37">
        <v>3.3672</v>
      </c>
    </row>
    <row r="5221" spans="15:19" ht="15" x14ac:dyDescent="0.25">
      <c r="O5221"/>
      <c r="P5221"/>
      <c r="R5221" s="39">
        <v>38016</v>
      </c>
      <c r="S5221" s="37">
        <v>3.7719999999999998</v>
      </c>
    </row>
    <row r="5222" spans="15:19" ht="15" x14ac:dyDescent="0.25">
      <c r="O5222"/>
      <c r="P5222"/>
      <c r="R5222" s="39">
        <v>38015</v>
      </c>
      <c r="S5222" s="37">
        <v>4.2812000000000001</v>
      </c>
    </row>
    <row r="5223" spans="15:19" ht="15" x14ac:dyDescent="0.25">
      <c r="O5223"/>
      <c r="P5223"/>
      <c r="R5223" s="39">
        <v>38014</v>
      </c>
      <c r="S5223" s="37">
        <v>4.1520000000000001</v>
      </c>
    </row>
    <row r="5224" spans="15:19" ht="15" x14ac:dyDescent="0.25">
      <c r="O5224"/>
      <c r="P5224"/>
      <c r="R5224" s="39">
        <v>38013</v>
      </c>
      <c r="S5224" s="37">
        <v>3.3696000000000002</v>
      </c>
    </row>
    <row r="5225" spans="15:19" ht="15" x14ac:dyDescent="0.25">
      <c r="O5225"/>
      <c r="P5225"/>
      <c r="R5225" s="39">
        <v>38012</v>
      </c>
      <c r="S5225" s="37">
        <v>3.5560999999999998</v>
      </c>
    </row>
    <row r="5226" spans="15:19" ht="15" x14ac:dyDescent="0.25">
      <c r="O5226"/>
      <c r="P5226"/>
      <c r="R5226" s="39">
        <v>38009</v>
      </c>
      <c r="S5226" s="37">
        <v>3.3269000000000002</v>
      </c>
    </row>
    <row r="5227" spans="15:19" ht="15" x14ac:dyDescent="0.25">
      <c r="O5227"/>
      <c r="P5227"/>
      <c r="R5227" s="39">
        <v>38008</v>
      </c>
      <c r="S5227" s="37">
        <v>3.7557999999999998</v>
      </c>
    </row>
    <row r="5228" spans="15:19" ht="15" x14ac:dyDescent="0.25">
      <c r="O5228"/>
      <c r="P5228"/>
      <c r="R5228" s="39">
        <v>38007</v>
      </c>
      <c r="S5228" s="37">
        <v>4.0552000000000001</v>
      </c>
    </row>
    <row r="5229" spans="15:19" ht="15" x14ac:dyDescent="0.25">
      <c r="O5229"/>
      <c r="P5229"/>
      <c r="R5229" s="39">
        <v>38006</v>
      </c>
      <c r="S5229" s="37">
        <v>3.3887999999999998</v>
      </c>
    </row>
    <row r="5230" spans="15:19" ht="15" x14ac:dyDescent="0.25">
      <c r="O5230"/>
      <c r="P5230"/>
      <c r="R5230" s="39">
        <v>38005</v>
      </c>
      <c r="S5230" s="37">
        <v>3.6941000000000002</v>
      </c>
    </row>
    <row r="5231" spans="15:19" ht="15" x14ac:dyDescent="0.25">
      <c r="O5231"/>
      <c r="P5231"/>
      <c r="R5231" s="39">
        <v>38002</v>
      </c>
      <c r="S5231" s="37">
        <v>3.3774999999999999</v>
      </c>
    </row>
    <row r="5232" spans="15:19" ht="15" x14ac:dyDescent="0.25">
      <c r="O5232"/>
      <c r="P5232"/>
      <c r="R5232" s="39">
        <v>38001</v>
      </c>
      <c r="S5232" s="37">
        <v>3.3744000000000001</v>
      </c>
    </row>
    <row r="5233" spans="15:19" ht="15" x14ac:dyDescent="0.25">
      <c r="O5233"/>
      <c r="P5233"/>
      <c r="R5233" s="39">
        <v>38000</v>
      </c>
      <c r="S5233" s="37">
        <v>3.3794</v>
      </c>
    </row>
    <row r="5234" spans="15:19" ht="15" x14ac:dyDescent="0.25">
      <c r="O5234"/>
      <c r="P5234"/>
      <c r="R5234" s="39">
        <v>37999</v>
      </c>
      <c r="S5234" s="37">
        <v>4.3719000000000001</v>
      </c>
    </row>
    <row r="5235" spans="15:19" ht="15" x14ac:dyDescent="0.25">
      <c r="O5235"/>
      <c r="P5235"/>
      <c r="R5235" s="39">
        <v>37998</v>
      </c>
      <c r="S5235" s="37">
        <v>4.0099</v>
      </c>
    </row>
    <row r="5236" spans="15:19" ht="15" x14ac:dyDescent="0.25">
      <c r="O5236"/>
      <c r="P5236"/>
      <c r="R5236" s="39">
        <v>37995</v>
      </c>
      <c r="S5236" s="37">
        <v>3.7517</v>
      </c>
    </row>
    <row r="5237" spans="15:19" ht="15" x14ac:dyDescent="0.25">
      <c r="O5237"/>
      <c r="P5237"/>
      <c r="R5237" s="39">
        <v>37994</v>
      </c>
      <c r="S5237" s="37">
        <v>3.9445000000000001</v>
      </c>
    </row>
    <row r="5238" spans="15:19" ht="15" x14ac:dyDescent="0.25">
      <c r="O5238"/>
      <c r="P5238"/>
      <c r="R5238" s="39">
        <v>37993</v>
      </c>
      <c r="S5238" s="37">
        <v>3.6581999999999999</v>
      </c>
    </row>
    <row r="5239" spans="15:19" ht="15" x14ac:dyDescent="0.25">
      <c r="O5239"/>
      <c r="P5239"/>
      <c r="R5239" s="39">
        <v>37992</v>
      </c>
      <c r="S5239" s="37">
        <v>3.7151000000000001</v>
      </c>
    </row>
    <row r="5240" spans="15:19" ht="15" x14ac:dyDescent="0.25">
      <c r="O5240"/>
      <c r="P5240"/>
      <c r="R5240" s="39">
        <v>37991</v>
      </c>
      <c r="S5240" s="37">
        <v>3.7294</v>
      </c>
    </row>
    <row r="5241" spans="15:19" ht="15" x14ac:dyDescent="0.25">
      <c r="O5241"/>
      <c r="P5241"/>
      <c r="R5241" s="39">
        <v>37988</v>
      </c>
      <c r="S5241" s="37">
        <v>3.3693</v>
      </c>
    </row>
    <row r="5242" spans="15:19" ht="15" x14ac:dyDescent="0.25">
      <c r="O5242"/>
      <c r="P5242"/>
      <c r="R5242" s="39">
        <v>37986</v>
      </c>
      <c r="S5242" s="37">
        <v>3.2894999999999999</v>
      </c>
    </row>
    <row r="5243" spans="15:19" ht="15" x14ac:dyDescent="0.25">
      <c r="O5243"/>
      <c r="P5243"/>
      <c r="R5243" s="39">
        <v>37985</v>
      </c>
      <c r="S5243" s="37">
        <v>3.6610999999999998</v>
      </c>
    </row>
    <row r="5244" spans="15:19" ht="15" x14ac:dyDescent="0.25">
      <c r="O5244"/>
      <c r="P5244"/>
      <c r="R5244" s="39">
        <v>37984</v>
      </c>
      <c r="S5244" s="37">
        <v>4.0498000000000003</v>
      </c>
    </row>
    <row r="5245" spans="15:19" ht="15" x14ac:dyDescent="0.25">
      <c r="O5245"/>
      <c r="P5245"/>
      <c r="R5245" s="39">
        <v>37979</v>
      </c>
      <c r="S5245" s="37">
        <v>3.5695000000000001</v>
      </c>
    </row>
    <row r="5246" spans="15:19" ht="15" x14ac:dyDescent="0.25">
      <c r="O5246"/>
      <c r="P5246"/>
      <c r="R5246" s="39">
        <v>37978</v>
      </c>
      <c r="S5246" s="37">
        <v>3.9823</v>
      </c>
    </row>
    <row r="5247" spans="15:19" ht="15" x14ac:dyDescent="0.25">
      <c r="O5247"/>
      <c r="P5247"/>
      <c r="R5247" s="39">
        <v>37977</v>
      </c>
      <c r="S5247" s="37">
        <v>3.9161000000000001</v>
      </c>
    </row>
    <row r="5248" spans="15:19" ht="15" x14ac:dyDescent="0.25">
      <c r="O5248"/>
      <c r="P5248"/>
      <c r="R5248" s="39">
        <v>37974</v>
      </c>
      <c r="S5248" s="37">
        <v>3.9510999999999998</v>
      </c>
    </row>
    <row r="5249" spans="15:19" ht="15" x14ac:dyDescent="0.25">
      <c r="O5249"/>
      <c r="P5249"/>
      <c r="R5249" s="39">
        <v>37973</v>
      </c>
      <c r="S5249" s="37">
        <v>3.7805</v>
      </c>
    </row>
    <row r="5250" spans="15:19" ht="15" x14ac:dyDescent="0.25">
      <c r="O5250"/>
      <c r="P5250"/>
      <c r="R5250" s="39">
        <v>37972</v>
      </c>
      <c r="S5250" s="37">
        <v>3.8197000000000001</v>
      </c>
    </row>
    <row r="5251" spans="15:19" ht="15" x14ac:dyDescent="0.25">
      <c r="O5251"/>
      <c r="P5251"/>
      <c r="R5251" s="39">
        <v>37971</v>
      </c>
      <c r="S5251" s="37">
        <v>3.4047999999999998</v>
      </c>
    </row>
    <row r="5252" spans="15:19" ht="15" x14ac:dyDescent="0.25">
      <c r="O5252"/>
      <c r="P5252"/>
      <c r="R5252" s="39">
        <v>37970</v>
      </c>
      <c r="S5252" s="37">
        <v>3.4077000000000002</v>
      </c>
    </row>
    <row r="5253" spans="15:19" ht="15" x14ac:dyDescent="0.25">
      <c r="O5253"/>
      <c r="P5253"/>
      <c r="R5253" s="39">
        <v>37967</v>
      </c>
      <c r="S5253" s="37">
        <v>3.4102999999999999</v>
      </c>
    </row>
    <row r="5254" spans="15:19" ht="15" x14ac:dyDescent="0.25">
      <c r="O5254"/>
      <c r="P5254"/>
      <c r="R5254" s="39">
        <v>37966</v>
      </c>
      <c r="S5254" s="37">
        <v>3.7650999999999999</v>
      </c>
    </row>
    <row r="5255" spans="15:19" ht="15" x14ac:dyDescent="0.25">
      <c r="O5255"/>
      <c r="P5255"/>
      <c r="R5255" s="39">
        <v>37965</v>
      </c>
      <c r="S5255" s="37">
        <v>3.7094</v>
      </c>
    </row>
    <row r="5256" spans="15:19" ht="15" x14ac:dyDescent="0.25">
      <c r="O5256"/>
      <c r="P5256"/>
      <c r="R5256" s="39">
        <v>37964</v>
      </c>
      <c r="S5256" s="37">
        <v>3.637</v>
      </c>
    </row>
    <row r="5257" spans="15:19" ht="15" x14ac:dyDescent="0.25">
      <c r="O5257"/>
      <c r="P5257"/>
      <c r="R5257" s="39">
        <v>37963</v>
      </c>
      <c r="S5257" s="37">
        <v>4.1947999999999999</v>
      </c>
    </row>
    <row r="5258" spans="15:19" ht="15" x14ac:dyDescent="0.25">
      <c r="O5258"/>
      <c r="P5258"/>
      <c r="R5258" s="39">
        <v>37960</v>
      </c>
      <c r="S5258" s="37">
        <v>3.702</v>
      </c>
    </row>
    <row r="5259" spans="15:19" ht="15" x14ac:dyDescent="0.25">
      <c r="O5259"/>
      <c r="P5259"/>
      <c r="R5259" s="39">
        <v>37959</v>
      </c>
      <c r="S5259" s="37">
        <v>4.0701999999999998</v>
      </c>
    </row>
    <row r="5260" spans="15:19" ht="15" x14ac:dyDescent="0.25">
      <c r="O5260"/>
      <c r="P5260"/>
      <c r="R5260" s="39">
        <v>37958</v>
      </c>
      <c r="S5260" s="37">
        <v>3.8833000000000002</v>
      </c>
    </row>
    <row r="5261" spans="15:19" ht="15" x14ac:dyDescent="0.25">
      <c r="O5261"/>
      <c r="P5261"/>
      <c r="R5261" s="39">
        <v>37957</v>
      </c>
      <c r="S5261" s="37">
        <v>3.9847000000000001</v>
      </c>
    </row>
    <row r="5262" spans="15:19" ht="15" x14ac:dyDescent="0.25">
      <c r="O5262"/>
      <c r="P5262"/>
      <c r="R5262" s="39">
        <v>37956</v>
      </c>
      <c r="S5262" s="37">
        <v>4.1439000000000004</v>
      </c>
    </row>
    <row r="5263" spans="15:19" ht="15" x14ac:dyDescent="0.25">
      <c r="O5263"/>
      <c r="P5263"/>
      <c r="R5263" s="39">
        <v>37953</v>
      </c>
      <c r="S5263" s="37">
        <v>4.0423</v>
      </c>
    </row>
    <row r="5264" spans="15:19" ht="15" x14ac:dyDescent="0.25">
      <c r="O5264"/>
      <c r="P5264"/>
      <c r="R5264" s="39">
        <v>37952</v>
      </c>
      <c r="S5264" s="37">
        <v>3.3473000000000002</v>
      </c>
    </row>
    <row r="5265" spans="15:19" ht="15" x14ac:dyDescent="0.25">
      <c r="O5265"/>
      <c r="P5265"/>
      <c r="R5265" s="39">
        <v>37951</v>
      </c>
      <c r="S5265" s="37">
        <v>3.5295000000000001</v>
      </c>
    </row>
    <row r="5266" spans="15:19" ht="15" x14ac:dyDescent="0.25">
      <c r="O5266"/>
      <c r="P5266"/>
      <c r="R5266" s="39">
        <v>37950</v>
      </c>
      <c r="S5266" s="37">
        <v>3.9733999999999998</v>
      </c>
    </row>
    <row r="5267" spans="15:19" ht="15" x14ac:dyDescent="0.25">
      <c r="O5267"/>
      <c r="P5267"/>
      <c r="R5267" s="39">
        <v>37949</v>
      </c>
      <c r="S5267" s="37">
        <v>3.7069000000000001</v>
      </c>
    </row>
    <row r="5268" spans="15:19" ht="15" x14ac:dyDescent="0.25">
      <c r="O5268"/>
      <c r="P5268"/>
      <c r="R5268" s="39">
        <v>37946</v>
      </c>
      <c r="S5268" s="37">
        <v>3.9232</v>
      </c>
    </row>
    <row r="5269" spans="15:19" ht="15" x14ac:dyDescent="0.25">
      <c r="O5269"/>
      <c r="P5269"/>
      <c r="R5269" s="39">
        <v>37945</v>
      </c>
      <c r="S5269" s="37">
        <v>3.3449</v>
      </c>
    </row>
    <row r="5270" spans="15:19" ht="15" x14ac:dyDescent="0.25">
      <c r="O5270"/>
      <c r="P5270"/>
      <c r="R5270" s="39">
        <v>37944</v>
      </c>
      <c r="S5270" s="37">
        <v>3.3904000000000001</v>
      </c>
    </row>
    <row r="5271" spans="15:19" ht="15" x14ac:dyDescent="0.25">
      <c r="O5271"/>
      <c r="P5271"/>
      <c r="R5271" s="39">
        <v>37943</v>
      </c>
      <c r="S5271" s="37">
        <v>3.7081</v>
      </c>
    </row>
    <row r="5272" spans="15:19" ht="15" x14ac:dyDescent="0.25">
      <c r="O5272"/>
      <c r="P5272"/>
      <c r="R5272" s="39">
        <v>37942</v>
      </c>
      <c r="S5272" s="37">
        <v>3.7932999999999999</v>
      </c>
    </row>
    <row r="5273" spans="15:19" ht="15" x14ac:dyDescent="0.25">
      <c r="O5273"/>
      <c r="P5273"/>
      <c r="R5273" s="39">
        <v>37939</v>
      </c>
      <c r="S5273" s="37">
        <v>3.7679999999999998</v>
      </c>
    </row>
    <row r="5274" spans="15:19" ht="15" x14ac:dyDescent="0.25">
      <c r="O5274"/>
      <c r="P5274"/>
      <c r="R5274" s="39">
        <v>37938</v>
      </c>
      <c r="S5274" s="37">
        <v>3.6522999999999999</v>
      </c>
    </row>
    <row r="5275" spans="15:19" ht="15" x14ac:dyDescent="0.25">
      <c r="O5275"/>
      <c r="P5275"/>
      <c r="R5275" s="39">
        <v>37937</v>
      </c>
      <c r="S5275" s="37">
        <v>3.5914999999999999</v>
      </c>
    </row>
    <row r="5276" spans="15:19" ht="15" x14ac:dyDescent="0.25">
      <c r="O5276"/>
      <c r="P5276"/>
      <c r="R5276" s="39">
        <v>37936</v>
      </c>
      <c r="S5276" s="37">
        <v>4.0361000000000002</v>
      </c>
    </row>
    <row r="5277" spans="15:19" ht="15" x14ac:dyDescent="0.25">
      <c r="O5277"/>
      <c r="P5277"/>
      <c r="R5277" s="39">
        <v>37935</v>
      </c>
      <c r="S5277" s="37">
        <v>3.3536999999999999</v>
      </c>
    </row>
    <row r="5278" spans="15:19" ht="15" x14ac:dyDescent="0.25">
      <c r="O5278"/>
      <c r="P5278"/>
      <c r="R5278" s="39">
        <v>37932</v>
      </c>
      <c r="S5278" s="37">
        <v>3.4399000000000002</v>
      </c>
    </row>
    <row r="5279" spans="15:19" ht="15" x14ac:dyDescent="0.25">
      <c r="O5279"/>
      <c r="P5279"/>
      <c r="R5279" s="39">
        <v>37931</v>
      </c>
      <c r="S5279" s="37">
        <v>3.4146999999999998</v>
      </c>
    </row>
    <row r="5280" spans="15:19" ht="15" x14ac:dyDescent="0.25">
      <c r="O5280"/>
      <c r="P5280"/>
      <c r="R5280" s="39">
        <v>37930</v>
      </c>
      <c r="S5280" s="37">
        <v>2.8948999999999998</v>
      </c>
    </row>
    <row r="5281" spans="15:19" ht="15" x14ac:dyDescent="0.25">
      <c r="O5281"/>
      <c r="P5281"/>
      <c r="R5281" s="39">
        <v>37929</v>
      </c>
      <c r="S5281" s="37">
        <v>2.9916999999999998</v>
      </c>
    </row>
    <row r="5282" spans="15:19" ht="15" x14ac:dyDescent="0.25">
      <c r="O5282"/>
      <c r="P5282"/>
      <c r="R5282" s="39">
        <v>37928</v>
      </c>
      <c r="S5282" s="37">
        <v>3.0648</v>
      </c>
    </row>
    <row r="5283" spans="15:19" ht="15" x14ac:dyDescent="0.25">
      <c r="O5283"/>
      <c r="P5283"/>
      <c r="R5283" s="39">
        <v>37925</v>
      </c>
      <c r="S5283" s="37">
        <v>3.2044000000000001</v>
      </c>
    </row>
    <row r="5284" spans="15:19" ht="15" x14ac:dyDescent="0.25">
      <c r="O5284"/>
      <c r="P5284"/>
      <c r="R5284" s="39">
        <v>37924</v>
      </c>
      <c r="S5284" s="37">
        <v>3.7719</v>
      </c>
    </row>
    <row r="5285" spans="15:19" ht="15" x14ac:dyDescent="0.25">
      <c r="O5285"/>
      <c r="P5285"/>
      <c r="R5285" s="39">
        <v>37923</v>
      </c>
      <c r="S5285" s="37">
        <v>3.6303000000000001</v>
      </c>
    </row>
    <row r="5286" spans="15:19" ht="15" x14ac:dyDescent="0.25">
      <c r="O5286"/>
      <c r="P5286"/>
      <c r="R5286" s="39">
        <v>37922</v>
      </c>
      <c r="S5286" s="37">
        <v>3.2326000000000001</v>
      </c>
    </row>
    <row r="5287" spans="15:19" ht="15" x14ac:dyDescent="0.25">
      <c r="O5287"/>
      <c r="P5287"/>
      <c r="R5287" s="39">
        <v>37921</v>
      </c>
      <c r="S5287" s="37">
        <v>3.5017999999999998</v>
      </c>
    </row>
    <row r="5288" spans="15:19" ht="15" x14ac:dyDescent="0.25">
      <c r="O5288"/>
      <c r="P5288"/>
      <c r="R5288" s="39">
        <v>37918</v>
      </c>
      <c r="S5288" s="37">
        <v>3.7665000000000002</v>
      </c>
    </row>
    <row r="5289" spans="15:19" ht="15" x14ac:dyDescent="0.25">
      <c r="O5289"/>
      <c r="P5289"/>
      <c r="R5289" s="39">
        <v>37917</v>
      </c>
      <c r="S5289" s="37">
        <v>3.6476000000000002</v>
      </c>
    </row>
    <row r="5290" spans="15:19" ht="15" x14ac:dyDescent="0.25">
      <c r="O5290"/>
      <c r="P5290"/>
      <c r="R5290" s="39">
        <v>37916</v>
      </c>
      <c r="S5290" s="37">
        <v>3.0872000000000002</v>
      </c>
    </row>
    <row r="5291" spans="15:19" ht="15" x14ac:dyDescent="0.25">
      <c r="O5291"/>
      <c r="P5291"/>
      <c r="R5291" s="39">
        <v>37915</v>
      </c>
      <c r="S5291" s="37">
        <v>3.2450999999999999</v>
      </c>
    </row>
    <row r="5292" spans="15:19" ht="15" x14ac:dyDescent="0.25">
      <c r="O5292"/>
      <c r="P5292"/>
      <c r="R5292" s="39">
        <v>37914</v>
      </c>
      <c r="S5292" s="37">
        <v>3.2989000000000002</v>
      </c>
    </row>
    <row r="5293" spans="15:19" ht="15" x14ac:dyDescent="0.25">
      <c r="O5293"/>
      <c r="P5293"/>
      <c r="R5293" s="39">
        <v>37911</v>
      </c>
      <c r="S5293" s="37">
        <v>3.1025999999999998</v>
      </c>
    </row>
    <row r="5294" spans="15:19" ht="15" x14ac:dyDescent="0.25">
      <c r="O5294"/>
      <c r="P5294"/>
      <c r="R5294" s="39">
        <v>37910</v>
      </c>
      <c r="S5294" s="37">
        <v>3.1217000000000001</v>
      </c>
    </row>
    <row r="5295" spans="15:19" ht="15" x14ac:dyDescent="0.25">
      <c r="O5295"/>
      <c r="P5295"/>
      <c r="R5295" s="39">
        <v>37909</v>
      </c>
      <c r="S5295" s="37">
        <v>3.1246</v>
      </c>
    </row>
    <row r="5296" spans="15:19" ht="15" x14ac:dyDescent="0.25">
      <c r="O5296"/>
      <c r="P5296"/>
      <c r="R5296" s="39">
        <v>37908</v>
      </c>
      <c r="S5296" s="37">
        <v>3.6015000000000001</v>
      </c>
    </row>
    <row r="5297" spans="15:19" ht="15" x14ac:dyDescent="0.25">
      <c r="O5297"/>
      <c r="P5297"/>
      <c r="R5297" s="39">
        <v>37907</v>
      </c>
      <c r="S5297" s="37">
        <v>3.4699</v>
      </c>
    </row>
    <row r="5298" spans="15:19" ht="15" x14ac:dyDescent="0.25">
      <c r="O5298"/>
      <c r="P5298"/>
      <c r="R5298" s="39">
        <v>37904</v>
      </c>
      <c r="S5298" s="37">
        <v>3.5792999999999999</v>
      </c>
    </row>
    <row r="5299" spans="15:19" ht="15" x14ac:dyDescent="0.25">
      <c r="O5299"/>
      <c r="P5299"/>
      <c r="R5299" s="39">
        <v>37903</v>
      </c>
      <c r="S5299" s="37">
        <v>3.6596000000000002</v>
      </c>
    </row>
    <row r="5300" spans="15:19" ht="15" x14ac:dyDescent="0.25">
      <c r="O5300"/>
      <c r="P5300"/>
      <c r="R5300" s="39">
        <v>37902</v>
      </c>
      <c r="S5300" s="37">
        <v>3.2635000000000001</v>
      </c>
    </row>
    <row r="5301" spans="15:19" ht="15" x14ac:dyDescent="0.25">
      <c r="O5301"/>
      <c r="P5301"/>
      <c r="R5301" s="39">
        <v>37901</v>
      </c>
      <c r="S5301" s="37">
        <v>3.2149999999999999</v>
      </c>
    </row>
    <row r="5302" spans="15:19" ht="15" x14ac:dyDescent="0.25">
      <c r="O5302"/>
      <c r="P5302"/>
      <c r="R5302" s="39">
        <v>37900</v>
      </c>
      <c r="S5302" s="37">
        <v>3.1583999999999999</v>
      </c>
    </row>
    <row r="5303" spans="15:19" ht="15" x14ac:dyDescent="0.25">
      <c r="O5303"/>
      <c r="P5303"/>
      <c r="R5303" s="39">
        <v>37897</v>
      </c>
      <c r="S5303" s="37">
        <v>3.1779000000000002</v>
      </c>
    </row>
    <row r="5304" spans="15:19" ht="15" x14ac:dyDescent="0.25">
      <c r="O5304"/>
      <c r="P5304"/>
      <c r="R5304" s="39">
        <v>37896</v>
      </c>
      <c r="S5304" s="37">
        <v>3.1333000000000002</v>
      </c>
    </row>
    <row r="5305" spans="15:19" ht="15" x14ac:dyDescent="0.25">
      <c r="O5305"/>
      <c r="P5305"/>
      <c r="R5305" s="39">
        <v>37895</v>
      </c>
      <c r="S5305" s="37">
        <v>3.1715</v>
      </c>
    </row>
    <row r="5306" spans="15:19" ht="15" x14ac:dyDescent="0.25">
      <c r="O5306"/>
      <c r="P5306"/>
      <c r="R5306" s="39">
        <v>37894</v>
      </c>
      <c r="S5306" s="37">
        <v>3.8797999999999999</v>
      </c>
    </row>
    <row r="5307" spans="15:19" ht="15" x14ac:dyDescent="0.25">
      <c r="O5307"/>
      <c r="P5307"/>
      <c r="R5307" s="39">
        <v>37893</v>
      </c>
      <c r="S5307" s="37">
        <v>3.8184999999999998</v>
      </c>
    </row>
    <row r="5308" spans="15:19" ht="15" x14ac:dyDescent="0.25">
      <c r="O5308"/>
      <c r="P5308"/>
      <c r="R5308" s="39">
        <v>37890</v>
      </c>
      <c r="S5308" s="37">
        <v>3.4916</v>
      </c>
    </row>
    <row r="5309" spans="15:19" ht="15" x14ac:dyDescent="0.25">
      <c r="O5309"/>
      <c r="P5309"/>
      <c r="R5309" s="39">
        <v>37889</v>
      </c>
      <c r="S5309" s="37">
        <v>4.1448999999999998</v>
      </c>
    </row>
    <row r="5310" spans="15:19" ht="15" x14ac:dyDescent="0.25">
      <c r="O5310"/>
      <c r="P5310"/>
      <c r="R5310" s="39">
        <v>37888</v>
      </c>
      <c r="S5310" s="37">
        <v>3.3965999999999998</v>
      </c>
    </row>
    <row r="5311" spans="15:19" ht="15" x14ac:dyDescent="0.25">
      <c r="O5311"/>
      <c r="P5311"/>
      <c r="R5311" s="39">
        <v>37887</v>
      </c>
      <c r="S5311" s="37">
        <v>3.6949000000000001</v>
      </c>
    </row>
    <row r="5312" spans="15:19" ht="15" x14ac:dyDescent="0.25">
      <c r="O5312"/>
      <c r="P5312"/>
      <c r="R5312" s="39">
        <v>37886</v>
      </c>
      <c r="S5312" s="37">
        <v>3.3824000000000001</v>
      </c>
    </row>
    <row r="5313" spans="15:19" ht="15" x14ac:dyDescent="0.25">
      <c r="O5313"/>
      <c r="P5313"/>
      <c r="R5313" s="39">
        <v>37883</v>
      </c>
      <c r="S5313" s="37">
        <v>3.7086000000000001</v>
      </c>
    </row>
    <row r="5314" spans="15:19" ht="15" x14ac:dyDescent="0.25">
      <c r="O5314"/>
      <c r="P5314"/>
      <c r="R5314" s="39">
        <v>37882</v>
      </c>
      <c r="S5314" s="37">
        <v>3.4796999999999998</v>
      </c>
    </row>
    <row r="5315" spans="15:19" ht="15" x14ac:dyDescent="0.25">
      <c r="O5315"/>
      <c r="P5315"/>
      <c r="R5315" s="39">
        <v>37881</v>
      </c>
      <c r="S5315" s="37">
        <v>3.3921999999999999</v>
      </c>
    </row>
    <row r="5316" spans="15:19" ht="15" x14ac:dyDescent="0.25">
      <c r="O5316"/>
      <c r="P5316"/>
      <c r="R5316" s="39">
        <v>37880</v>
      </c>
      <c r="S5316" s="37">
        <v>3.4790999999999999</v>
      </c>
    </row>
    <row r="5317" spans="15:19" ht="15" x14ac:dyDescent="0.25">
      <c r="O5317"/>
      <c r="P5317"/>
      <c r="R5317" s="39">
        <v>37879</v>
      </c>
      <c r="S5317" s="37">
        <v>3.2092000000000001</v>
      </c>
    </row>
    <row r="5318" spans="15:19" ht="15" x14ac:dyDescent="0.25">
      <c r="O5318"/>
      <c r="P5318"/>
      <c r="R5318" s="39">
        <v>37876</v>
      </c>
      <c r="S5318" s="37">
        <v>3.1747999999999998</v>
      </c>
    </row>
    <row r="5319" spans="15:19" ht="15" x14ac:dyDescent="0.25">
      <c r="O5319"/>
      <c r="P5319"/>
      <c r="R5319" s="39">
        <v>37875</v>
      </c>
      <c r="S5319" s="37">
        <v>3.2229000000000001</v>
      </c>
    </row>
    <row r="5320" spans="15:19" ht="15" x14ac:dyDescent="0.25">
      <c r="O5320"/>
      <c r="P5320"/>
      <c r="R5320" s="39">
        <v>37874</v>
      </c>
      <c r="S5320" s="37">
        <v>3.6461000000000001</v>
      </c>
    </row>
    <row r="5321" spans="15:19" ht="15" x14ac:dyDescent="0.25">
      <c r="O5321"/>
      <c r="P5321"/>
      <c r="R5321" s="39">
        <v>37873</v>
      </c>
      <c r="S5321" s="37">
        <v>3.1981999999999999</v>
      </c>
    </row>
    <row r="5322" spans="15:19" ht="15" x14ac:dyDescent="0.25">
      <c r="O5322"/>
      <c r="P5322"/>
      <c r="R5322" s="39">
        <v>37872</v>
      </c>
      <c r="S5322" s="37">
        <v>3.4803999999999999</v>
      </c>
    </row>
    <row r="5323" spans="15:19" ht="15" x14ac:dyDescent="0.25">
      <c r="O5323"/>
      <c r="P5323"/>
      <c r="R5323" s="39">
        <v>37869</v>
      </c>
      <c r="S5323" s="37">
        <v>3.5817000000000001</v>
      </c>
    </row>
    <row r="5324" spans="15:19" ht="15" x14ac:dyDescent="0.25">
      <c r="O5324"/>
      <c r="P5324"/>
      <c r="R5324" s="39">
        <v>37868</v>
      </c>
      <c r="S5324" s="37">
        <v>3.1760000000000002</v>
      </c>
    </row>
    <row r="5325" spans="15:19" ht="15" x14ac:dyDescent="0.25">
      <c r="O5325"/>
      <c r="P5325"/>
      <c r="R5325" s="39">
        <v>37867</v>
      </c>
      <c r="S5325" s="37">
        <v>3.3269000000000002</v>
      </c>
    </row>
    <row r="5326" spans="15:19" ht="15" x14ac:dyDescent="0.25">
      <c r="O5326"/>
      <c r="P5326"/>
      <c r="R5326" s="39">
        <v>37866</v>
      </c>
      <c r="S5326" s="37">
        <v>3.4378000000000002</v>
      </c>
    </row>
    <row r="5327" spans="15:19" ht="15" x14ac:dyDescent="0.25">
      <c r="O5327"/>
      <c r="P5327"/>
      <c r="R5327" s="39">
        <v>37865</v>
      </c>
      <c r="S5327" s="37">
        <v>4.0712000000000002</v>
      </c>
    </row>
    <row r="5328" spans="15:19" ht="15" x14ac:dyDescent="0.25">
      <c r="O5328"/>
      <c r="P5328"/>
      <c r="R5328" s="39">
        <v>37862</v>
      </c>
      <c r="S5328" s="37">
        <v>3.6208</v>
      </c>
    </row>
    <row r="5329" spans="15:19" ht="15" x14ac:dyDescent="0.25">
      <c r="O5329"/>
      <c r="P5329"/>
      <c r="R5329" s="39">
        <v>37861</v>
      </c>
      <c r="S5329" s="37">
        <v>3.1017000000000001</v>
      </c>
    </row>
    <row r="5330" spans="15:19" ht="15" x14ac:dyDescent="0.25">
      <c r="O5330"/>
      <c r="P5330"/>
      <c r="R5330" s="39">
        <v>37860</v>
      </c>
      <c r="S5330" s="37">
        <v>3.7387000000000001</v>
      </c>
    </row>
    <row r="5331" spans="15:19" ht="15" x14ac:dyDescent="0.25">
      <c r="O5331"/>
      <c r="P5331"/>
      <c r="R5331" s="39">
        <v>37859</v>
      </c>
      <c r="S5331" s="37">
        <v>3.6124000000000001</v>
      </c>
    </row>
    <row r="5332" spans="15:19" ht="15" x14ac:dyDescent="0.25">
      <c r="O5332"/>
      <c r="P5332"/>
      <c r="R5332" s="39">
        <v>37855</v>
      </c>
      <c r="S5332" s="37">
        <v>2.9870000000000001</v>
      </c>
    </row>
    <row r="5333" spans="15:19" ht="15" x14ac:dyDescent="0.25">
      <c r="O5333"/>
      <c r="P5333"/>
      <c r="R5333" s="39">
        <v>37854</v>
      </c>
      <c r="S5333" s="37">
        <v>2.9489000000000001</v>
      </c>
    </row>
    <row r="5334" spans="15:19" ht="15" x14ac:dyDescent="0.25">
      <c r="O5334"/>
      <c r="P5334"/>
      <c r="R5334" s="39">
        <v>37853</v>
      </c>
      <c r="S5334" s="37">
        <v>2.9268999999999998</v>
      </c>
    </row>
    <row r="5335" spans="15:19" ht="15" x14ac:dyDescent="0.25">
      <c r="O5335"/>
      <c r="P5335"/>
      <c r="R5335" s="39">
        <v>37852</v>
      </c>
      <c r="S5335" s="37">
        <v>4.3577000000000004</v>
      </c>
    </row>
    <row r="5336" spans="15:19" ht="15" x14ac:dyDescent="0.25">
      <c r="O5336"/>
      <c r="P5336"/>
      <c r="R5336" s="39">
        <v>37851</v>
      </c>
      <c r="S5336" s="37">
        <v>4.3221999999999996</v>
      </c>
    </row>
    <row r="5337" spans="15:19" ht="15" x14ac:dyDescent="0.25">
      <c r="O5337"/>
      <c r="P5337"/>
      <c r="R5337" s="39">
        <v>37848</v>
      </c>
      <c r="S5337" s="37">
        <v>3.5428000000000002</v>
      </c>
    </row>
    <row r="5338" spans="15:19" ht="15" x14ac:dyDescent="0.25">
      <c r="O5338"/>
      <c r="P5338"/>
      <c r="R5338" s="39">
        <v>37847</v>
      </c>
      <c r="S5338" s="37">
        <v>4.4034000000000004</v>
      </c>
    </row>
    <row r="5339" spans="15:19" ht="15" x14ac:dyDescent="0.25">
      <c r="O5339"/>
      <c r="P5339"/>
      <c r="R5339" s="39">
        <v>37846</v>
      </c>
      <c r="S5339" s="37">
        <v>4.3577000000000004</v>
      </c>
    </row>
    <row r="5340" spans="15:19" ht="15" x14ac:dyDescent="0.25">
      <c r="O5340"/>
      <c r="P5340"/>
      <c r="R5340" s="39">
        <v>37845</v>
      </c>
      <c r="S5340" s="37">
        <v>4.2412000000000001</v>
      </c>
    </row>
    <row r="5341" spans="15:19" ht="15" x14ac:dyDescent="0.25">
      <c r="O5341"/>
      <c r="P5341"/>
      <c r="R5341" s="39">
        <v>37844</v>
      </c>
      <c r="S5341" s="37">
        <v>3.9992999999999999</v>
      </c>
    </row>
    <row r="5342" spans="15:19" ht="15" x14ac:dyDescent="0.25">
      <c r="O5342"/>
      <c r="P5342"/>
      <c r="R5342" s="39">
        <v>37841</v>
      </c>
      <c r="S5342" s="37">
        <v>2.8961000000000001</v>
      </c>
    </row>
    <row r="5343" spans="15:19" ht="15" x14ac:dyDescent="0.25">
      <c r="O5343"/>
      <c r="P5343"/>
      <c r="R5343" s="39">
        <v>37840</v>
      </c>
      <c r="S5343" s="37">
        <v>2.9222000000000001</v>
      </c>
    </row>
    <row r="5344" spans="15:19" ht="15" x14ac:dyDescent="0.25">
      <c r="O5344"/>
      <c r="P5344"/>
      <c r="R5344" s="39">
        <v>37839</v>
      </c>
      <c r="S5344" s="37">
        <v>3.0352999999999999</v>
      </c>
    </row>
    <row r="5345" spans="15:19" ht="15" x14ac:dyDescent="0.25">
      <c r="O5345"/>
      <c r="P5345"/>
      <c r="R5345" s="39">
        <v>37838</v>
      </c>
      <c r="S5345" s="37">
        <v>3.2044999999999999</v>
      </c>
    </row>
    <row r="5346" spans="15:19" ht="15" x14ac:dyDescent="0.25">
      <c r="O5346"/>
      <c r="P5346"/>
      <c r="R5346" s="39">
        <v>37837</v>
      </c>
      <c r="S5346" s="37">
        <v>2.9601999999999999</v>
      </c>
    </row>
    <row r="5347" spans="15:19" ht="15" x14ac:dyDescent="0.25">
      <c r="O5347"/>
      <c r="P5347"/>
      <c r="R5347" s="39">
        <v>37834</v>
      </c>
      <c r="S5347" s="37">
        <v>2.9266000000000001</v>
      </c>
    </row>
    <row r="5348" spans="15:19" ht="15" x14ac:dyDescent="0.25">
      <c r="O5348"/>
      <c r="P5348"/>
      <c r="R5348" s="39">
        <v>37833</v>
      </c>
      <c r="S5348" s="37">
        <v>3.1602000000000001</v>
      </c>
    </row>
    <row r="5349" spans="15:19" ht="15" x14ac:dyDescent="0.25">
      <c r="O5349"/>
      <c r="P5349"/>
      <c r="R5349" s="39">
        <v>37832</v>
      </c>
      <c r="S5349" s="37">
        <v>3.0285000000000002</v>
      </c>
    </row>
    <row r="5350" spans="15:19" ht="15" x14ac:dyDescent="0.25">
      <c r="O5350"/>
      <c r="P5350"/>
      <c r="R5350" s="39">
        <v>37831</v>
      </c>
      <c r="S5350" s="37">
        <v>3.0286</v>
      </c>
    </row>
    <row r="5351" spans="15:19" ht="15" x14ac:dyDescent="0.25">
      <c r="O5351"/>
      <c r="P5351"/>
      <c r="R5351" s="39">
        <v>37830</v>
      </c>
      <c r="S5351" s="37">
        <v>3.0859999999999999</v>
      </c>
    </row>
    <row r="5352" spans="15:19" ht="15" x14ac:dyDescent="0.25">
      <c r="O5352"/>
      <c r="P5352"/>
      <c r="R5352" s="39">
        <v>37827</v>
      </c>
      <c r="S5352" s="37">
        <v>2.9691999999999998</v>
      </c>
    </row>
    <row r="5353" spans="15:19" ht="15" x14ac:dyDescent="0.25">
      <c r="O5353"/>
      <c r="P5353"/>
      <c r="R5353" s="39">
        <v>37826</v>
      </c>
      <c r="S5353" s="37">
        <v>2.8616000000000001</v>
      </c>
    </row>
    <row r="5354" spans="15:19" ht="15" x14ac:dyDescent="0.25">
      <c r="O5354"/>
      <c r="P5354"/>
      <c r="R5354" s="39">
        <v>37825</v>
      </c>
      <c r="S5354" s="37">
        <v>2.8347000000000002</v>
      </c>
    </row>
    <row r="5355" spans="15:19" ht="15" x14ac:dyDescent="0.25">
      <c r="O5355"/>
      <c r="P5355"/>
      <c r="R5355" s="39">
        <v>37824</v>
      </c>
      <c r="S5355" s="37">
        <v>3.2583000000000002</v>
      </c>
    </row>
    <row r="5356" spans="15:19" ht="15" x14ac:dyDescent="0.25">
      <c r="O5356"/>
      <c r="P5356"/>
      <c r="R5356" s="39">
        <v>37823</v>
      </c>
      <c r="S5356" s="37">
        <v>2.8620999999999999</v>
      </c>
    </row>
    <row r="5357" spans="15:19" ht="15" x14ac:dyDescent="0.25">
      <c r="O5357"/>
      <c r="P5357"/>
      <c r="R5357" s="39">
        <v>37820</v>
      </c>
      <c r="S5357" s="37">
        <v>2.8325</v>
      </c>
    </row>
    <row r="5358" spans="15:19" ht="15" x14ac:dyDescent="0.25">
      <c r="O5358"/>
      <c r="P5358"/>
      <c r="R5358" s="39">
        <v>37819</v>
      </c>
      <c r="S5358" s="37">
        <v>3.032</v>
      </c>
    </row>
    <row r="5359" spans="15:19" ht="15" x14ac:dyDescent="0.25">
      <c r="O5359"/>
      <c r="P5359"/>
      <c r="R5359" s="39">
        <v>37818</v>
      </c>
      <c r="S5359" s="37">
        <v>3.6816</v>
      </c>
    </row>
    <row r="5360" spans="15:19" ht="15" x14ac:dyDescent="0.25">
      <c r="O5360"/>
      <c r="P5360"/>
      <c r="R5360" s="39">
        <v>37817</v>
      </c>
      <c r="S5360" s="37">
        <v>3.0394000000000001</v>
      </c>
    </row>
    <row r="5361" spans="15:19" ht="15" x14ac:dyDescent="0.25">
      <c r="O5361"/>
      <c r="P5361"/>
      <c r="R5361" s="39">
        <v>37816</v>
      </c>
      <c r="S5361" s="37">
        <v>3.5798000000000001</v>
      </c>
    </row>
    <row r="5362" spans="15:19" ht="15" x14ac:dyDescent="0.25">
      <c r="O5362"/>
      <c r="P5362"/>
      <c r="R5362" s="39">
        <v>37813</v>
      </c>
      <c r="S5362" s="37">
        <v>2.8264999999999998</v>
      </c>
    </row>
    <row r="5363" spans="15:19" ht="15" x14ac:dyDescent="0.25">
      <c r="O5363"/>
      <c r="P5363"/>
      <c r="R5363" s="39">
        <v>37812</v>
      </c>
      <c r="S5363" s="37">
        <v>3.8191000000000002</v>
      </c>
    </row>
    <row r="5364" spans="15:19" ht="15" x14ac:dyDescent="0.25">
      <c r="O5364"/>
      <c r="P5364"/>
      <c r="R5364" s="39">
        <v>37811</v>
      </c>
      <c r="S5364" s="37">
        <v>4.2618999999999998</v>
      </c>
    </row>
    <row r="5365" spans="15:19" ht="15" x14ac:dyDescent="0.25">
      <c r="O5365"/>
      <c r="P5365"/>
      <c r="R5365" s="39">
        <v>37810</v>
      </c>
      <c r="S5365" s="37">
        <v>3.8997000000000002</v>
      </c>
    </row>
    <row r="5366" spans="15:19" ht="15" x14ac:dyDescent="0.25">
      <c r="O5366"/>
      <c r="P5366"/>
      <c r="R5366" s="39">
        <v>37809</v>
      </c>
      <c r="S5366" s="37">
        <v>3.6385999999999998</v>
      </c>
    </row>
    <row r="5367" spans="15:19" ht="15" x14ac:dyDescent="0.25">
      <c r="O5367"/>
      <c r="P5367"/>
      <c r="R5367" s="39">
        <v>37806</v>
      </c>
      <c r="S5367" s="37">
        <v>3.0712000000000002</v>
      </c>
    </row>
    <row r="5368" spans="15:19" ht="15" x14ac:dyDescent="0.25">
      <c r="O5368"/>
      <c r="P5368"/>
      <c r="R5368" s="39">
        <v>37805</v>
      </c>
      <c r="S5368" s="37">
        <v>3.5007000000000001</v>
      </c>
    </row>
    <row r="5369" spans="15:19" ht="15" x14ac:dyDescent="0.25">
      <c r="O5369"/>
      <c r="P5369"/>
      <c r="R5369" s="39">
        <v>37804</v>
      </c>
      <c r="S5369" s="37">
        <v>3.9382000000000001</v>
      </c>
    </row>
    <row r="5370" spans="15:19" ht="15" x14ac:dyDescent="0.25">
      <c r="O5370"/>
      <c r="P5370"/>
      <c r="R5370" s="39">
        <v>37803</v>
      </c>
      <c r="S5370" s="37">
        <v>3.5135999999999998</v>
      </c>
    </row>
    <row r="5371" spans="15:19" ht="15" x14ac:dyDescent="0.25">
      <c r="O5371"/>
      <c r="P5371"/>
      <c r="R5371" s="39">
        <v>37802</v>
      </c>
      <c r="S5371" s="37">
        <v>3.2839999999999998</v>
      </c>
    </row>
    <row r="5372" spans="15:19" ht="15" x14ac:dyDescent="0.25">
      <c r="O5372"/>
      <c r="P5372"/>
      <c r="R5372" s="39">
        <v>37799</v>
      </c>
      <c r="S5372" s="37">
        <v>3.0869</v>
      </c>
    </row>
    <row r="5373" spans="15:19" ht="15" x14ac:dyDescent="0.25">
      <c r="O5373"/>
      <c r="P5373"/>
      <c r="R5373" s="39">
        <v>37798</v>
      </c>
      <c r="S5373" s="37">
        <v>3.0905999999999998</v>
      </c>
    </row>
    <row r="5374" spans="15:19" ht="15" x14ac:dyDescent="0.25">
      <c r="O5374"/>
      <c r="P5374"/>
      <c r="R5374" s="39">
        <v>37797</v>
      </c>
      <c r="S5374" s="37">
        <v>3.0966999999999998</v>
      </c>
    </row>
    <row r="5375" spans="15:19" ht="15" x14ac:dyDescent="0.25">
      <c r="O5375"/>
      <c r="P5375"/>
      <c r="R5375" s="39">
        <v>37796</v>
      </c>
      <c r="S5375" s="37">
        <v>3.1139000000000001</v>
      </c>
    </row>
    <row r="5376" spans="15:19" ht="15" x14ac:dyDescent="0.25">
      <c r="O5376"/>
      <c r="P5376"/>
      <c r="R5376" s="39">
        <v>37795</v>
      </c>
      <c r="S5376" s="37">
        <v>3.1562000000000001</v>
      </c>
    </row>
    <row r="5377" spans="15:19" ht="15" x14ac:dyDescent="0.25">
      <c r="O5377"/>
      <c r="P5377"/>
      <c r="R5377" s="39">
        <v>37792</v>
      </c>
      <c r="S5377" s="37">
        <v>3.1019000000000001</v>
      </c>
    </row>
    <row r="5378" spans="15:19" ht="15" x14ac:dyDescent="0.25">
      <c r="O5378"/>
      <c r="P5378"/>
      <c r="R5378" s="39">
        <v>37791</v>
      </c>
      <c r="S5378" s="37">
        <v>3.2231999999999998</v>
      </c>
    </row>
    <row r="5379" spans="15:19" ht="15" x14ac:dyDescent="0.25">
      <c r="O5379"/>
      <c r="P5379"/>
      <c r="R5379" s="39">
        <v>37790</v>
      </c>
      <c r="S5379" s="37">
        <v>3.8650000000000002</v>
      </c>
    </row>
    <row r="5380" spans="15:19" ht="15" x14ac:dyDescent="0.25">
      <c r="O5380"/>
      <c r="P5380"/>
      <c r="R5380" s="39">
        <v>37789</v>
      </c>
      <c r="S5380" s="37">
        <v>3.1453000000000002</v>
      </c>
    </row>
    <row r="5381" spans="15:19" ht="15" x14ac:dyDescent="0.25">
      <c r="O5381"/>
      <c r="P5381"/>
      <c r="R5381" s="39">
        <v>37788</v>
      </c>
      <c r="S5381" s="37">
        <v>3.1459999999999999</v>
      </c>
    </row>
    <row r="5382" spans="15:19" ht="15" x14ac:dyDescent="0.25">
      <c r="O5382"/>
      <c r="P5382"/>
      <c r="R5382" s="39">
        <v>37785</v>
      </c>
      <c r="S5382" s="37">
        <v>4.1657000000000002</v>
      </c>
    </row>
    <row r="5383" spans="15:19" ht="15" x14ac:dyDescent="0.25">
      <c r="O5383"/>
      <c r="P5383"/>
      <c r="R5383" s="39">
        <v>37784</v>
      </c>
      <c r="S5383" s="37">
        <v>4.0384000000000002</v>
      </c>
    </row>
    <row r="5384" spans="15:19" ht="15" x14ac:dyDescent="0.25">
      <c r="O5384"/>
      <c r="P5384"/>
      <c r="R5384" s="39">
        <v>37783</v>
      </c>
      <c r="S5384" s="37">
        <v>3.6821999999999999</v>
      </c>
    </row>
    <row r="5385" spans="15:19" ht="15" x14ac:dyDescent="0.25">
      <c r="O5385"/>
      <c r="P5385"/>
      <c r="R5385" s="39">
        <v>37782</v>
      </c>
      <c r="S5385" s="37">
        <v>4.3898000000000001</v>
      </c>
    </row>
    <row r="5386" spans="15:19" ht="15" x14ac:dyDescent="0.25">
      <c r="O5386"/>
      <c r="P5386"/>
      <c r="R5386" s="39">
        <v>37781</v>
      </c>
      <c r="S5386" s="37">
        <v>4.0304000000000002</v>
      </c>
    </row>
    <row r="5387" spans="15:19" ht="15" x14ac:dyDescent="0.25">
      <c r="O5387"/>
      <c r="P5387"/>
      <c r="R5387" s="39">
        <v>37778</v>
      </c>
      <c r="S5387" s="37">
        <v>4.3289999999999997</v>
      </c>
    </row>
    <row r="5388" spans="15:19" ht="15" x14ac:dyDescent="0.25">
      <c r="O5388"/>
      <c r="P5388"/>
      <c r="R5388" s="39">
        <v>37777</v>
      </c>
      <c r="S5388" s="37">
        <v>4.4983000000000004</v>
      </c>
    </row>
    <row r="5389" spans="15:19" ht="15" x14ac:dyDescent="0.25">
      <c r="O5389"/>
      <c r="P5389"/>
      <c r="R5389" s="39">
        <v>37776</v>
      </c>
      <c r="S5389" s="37">
        <v>4.5664999999999996</v>
      </c>
    </row>
    <row r="5390" spans="15:19" ht="15" x14ac:dyDescent="0.25">
      <c r="O5390"/>
      <c r="P5390"/>
      <c r="R5390" s="39">
        <v>37775</v>
      </c>
      <c r="S5390" s="37">
        <v>3.2875999999999999</v>
      </c>
    </row>
    <row r="5391" spans="15:19" ht="15" x14ac:dyDescent="0.25">
      <c r="O5391"/>
      <c r="P5391"/>
      <c r="R5391" s="39">
        <v>37774</v>
      </c>
      <c r="S5391" s="37">
        <v>4.4260000000000002</v>
      </c>
    </row>
    <row r="5392" spans="15:19" ht="15" x14ac:dyDescent="0.25">
      <c r="O5392"/>
      <c r="P5392"/>
      <c r="R5392" s="39">
        <v>37771</v>
      </c>
      <c r="S5392" s="37">
        <v>3.9285999999999999</v>
      </c>
    </row>
    <row r="5393" spans="15:19" ht="15" x14ac:dyDescent="0.25">
      <c r="O5393"/>
      <c r="P5393"/>
      <c r="R5393" s="39">
        <v>37770</v>
      </c>
      <c r="S5393" s="37">
        <v>4.6448999999999998</v>
      </c>
    </row>
    <row r="5394" spans="15:19" ht="15" x14ac:dyDescent="0.25">
      <c r="O5394"/>
      <c r="P5394"/>
      <c r="R5394" s="39">
        <v>37769</v>
      </c>
      <c r="S5394" s="37">
        <v>3.5204</v>
      </c>
    </row>
    <row r="5395" spans="15:19" ht="15" x14ac:dyDescent="0.25">
      <c r="O5395"/>
      <c r="P5395"/>
      <c r="R5395" s="39">
        <v>37768</v>
      </c>
      <c r="S5395" s="37">
        <v>3.4434</v>
      </c>
    </row>
    <row r="5396" spans="15:19" ht="15" x14ac:dyDescent="0.25">
      <c r="O5396"/>
      <c r="P5396"/>
      <c r="R5396" s="39">
        <v>37764</v>
      </c>
      <c r="S5396" s="37">
        <v>3.2010000000000001</v>
      </c>
    </row>
    <row r="5397" spans="15:19" ht="15" x14ac:dyDescent="0.25">
      <c r="O5397"/>
      <c r="P5397"/>
      <c r="R5397" s="39">
        <v>37763</v>
      </c>
      <c r="S5397" s="37">
        <v>3.5769000000000002</v>
      </c>
    </row>
    <row r="5398" spans="15:19" ht="15" x14ac:dyDescent="0.25">
      <c r="O5398"/>
      <c r="P5398"/>
      <c r="R5398" s="39">
        <v>37762</v>
      </c>
      <c r="S5398" s="37">
        <v>3.2383999999999999</v>
      </c>
    </row>
    <row r="5399" spans="15:19" ht="15" x14ac:dyDescent="0.25">
      <c r="O5399"/>
      <c r="P5399"/>
      <c r="R5399" s="39">
        <v>37761</v>
      </c>
      <c r="S5399" s="37">
        <v>3.2008000000000001</v>
      </c>
    </row>
    <row r="5400" spans="15:19" ht="15" x14ac:dyDescent="0.25">
      <c r="O5400"/>
      <c r="P5400"/>
      <c r="R5400" s="39">
        <v>37760</v>
      </c>
      <c r="S5400" s="37">
        <v>3.4081999999999999</v>
      </c>
    </row>
    <row r="5401" spans="15:19" ht="15" x14ac:dyDescent="0.25">
      <c r="O5401"/>
      <c r="P5401"/>
      <c r="R5401" s="39">
        <v>37757</v>
      </c>
      <c r="S5401" s="37">
        <v>3.4918999999999998</v>
      </c>
    </row>
    <row r="5402" spans="15:19" ht="15" x14ac:dyDescent="0.25">
      <c r="O5402"/>
      <c r="P5402"/>
      <c r="R5402" s="39">
        <v>37756</v>
      </c>
      <c r="S5402" s="37">
        <v>4.3296999999999999</v>
      </c>
    </row>
    <row r="5403" spans="15:19" ht="15" x14ac:dyDescent="0.25">
      <c r="O5403"/>
      <c r="P5403"/>
      <c r="R5403" s="39">
        <v>37755</v>
      </c>
      <c r="S5403" s="37">
        <v>4.4250999999999996</v>
      </c>
    </row>
    <row r="5404" spans="15:19" ht="15" x14ac:dyDescent="0.25">
      <c r="O5404"/>
      <c r="P5404"/>
      <c r="R5404" s="39">
        <v>37754</v>
      </c>
      <c r="S5404" s="37">
        <v>3.6999</v>
      </c>
    </row>
    <row r="5405" spans="15:19" ht="15" x14ac:dyDescent="0.25">
      <c r="O5405"/>
      <c r="P5405"/>
      <c r="R5405" s="39">
        <v>37753</v>
      </c>
      <c r="S5405" s="37">
        <v>4.4625000000000004</v>
      </c>
    </row>
    <row r="5406" spans="15:19" ht="15" x14ac:dyDescent="0.25">
      <c r="O5406"/>
      <c r="P5406"/>
      <c r="R5406" s="39">
        <v>37750</v>
      </c>
      <c r="S5406" s="37">
        <v>4.0965999999999996</v>
      </c>
    </row>
    <row r="5407" spans="15:19" ht="15" x14ac:dyDescent="0.25">
      <c r="O5407"/>
      <c r="P5407"/>
      <c r="R5407" s="39">
        <v>37749</v>
      </c>
      <c r="S5407" s="37">
        <v>3.2181000000000002</v>
      </c>
    </row>
    <row r="5408" spans="15:19" ht="15" x14ac:dyDescent="0.25">
      <c r="O5408"/>
      <c r="P5408"/>
      <c r="R5408" s="39">
        <v>37748</v>
      </c>
      <c r="S5408" s="37">
        <v>4.4946000000000002</v>
      </c>
    </row>
    <row r="5409" spans="15:19" ht="15" x14ac:dyDescent="0.25">
      <c r="O5409"/>
      <c r="P5409"/>
      <c r="R5409" s="39">
        <v>37747</v>
      </c>
      <c r="S5409" s="37">
        <v>3.2456999999999998</v>
      </c>
    </row>
    <row r="5410" spans="15:19" ht="15" x14ac:dyDescent="0.25">
      <c r="O5410"/>
      <c r="P5410"/>
      <c r="R5410" s="39">
        <v>37743</v>
      </c>
      <c r="S5410" s="37">
        <v>3.0516000000000001</v>
      </c>
    </row>
    <row r="5411" spans="15:19" ht="15" x14ac:dyDescent="0.25">
      <c r="O5411"/>
      <c r="P5411"/>
      <c r="R5411" s="39">
        <v>37742</v>
      </c>
      <c r="S5411" s="37">
        <v>3.0718999999999999</v>
      </c>
    </row>
    <row r="5412" spans="15:19" ht="15" x14ac:dyDescent="0.25">
      <c r="O5412"/>
      <c r="P5412"/>
      <c r="R5412" s="39">
        <v>37741</v>
      </c>
      <c r="S5412" s="37">
        <v>3.7494000000000001</v>
      </c>
    </row>
    <row r="5413" spans="15:19" ht="15" x14ac:dyDescent="0.25">
      <c r="O5413"/>
      <c r="P5413"/>
      <c r="R5413" s="39">
        <v>37740</v>
      </c>
      <c r="S5413" s="37">
        <v>4.5586000000000002</v>
      </c>
    </row>
    <row r="5414" spans="15:19" ht="15" x14ac:dyDescent="0.25">
      <c r="O5414"/>
      <c r="P5414"/>
      <c r="R5414" s="39">
        <v>37739</v>
      </c>
      <c r="S5414" s="37">
        <v>4.5511999999999997</v>
      </c>
    </row>
    <row r="5415" spans="15:19" ht="15" x14ac:dyDescent="0.25">
      <c r="O5415"/>
      <c r="P5415"/>
      <c r="R5415" s="39">
        <v>37736</v>
      </c>
      <c r="S5415" s="37">
        <v>3.0891000000000002</v>
      </c>
    </row>
    <row r="5416" spans="15:19" ht="15" x14ac:dyDescent="0.25">
      <c r="O5416"/>
      <c r="P5416"/>
      <c r="R5416" s="39">
        <v>37735</v>
      </c>
      <c r="S5416" s="37">
        <v>3.1333000000000002</v>
      </c>
    </row>
    <row r="5417" spans="15:19" ht="15" x14ac:dyDescent="0.25">
      <c r="O5417"/>
      <c r="P5417"/>
      <c r="R5417" s="39">
        <v>37734</v>
      </c>
      <c r="S5417" s="37">
        <v>3.1589</v>
      </c>
    </row>
    <row r="5418" spans="15:19" ht="15" x14ac:dyDescent="0.25">
      <c r="O5418"/>
      <c r="P5418"/>
      <c r="R5418" s="39">
        <v>37733</v>
      </c>
      <c r="S5418" s="37">
        <v>3.2583000000000002</v>
      </c>
    </row>
    <row r="5419" spans="15:19" ht="15" x14ac:dyDescent="0.25">
      <c r="O5419"/>
      <c r="P5419"/>
      <c r="R5419" s="39">
        <v>37728</v>
      </c>
      <c r="S5419" s="37">
        <v>3.3809999999999998</v>
      </c>
    </row>
    <row r="5420" spans="15:19" ht="15" x14ac:dyDescent="0.25">
      <c r="O5420"/>
      <c r="P5420"/>
      <c r="R5420" s="39">
        <v>37727</v>
      </c>
      <c r="S5420" s="37">
        <v>3.6259000000000001</v>
      </c>
    </row>
    <row r="5421" spans="15:19" ht="15" x14ac:dyDescent="0.25">
      <c r="O5421"/>
      <c r="P5421"/>
      <c r="R5421" s="39">
        <v>37726</v>
      </c>
      <c r="S5421" s="37">
        <v>4.5232000000000001</v>
      </c>
    </row>
    <row r="5422" spans="15:19" ht="15" x14ac:dyDescent="0.25">
      <c r="O5422"/>
      <c r="P5422"/>
      <c r="R5422" s="39">
        <v>37725</v>
      </c>
      <c r="S5422" s="37">
        <v>4.3428000000000004</v>
      </c>
    </row>
    <row r="5423" spans="15:19" ht="15" x14ac:dyDescent="0.25">
      <c r="O5423"/>
      <c r="P5423"/>
      <c r="R5423" s="39">
        <v>37722</v>
      </c>
      <c r="S5423" s="37">
        <v>3.2126999999999999</v>
      </c>
    </row>
    <row r="5424" spans="15:19" ht="15" x14ac:dyDescent="0.25">
      <c r="O5424"/>
      <c r="P5424"/>
      <c r="R5424" s="39">
        <v>37721</v>
      </c>
      <c r="S5424" s="37">
        <v>3.2052999999999998</v>
      </c>
    </row>
    <row r="5425" spans="15:19" ht="15" x14ac:dyDescent="0.25">
      <c r="O5425"/>
      <c r="P5425"/>
      <c r="R5425" s="39">
        <v>37720</v>
      </c>
      <c r="S5425" s="37">
        <v>3.1650999999999998</v>
      </c>
    </row>
    <row r="5426" spans="15:19" ht="15" x14ac:dyDescent="0.25">
      <c r="O5426"/>
      <c r="P5426"/>
      <c r="R5426" s="39">
        <v>37719</v>
      </c>
      <c r="S5426" s="37">
        <v>3.1145</v>
      </c>
    </row>
    <row r="5427" spans="15:19" ht="15" x14ac:dyDescent="0.25">
      <c r="O5427"/>
      <c r="P5427"/>
      <c r="R5427" s="39">
        <v>37718</v>
      </c>
      <c r="S5427" s="37">
        <v>3.1343000000000001</v>
      </c>
    </row>
    <row r="5428" spans="15:19" ht="15" x14ac:dyDescent="0.25">
      <c r="O5428"/>
      <c r="P5428"/>
      <c r="R5428" s="39">
        <v>37715</v>
      </c>
      <c r="S5428" s="37">
        <v>3.3923999999999999</v>
      </c>
    </row>
    <row r="5429" spans="15:19" ht="15" x14ac:dyDescent="0.25">
      <c r="O5429"/>
      <c r="P5429"/>
      <c r="R5429" s="39">
        <v>37714</v>
      </c>
      <c r="S5429" s="37">
        <v>3.7279</v>
      </c>
    </row>
    <row r="5430" spans="15:19" ht="15" x14ac:dyDescent="0.25">
      <c r="O5430"/>
      <c r="P5430"/>
      <c r="R5430" s="39">
        <v>37713</v>
      </c>
      <c r="S5430" s="37">
        <v>3.6347</v>
      </c>
    </row>
    <row r="5431" spans="15:19" ht="15" x14ac:dyDescent="0.25">
      <c r="O5431"/>
      <c r="P5431"/>
      <c r="R5431" s="39">
        <v>37712</v>
      </c>
      <c r="S5431" s="37">
        <v>4.4208999999999996</v>
      </c>
    </row>
    <row r="5432" spans="15:19" ht="15" x14ac:dyDescent="0.25">
      <c r="O5432"/>
      <c r="P5432"/>
      <c r="R5432" s="39">
        <v>37711</v>
      </c>
      <c r="S5432" s="37">
        <v>4.4736000000000002</v>
      </c>
    </row>
    <row r="5433" spans="15:19" ht="15" x14ac:dyDescent="0.25">
      <c r="O5433"/>
      <c r="P5433"/>
      <c r="R5433" s="39">
        <v>37708</v>
      </c>
      <c r="S5433" s="37">
        <v>3.5684999999999998</v>
      </c>
    </row>
    <row r="5434" spans="15:19" ht="15" x14ac:dyDescent="0.25">
      <c r="O5434"/>
      <c r="P5434"/>
      <c r="R5434" s="39">
        <v>37707</v>
      </c>
      <c r="S5434" s="37">
        <v>3.6574</v>
      </c>
    </row>
    <row r="5435" spans="15:19" ht="15" x14ac:dyDescent="0.25">
      <c r="O5435"/>
      <c r="P5435"/>
      <c r="R5435" s="39">
        <v>37706</v>
      </c>
      <c r="S5435" s="37">
        <v>4.1353</v>
      </c>
    </row>
    <row r="5436" spans="15:19" ht="15" x14ac:dyDescent="0.25">
      <c r="O5436"/>
      <c r="P5436"/>
      <c r="R5436" s="39">
        <v>37705</v>
      </c>
      <c r="S5436" s="37">
        <v>4.0490000000000004</v>
      </c>
    </row>
    <row r="5437" spans="15:19" ht="15" x14ac:dyDescent="0.25">
      <c r="O5437"/>
      <c r="P5437"/>
      <c r="R5437" s="39">
        <v>37704</v>
      </c>
      <c r="S5437" s="37">
        <v>3.1246999999999998</v>
      </c>
    </row>
    <row r="5438" spans="15:19" ht="15" x14ac:dyDescent="0.25">
      <c r="O5438"/>
      <c r="P5438"/>
      <c r="R5438" s="39">
        <v>37701</v>
      </c>
      <c r="S5438" s="37">
        <v>3.0990000000000002</v>
      </c>
    </row>
    <row r="5439" spans="15:19" ht="15" x14ac:dyDescent="0.25">
      <c r="O5439"/>
      <c r="P5439"/>
      <c r="R5439" s="39">
        <v>37700</v>
      </c>
      <c r="S5439" s="37">
        <v>3.1187</v>
      </c>
    </row>
    <row r="5440" spans="15:19" ht="15" x14ac:dyDescent="0.25">
      <c r="O5440"/>
      <c r="P5440"/>
      <c r="R5440" s="39">
        <v>37699</v>
      </c>
      <c r="S5440" s="37">
        <v>3.4211999999999998</v>
      </c>
    </row>
    <row r="5441" spans="15:19" ht="15" x14ac:dyDescent="0.25">
      <c r="O5441"/>
      <c r="P5441"/>
      <c r="R5441" s="39">
        <v>37698</v>
      </c>
      <c r="S5441" s="37">
        <v>3.5586000000000002</v>
      </c>
    </row>
    <row r="5442" spans="15:19" ht="15" x14ac:dyDescent="0.25">
      <c r="O5442"/>
      <c r="P5442"/>
      <c r="R5442" s="39">
        <v>37697</v>
      </c>
      <c r="S5442" s="37">
        <v>4.5224000000000002</v>
      </c>
    </row>
    <row r="5443" spans="15:19" ht="15" x14ac:dyDescent="0.25">
      <c r="O5443"/>
      <c r="P5443"/>
      <c r="R5443" s="39">
        <v>37694</v>
      </c>
      <c r="S5443" s="37">
        <v>3.1739000000000002</v>
      </c>
    </row>
    <row r="5444" spans="15:19" ht="15" x14ac:dyDescent="0.25">
      <c r="O5444"/>
      <c r="P5444"/>
      <c r="R5444" s="39">
        <v>37693</v>
      </c>
      <c r="S5444" s="37">
        <v>3.6682999999999999</v>
      </c>
    </row>
    <row r="5445" spans="15:19" ht="15" x14ac:dyDescent="0.25">
      <c r="O5445"/>
      <c r="P5445"/>
      <c r="R5445" s="39">
        <v>37692</v>
      </c>
      <c r="S5445" s="37">
        <v>4.6657000000000002</v>
      </c>
    </row>
    <row r="5446" spans="15:19" ht="15" x14ac:dyDescent="0.25">
      <c r="O5446"/>
      <c r="P5446"/>
      <c r="R5446" s="39">
        <v>37691</v>
      </c>
      <c r="S5446" s="37">
        <v>4.6020000000000003</v>
      </c>
    </row>
    <row r="5447" spans="15:19" ht="15" x14ac:dyDescent="0.25">
      <c r="O5447"/>
      <c r="P5447"/>
      <c r="R5447" s="39">
        <v>37690</v>
      </c>
      <c r="S5447" s="37">
        <v>4.5667999999999997</v>
      </c>
    </row>
    <row r="5448" spans="15:19" ht="15" x14ac:dyDescent="0.25">
      <c r="O5448"/>
      <c r="P5448"/>
      <c r="R5448" s="39">
        <v>37687</v>
      </c>
      <c r="S5448" s="37">
        <v>4.1375000000000002</v>
      </c>
    </row>
    <row r="5449" spans="15:19" ht="15" x14ac:dyDescent="0.25">
      <c r="O5449"/>
      <c r="P5449"/>
      <c r="R5449" s="39">
        <v>37686</v>
      </c>
      <c r="S5449" s="37">
        <v>4.1882000000000001</v>
      </c>
    </row>
    <row r="5450" spans="15:19" ht="15" x14ac:dyDescent="0.25">
      <c r="O5450"/>
      <c r="P5450"/>
      <c r="R5450" s="39">
        <v>37685</v>
      </c>
      <c r="S5450" s="37">
        <v>4.4249000000000001</v>
      </c>
    </row>
    <row r="5451" spans="15:19" ht="15" x14ac:dyDescent="0.25">
      <c r="O5451"/>
      <c r="P5451"/>
      <c r="R5451" s="39">
        <v>37684</v>
      </c>
      <c r="S5451" s="37">
        <v>3.9708000000000001</v>
      </c>
    </row>
    <row r="5452" spans="15:19" ht="15" x14ac:dyDescent="0.25">
      <c r="O5452"/>
      <c r="P5452"/>
      <c r="R5452" s="39">
        <v>37683</v>
      </c>
      <c r="S5452" s="37">
        <v>4.1853999999999996</v>
      </c>
    </row>
    <row r="5453" spans="15:19" ht="15" x14ac:dyDescent="0.25">
      <c r="O5453"/>
      <c r="P5453"/>
      <c r="R5453" s="39">
        <v>37680</v>
      </c>
      <c r="S5453" s="37">
        <v>3.4409000000000001</v>
      </c>
    </row>
    <row r="5454" spans="15:19" ht="15" x14ac:dyDescent="0.25">
      <c r="O5454"/>
      <c r="P5454"/>
      <c r="R5454" s="39">
        <v>37679</v>
      </c>
      <c r="S5454" s="37">
        <v>3.8172000000000001</v>
      </c>
    </row>
    <row r="5455" spans="15:19" ht="15" x14ac:dyDescent="0.25">
      <c r="O5455"/>
      <c r="P5455"/>
      <c r="R5455" s="39">
        <v>37678</v>
      </c>
      <c r="S5455" s="37">
        <v>4.1858000000000004</v>
      </c>
    </row>
    <row r="5456" spans="15:19" ht="15" x14ac:dyDescent="0.25">
      <c r="O5456"/>
      <c r="P5456"/>
      <c r="R5456" s="39">
        <v>37677</v>
      </c>
      <c r="S5456" s="37">
        <v>3.2191999999999998</v>
      </c>
    </row>
    <row r="5457" spans="15:19" ht="15" x14ac:dyDescent="0.25">
      <c r="O5457"/>
      <c r="P5457"/>
      <c r="R5457" s="39">
        <v>37676</v>
      </c>
      <c r="S5457" s="37">
        <v>4.0171999999999999</v>
      </c>
    </row>
    <row r="5458" spans="15:19" ht="15" x14ac:dyDescent="0.25">
      <c r="O5458"/>
      <c r="P5458"/>
      <c r="R5458" s="39">
        <v>37673</v>
      </c>
      <c r="S5458" s="37">
        <v>3.5644</v>
      </c>
    </row>
    <row r="5459" spans="15:19" ht="15" x14ac:dyDescent="0.25">
      <c r="O5459"/>
      <c r="P5459"/>
      <c r="R5459" s="39">
        <v>37672</v>
      </c>
      <c r="S5459" s="37">
        <v>3.5975000000000001</v>
      </c>
    </row>
    <row r="5460" spans="15:19" ht="15" x14ac:dyDescent="0.25">
      <c r="O5460"/>
      <c r="P5460"/>
      <c r="R5460" s="39">
        <v>37671</v>
      </c>
      <c r="S5460" s="37">
        <v>3.1086</v>
      </c>
    </row>
    <row r="5461" spans="15:19" ht="15" x14ac:dyDescent="0.25">
      <c r="O5461"/>
      <c r="P5461"/>
      <c r="R5461" s="39">
        <v>37670</v>
      </c>
      <c r="S5461" s="37">
        <v>3.2467000000000001</v>
      </c>
    </row>
    <row r="5462" spans="15:19" ht="15" x14ac:dyDescent="0.25">
      <c r="O5462"/>
      <c r="P5462"/>
      <c r="R5462" s="39">
        <v>37669</v>
      </c>
      <c r="S5462" s="37">
        <v>3.5419999999999998</v>
      </c>
    </row>
    <row r="5463" spans="15:19" ht="15" x14ac:dyDescent="0.25">
      <c r="O5463"/>
      <c r="P5463"/>
      <c r="R5463" s="39">
        <v>37666</v>
      </c>
      <c r="S5463" s="37">
        <v>3.2942</v>
      </c>
    </row>
    <row r="5464" spans="15:19" ht="15" x14ac:dyDescent="0.25">
      <c r="O5464"/>
      <c r="P5464"/>
      <c r="R5464" s="39">
        <v>37665</v>
      </c>
      <c r="S5464" s="37">
        <v>3.3921999999999999</v>
      </c>
    </row>
    <row r="5465" spans="15:19" ht="15" x14ac:dyDescent="0.25">
      <c r="O5465"/>
      <c r="P5465"/>
      <c r="R5465" s="39">
        <v>37664</v>
      </c>
      <c r="S5465" s="37">
        <v>4.3636999999999997</v>
      </c>
    </row>
    <row r="5466" spans="15:19" ht="15" x14ac:dyDescent="0.25">
      <c r="O5466"/>
      <c r="P5466"/>
      <c r="R5466" s="39">
        <v>37663</v>
      </c>
      <c r="S5466" s="37">
        <v>4.5449000000000002</v>
      </c>
    </row>
    <row r="5467" spans="15:19" ht="15" x14ac:dyDescent="0.25">
      <c r="O5467"/>
      <c r="P5467"/>
      <c r="R5467" s="39">
        <v>37662</v>
      </c>
      <c r="S5467" s="37">
        <v>4.4122000000000003</v>
      </c>
    </row>
    <row r="5468" spans="15:19" ht="15" x14ac:dyDescent="0.25">
      <c r="O5468"/>
      <c r="P5468"/>
      <c r="R5468" s="39">
        <v>37659</v>
      </c>
      <c r="S5468" s="37">
        <v>3.3472</v>
      </c>
    </row>
    <row r="5469" spans="15:19" ht="15" x14ac:dyDescent="0.25">
      <c r="O5469"/>
      <c r="P5469"/>
      <c r="R5469" s="39">
        <v>37658</v>
      </c>
      <c r="S5469" s="37">
        <v>3.4213</v>
      </c>
    </row>
    <row r="5470" spans="15:19" ht="15" x14ac:dyDescent="0.25">
      <c r="O5470"/>
      <c r="P5470"/>
      <c r="R5470" s="39">
        <v>37657</v>
      </c>
      <c r="S5470" s="37">
        <v>3.4226000000000001</v>
      </c>
    </row>
    <row r="5471" spans="15:19" ht="15" x14ac:dyDescent="0.25">
      <c r="O5471"/>
      <c r="P5471"/>
      <c r="R5471" s="39">
        <v>37656</v>
      </c>
      <c r="S5471" s="37">
        <v>3.7844000000000002</v>
      </c>
    </row>
    <row r="5472" spans="15:19" ht="15" x14ac:dyDescent="0.25">
      <c r="O5472"/>
      <c r="P5472"/>
      <c r="R5472" s="39">
        <v>37655</v>
      </c>
      <c r="S5472" s="37">
        <v>4.7629999999999999</v>
      </c>
    </row>
    <row r="5473" spans="15:19" ht="15" x14ac:dyDescent="0.25">
      <c r="O5473"/>
      <c r="P5473"/>
      <c r="R5473" s="39">
        <v>37652</v>
      </c>
      <c r="S5473" s="37">
        <v>4.1670999999999996</v>
      </c>
    </row>
    <row r="5474" spans="15:19" ht="15" x14ac:dyDescent="0.25">
      <c r="O5474"/>
      <c r="P5474"/>
      <c r="R5474" s="39">
        <v>37651</v>
      </c>
      <c r="S5474" s="37">
        <v>3.5324</v>
      </c>
    </row>
    <row r="5475" spans="15:19" ht="15" x14ac:dyDescent="0.25">
      <c r="O5475"/>
      <c r="P5475"/>
      <c r="R5475" s="39">
        <v>37650</v>
      </c>
      <c r="S5475" s="37">
        <v>3.3254000000000001</v>
      </c>
    </row>
    <row r="5476" spans="15:19" ht="15" x14ac:dyDescent="0.25">
      <c r="O5476"/>
      <c r="P5476"/>
      <c r="R5476" s="39">
        <v>37649</v>
      </c>
      <c r="S5476" s="37">
        <v>3.3237000000000001</v>
      </c>
    </row>
    <row r="5477" spans="15:19" ht="15" x14ac:dyDescent="0.25">
      <c r="O5477"/>
      <c r="P5477"/>
      <c r="R5477" s="39">
        <v>37648</v>
      </c>
      <c r="S5477" s="37">
        <v>3.2985000000000002</v>
      </c>
    </row>
    <row r="5478" spans="15:19" ht="15" x14ac:dyDescent="0.25">
      <c r="O5478"/>
      <c r="P5478"/>
      <c r="R5478" s="39">
        <v>37645</v>
      </c>
      <c r="S5478" s="37">
        <v>3.3595999999999999</v>
      </c>
    </row>
    <row r="5479" spans="15:19" ht="15" x14ac:dyDescent="0.25">
      <c r="O5479"/>
      <c r="P5479"/>
      <c r="R5479" s="39">
        <v>37644</v>
      </c>
      <c r="S5479" s="37">
        <v>3.4129999999999998</v>
      </c>
    </row>
    <row r="5480" spans="15:19" ht="15" x14ac:dyDescent="0.25">
      <c r="O5480"/>
      <c r="P5480"/>
      <c r="R5480" s="39">
        <v>37643</v>
      </c>
      <c r="S5480" s="37">
        <v>3.9110999999999998</v>
      </c>
    </row>
    <row r="5481" spans="15:19" ht="15" x14ac:dyDescent="0.25">
      <c r="O5481"/>
      <c r="P5481"/>
      <c r="R5481" s="39">
        <v>37642</v>
      </c>
      <c r="S5481" s="37">
        <v>3.4032</v>
      </c>
    </row>
    <row r="5482" spans="15:19" ht="15" x14ac:dyDescent="0.25">
      <c r="O5482"/>
      <c r="P5482"/>
      <c r="R5482" s="39">
        <v>37641</v>
      </c>
      <c r="S5482" s="37">
        <v>3.3835000000000002</v>
      </c>
    </row>
    <row r="5483" spans="15:19" ht="15" x14ac:dyDescent="0.25">
      <c r="O5483"/>
      <c r="P5483"/>
      <c r="R5483" s="39">
        <v>37638</v>
      </c>
      <c r="S5483" s="37">
        <v>3.3719999999999999</v>
      </c>
    </row>
    <row r="5484" spans="15:19" ht="15" x14ac:dyDescent="0.25">
      <c r="O5484"/>
      <c r="P5484"/>
      <c r="R5484" s="39">
        <v>37637</v>
      </c>
      <c r="S5484" s="37">
        <v>3.4931000000000001</v>
      </c>
    </row>
    <row r="5485" spans="15:19" ht="15" x14ac:dyDescent="0.25">
      <c r="O5485"/>
      <c r="P5485"/>
      <c r="R5485" s="39">
        <v>37636</v>
      </c>
      <c r="S5485" s="37">
        <v>3.8772000000000002</v>
      </c>
    </row>
    <row r="5486" spans="15:19" ht="15" x14ac:dyDescent="0.25">
      <c r="O5486"/>
      <c r="P5486"/>
      <c r="R5486" s="39">
        <v>37635</v>
      </c>
      <c r="S5486" s="37">
        <v>4.2088000000000001</v>
      </c>
    </row>
    <row r="5487" spans="15:19" ht="15" x14ac:dyDescent="0.25">
      <c r="O5487"/>
      <c r="P5487"/>
      <c r="R5487" s="39">
        <v>37634</v>
      </c>
      <c r="S5487" s="37">
        <v>3.6876000000000002</v>
      </c>
    </row>
    <row r="5488" spans="15:19" ht="15" x14ac:dyDescent="0.25">
      <c r="O5488"/>
      <c r="P5488"/>
      <c r="R5488" s="39">
        <v>37631</v>
      </c>
      <c r="S5488" s="37">
        <v>4.1018999999999997</v>
      </c>
    </row>
    <row r="5489" spans="15:19" ht="15" x14ac:dyDescent="0.25">
      <c r="O5489"/>
      <c r="P5489"/>
      <c r="R5489" s="39">
        <v>37630</v>
      </c>
      <c r="S5489" s="37">
        <v>4.1468999999999996</v>
      </c>
    </row>
    <row r="5490" spans="15:19" ht="15" x14ac:dyDescent="0.25">
      <c r="O5490"/>
      <c r="P5490"/>
      <c r="R5490" s="39">
        <v>37629</v>
      </c>
      <c r="S5490" s="37">
        <v>3.8006000000000002</v>
      </c>
    </row>
    <row r="5491" spans="15:19" ht="15" x14ac:dyDescent="0.25">
      <c r="O5491"/>
      <c r="P5491"/>
      <c r="R5491" s="39">
        <v>37628</v>
      </c>
      <c r="S5491" s="37">
        <v>4.7026000000000003</v>
      </c>
    </row>
    <row r="5492" spans="15:19" ht="15" x14ac:dyDescent="0.25">
      <c r="O5492"/>
      <c r="P5492"/>
      <c r="R5492" s="39">
        <v>37627</v>
      </c>
      <c r="S5492" s="37">
        <v>4.4295</v>
      </c>
    </row>
    <row r="5493" spans="15:19" ht="15" x14ac:dyDescent="0.25">
      <c r="O5493"/>
      <c r="P5493"/>
      <c r="R5493" s="39">
        <v>37624</v>
      </c>
      <c r="S5493" s="37">
        <v>3.9901</v>
      </c>
    </row>
    <row r="5494" spans="15:19" ht="15" x14ac:dyDescent="0.25">
      <c r="O5494"/>
      <c r="P5494"/>
      <c r="R5494" s="39">
        <v>37623</v>
      </c>
      <c r="S5494" s="37">
        <v>4.7694000000000001</v>
      </c>
    </row>
    <row r="5495" spans="15:19" ht="15" x14ac:dyDescent="0.25">
      <c r="O5495"/>
      <c r="P5495"/>
      <c r="R5495" s="39">
        <v>37621</v>
      </c>
      <c r="S5495" s="37">
        <v>4.8239999999999998</v>
      </c>
    </row>
    <row r="5496" spans="15:19" ht="15" x14ac:dyDescent="0.25">
      <c r="O5496"/>
      <c r="P5496"/>
      <c r="R5496" s="39">
        <v>37620</v>
      </c>
      <c r="S5496" s="37">
        <v>4.8404999999999996</v>
      </c>
    </row>
    <row r="5497" spans="15:19" ht="15" x14ac:dyDescent="0.25">
      <c r="O5497"/>
      <c r="P5497"/>
      <c r="R5497" s="39">
        <v>37617</v>
      </c>
      <c r="S5497" s="37">
        <v>3.9531000000000001</v>
      </c>
    </row>
    <row r="5498" spans="15:19" ht="15" x14ac:dyDescent="0.25">
      <c r="O5498"/>
      <c r="P5498"/>
      <c r="R5498" s="39">
        <v>37614</v>
      </c>
      <c r="S5498" s="37">
        <v>4.4865000000000004</v>
      </c>
    </row>
    <row r="5499" spans="15:19" ht="15" x14ac:dyDescent="0.25">
      <c r="O5499"/>
      <c r="P5499"/>
      <c r="R5499" s="39">
        <v>37613</v>
      </c>
      <c r="S5499" s="37">
        <v>4.9379</v>
      </c>
    </row>
    <row r="5500" spans="15:19" ht="15" x14ac:dyDescent="0.25">
      <c r="O5500"/>
      <c r="P5500"/>
      <c r="R5500" s="39">
        <v>37610</v>
      </c>
      <c r="S5500" s="37">
        <v>4.5162000000000004</v>
      </c>
    </row>
    <row r="5501" spans="15:19" ht="15" x14ac:dyDescent="0.25">
      <c r="O5501"/>
      <c r="P5501"/>
      <c r="R5501" s="39">
        <v>37609</v>
      </c>
      <c r="S5501" s="37">
        <v>4.6905000000000001</v>
      </c>
    </row>
    <row r="5502" spans="15:19" ht="15" x14ac:dyDescent="0.25">
      <c r="O5502"/>
      <c r="P5502"/>
      <c r="R5502" s="39">
        <v>37608</v>
      </c>
      <c r="S5502" s="37">
        <v>4.7895000000000003</v>
      </c>
    </row>
    <row r="5503" spans="15:19" ht="15" x14ac:dyDescent="0.25">
      <c r="O5503"/>
      <c r="P5503"/>
      <c r="R5503" s="39">
        <v>37607</v>
      </c>
      <c r="S5503" s="37">
        <v>4.4428000000000001</v>
      </c>
    </row>
    <row r="5504" spans="15:19" ht="15" x14ac:dyDescent="0.25">
      <c r="O5504"/>
      <c r="P5504"/>
      <c r="R5504" s="39">
        <v>37606</v>
      </c>
      <c r="S5504" s="37">
        <v>4.5312999999999999</v>
      </c>
    </row>
    <row r="5505" spans="15:19" ht="15" x14ac:dyDescent="0.25">
      <c r="O5505"/>
      <c r="P5505"/>
      <c r="R5505" s="39">
        <v>37603</v>
      </c>
      <c r="S5505" s="37">
        <v>3.3077999999999999</v>
      </c>
    </row>
    <row r="5506" spans="15:19" ht="15" x14ac:dyDescent="0.25">
      <c r="O5506"/>
      <c r="P5506"/>
      <c r="R5506" s="39">
        <v>37602</v>
      </c>
      <c r="S5506" s="37">
        <v>3.3875999999999999</v>
      </c>
    </row>
    <row r="5507" spans="15:19" ht="15" x14ac:dyDescent="0.25">
      <c r="O5507"/>
      <c r="P5507"/>
      <c r="R5507" s="39">
        <v>37601</v>
      </c>
      <c r="S5507" s="37">
        <v>3.2831000000000001</v>
      </c>
    </row>
    <row r="5508" spans="15:19" ht="15" x14ac:dyDescent="0.25">
      <c r="O5508"/>
      <c r="P5508"/>
      <c r="R5508" s="39">
        <v>37600</v>
      </c>
      <c r="S5508" s="37">
        <v>4.0636999999999999</v>
      </c>
    </row>
    <row r="5509" spans="15:19" ht="15" x14ac:dyDescent="0.25">
      <c r="O5509"/>
      <c r="P5509"/>
      <c r="R5509" s="39">
        <v>37599</v>
      </c>
      <c r="S5509" s="37">
        <v>4.9010999999999996</v>
      </c>
    </row>
    <row r="5510" spans="15:19" ht="15" x14ac:dyDescent="0.25">
      <c r="O5510"/>
      <c r="P5510"/>
      <c r="R5510" s="39">
        <v>37596</v>
      </c>
      <c r="S5510" s="37">
        <v>4.6955999999999998</v>
      </c>
    </row>
    <row r="5511" spans="15:19" ht="15" x14ac:dyDescent="0.25">
      <c r="O5511"/>
      <c r="P5511"/>
      <c r="R5511" s="39">
        <v>37595</v>
      </c>
      <c r="S5511" s="37">
        <v>4.8071999999999999</v>
      </c>
    </row>
    <row r="5512" spans="15:19" ht="15" x14ac:dyDescent="0.25">
      <c r="O5512"/>
      <c r="P5512"/>
      <c r="R5512" s="39">
        <v>37594</v>
      </c>
      <c r="S5512" s="37">
        <v>4.5918999999999999</v>
      </c>
    </row>
    <row r="5513" spans="15:19" ht="15" x14ac:dyDescent="0.25">
      <c r="O5513"/>
      <c r="P5513"/>
      <c r="R5513" s="39">
        <v>37593</v>
      </c>
      <c r="S5513" s="37">
        <v>3.9832000000000001</v>
      </c>
    </row>
    <row r="5514" spans="15:19" ht="15" x14ac:dyDescent="0.25">
      <c r="O5514"/>
      <c r="P5514"/>
      <c r="R5514" s="39">
        <v>37592</v>
      </c>
      <c r="S5514" s="37">
        <v>4.8724999999999996</v>
      </c>
    </row>
    <row r="5515" spans="15:19" ht="15" x14ac:dyDescent="0.25">
      <c r="O5515"/>
      <c r="P5515"/>
      <c r="R5515" s="39">
        <v>37589</v>
      </c>
      <c r="S5515" s="37">
        <v>4.4397000000000002</v>
      </c>
    </row>
    <row r="5516" spans="15:19" ht="15" x14ac:dyDescent="0.25">
      <c r="O5516"/>
      <c r="P5516"/>
      <c r="R5516" s="39">
        <v>37588</v>
      </c>
      <c r="S5516" s="37">
        <v>3.9260999999999999</v>
      </c>
    </row>
    <row r="5517" spans="15:19" ht="15" x14ac:dyDescent="0.25">
      <c r="O5517"/>
      <c r="P5517"/>
      <c r="R5517" s="39">
        <v>37587</v>
      </c>
      <c r="S5517" s="37">
        <v>3.6598999999999999</v>
      </c>
    </row>
    <row r="5518" spans="15:19" ht="15" x14ac:dyDescent="0.25">
      <c r="O5518"/>
      <c r="P5518"/>
      <c r="R5518" s="39">
        <v>37586</v>
      </c>
      <c r="S5518" s="37">
        <v>3.2980999999999998</v>
      </c>
    </row>
    <row r="5519" spans="15:19" ht="15" x14ac:dyDescent="0.25">
      <c r="O5519"/>
      <c r="P5519"/>
      <c r="R5519" s="39">
        <v>37585</v>
      </c>
      <c r="S5519" s="37">
        <v>3.3157999999999999</v>
      </c>
    </row>
    <row r="5520" spans="15:19" ht="15" x14ac:dyDescent="0.25">
      <c r="O5520"/>
      <c r="P5520"/>
      <c r="R5520" s="39">
        <v>37582</v>
      </c>
      <c r="S5520" s="37">
        <v>3.2751000000000001</v>
      </c>
    </row>
    <row r="5521" spans="15:19" ht="15" x14ac:dyDescent="0.25">
      <c r="O5521"/>
      <c r="P5521"/>
      <c r="R5521" s="39">
        <v>37581</v>
      </c>
      <c r="S5521" s="37">
        <v>3.2722000000000002</v>
      </c>
    </row>
    <row r="5522" spans="15:19" ht="15" x14ac:dyDescent="0.25">
      <c r="O5522"/>
      <c r="P5522"/>
      <c r="R5522" s="39">
        <v>37580</v>
      </c>
      <c r="S5522" s="37">
        <v>3.2715000000000001</v>
      </c>
    </row>
    <row r="5523" spans="15:19" ht="15" x14ac:dyDescent="0.25">
      <c r="O5523"/>
      <c r="P5523"/>
      <c r="R5523" s="39">
        <v>37579</v>
      </c>
      <c r="S5523" s="37">
        <v>3.7446000000000002</v>
      </c>
    </row>
    <row r="5524" spans="15:19" ht="15" x14ac:dyDescent="0.25">
      <c r="O5524"/>
      <c r="P5524"/>
      <c r="R5524" s="39">
        <v>37578</v>
      </c>
      <c r="S5524" s="37">
        <v>4.7834000000000003</v>
      </c>
    </row>
    <row r="5525" spans="15:19" ht="15" x14ac:dyDescent="0.25">
      <c r="O5525"/>
      <c r="P5525"/>
      <c r="R5525" s="39">
        <v>37575</v>
      </c>
      <c r="S5525" s="37">
        <v>3.3344999999999998</v>
      </c>
    </row>
    <row r="5526" spans="15:19" ht="15" x14ac:dyDescent="0.25">
      <c r="O5526"/>
      <c r="P5526"/>
      <c r="R5526" s="39">
        <v>37574</v>
      </c>
      <c r="S5526" s="37">
        <v>4.0968999999999998</v>
      </c>
    </row>
    <row r="5527" spans="15:19" ht="15" x14ac:dyDescent="0.25">
      <c r="O5527"/>
      <c r="P5527"/>
      <c r="R5527" s="39">
        <v>37573</v>
      </c>
      <c r="S5527" s="37">
        <v>3.7219000000000002</v>
      </c>
    </row>
    <row r="5528" spans="15:19" ht="15" x14ac:dyDescent="0.25">
      <c r="O5528"/>
      <c r="P5528"/>
      <c r="R5528" s="39">
        <v>37572</v>
      </c>
      <c r="S5528" s="37">
        <v>3.5527000000000002</v>
      </c>
    </row>
    <row r="5529" spans="15:19" ht="15" x14ac:dyDescent="0.25">
      <c r="O5529"/>
      <c r="P5529"/>
      <c r="R5529" s="39">
        <v>37571</v>
      </c>
      <c r="S5529" s="37">
        <v>4.5457000000000001</v>
      </c>
    </row>
    <row r="5530" spans="15:19" ht="15" x14ac:dyDescent="0.25">
      <c r="O5530"/>
      <c r="P5530"/>
      <c r="R5530" s="39">
        <v>37568</v>
      </c>
      <c r="S5530" s="37">
        <v>4.1967999999999996</v>
      </c>
    </row>
    <row r="5531" spans="15:19" ht="15" x14ac:dyDescent="0.25">
      <c r="O5531"/>
      <c r="P5531"/>
      <c r="R5531" s="39">
        <v>37567</v>
      </c>
      <c r="S5531" s="37">
        <v>3.1871</v>
      </c>
    </row>
    <row r="5532" spans="15:19" ht="15" x14ac:dyDescent="0.25">
      <c r="O5532"/>
      <c r="P5532"/>
      <c r="R5532" s="39">
        <v>37566</v>
      </c>
      <c r="S5532" s="37">
        <v>3.2338</v>
      </c>
    </row>
    <row r="5533" spans="15:19" ht="15" x14ac:dyDescent="0.25">
      <c r="O5533"/>
      <c r="P5533"/>
      <c r="R5533" s="39">
        <v>37565</v>
      </c>
      <c r="S5533" s="37">
        <v>3.2458</v>
      </c>
    </row>
    <row r="5534" spans="15:19" ht="15" x14ac:dyDescent="0.25">
      <c r="O5534"/>
      <c r="P5534"/>
      <c r="R5534" s="39">
        <v>37564</v>
      </c>
      <c r="S5534" s="37">
        <v>3.3026</v>
      </c>
    </row>
    <row r="5535" spans="15:19" ht="15" x14ac:dyDescent="0.25">
      <c r="O5535"/>
      <c r="P5535"/>
      <c r="R5535" s="39">
        <v>37561</v>
      </c>
      <c r="S5535" s="37">
        <v>3.2898999999999998</v>
      </c>
    </row>
    <row r="5536" spans="15:19" ht="15" x14ac:dyDescent="0.25">
      <c r="O5536"/>
      <c r="P5536"/>
      <c r="R5536" s="39">
        <v>37560</v>
      </c>
      <c r="S5536" s="37">
        <v>3.4605999999999999</v>
      </c>
    </row>
    <row r="5537" spans="15:19" ht="15" x14ac:dyDescent="0.25">
      <c r="O5537"/>
      <c r="P5537"/>
      <c r="R5537" s="39">
        <v>37559</v>
      </c>
      <c r="S5537" s="37">
        <v>4.4283000000000001</v>
      </c>
    </row>
    <row r="5538" spans="15:19" ht="15" x14ac:dyDescent="0.25">
      <c r="O5538"/>
      <c r="P5538"/>
      <c r="R5538" s="39">
        <v>37558</v>
      </c>
      <c r="S5538" s="37">
        <v>3.7176</v>
      </c>
    </row>
    <row r="5539" spans="15:19" ht="15" x14ac:dyDescent="0.25">
      <c r="O5539"/>
      <c r="P5539"/>
      <c r="R5539" s="39">
        <v>37557</v>
      </c>
      <c r="S5539" s="37">
        <v>3.7414999999999998</v>
      </c>
    </row>
    <row r="5540" spans="15:19" ht="15" x14ac:dyDescent="0.25">
      <c r="O5540"/>
      <c r="P5540"/>
      <c r="R5540" s="39">
        <v>37554</v>
      </c>
      <c r="S5540" s="37">
        <v>3.7490000000000001</v>
      </c>
    </row>
    <row r="5541" spans="15:19" ht="15" x14ac:dyDescent="0.25">
      <c r="O5541"/>
      <c r="P5541"/>
      <c r="R5541" s="39">
        <v>37553</v>
      </c>
      <c r="S5541" s="37">
        <v>4.6515000000000004</v>
      </c>
    </row>
    <row r="5542" spans="15:19" ht="15" x14ac:dyDescent="0.25">
      <c r="O5542"/>
      <c r="P5542"/>
      <c r="R5542" s="39">
        <v>37552</v>
      </c>
      <c r="S5542" s="37">
        <v>4.5031999999999996</v>
      </c>
    </row>
    <row r="5543" spans="15:19" ht="15" x14ac:dyDescent="0.25">
      <c r="O5543"/>
      <c r="P5543"/>
      <c r="R5543" s="39">
        <v>37551</v>
      </c>
      <c r="S5543" s="37">
        <v>3.8504999999999998</v>
      </c>
    </row>
    <row r="5544" spans="15:19" ht="15" x14ac:dyDescent="0.25">
      <c r="O5544"/>
      <c r="P5544"/>
      <c r="R5544" s="39">
        <v>37550</v>
      </c>
      <c r="S5544" s="37">
        <v>4.8710000000000004</v>
      </c>
    </row>
    <row r="5545" spans="15:19" ht="15" x14ac:dyDescent="0.25">
      <c r="O5545"/>
      <c r="P5545"/>
      <c r="R5545" s="39">
        <v>37547</v>
      </c>
      <c r="S5545" s="37">
        <v>4.0209000000000001</v>
      </c>
    </row>
    <row r="5546" spans="15:19" ht="15" x14ac:dyDescent="0.25">
      <c r="O5546"/>
      <c r="P5546"/>
      <c r="R5546" s="39">
        <v>37546</v>
      </c>
      <c r="S5546" s="37">
        <v>4.8781999999999996</v>
      </c>
    </row>
    <row r="5547" spans="15:19" ht="15" x14ac:dyDescent="0.25">
      <c r="O5547"/>
      <c r="P5547"/>
      <c r="R5547" s="39">
        <v>37545</v>
      </c>
      <c r="S5547" s="37">
        <v>4.8166000000000002</v>
      </c>
    </row>
    <row r="5548" spans="15:19" ht="15" x14ac:dyDescent="0.25">
      <c r="O5548"/>
      <c r="P5548"/>
      <c r="R5548" s="39">
        <v>37544</v>
      </c>
      <c r="S5548" s="37">
        <v>4.8749000000000002</v>
      </c>
    </row>
    <row r="5549" spans="15:19" ht="15" x14ac:dyDescent="0.25">
      <c r="O5549"/>
      <c r="P5549"/>
      <c r="R5549" s="39">
        <v>37543</v>
      </c>
      <c r="S5549" s="37">
        <v>4.8537999999999997</v>
      </c>
    </row>
    <row r="5550" spans="15:19" ht="15" x14ac:dyDescent="0.25">
      <c r="O5550"/>
      <c r="P5550"/>
      <c r="R5550" s="39">
        <v>37540</v>
      </c>
      <c r="S5550" s="37">
        <v>4.3277000000000001</v>
      </c>
    </row>
    <row r="5551" spans="15:19" ht="15" x14ac:dyDescent="0.25">
      <c r="O5551"/>
      <c r="P5551"/>
      <c r="R5551" s="39">
        <v>37539</v>
      </c>
      <c r="S5551" s="37">
        <v>4.6414999999999997</v>
      </c>
    </row>
    <row r="5552" spans="15:19" ht="15" x14ac:dyDescent="0.25">
      <c r="O5552"/>
      <c r="P5552"/>
      <c r="R5552" s="39">
        <v>37538</v>
      </c>
      <c r="S5552" s="37">
        <v>3.5329999999999999</v>
      </c>
    </row>
    <row r="5553" spans="15:19" ht="15" x14ac:dyDescent="0.25">
      <c r="O5553"/>
      <c r="P5553"/>
      <c r="R5553" s="39">
        <v>37537</v>
      </c>
      <c r="S5553" s="37">
        <v>3.4691000000000001</v>
      </c>
    </row>
    <row r="5554" spans="15:19" ht="15" x14ac:dyDescent="0.25">
      <c r="O5554"/>
      <c r="P5554"/>
      <c r="R5554" s="39">
        <v>37536</v>
      </c>
      <c r="S5554" s="37">
        <v>3.9634</v>
      </c>
    </row>
    <row r="5555" spans="15:19" ht="15" x14ac:dyDescent="0.25">
      <c r="O5555"/>
      <c r="P5555"/>
      <c r="R5555" s="39">
        <v>37533</v>
      </c>
      <c r="S5555" s="37">
        <v>3.6970999999999998</v>
      </c>
    </row>
    <row r="5556" spans="15:19" ht="15" x14ac:dyDescent="0.25">
      <c r="O5556"/>
      <c r="P5556"/>
      <c r="R5556" s="39">
        <v>37532</v>
      </c>
      <c r="S5556" s="37">
        <v>3.3618999999999999</v>
      </c>
    </row>
    <row r="5557" spans="15:19" ht="15" x14ac:dyDescent="0.25">
      <c r="O5557"/>
      <c r="P5557"/>
      <c r="R5557" s="39">
        <v>37531</v>
      </c>
      <c r="S5557" s="37">
        <v>3.3256000000000001</v>
      </c>
    </row>
    <row r="5558" spans="15:19" ht="15" x14ac:dyDescent="0.25">
      <c r="O5558"/>
      <c r="P5558"/>
      <c r="R5558" s="39">
        <v>37530</v>
      </c>
      <c r="S5558" s="37">
        <v>3.2968999999999999</v>
      </c>
    </row>
    <row r="5559" spans="15:19" ht="15" x14ac:dyDescent="0.25">
      <c r="O5559"/>
      <c r="P5559"/>
      <c r="R5559" s="39">
        <v>37529</v>
      </c>
      <c r="S5559" s="37">
        <v>3.3923999999999999</v>
      </c>
    </row>
    <row r="5560" spans="15:19" ht="15" x14ac:dyDescent="0.25">
      <c r="O5560"/>
      <c r="P5560"/>
      <c r="R5560" s="39">
        <v>37526</v>
      </c>
      <c r="S5560" s="37">
        <v>3.3028</v>
      </c>
    </row>
    <row r="5561" spans="15:19" ht="15" x14ac:dyDescent="0.25">
      <c r="O5561"/>
      <c r="P5561"/>
      <c r="R5561" s="39">
        <v>37525</v>
      </c>
      <c r="S5561" s="37">
        <v>4.5576999999999996</v>
      </c>
    </row>
    <row r="5562" spans="15:19" ht="15" x14ac:dyDescent="0.25">
      <c r="O5562"/>
      <c r="P5562"/>
      <c r="R5562" s="39">
        <v>37524</v>
      </c>
      <c r="S5562" s="37">
        <v>4.5509000000000004</v>
      </c>
    </row>
    <row r="5563" spans="15:19" ht="15" x14ac:dyDescent="0.25">
      <c r="O5563"/>
      <c r="P5563"/>
      <c r="R5563" s="39">
        <v>37523</v>
      </c>
      <c r="S5563" s="37">
        <v>3.2728999999999999</v>
      </c>
    </row>
    <row r="5564" spans="15:19" ht="15" x14ac:dyDescent="0.25">
      <c r="O5564"/>
      <c r="P5564"/>
      <c r="R5564" s="39">
        <v>37522</v>
      </c>
      <c r="S5564" s="37">
        <v>3.2696999999999998</v>
      </c>
    </row>
    <row r="5565" spans="15:19" ht="15" x14ac:dyDescent="0.25">
      <c r="O5565"/>
      <c r="P5565"/>
      <c r="R5565" s="39">
        <v>37519</v>
      </c>
      <c r="S5565" s="37">
        <v>3.3018000000000001</v>
      </c>
    </row>
    <row r="5566" spans="15:19" ht="15" x14ac:dyDescent="0.25">
      <c r="O5566"/>
      <c r="P5566"/>
      <c r="R5566" s="39">
        <v>37518</v>
      </c>
      <c r="S5566" s="37">
        <v>3.8864000000000001</v>
      </c>
    </row>
    <row r="5567" spans="15:19" ht="15" x14ac:dyDescent="0.25">
      <c r="O5567"/>
      <c r="P5567"/>
      <c r="R5567" s="39">
        <v>37517</v>
      </c>
      <c r="S5567" s="37">
        <v>4.0850999999999997</v>
      </c>
    </row>
    <row r="5568" spans="15:19" ht="15" x14ac:dyDescent="0.25">
      <c r="O5568"/>
      <c r="P5568"/>
      <c r="R5568" s="39">
        <v>37516</v>
      </c>
      <c r="S5568" s="37">
        <v>3.6255999999999999</v>
      </c>
    </row>
    <row r="5569" spans="15:19" ht="15" x14ac:dyDescent="0.25">
      <c r="O5569"/>
      <c r="P5569"/>
      <c r="R5569" s="39">
        <v>37515</v>
      </c>
      <c r="S5569" s="37">
        <v>3.3965000000000001</v>
      </c>
    </row>
    <row r="5570" spans="15:19" ht="15" x14ac:dyDescent="0.25">
      <c r="O5570"/>
      <c r="P5570"/>
      <c r="R5570" s="39">
        <v>37512</v>
      </c>
      <c r="S5570" s="37">
        <v>3.3965999999999998</v>
      </c>
    </row>
    <row r="5571" spans="15:19" ht="15" x14ac:dyDescent="0.25">
      <c r="O5571"/>
      <c r="P5571"/>
      <c r="R5571" s="39">
        <v>37511</v>
      </c>
      <c r="S5571" s="37">
        <v>3.4279999999999999</v>
      </c>
    </row>
    <row r="5572" spans="15:19" ht="15" x14ac:dyDescent="0.25">
      <c r="O5572"/>
      <c r="P5572"/>
      <c r="R5572" s="39">
        <v>37510</v>
      </c>
      <c r="S5572" s="37">
        <v>3.8864000000000001</v>
      </c>
    </row>
    <row r="5573" spans="15:19" ht="15" x14ac:dyDescent="0.25">
      <c r="O5573"/>
      <c r="P5573"/>
      <c r="R5573" s="39">
        <v>37509</v>
      </c>
      <c r="S5573" s="37">
        <v>4.5026999999999999</v>
      </c>
    </row>
    <row r="5574" spans="15:19" ht="15" x14ac:dyDescent="0.25">
      <c r="O5574"/>
      <c r="P5574"/>
      <c r="R5574" s="39">
        <v>37508</v>
      </c>
      <c r="S5574" s="37">
        <v>4.5209999999999999</v>
      </c>
    </row>
    <row r="5575" spans="15:19" ht="15" x14ac:dyDescent="0.25">
      <c r="O5575"/>
      <c r="P5575"/>
      <c r="R5575" s="39">
        <v>37505</v>
      </c>
      <c r="S5575" s="37">
        <v>3.7507999999999999</v>
      </c>
    </row>
    <row r="5576" spans="15:19" ht="15" x14ac:dyDescent="0.25">
      <c r="O5576"/>
      <c r="P5576"/>
      <c r="R5576" s="39">
        <v>37504</v>
      </c>
      <c r="S5576" s="37">
        <v>4.5811000000000002</v>
      </c>
    </row>
    <row r="5577" spans="15:19" ht="15" x14ac:dyDescent="0.25">
      <c r="O5577"/>
      <c r="P5577"/>
      <c r="R5577" s="39">
        <v>37503</v>
      </c>
      <c r="S5577" s="37">
        <v>4.3734999999999999</v>
      </c>
    </row>
    <row r="5578" spans="15:19" ht="15" x14ac:dyDescent="0.25">
      <c r="O5578"/>
      <c r="P5578"/>
      <c r="R5578" s="39">
        <v>37502</v>
      </c>
      <c r="S5578" s="37">
        <v>3.7235</v>
      </c>
    </row>
    <row r="5579" spans="15:19" ht="15" x14ac:dyDescent="0.25">
      <c r="O5579"/>
      <c r="P5579"/>
      <c r="R5579" s="39">
        <v>37501</v>
      </c>
      <c r="S5579" s="37">
        <v>4.4880000000000004</v>
      </c>
    </row>
    <row r="5580" spans="15:19" ht="15" x14ac:dyDescent="0.25">
      <c r="O5580"/>
      <c r="P5580"/>
      <c r="R5580" s="39">
        <v>37498</v>
      </c>
      <c r="S5580" s="37">
        <v>4.3178000000000001</v>
      </c>
    </row>
    <row r="5581" spans="15:19" ht="15" x14ac:dyDescent="0.25">
      <c r="O5581"/>
      <c r="P5581"/>
      <c r="R5581" s="39">
        <v>37497</v>
      </c>
      <c r="S5581" s="37">
        <v>4.1634000000000002</v>
      </c>
    </row>
    <row r="5582" spans="15:19" ht="15" x14ac:dyDescent="0.25">
      <c r="O5582"/>
      <c r="P5582"/>
      <c r="R5582" s="39">
        <v>37496</v>
      </c>
      <c r="S5582" s="37">
        <v>3.835</v>
      </c>
    </row>
    <row r="5583" spans="15:19" ht="15" x14ac:dyDescent="0.25">
      <c r="O5583"/>
      <c r="P5583"/>
      <c r="R5583" s="39">
        <v>37495</v>
      </c>
      <c r="S5583" s="37">
        <v>4.1132999999999997</v>
      </c>
    </row>
    <row r="5584" spans="15:19" ht="15" x14ac:dyDescent="0.25">
      <c r="O5584"/>
      <c r="P5584"/>
      <c r="R5584" s="39">
        <v>37491</v>
      </c>
      <c r="S5584" s="37">
        <v>3.7797000000000001</v>
      </c>
    </row>
    <row r="5585" spans="15:19" ht="15" x14ac:dyDescent="0.25">
      <c r="O5585"/>
      <c r="P5585"/>
      <c r="R5585" s="39">
        <v>37490</v>
      </c>
      <c r="S5585" s="37">
        <v>4.5484999999999998</v>
      </c>
    </row>
    <row r="5586" spans="15:19" ht="15" x14ac:dyDescent="0.25">
      <c r="O5586"/>
      <c r="P5586"/>
      <c r="R5586" s="39">
        <v>37489</v>
      </c>
      <c r="S5586" s="37">
        <v>4.5850999999999997</v>
      </c>
    </row>
    <row r="5587" spans="15:19" ht="15" x14ac:dyDescent="0.25">
      <c r="O5587"/>
      <c r="P5587"/>
      <c r="R5587" s="39">
        <v>37488</v>
      </c>
      <c r="S5587" s="37">
        <v>4.0151000000000003</v>
      </c>
    </row>
    <row r="5588" spans="15:19" ht="15" x14ac:dyDescent="0.25">
      <c r="O5588"/>
      <c r="P5588"/>
      <c r="R5588" s="39">
        <v>37487</v>
      </c>
      <c r="S5588" s="37">
        <v>4.6734</v>
      </c>
    </row>
    <row r="5589" spans="15:19" ht="15" x14ac:dyDescent="0.25">
      <c r="O5589"/>
      <c r="P5589"/>
      <c r="R5589" s="39">
        <v>37484</v>
      </c>
      <c r="S5589" s="37">
        <v>3.3950999999999998</v>
      </c>
    </row>
    <row r="5590" spans="15:19" ht="15" x14ac:dyDescent="0.25">
      <c r="O5590"/>
      <c r="P5590"/>
      <c r="R5590" s="39">
        <v>37483</v>
      </c>
      <c r="S5590" s="37">
        <v>3.6334</v>
      </c>
    </row>
    <row r="5591" spans="15:19" ht="15" x14ac:dyDescent="0.25">
      <c r="O5591"/>
      <c r="P5591"/>
      <c r="R5591" s="39">
        <v>37482</v>
      </c>
      <c r="S5591" s="37">
        <v>3.5045000000000002</v>
      </c>
    </row>
    <row r="5592" spans="15:19" ht="15" x14ac:dyDescent="0.25">
      <c r="O5592"/>
      <c r="P5592"/>
      <c r="R5592" s="39">
        <v>37481</v>
      </c>
      <c r="S5592" s="37">
        <v>3.3736000000000002</v>
      </c>
    </row>
    <row r="5593" spans="15:19" ht="15" x14ac:dyDescent="0.25">
      <c r="O5593"/>
      <c r="P5593"/>
      <c r="R5593" s="39">
        <v>37480</v>
      </c>
      <c r="S5593" s="37">
        <v>3.7732999999999999</v>
      </c>
    </row>
    <row r="5594" spans="15:19" ht="15" x14ac:dyDescent="0.25">
      <c r="O5594"/>
      <c r="P5594"/>
      <c r="R5594" s="39">
        <v>37477</v>
      </c>
      <c r="S5594" s="37">
        <v>4.4505999999999997</v>
      </c>
    </row>
    <row r="5595" spans="15:19" ht="15" x14ac:dyDescent="0.25">
      <c r="O5595"/>
      <c r="P5595"/>
      <c r="R5595" s="39">
        <v>37476</v>
      </c>
      <c r="S5595" s="37">
        <v>3.8982000000000001</v>
      </c>
    </row>
    <row r="5596" spans="15:19" ht="15" x14ac:dyDescent="0.25">
      <c r="O5596"/>
      <c r="P5596"/>
      <c r="R5596" s="39">
        <v>37475</v>
      </c>
      <c r="S5596" s="37">
        <v>3.9336000000000002</v>
      </c>
    </row>
    <row r="5597" spans="15:19" ht="15" x14ac:dyDescent="0.25">
      <c r="O5597"/>
      <c r="P5597"/>
      <c r="R5597" s="39">
        <v>37474</v>
      </c>
      <c r="S5597" s="37">
        <v>4.609</v>
      </c>
    </row>
    <row r="5598" spans="15:19" ht="15" x14ac:dyDescent="0.25">
      <c r="O5598"/>
      <c r="P5598"/>
      <c r="R5598" s="39">
        <v>37473</v>
      </c>
      <c r="S5598" s="37">
        <v>4.7248999999999999</v>
      </c>
    </row>
    <row r="5599" spans="15:19" ht="15" x14ac:dyDescent="0.25">
      <c r="O5599"/>
      <c r="P5599"/>
      <c r="R5599" s="39">
        <v>37470</v>
      </c>
      <c r="S5599" s="37">
        <v>4.7881</v>
      </c>
    </row>
    <row r="5600" spans="15:19" ht="15" x14ac:dyDescent="0.25">
      <c r="O5600"/>
      <c r="P5600"/>
      <c r="R5600" s="39">
        <v>37469</v>
      </c>
      <c r="S5600" s="37">
        <v>4.7638999999999996</v>
      </c>
    </row>
    <row r="5601" spans="15:19" ht="15" x14ac:dyDescent="0.25">
      <c r="O5601"/>
      <c r="P5601"/>
      <c r="R5601" s="39">
        <v>37468</v>
      </c>
      <c r="S5601" s="37">
        <v>4.8133999999999997</v>
      </c>
    </row>
    <row r="5602" spans="15:19" ht="15" x14ac:dyDescent="0.25">
      <c r="O5602"/>
      <c r="P5602"/>
      <c r="R5602" s="39">
        <v>37467</v>
      </c>
      <c r="S5602" s="37">
        <v>4.6029</v>
      </c>
    </row>
    <row r="5603" spans="15:19" ht="15" x14ac:dyDescent="0.25">
      <c r="O5603"/>
      <c r="P5603"/>
      <c r="R5603" s="39">
        <v>37466</v>
      </c>
      <c r="S5603" s="37">
        <v>4.3600000000000003</v>
      </c>
    </row>
    <row r="5604" spans="15:19" ht="15" x14ac:dyDescent="0.25">
      <c r="O5604"/>
      <c r="P5604"/>
      <c r="R5604" s="39">
        <v>37463</v>
      </c>
      <c r="S5604" s="37">
        <v>3.3885999999999998</v>
      </c>
    </row>
    <row r="5605" spans="15:19" ht="15" x14ac:dyDescent="0.25">
      <c r="O5605"/>
      <c r="P5605"/>
      <c r="R5605" s="39">
        <v>37462</v>
      </c>
      <c r="S5605" s="37">
        <v>3.5337999999999998</v>
      </c>
    </row>
    <row r="5606" spans="15:19" ht="15" x14ac:dyDescent="0.25">
      <c r="O5606"/>
      <c r="P5606"/>
      <c r="R5606" s="39">
        <v>37461</v>
      </c>
      <c r="S5606" s="37">
        <v>3.5266000000000002</v>
      </c>
    </row>
    <row r="5607" spans="15:19" ht="15" x14ac:dyDescent="0.25">
      <c r="O5607"/>
      <c r="P5607"/>
      <c r="R5607" s="39">
        <v>37460</v>
      </c>
      <c r="S5607" s="37">
        <v>3.5573999999999999</v>
      </c>
    </row>
    <row r="5608" spans="15:19" ht="15" x14ac:dyDescent="0.25">
      <c r="O5608"/>
      <c r="P5608"/>
      <c r="R5608" s="39">
        <v>37459</v>
      </c>
      <c r="S5608" s="37">
        <v>3.8083999999999998</v>
      </c>
    </row>
    <row r="5609" spans="15:19" ht="15" x14ac:dyDescent="0.25">
      <c r="O5609"/>
      <c r="P5609"/>
      <c r="R5609" s="39">
        <v>37456</v>
      </c>
      <c r="S5609" s="37">
        <v>3.7599</v>
      </c>
    </row>
    <row r="5610" spans="15:19" ht="15" x14ac:dyDescent="0.25">
      <c r="O5610"/>
      <c r="P5610"/>
      <c r="R5610" s="39">
        <v>37455</v>
      </c>
      <c r="S5610" s="37">
        <v>3.3199000000000001</v>
      </c>
    </row>
    <row r="5611" spans="15:19" ht="15" x14ac:dyDescent="0.25">
      <c r="O5611"/>
      <c r="P5611"/>
      <c r="R5611" s="39">
        <v>37454</v>
      </c>
      <c r="S5611" s="37">
        <v>3.3715999999999999</v>
      </c>
    </row>
    <row r="5612" spans="15:19" ht="15" x14ac:dyDescent="0.25">
      <c r="O5612"/>
      <c r="P5612"/>
      <c r="R5612" s="39">
        <v>37453</v>
      </c>
      <c r="S5612" s="37">
        <v>4.2851999999999997</v>
      </c>
    </row>
    <row r="5613" spans="15:19" ht="15" x14ac:dyDescent="0.25">
      <c r="O5613"/>
      <c r="P5613"/>
      <c r="R5613" s="39">
        <v>37452</v>
      </c>
      <c r="S5613" s="37">
        <v>3.7928999999999999</v>
      </c>
    </row>
    <row r="5614" spans="15:19" ht="15" x14ac:dyDescent="0.25">
      <c r="O5614"/>
      <c r="P5614"/>
      <c r="R5614" s="39">
        <v>37449</v>
      </c>
      <c r="S5614" s="37">
        <v>3.2605</v>
      </c>
    </row>
    <row r="5615" spans="15:19" ht="15" x14ac:dyDescent="0.25">
      <c r="O5615"/>
      <c r="P5615"/>
      <c r="R5615" s="39">
        <v>37448</v>
      </c>
      <c r="S5615" s="37">
        <v>3.2522000000000002</v>
      </c>
    </row>
    <row r="5616" spans="15:19" ht="15" x14ac:dyDescent="0.25">
      <c r="O5616"/>
      <c r="P5616"/>
      <c r="R5616" s="39">
        <v>37447</v>
      </c>
      <c r="S5616" s="37">
        <v>3.2652999999999999</v>
      </c>
    </row>
    <row r="5617" spans="15:19" ht="15" x14ac:dyDescent="0.25">
      <c r="O5617"/>
      <c r="P5617"/>
      <c r="R5617" s="39">
        <v>37446</v>
      </c>
      <c r="S5617" s="37">
        <v>3.9003999999999999</v>
      </c>
    </row>
    <row r="5618" spans="15:19" ht="15" x14ac:dyDescent="0.25">
      <c r="O5618"/>
      <c r="P5618"/>
      <c r="R5618" s="39">
        <v>37445</v>
      </c>
      <c r="S5618" s="37">
        <v>4.6383999999999999</v>
      </c>
    </row>
    <row r="5619" spans="15:19" ht="15" x14ac:dyDescent="0.25">
      <c r="O5619"/>
      <c r="P5619"/>
      <c r="R5619" s="39">
        <v>37442</v>
      </c>
      <c r="S5619" s="37">
        <v>3.2671999999999999</v>
      </c>
    </row>
    <row r="5620" spans="15:19" ht="15" x14ac:dyDescent="0.25">
      <c r="O5620"/>
      <c r="P5620"/>
      <c r="R5620" s="39">
        <v>37441</v>
      </c>
      <c r="S5620" s="37">
        <v>4.0308999999999999</v>
      </c>
    </row>
    <row r="5621" spans="15:19" ht="15" x14ac:dyDescent="0.25">
      <c r="O5621"/>
      <c r="P5621"/>
      <c r="R5621" s="39">
        <v>37440</v>
      </c>
      <c r="S5621" s="37">
        <v>4.6936999999999998</v>
      </c>
    </row>
    <row r="5622" spans="15:19" ht="15" x14ac:dyDescent="0.25">
      <c r="O5622"/>
      <c r="P5622"/>
      <c r="R5622" s="39">
        <v>37439</v>
      </c>
      <c r="S5622" s="37">
        <v>4.4537000000000004</v>
      </c>
    </row>
    <row r="5623" spans="15:19" ht="15" x14ac:dyDescent="0.25">
      <c r="O5623"/>
      <c r="P5623"/>
      <c r="R5623" s="39">
        <v>37438</v>
      </c>
      <c r="S5623" s="37">
        <v>3.9203999999999999</v>
      </c>
    </row>
    <row r="5624" spans="15:19" ht="15" x14ac:dyDescent="0.25">
      <c r="O5624"/>
      <c r="P5624"/>
      <c r="R5624" s="39">
        <v>37435</v>
      </c>
      <c r="S5624" s="37">
        <v>3.3155999999999999</v>
      </c>
    </row>
    <row r="5625" spans="15:19" ht="15" x14ac:dyDescent="0.25">
      <c r="O5625"/>
      <c r="P5625"/>
      <c r="R5625" s="39">
        <v>37434</v>
      </c>
      <c r="S5625" s="37">
        <v>3.258</v>
      </c>
    </row>
    <row r="5626" spans="15:19" ht="15" x14ac:dyDescent="0.25">
      <c r="O5626"/>
      <c r="P5626"/>
      <c r="R5626" s="39">
        <v>37433</v>
      </c>
      <c r="S5626" s="37">
        <v>3.2610999999999999</v>
      </c>
    </row>
    <row r="5627" spans="15:19" ht="15" x14ac:dyDescent="0.25">
      <c r="O5627"/>
      <c r="P5627"/>
      <c r="R5627" s="39">
        <v>37432</v>
      </c>
      <c r="S5627" s="37">
        <v>3.2795000000000001</v>
      </c>
    </row>
    <row r="5628" spans="15:19" ht="15" x14ac:dyDescent="0.25">
      <c r="O5628"/>
      <c r="P5628"/>
      <c r="R5628" s="39">
        <v>37431</v>
      </c>
      <c r="S5628" s="37">
        <v>3.5531000000000001</v>
      </c>
    </row>
    <row r="5629" spans="15:19" ht="15" x14ac:dyDescent="0.25">
      <c r="O5629"/>
      <c r="P5629"/>
      <c r="R5629" s="39">
        <v>37428</v>
      </c>
      <c r="S5629" s="37">
        <v>3.3933</v>
      </c>
    </row>
    <row r="5630" spans="15:19" ht="15" x14ac:dyDescent="0.25">
      <c r="O5630"/>
      <c r="P5630"/>
      <c r="R5630" s="39">
        <v>37427</v>
      </c>
      <c r="S5630" s="37">
        <v>4.298</v>
      </c>
    </row>
    <row r="5631" spans="15:19" ht="15" x14ac:dyDescent="0.25">
      <c r="O5631"/>
      <c r="P5631"/>
      <c r="R5631" s="39">
        <v>37426</v>
      </c>
      <c r="S5631" s="37">
        <v>3.9253999999999998</v>
      </c>
    </row>
    <row r="5632" spans="15:19" ht="15" x14ac:dyDescent="0.25">
      <c r="O5632"/>
      <c r="P5632"/>
      <c r="R5632" s="39">
        <v>37425</v>
      </c>
      <c r="S5632" s="37">
        <v>3.5762</v>
      </c>
    </row>
    <row r="5633" spans="15:19" ht="15" x14ac:dyDescent="0.25">
      <c r="O5633"/>
      <c r="P5633"/>
      <c r="R5633" s="39">
        <v>37424</v>
      </c>
      <c r="S5633" s="37">
        <v>3.2791999999999999</v>
      </c>
    </row>
    <row r="5634" spans="15:19" ht="15" x14ac:dyDescent="0.25">
      <c r="O5634"/>
      <c r="P5634"/>
      <c r="R5634" s="39">
        <v>37421</v>
      </c>
      <c r="S5634" s="37">
        <v>3.2115</v>
      </c>
    </row>
    <row r="5635" spans="15:19" ht="15" x14ac:dyDescent="0.25">
      <c r="O5635"/>
      <c r="P5635"/>
      <c r="R5635" s="39">
        <v>37420</v>
      </c>
      <c r="S5635" s="37">
        <v>3.2545000000000002</v>
      </c>
    </row>
    <row r="5636" spans="15:19" ht="15" x14ac:dyDescent="0.25">
      <c r="O5636"/>
      <c r="P5636"/>
      <c r="R5636" s="39">
        <v>37419</v>
      </c>
      <c r="S5636" s="37">
        <v>3.2326000000000001</v>
      </c>
    </row>
    <row r="5637" spans="15:19" ht="15" x14ac:dyDescent="0.25">
      <c r="O5637"/>
      <c r="P5637"/>
      <c r="R5637" s="39">
        <v>37418</v>
      </c>
      <c r="S5637" s="37">
        <v>3.2357999999999998</v>
      </c>
    </row>
    <row r="5638" spans="15:19" ht="15" x14ac:dyDescent="0.25">
      <c r="O5638"/>
      <c r="P5638"/>
      <c r="R5638" s="39">
        <v>37417</v>
      </c>
      <c r="S5638" s="37">
        <v>3.2978000000000001</v>
      </c>
    </row>
    <row r="5639" spans="15:19" ht="15" x14ac:dyDescent="0.25">
      <c r="O5639"/>
      <c r="P5639"/>
      <c r="R5639" s="39">
        <v>37414</v>
      </c>
      <c r="S5639" s="37">
        <v>3.3262999999999998</v>
      </c>
    </row>
    <row r="5640" spans="15:19" ht="15" x14ac:dyDescent="0.25">
      <c r="O5640"/>
      <c r="P5640"/>
      <c r="R5640" s="39">
        <v>37413</v>
      </c>
      <c r="S5640" s="37">
        <v>4.2295999999999996</v>
      </c>
    </row>
    <row r="5641" spans="15:19" ht="15" x14ac:dyDescent="0.25">
      <c r="O5641"/>
      <c r="P5641"/>
      <c r="R5641" s="39">
        <v>37412</v>
      </c>
      <c r="S5641" s="37">
        <v>4.0829000000000004</v>
      </c>
    </row>
    <row r="5642" spans="15:19" ht="15" x14ac:dyDescent="0.25">
      <c r="O5642"/>
      <c r="P5642"/>
      <c r="R5642" s="39">
        <v>37407</v>
      </c>
      <c r="S5642" s="37">
        <v>3.9980000000000002</v>
      </c>
    </row>
    <row r="5643" spans="15:19" ht="15" x14ac:dyDescent="0.25">
      <c r="O5643"/>
      <c r="P5643"/>
      <c r="R5643" s="39">
        <v>37406</v>
      </c>
      <c r="S5643" s="37">
        <v>4.9915000000000003</v>
      </c>
    </row>
    <row r="5644" spans="15:19" ht="15" x14ac:dyDescent="0.25">
      <c r="O5644"/>
      <c r="P5644"/>
      <c r="R5644" s="39">
        <v>37405</v>
      </c>
      <c r="S5644" s="37">
        <v>4.9212999999999996</v>
      </c>
    </row>
    <row r="5645" spans="15:19" ht="15" x14ac:dyDescent="0.25">
      <c r="O5645"/>
      <c r="P5645"/>
      <c r="R5645" s="39">
        <v>37404</v>
      </c>
      <c r="S5645" s="37">
        <v>4.9337</v>
      </c>
    </row>
    <row r="5646" spans="15:19" ht="15" x14ac:dyDescent="0.25">
      <c r="O5646"/>
      <c r="P5646"/>
      <c r="R5646" s="39">
        <v>37403</v>
      </c>
      <c r="S5646" s="37">
        <v>4.9043000000000001</v>
      </c>
    </row>
    <row r="5647" spans="15:19" ht="15" x14ac:dyDescent="0.25">
      <c r="O5647"/>
      <c r="P5647"/>
      <c r="R5647" s="39">
        <v>37400</v>
      </c>
      <c r="S5647" s="37">
        <v>4.3432000000000004</v>
      </c>
    </row>
    <row r="5648" spans="15:19" ht="15" x14ac:dyDescent="0.25">
      <c r="O5648"/>
      <c r="P5648"/>
      <c r="R5648" s="39">
        <v>37399</v>
      </c>
      <c r="S5648" s="37">
        <v>3.3936999999999999</v>
      </c>
    </row>
    <row r="5649" spans="15:19" ht="15" x14ac:dyDescent="0.25">
      <c r="O5649"/>
      <c r="P5649"/>
      <c r="R5649" s="39">
        <v>37398</v>
      </c>
      <c r="S5649" s="37">
        <v>3.4169</v>
      </c>
    </row>
    <row r="5650" spans="15:19" ht="15" x14ac:dyDescent="0.25">
      <c r="O5650"/>
      <c r="P5650"/>
      <c r="R5650" s="39">
        <v>37397</v>
      </c>
      <c r="S5650" s="37">
        <v>3.4925000000000002</v>
      </c>
    </row>
    <row r="5651" spans="15:19" ht="15" x14ac:dyDescent="0.25">
      <c r="O5651"/>
      <c r="P5651"/>
      <c r="R5651" s="39">
        <v>37396</v>
      </c>
      <c r="S5651" s="37">
        <v>4.4653999999999998</v>
      </c>
    </row>
    <row r="5652" spans="15:19" ht="15" x14ac:dyDescent="0.25">
      <c r="O5652"/>
      <c r="P5652"/>
      <c r="R5652" s="39">
        <v>37393</v>
      </c>
      <c r="S5652" s="37">
        <v>4.2572000000000001</v>
      </c>
    </row>
    <row r="5653" spans="15:19" ht="15" x14ac:dyDescent="0.25">
      <c r="O5653"/>
      <c r="P5653"/>
      <c r="R5653" s="39">
        <v>37392</v>
      </c>
      <c r="S5653" s="37">
        <v>3.9325000000000001</v>
      </c>
    </row>
    <row r="5654" spans="15:19" ht="15" x14ac:dyDescent="0.25">
      <c r="O5654"/>
      <c r="P5654"/>
      <c r="R5654" s="39">
        <v>37391</v>
      </c>
      <c r="S5654" s="37">
        <v>3.5001000000000002</v>
      </c>
    </row>
    <row r="5655" spans="15:19" ht="15" x14ac:dyDescent="0.25">
      <c r="O5655"/>
      <c r="P5655"/>
      <c r="R5655" s="39">
        <v>37390</v>
      </c>
      <c r="S5655" s="37">
        <v>3.9569000000000001</v>
      </c>
    </row>
    <row r="5656" spans="15:19" ht="15" x14ac:dyDescent="0.25">
      <c r="O5656"/>
      <c r="P5656"/>
      <c r="R5656" s="39">
        <v>37389</v>
      </c>
      <c r="S5656" s="37">
        <v>3.5213000000000001</v>
      </c>
    </row>
    <row r="5657" spans="15:19" ht="15" x14ac:dyDescent="0.25">
      <c r="O5657"/>
      <c r="P5657"/>
      <c r="R5657" s="39">
        <v>37386</v>
      </c>
      <c r="S5657" s="37">
        <v>3.5691000000000002</v>
      </c>
    </row>
    <row r="5658" spans="15:19" ht="15" x14ac:dyDescent="0.25">
      <c r="O5658"/>
      <c r="P5658"/>
      <c r="R5658" s="39">
        <v>37385</v>
      </c>
      <c r="S5658" s="37">
        <v>3.7349999999999999</v>
      </c>
    </row>
    <row r="5659" spans="15:19" ht="15" x14ac:dyDescent="0.25">
      <c r="O5659"/>
      <c r="P5659"/>
      <c r="R5659" s="39">
        <v>37384</v>
      </c>
      <c r="S5659" s="37">
        <v>3.3662999999999998</v>
      </c>
    </row>
    <row r="5660" spans="15:19" ht="15" x14ac:dyDescent="0.25">
      <c r="O5660"/>
      <c r="P5660"/>
      <c r="R5660" s="39">
        <v>37383</v>
      </c>
      <c r="S5660" s="37">
        <v>3.3904999999999998</v>
      </c>
    </row>
    <row r="5661" spans="15:19" ht="15" x14ac:dyDescent="0.25">
      <c r="O5661"/>
      <c r="P5661"/>
      <c r="R5661" s="39">
        <v>37379</v>
      </c>
      <c r="S5661" s="37">
        <v>3.4156</v>
      </c>
    </row>
    <row r="5662" spans="15:19" ht="15" x14ac:dyDescent="0.25">
      <c r="O5662"/>
      <c r="P5662"/>
      <c r="R5662" s="39">
        <v>37378</v>
      </c>
      <c r="S5662" s="37">
        <v>3.4508999999999999</v>
      </c>
    </row>
    <row r="5663" spans="15:19" ht="15" x14ac:dyDescent="0.25">
      <c r="O5663"/>
      <c r="P5663"/>
      <c r="R5663" s="39">
        <v>37377</v>
      </c>
      <c r="S5663" s="37">
        <v>3.4443999999999999</v>
      </c>
    </row>
    <row r="5664" spans="15:19" ht="15" x14ac:dyDescent="0.25">
      <c r="O5664"/>
      <c r="P5664"/>
      <c r="R5664" s="39">
        <v>37376</v>
      </c>
      <c r="S5664" s="37">
        <v>4.8749000000000002</v>
      </c>
    </row>
    <row r="5665" spans="15:19" ht="15" x14ac:dyDescent="0.25">
      <c r="O5665"/>
      <c r="P5665"/>
      <c r="R5665" s="39">
        <v>37375</v>
      </c>
      <c r="S5665" s="37">
        <v>4.7896999999999998</v>
      </c>
    </row>
    <row r="5666" spans="15:19" ht="15" x14ac:dyDescent="0.25">
      <c r="O5666"/>
      <c r="P5666"/>
      <c r="R5666" s="39">
        <v>37372</v>
      </c>
      <c r="S5666" s="37">
        <v>4.3083999999999998</v>
      </c>
    </row>
    <row r="5667" spans="15:19" ht="15" x14ac:dyDescent="0.25">
      <c r="O5667"/>
      <c r="P5667"/>
      <c r="R5667" s="39">
        <v>37371</v>
      </c>
      <c r="S5667" s="37">
        <v>4.5266000000000002</v>
      </c>
    </row>
    <row r="5668" spans="15:19" ht="15" x14ac:dyDescent="0.25">
      <c r="O5668"/>
      <c r="P5668"/>
      <c r="R5668" s="39">
        <v>37370</v>
      </c>
      <c r="S5668" s="37">
        <v>3.5066999999999999</v>
      </c>
    </row>
    <row r="5669" spans="15:19" ht="15" x14ac:dyDescent="0.25">
      <c r="O5669"/>
      <c r="P5669"/>
      <c r="R5669" s="39">
        <v>37369</v>
      </c>
      <c r="S5669" s="37">
        <v>3.5653000000000001</v>
      </c>
    </row>
    <row r="5670" spans="15:19" ht="15" x14ac:dyDescent="0.25">
      <c r="O5670"/>
      <c r="P5670"/>
      <c r="R5670" s="39">
        <v>37368</v>
      </c>
      <c r="S5670" s="37">
        <v>3.6764000000000001</v>
      </c>
    </row>
    <row r="5671" spans="15:19" ht="15" x14ac:dyDescent="0.25">
      <c r="O5671"/>
      <c r="P5671"/>
      <c r="R5671" s="39">
        <v>37365</v>
      </c>
      <c r="S5671" s="37">
        <v>3.3816000000000002</v>
      </c>
    </row>
    <row r="5672" spans="15:19" ht="15" x14ac:dyDescent="0.25">
      <c r="O5672"/>
      <c r="P5672"/>
      <c r="R5672" s="39">
        <v>37364</v>
      </c>
      <c r="S5672" s="37">
        <v>3.3866000000000001</v>
      </c>
    </row>
    <row r="5673" spans="15:19" ht="15" x14ac:dyDescent="0.25">
      <c r="O5673"/>
      <c r="P5673"/>
      <c r="R5673" s="39">
        <v>37363</v>
      </c>
      <c r="S5673" s="37">
        <v>3.5122</v>
      </c>
    </row>
    <row r="5674" spans="15:19" ht="15" x14ac:dyDescent="0.25">
      <c r="O5674"/>
      <c r="P5674"/>
      <c r="R5674" s="39">
        <v>37362</v>
      </c>
      <c r="S5674" s="37">
        <v>3.4472999999999998</v>
      </c>
    </row>
    <row r="5675" spans="15:19" ht="15" x14ac:dyDescent="0.25">
      <c r="O5675"/>
      <c r="P5675"/>
      <c r="R5675" s="39">
        <v>37361</v>
      </c>
      <c r="S5675" s="37">
        <v>3.3999000000000001</v>
      </c>
    </row>
    <row r="5676" spans="15:19" ht="15" x14ac:dyDescent="0.25">
      <c r="O5676"/>
      <c r="P5676"/>
      <c r="R5676" s="39">
        <v>37358</v>
      </c>
      <c r="S5676" s="37">
        <v>3.2134</v>
      </c>
    </row>
    <row r="5677" spans="15:19" ht="15" x14ac:dyDescent="0.25">
      <c r="O5677"/>
      <c r="P5677"/>
      <c r="R5677" s="39">
        <v>37357</v>
      </c>
      <c r="S5677" s="37">
        <v>3.2225000000000001</v>
      </c>
    </row>
    <row r="5678" spans="15:19" ht="15" x14ac:dyDescent="0.25">
      <c r="O5678"/>
      <c r="P5678"/>
      <c r="R5678" s="39">
        <v>37356</v>
      </c>
      <c r="S5678" s="37">
        <v>3.2732000000000001</v>
      </c>
    </row>
    <row r="5679" spans="15:19" ht="15" x14ac:dyDescent="0.25">
      <c r="O5679"/>
      <c r="P5679"/>
      <c r="R5679" s="39">
        <v>37355</v>
      </c>
      <c r="S5679" s="37">
        <v>4.5335999999999999</v>
      </c>
    </row>
    <row r="5680" spans="15:19" ht="15" x14ac:dyDescent="0.25">
      <c r="O5680"/>
      <c r="P5680"/>
      <c r="R5680" s="39">
        <v>37354</v>
      </c>
      <c r="S5680" s="37">
        <v>3.3176000000000001</v>
      </c>
    </row>
    <row r="5681" spans="15:19" ht="15" x14ac:dyDescent="0.25">
      <c r="O5681"/>
      <c r="P5681"/>
      <c r="R5681" s="39">
        <v>37351</v>
      </c>
      <c r="S5681" s="37">
        <v>3.3479999999999999</v>
      </c>
    </row>
    <row r="5682" spans="15:19" ht="15" x14ac:dyDescent="0.25">
      <c r="O5682"/>
      <c r="P5682"/>
      <c r="R5682" s="39">
        <v>37350</v>
      </c>
      <c r="S5682" s="37">
        <v>4.3765999999999998</v>
      </c>
    </row>
    <row r="5683" spans="15:19" ht="15" x14ac:dyDescent="0.25">
      <c r="O5683"/>
      <c r="P5683"/>
      <c r="R5683" s="39">
        <v>37349</v>
      </c>
      <c r="S5683" s="37">
        <v>3.6757</v>
      </c>
    </row>
    <row r="5684" spans="15:19" ht="15" x14ac:dyDescent="0.25">
      <c r="O5684"/>
      <c r="P5684"/>
      <c r="R5684" s="39">
        <v>37348</v>
      </c>
      <c r="S5684" s="37">
        <v>3.4548999999999999</v>
      </c>
    </row>
    <row r="5685" spans="15:19" ht="15" x14ac:dyDescent="0.25">
      <c r="O5685"/>
      <c r="P5685"/>
      <c r="R5685" s="39">
        <v>37343</v>
      </c>
      <c r="S5685" s="37">
        <v>3.2728000000000002</v>
      </c>
    </row>
    <row r="5686" spans="15:19" ht="15" x14ac:dyDescent="0.25">
      <c r="O5686"/>
      <c r="P5686"/>
      <c r="R5686" s="39">
        <v>37342</v>
      </c>
      <c r="S5686" s="37">
        <v>3.3603999999999998</v>
      </c>
    </row>
    <row r="5687" spans="15:19" ht="15" x14ac:dyDescent="0.25">
      <c r="O5687"/>
      <c r="P5687"/>
      <c r="R5687" s="39">
        <v>37341</v>
      </c>
      <c r="S5687" s="37">
        <v>4.1104000000000003</v>
      </c>
    </row>
    <row r="5688" spans="15:19" ht="15" x14ac:dyDescent="0.25">
      <c r="O5688"/>
      <c r="P5688"/>
      <c r="R5688" s="39">
        <v>37340</v>
      </c>
      <c r="S5688" s="37">
        <v>4.9108000000000001</v>
      </c>
    </row>
    <row r="5689" spans="15:19" ht="15" x14ac:dyDescent="0.25">
      <c r="O5689"/>
      <c r="P5689"/>
      <c r="R5689" s="39">
        <v>37337</v>
      </c>
      <c r="S5689" s="37">
        <v>4.6452999999999998</v>
      </c>
    </row>
    <row r="5690" spans="15:19" ht="15" x14ac:dyDescent="0.25">
      <c r="O5690"/>
      <c r="P5690"/>
      <c r="R5690" s="39">
        <v>37336</v>
      </c>
      <c r="S5690" s="37">
        <v>4.3285999999999998</v>
      </c>
    </row>
    <row r="5691" spans="15:19" ht="15" x14ac:dyDescent="0.25">
      <c r="O5691"/>
      <c r="P5691"/>
      <c r="R5691" s="39">
        <v>37335</v>
      </c>
      <c r="S5691" s="37">
        <v>4.3894000000000002</v>
      </c>
    </row>
    <row r="5692" spans="15:19" ht="15" x14ac:dyDescent="0.25">
      <c r="O5692"/>
      <c r="P5692"/>
      <c r="R5692" s="39">
        <v>37334</v>
      </c>
      <c r="S5692" s="37">
        <v>4.1204000000000001</v>
      </c>
    </row>
    <row r="5693" spans="15:19" ht="15" x14ac:dyDescent="0.25">
      <c r="O5693"/>
      <c r="P5693"/>
      <c r="R5693" s="39">
        <v>37333</v>
      </c>
      <c r="S5693" s="37">
        <v>3.9175</v>
      </c>
    </row>
    <row r="5694" spans="15:19" ht="15" x14ac:dyDescent="0.25">
      <c r="O5694"/>
      <c r="P5694"/>
      <c r="R5694" s="39">
        <v>37330</v>
      </c>
      <c r="S5694" s="37">
        <v>4.0114000000000001</v>
      </c>
    </row>
    <row r="5695" spans="15:19" ht="15" x14ac:dyDescent="0.25">
      <c r="O5695"/>
      <c r="P5695"/>
      <c r="R5695" s="39">
        <v>37329</v>
      </c>
      <c r="S5695" s="37">
        <v>3.4308000000000001</v>
      </c>
    </row>
    <row r="5696" spans="15:19" ht="15" x14ac:dyDescent="0.25">
      <c r="O5696"/>
      <c r="P5696"/>
      <c r="R5696" s="39">
        <v>37328</v>
      </c>
      <c r="S5696" s="37">
        <v>3.6212</v>
      </c>
    </row>
    <row r="5697" spans="15:19" ht="15" x14ac:dyDescent="0.25">
      <c r="O5697"/>
      <c r="P5697"/>
      <c r="R5697" s="39">
        <v>37327</v>
      </c>
      <c r="S5697" s="37">
        <v>3.6926000000000001</v>
      </c>
    </row>
    <row r="5698" spans="15:19" ht="15" x14ac:dyDescent="0.25">
      <c r="O5698"/>
      <c r="P5698"/>
      <c r="R5698" s="39">
        <v>37326</v>
      </c>
      <c r="S5698" s="37">
        <v>4.3010000000000002</v>
      </c>
    </row>
    <row r="5699" spans="15:19" ht="15" x14ac:dyDescent="0.25">
      <c r="O5699"/>
      <c r="P5699"/>
      <c r="R5699" s="39">
        <v>37323</v>
      </c>
      <c r="S5699" s="37">
        <v>3.6362999999999999</v>
      </c>
    </row>
    <row r="5700" spans="15:19" ht="15" x14ac:dyDescent="0.25">
      <c r="O5700"/>
      <c r="P5700"/>
      <c r="R5700" s="39">
        <v>37322</v>
      </c>
      <c r="S5700" s="37">
        <v>3.4683000000000002</v>
      </c>
    </row>
    <row r="5701" spans="15:19" ht="15" x14ac:dyDescent="0.25">
      <c r="O5701"/>
      <c r="P5701"/>
      <c r="R5701" s="39">
        <v>37321</v>
      </c>
      <c r="S5701" s="37">
        <v>3.8875000000000002</v>
      </c>
    </row>
    <row r="5702" spans="15:19" ht="15" x14ac:dyDescent="0.25">
      <c r="O5702"/>
      <c r="P5702"/>
      <c r="R5702" s="39">
        <v>37320</v>
      </c>
      <c r="S5702" s="37">
        <v>4.8627000000000002</v>
      </c>
    </row>
    <row r="5703" spans="15:19" ht="15" x14ac:dyDescent="0.25">
      <c r="O5703"/>
      <c r="P5703"/>
      <c r="R5703" s="39">
        <v>37319</v>
      </c>
      <c r="S5703" s="37">
        <v>4.8666999999999998</v>
      </c>
    </row>
    <row r="5704" spans="15:19" ht="15" x14ac:dyDescent="0.25">
      <c r="O5704"/>
      <c r="P5704"/>
      <c r="R5704" s="39">
        <v>37316</v>
      </c>
      <c r="S5704" s="37">
        <v>4.0288000000000004</v>
      </c>
    </row>
    <row r="5705" spans="15:19" ht="15" x14ac:dyDescent="0.25">
      <c r="O5705"/>
      <c r="P5705"/>
      <c r="R5705" s="39">
        <v>37315</v>
      </c>
      <c r="S5705" s="37">
        <v>4.0151000000000003</v>
      </c>
    </row>
    <row r="5706" spans="15:19" ht="15" x14ac:dyDescent="0.25">
      <c r="O5706"/>
      <c r="P5706"/>
      <c r="R5706" s="39">
        <v>37314</v>
      </c>
      <c r="S5706" s="37">
        <v>3.8203</v>
      </c>
    </row>
    <row r="5707" spans="15:19" ht="15" x14ac:dyDescent="0.25">
      <c r="O5707"/>
      <c r="P5707"/>
      <c r="R5707" s="39">
        <v>37313</v>
      </c>
      <c r="S5707" s="37">
        <v>4.7941000000000003</v>
      </c>
    </row>
    <row r="5708" spans="15:19" ht="15" x14ac:dyDescent="0.25">
      <c r="O5708"/>
      <c r="P5708"/>
      <c r="R5708" s="39">
        <v>37312</v>
      </c>
      <c r="S5708" s="37">
        <v>4.8498000000000001</v>
      </c>
    </row>
    <row r="5709" spans="15:19" ht="15" x14ac:dyDescent="0.25">
      <c r="O5709"/>
      <c r="P5709"/>
      <c r="R5709" s="39">
        <v>37309</v>
      </c>
      <c r="S5709" s="37">
        <v>4.5534999999999997</v>
      </c>
    </row>
    <row r="5710" spans="15:19" ht="15" x14ac:dyDescent="0.25">
      <c r="O5710"/>
      <c r="P5710"/>
      <c r="R5710" s="39">
        <v>37308</v>
      </c>
      <c r="S5710" s="37">
        <v>4.2984999999999998</v>
      </c>
    </row>
    <row r="5711" spans="15:19" ht="15" x14ac:dyDescent="0.25">
      <c r="O5711"/>
      <c r="P5711"/>
      <c r="R5711" s="39">
        <v>37307</v>
      </c>
      <c r="S5711" s="37">
        <v>3.7427999999999999</v>
      </c>
    </row>
    <row r="5712" spans="15:19" ht="15" x14ac:dyDescent="0.25">
      <c r="O5712"/>
      <c r="P5712"/>
      <c r="R5712" s="39">
        <v>37306</v>
      </c>
      <c r="S5712" s="37">
        <v>4.4486999999999997</v>
      </c>
    </row>
    <row r="5713" spans="15:19" ht="15" x14ac:dyDescent="0.25">
      <c r="O5713"/>
      <c r="P5713"/>
      <c r="R5713" s="39">
        <v>37305</v>
      </c>
      <c r="S5713" s="37">
        <v>3.524</v>
      </c>
    </row>
    <row r="5714" spans="15:19" ht="15" x14ac:dyDescent="0.25">
      <c r="O5714"/>
      <c r="P5714"/>
      <c r="R5714" s="39">
        <v>37302</v>
      </c>
      <c r="S5714" s="37">
        <v>3.2524999999999999</v>
      </c>
    </row>
    <row r="5715" spans="15:19" ht="15" x14ac:dyDescent="0.25">
      <c r="O5715"/>
      <c r="P5715"/>
      <c r="R5715" s="39">
        <v>37301</v>
      </c>
      <c r="S5715" s="37">
        <v>3.2406999999999999</v>
      </c>
    </row>
    <row r="5716" spans="15:19" ht="15" x14ac:dyDescent="0.25">
      <c r="O5716"/>
      <c r="P5716"/>
      <c r="R5716" s="39">
        <v>37300</v>
      </c>
      <c r="S5716" s="37">
        <v>3.4342000000000001</v>
      </c>
    </row>
    <row r="5717" spans="15:19" ht="15" x14ac:dyDescent="0.25">
      <c r="O5717"/>
      <c r="P5717"/>
      <c r="R5717" s="39">
        <v>37299</v>
      </c>
      <c r="S5717" s="37">
        <v>4.5895999999999999</v>
      </c>
    </row>
    <row r="5718" spans="15:19" ht="15" x14ac:dyDescent="0.25">
      <c r="O5718"/>
      <c r="P5718"/>
      <c r="R5718" s="39">
        <v>37298</v>
      </c>
      <c r="S5718" s="37">
        <v>4.8021000000000003</v>
      </c>
    </row>
    <row r="5719" spans="15:19" ht="15" x14ac:dyDescent="0.25">
      <c r="O5719"/>
      <c r="P5719"/>
      <c r="R5719" s="39">
        <v>37295</v>
      </c>
      <c r="S5719" s="37">
        <v>3.343</v>
      </c>
    </row>
    <row r="5720" spans="15:19" ht="15" x14ac:dyDescent="0.25">
      <c r="O5720"/>
      <c r="P5720"/>
      <c r="R5720" s="39">
        <v>37294</v>
      </c>
      <c r="S5720" s="37">
        <v>3.4620000000000002</v>
      </c>
    </row>
    <row r="5721" spans="15:19" ht="15" x14ac:dyDescent="0.25">
      <c r="O5721"/>
      <c r="P5721"/>
      <c r="R5721" s="39">
        <v>37293</v>
      </c>
      <c r="S5721" s="37">
        <v>4.5027999999999997</v>
      </c>
    </row>
    <row r="5722" spans="15:19" ht="15" x14ac:dyDescent="0.25">
      <c r="O5722"/>
      <c r="P5722"/>
      <c r="R5722" s="39">
        <v>37292</v>
      </c>
      <c r="S5722" s="37">
        <v>4.4307999999999996</v>
      </c>
    </row>
    <row r="5723" spans="15:19" ht="15" x14ac:dyDescent="0.25">
      <c r="O5723"/>
      <c r="P5723"/>
      <c r="R5723" s="39">
        <v>37291</v>
      </c>
      <c r="S5723" s="37">
        <v>3.7572999999999999</v>
      </c>
    </row>
    <row r="5724" spans="15:19" ht="15" x14ac:dyDescent="0.25">
      <c r="O5724"/>
      <c r="P5724"/>
      <c r="R5724" s="39">
        <v>37288</v>
      </c>
      <c r="S5724" s="37">
        <v>4.2853000000000003</v>
      </c>
    </row>
    <row r="5725" spans="15:19" ht="15" x14ac:dyDescent="0.25">
      <c r="O5725"/>
      <c r="P5725"/>
      <c r="R5725" s="39">
        <v>37287</v>
      </c>
      <c r="S5725" s="37">
        <v>4.1909000000000001</v>
      </c>
    </row>
    <row r="5726" spans="15:19" ht="15" x14ac:dyDescent="0.25">
      <c r="O5726"/>
      <c r="P5726"/>
      <c r="R5726" s="39">
        <v>37286</v>
      </c>
      <c r="S5726" s="37">
        <v>3.9811000000000001</v>
      </c>
    </row>
    <row r="5727" spans="15:19" ht="15" x14ac:dyDescent="0.25">
      <c r="O5727"/>
      <c r="P5727"/>
      <c r="R5727" s="39">
        <v>37285</v>
      </c>
      <c r="S5727" s="37">
        <v>3.2911000000000001</v>
      </c>
    </row>
    <row r="5728" spans="15:19" ht="15" x14ac:dyDescent="0.25">
      <c r="O5728"/>
      <c r="P5728"/>
      <c r="R5728" s="39">
        <v>37284</v>
      </c>
      <c r="S5728" s="37">
        <v>3.3565</v>
      </c>
    </row>
    <row r="5729" spans="15:19" ht="15" x14ac:dyDescent="0.25">
      <c r="O5729"/>
      <c r="P5729"/>
      <c r="R5729" s="39">
        <v>37281</v>
      </c>
      <c r="S5729" s="37">
        <v>3.2383000000000002</v>
      </c>
    </row>
    <row r="5730" spans="15:19" ht="15" x14ac:dyDescent="0.25">
      <c r="O5730"/>
      <c r="P5730"/>
      <c r="R5730" s="39">
        <v>37280</v>
      </c>
      <c r="S5730" s="37">
        <v>3.2656999999999998</v>
      </c>
    </row>
    <row r="5731" spans="15:19" ht="15" x14ac:dyDescent="0.25">
      <c r="O5731"/>
      <c r="P5731"/>
      <c r="R5731" s="39">
        <v>37279</v>
      </c>
      <c r="S5731" s="37">
        <v>3.8148</v>
      </c>
    </row>
    <row r="5732" spans="15:19" ht="15" x14ac:dyDescent="0.25">
      <c r="O5732"/>
      <c r="P5732"/>
      <c r="R5732" s="39">
        <v>37278</v>
      </c>
      <c r="S5732" s="37">
        <v>4.4332000000000003</v>
      </c>
    </row>
    <row r="5733" spans="15:19" ht="15" x14ac:dyDescent="0.25">
      <c r="O5733"/>
      <c r="P5733"/>
      <c r="R5733" s="39">
        <v>37277</v>
      </c>
      <c r="S5733" s="37">
        <v>4.1707000000000001</v>
      </c>
    </row>
    <row r="5734" spans="15:19" ht="15" x14ac:dyDescent="0.25">
      <c r="O5734"/>
      <c r="P5734"/>
      <c r="R5734" s="39">
        <v>37274</v>
      </c>
      <c r="S5734" s="37">
        <v>4.0987</v>
      </c>
    </row>
    <row r="5735" spans="15:19" ht="15" x14ac:dyDescent="0.25">
      <c r="O5735"/>
      <c r="P5735"/>
      <c r="R5735" s="39">
        <v>37273</v>
      </c>
      <c r="S5735" s="37">
        <v>4.4085999999999999</v>
      </c>
    </row>
    <row r="5736" spans="15:19" ht="15" x14ac:dyDescent="0.25">
      <c r="O5736"/>
      <c r="P5736"/>
      <c r="R5736" s="39">
        <v>37272</v>
      </c>
      <c r="S5736" s="37">
        <v>3.8075000000000001</v>
      </c>
    </row>
    <row r="5737" spans="15:19" ht="15" x14ac:dyDescent="0.25">
      <c r="O5737"/>
      <c r="P5737"/>
      <c r="R5737" s="39">
        <v>37271</v>
      </c>
      <c r="S5737" s="37">
        <v>4.0997000000000003</v>
      </c>
    </row>
    <row r="5738" spans="15:19" ht="15" x14ac:dyDescent="0.25">
      <c r="O5738"/>
      <c r="P5738"/>
      <c r="R5738" s="39">
        <v>37270</v>
      </c>
      <c r="S5738" s="37">
        <v>3.6768000000000001</v>
      </c>
    </row>
    <row r="5739" spans="15:19" ht="15" x14ac:dyDescent="0.25">
      <c r="O5739"/>
      <c r="P5739"/>
      <c r="R5739" s="39">
        <v>37267</v>
      </c>
      <c r="S5739" s="37">
        <v>3.3092999999999999</v>
      </c>
    </row>
    <row r="5740" spans="15:19" ht="15" x14ac:dyDescent="0.25">
      <c r="O5740"/>
      <c r="P5740"/>
      <c r="R5740" s="39">
        <v>37266</v>
      </c>
      <c r="S5740" s="37">
        <v>3.5444</v>
      </c>
    </row>
    <row r="5741" spans="15:19" ht="15" x14ac:dyDescent="0.25">
      <c r="O5741"/>
      <c r="P5741"/>
      <c r="R5741" s="39">
        <v>37265</v>
      </c>
      <c r="S5741" s="37">
        <v>3.9218999999999999</v>
      </c>
    </row>
    <row r="5742" spans="15:19" ht="15" x14ac:dyDescent="0.25">
      <c r="O5742"/>
      <c r="P5742"/>
      <c r="R5742" s="39">
        <v>37264</v>
      </c>
      <c r="S5742" s="37">
        <v>3.8936000000000002</v>
      </c>
    </row>
    <row r="5743" spans="15:19" ht="15" x14ac:dyDescent="0.25">
      <c r="O5743"/>
      <c r="P5743"/>
      <c r="R5743" s="39">
        <v>37263</v>
      </c>
      <c r="S5743" s="37">
        <v>3.7122999999999999</v>
      </c>
    </row>
    <row r="5744" spans="15:19" ht="15" x14ac:dyDescent="0.25">
      <c r="O5744"/>
      <c r="P5744"/>
      <c r="R5744" s="39">
        <v>37260</v>
      </c>
      <c r="S5744" s="37">
        <v>3.3647</v>
      </c>
    </row>
    <row r="5745" spans="15:19" ht="15" x14ac:dyDescent="0.25">
      <c r="O5745"/>
      <c r="P5745"/>
      <c r="R5745" s="39">
        <v>37259</v>
      </c>
      <c r="S5745" s="37">
        <v>3.4382000000000001</v>
      </c>
    </row>
    <row r="5746" spans="15:19" ht="15" x14ac:dyDescent="0.25">
      <c r="O5746"/>
      <c r="P5746"/>
      <c r="R5746" s="39">
        <v>37258</v>
      </c>
      <c r="S5746" s="37">
        <v>3.8885999999999998</v>
      </c>
    </row>
    <row r="5747" spans="15:19" ht="15" x14ac:dyDescent="0.25">
      <c r="O5747"/>
      <c r="P5747"/>
      <c r="R5747" s="39">
        <v>37256</v>
      </c>
      <c r="S5747" s="37">
        <v>4.9451000000000001</v>
      </c>
    </row>
    <row r="5748" spans="15:19" ht="15" x14ac:dyDescent="0.25">
      <c r="O5748"/>
      <c r="P5748"/>
      <c r="R5748" s="39">
        <v>37253</v>
      </c>
      <c r="S5748" s="37">
        <v>4.7891000000000004</v>
      </c>
    </row>
    <row r="5749" spans="15:19" ht="15" x14ac:dyDescent="0.25">
      <c r="O5749"/>
      <c r="P5749"/>
      <c r="R5749" s="39">
        <v>37252</v>
      </c>
      <c r="S5749" s="37">
        <v>4.9554</v>
      </c>
    </row>
    <row r="5750" spans="15:19" ht="15" x14ac:dyDescent="0.25">
      <c r="O5750"/>
      <c r="P5750"/>
      <c r="R5750" s="39">
        <v>37249</v>
      </c>
      <c r="S5750" s="37">
        <v>5.0271999999999997</v>
      </c>
    </row>
    <row r="5751" spans="15:19" ht="15" x14ac:dyDescent="0.25">
      <c r="O5751"/>
      <c r="P5751"/>
      <c r="R5751" s="39">
        <v>37246</v>
      </c>
      <c r="S5751" s="37">
        <v>5.1081000000000003</v>
      </c>
    </row>
    <row r="5752" spans="15:19" ht="15" x14ac:dyDescent="0.25">
      <c r="O5752"/>
      <c r="P5752"/>
      <c r="R5752" s="39">
        <v>37245</v>
      </c>
      <c r="S5752" s="37">
        <v>5.1159999999999997</v>
      </c>
    </row>
    <row r="5753" spans="15:19" ht="15" x14ac:dyDescent="0.25">
      <c r="O5753"/>
      <c r="P5753"/>
      <c r="R5753" s="39">
        <v>37244</v>
      </c>
      <c r="S5753" s="37">
        <v>5.0537999999999998</v>
      </c>
    </row>
    <row r="5754" spans="15:19" ht="15" x14ac:dyDescent="0.25">
      <c r="O5754"/>
      <c r="P5754"/>
      <c r="R5754" s="39">
        <v>37243</v>
      </c>
      <c r="S5754" s="37">
        <v>4.8693</v>
      </c>
    </row>
    <row r="5755" spans="15:19" ht="15" x14ac:dyDescent="0.25">
      <c r="O5755"/>
      <c r="P5755"/>
      <c r="R5755" s="39">
        <v>37242</v>
      </c>
      <c r="S5755" s="37">
        <v>4.6300999999999997</v>
      </c>
    </row>
    <row r="5756" spans="15:19" ht="15" x14ac:dyDescent="0.25">
      <c r="O5756"/>
      <c r="P5756"/>
      <c r="R5756" s="39">
        <v>37239</v>
      </c>
      <c r="S5756" s="37">
        <v>4.3540999999999999</v>
      </c>
    </row>
    <row r="5757" spans="15:19" ht="15" x14ac:dyDescent="0.25">
      <c r="O5757"/>
      <c r="P5757"/>
      <c r="R5757" s="39">
        <v>37238</v>
      </c>
      <c r="S5757" s="37">
        <v>4.5631000000000004</v>
      </c>
    </row>
    <row r="5758" spans="15:19" ht="15" x14ac:dyDescent="0.25">
      <c r="O5758"/>
      <c r="P5758"/>
      <c r="R5758" s="39">
        <v>37237</v>
      </c>
      <c r="S5758" s="37">
        <v>4.0401999999999996</v>
      </c>
    </row>
    <row r="5759" spans="15:19" ht="15" x14ac:dyDescent="0.25">
      <c r="O5759"/>
      <c r="P5759"/>
      <c r="R5759" s="39">
        <v>37236</v>
      </c>
      <c r="S5759" s="37">
        <v>3.8210999999999999</v>
      </c>
    </row>
    <row r="5760" spans="15:19" ht="15" x14ac:dyDescent="0.25">
      <c r="O5760"/>
      <c r="P5760"/>
      <c r="R5760" s="39">
        <v>37235</v>
      </c>
      <c r="S5760" s="37">
        <v>3.8256000000000001</v>
      </c>
    </row>
    <row r="5761" spans="15:19" ht="15" x14ac:dyDescent="0.25">
      <c r="O5761"/>
      <c r="P5761"/>
      <c r="R5761" s="39">
        <v>37232</v>
      </c>
      <c r="S5761" s="37">
        <v>3.9380999999999999</v>
      </c>
    </row>
    <row r="5762" spans="15:19" ht="15" x14ac:dyDescent="0.25">
      <c r="O5762"/>
      <c r="P5762"/>
      <c r="R5762" s="39">
        <v>37231</v>
      </c>
      <c r="S5762" s="37">
        <v>4.6219999999999999</v>
      </c>
    </row>
    <row r="5763" spans="15:19" ht="15" x14ac:dyDescent="0.25">
      <c r="O5763"/>
      <c r="P5763"/>
      <c r="R5763" s="39">
        <v>37230</v>
      </c>
      <c r="S5763" s="37">
        <v>4.4020000000000001</v>
      </c>
    </row>
    <row r="5764" spans="15:19" ht="15" x14ac:dyDescent="0.25">
      <c r="O5764"/>
      <c r="P5764"/>
      <c r="R5764" s="39">
        <v>37229</v>
      </c>
      <c r="S5764" s="37">
        <v>4.4775</v>
      </c>
    </row>
    <row r="5765" spans="15:19" ht="15" x14ac:dyDescent="0.25">
      <c r="O5765"/>
      <c r="P5765"/>
      <c r="R5765" s="39">
        <v>37228</v>
      </c>
      <c r="S5765" s="37">
        <v>4.5598000000000001</v>
      </c>
    </row>
    <row r="5766" spans="15:19" ht="15" x14ac:dyDescent="0.25">
      <c r="O5766"/>
      <c r="P5766"/>
      <c r="R5766" s="39">
        <v>37225</v>
      </c>
      <c r="S5766" s="37">
        <v>3.8098000000000001</v>
      </c>
    </row>
    <row r="5767" spans="15:19" ht="15" x14ac:dyDescent="0.25">
      <c r="O5767"/>
      <c r="P5767"/>
      <c r="R5767" s="39">
        <v>37224</v>
      </c>
      <c r="S5767" s="37">
        <v>3.4249999999999998</v>
      </c>
    </row>
    <row r="5768" spans="15:19" ht="15" x14ac:dyDescent="0.25">
      <c r="O5768"/>
      <c r="P5768"/>
      <c r="R5768" s="39">
        <v>37223</v>
      </c>
      <c r="S5768" s="37">
        <v>3.2534999999999998</v>
      </c>
    </row>
    <row r="5769" spans="15:19" ht="15" x14ac:dyDescent="0.25">
      <c r="O5769"/>
      <c r="P5769"/>
      <c r="R5769" s="39">
        <v>37222</v>
      </c>
      <c r="S5769" s="37">
        <v>3.2452000000000001</v>
      </c>
    </row>
    <row r="5770" spans="15:19" ht="15" x14ac:dyDescent="0.25">
      <c r="O5770"/>
      <c r="P5770"/>
      <c r="R5770" s="39">
        <v>37221</v>
      </c>
      <c r="S5770" s="37">
        <v>3.24</v>
      </c>
    </row>
    <row r="5771" spans="15:19" ht="15" x14ac:dyDescent="0.25">
      <c r="O5771"/>
      <c r="P5771"/>
      <c r="R5771" s="39">
        <v>37218</v>
      </c>
      <c r="S5771" s="37">
        <v>3.2477</v>
      </c>
    </row>
    <row r="5772" spans="15:19" ht="15" x14ac:dyDescent="0.25">
      <c r="O5772"/>
      <c r="P5772"/>
      <c r="R5772" s="39">
        <v>37217</v>
      </c>
      <c r="S5772" s="37">
        <v>3.2616999999999998</v>
      </c>
    </row>
    <row r="5773" spans="15:19" ht="15" x14ac:dyDescent="0.25">
      <c r="O5773"/>
      <c r="P5773"/>
      <c r="R5773" s="39">
        <v>37216</v>
      </c>
      <c r="S5773" s="37">
        <v>3.3235999999999999</v>
      </c>
    </row>
    <row r="5774" spans="15:19" ht="15" x14ac:dyDescent="0.25">
      <c r="O5774"/>
      <c r="P5774"/>
      <c r="R5774" s="39">
        <v>37215</v>
      </c>
      <c r="S5774" s="37">
        <v>3.7482000000000002</v>
      </c>
    </row>
    <row r="5775" spans="15:19" ht="15" x14ac:dyDescent="0.25">
      <c r="O5775"/>
      <c r="P5775"/>
      <c r="R5775" s="39">
        <v>37214</v>
      </c>
      <c r="S5775" s="37">
        <v>4.4104999999999999</v>
      </c>
    </row>
    <row r="5776" spans="15:19" ht="15" x14ac:dyDescent="0.25">
      <c r="O5776"/>
      <c r="P5776"/>
      <c r="R5776" s="39">
        <v>37211</v>
      </c>
      <c r="S5776" s="37">
        <v>4.2019000000000002</v>
      </c>
    </row>
    <row r="5777" spans="15:19" ht="15" x14ac:dyDescent="0.25">
      <c r="O5777"/>
      <c r="P5777"/>
      <c r="R5777" s="39">
        <v>37210</v>
      </c>
      <c r="S5777" s="37">
        <v>3.3498000000000001</v>
      </c>
    </row>
    <row r="5778" spans="15:19" ht="15" x14ac:dyDescent="0.25">
      <c r="O5778"/>
      <c r="P5778"/>
      <c r="R5778" s="39">
        <v>37209</v>
      </c>
      <c r="S5778" s="37">
        <v>3.3422000000000001</v>
      </c>
    </row>
    <row r="5779" spans="15:19" ht="15" x14ac:dyDescent="0.25">
      <c r="O5779"/>
      <c r="P5779"/>
      <c r="R5779" s="39">
        <v>37208</v>
      </c>
      <c r="S5779" s="37">
        <v>3.4853000000000001</v>
      </c>
    </row>
    <row r="5780" spans="15:19" ht="15" x14ac:dyDescent="0.25">
      <c r="O5780"/>
      <c r="P5780"/>
      <c r="R5780" s="39">
        <v>37207</v>
      </c>
      <c r="S5780" s="37">
        <v>3.5190000000000001</v>
      </c>
    </row>
    <row r="5781" spans="15:19" ht="15" x14ac:dyDescent="0.25">
      <c r="O5781"/>
      <c r="P5781"/>
      <c r="R5781" s="39">
        <v>37204</v>
      </c>
      <c r="S5781" s="37">
        <v>3.3108</v>
      </c>
    </row>
    <row r="5782" spans="15:19" ht="15" x14ac:dyDescent="0.25">
      <c r="O5782"/>
      <c r="P5782"/>
      <c r="R5782" s="39">
        <v>37203</v>
      </c>
      <c r="S5782" s="37">
        <v>3.4725000000000001</v>
      </c>
    </row>
    <row r="5783" spans="15:19" ht="15" x14ac:dyDescent="0.25">
      <c r="O5783"/>
      <c r="P5783"/>
      <c r="R5783" s="39">
        <v>37202</v>
      </c>
      <c r="S5783" s="37">
        <v>3.7164000000000001</v>
      </c>
    </row>
    <row r="5784" spans="15:19" ht="15" x14ac:dyDescent="0.25">
      <c r="O5784"/>
      <c r="P5784"/>
      <c r="R5784" s="39">
        <v>37201</v>
      </c>
      <c r="S5784" s="37">
        <v>3.6926999999999999</v>
      </c>
    </row>
    <row r="5785" spans="15:19" ht="15" x14ac:dyDescent="0.25">
      <c r="O5785"/>
      <c r="P5785"/>
      <c r="R5785" s="39">
        <v>37200</v>
      </c>
      <c r="S5785" s="37">
        <v>3.9327000000000001</v>
      </c>
    </row>
    <row r="5786" spans="15:19" ht="15" x14ac:dyDescent="0.25">
      <c r="O5786"/>
      <c r="P5786"/>
      <c r="R5786" s="39">
        <v>37197</v>
      </c>
      <c r="S5786" s="37">
        <v>3.8963999999999999</v>
      </c>
    </row>
    <row r="5787" spans="15:19" ht="15" x14ac:dyDescent="0.25">
      <c r="O5787"/>
      <c r="P5787"/>
      <c r="R5787" s="39">
        <v>37196</v>
      </c>
      <c r="S5787" s="37">
        <v>3.7886000000000002</v>
      </c>
    </row>
    <row r="5788" spans="15:19" ht="15" x14ac:dyDescent="0.25">
      <c r="O5788"/>
      <c r="P5788"/>
      <c r="R5788" s="39">
        <v>37195</v>
      </c>
      <c r="S5788" s="37">
        <v>3.8262999999999998</v>
      </c>
    </row>
    <row r="5789" spans="15:19" ht="15" x14ac:dyDescent="0.25">
      <c r="O5789"/>
      <c r="P5789"/>
      <c r="R5789" s="39">
        <v>37194</v>
      </c>
      <c r="S5789" s="37">
        <v>4.1482999999999999</v>
      </c>
    </row>
    <row r="5790" spans="15:19" ht="15" x14ac:dyDescent="0.25">
      <c r="O5790"/>
      <c r="P5790"/>
      <c r="R5790" s="39">
        <v>37193</v>
      </c>
      <c r="S5790" s="37">
        <v>4.4421999999999997</v>
      </c>
    </row>
    <row r="5791" spans="15:19" ht="15" x14ac:dyDescent="0.25">
      <c r="O5791"/>
      <c r="P5791"/>
      <c r="R5791" s="39">
        <v>37190</v>
      </c>
      <c r="S5791" s="37">
        <v>4.0232000000000001</v>
      </c>
    </row>
    <row r="5792" spans="15:19" ht="15" x14ac:dyDescent="0.25">
      <c r="O5792"/>
      <c r="P5792"/>
      <c r="R5792" s="39">
        <v>37189</v>
      </c>
      <c r="S5792" s="37">
        <v>3.9413</v>
      </c>
    </row>
    <row r="5793" spans="15:19" ht="15" x14ac:dyDescent="0.25">
      <c r="O5793"/>
      <c r="P5793"/>
      <c r="R5793" s="39">
        <v>37188</v>
      </c>
      <c r="S5793" s="37">
        <v>4.2889999999999997</v>
      </c>
    </row>
    <row r="5794" spans="15:19" ht="15" x14ac:dyDescent="0.25">
      <c r="O5794"/>
      <c r="P5794"/>
      <c r="R5794" s="39">
        <v>37187</v>
      </c>
      <c r="S5794" s="37">
        <v>4.8113000000000001</v>
      </c>
    </row>
    <row r="5795" spans="15:19" ht="15" x14ac:dyDescent="0.25">
      <c r="O5795"/>
      <c r="P5795"/>
      <c r="R5795" s="39">
        <v>37186</v>
      </c>
      <c r="S5795" s="37">
        <v>4.2740999999999998</v>
      </c>
    </row>
    <row r="5796" spans="15:19" ht="15" x14ac:dyDescent="0.25">
      <c r="O5796"/>
      <c r="P5796"/>
      <c r="R5796" s="39">
        <v>37183</v>
      </c>
      <c r="S5796" s="37">
        <v>4.1135000000000002</v>
      </c>
    </row>
    <row r="5797" spans="15:19" ht="15" x14ac:dyDescent="0.25">
      <c r="O5797"/>
      <c r="P5797"/>
      <c r="R5797" s="39">
        <v>37182</v>
      </c>
      <c r="S5797" s="37">
        <v>3.7583000000000002</v>
      </c>
    </row>
    <row r="5798" spans="15:19" ht="15" x14ac:dyDescent="0.25">
      <c r="O5798"/>
      <c r="P5798"/>
      <c r="R5798" s="39">
        <v>37181</v>
      </c>
      <c r="S5798" s="37">
        <v>3.8468</v>
      </c>
    </row>
    <row r="5799" spans="15:19" ht="15" x14ac:dyDescent="0.25">
      <c r="O5799"/>
      <c r="P5799"/>
      <c r="R5799" s="39">
        <v>37180</v>
      </c>
      <c r="S5799" s="37">
        <v>4.4424000000000001</v>
      </c>
    </row>
    <row r="5800" spans="15:19" ht="15" x14ac:dyDescent="0.25">
      <c r="O5800"/>
      <c r="P5800"/>
      <c r="R5800" s="39">
        <v>37179</v>
      </c>
      <c r="S5800" s="37">
        <v>4.9314999999999998</v>
      </c>
    </row>
    <row r="5801" spans="15:19" ht="15" x14ac:dyDescent="0.25">
      <c r="O5801"/>
      <c r="P5801"/>
      <c r="R5801" s="39">
        <v>37176</v>
      </c>
      <c r="S5801" s="37">
        <v>4.7626999999999997</v>
      </c>
    </row>
    <row r="5802" spans="15:19" ht="15" x14ac:dyDescent="0.25">
      <c r="O5802"/>
      <c r="P5802"/>
      <c r="R5802" s="39">
        <v>37175</v>
      </c>
      <c r="S5802" s="37">
        <v>4.6632999999999996</v>
      </c>
    </row>
    <row r="5803" spans="15:19" ht="15" x14ac:dyDescent="0.25">
      <c r="O5803"/>
      <c r="P5803"/>
      <c r="R5803" s="39">
        <v>37174</v>
      </c>
      <c r="S5803" s="37">
        <v>4.4661</v>
      </c>
    </row>
    <row r="5804" spans="15:19" ht="15" x14ac:dyDescent="0.25">
      <c r="O5804"/>
      <c r="P5804"/>
      <c r="R5804" s="39">
        <v>37173</v>
      </c>
      <c r="S5804" s="37">
        <v>4.4424999999999999</v>
      </c>
    </row>
    <row r="5805" spans="15:19" ht="15" x14ac:dyDescent="0.25">
      <c r="O5805"/>
      <c r="P5805"/>
      <c r="R5805" s="39">
        <v>37172</v>
      </c>
      <c r="S5805" s="37">
        <v>5.1241000000000003</v>
      </c>
    </row>
    <row r="5806" spans="15:19" ht="15" x14ac:dyDescent="0.25">
      <c r="O5806"/>
      <c r="P5806"/>
      <c r="R5806" s="39">
        <v>37169</v>
      </c>
      <c r="S5806" s="37">
        <v>5.2079000000000004</v>
      </c>
    </row>
    <row r="5807" spans="15:19" ht="15" x14ac:dyDescent="0.25">
      <c r="O5807"/>
      <c r="P5807"/>
      <c r="R5807" s="39">
        <v>37168</v>
      </c>
      <c r="S5807" s="37">
        <v>5.2735000000000003</v>
      </c>
    </row>
    <row r="5808" spans="15:19" ht="15" x14ac:dyDescent="0.25">
      <c r="O5808"/>
      <c r="P5808"/>
      <c r="R5808" s="39">
        <v>37167</v>
      </c>
      <c r="S5808" s="37">
        <v>5.7140000000000004</v>
      </c>
    </row>
    <row r="5809" spans="15:19" ht="15" x14ac:dyDescent="0.25">
      <c r="O5809"/>
      <c r="P5809"/>
      <c r="R5809" s="39">
        <v>37166</v>
      </c>
      <c r="S5809" s="37">
        <v>5.6444999999999999</v>
      </c>
    </row>
    <row r="5810" spans="15:19" ht="15" x14ac:dyDescent="0.25">
      <c r="O5810"/>
      <c r="P5810"/>
      <c r="R5810" s="39">
        <v>37165</v>
      </c>
      <c r="S5810" s="37">
        <v>5.5919999999999996</v>
      </c>
    </row>
    <row r="5811" spans="15:19" ht="15" x14ac:dyDescent="0.25">
      <c r="O5811"/>
      <c r="P5811"/>
      <c r="R5811" s="39">
        <v>37162</v>
      </c>
      <c r="S5811" s="37">
        <v>5.1683000000000003</v>
      </c>
    </row>
    <row r="5812" spans="15:19" ht="15" x14ac:dyDescent="0.25">
      <c r="O5812"/>
      <c r="P5812"/>
      <c r="R5812" s="39">
        <v>37161</v>
      </c>
      <c r="S5812" s="37">
        <v>5.2283999999999997</v>
      </c>
    </row>
    <row r="5813" spans="15:19" ht="15" x14ac:dyDescent="0.25">
      <c r="O5813"/>
      <c r="P5813"/>
      <c r="R5813" s="39">
        <v>37160</v>
      </c>
      <c r="S5813" s="37">
        <v>4.8312999999999997</v>
      </c>
    </row>
    <row r="5814" spans="15:19" ht="15" x14ac:dyDescent="0.25">
      <c r="O5814"/>
      <c r="P5814"/>
      <c r="R5814" s="39">
        <v>37159</v>
      </c>
      <c r="S5814" s="37">
        <v>4.9050000000000002</v>
      </c>
    </row>
    <row r="5815" spans="15:19" ht="15" x14ac:dyDescent="0.25">
      <c r="O5815"/>
      <c r="P5815"/>
      <c r="R5815" s="39">
        <v>37158</v>
      </c>
      <c r="S5815" s="37">
        <v>5.1669</v>
      </c>
    </row>
    <row r="5816" spans="15:19" ht="15" x14ac:dyDescent="0.25">
      <c r="O5816"/>
      <c r="P5816"/>
      <c r="R5816" s="39">
        <v>37155</v>
      </c>
      <c r="S5816" s="37">
        <v>4.6742999999999997</v>
      </c>
    </row>
    <row r="5817" spans="15:19" ht="15" x14ac:dyDescent="0.25">
      <c r="O5817"/>
      <c r="P5817"/>
      <c r="R5817" s="39">
        <v>37154</v>
      </c>
      <c r="S5817" s="37">
        <v>4.7377000000000002</v>
      </c>
    </row>
    <row r="5818" spans="15:19" ht="15" x14ac:dyDescent="0.25">
      <c r="O5818"/>
      <c r="P5818"/>
      <c r="R5818" s="39">
        <v>37153</v>
      </c>
      <c r="S5818" s="37">
        <v>5.2256999999999998</v>
      </c>
    </row>
    <row r="5819" spans="15:19" ht="15" x14ac:dyDescent="0.25">
      <c r="O5819"/>
      <c r="P5819"/>
      <c r="R5819" s="39">
        <v>37152</v>
      </c>
      <c r="S5819" s="37">
        <v>5.2313000000000001</v>
      </c>
    </row>
    <row r="5820" spans="15:19" ht="15" x14ac:dyDescent="0.25">
      <c r="O5820"/>
      <c r="P5820"/>
      <c r="R5820" s="39">
        <v>37151</v>
      </c>
      <c r="S5820" s="37">
        <v>5.4184999999999999</v>
      </c>
    </row>
    <row r="5821" spans="15:19" ht="15" x14ac:dyDescent="0.25">
      <c r="O5821"/>
      <c r="P5821"/>
      <c r="R5821" s="39">
        <v>37148</v>
      </c>
      <c r="S5821" s="37">
        <v>5.0529000000000002</v>
      </c>
    </row>
    <row r="5822" spans="15:19" ht="15" x14ac:dyDescent="0.25">
      <c r="O5822"/>
      <c r="P5822"/>
      <c r="R5822" s="39">
        <v>37147</v>
      </c>
      <c r="S5822" s="37">
        <v>5.3476999999999997</v>
      </c>
    </row>
    <row r="5823" spans="15:19" ht="15" x14ac:dyDescent="0.25">
      <c r="O5823"/>
      <c r="P5823"/>
      <c r="R5823" s="39">
        <v>37146</v>
      </c>
      <c r="S5823" s="37">
        <v>5.6177999999999999</v>
      </c>
    </row>
    <row r="5824" spans="15:19" ht="15" x14ac:dyDescent="0.25">
      <c r="O5824"/>
      <c r="P5824"/>
      <c r="R5824" s="39">
        <v>37145</v>
      </c>
      <c r="S5824" s="37">
        <v>5.3449</v>
      </c>
    </row>
    <row r="5825" spans="15:19" ht="15" x14ac:dyDescent="0.25">
      <c r="O5825"/>
      <c r="P5825"/>
      <c r="R5825" s="39">
        <v>37144</v>
      </c>
      <c r="S5825" s="37">
        <v>4.2007000000000003</v>
      </c>
    </row>
    <row r="5826" spans="15:19" ht="15" x14ac:dyDescent="0.25">
      <c r="O5826"/>
      <c r="P5826"/>
      <c r="R5826" s="39">
        <v>37141</v>
      </c>
      <c r="S5826" s="37">
        <v>4.1513999999999998</v>
      </c>
    </row>
    <row r="5827" spans="15:19" ht="15" x14ac:dyDescent="0.25">
      <c r="O5827"/>
      <c r="P5827"/>
      <c r="R5827" s="39">
        <v>37140</v>
      </c>
      <c r="S5827" s="37">
        <v>4.1516999999999999</v>
      </c>
    </row>
    <row r="5828" spans="15:19" ht="15" x14ac:dyDescent="0.25">
      <c r="O5828"/>
      <c r="P5828"/>
      <c r="R5828" s="39">
        <v>37139</v>
      </c>
      <c r="S5828" s="37">
        <v>4.1757</v>
      </c>
    </row>
    <row r="5829" spans="15:19" ht="15" x14ac:dyDescent="0.25">
      <c r="O5829"/>
      <c r="P5829"/>
      <c r="R5829" s="39">
        <v>37138</v>
      </c>
      <c r="S5829" s="37">
        <v>4.1950000000000003</v>
      </c>
    </row>
    <row r="5830" spans="15:19" ht="15" x14ac:dyDescent="0.25">
      <c r="O5830"/>
      <c r="P5830"/>
      <c r="R5830" s="39">
        <v>37137</v>
      </c>
      <c r="S5830" s="37">
        <v>4.2271999999999998</v>
      </c>
    </row>
    <row r="5831" spans="15:19" ht="15" x14ac:dyDescent="0.25">
      <c r="O5831"/>
      <c r="P5831"/>
      <c r="R5831" s="39">
        <v>37134</v>
      </c>
      <c r="S5831" s="37">
        <v>4.2530000000000001</v>
      </c>
    </row>
    <row r="5832" spans="15:19" ht="15" x14ac:dyDescent="0.25">
      <c r="O5832"/>
      <c r="P5832"/>
      <c r="R5832" s="39">
        <v>37133</v>
      </c>
      <c r="S5832" s="37">
        <v>4.5096999999999996</v>
      </c>
    </row>
    <row r="5833" spans="15:19" ht="15" x14ac:dyDescent="0.25">
      <c r="O5833"/>
      <c r="P5833"/>
      <c r="R5833" s="39">
        <v>37132</v>
      </c>
      <c r="S5833" s="37">
        <v>5.3996000000000004</v>
      </c>
    </row>
    <row r="5834" spans="15:19" ht="15" x14ac:dyDescent="0.25">
      <c r="O5834"/>
      <c r="P5834"/>
      <c r="R5834" s="39">
        <v>37131</v>
      </c>
      <c r="S5834" s="37">
        <v>5.0228999999999999</v>
      </c>
    </row>
    <row r="5835" spans="15:19" ht="15" x14ac:dyDescent="0.25">
      <c r="O5835"/>
      <c r="P5835"/>
      <c r="R5835" s="39">
        <v>37127</v>
      </c>
      <c r="S5835" s="37">
        <v>5.6074999999999999</v>
      </c>
    </row>
    <row r="5836" spans="15:19" ht="15" x14ac:dyDescent="0.25">
      <c r="O5836"/>
      <c r="P5836"/>
      <c r="R5836" s="39">
        <v>37126</v>
      </c>
      <c r="S5836" s="37">
        <v>5.7748999999999997</v>
      </c>
    </row>
    <row r="5837" spans="15:19" ht="15" x14ac:dyDescent="0.25">
      <c r="O5837"/>
      <c r="P5837"/>
      <c r="R5837" s="39">
        <v>37125</v>
      </c>
      <c r="S5837" s="37">
        <v>4.2916999999999996</v>
      </c>
    </row>
    <row r="5838" spans="15:19" ht="15" x14ac:dyDescent="0.25">
      <c r="O5838"/>
      <c r="P5838"/>
      <c r="R5838" s="39">
        <v>37124</v>
      </c>
      <c r="S5838" s="37">
        <v>4.2960000000000003</v>
      </c>
    </row>
    <row r="5839" spans="15:19" ht="15" x14ac:dyDescent="0.25">
      <c r="O5839"/>
      <c r="P5839"/>
      <c r="R5839" s="39">
        <v>37123</v>
      </c>
      <c r="S5839" s="37">
        <v>4.6102999999999996</v>
      </c>
    </row>
    <row r="5840" spans="15:19" ht="15" x14ac:dyDescent="0.25">
      <c r="O5840"/>
      <c r="P5840"/>
      <c r="R5840" s="39">
        <v>37120</v>
      </c>
      <c r="S5840" s="37">
        <v>4.2744</v>
      </c>
    </row>
    <row r="5841" spans="15:19" ht="15" x14ac:dyDescent="0.25">
      <c r="O5841"/>
      <c r="P5841"/>
      <c r="R5841" s="39">
        <v>37119</v>
      </c>
      <c r="S5841" s="37">
        <v>4.2286999999999999</v>
      </c>
    </row>
    <row r="5842" spans="15:19" ht="15" x14ac:dyDescent="0.25">
      <c r="O5842"/>
      <c r="P5842"/>
      <c r="R5842" s="39">
        <v>37118</v>
      </c>
      <c r="S5842" s="37">
        <v>4.2088000000000001</v>
      </c>
    </row>
    <row r="5843" spans="15:19" ht="15" x14ac:dyDescent="0.25">
      <c r="O5843"/>
      <c r="P5843"/>
      <c r="R5843" s="39">
        <v>37117</v>
      </c>
      <c r="S5843" s="37">
        <v>4.2152000000000003</v>
      </c>
    </row>
    <row r="5844" spans="15:19" ht="15" x14ac:dyDescent="0.25">
      <c r="O5844"/>
      <c r="P5844"/>
      <c r="R5844" s="39">
        <v>37116</v>
      </c>
      <c r="S5844" s="37">
        <v>4.2199</v>
      </c>
    </row>
    <row r="5845" spans="15:19" ht="15" x14ac:dyDescent="0.25">
      <c r="O5845"/>
      <c r="P5845"/>
      <c r="R5845" s="39">
        <v>37113</v>
      </c>
      <c r="S5845" s="37">
        <v>4.2472000000000003</v>
      </c>
    </row>
    <row r="5846" spans="15:19" ht="15" x14ac:dyDescent="0.25">
      <c r="O5846"/>
      <c r="P5846"/>
      <c r="R5846" s="39">
        <v>37112</v>
      </c>
      <c r="S5846" s="37">
        <v>4.2759</v>
      </c>
    </row>
    <row r="5847" spans="15:19" ht="15" x14ac:dyDescent="0.25">
      <c r="O5847"/>
      <c r="P5847"/>
      <c r="R5847" s="39">
        <v>37111</v>
      </c>
      <c r="S5847" s="37">
        <v>4.2952000000000004</v>
      </c>
    </row>
    <row r="5848" spans="15:19" ht="15" x14ac:dyDescent="0.25">
      <c r="O5848"/>
      <c r="P5848"/>
      <c r="R5848" s="39">
        <v>37110</v>
      </c>
      <c r="S5848" s="37">
        <v>4.7093999999999996</v>
      </c>
    </row>
    <row r="5849" spans="15:19" ht="15" x14ac:dyDescent="0.25">
      <c r="O5849"/>
      <c r="P5849"/>
      <c r="R5849" s="39">
        <v>37109</v>
      </c>
      <c r="S5849" s="37">
        <v>5.8986000000000001</v>
      </c>
    </row>
    <row r="5850" spans="15:19" ht="15" x14ac:dyDescent="0.25">
      <c r="O5850"/>
      <c r="P5850"/>
      <c r="R5850" s="39">
        <v>37106</v>
      </c>
      <c r="S5850" s="37">
        <v>5.7038000000000002</v>
      </c>
    </row>
    <row r="5851" spans="15:19" ht="15" x14ac:dyDescent="0.25">
      <c r="O5851"/>
      <c r="P5851"/>
      <c r="R5851" s="39">
        <v>37105</v>
      </c>
      <c r="S5851" s="37">
        <v>5.8224999999999998</v>
      </c>
    </row>
    <row r="5852" spans="15:19" ht="15" x14ac:dyDescent="0.25">
      <c r="O5852"/>
      <c r="P5852"/>
      <c r="R5852" s="39">
        <v>37104</v>
      </c>
      <c r="S5852" s="37">
        <v>5.8365999999999998</v>
      </c>
    </row>
    <row r="5853" spans="15:19" ht="15" x14ac:dyDescent="0.25">
      <c r="O5853"/>
      <c r="P5853"/>
      <c r="R5853" s="39">
        <v>37103</v>
      </c>
      <c r="S5853" s="37">
        <v>5.8914</v>
      </c>
    </row>
    <row r="5854" spans="15:19" ht="15" x14ac:dyDescent="0.25">
      <c r="O5854"/>
      <c r="P5854"/>
      <c r="R5854" s="39">
        <v>37102</v>
      </c>
      <c r="S5854" s="37">
        <v>5.7157</v>
      </c>
    </row>
    <row r="5855" spans="15:19" ht="15" x14ac:dyDescent="0.25">
      <c r="O5855"/>
      <c r="P5855"/>
      <c r="R5855" s="39">
        <v>37099</v>
      </c>
      <c r="S5855" s="37">
        <v>5.1837</v>
      </c>
    </row>
    <row r="5856" spans="15:19" ht="15" x14ac:dyDescent="0.25">
      <c r="O5856"/>
      <c r="P5856"/>
      <c r="R5856" s="39">
        <v>37098</v>
      </c>
      <c r="S5856" s="37">
        <v>5.5612000000000004</v>
      </c>
    </row>
    <row r="5857" spans="15:19" ht="15" x14ac:dyDescent="0.25">
      <c r="O5857"/>
      <c r="P5857"/>
      <c r="R5857" s="39">
        <v>37097</v>
      </c>
      <c r="S5857" s="37">
        <v>5.5041000000000002</v>
      </c>
    </row>
    <row r="5858" spans="15:19" ht="15" x14ac:dyDescent="0.25">
      <c r="O5858"/>
      <c r="P5858"/>
      <c r="R5858" s="39">
        <v>37096</v>
      </c>
      <c r="S5858" s="37">
        <v>4.8776000000000002</v>
      </c>
    </row>
    <row r="5859" spans="15:19" ht="15" x14ac:dyDescent="0.25">
      <c r="O5859"/>
      <c r="P5859"/>
      <c r="R5859" s="39">
        <v>37095</v>
      </c>
      <c r="S5859" s="37">
        <v>5.0579000000000001</v>
      </c>
    </row>
    <row r="5860" spans="15:19" ht="15" x14ac:dyDescent="0.25">
      <c r="O5860"/>
      <c r="P5860"/>
      <c r="R5860" s="39">
        <v>37092</v>
      </c>
      <c r="S5860" s="37">
        <v>4.4775999999999998</v>
      </c>
    </row>
    <row r="5861" spans="15:19" ht="15" x14ac:dyDescent="0.25">
      <c r="O5861"/>
      <c r="P5861"/>
      <c r="R5861" s="39">
        <v>37091</v>
      </c>
      <c r="S5861" s="37">
        <v>4.4088000000000003</v>
      </c>
    </row>
    <row r="5862" spans="15:19" ht="15" x14ac:dyDescent="0.25">
      <c r="O5862"/>
      <c r="P5862"/>
      <c r="R5862" s="39">
        <v>37090</v>
      </c>
      <c r="S5862" s="37">
        <v>4.4827000000000004</v>
      </c>
    </row>
    <row r="5863" spans="15:19" ht="15" x14ac:dyDescent="0.25">
      <c r="O5863"/>
      <c r="P5863"/>
      <c r="R5863" s="39">
        <v>37089</v>
      </c>
      <c r="S5863" s="37">
        <v>4.9927000000000001</v>
      </c>
    </row>
    <row r="5864" spans="15:19" ht="15" x14ac:dyDescent="0.25">
      <c r="O5864"/>
      <c r="P5864"/>
      <c r="R5864" s="39">
        <v>37088</v>
      </c>
      <c r="S5864" s="37">
        <v>5.8112000000000004</v>
      </c>
    </row>
    <row r="5865" spans="15:19" ht="15" x14ac:dyDescent="0.25">
      <c r="O5865"/>
      <c r="P5865"/>
      <c r="R5865" s="39">
        <v>37085</v>
      </c>
      <c r="S5865" s="37">
        <v>4.5410000000000004</v>
      </c>
    </row>
    <row r="5866" spans="15:19" ht="15" x14ac:dyDescent="0.25">
      <c r="O5866"/>
      <c r="P5866"/>
      <c r="R5866" s="39">
        <v>37084</v>
      </c>
      <c r="S5866" s="37">
        <v>5.5152000000000001</v>
      </c>
    </row>
    <row r="5867" spans="15:19" ht="15" x14ac:dyDescent="0.25">
      <c r="O5867"/>
      <c r="P5867"/>
      <c r="R5867" s="39">
        <v>37083</v>
      </c>
      <c r="S5867" s="37">
        <v>6.0833000000000004</v>
      </c>
    </row>
    <row r="5868" spans="15:19" ht="15" x14ac:dyDescent="0.25">
      <c r="O5868"/>
      <c r="P5868"/>
      <c r="R5868" s="39">
        <v>37082</v>
      </c>
      <c r="S5868" s="37">
        <v>5.5073999999999996</v>
      </c>
    </row>
    <row r="5869" spans="15:19" ht="15" x14ac:dyDescent="0.25">
      <c r="O5869"/>
      <c r="P5869"/>
      <c r="R5869" s="39">
        <v>37081</v>
      </c>
      <c r="S5869" s="37">
        <v>5.4184000000000001</v>
      </c>
    </row>
    <row r="5870" spans="15:19" ht="15" x14ac:dyDescent="0.25">
      <c r="O5870"/>
      <c r="P5870"/>
      <c r="R5870" s="39">
        <v>37078</v>
      </c>
      <c r="S5870" s="37">
        <v>5.2405999999999997</v>
      </c>
    </row>
    <row r="5871" spans="15:19" ht="15" x14ac:dyDescent="0.25">
      <c r="O5871"/>
      <c r="P5871"/>
      <c r="R5871" s="39">
        <v>37077</v>
      </c>
      <c r="S5871" s="37">
        <v>5.6852999999999998</v>
      </c>
    </row>
    <row r="5872" spans="15:19" ht="15" x14ac:dyDescent="0.25">
      <c r="O5872"/>
      <c r="P5872"/>
      <c r="R5872" s="39">
        <v>37076</v>
      </c>
      <c r="S5872" s="37">
        <v>5.6444999999999999</v>
      </c>
    </row>
    <row r="5873" spans="15:19" ht="15" x14ac:dyDescent="0.25">
      <c r="O5873"/>
      <c r="P5873"/>
      <c r="R5873" s="39">
        <v>37075</v>
      </c>
      <c r="S5873" s="37">
        <v>5.5659999999999998</v>
      </c>
    </row>
    <row r="5874" spans="15:19" ht="15" x14ac:dyDescent="0.25">
      <c r="O5874"/>
      <c r="P5874"/>
      <c r="R5874" s="39">
        <v>37074</v>
      </c>
      <c r="S5874" s="37">
        <v>5.3075000000000001</v>
      </c>
    </row>
    <row r="5875" spans="15:19" ht="15" x14ac:dyDescent="0.25">
      <c r="O5875"/>
      <c r="P5875"/>
      <c r="R5875" s="39">
        <v>37071</v>
      </c>
      <c r="S5875" s="37">
        <v>4.7081999999999997</v>
      </c>
    </row>
    <row r="5876" spans="15:19" ht="15" x14ac:dyDescent="0.25">
      <c r="O5876"/>
      <c r="P5876"/>
      <c r="R5876" s="39">
        <v>37070</v>
      </c>
      <c r="S5876" s="37">
        <v>4.5517000000000003</v>
      </c>
    </row>
    <row r="5877" spans="15:19" ht="15" x14ac:dyDescent="0.25">
      <c r="O5877"/>
      <c r="P5877"/>
      <c r="R5877" s="39">
        <v>37069</v>
      </c>
      <c r="S5877" s="37">
        <v>4.5430999999999999</v>
      </c>
    </row>
    <row r="5878" spans="15:19" ht="15" x14ac:dyDescent="0.25">
      <c r="O5878"/>
      <c r="P5878"/>
      <c r="R5878" s="39">
        <v>37068</v>
      </c>
      <c r="S5878" s="37">
        <v>4.3471000000000002</v>
      </c>
    </row>
    <row r="5879" spans="15:19" ht="15" x14ac:dyDescent="0.25">
      <c r="O5879"/>
      <c r="P5879"/>
      <c r="R5879" s="39">
        <v>37067</v>
      </c>
      <c r="S5879" s="37">
        <v>4.3925000000000001</v>
      </c>
    </row>
    <row r="5880" spans="15:19" ht="15" x14ac:dyDescent="0.25">
      <c r="O5880"/>
      <c r="P5880"/>
      <c r="R5880" s="39">
        <v>37064</v>
      </c>
      <c r="S5880" s="37">
        <v>4.2611999999999997</v>
      </c>
    </row>
    <row r="5881" spans="15:19" ht="15" x14ac:dyDescent="0.25">
      <c r="O5881"/>
      <c r="P5881"/>
      <c r="R5881" s="39">
        <v>37063</v>
      </c>
      <c r="S5881" s="37">
        <v>4.2938000000000001</v>
      </c>
    </row>
    <row r="5882" spans="15:19" ht="15" x14ac:dyDescent="0.25">
      <c r="O5882"/>
      <c r="P5882"/>
      <c r="R5882" s="39">
        <v>37062</v>
      </c>
      <c r="S5882" s="37">
        <v>4.3697999999999997</v>
      </c>
    </row>
    <row r="5883" spans="15:19" ht="15" x14ac:dyDescent="0.25">
      <c r="O5883"/>
      <c r="P5883"/>
      <c r="R5883" s="39">
        <v>37061</v>
      </c>
      <c r="S5883" s="37">
        <v>4.4211</v>
      </c>
    </row>
    <row r="5884" spans="15:19" ht="15" x14ac:dyDescent="0.25">
      <c r="O5884"/>
      <c r="P5884"/>
      <c r="R5884" s="39">
        <v>37060</v>
      </c>
      <c r="S5884" s="37">
        <v>4.4592999999999998</v>
      </c>
    </row>
    <row r="5885" spans="15:19" ht="15" x14ac:dyDescent="0.25">
      <c r="O5885"/>
      <c r="P5885"/>
      <c r="R5885" s="39">
        <v>37057</v>
      </c>
      <c r="S5885" s="37">
        <v>4.4995000000000003</v>
      </c>
    </row>
    <row r="5886" spans="15:19" ht="15" x14ac:dyDescent="0.25">
      <c r="O5886"/>
      <c r="P5886"/>
      <c r="R5886" s="39">
        <v>37056</v>
      </c>
      <c r="S5886" s="37">
        <v>5.7991999999999999</v>
      </c>
    </row>
    <row r="5887" spans="15:19" ht="15" x14ac:dyDescent="0.25">
      <c r="O5887"/>
      <c r="P5887"/>
      <c r="R5887" s="39">
        <v>37055</v>
      </c>
      <c r="S5887" s="37">
        <v>5.4447999999999999</v>
      </c>
    </row>
    <row r="5888" spans="15:19" ht="15" x14ac:dyDescent="0.25">
      <c r="O5888"/>
      <c r="P5888"/>
      <c r="R5888" s="39">
        <v>37054</v>
      </c>
      <c r="S5888" s="37">
        <v>5.3503999999999996</v>
      </c>
    </row>
    <row r="5889" spans="15:19" ht="15" x14ac:dyDescent="0.25">
      <c r="O5889"/>
      <c r="P5889"/>
      <c r="R5889" s="39">
        <v>37053</v>
      </c>
      <c r="S5889" s="37">
        <v>4.9054000000000002</v>
      </c>
    </row>
    <row r="5890" spans="15:19" ht="15" x14ac:dyDescent="0.25">
      <c r="O5890"/>
      <c r="P5890"/>
      <c r="R5890" s="39">
        <v>37050</v>
      </c>
      <c r="S5890" s="37">
        <v>4.8433000000000002</v>
      </c>
    </row>
    <row r="5891" spans="15:19" ht="15" x14ac:dyDescent="0.25">
      <c r="O5891"/>
      <c r="P5891"/>
      <c r="R5891" s="39">
        <v>37049</v>
      </c>
      <c r="S5891" s="37">
        <v>4.8372999999999999</v>
      </c>
    </row>
    <row r="5892" spans="15:19" ht="15" x14ac:dyDescent="0.25">
      <c r="O5892"/>
      <c r="P5892"/>
      <c r="R5892" s="39">
        <v>37048</v>
      </c>
      <c r="S5892" s="37">
        <v>4.9321999999999999</v>
      </c>
    </row>
    <row r="5893" spans="15:19" ht="15" x14ac:dyDescent="0.25">
      <c r="O5893"/>
      <c r="P5893"/>
      <c r="R5893" s="39">
        <v>37047</v>
      </c>
      <c r="S5893" s="37">
        <v>4.9884000000000004</v>
      </c>
    </row>
    <row r="5894" spans="15:19" ht="15" x14ac:dyDescent="0.25">
      <c r="O5894"/>
      <c r="P5894"/>
      <c r="R5894" s="39">
        <v>37046</v>
      </c>
      <c r="S5894" s="37">
        <v>5.2653999999999996</v>
      </c>
    </row>
    <row r="5895" spans="15:19" ht="15" x14ac:dyDescent="0.25">
      <c r="O5895"/>
      <c r="P5895"/>
      <c r="R5895" s="39">
        <v>37043</v>
      </c>
      <c r="S5895" s="37">
        <v>5.1582999999999997</v>
      </c>
    </row>
    <row r="5896" spans="15:19" ht="15" x14ac:dyDescent="0.25">
      <c r="O5896"/>
      <c r="P5896"/>
      <c r="R5896" s="39">
        <v>37042</v>
      </c>
      <c r="S5896" s="37">
        <v>5.9055999999999997</v>
      </c>
    </row>
    <row r="5897" spans="15:19" ht="15" x14ac:dyDescent="0.25">
      <c r="O5897"/>
      <c r="P5897"/>
      <c r="R5897" s="39">
        <v>37041</v>
      </c>
      <c r="S5897" s="37">
        <v>5.4730999999999996</v>
      </c>
    </row>
    <row r="5898" spans="15:19" ht="15" x14ac:dyDescent="0.25">
      <c r="O5898"/>
      <c r="P5898"/>
      <c r="R5898" s="39">
        <v>37040</v>
      </c>
      <c r="S5898" s="37">
        <v>4.9378000000000002</v>
      </c>
    </row>
    <row r="5899" spans="15:19" ht="15" x14ac:dyDescent="0.25">
      <c r="O5899"/>
      <c r="P5899"/>
      <c r="R5899" s="39">
        <v>37036</v>
      </c>
      <c r="S5899" s="37">
        <v>4.6485000000000003</v>
      </c>
    </row>
    <row r="5900" spans="15:19" ht="15" x14ac:dyDescent="0.25">
      <c r="O5900"/>
      <c r="P5900"/>
      <c r="R5900" s="39">
        <v>37035</v>
      </c>
      <c r="S5900" s="37">
        <v>4.9031000000000002</v>
      </c>
    </row>
    <row r="5901" spans="15:19" ht="15" x14ac:dyDescent="0.25">
      <c r="O5901"/>
      <c r="P5901"/>
      <c r="R5901" s="39">
        <v>37034</v>
      </c>
      <c r="S5901" s="37">
        <v>4.9134000000000002</v>
      </c>
    </row>
    <row r="5902" spans="15:19" ht="15" x14ac:dyDescent="0.25">
      <c r="O5902"/>
      <c r="P5902"/>
      <c r="R5902" s="39">
        <v>37033</v>
      </c>
      <c r="S5902" s="37">
        <v>4.8882000000000003</v>
      </c>
    </row>
    <row r="5903" spans="15:19" ht="15" x14ac:dyDescent="0.25">
      <c r="O5903"/>
      <c r="P5903"/>
      <c r="R5903" s="39">
        <v>37032</v>
      </c>
      <c r="S5903" s="37">
        <v>5.1208999999999998</v>
      </c>
    </row>
    <row r="5904" spans="15:19" ht="15" x14ac:dyDescent="0.25">
      <c r="O5904"/>
      <c r="P5904"/>
      <c r="R5904" s="39">
        <v>37029</v>
      </c>
      <c r="S5904" s="37">
        <v>5.0358999999999998</v>
      </c>
    </row>
    <row r="5905" spans="15:19" ht="15" x14ac:dyDescent="0.25">
      <c r="O5905"/>
      <c r="P5905"/>
      <c r="R5905" s="39">
        <v>37028</v>
      </c>
      <c r="S5905" s="37">
        <v>5.0335999999999999</v>
      </c>
    </row>
    <row r="5906" spans="15:19" ht="15" x14ac:dyDescent="0.25">
      <c r="O5906"/>
      <c r="P5906"/>
      <c r="R5906" s="39">
        <v>37027</v>
      </c>
      <c r="S5906" s="37">
        <v>5.6022999999999996</v>
      </c>
    </row>
    <row r="5907" spans="15:19" ht="15" x14ac:dyDescent="0.25">
      <c r="O5907"/>
      <c r="P5907"/>
      <c r="R5907" s="39">
        <v>37026</v>
      </c>
      <c r="S5907" s="37">
        <v>6.0406000000000004</v>
      </c>
    </row>
    <row r="5908" spans="15:19" ht="15" x14ac:dyDescent="0.25">
      <c r="O5908"/>
      <c r="P5908"/>
      <c r="R5908" s="39">
        <v>37025</v>
      </c>
      <c r="S5908" s="37">
        <v>5.8529999999999998</v>
      </c>
    </row>
    <row r="5909" spans="15:19" ht="15" x14ac:dyDescent="0.25">
      <c r="O5909"/>
      <c r="P5909"/>
      <c r="R5909" s="39">
        <v>37022</v>
      </c>
      <c r="S5909" s="37">
        <v>5.6528999999999998</v>
      </c>
    </row>
    <row r="5910" spans="15:19" ht="15" x14ac:dyDescent="0.25">
      <c r="O5910"/>
      <c r="P5910"/>
      <c r="R5910" s="39">
        <v>37021</v>
      </c>
      <c r="S5910" s="37">
        <v>6.1276999999999999</v>
      </c>
    </row>
    <row r="5911" spans="15:19" ht="15" x14ac:dyDescent="0.25">
      <c r="O5911"/>
      <c r="P5911"/>
      <c r="R5911" s="39">
        <v>37020</v>
      </c>
      <c r="S5911" s="37">
        <v>6.5986000000000002</v>
      </c>
    </row>
    <row r="5912" spans="15:19" ht="15" x14ac:dyDescent="0.25">
      <c r="O5912"/>
      <c r="P5912"/>
      <c r="R5912" s="39">
        <v>37019</v>
      </c>
      <c r="S5912" s="37">
        <v>6.524</v>
      </c>
    </row>
    <row r="5913" spans="15:19" ht="15" x14ac:dyDescent="0.25">
      <c r="O5913"/>
      <c r="P5913"/>
      <c r="R5913" s="39">
        <v>37015</v>
      </c>
      <c r="S5913" s="37">
        <v>6.0918000000000001</v>
      </c>
    </row>
    <row r="5914" spans="15:19" ht="15" x14ac:dyDescent="0.25">
      <c r="O5914"/>
      <c r="P5914"/>
      <c r="R5914" s="39">
        <v>37014</v>
      </c>
      <c r="S5914" s="37">
        <v>5.5822000000000003</v>
      </c>
    </row>
    <row r="5915" spans="15:19" ht="15" x14ac:dyDescent="0.25">
      <c r="O5915"/>
      <c r="P5915"/>
      <c r="R5915" s="39">
        <v>37013</v>
      </c>
      <c r="S5915" s="37">
        <v>5.4588000000000001</v>
      </c>
    </row>
    <row r="5916" spans="15:19" ht="15" x14ac:dyDescent="0.25">
      <c r="O5916"/>
      <c r="P5916"/>
      <c r="R5916" s="39">
        <v>37012</v>
      </c>
      <c r="S5916" s="37">
        <v>5.5335999999999999</v>
      </c>
    </row>
    <row r="5917" spans="15:19" ht="15" x14ac:dyDescent="0.25">
      <c r="O5917"/>
      <c r="P5917"/>
      <c r="R5917" s="39">
        <v>37011</v>
      </c>
      <c r="S5917" s="37">
        <v>5.1817000000000002</v>
      </c>
    </row>
    <row r="5918" spans="15:19" ht="15" x14ac:dyDescent="0.25">
      <c r="O5918"/>
      <c r="P5918"/>
      <c r="R5918" s="39">
        <v>37008</v>
      </c>
      <c r="S5918" s="37">
        <v>5.1337999999999999</v>
      </c>
    </row>
    <row r="5919" spans="15:19" ht="15" x14ac:dyDescent="0.25">
      <c r="O5919"/>
      <c r="P5919"/>
      <c r="R5919" s="39">
        <v>37007</v>
      </c>
      <c r="S5919" s="37">
        <v>4.9025999999999996</v>
      </c>
    </row>
    <row r="5920" spans="15:19" ht="15" x14ac:dyDescent="0.25">
      <c r="O5920"/>
      <c r="P5920"/>
      <c r="R5920" s="39">
        <v>37006</v>
      </c>
      <c r="S5920" s="37">
        <v>4.9248000000000003</v>
      </c>
    </row>
    <row r="5921" spans="15:19" ht="15" x14ac:dyDescent="0.25">
      <c r="O5921"/>
      <c r="P5921"/>
      <c r="R5921" s="39">
        <v>37005</v>
      </c>
      <c r="S5921" s="37">
        <v>5.0881999999999996</v>
      </c>
    </row>
    <row r="5922" spans="15:19" ht="15" x14ac:dyDescent="0.25">
      <c r="O5922"/>
      <c r="P5922"/>
      <c r="R5922" s="39">
        <v>37004</v>
      </c>
      <c r="S5922" s="37">
        <v>5.0164</v>
      </c>
    </row>
    <row r="5923" spans="15:19" ht="15" x14ac:dyDescent="0.25">
      <c r="O5923"/>
      <c r="P5923"/>
      <c r="R5923" s="39">
        <v>37001</v>
      </c>
      <c r="S5923" s="37">
        <v>4.7915999999999999</v>
      </c>
    </row>
    <row r="5924" spans="15:19" ht="15" x14ac:dyDescent="0.25">
      <c r="O5924"/>
      <c r="P5924"/>
      <c r="R5924" s="39">
        <v>37000</v>
      </c>
      <c r="S5924" s="37">
        <v>4.6429</v>
      </c>
    </row>
    <row r="5925" spans="15:19" ht="15" x14ac:dyDescent="0.25">
      <c r="O5925"/>
      <c r="P5925"/>
      <c r="R5925" s="39">
        <v>36999</v>
      </c>
      <c r="S5925" s="37">
        <v>4.7217000000000002</v>
      </c>
    </row>
    <row r="5926" spans="15:19" ht="15" x14ac:dyDescent="0.25">
      <c r="O5926"/>
      <c r="P5926"/>
      <c r="R5926" s="39">
        <v>36998</v>
      </c>
      <c r="S5926" s="37">
        <v>4.9318</v>
      </c>
    </row>
    <row r="5927" spans="15:19" ht="15" x14ac:dyDescent="0.25">
      <c r="O5927"/>
      <c r="P5927"/>
      <c r="R5927" s="39">
        <v>36993</v>
      </c>
      <c r="S5927" s="37">
        <v>4.0511999999999997</v>
      </c>
    </row>
    <row r="5928" spans="15:19" ht="15" x14ac:dyDescent="0.25">
      <c r="O5928"/>
      <c r="P5928"/>
      <c r="R5928" s="39">
        <v>36992</v>
      </c>
      <c r="S5928" s="37">
        <v>4.5148000000000001</v>
      </c>
    </row>
    <row r="5929" spans="15:19" ht="15" x14ac:dyDescent="0.25">
      <c r="O5929"/>
      <c r="P5929"/>
      <c r="R5929" s="39">
        <v>36991</v>
      </c>
      <c r="S5929" s="37">
        <v>5.8223000000000003</v>
      </c>
    </row>
    <row r="5930" spans="15:19" ht="15" x14ac:dyDescent="0.25">
      <c r="O5930"/>
      <c r="P5930"/>
      <c r="R5930" s="39">
        <v>36990</v>
      </c>
      <c r="S5930" s="37">
        <v>6.2392000000000003</v>
      </c>
    </row>
    <row r="5931" spans="15:19" ht="15" x14ac:dyDescent="0.25">
      <c r="O5931"/>
      <c r="P5931"/>
      <c r="R5931" s="39">
        <v>36987</v>
      </c>
      <c r="S5931" s="37">
        <v>5.0762</v>
      </c>
    </row>
    <row r="5932" spans="15:19" ht="15" x14ac:dyDescent="0.25">
      <c r="O5932"/>
      <c r="P5932"/>
      <c r="R5932" s="39">
        <v>36986</v>
      </c>
      <c r="S5932" s="37">
        <v>6.2586000000000004</v>
      </c>
    </row>
    <row r="5933" spans="15:19" ht="15" x14ac:dyDescent="0.25">
      <c r="O5933"/>
      <c r="P5933"/>
      <c r="R5933" s="39">
        <v>36985</v>
      </c>
      <c r="S5933" s="37">
        <v>6.7194000000000003</v>
      </c>
    </row>
    <row r="5934" spans="15:19" ht="15" x14ac:dyDescent="0.25">
      <c r="O5934"/>
      <c r="P5934"/>
      <c r="R5934" s="39">
        <v>36984</v>
      </c>
      <c r="S5934" s="37">
        <v>6.6007999999999996</v>
      </c>
    </row>
    <row r="5935" spans="15:19" ht="15" x14ac:dyDescent="0.25">
      <c r="O5935"/>
      <c r="P5935"/>
      <c r="R5935" s="39">
        <v>36983</v>
      </c>
      <c r="S5935" s="37">
        <v>6.3844000000000003</v>
      </c>
    </row>
    <row r="5936" spans="15:19" ht="15" x14ac:dyDescent="0.25">
      <c r="O5936"/>
      <c r="P5936"/>
      <c r="R5936" s="39">
        <v>36980</v>
      </c>
      <c r="S5936" s="37">
        <v>6.0529999999999999</v>
      </c>
    </row>
    <row r="5937" spans="15:19" ht="15" x14ac:dyDescent="0.25">
      <c r="O5937"/>
      <c r="P5937"/>
      <c r="R5937" s="39">
        <v>36979</v>
      </c>
      <c r="S5937" s="37">
        <v>6.1070000000000002</v>
      </c>
    </row>
    <row r="5938" spans="15:19" ht="15" x14ac:dyDescent="0.25">
      <c r="O5938"/>
      <c r="P5938"/>
      <c r="R5938" s="39">
        <v>36978</v>
      </c>
      <c r="S5938" s="37">
        <v>5.3936999999999999</v>
      </c>
    </row>
    <row r="5939" spans="15:19" ht="15" x14ac:dyDescent="0.25">
      <c r="O5939"/>
      <c r="P5939"/>
      <c r="R5939" s="39">
        <v>36977</v>
      </c>
      <c r="S5939" s="37">
        <v>5.9189999999999996</v>
      </c>
    </row>
    <row r="5940" spans="15:19" ht="15" x14ac:dyDescent="0.25">
      <c r="O5940"/>
      <c r="P5940"/>
      <c r="R5940" s="39">
        <v>36976</v>
      </c>
      <c r="S5940" s="37">
        <v>6.3067000000000002</v>
      </c>
    </row>
    <row r="5941" spans="15:19" ht="15" x14ac:dyDescent="0.25">
      <c r="O5941"/>
      <c r="P5941"/>
      <c r="R5941" s="39">
        <v>36973</v>
      </c>
      <c r="S5941" s="37">
        <v>5.3509000000000002</v>
      </c>
    </row>
    <row r="5942" spans="15:19" ht="15" x14ac:dyDescent="0.25">
      <c r="O5942"/>
      <c r="P5942"/>
      <c r="R5942" s="39">
        <v>36972</v>
      </c>
      <c r="S5942" s="37">
        <v>5.9063999999999997</v>
      </c>
    </row>
    <row r="5943" spans="15:19" ht="15" x14ac:dyDescent="0.25">
      <c r="O5943"/>
      <c r="P5943"/>
      <c r="R5943" s="39">
        <v>36971</v>
      </c>
      <c r="S5943" s="37">
        <v>5.7369000000000003</v>
      </c>
    </row>
    <row r="5944" spans="15:19" ht="15" x14ac:dyDescent="0.25">
      <c r="O5944"/>
      <c r="P5944"/>
      <c r="R5944" s="39">
        <v>36970</v>
      </c>
      <c r="S5944" s="37">
        <v>6.5143000000000004</v>
      </c>
    </row>
    <row r="5945" spans="15:19" ht="15" x14ac:dyDescent="0.25">
      <c r="O5945"/>
      <c r="P5945"/>
      <c r="R5945" s="39">
        <v>36969</v>
      </c>
      <c r="S5945" s="37">
        <v>6.1067</v>
      </c>
    </row>
    <row r="5946" spans="15:19" ht="15" x14ac:dyDescent="0.25">
      <c r="O5946"/>
      <c r="P5946"/>
      <c r="R5946" s="39">
        <v>36966</v>
      </c>
      <c r="S5946" s="37">
        <v>5.4303999999999997</v>
      </c>
    </row>
    <row r="5947" spans="15:19" ht="15" x14ac:dyDescent="0.25">
      <c r="O5947"/>
      <c r="P5947"/>
      <c r="R5947" s="39">
        <v>36965</v>
      </c>
      <c r="S5947" s="37">
        <v>4.7560000000000002</v>
      </c>
    </row>
    <row r="5948" spans="15:19" ht="15" x14ac:dyDescent="0.25">
      <c r="O5948"/>
      <c r="P5948"/>
      <c r="R5948" s="39">
        <v>36964</v>
      </c>
      <c r="S5948" s="37">
        <v>4.6988000000000003</v>
      </c>
    </row>
    <row r="5949" spans="15:19" ht="15" x14ac:dyDescent="0.25">
      <c r="O5949"/>
      <c r="P5949"/>
      <c r="R5949" s="39">
        <v>36963</v>
      </c>
      <c r="S5949" s="37">
        <v>4.7046000000000001</v>
      </c>
    </row>
    <row r="5950" spans="15:19" ht="15" x14ac:dyDescent="0.25">
      <c r="O5950"/>
      <c r="P5950"/>
      <c r="R5950" s="39">
        <v>36962</v>
      </c>
      <c r="S5950" s="37">
        <v>4.4938000000000002</v>
      </c>
    </row>
    <row r="5951" spans="15:19" ht="15" x14ac:dyDescent="0.25">
      <c r="O5951"/>
      <c r="P5951"/>
      <c r="R5951" s="39">
        <v>36959</v>
      </c>
      <c r="S5951" s="37">
        <v>4.6540999999999997</v>
      </c>
    </row>
    <row r="5952" spans="15:19" ht="15" x14ac:dyDescent="0.25">
      <c r="O5952"/>
      <c r="P5952"/>
      <c r="R5952" s="39">
        <v>36958</v>
      </c>
      <c r="S5952" s="37">
        <v>4.8228999999999997</v>
      </c>
    </row>
    <row r="5953" spans="15:19" ht="15" x14ac:dyDescent="0.25">
      <c r="O5953"/>
      <c r="P5953"/>
      <c r="R5953" s="39">
        <v>36957</v>
      </c>
      <c r="S5953" s="37">
        <v>4.8493000000000004</v>
      </c>
    </row>
    <row r="5954" spans="15:19" ht="15" x14ac:dyDescent="0.25">
      <c r="O5954"/>
      <c r="P5954"/>
      <c r="R5954" s="39">
        <v>36956</v>
      </c>
      <c r="S5954" s="37">
        <v>4.8981000000000003</v>
      </c>
    </row>
    <row r="5955" spans="15:19" ht="15" x14ac:dyDescent="0.25">
      <c r="O5955"/>
      <c r="P5955"/>
      <c r="R5955" s="39">
        <v>36955</v>
      </c>
      <c r="S5955" s="37">
        <v>5.2708000000000004</v>
      </c>
    </row>
    <row r="5956" spans="15:19" ht="15" x14ac:dyDescent="0.25">
      <c r="O5956"/>
      <c r="P5956"/>
      <c r="R5956" s="39">
        <v>36952</v>
      </c>
      <c r="S5956" s="37">
        <v>5.0331999999999999</v>
      </c>
    </row>
    <row r="5957" spans="15:19" ht="15" x14ac:dyDescent="0.25">
      <c r="O5957"/>
      <c r="P5957"/>
      <c r="R5957" s="39">
        <v>36951</v>
      </c>
      <c r="S5957" s="37">
        <v>5.8304999999999998</v>
      </c>
    </row>
    <row r="5958" spans="15:19" ht="15" x14ac:dyDescent="0.25">
      <c r="O5958"/>
      <c r="P5958"/>
      <c r="R5958" s="39">
        <v>36950</v>
      </c>
      <c r="S5958" s="37">
        <v>6.3192000000000004</v>
      </c>
    </row>
    <row r="5959" spans="15:19" ht="15" x14ac:dyDescent="0.25">
      <c r="O5959"/>
      <c r="P5959"/>
      <c r="R5959" s="39">
        <v>36949</v>
      </c>
      <c r="S5959" s="37">
        <v>5.2664999999999997</v>
      </c>
    </row>
    <row r="5960" spans="15:19" ht="15" x14ac:dyDescent="0.25">
      <c r="O5960"/>
      <c r="P5960"/>
      <c r="R5960" s="39">
        <v>36948</v>
      </c>
      <c r="S5960" s="37">
        <v>5.0773999999999999</v>
      </c>
    </row>
    <row r="5961" spans="15:19" ht="15" x14ac:dyDescent="0.25">
      <c r="O5961"/>
      <c r="P5961"/>
      <c r="R5961" s="39">
        <v>36945</v>
      </c>
      <c r="S5961" s="37">
        <v>5.1642999999999999</v>
      </c>
    </row>
    <row r="5962" spans="15:19" ht="15" x14ac:dyDescent="0.25">
      <c r="O5962"/>
      <c r="P5962"/>
      <c r="R5962" s="39">
        <v>36944</v>
      </c>
      <c r="S5962" s="37">
        <v>5.0323000000000002</v>
      </c>
    </row>
    <row r="5963" spans="15:19" ht="15" x14ac:dyDescent="0.25">
      <c r="O5963"/>
      <c r="P5963"/>
      <c r="R5963" s="39">
        <v>36943</v>
      </c>
      <c r="S5963" s="37">
        <v>5.0730000000000004</v>
      </c>
    </row>
    <row r="5964" spans="15:19" ht="15" x14ac:dyDescent="0.25">
      <c r="O5964"/>
      <c r="P5964"/>
      <c r="R5964" s="39">
        <v>36942</v>
      </c>
      <c r="S5964" s="37">
        <v>5.4755000000000003</v>
      </c>
    </row>
    <row r="5965" spans="15:19" ht="15" x14ac:dyDescent="0.25">
      <c r="O5965"/>
      <c r="P5965"/>
      <c r="R5965" s="39">
        <v>36941</v>
      </c>
      <c r="S5965" s="37">
        <v>5.4119000000000002</v>
      </c>
    </row>
    <row r="5966" spans="15:19" ht="15" x14ac:dyDescent="0.25">
      <c r="O5966"/>
      <c r="P5966"/>
      <c r="R5966" s="39">
        <v>36938</v>
      </c>
      <c r="S5966" s="37">
        <v>5.9787999999999997</v>
      </c>
    </row>
    <row r="5967" spans="15:19" ht="15" x14ac:dyDescent="0.25">
      <c r="O5967"/>
      <c r="P5967"/>
      <c r="R5967" s="39">
        <v>36937</v>
      </c>
      <c r="S5967" s="37">
        <v>5.6226000000000003</v>
      </c>
    </row>
    <row r="5968" spans="15:19" ht="15" x14ac:dyDescent="0.25">
      <c r="O5968"/>
      <c r="P5968"/>
      <c r="R5968" s="39">
        <v>36936</v>
      </c>
      <c r="S5968" s="37">
        <v>5.6210000000000004</v>
      </c>
    </row>
    <row r="5969" spans="15:19" ht="15" x14ac:dyDescent="0.25">
      <c r="O5969"/>
      <c r="P5969"/>
      <c r="R5969" s="39">
        <v>36935</v>
      </c>
      <c r="S5969" s="37">
        <v>5.4936999999999996</v>
      </c>
    </row>
    <row r="5970" spans="15:19" ht="15" x14ac:dyDescent="0.25">
      <c r="O5970"/>
      <c r="P5970"/>
      <c r="R5970" s="39">
        <v>36934</v>
      </c>
      <c r="S5970" s="37">
        <v>5.5506000000000002</v>
      </c>
    </row>
    <row r="5971" spans="15:19" ht="15" x14ac:dyDescent="0.25">
      <c r="O5971"/>
      <c r="P5971"/>
      <c r="R5971" s="39">
        <v>36931</v>
      </c>
      <c r="S5971" s="37">
        <v>6.0045000000000002</v>
      </c>
    </row>
    <row r="5972" spans="15:19" ht="15" x14ac:dyDescent="0.25">
      <c r="O5972"/>
      <c r="P5972"/>
      <c r="R5972" s="39">
        <v>36930</v>
      </c>
      <c r="S5972" s="37">
        <v>6.5732999999999997</v>
      </c>
    </row>
    <row r="5973" spans="15:19" ht="15" x14ac:dyDescent="0.25">
      <c r="O5973"/>
      <c r="P5973"/>
      <c r="R5973" s="39">
        <v>36929</v>
      </c>
      <c r="S5973" s="37">
        <v>6.9340000000000002</v>
      </c>
    </row>
    <row r="5974" spans="15:19" ht="15" x14ac:dyDescent="0.25">
      <c r="O5974"/>
      <c r="P5974"/>
      <c r="R5974" s="39">
        <v>36928</v>
      </c>
      <c r="S5974" s="37">
        <v>6.8966000000000003</v>
      </c>
    </row>
    <row r="5975" spans="15:19" ht="15" x14ac:dyDescent="0.25">
      <c r="O5975"/>
      <c r="P5975"/>
      <c r="R5975" s="39">
        <v>36927</v>
      </c>
      <c r="S5975" s="37">
        <v>6.8071999999999999</v>
      </c>
    </row>
    <row r="5976" spans="15:19" ht="15" x14ac:dyDescent="0.25">
      <c r="O5976"/>
      <c r="P5976"/>
      <c r="R5976" s="39">
        <v>36924</v>
      </c>
      <c r="S5976" s="37">
        <v>5.8022</v>
      </c>
    </row>
    <row r="5977" spans="15:19" ht="15" x14ac:dyDescent="0.25">
      <c r="O5977"/>
      <c r="P5977"/>
      <c r="R5977" s="39">
        <v>36923</v>
      </c>
      <c r="S5977" s="37">
        <v>6.7888000000000002</v>
      </c>
    </row>
    <row r="5978" spans="15:19" ht="15" x14ac:dyDescent="0.25">
      <c r="O5978"/>
      <c r="P5978"/>
      <c r="R5978" s="39">
        <v>36922</v>
      </c>
      <c r="S5978" s="37">
        <v>6.3132999999999999</v>
      </c>
    </row>
    <row r="5979" spans="15:19" ht="15" x14ac:dyDescent="0.25">
      <c r="O5979"/>
      <c r="P5979"/>
      <c r="R5979" s="39">
        <v>36921</v>
      </c>
      <c r="S5979" s="37">
        <v>5.6353</v>
      </c>
    </row>
    <row r="5980" spans="15:19" ht="15" x14ac:dyDescent="0.25">
      <c r="O5980"/>
      <c r="P5980"/>
      <c r="R5980" s="39">
        <v>36920</v>
      </c>
      <c r="S5980" s="37">
        <v>5.7226999999999997</v>
      </c>
    </row>
    <row r="5981" spans="15:19" ht="15" x14ac:dyDescent="0.25">
      <c r="O5981"/>
      <c r="P5981"/>
      <c r="R5981" s="39">
        <v>36917</v>
      </c>
      <c r="S5981" s="37">
        <v>5.4442000000000004</v>
      </c>
    </row>
    <row r="5982" spans="15:19" ht="15" x14ac:dyDescent="0.25">
      <c r="O5982"/>
      <c r="P5982"/>
      <c r="R5982" s="39">
        <v>36916</v>
      </c>
      <c r="S5982" s="37">
        <v>6.3756000000000004</v>
      </c>
    </row>
    <row r="5983" spans="15:19" ht="15" x14ac:dyDescent="0.25">
      <c r="O5983"/>
      <c r="P5983"/>
      <c r="R5983" s="39">
        <v>36915</v>
      </c>
      <c r="S5983" s="37">
        <v>5.8631000000000002</v>
      </c>
    </row>
    <row r="5984" spans="15:19" ht="15" x14ac:dyDescent="0.25">
      <c r="O5984"/>
      <c r="P5984"/>
      <c r="R5984" s="39">
        <v>36914</v>
      </c>
      <c r="S5984" s="37">
        <v>5.4619</v>
      </c>
    </row>
    <row r="5985" spans="15:19" ht="15" x14ac:dyDescent="0.25">
      <c r="O5985"/>
      <c r="P5985"/>
      <c r="R5985" s="39">
        <v>36913</v>
      </c>
      <c r="S5985" s="37">
        <v>6.7104999999999997</v>
      </c>
    </row>
    <row r="5986" spans="15:19" ht="15" x14ac:dyDescent="0.25">
      <c r="O5986"/>
      <c r="P5986"/>
      <c r="R5986" s="39">
        <v>36910</v>
      </c>
      <c r="S5986" s="37">
        <v>6.4386999999999999</v>
      </c>
    </row>
    <row r="5987" spans="15:19" ht="15" x14ac:dyDescent="0.25">
      <c r="O5987"/>
      <c r="P5987"/>
      <c r="R5987" s="39">
        <v>36909</v>
      </c>
      <c r="S5987" s="37">
        <v>6.4398</v>
      </c>
    </row>
    <row r="5988" spans="15:19" ht="15" x14ac:dyDescent="0.25">
      <c r="O5988"/>
      <c r="P5988"/>
      <c r="R5988" s="39">
        <v>36908</v>
      </c>
      <c r="S5988" s="37">
        <v>6.0842000000000001</v>
      </c>
    </row>
    <row r="5989" spans="15:19" ht="15" x14ac:dyDescent="0.25">
      <c r="O5989"/>
      <c r="P5989"/>
      <c r="R5989" s="39">
        <v>36907</v>
      </c>
      <c r="S5989" s="37">
        <v>6.0571999999999999</v>
      </c>
    </row>
    <row r="5990" spans="15:19" ht="15" x14ac:dyDescent="0.25">
      <c r="O5990"/>
      <c r="P5990"/>
      <c r="R5990" s="39">
        <v>36906</v>
      </c>
      <c r="S5990" s="37">
        <v>6.1990999999999996</v>
      </c>
    </row>
    <row r="5991" spans="15:19" ht="15" x14ac:dyDescent="0.25">
      <c r="O5991"/>
      <c r="P5991"/>
      <c r="R5991" s="39">
        <v>36903</v>
      </c>
      <c r="S5991" s="37">
        <v>6.0412999999999997</v>
      </c>
    </row>
    <row r="5992" spans="15:19" ht="15" x14ac:dyDescent="0.25">
      <c r="O5992"/>
      <c r="P5992"/>
      <c r="R5992" s="39">
        <v>36902</v>
      </c>
      <c r="S5992" s="37">
        <v>6.3986000000000001</v>
      </c>
    </row>
    <row r="5993" spans="15:19" ht="15" x14ac:dyDescent="0.25">
      <c r="O5993"/>
      <c r="P5993"/>
      <c r="R5993" s="39">
        <v>36901</v>
      </c>
      <c r="S5993" s="37">
        <v>5.7468000000000004</v>
      </c>
    </row>
    <row r="5994" spans="15:19" ht="15" x14ac:dyDescent="0.25">
      <c r="O5994"/>
      <c r="P5994"/>
      <c r="R5994" s="39">
        <v>36900</v>
      </c>
      <c r="S5994" s="37">
        <v>5.2347999999999999</v>
      </c>
    </row>
    <row r="5995" spans="15:19" ht="15" x14ac:dyDescent="0.25">
      <c r="O5995"/>
      <c r="P5995"/>
      <c r="R5995" s="39">
        <v>36899</v>
      </c>
      <c r="S5995" s="37">
        <v>5.3785999999999996</v>
      </c>
    </row>
    <row r="5996" spans="15:19" ht="15" x14ac:dyDescent="0.25">
      <c r="O5996"/>
      <c r="P5996"/>
      <c r="R5996" s="39">
        <v>36896</v>
      </c>
      <c r="S5996" s="37">
        <v>5.3259999999999996</v>
      </c>
    </row>
    <row r="5997" spans="15:19" ht="15" x14ac:dyDescent="0.25">
      <c r="O5997"/>
      <c r="P5997"/>
      <c r="R5997" s="39">
        <v>36895</v>
      </c>
      <c r="S5997" s="37">
        <v>5.5259999999999998</v>
      </c>
    </row>
    <row r="5998" spans="15:19" ht="15" x14ac:dyDescent="0.25">
      <c r="O5998"/>
      <c r="P5998"/>
      <c r="R5998" s="39">
        <v>36894</v>
      </c>
      <c r="S5998" s="37">
        <v>6.0869</v>
      </c>
    </row>
    <row r="5999" spans="15:19" ht="15" x14ac:dyDescent="0.25">
      <c r="O5999"/>
      <c r="P5999"/>
      <c r="R5999" s="39">
        <v>36893</v>
      </c>
      <c r="S5999" s="37">
        <v>5.7732999999999999</v>
      </c>
    </row>
    <row r="6000" spans="15:19" ht="15" x14ac:dyDescent="0.25">
      <c r="O6000"/>
      <c r="P6000"/>
      <c r="R6000" s="39">
        <v>36889</v>
      </c>
      <c r="S6000" s="37">
        <v>4.3589000000000002</v>
      </c>
    </row>
    <row r="6001" spans="15:19" ht="15" x14ac:dyDescent="0.25">
      <c r="O6001"/>
      <c r="P6001"/>
      <c r="R6001" s="39">
        <v>36888</v>
      </c>
      <c r="S6001" s="37">
        <v>5.6771000000000003</v>
      </c>
    </row>
    <row r="6002" spans="15:19" ht="15" x14ac:dyDescent="0.25">
      <c r="O6002"/>
      <c r="P6002"/>
      <c r="R6002" s="39">
        <v>36887</v>
      </c>
      <c r="S6002" s="37">
        <v>6.3947000000000003</v>
      </c>
    </row>
    <row r="6003" spans="15:19" ht="15" x14ac:dyDescent="0.25">
      <c r="O6003"/>
      <c r="P6003"/>
      <c r="R6003" s="39">
        <v>36882</v>
      </c>
      <c r="S6003" s="37">
        <v>5.7760999999999996</v>
      </c>
    </row>
    <row r="6004" spans="15:19" ht="15" x14ac:dyDescent="0.25">
      <c r="O6004"/>
      <c r="P6004"/>
      <c r="R6004" s="39">
        <v>36881</v>
      </c>
      <c r="S6004" s="37">
        <v>5.0308000000000002</v>
      </c>
    </row>
    <row r="6005" spans="15:19" ht="15" x14ac:dyDescent="0.25">
      <c r="O6005"/>
      <c r="P6005"/>
      <c r="R6005" s="39">
        <v>36880</v>
      </c>
      <c r="S6005" s="37">
        <v>5.5176999999999996</v>
      </c>
    </row>
    <row r="6006" spans="15:19" ht="15" x14ac:dyDescent="0.25">
      <c r="O6006"/>
      <c r="P6006"/>
      <c r="R6006" s="39">
        <v>36879</v>
      </c>
      <c r="S6006" s="37">
        <v>5.7041000000000004</v>
      </c>
    </row>
    <row r="6007" spans="15:19" ht="15" x14ac:dyDescent="0.25">
      <c r="O6007"/>
      <c r="P6007"/>
      <c r="R6007" s="39">
        <v>36878</v>
      </c>
      <c r="S6007" s="37">
        <v>5.7203999999999997</v>
      </c>
    </row>
    <row r="6008" spans="15:19" ht="15" x14ac:dyDescent="0.25">
      <c r="O6008"/>
      <c r="P6008"/>
      <c r="R6008" s="39">
        <v>36875</v>
      </c>
      <c r="S6008" s="37">
        <v>5.8487</v>
      </c>
    </row>
    <row r="6009" spans="15:19" ht="15" x14ac:dyDescent="0.25">
      <c r="O6009"/>
      <c r="P6009"/>
      <c r="R6009" s="39">
        <v>36874</v>
      </c>
      <c r="S6009" s="37">
        <v>6.2721</v>
      </c>
    </row>
    <row r="6010" spans="15:19" ht="15" x14ac:dyDescent="0.25">
      <c r="O6010"/>
      <c r="P6010"/>
      <c r="R6010" s="39">
        <v>36873</v>
      </c>
      <c r="S6010" s="37">
        <v>5.7542999999999997</v>
      </c>
    </row>
    <row r="6011" spans="15:19" ht="15" x14ac:dyDescent="0.25">
      <c r="O6011"/>
      <c r="P6011"/>
      <c r="R6011" s="39">
        <v>36872</v>
      </c>
      <c r="S6011" s="37">
        <v>5.8616999999999999</v>
      </c>
    </row>
    <row r="6012" spans="15:19" ht="15" x14ac:dyDescent="0.25">
      <c r="O6012"/>
      <c r="P6012"/>
      <c r="R6012" s="39">
        <v>36871</v>
      </c>
      <c r="S6012" s="37">
        <v>5.9161000000000001</v>
      </c>
    </row>
    <row r="6013" spans="15:19" ht="15" x14ac:dyDescent="0.25">
      <c r="O6013"/>
      <c r="P6013"/>
      <c r="R6013" s="39">
        <v>36868</v>
      </c>
      <c r="S6013" s="37">
        <v>5.9843000000000002</v>
      </c>
    </row>
    <row r="6014" spans="15:19" ht="15" x14ac:dyDescent="0.25">
      <c r="O6014"/>
      <c r="P6014"/>
      <c r="R6014" s="39">
        <v>36867</v>
      </c>
      <c r="S6014" s="37">
        <v>6.0361000000000002</v>
      </c>
    </row>
    <row r="6015" spans="15:19" ht="15" x14ac:dyDescent="0.25">
      <c r="O6015"/>
      <c r="P6015"/>
      <c r="R6015" s="39">
        <v>36866</v>
      </c>
      <c r="S6015" s="37">
        <v>5.5586000000000002</v>
      </c>
    </row>
    <row r="6016" spans="15:19" ht="15" x14ac:dyDescent="0.25">
      <c r="O6016"/>
      <c r="P6016"/>
      <c r="R6016" s="39">
        <v>36865</v>
      </c>
      <c r="S6016" s="37">
        <v>5.6707999999999998</v>
      </c>
    </row>
    <row r="6017" spans="15:19" ht="15" x14ac:dyDescent="0.25">
      <c r="O6017"/>
      <c r="P6017"/>
      <c r="R6017" s="39">
        <v>36864</v>
      </c>
      <c r="S6017" s="37">
        <v>5.6824000000000003</v>
      </c>
    </row>
    <row r="6018" spans="15:19" ht="15" x14ac:dyDescent="0.25">
      <c r="O6018"/>
      <c r="P6018"/>
      <c r="R6018" s="39">
        <v>36861</v>
      </c>
      <c r="S6018" s="37">
        <v>6.2636000000000003</v>
      </c>
    </row>
    <row r="6019" spans="15:19" ht="15" x14ac:dyDescent="0.25">
      <c r="O6019"/>
      <c r="P6019"/>
      <c r="R6019" s="39">
        <v>36860</v>
      </c>
      <c r="S6019" s="37">
        <v>6.3055000000000003</v>
      </c>
    </row>
    <row r="6020" spans="15:19" ht="15" x14ac:dyDescent="0.25">
      <c r="O6020"/>
      <c r="P6020"/>
      <c r="R6020" s="39">
        <v>36859</v>
      </c>
      <c r="S6020" s="37">
        <v>5.6882000000000001</v>
      </c>
    </row>
    <row r="6021" spans="15:19" ht="15" x14ac:dyDescent="0.25">
      <c r="O6021"/>
      <c r="P6021"/>
      <c r="R6021" s="39">
        <v>36858</v>
      </c>
      <c r="S6021" s="37">
        <v>5.8959000000000001</v>
      </c>
    </row>
    <row r="6022" spans="15:19" ht="15" x14ac:dyDescent="0.25">
      <c r="O6022"/>
      <c r="P6022"/>
      <c r="R6022" s="39">
        <v>36857</v>
      </c>
      <c r="S6022" s="37">
        <v>5.6148999999999996</v>
      </c>
    </row>
    <row r="6023" spans="15:19" ht="15" x14ac:dyDescent="0.25">
      <c r="O6023"/>
      <c r="P6023"/>
      <c r="R6023" s="39">
        <v>36854</v>
      </c>
      <c r="S6023" s="37">
        <v>5.7855999999999996</v>
      </c>
    </row>
    <row r="6024" spans="15:19" ht="15" x14ac:dyDescent="0.25">
      <c r="O6024"/>
      <c r="P6024"/>
      <c r="R6024" s="39">
        <v>36853</v>
      </c>
      <c r="S6024" s="37">
        <v>6.4157999999999999</v>
      </c>
    </row>
    <row r="6025" spans="15:19" ht="15" x14ac:dyDescent="0.25">
      <c r="O6025"/>
      <c r="P6025"/>
      <c r="R6025" s="39">
        <v>36852</v>
      </c>
      <c r="S6025" s="37">
        <v>5.6806999999999999</v>
      </c>
    </row>
    <row r="6026" spans="15:19" ht="15" x14ac:dyDescent="0.25">
      <c r="O6026"/>
      <c r="P6026"/>
      <c r="R6026" s="39">
        <v>36851</v>
      </c>
      <c r="S6026" s="37">
        <v>6.0442</v>
      </c>
    </row>
    <row r="6027" spans="15:19" ht="15" x14ac:dyDescent="0.25">
      <c r="O6027"/>
      <c r="P6027"/>
      <c r="R6027" s="39">
        <v>36850</v>
      </c>
      <c r="S6027" s="37">
        <v>6.4222000000000001</v>
      </c>
    </row>
    <row r="6028" spans="15:19" ht="15" x14ac:dyDescent="0.25">
      <c r="O6028"/>
      <c r="P6028"/>
      <c r="R6028" s="39">
        <v>36847</v>
      </c>
      <c r="S6028" s="37">
        <v>6.2271000000000001</v>
      </c>
    </row>
    <row r="6029" spans="15:19" ht="15" x14ac:dyDescent="0.25">
      <c r="O6029"/>
      <c r="P6029"/>
      <c r="R6029" s="39">
        <v>36846</v>
      </c>
      <c r="S6029" s="37">
        <v>6.0050999999999997</v>
      </c>
    </row>
    <row r="6030" spans="15:19" ht="15" x14ac:dyDescent="0.25">
      <c r="O6030"/>
      <c r="P6030"/>
      <c r="R6030" s="39">
        <v>36845</v>
      </c>
      <c r="S6030" s="37">
        <v>5.7782999999999998</v>
      </c>
    </row>
    <row r="6031" spans="15:19" ht="15" x14ac:dyDescent="0.25">
      <c r="O6031"/>
      <c r="P6031"/>
      <c r="R6031" s="39">
        <v>36844</v>
      </c>
      <c r="S6031" s="37">
        <v>6.4767000000000001</v>
      </c>
    </row>
    <row r="6032" spans="15:19" ht="15" x14ac:dyDescent="0.25">
      <c r="O6032"/>
      <c r="P6032"/>
      <c r="R6032" s="39">
        <v>36843</v>
      </c>
      <c r="S6032" s="37">
        <v>6.2153</v>
      </c>
    </row>
    <row r="6033" spans="15:19" ht="15" x14ac:dyDescent="0.25">
      <c r="O6033"/>
      <c r="P6033"/>
      <c r="R6033" s="39">
        <v>36840</v>
      </c>
      <c r="S6033" s="37">
        <v>5.8131000000000004</v>
      </c>
    </row>
    <row r="6034" spans="15:19" ht="15" x14ac:dyDescent="0.25">
      <c r="O6034"/>
      <c r="P6034"/>
      <c r="R6034" s="39">
        <v>36839</v>
      </c>
      <c r="S6034" s="37">
        <v>6.0743</v>
      </c>
    </row>
    <row r="6035" spans="15:19" ht="15" x14ac:dyDescent="0.25">
      <c r="O6035"/>
      <c r="P6035"/>
      <c r="R6035" s="39">
        <v>36838</v>
      </c>
      <c r="S6035" s="37">
        <v>5.7274000000000003</v>
      </c>
    </row>
    <row r="6036" spans="15:19" ht="15" x14ac:dyDescent="0.25">
      <c r="O6036"/>
      <c r="P6036"/>
      <c r="R6036" s="39">
        <v>36837</v>
      </c>
      <c r="S6036" s="37">
        <v>6.1449999999999996</v>
      </c>
    </row>
    <row r="6037" spans="15:19" ht="15" x14ac:dyDescent="0.25">
      <c r="O6037"/>
      <c r="P6037"/>
      <c r="R6037" s="39">
        <v>36836</v>
      </c>
      <c r="S6037" s="37">
        <v>5.6277999999999997</v>
      </c>
    </row>
    <row r="6038" spans="15:19" ht="15" x14ac:dyDescent="0.25">
      <c r="O6038"/>
      <c r="P6038"/>
      <c r="R6038" s="39">
        <v>36833</v>
      </c>
      <c r="S6038" s="37">
        <v>5.9763999999999999</v>
      </c>
    </row>
    <row r="6039" spans="15:19" ht="15" x14ac:dyDescent="0.25">
      <c r="O6039"/>
      <c r="P6039"/>
      <c r="R6039" s="39">
        <v>36832</v>
      </c>
      <c r="S6039" s="37">
        <v>5.9550999999999998</v>
      </c>
    </row>
    <row r="6040" spans="15:19" ht="15" x14ac:dyDescent="0.25">
      <c r="O6040"/>
      <c r="P6040"/>
      <c r="R6040" s="39">
        <v>36831</v>
      </c>
      <c r="S6040" s="37">
        <v>5.7099000000000002</v>
      </c>
    </row>
    <row r="6041" spans="15:19" ht="15" x14ac:dyDescent="0.25">
      <c r="O6041"/>
      <c r="P6041"/>
      <c r="R6041" s="39">
        <v>36830</v>
      </c>
      <c r="S6041" s="37">
        <v>5.9875999999999996</v>
      </c>
    </row>
    <row r="6042" spans="15:19" ht="15" x14ac:dyDescent="0.25">
      <c r="O6042"/>
      <c r="P6042"/>
      <c r="R6042" s="39">
        <v>36829</v>
      </c>
      <c r="S6042" s="37">
        <v>5.6881000000000004</v>
      </c>
    </row>
    <row r="6043" spans="15:19" ht="15" x14ac:dyDescent="0.25">
      <c r="O6043"/>
      <c r="P6043"/>
      <c r="R6043" s="39">
        <v>36826</v>
      </c>
      <c r="S6043" s="37">
        <v>5.6664000000000003</v>
      </c>
    </row>
    <row r="6044" spans="15:19" ht="15" x14ac:dyDescent="0.25">
      <c r="O6044"/>
      <c r="P6044"/>
      <c r="R6044" s="39">
        <v>36825</v>
      </c>
      <c r="S6044" s="37">
        <v>5.7413999999999996</v>
      </c>
    </row>
    <row r="6045" spans="15:19" ht="15" x14ac:dyDescent="0.25">
      <c r="O6045"/>
      <c r="P6045"/>
      <c r="R6045" s="39">
        <v>36824</v>
      </c>
      <c r="S6045" s="37">
        <v>5.8121999999999998</v>
      </c>
    </row>
    <row r="6046" spans="15:19" ht="15" x14ac:dyDescent="0.25">
      <c r="O6046"/>
      <c r="P6046"/>
      <c r="R6046" s="39">
        <v>36823</v>
      </c>
      <c r="S6046" s="37">
        <v>6.14</v>
      </c>
    </row>
    <row r="6047" spans="15:19" ht="15" x14ac:dyDescent="0.25">
      <c r="O6047"/>
      <c r="P6047"/>
      <c r="R6047" s="39">
        <v>36822</v>
      </c>
      <c r="S6047" s="37">
        <v>5.9051</v>
      </c>
    </row>
    <row r="6048" spans="15:19" ht="15" x14ac:dyDescent="0.25">
      <c r="O6048"/>
      <c r="P6048"/>
      <c r="R6048" s="39">
        <v>36819</v>
      </c>
      <c r="S6048" s="37">
        <v>5.4646999999999997</v>
      </c>
    </row>
    <row r="6049" spans="15:19" ht="15" x14ac:dyDescent="0.25">
      <c r="O6049"/>
      <c r="P6049"/>
      <c r="R6049" s="39">
        <v>36818</v>
      </c>
      <c r="S6049" s="37">
        <v>5.5914999999999999</v>
      </c>
    </row>
    <row r="6050" spans="15:19" ht="15" x14ac:dyDescent="0.25">
      <c r="O6050"/>
      <c r="P6050"/>
      <c r="R6050" s="39">
        <v>36817</v>
      </c>
      <c r="S6050" s="37">
        <v>5.6645000000000003</v>
      </c>
    </row>
    <row r="6051" spans="15:19" ht="15" x14ac:dyDescent="0.25">
      <c r="O6051"/>
      <c r="P6051"/>
      <c r="R6051" s="39">
        <v>36816</v>
      </c>
      <c r="S6051" s="37">
        <v>5.5811000000000002</v>
      </c>
    </row>
    <row r="6052" spans="15:19" ht="15" x14ac:dyDescent="0.25">
      <c r="O6052"/>
      <c r="P6052"/>
      <c r="R6052" s="39">
        <v>36815</v>
      </c>
      <c r="S6052" s="37">
        <v>5.7226999999999997</v>
      </c>
    </row>
    <row r="6053" spans="15:19" ht="15" x14ac:dyDescent="0.25">
      <c r="O6053"/>
      <c r="P6053"/>
      <c r="R6053" s="39">
        <v>36812</v>
      </c>
      <c r="S6053" s="37">
        <v>5.5305</v>
      </c>
    </row>
    <row r="6054" spans="15:19" ht="15" x14ac:dyDescent="0.25">
      <c r="O6054"/>
      <c r="P6054"/>
      <c r="R6054" s="39">
        <v>36811</v>
      </c>
      <c r="S6054" s="37">
        <v>5.4973000000000001</v>
      </c>
    </row>
    <row r="6055" spans="15:19" ht="15" x14ac:dyDescent="0.25">
      <c r="O6055"/>
      <c r="P6055"/>
      <c r="R6055" s="39">
        <v>36810</v>
      </c>
      <c r="S6055" s="37">
        <v>5.6242999999999999</v>
      </c>
    </row>
    <row r="6056" spans="15:19" ht="15" x14ac:dyDescent="0.25">
      <c r="O6056"/>
      <c r="P6056"/>
      <c r="R6056" s="39">
        <v>36809</v>
      </c>
      <c r="S6056" s="37">
        <v>6.4856999999999996</v>
      </c>
    </row>
    <row r="6057" spans="15:19" ht="15" x14ac:dyDescent="0.25">
      <c r="O6057"/>
      <c r="P6057"/>
      <c r="R6057" s="39">
        <v>36808</v>
      </c>
      <c r="S6057" s="37">
        <v>6.1413000000000002</v>
      </c>
    </row>
    <row r="6058" spans="15:19" ht="15" x14ac:dyDescent="0.25">
      <c r="O6058"/>
      <c r="P6058"/>
      <c r="R6058" s="39">
        <v>36805</v>
      </c>
      <c r="S6058" s="37">
        <v>6.0712999999999999</v>
      </c>
    </row>
    <row r="6059" spans="15:19" ht="15" x14ac:dyDescent="0.25">
      <c r="O6059"/>
      <c r="P6059"/>
      <c r="R6059" s="39">
        <v>36804</v>
      </c>
      <c r="S6059" s="37">
        <v>5.6515000000000004</v>
      </c>
    </row>
    <row r="6060" spans="15:19" ht="15" x14ac:dyDescent="0.25">
      <c r="O6060"/>
      <c r="P6060"/>
      <c r="R6060" s="39">
        <v>36803</v>
      </c>
      <c r="S6060" s="37">
        <v>5.9852999999999996</v>
      </c>
    </row>
    <row r="6061" spans="15:19" ht="15" x14ac:dyDescent="0.25">
      <c r="O6061"/>
      <c r="P6061"/>
      <c r="R6061" s="39">
        <v>36802</v>
      </c>
      <c r="S6061" s="37">
        <v>6.1582999999999997</v>
      </c>
    </row>
    <row r="6062" spans="15:19" ht="15" x14ac:dyDescent="0.25">
      <c r="O6062"/>
      <c r="P6062"/>
      <c r="R6062" s="39">
        <v>36801</v>
      </c>
      <c r="S6062" s="37">
        <v>5.7862</v>
      </c>
    </row>
    <row r="6063" spans="15:19" ht="15" x14ac:dyDescent="0.25">
      <c r="O6063"/>
      <c r="P6063"/>
      <c r="R6063" s="39">
        <v>36798</v>
      </c>
      <c r="S6063" s="37">
        <v>6.1806000000000001</v>
      </c>
    </row>
    <row r="6064" spans="15:19" ht="15" x14ac:dyDescent="0.25">
      <c r="O6064"/>
      <c r="P6064"/>
      <c r="R6064" s="39">
        <v>36797</v>
      </c>
      <c r="S6064" s="37">
        <v>6.2138</v>
      </c>
    </row>
    <row r="6065" spans="15:19" ht="15" x14ac:dyDescent="0.25">
      <c r="O6065"/>
      <c r="P6065"/>
      <c r="R6065" s="39">
        <v>36796</v>
      </c>
      <c r="S6065" s="37">
        <v>6.5419</v>
      </c>
    </row>
    <row r="6066" spans="15:19" ht="15" x14ac:dyDescent="0.25">
      <c r="O6066"/>
      <c r="P6066"/>
      <c r="R6066" s="39">
        <v>36795</v>
      </c>
      <c r="S6066" s="37">
        <v>6.2991999999999999</v>
      </c>
    </row>
    <row r="6067" spans="15:19" ht="15" x14ac:dyDescent="0.25">
      <c r="O6067"/>
      <c r="P6067"/>
      <c r="R6067" s="39">
        <v>36794</v>
      </c>
      <c r="S6067" s="37">
        <v>5.7511000000000001</v>
      </c>
    </row>
    <row r="6068" spans="15:19" ht="15" x14ac:dyDescent="0.25">
      <c r="O6068"/>
      <c r="P6068"/>
      <c r="R6068" s="39">
        <v>36791</v>
      </c>
      <c r="S6068" s="37">
        <v>5.7305000000000001</v>
      </c>
    </row>
    <row r="6069" spans="15:19" ht="15" x14ac:dyDescent="0.25">
      <c r="O6069"/>
      <c r="P6069"/>
      <c r="R6069" s="39">
        <v>36790</v>
      </c>
      <c r="S6069" s="37">
        <v>6.0071000000000003</v>
      </c>
    </row>
    <row r="6070" spans="15:19" ht="15" x14ac:dyDescent="0.25">
      <c r="O6070"/>
      <c r="P6070"/>
      <c r="R6070" s="39">
        <v>36789</v>
      </c>
      <c r="S6070" s="37">
        <v>6.0441000000000003</v>
      </c>
    </row>
    <row r="6071" spans="15:19" ht="15" x14ac:dyDescent="0.25">
      <c r="O6071"/>
      <c r="P6071"/>
      <c r="R6071" s="39">
        <v>36788</v>
      </c>
      <c r="S6071" s="37">
        <v>6.1462000000000003</v>
      </c>
    </row>
    <row r="6072" spans="15:19" ht="15" x14ac:dyDescent="0.25">
      <c r="O6072"/>
      <c r="P6072"/>
      <c r="R6072" s="39">
        <v>36787</v>
      </c>
      <c r="S6072" s="37">
        <v>5.7531999999999996</v>
      </c>
    </row>
    <row r="6073" spans="15:19" ht="15" x14ac:dyDescent="0.25">
      <c r="O6073"/>
      <c r="P6073"/>
      <c r="R6073" s="39">
        <v>36784</v>
      </c>
      <c r="S6073" s="37">
        <v>5.8551000000000002</v>
      </c>
    </row>
    <row r="6074" spans="15:19" ht="15" x14ac:dyDescent="0.25">
      <c r="O6074"/>
      <c r="P6074"/>
      <c r="R6074" s="39">
        <v>36783</v>
      </c>
      <c r="S6074" s="37">
        <v>6.6844999999999999</v>
      </c>
    </row>
    <row r="6075" spans="15:19" ht="15" x14ac:dyDescent="0.25">
      <c r="O6075"/>
      <c r="P6075"/>
      <c r="R6075" s="39">
        <v>36782</v>
      </c>
      <c r="S6075" s="37">
        <v>6.6506999999999996</v>
      </c>
    </row>
    <row r="6076" spans="15:19" ht="15" x14ac:dyDescent="0.25">
      <c r="O6076"/>
      <c r="P6076"/>
      <c r="R6076" s="39">
        <v>36781</v>
      </c>
      <c r="S6076" s="37">
        <v>6.6734</v>
      </c>
    </row>
    <row r="6077" spans="15:19" ht="15" x14ac:dyDescent="0.25">
      <c r="O6077"/>
      <c r="P6077"/>
      <c r="R6077" s="39">
        <v>36780</v>
      </c>
      <c r="S6077" s="37">
        <v>6.3456000000000001</v>
      </c>
    </row>
    <row r="6078" spans="15:19" ht="15" x14ac:dyDescent="0.25">
      <c r="O6078"/>
      <c r="P6078"/>
      <c r="R6078" s="39">
        <v>36777</v>
      </c>
      <c r="S6078" s="37">
        <v>6.4371999999999998</v>
      </c>
    </row>
    <row r="6079" spans="15:19" ht="15" x14ac:dyDescent="0.25">
      <c r="O6079"/>
      <c r="P6079"/>
      <c r="R6079" s="39">
        <v>36776</v>
      </c>
      <c r="S6079" s="37">
        <v>6.4061000000000003</v>
      </c>
    </row>
    <row r="6080" spans="15:19" ht="15" x14ac:dyDescent="0.25">
      <c r="O6080"/>
      <c r="P6080"/>
      <c r="R6080" s="39">
        <v>36775</v>
      </c>
      <c r="S6080" s="37">
        <v>5.5902000000000003</v>
      </c>
    </row>
    <row r="6081" spans="15:19" ht="15" x14ac:dyDescent="0.25">
      <c r="O6081"/>
      <c r="P6081"/>
      <c r="R6081" s="39">
        <v>36774</v>
      </c>
      <c r="S6081" s="37">
        <v>5.8285</v>
      </c>
    </row>
    <row r="6082" spans="15:19" ht="15" x14ac:dyDescent="0.25">
      <c r="O6082"/>
      <c r="P6082"/>
      <c r="R6082" s="39">
        <v>36773</v>
      </c>
      <c r="S6082" s="37">
        <v>5.7728000000000002</v>
      </c>
    </row>
    <row r="6083" spans="15:19" ht="15" x14ac:dyDescent="0.25">
      <c r="O6083"/>
      <c r="P6083"/>
      <c r="R6083" s="39">
        <v>36770</v>
      </c>
      <c r="S6083" s="37">
        <v>5.7317</v>
      </c>
    </row>
    <row r="6084" spans="15:19" ht="15" x14ac:dyDescent="0.25">
      <c r="O6084"/>
      <c r="P6084"/>
      <c r="R6084" s="39">
        <v>36769</v>
      </c>
      <c r="S6084" s="37">
        <v>5.6946000000000003</v>
      </c>
    </row>
    <row r="6085" spans="15:19" ht="15" x14ac:dyDescent="0.25">
      <c r="O6085"/>
      <c r="P6085"/>
      <c r="R6085" s="39">
        <v>36768</v>
      </c>
      <c r="S6085" s="37">
        <v>5.7057000000000002</v>
      </c>
    </row>
    <row r="6086" spans="15:19" ht="15" x14ac:dyDescent="0.25">
      <c r="O6086"/>
      <c r="P6086"/>
      <c r="R6086" s="39">
        <v>36767</v>
      </c>
      <c r="S6086" s="37">
        <v>6.7793000000000001</v>
      </c>
    </row>
    <row r="6087" spans="15:19" ht="15" x14ac:dyDescent="0.25">
      <c r="O6087"/>
      <c r="P6087"/>
      <c r="R6087" s="39">
        <v>36763</v>
      </c>
      <c r="S6087" s="37">
        <v>5.9821</v>
      </c>
    </row>
    <row r="6088" spans="15:19" ht="15" x14ac:dyDescent="0.25">
      <c r="O6088"/>
      <c r="P6088"/>
      <c r="R6088" s="39">
        <v>36762</v>
      </c>
      <c r="S6088" s="37">
        <v>5.7816000000000001</v>
      </c>
    </row>
    <row r="6089" spans="15:19" ht="15" x14ac:dyDescent="0.25">
      <c r="O6089"/>
      <c r="P6089"/>
      <c r="R6089" s="39">
        <v>36761</v>
      </c>
      <c r="S6089" s="37">
        <v>6.3422999999999998</v>
      </c>
    </row>
    <row r="6090" spans="15:19" ht="15" x14ac:dyDescent="0.25">
      <c r="O6090"/>
      <c r="P6090"/>
      <c r="R6090" s="39">
        <v>36760</v>
      </c>
      <c r="S6090" s="37">
        <v>5.7352999999999996</v>
      </c>
    </row>
    <row r="6091" spans="15:19" ht="15" x14ac:dyDescent="0.25">
      <c r="O6091"/>
      <c r="P6091"/>
      <c r="R6091" s="39">
        <v>36759</v>
      </c>
      <c r="S6091" s="37">
        <v>5.7206999999999999</v>
      </c>
    </row>
    <row r="6092" spans="15:19" ht="15" x14ac:dyDescent="0.25">
      <c r="O6092"/>
      <c r="P6092"/>
      <c r="R6092" s="39">
        <v>36756</v>
      </c>
      <c r="S6092" s="37">
        <v>5.4545000000000003</v>
      </c>
    </row>
    <row r="6093" spans="15:19" ht="15" x14ac:dyDescent="0.25">
      <c r="O6093"/>
      <c r="P6093"/>
      <c r="R6093" s="39">
        <v>36755</v>
      </c>
      <c r="S6093" s="37">
        <v>5.4859999999999998</v>
      </c>
    </row>
    <row r="6094" spans="15:19" ht="15" x14ac:dyDescent="0.25">
      <c r="O6094"/>
      <c r="P6094"/>
      <c r="R6094" s="39">
        <v>36754</v>
      </c>
      <c r="S6094" s="37">
        <v>5.6075999999999997</v>
      </c>
    </row>
    <row r="6095" spans="15:19" ht="15" x14ac:dyDescent="0.25">
      <c r="O6095"/>
      <c r="P6095"/>
      <c r="R6095" s="39">
        <v>36753</v>
      </c>
      <c r="S6095" s="37">
        <v>5.7008000000000001</v>
      </c>
    </row>
    <row r="6096" spans="15:19" ht="15" x14ac:dyDescent="0.25">
      <c r="O6096"/>
      <c r="P6096"/>
      <c r="R6096" s="39">
        <v>36752</v>
      </c>
      <c r="S6096" s="37">
        <v>6.5434000000000001</v>
      </c>
    </row>
    <row r="6097" spans="15:19" ht="15" x14ac:dyDescent="0.25">
      <c r="O6097"/>
      <c r="P6097"/>
      <c r="R6097" s="39">
        <v>36749</v>
      </c>
      <c r="S6097" s="37">
        <v>6.1151</v>
      </c>
    </row>
    <row r="6098" spans="15:19" ht="15" x14ac:dyDescent="0.25">
      <c r="O6098"/>
      <c r="P6098"/>
      <c r="R6098" s="39">
        <v>36748</v>
      </c>
      <c r="S6098" s="37">
        <v>5.6104000000000003</v>
      </c>
    </row>
    <row r="6099" spans="15:19" ht="15" x14ac:dyDescent="0.25">
      <c r="O6099"/>
      <c r="P6099"/>
      <c r="R6099" s="39">
        <v>36747</v>
      </c>
      <c r="S6099" s="37">
        <v>5.7511999999999999</v>
      </c>
    </row>
    <row r="6100" spans="15:19" ht="15" x14ac:dyDescent="0.25">
      <c r="O6100"/>
      <c r="P6100"/>
      <c r="R6100" s="39">
        <v>36746</v>
      </c>
      <c r="S6100" s="37">
        <v>5.8560999999999996</v>
      </c>
    </row>
    <row r="6101" spans="15:19" ht="15" x14ac:dyDescent="0.25">
      <c r="O6101"/>
      <c r="P6101"/>
      <c r="R6101" s="39">
        <v>36745</v>
      </c>
      <c r="S6101" s="37">
        <v>5.7439</v>
      </c>
    </row>
    <row r="6102" spans="15:19" ht="15" x14ac:dyDescent="0.25">
      <c r="O6102"/>
      <c r="P6102"/>
      <c r="R6102" s="39">
        <v>36742</v>
      </c>
      <c r="S6102" s="37">
        <v>6.2903000000000002</v>
      </c>
    </row>
    <row r="6103" spans="15:19" ht="15" x14ac:dyDescent="0.25">
      <c r="O6103"/>
      <c r="P6103"/>
      <c r="R6103" s="39">
        <v>36741</v>
      </c>
      <c r="S6103" s="37">
        <v>6.2961</v>
      </c>
    </row>
    <row r="6104" spans="15:19" ht="15" x14ac:dyDescent="0.25">
      <c r="O6104"/>
      <c r="P6104"/>
      <c r="R6104" s="39">
        <v>36740</v>
      </c>
      <c r="S6104" s="37">
        <v>5.6139000000000001</v>
      </c>
    </row>
    <row r="6105" spans="15:19" ht="15" x14ac:dyDescent="0.25">
      <c r="O6105"/>
      <c r="P6105"/>
      <c r="R6105" s="39">
        <v>36739</v>
      </c>
      <c r="S6105" s="37">
        <v>5.6508000000000003</v>
      </c>
    </row>
    <row r="6106" spans="15:19" ht="15" x14ac:dyDescent="0.25">
      <c r="O6106"/>
      <c r="P6106"/>
      <c r="R6106" s="39">
        <v>36738</v>
      </c>
      <c r="S6106" s="37">
        <v>5.8456999999999999</v>
      </c>
    </row>
    <row r="6107" spans="15:19" ht="15" x14ac:dyDescent="0.25">
      <c r="O6107"/>
      <c r="P6107"/>
      <c r="R6107" s="39">
        <v>36735</v>
      </c>
      <c r="S6107" s="37">
        <v>5.8395999999999999</v>
      </c>
    </row>
    <row r="6108" spans="15:19" ht="15" x14ac:dyDescent="0.25">
      <c r="O6108"/>
      <c r="P6108"/>
      <c r="R6108" s="39">
        <v>36734</v>
      </c>
      <c r="S6108" s="37">
        <v>6.5343</v>
      </c>
    </row>
    <row r="6109" spans="15:19" ht="15" x14ac:dyDescent="0.25">
      <c r="O6109"/>
      <c r="P6109"/>
      <c r="R6109" s="39">
        <v>36733</v>
      </c>
      <c r="S6109" s="37">
        <v>5.8456999999999999</v>
      </c>
    </row>
    <row r="6110" spans="15:19" ht="15" x14ac:dyDescent="0.25">
      <c r="O6110"/>
      <c r="P6110"/>
      <c r="R6110" s="39">
        <v>36732</v>
      </c>
      <c r="S6110" s="37">
        <v>5.6898</v>
      </c>
    </row>
    <row r="6111" spans="15:19" ht="15" x14ac:dyDescent="0.25">
      <c r="O6111"/>
      <c r="P6111"/>
      <c r="R6111" s="39">
        <v>36731</v>
      </c>
      <c r="S6111" s="37">
        <v>5.6143000000000001</v>
      </c>
    </row>
    <row r="6112" spans="15:19" ht="15" x14ac:dyDescent="0.25">
      <c r="O6112"/>
      <c r="P6112"/>
      <c r="R6112" s="39">
        <v>36728</v>
      </c>
      <c r="S6112" s="37">
        <v>6.3387000000000002</v>
      </c>
    </row>
    <row r="6113" spans="15:19" ht="15" x14ac:dyDescent="0.25">
      <c r="O6113"/>
      <c r="P6113"/>
      <c r="R6113" s="39">
        <v>36727</v>
      </c>
      <c r="S6113" s="37">
        <v>6.7766000000000002</v>
      </c>
    </row>
    <row r="6114" spans="15:19" ht="15" x14ac:dyDescent="0.25">
      <c r="O6114"/>
      <c r="P6114"/>
      <c r="R6114" s="39">
        <v>36726</v>
      </c>
      <c r="S6114" s="37">
        <v>6.4737</v>
      </c>
    </row>
    <row r="6115" spans="15:19" ht="15" x14ac:dyDescent="0.25">
      <c r="O6115"/>
      <c r="P6115"/>
      <c r="R6115" s="39">
        <v>36725</v>
      </c>
      <c r="S6115" s="37">
        <v>6.1990999999999996</v>
      </c>
    </row>
    <row r="6116" spans="15:19" ht="15" x14ac:dyDescent="0.25">
      <c r="O6116"/>
      <c r="P6116"/>
      <c r="R6116" s="39">
        <v>36724</v>
      </c>
      <c r="S6116" s="37">
        <v>5.8204000000000002</v>
      </c>
    </row>
    <row r="6117" spans="15:19" ht="15" x14ac:dyDescent="0.25">
      <c r="O6117"/>
      <c r="P6117"/>
      <c r="R6117" s="39">
        <v>36721</v>
      </c>
      <c r="S6117" s="37">
        <v>5.7441000000000004</v>
      </c>
    </row>
    <row r="6118" spans="15:19" ht="15" x14ac:dyDescent="0.25">
      <c r="O6118"/>
      <c r="P6118"/>
      <c r="R6118" s="39">
        <v>36720</v>
      </c>
      <c r="S6118" s="37">
        <v>6.6003999999999996</v>
      </c>
    </row>
    <row r="6119" spans="15:19" ht="15" x14ac:dyDescent="0.25">
      <c r="O6119"/>
      <c r="P6119"/>
      <c r="R6119" s="39">
        <v>36719</v>
      </c>
      <c r="S6119" s="37">
        <v>6.6081000000000003</v>
      </c>
    </row>
    <row r="6120" spans="15:19" ht="15" x14ac:dyDescent="0.25">
      <c r="O6120"/>
      <c r="P6120"/>
      <c r="R6120" s="39">
        <v>36718</v>
      </c>
      <c r="S6120" s="37">
        <v>5.7648000000000001</v>
      </c>
    </row>
    <row r="6121" spans="15:19" ht="15" x14ac:dyDescent="0.25">
      <c r="O6121"/>
      <c r="P6121"/>
      <c r="R6121" s="39">
        <v>36717</v>
      </c>
      <c r="S6121" s="37">
        <v>5.7229000000000001</v>
      </c>
    </row>
    <row r="6122" spans="15:19" ht="15" x14ac:dyDescent="0.25">
      <c r="O6122"/>
      <c r="P6122"/>
      <c r="R6122" s="39">
        <v>36714</v>
      </c>
      <c r="S6122" s="37">
        <v>5.5963000000000003</v>
      </c>
    </row>
    <row r="6123" spans="15:19" ht="15" x14ac:dyDescent="0.25">
      <c r="O6123"/>
      <c r="P6123"/>
      <c r="R6123" s="39">
        <v>36713</v>
      </c>
      <c r="S6123" s="37">
        <v>6.0045999999999999</v>
      </c>
    </row>
    <row r="6124" spans="15:19" ht="15" x14ac:dyDescent="0.25">
      <c r="O6124"/>
      <c r="P6124"/>
      <c r="R6124" s="39">
        <v>36712</v>
      </c>
      <c r="S6124" s="37">
        <v>5.5810000000000004</v>
      </c>
    </row>
    <row r="6125" spans="15:19" ht="15" x14ac:dyDescent="0.25">
      <c r="O6125"/>
      <c r="P6125"/>
      <c r="R6125" s="39">
        <v>36711</v>
      </c>
      <c r="S6125" s="37">
        <v>5.7605000000000004</v>
      </c>
    </row>
    <row r="6126" spans="15:19" ht="15" x14ac:dyDescent="0.25">
      <c r="O6126"/>
      <c r="P6126"/>
      <c r="R6126" s="39">
        <v>36710</v>
      </c>
      <c r="S6126" s="37">
        <v>5.3601999999999999</v>
      </c>
    </row>
    <row r="6127" spans="15:19" ht="15" x14ac:dyDescent="0.25">
      <c r="O6127"/>
      <c r="P6127"/>
      <c r="R6127" s="39">
        <v>36707</v>
      </c>
      <c r="S6127" s="37">
        <v>5.2591999999999999</v>
      </c>
    </row>
    <row r="6128" spans="15:19" ht="15" x14ac:dyDescent="0.25">
      <c r="O6128"/>
      <c r="P6128"/>
      <c r="R6128" s="39">
        <v>36706</v>
      </c>
      <c r="S6128" s="37">
        <v>6.0537000000000001</v>
      </c>
    </row>
    <row r="6129" spans="15:19" ht="15" x14ac:dyDescent="0.25">
      <c r="O6129"/>
      <c r="P6129"/>
      <c r="R6129" s="39">
        <v>36705</v>
      </c>
      <c r="S6129" s="37">
        <v>6.3514999999999997</v>
      </c>
    </row>
    <row r="6130" spans="15:19" ht="15" x14ac:dyDescent="0.25">
      <c r="O6130"/>
      <c r="P6130"/>
      <c r="R6130" s="39">
        <v>36704</v>
      </c>
      <c r="S6130" s="37">
        <v>5.7256999999999998</v>
      </c>
    </row>
    <row r="6131" spans="15:19" ht="15" x14ac:dyDescent="0.25">
      <c r="O6131"/>
      <c r="P6131"/>
      <c r="R6131" s="39">
        <v>36703</v>
      </c>
      <c r="S6131" s="37">
        <v>5.7092000000000001</v>
      </c>
    </row>
    <row r="6132" spans="15:19" ht="15" x14ac:dyDescent="0.25">
      <c r="O6132"/>
      <c r="P6132"/>
      <c r="R6132" s="39">
        <v>36700</v>
      </c>
      <c r="S6132" s="37">
        <v>6.7774999999999999</v>
      </c>
    </row>
    <row r="6133" spans="15:19" ht="15" x14ac:dyDescent="0.25">
      <c r="O6133"/>
      <c r="P6133"/>
      <c r="R6133" s="39">
        <v>36699</v>
      </c>
      <c r="S6133" s="37">
        <v>6.5068999999999999</v>
      </c>
    </row>
    <row r="6134" spans="15:19" ht="15" x14ac:dyDescent="0.25">
      <c r="O6134"/>
      <c r="P6134"/>
      <c r="R6134" s="39">
        <v>36698</v>
      </c>
      <c r="S6134" s="37">
        <v>5.7431999999999999</v>
      </c>
    </row>
    <row r="6135" spans="15:19" ht="15" x14ac:dyDescent="0.25">
      <c r="O6135"/>
      <c r="P6135"/>
      <c r="R6135" s="39">
        <v>36697</v>
      </c>
      <c r="S6135" s="37">
        <v>6.2119999999999997</v>
      </c>
    </row>
    <row r="6136" spans="15:19" ht="15" x14ac:dyDescent="0.25">
      <c r="O6136"/>
      <c r="P6136"/>
      <c r="R6136" s="39">
        <v>36696</v>
      </c>
      <c r="S6136" s="37">
        <v>5.6417000000000002</v>
      </c>
    </row>
    <row r="6137" spans="15:19" ht="15" x14ac:dyDescent="0.25">
      <c r="O6137"/>
      <c r="P6137"/>
      <c r="R6137" s="39">
        <v>36693</v>
      </c>
      <c r="S6137" s="37">
        <v>5.5816999999999997</v>
      </c>
    </row>
    <row r="6138" spans="15:19" ht="15" x14ac:dyDescent="0.25">
      <c r="O6138"/>
      <c r="P6138"/>
      <c r="R6138" s="39">
        <v>36692</v>
      </c>
      <c r="S6138" s="37">
        <v>6.2218</v>
      </c>
    </row>
    <row r="6139" spans="15:19" ht="15" x14ac:dyDescent="0.25">
      <c r="O6139"/>
      <c r="P6139"/>
      <c r="R6139" s="39">
        <v>36691</v>
      </c>
      <c r="S6139" s="37">
        <v>5.6151</v>
      </c>
    </row>
    <row r="6140" spans="15:19" ht="15" x14ac:dyDescent="0.25">
      <c r="O6140"/>
      <c r="P6140"/>
      <c r="R6140" s="39">
        <v>36690</v>
      </c>
      <c r="S6140" s="37">
        <v>5.7503000000000002</v>
      </c>
    </row>
    <row r="6141" spans="15:19" ht="15" x14ac:dyDescent="0.25">
      <c r="O6141"/>
      <c r="P6141"/>
      <c r="R6141" s="39">
        <v>36689</v>
      </c>
      <c r="S6141" s="37">
        <v>5.7222</v>
      </c>
    </row>
    <row r="6142" spans="15:19" ht="15" x14ac:dyDescent="0.25">
      <c r="O6142"/>
      <c r="P6142"/>
      <c r="R6142" s="39">
        <v>36686</v>
      </c>
      <c r="S6142" s="37">
        <v>5.5629</v>
      </c>
    </row>
    <row r="6143" spans="15:19" ht="15" x14ac:dyDescent="0.25">
      <c r="O6143"/>
      <c r="P6143"/>
      <c r="R6143" s="39">
        <v>36685</v>
      </c>
      <c r="S6143" s="37">
        <v>6.5591999999999997</v>
      </c>
    </row>
    <row r="6144" spans="15:19" ht="15" x14ac:dyDescent="0.25">
      <c r="O6144"/>
      <c r="P6144"/>
      <c r="R6144" s="39">
        <v>36684</v>
      </c>
      <c r="S6144" s="37">
        <v>6.2445000000000004</v>
      </c>
    </row>
    <row r="6145" spans="15:19" ht="15" x14ac:dyDescent="0.25">
      <c r="O6145"/>
      <c r="P6145"/>
      <c r="R6145" s="39">
        <v>36683</v>
      </c>
      <c r="S6145" s="37">
        <v>5.5373999999999999</v>
      </c>
    </row>
    <row r="6146" spans="15:19" ht="15" x14ac:dyDescent="0.25">
      <c r="O6146"/>
      <c r="P6146"/>
      <c r="R6146" s="39">
        <v>36682</v>
      </c>
      <c r="S6146" s="37">
        <v>5.6544999999999996</v>
      </c>
    </row>
    <row r="6147" spans="15:19" ht="15" x14ac:dyDescent="0.25">
      <c r="O6147"/>
      <c r="P6147"/>
      <c r="R6147" s="39">
        <v>36679</v>
      </c>
      <c r="S6147" s="37">
        <v>5.6894999999999998</v>
      </c>
    </row>
    <row r="6148" spans="15:19" ht="15" x14ac:dyDescent="0.25">
      <c r="O6148"/>
      <c r="P6148"/>
      <c r="R6148" s="39">
        <v>36678</v>
      </c>
      <c r="S6148" s="37">
        <v>5.7500999999999998</v>
      </c>
    </row>
    <row r="6149" spans="15:19" ht="15" x14ac:dyDescent="0.25">
      <c r="O6149"/>
      <c r="P6149"/>
      <c r="R6149" s="39">
        <v>36677</v>
      </c>
      <c r="S6149" s="37">
        <v>5.9767999999999999</v>
      </c>
    </row>
    <row r="6150" spans="15:19" ht="15" x14ac:dyDescent="0.25">
      <c r="O6150"/>
      <c r="P6150"/>
      <c r="R6150" s="39">
        <v>36676</v>
      </c>
      <c r="S6150" s="37">
        <v>5.8159000000000001</v>
      </c>
    </row>
    <row r="6151" spans="15:19" ht="15" x14ac:dyDescent="0.25">
      <c r="O6151"/>
      <c r="P6151"/>
      <c r="R6151" s="39">
        <v>36672</v>
      </c>
      <c r="S6151" s="37">
        <v>5.6527000000000003</v>
      </c>
    </row>
    <row r="6152" spans="15:19" ht="15" x14ac:dyDescent="0.25">
      <c r="O6152"/>
      <c r="P6152"/>
      <c r="R6152" s="39">
        <v>36671</v>
      </c>
      <c r="S6152" s="37">
        <v>6.0278999999999998</v>
      </c>
    </row>
    <row r="6153" spans="15:19" ht="15" x14ac:dyDescent="0.25">
      <c r="O6153"/>
      <c r="P6153"/>
      <c r="R6153" s="39">
        <v>36670</v>
      </c>
      <c r="S6153" s="37">
        <v>5.8</v>
      </c>
    </row>
    <row r="6154" spans="15:19" ht="15" x14ac:dyDescent="0.25">
      <c r="O6154"/>
      <c r="P6154"/>
      <c r="R6154" s="39">
        <v>36669</v>
      </c>
      <c r="S6154" s="37">
        <v>6.3281000000000001</v>
      </c>
    </row>
    <row r="6155" spans="15:19" ht="15" x14ac:dyDescent="0.25">
      <c r="O6155"/>
      <c r="P6155"/>
      <c r="R6155" s="39">
        <v>36668</v>
      </c>
      <c r="S6155" s="37">
        <v>6.1506999999999996</v>
      </c>
    </row>
    <row r="6156" spans="15:19" ht="15" x14ac:dyDescent="0.25">
      <c r="O6156"/>
      <c r="P6156"/>
      <c r="R6156" s="39">
        <v>36665</v>
      </c>
      <c r="S6156" s="37">
        <v>5.6976000000000004</v>
      </c>
    </row>
    <row r="6157" spans="15:19" ht="15" x14ac:dyDescent="0.25">
      <c r="O6157"/>
      <c r="P6157"/>
      <c r="R6157" s="39">
        <v>36664</v>
      </c>
      <c r="S6157" s="37">
        <v>5.6338999999999997</v>
      </c>
    </row>
    <row r="6158" spans="15:19" ht="15" x14ac:dyDescent="0.25">
      <c r="O6158"/>
      <c r="P6158"/>
      <c r="R6158" s="39">
        <v>36663</v>
      </c>
      <c r="S6158" s="37">
        <v>5.8052999999999999</v>
      </c>
    </row>
    <row r="6159" spans="15:19" ht="15" x14ac:dyDescent="0.25">
      <c r="O6159"/>
      <c r="P6159"/>
      <c r="R6159" s="39">
        <v>36662</v>
      </c>
      <c r="S6159" s="37">
        <v>6.3564999999999996</v>
      </c>
    </row>
    <row r="6160" spans="15:19" ht="15" x14ac:dyDescent="0.25">
      <c r="O6160"/>
      <c r="P6160"/>
      <c r="R6160" s="39">
        <v>36661</v>
      </c>
      <c r="S6160" s="37">
        <v>5.9116</v>
      </c>
    </row>
    <row r="6161" spans="15:19" ht="15" x14ac:dyDescent="0.25">
      <c r="O6161"/>
      <c r="P6161"/>
      <c r="R6161" s="39">
        <v>36658</v>
      </c>
      <c r="S6161" s="37">
        <v>6.3722000000000003</v>
      </c>
    </row>
    <row r="6162" spans="15:19" ht="15" x14ac:dyDescent="0.25">
      <c r="O6162"/>
      <c r="P6162"/>
      <c r="R6162" s="39">
        <v>36657</v>
      </c>
      <c r="S6162" s="37">
        <v>6.0755999999999997</v>
      </c>
    </row>
    <row r="6163" spans="15:19" ht="15" x14ac:dyDescent="0.25">
      <c r="O6163"/>
      <c r="P6163"/>
      <c r="R6163" s="39">
        <v>36656</v>
      </c>
      <c r="S6163" s="37">
        <v>5.7731000000000003</v>
      </c>
    </row>
    <row r="6164" spans="15:19" ht="15" x14ac:dyDescent="0.25">
      <c r="O6164"/>
      <c r="P6164"/>
      <c r="R6164" s="39">
        <v>36655</v>
      </c>
      <c r="S6164" s="37">
        <v>5.7222999999999997</v>
      </c>
    </row>
    <row r="6165" spans="15:19" ht="15" x14ac:dyDescent="0.25">
      <c r="O6165"/>
      <c r="P6165"/>
      <c r="R6165" s="39">
        <v>36654</v>
      </c>
      <c r="S6165" s="37">
        <v>5.7084999999999999</v>
      </c>
    </row>
    <row r="6166" spans="15:19" ht="15" x14ac:dyDescent="0.25">
      <c r="O6166"/>
      <c r="P6166"/>
      <c r="R6166" s="39">
        <v>36651</v>
      </c>
      <c r="S6166" s="37">
        <v>5.8867000000000003</v>
      </c>
    </row>
    <row r="6167" spans="15:19" ht="15" x14ac:dyDescent="0.25">
      <c r="O6167"/>
      <c r="P6167"/>
      <c r="R6167" s="39">
        <v>36650</v>
      </c>
      <c r="S6167" s="37">
        <v>6.1485000000000003</v>
      </c>
    </row>
    <row r="6168" spans="15:19" ht="15" x14ac:dyDescent="0.25">
      <c r="O6168"/>
      <c r="P6168"/>
      <c r="R6168" s="39">
        <v>36649</v>
      </c>
      <c r="S6168" s="37">
        <v>5.5953999999999997</v>
      </c>
    </row>
    <row r="6169" spans="15:19" ht="15" x14ac:dyDescent="0.25">
      <c r="O6169"/>
      <c r="P6169"/>
      <c r="R6169" s="39">
        <v>36648</v>
      </c>
      <c r="S6169" s="37">
        <v>5.7169999999999996</v>
      </c>
    </row>
    <row r="6170" spans="15:19" ht="15" x14ac:dyDescent="0.25">
      <c r="O6170"/>
      <c r="P6170"/>
      <c r="R6170" s="39">
        <v>36644</v>
      </c>
      <c r="S6170" s="37">
        <v>5.8484999999999996</v>
      </c>
    </row>
    <row r="6171" spans="15:19" ht="15" x14ac:dyDescent="0.25">
      <c r="O6171"/>
      <c r="P6171"/>
      <c r="R6171" s="39">
        <v>36643</v>
      </c>
      <c r="S6171" s="37">
        <v>6.3859000000000004</v>
      </c>
    </row>
    <row r="6172" spans="15:19" ht="15" x14ac:dyDescent="0.25">
      <c r="O6172"/>
      <c r="P6172"/>
      <c r="R6172" s="39">
        <v>36642</v>
      </c>
      <c r="S6172" s="37">
        <v>6.0766999999999998</v>
      </c>
    </row>
    <row r="6173" spans="15:19" ht="15" x14ac:dyDescent="0.25">
      <c r="O6173"/>
      <c r="P6173"/>
      <c r="R6173" s="39">
        <v>36641</v>
      </c>
      <c r="S6173" s="37">
        <v>5.9393000000000002</v>
      </c>
    </row>
    <row r="6174" spans="15:19" ht="15" x14ac:dyDescent="0.25">
      <c r="O6174"/>
      <c r="P6174"/>
      <c r="R6174" s="39">
        <v>36636</v>
      </c>
      <c r="S6174" s="37">
        <v>6.2603999999999997</v>
      </c>
    </row>
    <row r="6175" spans="15:19" ht="15" x14ac:dyDescent="0.25">
      <c r="O6175"/>
      <c r="P6175"/>
      <c r="R6175" s="39">
        <v>36635</v>
      </c>
      <c r="S6175" s="37">
        <v>6.4177</v>
      </c>
    </row>
    <row r="6176" spans="15:19" ht="15" x14ac:dyDescent="0.25">
      <c r="O6176"/>
      <c r="P6176"/>
      <c r="R6176" s="39">
        <v>36634</v>
      </c>
      <c r="S6176" s="37">
        <v>5.9436</v>
      </c>
    </row>
    <row r="6177" spans="15:19" ht="15" x14ac:dyDescent="0.25">
      <c r="O6177"/>
      <c r="P6177"/>
      <c r="R6177" s="39">
        <v>36633</v>
      </c>
      <c r="S6177" s="37">
        <v>5.8734000000000002</v>
      </c>
    </row>
    <row r="6178" spans="15:19" ht="15" x14ac:dyDescent="0.25">
      <c r="O6178"/>
      <c r="P6178"/>
      <c r="R6178" s="39">
        <v>36630</v>
      </c>
      <c r="S6178" s="37">
        <v>5.6067999999999998</v>
      </c>
    </row>
    <row r="6179" spans="15:19" ht="15" x14ac:dyDescent="0.25">
      <c r="O6179"/>
      <c r="P6179"/>
      <c r="R6179" s="39">
        <v>36629</v>
      </c>
      <c r="S6179" s="37">
        <v>5.8132000000000001</v>
      </c>
    </row>
    <row r="6180" spans="15:19" ht="15" x14ac:dyDescent="0.25">
      <c r="O6180"/>
      <c r="P6180"/>
      <c r="R6180" s="39">
        <v>36628</v>
      </c>
      <c r="S6180" s="37">
        <v>5.9349999999999996</v>
      </c>
    </row>
    <row r="6181" spans="15:19" ht="15" x14ac:dyDescent="0.25">
      <c r="O6181"/>
      <c r="P6181"/>
      <c r="R6181" s="39">
        <v>36627</v>
      </c>
      <c r="S6181" s="37">
        <v>6.1984000000000004</v>
      </c>
    </row>
    <row r="6182" spans="15:19" ht="15" x14ac:dyDescent="0.25">
      <c r="O6182"/>
      <c r="P6182"/>
      <c r="R6182" s="39">
        <v>36626</v>
      </c>
      <c r="S6182" s="37">
        <v>6.1592000000000002</v>
      </c>
    </row>
    <row r="6183" spans="15:19" ht="15" x14ac:dyDescent="0.25">
      <c r="O6183"/>
      <c r="P6183"/>
      <c r="R6183" s="39">
        <v>36623</v>
      </c>
      <c r="S6183" s="37">
        <v>5.8689</v>
      </c>
    </row>
    <row r="6184" spans="15:19" ht="15" x14ac:dyDescent="0.25">
      <c r="O6184"/>
      <c r="P6184"/>
      <c r="R6184" s="39">
        <v>36622</v>
      </c>
      <c r="S6184" s="37">
        <v>5.8266999999999998</v>
      </c>
    </row>
    <row r="6185" spans="15:19" ht="15" x14ac:dyDescent="0.25">
      <c r="O6185"/>
      <c r="P6185"/>
      <c r="R6185" s="39">
        <v>36621</v>
      </c>
      <c r="S6185" s="37">
        <v>5.3954000000000004</v>
      </c>
    </row>
    <row r="6186" spans="15:19" ht="15" x14ac:dyDescent="0.25">
      <c r="O6186"/>
      <c r="P6186"/>
      <c r="R6186" s="39">
        <v>36620</v>
      </c>
      <c r="S6186" s="37">
        <v>5.5846999999999998</v>
      </c>
    </row>
    <row r="6187" spans="15:19" ht="15" x14ac:dyDescent="0.25">
      <c r="O6187"/>
      <c r="P6187"/>
      <c r="R6187" s="39">
        <v>36619</v>
      </c>
      <c r="S6187" s="37">
        <v>5.6913999999999998</v>
      </c>
    </row>
    <row r="6188" spans="15:19" ht="15" x14ac:dyDescent="0.25">
      <c r="O6188"/>
      <c r="P6188"/>
      <c r="R6188" s="39">
        <v>36616</v>
      </c>
      <c r="S6188" s="37">
        <v>5.7179000000000002</v>
      </c>
    </row>
    <row r="6189" spans="15:19" ht="15" x14ac:dyDescent="0.25">
      <c r="O6189"/>
      <c r="P6189"/>
      <c r="R6189" s="39">
        <v>36615</v>
      </c>
      <c r="S6189" s="37">
        <v>5.7660999999999998</v>
      </c>
    </row>
    <row r="6190" spans="15:19" ht="15" x14ac:dyDescent="0.25">
      <c r="O6190"/>
      <c r="P6190"/>
      <c r="R6190" s="39">
        <v>36614</v>
      </c>
      <c r="S6190" s="37">
        <v>5.5004</v>
      </c>
    </row>
    <row r="6191" spans="15:19" ht="15" x14ac:dyDescent="0.25">
      <c r="O6191"/>
      <c r="P6191"/>
      <c r="R6191" s="39">
        <v>36613</v>
      </c>
      <c r="S6191" s="37">
        <v>5.3094999999999999</v>
      </c>
    </row>
    <row r="6192" spans="15:19" ht="15" x14ac:dyDescent="0.25">
      <c r="O6192"/>
      <c r="P6192"/>
      <c r="R6192" s="39">
        <v>36612</v>
      </c>
      <c r="S6192" s="37">
        <v>5.4679000000000002</v>
      </c>
    </row>
    <row r="6193" spans="15:19" ht="15" x14ac:dyDescent="0.25">
      <c r="O6193"/>
      <c r="P6193"/>
      <c r="R6193" s="39">
        <v>36609</v>
      </c>
      <c r="S6193" s="37">
        <v>5.4785000000000004</v>
      </c>
    </row>
    <row r="6194" spans="15:19" ht="15" x14ac:dyDescent="0.25">
      <c r="O6194"/>
      <c r="P6194"/>
      <c r="R6194" s="39">
        <v>36608</v>
      </c>
      <c r="S6194" s="37">
        <v>5.6885000000000003</v>
      </c>
    </row>
    <row r="6195" spans="15:19" ht="15" x14ac:dyDescent="0.25">
      <c r="O6195"/>
      <c r="P6195"/>
      <c r="R6195" s="39">
        <v>36607</v>
      </c>
      <c r="S6195" s="37">
        <v>6.5235000000000003</v>
      </c>
    </row>
    <row r="6196" spans="15:19" ht="15" x14ac:dyDescent="0.25">
      <c r="O6196"/>
      <c r="P6196"/>
      <c r="R6196" s="39">
        <v>36606</v>
      </c>
      <c r="S6196" s="37">
        <v>6.1536999999999997</v>
      </c>
    </row>
    <row r="6197" spans="15:19" ht="15" x14ac:dyDescent="0.25">
      <c r="O6197"/>
      <c r="P6197"/>
      <c r="R6197" s="39">
        <v>36605</v>
      </c>
      <c r="S6197" s="37">
        <v>5.7717999999999998</v>
      </c>
    </row>
    <row r="6198" spans="15:19" ht="15" x14ac:dyDescent="0.25">
      <c r="O6198"/>
      <c r="P6198"/>
      <c r="R6198" s="39">
        <v>36602</v>
      </c>
      <c r="S6198" s="37">
        <v>6.2567000000000004</v>
      </c>
    </row>
    <row r="6199" spans="15:19" ht="15" x14ac:dyDescent="0.25">
      <c r="O6199"/>
      <c r="P6199"/>
      <c r="R6199" s="39">
        <v>36601</v>
      </c>
      <c r="S6199" s="37">
        <v>5.1976000000000004</v>
      </c>
    </row>
    <row r="6200" spans="15:19" ht="15" x14ac:dyDescent="0.25">
      <c r="O6200"/>
      <c r="P6200"/>
      <c r="R6200" s="39">
        <v>36600</v>
      </c>
      <c r="S6200" s="37">
        <v>5.2697000000000003</v>
      </c>
    </row>
    <row r="6201" spans="15:19" ht="15" x14ac:dyDescent="0.25">
      <c r="O6201"/>
      <c r="P6201"/>
      <c r="R6201" s="39">
        <v>36599</v>
      </c>
      <c r="S6201" s="37">
        <v>5.2996999999999996</v>
      </c>
    </row>
    <row r="6202" spans="15:19" ht="15" x14ac:dyDescent="0.25">
      <c r="O6202"/>
      <c r="P6202"/>
      <c r="R6202" s="39">
        <v>36598</v>
      </c>
      <c r="S6202" s="37">
        <v>5.4238</v>
      </c>
    </row>
    <row r="6203" spans="15:19" ht="15" x14ac:dyDescent="0.25">
      <c r="O6203"/>
      <c r="P6203"/>
      <c r="R6203" s="39">
        <v>36595</v>
      </c>
      <c r="S6203" s="37">
        <v>5.4667000000000003</v>
      </c>
    </row>
    <row r="6204" spans="15:19" ht="15" x14ac:dyDescent="0.25">
      <c r="O6204"/>
      <c r="P6204"/>
      <c r="R6204" s="39">
        <v>36594</v>
      </c>
      <c r="S6204" s="37">
        <v>5.7663000000000002</v>
      </c>
    </row>
    <row r="6205" spans="15:19" ht="15" x14ac:dyDescent="0.25">
      <c r="O6205"/>
      <c r="P6205"/>
      <c r="R6205" s="39">
        <v>36593</v>
      </c>
      <c r="S6205" s="37">
        <v>5.9069000000000003</v>
      </c>
    </row>
    <row r="6206" spans="15:19" ht="15" x14ac:dyDescent="0.25">
      <c r="O6206"/>
      <c r="P6206"/>
      <c r="R6206" s="39">
        <v>36592</v>
      </c>
      <c r="S6206" s="37">
        <v>6.2693000000000003</v>
      </c>
    </row>
    <row r="6207" spans="15:19" ht="15" x14ac:dyDescent="0.25">
      <c r="O6207"/>
      <c r="P6207"/>
      <c r="R6207" s="39">
        <v>36591</v>
      </c>
      <c r="S6207" s="37">
        <v>5.9165000000000001</v>
      </c>
    </row>
    <row r="6208" spans="15:19" ht="15" x14ac:dyDescent="0.25">
      <c r="O6208"/>
      <c r="P6208"/>
      <c r="R6208" s="39">
        <v>36588</v>
      </c>
      <c r="S6208" s="37">
        <v>5.8338000000000001</v>
      </c>
    </row>
    <row r="6209" spans="15:19" ht="15" x14ac:dyDescent="0.25">
      <c r="O6209"/>
      <c r="P6209"/>
      <c r="R6209" s="39">
        <v>36587</v>
      </c>
      <c r="S6209" s="37">
        <v>6.3003</v>
      </c>
    </row>
    <row r="6210" spans="15:19" ht="15" x14ac:dyDescent="0.25">
      <c r="O6210"/>
      <c r="P6210"/>
      <c r="R6210" s="39">
        <v>36586</v>
      </c>
      <c r="S6210" s="37">
        <v>6.2409999999999997</v>
      </c>
    </row>
    <row r="6211" spans="15:19" ht="15" x14ac:dyDescent="0.25">
      <c r="O6211"/>
      <c r="P6211"/>
      <c r="R6211" s="39">
        <v>36585</v>
      </c>
      <c r="S6211" s="37">
        <v>6.0053000000000001</v>
      </c>
    </row>
    <row r="6212" spans="15:19" ht="15" x14ac:dyDescent="0.25">
      <c r="O6212"/>
      <c r="P6212"/>
      <c r="R6212" s="39">
        <v>36584</v>
      </c>
      <c r="S6212" s="37">
        <v>5.8994</v>
      </c>
    </row>
    <row r="6213" spans="15:19" ht="15" x14ac:dyDescent="0.25">
      <c r="O6213"/>
      <c r="P6213"/>
      <c r="R6213" s="39">
        <v>36581</v>
      </c>
      <c r="S6213" s="37">
        <v>5.9295</v>
      </c>
    </row>
    <row r="6214" spans="15:19" ht="15" x14ac:dyDescent="0.25">
      <c r="O6214"/>
      <c r="P6214"/>
      <c r="R6214" s="39">
        <v>36580</v>
      </c>
      <c r="S6214" s="37">
        <v>6.3513999999999999</v>
      </c>
    </row>
    <row r="6215" spans="15:19" ht="15" x14ac:dyDescent="0.25">
      <c r="O6215"/>
      <c r="P6215"/>
      <c r="R6215" s="39">
        <v>36579</v>
      </c>
      <c r="S6215" s="37">
        <v>5.8503999999999996</v>
      </c>
    </row>
    <row r="6216" spans="15:19" ht="15" x14ac:dyDescent="0.25">
      <c r="O6216"/>
      <c r="P6216"/>
      <c r="R6216" s="39">
        <v>36578</v>
      </c>
      <c r="S6216" s="37">
        <v>6.1600999999999999</v>
      </c>
    </row>
    <row r="6217" spans="15:19" ht="15" x14ac:dyDescent="0.25">
      <c r="O6217"/>
      <c r="P6217"/>
      <c r="R6217" s="39">
        <v>36577</v>
      </c>
      <c r="S6217" s="37">
        <v>5.8418000000000001</v>
      </c>
    </row>
    <row r="6218" spans="15:19" ht="15" x14ac:dyDescent="0.25">
      <c r="O6218"/>
      <c r="P6218"/>
      <c r="R6218" s="39">
        <v>36574</v>
      </c>
      <c r="S6218" s="37">
        <v>6.1441999999999997</v>
      </c>
    </row>
    <row r="6219" spans="15:19" ht="15" x14ac:dyDescent="0.25">
      <c r="O6219"/>
      <c r="P6219"/>
      <c r="R6219" s="39">
        <v>36573</v>
      </c>
      <c r="S6219" s="37">
        <v>5.73</v>
      </c>
    </row>
    <row r="6220" spans="15:19" ht="15" x14ac:dyDescent="0.25">
      <c r="O6220"/>
      <c r="P6220"/>
      <c r="R6220" s="39">
        <v>36572</v>
      </c>
      <c r="S6220" s="37">
        <v>6.2270000000000003</v>
      </c>
    </row>
    <row r="6221" spans="15:19" ht="15" x14ac:dyDescent="0.25">
      <c r="O6221"/>
      <c r="P6221"/>
      <c r="R6221" s="39">
        <v>36571</v>
      </c>
      <c r="S6221" s="37">
        <v>6.0683999999999996</v>
      </c>
    </row>
    <row r="6222" spans="15:19" ht="15" x14ac:dyDescent="0.25">
      <c r="O6222"/>
      <c r="P6222"/>
      <c r="R6222" s="39">
        <v>36570</v>
      </c>
      <c r="S6222" s="37">
        <v>5.9245999999999999</v>
      </c>
    </row>
    <row r="6223" spans="15:19" ht="15" x14ac:dyDescent="0.25">
      <c r="O6223"/>
      <c r="P6223"/>
      <c r="R6223" s="39">
        <v>36567</v>
      </c>
      <c r="S6223" s="37">
        <v>5.8518999999999997</v>
      </c>
    </row>
    <row r="6224" spans="15:19" ht="15" x14ac:dyDescent="0.25">
      <c r="O6224"/>
      <c r="P6224"/>
      <c r="R6224" s="39">
        <v>36566</v>
      </c>
      <c r="S6224" s="37">
        <v>6.2416</v>
      </c>
    </row>
    <row r="6225" spans="15:19" ht="15" x14ac:dyDescent="0.25">
      <c r="O6225"/>
      <c r="P6225"/>
      <c r="R6225" s="39">
        <v>36565</v>
      </c>
      <c r="S6225" s="37">
        <v>4.6908000000000003</v>
      </c>
    </row>
    <row r="6226" spans="15:19" ht="15" x14ac:dyDescent="0.25">
      <c r="O6226"/>
      <c r="P6226"/>
      <c r="R6226" s="39">
        <v>36564</v>
      </c>
      <c r="S6226" s="37">
        <v>5.0384000000000002</v>
      </c>
    </row>
    <row r="6227" spans="15:19" ht="15" x14ac:dyDescent="0.25">
      <c r="O6227"/>
      <c r="P6227"/>
      <c r="R6227" s="39">
        <v>36563</v>
      </c>
      <c r="S6227" s="37">
        <v>5.2397999999999998</v>
      </c>
    </row>
    <row r="6228" spans="15:19" ht="15" x14ac:dyDescent="0.25">
      <c r="O6228"/>
      <c r="P6228"/>
      <c r="R6228" s="39">
        <v>36560</v>
      </c>
      <c r="S6228" s="37">
        <v>5.6334</v>
      </c>
    </row>
    <row r="6229" spans="15:19" ht="15" x14ac:dyDescent="0.25">
      <c r="O6229"/>
      <c r="P6229"/>
      <c r="R6229" s="39">
        <v>36559</v>
      </c>
      <c r="S6229" s="37">
        <v>5.8446999999999996</v>
      </c>
    </row>
    <row r="6230" spans="15:19" ht="15" x14ac:dyDescent="0.25">
      <c r="O6230"/>
      <c r="P6230"/>
      <c r="R6230" s="39">
        <v>36558</v>
      </c>
      <c r="S6230" s="37">
        <v>5.8505000000000003</v>
      </c>
    </row>
    <row r="6231" spans="15:19" ht="15" x14ac:dyDescent="0.25">
      <c r="O6231"/>
      <c r="P6231"/>
      <c r="R6231" s="39">
        <v>36557</v>
      </c>
      <c r="S6231" s="37">
        <v>6.1337999999999999</v>
      </c>
    </row>
    <row r="6232" spans="15:19" ht="15" x14ac:dyDescent="0.25">
      <c r="O6232"/>
      <c r="P6232"/>
      <c r="R6232" s="39">
        <v>36556</v>
      </c>
      <c r="S6232" s="37">
        <v>6.6059999999999999</v>
      </c>
    </row>
    <row r="6233" spans="15:19" ht="15" x14ac:dyDescent="0.25">
      <c r="O6233"/>
      <c r="P6233"/>
      <c r="R6233" s="39">
        <v>36553</v>
      </c>
      <c r="S6233" s="37">
        <v>6.0423999999999998</v>
      </c>
    </row>
    <row r="6234" spans="15:19" ht="15" x14ac:dyDescent="0.25">
      <c r="O6234"/>
      <c r="P6234"/>
      <c r="R6234" s="39">
        <v>36552</v>
      </c>
      <c r="S6234" s="37">
        <v>6.5168999999999997</v>
      </c>
    </row>
    <row r="6235" spans="15:19" ht="15" x14ac:dyDescent="0.25">
      <c r="O6235"/>
      <c r="P6235"/>
      <c r="R6235" s="39">
        <v>36551</v>
      </c>
      <c r="S6235" s="37">
        <v>6.0749000000000004</v>
      </c>
    </row>
    <row r="6236" spans="15:19" ht="15" x14ac:dyDescent="0.25">
      <c r="O6236"/>
      <c r="P6236"/>
      <c r="R6236" s="39">
        <v>36550</v>
      </c>
      <c r="S6236" s="37">
        <v>6.0594999999999999</v>
      </c>
    </row>
    <row r="6237" spans="15:19" ht="15" x14ac:dyDescent="0.25">
      <c r="O6237"/>
      <c r="P6237"/>
      <c r="R6237" s="39">
        <v>36549</v>
      </c>
      <c r="S6237" s="37">
        <v>5.8685999999999998</v>
      </c>
    </row>
    <row r="6238" spans="15:19" ht="15" x14ac:dyDescent="0.25">
      <c r="O6238"/>
      <c r="P6238"/>
      <c r="R6238" s="39">
        <v>36546</v>
      </c>
      <c r="S6238" s="37">
        <v>5.8912000000000004</v>
      </c>
    </row>
    <row r="6239" spans="15:19" ht="15" x14ac:dyDescent="0.25">
      <c r="O6239"/>
      <c r="P6239"/>
      <c r="R6239" s="39">
        <v>36545</v>
      </c>
      <c r="S6239" s="37">
        <v>6.0457999999999998</v>
      </c>
    </row>
    <row r="6240" spans="15:19" ht="15" x14ac:dyDescent="0.25">
      <c r="O6240"/>
      <c r="P6240"/>
      <c r="R6240" s="39">
        <v>36544</v>
      </c>
      <c r="S6240" s="37">
        <v>6.1642000000000001</v>
      </c>
    </row>
    <row r="6241" spans="15:19" ht="15" x14ac:dyDescent="0.25">
      <c r="O6241"/>
      <c r="P6241"/>
      <c r="R6241" s="39">
        <v>36543</v>
      </c>
      <c r="S6241" s="37">
        <v>5.5056000000000003</v>
      </c>
    </row>
    <row r="6242" spans="15:19" ht="15" x14ac:dyDescent="0.25">
      <c r="O6242"/>
      <c r="P6242"/>
      <c r="R6242" s="39">
        <v>36542</v>
      </c>
      <c r="S6242" s="37">
        <v>5.4603999999999999</v>
      </c>
    </row>
    <row r="6243" spans="15:19" ht="15" x14ac:dyDescent="0.25">
      <c r="O6243"/>
      <c r="P6243"/>
      <c r="R6243" s="39">
        <v>36539</v>
      </c>
      <c r="S6243" s="37">
        <v>5.0125999999999999</v>
      </c>
    </row>
    <row r="6244" spans="15:19" ht="15" x14ac:dyDescent="0.25">
      <c r="O6244"/>
      <c r="P6244"/>
      <c r="R6244" s="39">
        <v>36538</v>
      </c>
      <c r="S6244" s="37">
        <v>5.5285000000000002</v>
      </c>
    </row>
    <row r="6245" spans="15:19" ht="15" x14ac:dyDescent="0.25">
      <c r="O6245"/>
      <c r="P6245"/>
      <c r="R6245" s="39">
        <v>36537</v>
      </c>
      <c r="S6245" s="37">
        <v>3.6436000000000002</v>
      </c>
    </row>
    <row r="6246" spans="15:19" ht="15" x14ac:dyDescent="0.25">
      <c r="O6246"/>
      <c r="P6246"/>
      <c r="R6246" s="39">
        <v>36536</v>
      </c>
      <c r="S6246" s="37">
        <v>3.9485999999999999</v>
      </c>
    </row>
    <row r="6247" spans="15:19" ht="15" x14ac:dyDescent="0.25">
      <c r="O6247"/>
      <c r="P6247"/>
      <c r="R6247" s="39">
        <v>36535</v>
      </c>
      <c r="S6247" s="37">
        <v>4.2968000000000002</v>
      </c>
    </row>
    <row r="6248" spans="15:19" ht="15" x14ac:dyDescent="0.25">
      <c r="O6248"/>
      <c r="P6248"/>
      <c r="R6248" s="39">
        <v>36532</v>
      </c>
      <c r="S6248" s="37">
        <v>4.4172000000000002</v>
      </c>
    </row>
    <row r="6249" spans="15:19" ht="15" x14ac:dyDescent="0.25">
      <c r="O6249"/>
      <c r="P6249"/>
      <c r="R6249" s="39">
        <v>36531</v>
      </c>
      <c r="S6249" s="37">
        <v>4.9207999999999998</v>
      </c>
    </row>
    <row r="6250" spans="15:19" ht="15" x14ac:dyDescent="0.25">
      <c r="O6250"/>
      <c r="P6250"/>
      <c r="R6250" s="39">
        <v>36530</v>
      </c>
      <c r="S6250" s="37">
        <v>4.4584000000000001</v>
      </c>
    </row>
    <row r="6251" spans="15:19" ht="15" x14ac:dyDescent="0.25">
      <c r="O6251"/>
      <c r="P6251"/>
      <c r="R6251" s="39">
        <v>36529</v>
      </c>
      <c r="S6251" s="37">
        <v>4.5910000000000002</v>
      </c>
    </row>
    <row r="6252" spans="15:19" ht="15" x14ac:dyDescent="0.25">
      <c r="O6252"/>
      <c r="P6252"/>
      <c r="R6252" s="39">
        <v>36524</v>
      </c>
      <c r="S6252" s="37">
        <v>3.0423</v>
      </c>
    </row>
    <row r="6253" spans="15:19" ht="15" x14ac:dyDescent="0.25">
      <c r="O6253"/>
      <c r="P6253"/>
      <c r="R6253" s="39">
        <v>36523</v>
      </c>
      <c r="S6253" s="37">
        <v>3.1166999999999998</v>
      </c>
    </row>
    <row r="6254" spans="15:19" ht="15" x14ac:dyDescent="0.25">
      <c r="O6254"/>
      <c r="P6254"/>
      <c r="R6254" s="39">
        <v>36518</v>
      </c>
      <c r="S6254" s="37">
        <v>3.7324999999999999</v>
      </c>
    </row>
    <row r="6255" spans="15:19" ht="15" x14ac:dyDescent="0.25">
      <c r="O6255"/>
      <c r="P6255"/>
      <c r="R6255" s="39">
        <v>36517</v>
      </c>
      <c r="S6255" s="37">
        <v>4.6569000000000003</v>
      </c>
    </row>
    <row r="6256" spans="15:19" ht="15" x14ac:dyDescent="0.25">
      <c r="O6256"/>
      <c r="P6256"/>
      <c r="R6256" s="39">
        <v>36516</v>
      </c>
      <c r="S6256" s="37">
        <v>4.7001999999999997</v>
      </c>
    </row>
    <row r="6257" spans="15:19" ht="15" x14ac:dyDescent="0.25">
      <c r="O6257"/>
      <c r="P6257"/>
      <c r="R6257" s="39">
        <v>36515</v>
      </c>
      <c r="S6257" s="37">
        <v>4.7751999999999999</v>
      </c>
    </row>
    <row r="6258" spans="15:19" ht="15" x14ac:dyDescent="0.25">
      <c r="O6258"/>
      <c r="P6258"/>
      <c r="R6258" s="39">
        <v>36514</v>
      </c>
      <c r="S6258" s="37">
        <v>4.7861000000000002</v>
      </c>
    </row>
    <row r="6259" spans="15:19" ht="15" x14ac:dyDescent="0.25">
      <c r="O6259"/>
      <c r="P6259"/>
      <c r="R6259" s="39">
        <v>36511</v>
      </c>
      <c r="S6259" s="37">
        <v>4.9359000000000002</v>
      </c>
    </row>
    <row r="6260" spans="15:19" ht="15" x14ac:dyDescent="0.25">
      <c r="O6260"/>
      <c r="P6260"/>
      <c r="R6260" s="39">
        <v>36510</v>
      </c>
      <c r="S6260" s="37">
        <v>5.2885999999999997</v>
      </c>
    </row>
    <row r="6261" spans="15:19" ht="15" x14ac:dyDescent="0.25">
      <c r="O6261"/>
      <c r="P6261"/>
      <c r="R6261" s="39">
        <v>36509</v>
      </c>
      <c r="S6261" s="37">
        <v>5.9648000000000003</v>
      </c>
    </row>
    <row r="6262" spans="15:19" ht="15" x14ac:dyDescent="0.25">
      <c r="O6262"/>
      <c r="P6262"/>
      <c r="R6262" s="39">
        <v>36508</v>
      </c>
      <c r="S6262" s="37">
        <v>5.0332999999999997</v>
      </c>
    </row>
    <row r="6263" spans="15:19" ht="15" x14ac:dyDescent="0.25">
      <c r="O6263"/>
      <c r="P6263"/>
      <c r="R6263" s="39">
        <v>36507</v>
      </c>
      <c r="S6263" s="37">
        <v>4.8517999999999999</v>
      </c>
    </row>
    <row r="6264" spans="15:19" ht="15" x14ac:dyDescent="0.25">
      <c r="O6264"/>
      <c r="P6264"/>
      <c r="R6264" s="39">
        <v>36504</v>
      </c>
      <c r="S6264" s="37">
        <v>4.8669000000000002</v>
      </c>
    </row>
    <row r="6265" spans="15:19" ht="15" x14ac:dyDescent="0.25">
      <c r="O6265"/>
      <c r="P6265"/>
      <c r="R6265" s="39">
        <v>36503</v>
      </c>
      <c r="S6265" s="37">
        <v>4.9469000000000003</v>
      </c>
    </row>
    <row r="6266" spans="15:19" ht="15" x14ac:dyDescent="0.25">
      <c r="O6266"/>
      <c r="P6266"/>
      <c r="R6266" s="39">
        <v>36502</v>
      </c>
      <c r="S6266" s="37">
        <v>4.8697999999999997</v>
      </c>
    </row>
    <row r="6267" spans="15:19" ht="15" x14ac:dyDescent="0.25">
      <c r="O6267"/>
      <c r="P6267"/>
      <c r="R6267" s="39">
        <v>36501</v>
      </c>
      <c r="S6267" s="37">
        <v>4.9222999999999999</v>
      </c>
    </row>
    <row r="6268" spans="15:19" ht="15" x14ac:dyDescent="0.25">
      <c r="O6268"/>
      <c r="P6268"/>
      <c r="R6268" s="39">
        <v>36500</v>
      </c>
      <c r="S6268" s="37">
        <v>5.0378999999999996</v>
      </c>
    </row>
    <row r="6269" spans="15:19" ht="15" x14ac:dyDescent="0.25">
      <c r="O6269"/>
      <c r="P6269"/>
      <c r="R6269" s="39">
        <v>36497</v>
      </c>
      <c r="S6269" s="37">
        <v>5.1932999999999998</v>
      </c>
    </row>
    <row r="6270" spans="15:19" ht="15" x14ac:dyDescent="0.25">
      <c r="O6270"/>
      <c r="P6270"/>
      <c r="R6270" s="39">
        <v>36496</v>
      </c>
      <c r="S6270" s="37">
        <v>5.3254999999999999</v>
      </c>
    </row>
    <row r="6271" spans="15:19" ht="15" x14ac:dyDescent="0.25">
      <c r="O6271"/>
      <c r="P6271"/>
      <c r="R6271" s="39">
        <v>36495</v>
      </c>
      <c r="S6271" s="37">
        <v>5.5800999999999998</v>
      </c>
    </row>
    <row r="6272" spans="15:19" ht="15" x14ac:dyDescent="0.25">
      <c r="O6272"/>
      <c r="P6272"/>
      <c r="R6272" s="39">
        <v>36494</v>
      </c>
      <c r="S6272" s="37">
        <v>6.0846999999999998</v>
      </c>
    </row>
    <row r="6273" spans="15:19" ht="15" x14ac:dyDescent="0.25">
      <c r="O6273"/>
      <c r="P6273"/>
      <c r="R6273" s="39">
        <v>36493</v>
      </c>
      <c r="S6273" s="37">
        <v>5.4570999999999996</v>
      </c>
    </row>
    <row r="6274" spans="15:19" ht="15" x14ac:dyDescent="0.25">
      <c r="O6274"/>
      <c r="P6274"/>
      <c r="R6274" s="39">
        <v>36490</v>
      </c>
      <c r="S6274" s="37">
        <v>5.6806999999999999</v>
      </c>
    </row>
    <row r="6275" spans="15:19" ht="15" x14ac:dyDescent="0.25">
      <c r="O6275"/>
      <c r="P6275"/>
      <c r="R6275" s="39">
        <v>36489</v>
      </c>
      <c r="S6275" s="37">
        <v>6.1146000000000003</v>
      </c>
    </row>
    <row r="6276" spans="15:19" ht="15" x14ac:dyDescent="0.25">
      <c r="O6276"/>
      <c r="P6276"/>
      <c r="R6276" s="39">
        <v>36488</v>
      </c>
      <c r="S6276" s="37">
        <v>5.1760000000000002</v>
      </c>
    </row>
    <row r="6277" spans="15:19" ht="15" x14ac:dyDescent="0.25">
      <c r="O6277"/>
      <c r="P6277"/>
      <c r="R6277" s="39">
        <v>36487</v>
      </c>
      <c r="S6277" s="37">
        <v>5.1539999999999999</v>
      </c>
    </row>
    <row r="6278" spans="15:19" ht="15" x14ac:dyDescent="0.25">
      <c r="O6278"/>
      <c r="P6278"/>
      <c r="R6278" s="39">
        <v>36486</v>
      </c>
      <c r="S6278" s="37">
        <v>4.9863</v>
      </c>
    </row>
    <row r="6279" spans="15:19" ht="15" x14ac:dyDescent="0.25">
      <c r="O6279"/>
      <c r="P6279"/>
      <c r="R6279" s="39">
        <v>36483</v>
      </c>
      <c r="S6279" s="37">
        <v>5.1269999999999998</v>
      </c>
    </row>
    <row r="6280" spans="15:19" ht="15" x14ac:dyDescent="0.25">
      <c r="O6280"/>
      <c r="P6280"/>
      <c r="R6280" s="39">
        <v>36482</v>
      </c>
      <c r="S6280" s="37">
        <v>5.2340999999999998</v>
      </c>
    </row>
    <row r="6281" spans="15:19" ht="15" x14ac:dyDescent="0.25">
      <c r="O6281"/>
      <c r="P6281"/>
      <c r="R6281" s="39">
        <v>36481</v>
      </c>
      <c r="S6281" s="37">
        <v>5.1463000000000001</v>
      </c>
    </row>
    <row r="6282" spans="15:19" ht="15" x14ac:dyDescent="0.25">
      <c r="O6282"/>
      <c r="P6282"/>
      <c r="R6282" s="39">
        <v>36480</v>
      </c>
      <c r="S6282" s="37">
        <v>5.6007999999999996</v>
      </c>
    </row>
    <row r="6283" spans="15:19" ht="15" x14ac:dyDescent="0.25">
      <c r="O6283"/>
      <c r="P6283"/>
      <c r="R6283" s="39">
        <v>36479</v>
      </c>
      <c r="S6283" s="37">
        <v>5.3799000000000001</v>
      </c>
    </row>
    <row r="6284" spans="15:19" ht="15" x14ac:dyDescent="0.25">
      <c r="O6284"/>
      <c r="P6284"/>
      <c r="R6284" s="39">
        <v>36476</v>
      </c>
      <c r="S6284" s="37">
        <v>4.9752999999999998</v>
      </c>
    </row>
    <row r="6285" spans="15:19" ht="15" x14ac:dyDescent="0.25">
      <c r="O6285"/>
      <c r="P6285"/>
      <c r="R6285" s="39">
        <v>36475</v>
      </c>
      <c r="S6285" s="37">
        <v>5.2786</v>
      </c>
    </row>
    <row r="6286" spans="15:19" ht="15" x14ac:dyDescent="0.25">
      <c r="O6286"/>
      <c r="P6286"/>
      <c r="R6286" s="39">
        <v>36474</v>
      </c>
      <c r="S6286" s="37">
        <v>5.1558000000000002</v>
      </c>
    </row>
    <row r="6287" spans="15:19" ht="15" x14ac:dyDescent="0.25">
      <c r="O6287"/>
      <c r="P6287"/>
      <c r="R6287" s="39">
        <v>36473</v>
      </c>
      <c r="S6287" s="37">
        <v>4.9785000000000004</v>
      </c>
    </row>
    <row r="6288" spans="15:19" ht="15" x14ac:dyDescent="0.25">
      <c r="O6288"/>
      <c r="P6288"/>
      <c r="R6288" s="39">
        <v>36472</v>
      </c>
      <c r="S6288" s="37">
        <v>5.0740999999999996</v>
      </c>
    </row>
    <row r="6289" spans="15:19" ht="15" x14ac:dyDescent="0.25">
      <c r="O6289"/>
      <c r="P6289"/>
      <c r="R6289" s="39">
        <v>36469</v>
      </c>
      <c r="S6289" s="37">
        <v>5.4604999999999997</v>
      </c>
    </row>
    <row r="6290" spans="15:19" ht="15" x14ac:dyDescent="0.25">
      <c r="O6290"/>
      <c r="P6290"/>
      <c r="R6290" s="39">
        <v>36468</v>
      </c>
      <c r="S6290" s="37">
        <v>5.2427999999999999</v>
      </c>
    </row>
    <row r="6291" spans="15:19" ht="15" x14ac:dyDescent="0.25">
      <c r="O6291"/>
      <c r="P6291"/>
      <c r="R6291" s="39">
        <v>36467</v>
      </c>
      <c r="S6291" s="37">
        <v>4.6675000000000004</v>
      </c>
    </row>
    <row r="6292" spans="15:19" ht="15" x14ac:dyDescent="0.25">
      <c r="O6292"/>
      <c r="P6292"/>
      <c r="R6292" s="39">
        <v>36466</v>
      </c>
      <c r="S6292" s="37">
        <v>4.7487000000000004</v>
      </c>
    </row>
    <row r="6293" spans="15:19" ht="15" x14ac:dyDescent="0.25">
      <c r="O6293"/>
      <c r="P6293"/>
      <c r="R6293" s="39">
        <v>36465</v>
      </c>
      <c r="S6293" s="37">
        <v>4.8061999999999996</v>
      </c>
    </row>
    <row r="6294" spans="15:19" ht="15" x14ac:dyDescent="0.25">
      <c r="O6294"/>
      <c r="P6294"/>
      <c r="R6294" s="39">
        <v>36462</v>
      </c>
      <c r="S6294" s="37">
        <v>5.1776</v>
      </c>
    </row>
    <row r="6295" spans="15:19" ht="15" x14ac:dyDescent="0.25">
      <c r="O6295"/>
      <c r="P6295"/>
      <c r="R6295" s="39">
        <v>36461</v>
      </c>
      <c r="S6295" s="37">
        <v>5.1136999999999997</v>
      </c>
    </row>
    <row r="6296" spans="15:19" ht="15" x14ac:dyDescent="0.25">
      <c r="O6296"/>
      <c r="P6296"/>
      <c r="R6296" s="39">
        <v>36460</v>
      </c>
      <c r="S6296" s="37">
        <v>4.8909000000000002</v>
      </c>
    </row>
    <row r="6297" spans="15:19" ht="15" x14ac:dyDescent="0.25">
      <c r="O6297"/>
      <c r="P6297"/>
      <c r="R6297" s="39">
        <v>36459</v>
      </c>
      <c r="S6297" s="37">
        <v>4.8728999999999996</v>
      </c>
    </row>
    <row r="6298" spans="15:19" ht="15" x14ac:dyDescent="0.25">
      <c r="O6298"/>
      <c r="P6298"/>
      <c r="R6298" s="39">
        <v>36458</v>
      </c>
      <c r="S6298" s="37">
        <v>4.8806000000000003</v>
      </c>
    </row>
    <row r="6299" spans="15:19" ht="15" x14ac:dyDescent="0.25">
      <c r="O6299"/>
      <c r="P6299"/>
      <c r="R6299" s="39">
        <v>36455</v>
      </c>
      <c r="S6299" s="37">
        <v>4.8776000000000002</v>
      </c>
    </row>
    <row r="6300" spans="15:19" ht="15" x14ac:dyDescent="0.25">
      <c r="O6300"/>
      <c r="P6300"/>
      <c r="R6300" s="39">
        <v>36454</v>
      </c>
      <c r="S6300" s="37">
        <v>4.8935000000000004</v>
      </c>
    </row>
    <row r="6301" spans="15:19" ht="15" x14ac:dyDescent="0.25">
      <c r="O6301"/>
      <c r="P6301"/>
      <c r="R6301" s="39">
        <v>36453</v>
      </c>
      <c r="S6301" s="37">
        <v>4.9768999999999997</v>
      </c>
    </row>
    <row r="6302" spans="15:19" ht="15" x14ac:dyDescent="0.25">
      <c r="O6302"/>
      <c r="P6302"/>
      <c r="R6302" s="39">
        <v>36452</v>
      </c>
      <c r="S6302" s="37">
        <v>5.4542999999999999</v>
      </c>
    </row>
    <row r="6303" spans="15:19" ht="15" x14ac:dyDescent="0.25">
      <c r="O6303"/>
      <c r="P6303"/>
      <c r="R6303" s="39">
        <v>36451</v>
      </c>
      <c r="S6303" s="37">
        <v>4.9813999999999998</v>
      </c>
    </row>
    <row r="6304" spans="15:19" ht="15" x14ac:dyDescent="0.25">
      <c r="O6304"/>
      <c r="P6304"/>
      <c r="R6304" s="39">
        <v>36448</v>
      </c>
      <c r="S6304" s="37">
        <v>5.4269999999999996</v>
      </c>
    </row>
    <row r="6305" spans="15:19" ht="15" x14ac:dyDescent="0.25">
      <c r="O6305"/>
      <c r="P6305"/>
      <c r="R6305" s="39">
        <v>36447</v>
      </c>
      <c r="S6305" s="37">
        <v>4.9878</v>
      </c>
    </row>
    <row r="6306" spans="15:19" ht="15" x14ac:dyDescent="0.25">
      <c r="O6306"/>
      <c r="P6306"/>
      <c r="R6306" s="39">
        <v>36446</v>
      </c>
      <c r="S6306" s="37">
        <v>5.0210999999999997</v>
      </c>
    </row>
    <row r="6307" spans="15:19" ht="15" x14ac:dyDescent="0.25">
      <c r="O6307"/>
      <c r="P6307"/>
      <c r="R6307" s="39">
        <v>36445</v>
      </c>
      <c r="S6307" s="37">
        <v>5.0366999999999997</v>
      </c>
    </row>
    <row r="6308" spans="15:19" ht="15" x14ac:dyDescent="0.25">
      <c r="O6308"/>
      <c r="P6308"/>
      <c r="R6308" s="39">
        <v>36444</v>
      </c>
      <c r="S6308" s="37">
        <v>5.0124000000000004</v>
      </c>
    </row>
    <row r="6309" spans="15:19" ht="15" x14ac:dyDescent="0.25">
      <c r="O6309"/>
      <c r="P6309"/>
      <c r="R6309" s="39">
        <v>36441</v>
      </c>
      <c r="S6309" s="37">
        <v>5.1466000000000003</v>
      </c>
    </row>
    <row r="6310" spans="15:19" ht="15" x14ac:dyDescent="0.25">
      <c r="O6310"/>
      <c r="P6310"/>
      <c r="R6310" s="39">
        <v>36440</v>
      </c>
      <c r="S6310" s="37">
        <v>5.5850999999999997</v>
      </c>
    </row>
    <row r="6311" spans="15:19" ht="15" x14ac:dyDescent="0.25">
      <c r="O6311"/>
      <c r="P6311"/>
      <c r="R6311" s="39">
        <v>36439</v>
      </c>
      <c r="S6311" s="37">
        <v>4.8647</v>
      </c>
    </row>
    <row r="6312" spans="15:19" ht="15" x14ac:dyDescent="0.25">
      <c r="O6312"/>
      <c r="P6312"/>
      <c r="R6312" s="39">
        <v>36438</v>
      </c>
      <c r="S6312" s="37">
        <v>4.9409000000000001</v>
      </c>
    </row>
    <row r="6313" spans="15:19" ht="15" x14ac:dyDescent="0.25">
      <c r="O6313"/>
      <c r="P6313"/>
      <c r="R6313" s="39">
        <v>36437</v>
      </c>
      <c r="S6313" s="37">
        <v>5.0115999999999996</v>
      </c>
    </row>
    <row r="6314" spans="15:19" ht="15" x14ac:dyDescent="0.25">
      <c r="O6314"/>
      <c r="P6314"/>
      <c r="R6314" s="39">
        <v>36434</v>
      </c>
      <c r="S6314" s="37">
        <v>5.1557000000000004</v>
      </c>
    </row>
    <row r="6315" spans="15:19" ht="15" x14ac:dyDescent="0.25">
      <c r="O6315"/>
      <c r="P6315"/>
      <c r="R6315" s="39">
        <v>36433</v>
      </c>
      <c r="S6315" s="37">
        <v>5.5650000000000004</v>
      </c>
    </row>
    <row r="6316" spans="15:19" ht="15" x14ac:dyDescent="0.25">
      <c r="O6316"/>
      <c r="P6316"/>
      <c r="R6316" s="39">
        <v>36432</v>
      </c>
      <c r="S6316" s="37">
        <v>5.1654999999999998</v>
      </c>
    </row>
    <row r="6317" spans="15:19" ht="15" x14ac:dyDescent="0.25">
      <c r="O6317"/>
      <c r="P6317"/>
      <c r="R6317" s="39">
        <v>36431</v>
      </c>
      <c r="S6317" s="37">
        <v>4.9904000000000002</v>
      </c>
    </row>
    <row r="6318" spans="15:19" ht="15" x14ac:dyDescent="0.25">
      <c r="O6318"/>
      <c r="P6318"/>
      <c r="R6318" s="39">
        <v>36430</v>
      </c>
      <c r="S6318" s="37">
        <v>4.9997999999999996</v>
      </c>
    </row>
    <row r="6319" spans="15:19" ht="15" x14ac:dyDescent="0.25">
      <c r="O6319"/>
      <c r="P6319"/>
      <c r="R6319" s="39">
        <v>36427</v>
      </c>
      <c r="S6319" s="37">
        <v>5.1269999999999998</v>
      </c>
    </row>
    <row r="6320" spans="15:19" ht="15" x14ac:dyDescent="0.25">
      <c r="O6320"/>
      <c r="P6320"/>
      <c r="R6320" s="39">
        <v>36426</v>
      </c>
      <c r="S6320" s="37">
        <v>5.2705000000000002</v>
      </c>
    </row>
    <row r="6321" spans="15:19" ht="15" x14ac:dyDescent="0.25">
      <c r="O6321"/>
      <c r="P6321"/>
      <c r="R6321" s="39">
        <v>36425</v>
      </c>
      <c r="S6321" s="37">
        <v>4.9859</v>
      </c>
    </row>
    <row r="6322" spans="15:19" ht="15" x14ac:dyDescent="0.25">
      <c r="O6322"/>
      <c r="P6322"/>
      <c r="R6322" s="39">
        <v>36424</v>
      </c>
      <c r="S6322" s="37">
        <v>5.0488999999999997</v>
      </c>
    </row>
    <row r="6323" spans="15:19" ht="15" x14ac:dyDescent="0.25">
      <c r="O6323"/>
      <c r="P6323"/>
      <c r="R6323" s="39">
        <v>36423</v>
      </c>
      <c r="S6323" s="37">
        <v>4.9809000000000001</v>
      </c>
    </row>
    <row r="6324" spans="15:19" ht="15" x14ac:dyDescent="0.25">
      <c r="O6324"/>
      <c r="P6324"/>
      <c r="R6324" s="39">
        <v>36420</v>
      </c>
      <c r="S6324" s="37">
        <v>4.9641000000000002</v>
      </c>
    </row>
    <row r="6325" spans="15:19" ht="15" x14ac:dyDescent="0.25">
      <c r="O6325"/>
      <c r="P6325"/>
      <c r="R6325" s="39">
        <v>36419</v>
      </c>
      <c r="S6325" s="37">
        <v>4.7866999999999997</v>
      </c>
    </row>
    <row r="6326" spans="15:19" ht="15" x14ac:dyDescent="0.25">
      <c r="O6326"/>
      <c r="P6326"/>
      <c r="R6326" s="39">
        <v>36418</v>
      </c>
      <c r="S6326" s="37">
        <v>4.8048000000000002</v>
      </c>
    </row>
    <row r="6327" spans="15:19" ht="15" x14ac:dyDescent="0.25">
      <c r="O6327"/>
      <c r="P6327"/>
      <c r="R6327" s="39">
        <v>36417</v>
      </c>
      <c r="S6327" s="37">
        <v>4.8029000000000002</v>
      </c>
    </row>
    <row r="6328" spans="15:19" ht="15" x14ac:dyDescent="0.25">
      <c r="O6328"/>
      <c r="P6328"/>
      <c r="R6328" s="39">
        <v>36416</v>
      </c>
      <c r="S6328" s="37">
        <v>4.8723999999999998</v>
      </c>
    </row>
    <row r="6329" spans="15:19" ht="15" x14ac:dyDescent="0.25">
      <c r="O6329"/>
      <c r="P6329"/>
      <c r="R6329" s="39">
        <v>36413</v>
      </c>
      <c r="S6329" s="37">
        <v>4.8765000000000001</v>
      </c>
    </row>
    <row r="6330" spans="15:19" ht="15" x14ac:dyDescent="0.25">
      <c r="O6330"/>
      <c r="P6330"/>
      <c r="R6330" s="39">
        <v>36412</v>
      </c>
      <c r="S6330" s="37">
        <v>4.8887999999999998</v>
      </c>
    </row>
    <row r="6331" spans="15:19" ht="15" x14ac:dyDescent="0.25">
      <c r="O6331"/>
      <c r="P6331"/>
      <c r="R6331" s="39">
        <v>36411</v>
      </c>
      <c r="S6331" s="37">
        <v>4.6917</v>
      </c>
    </row>
    <row r="6332" spans="15:19" ht="15" x14ac:dyDescent="0.25">
      <c r="O6332"/>
      <c r="P6332"/>
      <c r="R6332" s="39">
        <v>36410</v>
      </c>
      <c r="S6332" s="37">
        <v>4.6506999999999996</v>
      </c>
    </row>
    <row r="6333" spans="15:19" ht="15" x14ac:dyDescent="0.25">
      <c r="O6333"/>
      <c r="P6333"/>
      <c r="R6333" s="39">
        <v>36409</v>
      </c>
      <c r="S6333" s="37">
        <v>4.6607000000000003</v>
      </c>
    </row>
    <row r="6334" spans="15:19" ht="15" x14ac:dyDescent="0.25">
      <c r="O6334"/>
      <c r="P6334"/>
      <c r="R6334" s="39">
        <v>36406</v>
      </c>
      <c r="S6334" s="37">
        <v>4.6658999999999997</v>
      </c>
    </row>
    <row r="6335" spans="15:19" ht="15" x14ac:dyDescent="0.25">
      <c r="O6335"/>
      <c r="P6335"/>
      <c r="R6335" s="39">
        <v>36405</v>
      </c>
      <c r="S6335" s="37">
        <v>4.6891999999999996</v>
      </c>
    </row>
    <row r="6336" spans="15:19" ht="15" x14ac:dyDescent="0.25">
      <c r="O6336"/>
      <c r="P6336"/>
      <c r="R6336" s="39">
        <v>36404</v>
      </c>
      <c r="S6336" s="37">
        <v>4.7300000000000004</v>
      </c>
    </row>
    <row r="6337" spans="15:19" ht="15" x14ac:dyDescent="0.25">
      <c r="O6337"/>
      <c r="P6337"/>
      <c r="R6337" s="39">
        <v>36403</v>
      </c>
      <c r="S6337" s="37">
        <v>4.7367999999999997</v>
      </c>
    </row>
    <row r="6338" spans="15:19" ht="15" x14ac:dyDescent="0.25">
      <c r="O6338"/>
      <c r="P6338"/>
      <c r="R6338" s="39">
        <v>36399</v>
      </c>
      <c r="S6338" s="37">
        <v>4.5998999999999999</v>
      </c>
    </row>
    <row r="6339" spans="15:19" ht="15" x14ac:dyDescent="0.25">
      <c r="O6339"/>
      <c r="P6339"/>
      <c r="R6339" s="39">
        <v>36398</v>
      </c>
      <c r="S6339" s="37">
        <v>4.6580000000000004</v>
      </c>
    </row>
    <row r="6340" spans="15:19" ht="15" x14ac:dyDescent="0.25">
      <c r="O6340"/>
      <c r="P6340"/>
      <c r="R6340" s="39">
        <v>36397</v>
      </c>
      <c r="S6340" s="37">
        <v>4.6947999999999999</v>
      </c>
    </row>
    <row r="6341" spans="15:19" ht="15" x14ac:dyDescent="0.25">
      <c r="O6341"/>
      <c r="P6341"/>
      <c r="R6341" s="39">
        <v>36396</v>
      </c>
      <c r="S6341" s="37">
        <v>4.7558999999999996</v>
      </c>
    </row>
    <row r="6342" spans="15:19" ht="15" x14ac:dyDescent="0.25">
      <c r="O6342"/>
      <c r="P6342"/>
      <c r="R6342" s="39">
        <v>36395</v>
      </c>
      <c r="S6342" s="37">
        <v>4.8177000000000003</v>
      </c>
    </row>
    <row r="6343" spans="15:19" ht="15" x14ac:dyDescent="0.25">
      <c r="O6343"/>
      <c r="P6343"/>
      <c r="R6343" s="39">
        <v>36392</v>
      </c>
      <c r="S6343" s="37">
        <v>4.7081</v>
      </c>
    </row>
    <row r="6344" spans="15:19" ht="15" x14ac:dyDescent="0.25">
      <c r="O6344"/>
      <c r="P6344"/>
      <c r="R6344" s="39">
        <v>36391</v>
      </c>
      <c r="S6344" s="37">
        <v>4.6901999999999999</v>
      </c>
    </row>
    <row r="6345" spans="15:19" ht="15" x14ac:dyDescent="0.25">
      <c r="O6345"/>
      <c r="P6345"/>
      <c r="R6345" s="39">
        <v>36390</v>
      </c>
      <c r="S6345" s="37">
        <v>4.7743000000000002</v>
      </c>
    </row>
    <row r="6346" spans="15:19" ht="15" x14ac:dyDescent="0.25">
      <c r="O6346"/>
      <c r="P6346"/>
      <c r="R6346" s="39">
        <v>36389</v>
      </c>
      <c r="S6346" s="37">
        <v>4.6124999999999998</v>
      </c>
    </row>
    <row r="6347" spans="15:19" ht="15" x14ac:dyDescent="0.25">
      <c r="O6347"/>
      <c r="P6347"/>
      <c r="R6347" s="39">
        <v>36388</v>
      </c>
      <c r="S6347" s="37">
        <v>4.7236000000000002</v>
      </c>
    </row>
    <row r="6348" spans="15:19" ht="15" x14ac:dyDescent="0.25">
      <c r="O6348"/>
      <c r="P6348"/>
      <c r="R6348" s="39">
        <v>36385</v>
      </c>
      <c r="S6348" s="37">
        <v>4.6307</v>
      </c>
    </row>
    <row r="6349" spans="15:19" ht="15" x14ac:dyDescent="0.25">
      <c r="O6349"/>
      <c r="P6349"/>
      <c r="R6349" s="39">
        <v>36384</v>
      </c>
      <c r="S6349" s="37">
        <v>4.7046999999999999</v>
      </c>
    </row>
    <row r="6350" spans="15:19" ht="15" x14ac:dyDescent="0.25">
      <c r="O6350"/>
      <c r="P6350"/>
      <c r="R6350" s="39">
        <v>36383</v>
      </c>
      <c r="S6350" s="37">
        <v>4.7915000000000001</v>
      </c>
    </row>
    <row r="6351" spans="15:19" ht="15" x14ac:dyDescent="0.25">
      <c r="O6351"/>
      <c r="P6351"/>
      <c r="R6351" s="39">
        <v>36382</v>
      </c>
      <c r="S6351" s="37">
        <v>4.8728999999999996</v>
      </c>
    </row>
    <row r="6352" spans="15:19" ht="15" x14ac:dyDescent="0.25">
      <c r="O6352"/>
      <c r="P6352"/>
      <c r="R6352" s="39">
        <v>36381</v>
      </c>
      <c r="S6352" s="37">
        <v>5.1726999999999999</v>
      </c>
    </row>
    <row r="6353" spans="15:19" ht="15" x14ac:dyDescent="0.25">
      <c r="O6353"/>
      <c r="P6353"/>
      <c r="R6353" s="39">
        <v>36378</v>
      </c>
      <c r="S6353" s="37">
        <v>4.8677999999999999</v>
      </c>
    </row>
    <row r="6354" spans="15:19" ht="15" x14ac:dyDescent="0.25">
      <c r="O6354"/>
      <c r="P6354"/>
      <c r="R6354" s="39">
        <v>36377</v>
      </c>
      <c r="S6354" s="37">
        <v>5.3348000000000004</v>
      </c>
    </row>
    <row r="6355" spans="15:19" ht="15" x14ac:dyDescent="0.25">
      <c r="O6355"/>
      <c r="P6355"/>
      <c r="R6355" s="39">
        <v>36376</v>
      </c>
      <c r="S6355" s="37">
        <v>5.1657000000000002</v>
      </c>
    </row>
    <row r="6356" spans="15:19" ht="15" x14ac:dyDescent="0.25">
      <c r="O6356"/>
      <c r="P6356"/>
      <c r="R6356" s="39">
        <v>36375</v>
      </c>
      <c r="S6356" s="37">
        <v>5.2202999999999999</v>
      </c>
    </row>
    <row r="6357" spans="15:19" ht="15" x14ac:dyDescent="0.25">
      <c r="O6357"/>
      <c r="P6357"/>
      <c r="R6357" s="39">
        <v>36374</v>
      </c>
      <c r="S6357" s="37">
        <v>5.1475999999999997</v>
      </c>
    </row>
    <row r="6358" spans="15:19" ht="15" x14ac:dyDescent="0.25">
      <c r="O6358"/>
      <c r="P6358"/>
      <c r="R6358" s="39">
        <v>36371</v>
      </c>
      <c r="S6358" s="37">
        <v>5.4054000000000002</v>
      </c>
    </row>
    <row r="6359" spans="15:19" ht="15" x14ac:dyDescent="0.25">
      <c r="O6359"/>
      <c r="P6359"/>
      <c r="R6359" s="39">
        <v>36370</v>
      </c>
      <c r="S6359" s="37">
        <v>5.2464000000000004</v>
      </c>
    </row>
    <row r="6360" spans="15:19" ht="15" x14ac:dyDescent="0.25">
      <c r="O6360"/>
      <c r="P6360"/>
      <c r="R6360" s="39">
        <v>36369</v>
      </c>
      <c r="S6360" s="37">
        <v>5.2127999999999997</v>
      </c>
    </row>
    <row r="6361" spans="15:19" ht="15" x14ac:dyDescent="0.25">
      <c r="O6361"/>
      <c r="P6361"/>
      <c r="R6361" s="39">
        <v>36368</v>
      </c>
      <c r="S6361" s="37">
        <v>4.9851000000000001</v>
      </c>
    </row>
    <row r="6362" spans="15:19" ht="15" x14ac:dyDescent="0.25">
      <c r="O6362"/>
      <c r="P6362"/>
      <c r="R6362" s="39">
        <v>36367</v>
      </c>
      <c r="S6362" s="37">
        <v>5.1570999999999998</v>
      </c>
    </row>
    <row r="6363" spans="15:19" ht="15" x14ac:dyDescent="0.25">
      <c r="O6363"/>
      <c r="P6363"/>
      <c r="R6363" s="39">
        <v>36364</v>
      </c>
      <c r="S6363" s="37">
        <v>5.266</v>
      </c>
    </row>
    <row r="6364" spans="15:19" ht="15" x14ac:dyDescent="0.25">
      <c r="O6364"/>
      <c r="P6364"/>
      <c r="R6364" s="39">
        <v>36363</v>
      </c>
      <c r="S6364" s="37">
        <v>5.2325999999999997</v>
      </c>
    </row>
    <row r="6365" spans="15:19" ht="15" x14ac:dyDescent="0.25">
      <c r="O6365"/>
      <c r="P6365"/>
      <c r="R6365" s="39">
        <v>36362</v>
      </c>
      <c r="S6365" s="37">
        <v>5.0237999999999996</v>
      </c>
    </row>
    <row r="6366" spans="15:19" ht="15" x14ac:dyDescent="0.25">
      <c r="O6366"/>
      <c r="P6366"/>
      <c r="R6366" s="39">
        <v>36361</v>
      </c>
      <c r="S6366" s="37">
        <v>5.2191000000000001</v>
      </c>
    </row>
    <row r="6367" spans="15:19" ht="15" x14ac:dyDescent="0.25">
      <c r="O6367"/>
      <c r="P6367"/>
      <c r="R6367" s="39">
        <v>36360</v>
      </c>
      <c r="S6367" s="37">
        <v>5.3544999999999998</v>
      </c>
    </row>
    <row r="6368" spans="15:19" ht="15" x14ac:dyDescent="0.25">
      <c r="O6368"/>
      <c r="P6368"/>
      <c r="R6368" s="39">
        <v>36357</v>
      </c>
      <c r="S6368" s="37">
        <v>5.0480999999999998</v>
      </c>
    </row>
    <row r="6369" spans="15:19" ht="15" x14ac:dyDescent="0.25">
      <c r="O6369"/>
      <c r="P6369"/>
      <c r="R6369" s="39">
        <v>36356</v>
      </c>
      <c r="S6369" s="37">
        <v>5.1944999999999997</v>
      </c>
    </row>
    <row r="6370" spans="15:19" ht="15" x14ac:dyDescent="0.25">
      <c r="O6370"/>
      <c r="P6370"/>
      <c r="R6370" s="39">
        <v>36355</v>
      </c>
      <c r="S6370" s="37">
        <v>4.8399000000000001</v>
      </c>
    </row>
    <row r="6371" spans="15:19" ht="15" x14ac:dyDescent="0.25">
      <c r="O6371"/>
      <c r="P6371"/>
      <c r="R6371" s="39">
        <v>36354</v>
      </c>
      <c r="S6371" s="37">
        <v>4.7380000000000004</v>
      </c>
    </row>
    <row r="6372" spans="15:19" ht="15" x14ac:dyDescent="0.25">
      <c r="O6372"/>
      <c r="P6372"/>
      <c r="R6372" s="39">
        <v>36353</v>
      </c>
      <c r="S6372" s="37">
        <v>4.8647</v>
      </c>
    </row>
    <row r="6373" spans="15:19" ht="15" x14ac:dyDescent="0.25">
      <c r="O6373"/>
      <c r="P6373"/>
      <c r="R6373" s="39">
        <v>36350</v>
      </c>
      <c r="S6373" s="37">
        <v>4.8423999999999996</v>
      </c>
    </row>
    <row r="6374" spans="15:19" ht="15" x14ac:dyDescent="0.25">
      <c r="O6374"/>
      <c r="P6374"/>
      <c r="R6374" s="39">
        <v>36349</v>
      </c>
      <c r="S6374" s="37">
        <v>4.7460000000000004</v>
      </c>
    </row>
    <row r="6375" spans="15:19" ht="15" x14ac:dyDescent="0.25">
      <c r="O6375"/>
      <c r="P6375"/>
      <c r="R6375" s="39">
        <v>36348</v>
      </c>
      <c r="S6375" s="37">
        <v>4.7610000000000001</v>
      </c>
    </row>
    <row r="6376" spans="15:19" ht="15" x14ac:dyDescent="0.25">
      <c r="O6376"/>
      <c r="P6376"/>
      <c r="R6376" s="39">
        <v>36347</v>
      </c>
      <c r="S6376" s="37">
        <v>4.6802000000000001</v>
      </c>
    </row>
    <row r="6377" spans="15:19" ht="15" x14ac:dyDescent="0.25">
      <c r="O6377"/>
      <c r="P6377"/>
      <c r="R6377" s="39">
        <v>36346</v>
      </c>
      <c r="S6377" s="37">
        <v>4.6791999999999998</v>
      </c>
    </row>
    <row r="6378" spans="15:19" ht="15" x14ac:dyDescent="0.25">
      <c r="O6378"/>
      <c r="P6378"/>
      <c r="R6378" s="39">
        <v>36343</v>
      </c>
      <c r="S6378" s="37">
        <v>4.7024999999999997</v>
      </c>
    </row>
    <row r="6379" spans="15:19" ht="15" x14ac:dyDescent="0.25">
      <c r="O6379"/>
      <c r="P6379"/>
      <c r="R6379" s="39">
        <v>36342</v>
      </c>
      <c r="S6379" s="37">
        <v>4.7347999999999999</v>
      </c>
    </row>
    <row r="6380" spans="15:19" ht="15" x14ac:dyDescent="0.25">
      <c r="O6380"/>
      <c r="P6380"/>
      <c r="R6380" s="39">
        <v>36341</v>
      </c>
      <c r="S6380" s="37">
        <v>5.5819999999999999</v>
      </c>
    </row>
    <row r="6381" spans="15:19" ht="15" x14ac:dyDescent="0.25">
      <c r="O6381"/>
      <c r="P6381"/>
      <c r="R6381" s="39">
        <v>36340</v>
      </c>
      <c r="S6381" s="37">
        <v>4.6593999999999998</v>
      </c>
    </row>
    <row r="6382" spans="15:19" ht="15" x14ac:dyDescent="0.25">
      <c r="O6382"/>
      <c r="P6382"/>
      <c r="R6382" s="39">
        <v>36339</v>
      </c>
      <c r="S6382" s="37">
        <v>4.6997999999999998</v>
      </c>
    </row>
    <row r="6383" spans="15:19" ht="15" x14ac:dyDescent="0.25">
      <c r="O6383"/>
      <c r="P6383"/>
      <c r="R6383" s="39">
        <v>36336</v>
      </c>
      <c r="S6383" s="37">
        <v>4.6451000000000002</v>
      </c>
    </row>
    <row r="6384" spans="15:19" ht="15" x14ac:dyDescent="0.25">
      <c r="O6384"/>
      <c r="P6384"/>
      <c r="R6384" s="39">
        <v>36335</v>
      </c>
      <c r="S6384" s="37">
        <v>4.6935000000000002</v>
      </c>
    </row>
    <row r="6385" spans="15:19" ht="15" x14ac:dyDescent="0.25">
      <c r="O6385"/>
      <c r="P6385"/>
      <c r="R6385" s="39">
        <v>36334</v>
      </c>
      <c r="S6385" s="37">
        <v>5.1528</v>
      </c>
    </row>
    <row r="6386" spans="15:19" ht="15" x14ac:dyDescent="0.25">
      <c r="O6386"/>
      <c r="P6386"/>
      <c r="R6386" s="39">
        <v>36333</v>
      </c>
      <c r="S6386" s="37">
        <v>4.6744000000000003</v>
      </c>
    </row>
    <row r="6387" spans="15:19" ht="15" x14ac:dyDescent="0.25">
      <c r="O6387"/>
      <c r="P6387"/>
      <c r="R6387" s="39">
        <v>36332</v>
      </c>
      <c r="S6387" s="37">
        <v>4.7550999999999997</v>
      </c>
    </row>
    <row r="6388" spans="15:19" ht="15" x14ac:dyDescent="0.25">
      <c r="O6388"/>
      <c r="P6388"/>
      <c r="R6388" s="39">
        <v>36329</v>
      </c>
      <c r="S6388" s="37">
        <v>4.6167999999999996</v>
      </c>
    </row>
    <row r="6389" spans="15:19" ht="15" x14ac:dyDescent="0.25">
      <c r="O6389"/>
      <c r="P6389"/>
      <c r="R6389" s="39">
        <v>36328</v>
      </c>
      <c r="S6389" s="37">
        <v>4.5880999999999998</v>
      </c>
    </row>
    <row r="6390" spans="15:19" ht="15" x14ac:dyDescent="0.25">
      <c r="O6390"/>
      <c r="P6390"/>
      <c r="R6390" s="39">
        <v>36327</v>
      </c>
      <c r="S6390" s="37">
        <v>4.5618999999999996</v>
      </c>
    </row>
    <row r="6391" spans="15:19" ht="15" x14ac:dyDescent="0.25">
      <c r="O6391"/>
      <c r="P6391"/>
      <c r="R6391" s="39">
        <v>36326</v>
      </c>
      <c r="S6391" s="37">
        <v>4.6360999999999999</v>
      </c>
    </row>
    <row r="6392" spans="15:19" ht="15" x14ac:dyDescent="0.25">
      <c r="O6392"/>
      <c r="P6392"/>
      <c r="R6392" s="39">
        <v>36325</v>
      </c>
      <c r="S6392" s="37">
        <v>4.6628999999999996</v>
      </c>
    </row>
    <row r="6393" spans="15:19" ht="15" x14ac:dyDescent="0.25">
      <c r="O6393"/>
      <c r="P6393"/>
      <c r="R6393" s="39">
        <v>36322</v>
      </c>
      <c r="S6393" s="37">
        <v>4.6409000000000002</v>
      </c>
    </row>
    <row r="6394" spans="15:19" ht="15" x14ac:dyDescent="0.25">
      <c r="O6394"/>
      <c r="P6394"/>
      <c r="R6394" s="39">
        <v>36321</v>
      </c>
      <c r="S6394" s="37">
        <v>5.0102000000000002</v>
      </c>
    </row>
    <row r="6395" spans="15:19" ht="15" x14ac:dyDescent="0.25">
      <c r="O6395"/>
      <c r="P6395"/>
      <c r="R6395" s="39">
        <v>36320</v>
      </c>
      <c r="S6395" s="37">
        <v>4.9482999999999997</v>
      </c>
    </row>
    <row r="6396" spans="15:19" ht="15" x14ac:dyDescent="0.25">
      <c r="O6396"/>
      <c r="P6396"/>
      <c r="R6396" s="39">
        <v>36319</v>
      </c>
      <c r="S6396" s="37">
        <v>4.9797000000000002</v>
      </c>
    </row>
    <row r="6397" spans="15:19" ht="15" x14ac:dyDescent="0.25">
      <c r="O6397"/>
      <c r="P6397"/>
      <c r="R6397" s="39">
        <v>36318</v>
      </c>
      <c r="S6397" s="37">
        <v>5.0057</v>
      </c>
    </row>
    <row r="6398" spans="15:19" ht="15" x14ac:dyDescent="0.25">
      <c r="O6398"/>
      <c r="P6398"/>
      <c r="R6398" s="39">
        <v>36315</v>
      </c>
      <c r="S6398" s="37">
        <v>5.0378999999999996</v>
      </c>
    </row>
    <row r="6399" spans="15:19" ht="15" x14ac:dyDescent="0.25">
      <c r="O6399"/>
      <c r="P6399"/>
      <c r="R6399" s="39">
        <v>36314</v>
      </c>
      <c r="S6399" s="37">
        <v>5.226</v>
      </c>
    </row>
    <row r="6400" spans="15:19" ht="15" x14ac:dyDescent="0.25">
      <c r="O6400"/>
      <c r="P6400"/>
      <c r="R6400" s="39">
        <v>36313</v>
      </c>
      <c r="S6400" s="37">
        <v>5.3830999999999998</v>
      </c>
    </row>
    <row r="6401" spans="15:19" ht="15" x14ac:dyDescent="0.25">
      <c r="O6401"/>
      <c r="P6401"/>
      <c r="R6401" s="39">
        <v>36312</v>
      </c>
      <c r="S6401" s="37">
        <v>5.5782999999999996</v>
      </c>
    </row>
    <row r="6402" spans="15:19" ht="15" x14ac:dyDescent="0.25">
      <c r="O6402"/>
      <c r="P6402"/>
      <c r="R6402" s="39">
        <v>36308</v>
      </c>
      <c r="S6402" s="37">
        <v>5.4880000000000004</v>
      </c>
    </row>
    <row r="6403" spans="15:19" ht="15" x14ac:dyDescent="0.25">
      <c r="O6403"/>
      <c r="P6403"/>
      <c r="R6403" s="39">
        <v>36307</v>
      </c>
      <c r="S6403" s="37">
        <v>5.4390999999999998</v>
      </c>
    </row>
    <row r="6404" spans="15:19" ht="15" x14ac:dyDescent="0.25">
      <c r="O6404"/>
      <c r="P6404"/>
      <c r="R6404" s="39">
        <v>36306</v>
      </c>
      <c r="S6404" s="37">
        <v>5.0190999999999999</v>
      </c>
    </row>
    <row r="6405" spans="15:19" ht="15" x14ac:dyDescent="0.25">
      <c r="O6405"/>
      <c r="P6405"/>
      <c r="R6405" s="39">
        <v>36305</v>
      </c>
      <c r="S6405" s="37">
        <v>4.9878</v>
      </c>
    </row>
    <row r="6406" spans="15:19" ht="15" x14ac:dyDescent="0.25">
      <c r="O6406"/>
      <c r="P6406"/>
      <c r="R6406" s="39">
        <v>36304</v>
      </c>
      <c r="S6406" s="37">
        <v>5.0358000000000001</v>
      </c>
    </row>
    <row r="6407" spans="15:19" ht="15" x14ac:dyDescent="0.25">
      <c r="O6407"/>
      <c r="P6407"/>
      <c r="R6407" s="39">
        <v>36301</v>
      </c>
      <c r="S6407" s="37">
        <v>5.0016999999999996</v>
      </c>
    </row>
    <row r="6408" spans="15:19" ht="15" x14ac:dyDescent="0.25">
      <c r="O6408"/>
      <c r="P6408"/>
      <c r="R6408" s="39">
        <v>36300</v>
      </c>
      <c r="S6408" s="37">
        <v>5.3464</v>
      </c>
    </row>
    <row r="6409" spans="15:19" ht="15" x14ac:dyDescent="0.25">
      <c r="O6409"/>
      <c r="P6409"/>
      <c r="R6409" s="39">
        <v>36299</v>
      </c>
      <c r="S6409" s="37">
        <v>5.1056999999999997</v>
      </c>
    </row>
    <row r="6410" spans="15:19" ht="15" x14ac:dyDescent="0.25">
      <c r="O6410"/>
      <c r="P6410"/>
      <c r="R6410" s="39">
        <v>36298</v>
      </c>
      <c r="S6410" s="37">
        <v>5.2568000000000001</v>
      </c>
    </row>
    <row r="6411" spans="15:19" ht="15" x14ac:dyDescent="0.25">
      <c r="O6411"/>
      <c r="P6411"/>
      <c r="R6411" s="39">
        <v>36297</v>
      </c>
      <c r="S6411" s="37">
        <v>5.1326999999999998</v>
      </c>
    </row>
    <row r="6412" spans="15:19" ht="15" x14ac:dyDescent="0.25">
      <c r="O6412"/>
      <c r="P6412"/>
      <c r="R6412" s="39">
        <v>36294</v>
      </c>
      <c r="S6412" s="37">
        <v>5.0481999999999996</v>
      </c>
    </row>
    <row r="6413" spans="15:19" ht="15" x14ac:dyDescent="0.25">
      <c r="O6413"/>
      <c r="P6413"/>
      <c r="R6413" s="39">
        <v>36293</v>
      </c>
      <c r="S6413" s="37">
        <v>5.2221000000000002</v>
      </c>
    </row>
    <row r="6414" spans="15:19" ht="15" x14ac:dyDescent="0.25">
      <c r="O6414"/>
      <c r="P6414"/>
      <c r="R6414" s="39">
        <v>36292</v>
      </c>
      <c r="S6414" s="37">
        <v>5.5049999999999999</v>
      </c>
    </row>
    <row r="6415" spans="15:19" ht="15" x14ac:dyDescent="0.25">
      <c r="O6415"/>
      <c r="P6415"/>
      <c r="R6415" s="39">
        <v>36291</v>
      </c>
      <c r="S6415" s="37">
        <v>5.2557999999999998</v>
      </c>
    </row>
    <row r="6416" spans="15:19" ht="15" x14ac:dyDescent="0.25">
      <c r="O6416"/>
      <c r="P6416"/>
      <c r="R6416" s="39">
        <v>36290</v>
      </c>
      <c r="S6416" s="37">
        <v>5.2126000000000001</v>
      </c>
    </row>
    <row r="6417" spans="15:19" ht="15" x14ac:dyDescent="0.25">
      <c r="O6417"/>
      <c r="P6417"/>
      <c r="R6417" s="39">
        <v>36287</v>
      </c>
      <c r="S6417" s="37">
        <v>5.4398999999999997</v>
      </c>
    </row>
    <row r="6418" spans="15:19" ht="15" x14ac:dyDescent="0.25">
      <c r="O6418"/>
      <c r="P6418"/>
      <c r="R6418" s="39">
        <v>36286</v>
      </c>
      <c r="S6418" s="37">
        <v>5.4596999999999998</v>
      </c>
    </row>
    <row r="6419" spans="15:19" ht="15" x14ac:dyDescent="0.25">
      <c r="O6419"/>
      <c r="P6419"/>
      <c r="R6419" s="39">
        <v>36285</v>
      </c>
      <c r="S6419" s="37">
        <v>5.7213000000000003</v>
      </c>
    </row>
    <row r="6420" spans="15:19" ht="15" x14ac:dyDescent="0.25">
      <c r="O6420"/>
      <c r="P6420"/>
      <c r="R6420" s="39">
        <v>36284</v>
      </c>
      <c r="S6420" s="37">
        <v>5.4310999999999998</v>
      </c>
    </row>
    <row r="6421" spans="15:19" ht="15" x14ac:dyDescent="0.25">
      <c r="O6421"/>
      <c r="P6421"/>
      <c r="R6421" s="39">
        <v>36280</v>
      </c>
      <c r="S6421" s="37">
        <v>5.3376000000000001</v>
      </c>
    </row>
    <row r="6422" spans="15:19" ht="15" x14ac:dyDescent="0.25">
      <c r="O6422"/>
      <c r="P6422"/>
      <c r="R6422" s="39">
        <v>36279</v>
      </c>
      <c r="S6422" s="37">
        <v>5.4184999999999999</v>
      </c>
    </row>
    <row r="6423" spans="15:19" ht="15" x14ac:dyDescent="0.25">
      <c r="O6423"/>
      <c r="P6423"/>
      <c r="R6423" s="39">
        <v>36278</v>
      </c>
      <c r="S6423" s="37">
        <v>5.3723999999999998</v>
      </c>
    </row>
    <row r="6424" spans="15:19" ht="15" x14ac:dyDescent="0.25">
      <c r="O6424"/>
      <c r="P6424"/>
      <c r="R6424" s="39">
        <v>36277</v>
      </c>
      <c r="S6424" s="37">
        <v>5.1448999999999998</v>
      </c>
    </row>
    <row r="6425" spans="15:19" ht="15" x14ac:dyDescent="0.25">
      <c r="O6425"/>
      <c r="P6425"/>
      <c r="R6425" s="39">
        <v>36276</v>
      </c>
      <c r="S6425" s="37">
        <v>5.1940999999999997</v>
      </c>
    </row>
    <row r="6426" spans="15:19" ht="15" x14ac:dyDescent="0.25">
      <c r="O6426"/>
      <c r="P6426"/>
      <c r="R6426" s="39">
        <v>36273</v>
      </c>
      <c r="S6426" s="37">
        <v>5.0862999999999996</v>
      </c>
    </row>
    <row r="6427" spans="15:19" ht="15" x14ac:dyDescent="0.25">
      <c r="O6427"/>
      <c r="P6427"/>
      <c r="R6427" s="39">
        <v>36272</v>
      </c>
      <c r="S6427" s="37">
        <v>5.5513000000000003</v>
      </c>
    </row>
    <row r="6428" spans="15:19" ht="15" x14ac:dyDescent="0.25">
      <c r="O6428"/>
      <c r="P6428"/>
      <c r="R6428" s="39">
        <v>36271</v>
      </c>
      <c r="S6428" s="37">
        <v>5.6504000000000003</v>
      </c>
    </row>
    <row r="6429" spans="15:19" ht="15" x14ac:dyDescent="0.25">
      <c r="O6429"/>
      <c r="P6429"/>
      <c r="R6429" s="39">
        <v>36270</v>
      </c>
      <c r="S6429" s="37">
        <v>5.5442</v>
      </c>
    </row>
    <row r="6430" spans="15:19" ht="15" x14ac:dyDescent="0.25">
      <c r="O6430"/>
      <c r="P6430"/>
      <c r="R6430" s="39">
        <v>36269</v>
      </c>
      <c r="S6430" s="37">
        <v>5.2008000000000001</v>
      </c>
    </row>
    <row r="6431" spans="15:19" ht="15" x14ac:dyDescent="0.25">
      <c r="O6431"/>
      <c r="P6431"/>
      <c r="R6431" s="39">
        <v>36266</v>
      </c>
      <c r="S6431" s="37">
        <v>5.0776000000000003</v>
      </c>
    </row>
    <row r="6432" spans="15:19" ht="15" x14ac:dyDescent="0.25">
      <c r="O6432"/>
      <c r="P6432"/>
      <c r="R6432" s="39">
        <v>36265</v>
      </c>
      <c r="S6432" s="37">
        <v>5.26</v>
      </c>
    </row>
    <row r="6433" spans="15:19" ht="15" x14ac:dyDescent="0.25">
      <c r="O6433"/>
      <c r="P6433"/>
      <c r="R6433" s="39">
        <v>36264</v>
      </c>
      <c r="S6433" s="37">
        <v>5.1844000000000001</v>
      </c>
    </row>
    <row r="6434" spans="15:19" ht="15" x14ac:dyDescent="0.25">
      <c r="O6434"/>
      <c r="P6434"/>
      <c r="R6434" s="39">
        <v>36263</v>
      </c>
      <c r="S6434" s="37">
        <v>5.1604999999999999</v>
      </c>
    </row>
    <row r="6435" spans="15:19" ht="15" x14ac:dyDescent="0.25">
      <c r="O6435"/>
      <c r="P6435"/>
      <c r="R6435" s="39">
        <v>36262</v>
      </c>
      <c r="S6435" s="37">
        <v>5.1574</v>
      </c>
    </row>
    <row r="6436" spans="15:19" ht="15" x14ac:dyDescent="0.25">
      <c r="O6436"/>
      <c r="P6436"/>
      <c r="R6436" s="39">
        <v>36259</v>
      </c>
      <c r="S6436" s="37">
        <v>5.3268000000000004</v>
      </c>
    </row>
    <row r="6437" spans="15:19" ht="15" x14ac:dyDescent="0.25">
      <c r="O6437"/>
      <c r="P6437"/>
      <c r="R6437" s="39">
        <v>36258</v>
      </c>
      <c r="S6437" s="37">
        <v>5.4139999999999997</v>
      </c>
    </row>
    <row r="6438" spans="15:19" ht="15" x14ac:dyDescent="0.25">
      <c r="O6438"/>
      <c r="P6438"/>
      <c r="R6438" s="39">
        <v>36257</v>
      </c>
      <c r="S6438" s="37">
        <v>5.8327999999999998</v>
      </c>
    </row>
    <row r="6439" spans="15:19" ht="15" x14ac:dyDescent="0.25">
      <c r="O6439"/>
      <c r="P6439"/>
      <c r="R6439" s="39">
        <v>36256</v>
      </c>
      <c r="S6439" s="37">
        <v>5.8573000000000004</v>
      </c>
    </row>
    <row r="6440" spans="15:19" ht="15" x14ac:dyDescent="0.25">
      <c r="O6440"/>
      <c r="P6440"/>
      <c r="R6440" s="39">
        <v>36251</v>
      </c>
      <c r="S6440" s="37">
        <v>4.8185000000000002</v>
      </c>
    </row>
    <row r="6441" spans="15:19" ht="15" x14ac:dyDescent="0.25">
      <c r="O6441"/>
      <c r="P6441"/>
      <c r="R6441" s="39">
        <v>36250</v>
      </c>
      <c r="S6441" s="37">
        <v>6.3772000000000002</v>
      </c>
    </row>
    <row r="6442" spans="15:19" ht="15" x14ac:dyDescent="0.25">
      <c r="O6442"/>
      <c r="P6442"/>
      <c r="R6442" s="39">
        <v>36249</v>
      </c>
      <c r="S6442" s="37">
        <v>5.5762999999999998</v>
      </c>
    </row>
    <row r="6443" spans="15:19" ht="15" x14ac:dyDescent="0.25">
      <c r="O6443"/>
      <c r="P6443"/>
      <c r="R6443" s="39">
        <v>36248</v>
      </c>
      <c r="S6443" s="37">
        <v>5.6919000000000004</v>
      </c>
    </row>
    <row r="6444" spans="15:19" ht="15" x14ac:dyDescent="0.25">
      <c r="O6444"/>
      <c r="P6444"/>
      <c r="R6444" s="39">
        <v>36245</v>
      </c>
      <c r="S6444" s="37">
        <v>5.4497</v>
      </c>
    </row>
    <row r="6445" spans="15:19" ht="15" x14ac:dyDescent="0.25">
      <c r="O6445"/>
      <c r="P6445"/>
      <c r="R6445" s="39">
        <v>36244</v>
      </c>
      <c r="S6445" s="37">
        <v>5.4762000000000004</v>
      </c>
    </row>
    <row r="6446" spans="15:19" ht="15" x14ac:dyDescent="0.25">
      <c r="O6446"/>
      <c r="P6446"/>
      <c r="R6446" s="39">
        <v>36243</v>
      </c>
      <c r="S6446" s="37">
        <v>5.8000999999999996</v>
      </c>
    </row>
    <row r="6447" spans="15:19" ht="15" x14ac:dyDescent="0.25">
      <c r="O6447"/>
      <c r="P6447"/>
      <c r="R6447" s="39">
        <v>36242</v>
      </c>
      <c r="S6447" s="37">
        <v>5.8539000000000003</v>
      </c>
    </row>
    <row r="6448" spans="15:19" ht="15" x14ac:dyDescent="0.25">
      <c r="O6448"/>
      <c r="P6448"/>
      <c r="R6448" s="39">
        <v>36241</v>
      </c>
      <c r="S6448" s="37">
        <v>5.6287000000000003</v>
      </c>
    </row>
    <row r="6449" spans="15:19" ht="15" x14ac:dyDescent="0.25">
      <c r="O6449"/>
      <c r="P6449"/>
      <c r="R6449" s="39">
        <v>36238</v>
      </c>
      <c r="S6449" s="37">
        <v>5.8865999999999996</v>
      </c>
    </row>
    <row r="6450" spans="15:19" ht="15" x14ac:dyDescent="0.25">
      <c r="O6450"/>
      <c r="P6450"/>
      <c r="R6450" s="39">
        <v>36237</v>
      </c>
      <c r="S6450" s="37">
        <v>5.2003000000000004</v>
      </c>
    </row>
    <row r="6451" spans="15:19" ht="15" x14ac:dyDescent="0.25">
      <c r="O6451"/>
      <c r="P6451"/>
      <c r="R6451" s="39">
        <v>36236</v>
      </c>
      <c r="S6451" s="37">
        <v>5.3482000000000003</v>
      </c>
    </row>
    <row r="6452" spans="15:19" ht="15" x14ac:dyDescent="0.25">
      <c r="O6452"/>
      <c r="P6452"/>
      <c r="R6452" s="39">
        <v>36235</v>
      </c>
      <c r="S6452" s="37">
        <v>5.6506999999999996</v>
      </c>
    </row>
    <row r="6453" spans="15:19" ht="15" x14ac:dyDescent="0.25">
      <c r="O6453"/>
      <c r="P6453"/>
      <c r="R6453" s="39">
        <v>36234</v>
      </c>
      <c r="S6453" s="37">
        <v>5.1885000000000003</v>
      </c>
    </row>
    <row r="6454" spans="15:19" ht="15" x14ac:dyDescent="0.25">
      <c r="O6454"/>
      <c r="P6454"/>
      <c r="R6454" s="39">
        <v>36231</v>
      </c>
      <c r="S6454" s="37">
        <v>5.3963999999999999</v>
      </c>
    </row>
    <row r="6455" spans="15:19" ht="15" x14ac:dyDescent="0.25">
      <c r="O6455"/>
      <c r="P6455"/>
      <c r="R6455" s="39">
        <v>36230</v>
      </c>
      <c r="S6455" s="37">
        <v>5.2015000000000002</v>
      </c>
    </row>
    <row r="6456" spans="15:19" ht="15" x14ac:dyDescent="0.25">
      <c r="O6456"/>
      <c r="P6456"/>
      <c r="R6456" s="39">
        <v>36229</v>
      </c>
      <c r="S6456" s="37">
        <v>5.2618999999999998</v>
      </c>
    </row>
    <row r="6457" spans="15:19" ht="15" x14ac:dyDescent="0.25">
      <c r="O6457"/>
      <c r="P6457"/>
      <c r="R6457" s="39">
        <v>36228</v>
      </c>
      <c r="S6457" s="37">
        <v>5.2682000000000002</v>
      </c>
    </row>
    <row r="6458" spans="15:19" ht="15" x14ac:dyDescent="0.25">
      <c r="O6458"/>
      <c r="P6458"/>
      <c r="R6458" s="39">
        <v>36227</v>
      </c>
      <c r="S6458" s="37">
        <v>5.5857000000000001</v>
      </c>
    </row>
    <row r="6459" spans="15:19" ht="15" x14ac:dyDescent="0.25">
      <c r="O6459"/>
      <c r="P6459"/>
      <c r="R6459" s="39">
        <v>36224</v>
      </c>
      <c r="S6459" s="37">
        <v>5.6120999999999999</v>
      </c>
    </row>
    <row r="6460" spans="15:19" ht="15" x14ac:dyDescent="0.25">
      <c r="O6460"/>
      <c r="P6460"/>
      <c r="R6460" s="39">
        <v>36223</v>
      </c>
      <c r="S6460" s="37">
        <v>5.3898000000000001</v>
      </c>
    </row>
    <row r="6461" spans="15:19" ht="15" x14ac:dyDescent="0.25">
      <c r="O6461"/>
      <c r="P6461"/>
      <c r="R6461" s="39">
        <v>36222</v>
      </c>
      <c r="S6461" s="37">
        <v>5.4390000000000001</v>
      </c>
    </row>
    <row r="6462" spans="15:19" ht="15" x14ac:dyDescent="0.25">
      <c r="O6462"/>
      <c r="P6462"/>
      <c r="R6462" s="39">
        <v>36221</v>
      </c>
      <c r="S6462" s="37">
        <v>5.9813000000000001</v>
      </c>
    </row>
    <row r="6463" spans="15:19" ht="15" x14ac:dyDescent="0.25">
      <c r="O6463"/>
      <c r="P6463"/>
      <c r="R6463" s="39">
        <v>36220</v>
      </c>
      <c r="S6463" s="37">
        <v>5.7653999999999996</v>
      </c>
    </row>
    <row r="6464" spans="15:19" ht="15" x14ac:dyDescent="0.25">
      <c r="O6464"/>
      <c r="P6464"/>
      <c r="R6464" s="39">
        <v>36217</v>
      </c>
      <c r="S6464" s="37">
        <v>6.1965000000000003</v>
      </c>
    </row>
    <row r="6465" spans="15:19" ht="15" x14ac:dyDescent="0.25">
      <c r="O6465"/>
      <c r="P6465"/>
      <c r="R6465" s="39">
        <v>36216</v>
      </c>
      <c r="S6465" s="37">
        <v>5.9355000000000002</v>
      </c>
    </row>
    <row r="6466" spans="15:19" ht="15" x14ac:dyDescent="0.25">
      <c r="O6466"/>
      <c r="P6466"/>
      <c r="R6466" s="39">
        <v>36215</v>
      </c>
      <c r="S6466" s="37">
        <v>5.5762</v>
      </c>
    </row>
    <row r="6467" spans="15:19" ht="15" x14ac:dyDescent="0.25">
      <c r="O6467"/>
      <c r="P6467"/>
      <c r="R6467" s="39">
        <v>36214</v>
      </c>
      <c r="S6467" s="37">
        <v>5.5351999999999997</v>
      </c>
    </row>
    <row r="6468" spans="15:19" ht="15" x14ac:dyDescent="0.25">
      <c r="O6468"/>
      <c r="P6468"/>
      <c r="R6468" s="39">
        <v>36213</v>
      </c>
      <c r="S6468" s="37">
        <v>5.3274999999999997</v>
      </c>
    </row>
    <row r="6469" spans="15:19" ht="15" x14ac:dyDescent="0.25">
      <c r="O6469"/>
      <c r="P6469"/>
      <c r="R6469" s="39">
        <v>36210</v>
      </c>
      <c r="S6469" s="37">
        <v>5.2462</v>
      </c>
    </row>
    <row r="6470" spans="15:19" ht="15" x14ac:dyDescent="0.25">
      <c r="O6470"/>
      <c r="P6470"/>
      <c r="R6470" s="39">
        <v>36209</v>
      </c>
      <c r="S6470" s="37">
        <v>5.4417999999999997</v>
      </c>
    </row>
    <row r="6471" spans="15:19" ht="15" x14ac:dyDescent="0.25">
      <c r="O6471"/>
      <c r="P6471"/>
      <c r="R6471" s="39">
        <v>36208</v>
      </c>
      <c r="S6471" s="37">
        <v>5.3874000000000004</v>
      </c>
    </row>
    <row r="6472" spans="15:19" ht="15" x14ac:dyDescent="0.25">
      <c r="O6472"/>
      <c r="P6472"/>
      <c r="R6472" s="39">
        <v>36207</v>
      </c>
      <c r="S6472" s="37">
        <v>5.3216000000000001</v>
      </c>
    </row>
    <row r="6473" spans="15:19" ht="15" x14ac:dyDescent="0.25">
      <c r="O6473"/>
      <c r="P6473"/>
      <c r="R6473" s="39">
        <v>36206</v>
      </c>
      <c r="S6473" s="37">
        <v>5.5054999999999996</v>
      </c>
    </row>
    <row r="6474" spans="15:19" ht="15" x14ac:dyDescent="0.25">
      <c r="O6474"/>
      <c r="P6474"/>
      <c r="R6474" s="39">
        <v>36203</v>
      </c>
      <c r="S6474" s="37">
        <v>5.8296000000000001</v>
      </c>
    </row>
    <row r="6475" spans="15:19" ht="15" x14ac:dyDescent="0.25">
      <c r="O6475"/>
      <c r="P6475"/>
      <c r="R6475" s="39">
        <v>36202</v>
      </c>
      <c r="S6475" s="37">
        <v>5.7351999999999999</v>
      </c>
    </row>
    <row r="6476" spans="15:19" ht="15" x14ac:dyDescent="0.25">
      <c r="O6476"/>
      <c r="P6476"/>
      <c r="R6476" s="39">
        <v>36201</v>
      </c>
      <c r="S6476" s="37">
        <v>5.3484999999999996</v>
      </c>
    </row>
    <row r="6477" spans="15:19" ht="15" x14ac:dyDescent="0.25">
      <c r="O6477"/>
      <c r="P6477"/>
      <c r="R6477" s="39">
        <v>36200</v>
      </c>
      <c r="S6477" s="37">
        <v>5.6458000000000004</v>
      </c>
    </row>
    <row r="6478" spans="15:19" ht="15" x14ac:dyDescent="0.25">
      <c r="O6478"/>
      <c r="P6478"/>
      <c r="R6478" s="39">
        <v>36199</v>
      </c>
      <c r="S6478" s="37">
        <v>5.2312000000000003</v>
      </c>
    </row>
    <row r="6479" spans="15:19" ht="15" x14ac:dyDescent="0.25">
      <c r="O6479"/>
      <c r="P6479"/>
      <c r="R6479" s="39">
        <v>36196</v>
      </c>
      <c r="S6479" s="37">
        <v>5.1908000000000003</v>
      </c>
    </row>
    <row r="6480" spans="15:19" ht="15" x14ac:dyDescent="0.25">
      <c r="O6480"/>
      <c r="P6480"/>
      <c r="R6480" s="39">
        <v>36195</v>
      </c>
      <c r="S6480" s="37">
        <v>5.7779999999999996</v>
      </c>
    </row>
    <row r="6481" spans="15:19" ht="15" x14ac:dyDescent="0.25">
      <c r="O6481"/>
      <c r="P6481"/>
      <c r="R6481" s="39">
        <v>36194</v>
      </c>
      <c r="S6481" s="37">
        <v>7.0210999999999997</v>
      </c>
    </row>
    <row r="6482" spans="15:19" ht="15" x14ac:dyDescent="0.25">
      <c r="O6482"/>
      <c r="P6482"/>
      <c r="R6482" s="39">
        <v>36193</v>
      </c>
      <c r="S6482" s="37">
        <v>7.1554000000000002</v>
      </c>
    </row>
    <row r="6483" spans="15:19" ht="15" x14ac:dyDescent="0.25">
      <c r="O6483"/>
      <c r="P6483"/>
      <c r="R6483" s="39">
        <v>36192</v>
      </c>
      <c r="S6483" s="37">
        <v>6.9776999999999996</v>
      </c>
    </row>
    <row r="6484" spans="15:19" ht="15" x14ac:dyDescent="0.25">
      <c r="O6484"/>
      <c r="P6484"/>
      <c r="R6484" s="39">
        <v>36189</v>
      </c>
      <c r="S6484" s="37">
        <v>6.9124999999999996</v>
      </c>
    </row>
    <row r="6485" spans="15:19" ht="15" x14ac:dyDescent="0.25">
      <c r="O6485"/>
      <c r="P6485"/>
      <c r="R6485" s="39">
        <v>36188</v>
      </c>
      <c r="S6485" s="37">
        <v>5.9151999999999996</v>
      </c>
    </row>
    <row r="6486" spans="15:19" ht="15" x14ac:dyDescent="0.25">
      <c r="O6486"/>
      <c r="P6486"/>
      <c r="R6486" s="39">
        <v>36187</v>
      </c>
      <c r="S6486" s="37">
        <v>5.8535000000000004</v>
      </c>
    </row>
    <row r="6487" spans="15:19" ht="15" x14ac:dyDescent="0.25">
      <c r="O6487"/>
      <c r="P6487"/>
      <c r="R6487" s="39">
        <v>36186</v>
      </c>
      <c r="S6487" s="37">
        <v>5.9368999999999996</v>
      </c>
    </row>
    <row r="6488" spans="15:19" ht="15" x14ac:dyDescent="0.25">
      <c r="O6488"/>
      <c r="P6488"/>
      <c r="R6488" s="39">
        <v>36185</v>
      </c>
      <c r="S6488" s="37">
        <v>5.9302000000000001</v>
      </c>
    </row>
    <row r="6489" spans="15:19" ht="15" x14ac:dyDescent="0.25">
      <c r="O6489"/>
      <c r="P6489"/>
      <c r="R6489" s="39">
        <v>36182</v>
      </c>
      <c r="S6489" s="37">
        <v>6.2908999999999997</v>
      </c>
    </row>
    <row r="6490" spans="15:19" ht="15" x14ac:dyDescent="0.25">
      <c r="O6490"/>
      <c r="P6490"/>
      <c r="R6490" s="39">
        <v>36181</v>
      </c>
      <c r="S6490" s="37">
        <v>5.9009</v>
      </c>
    </row>
    <row r="6491" spans="15:19" ht="15" x14ac:dyDescent="0.25">
      <c r="O6491"/>
      <c r="P6491"/>
      <c r="R6491" s="39">
        <v>36180</v>
      </c>
      <c r="S6491" s="37">
        <v>6.1330999999999998</v>
      </c>
    </row>
    <row r="6492" spans="15:19" ht="15" x14ac:dyDescent="0.25">
      <c r="O6492"/>
      <c r="P6492"/>
      <c r="R6492" s="39">
        <v>36179</v>
      </c>
      <c r="S6492" s="37">
        <v>6.1470000000000002</v>
      </c>
    </row>
    <row r="6493" spans="15:19" ht="15" x14ac:dyDescent="0.25">
      <c r="O6493"/>
      <c r="P6493"/>
      <c r="R6493" s="39">
        <v>36178</v>
      </c>
      <c r="S6493" s="37">
        <v>5.8292999999999999</v>
      </c>
    </row>
    <row r="6494" spans="15:19" ht="15" x14ac:dyDescent="0.25">
      <c r="O6494"/>
      <c r="P6494"/>
      <c r="R6494" s="39">
        <v>36175</v>
      </c>
      <c r="S6494" s="37">
        <v>5.8742999999999999</v>
      </c>
    </row>
    <row r="6495" spans="15:19" ht="15" x14ac:dyDescent="0.25">
      <c r="O6495"/>
      <c r="P6495"/>
      <c r="R6495" s="39">
        <v>36174</v>
      </c>
      <c r="S6495" s="37">
        <v>5.7995000000000001</v>
      </c>
    </row>
    <row r="6496" spans="15:19" ht="15" x14ac:dyDescent="0.25">
      <c r="O6496"/>
      <c r="P6496"/>
      <c r="R6496" s="39">
        <v>36173</v>
      </c>
      <c r="S6496" s="37">
        <v>5.7514000000000003</v>
      </c>
    </row>
    <row r="6497" spans="15:19" ht="15" x14ac:dyDescent="0.25">
      <c r="O6497"/>
      <c r="P6497"/>
      <c r="R6497" s="39">
        <v>36172</v>
      </c>
      <c r="S6497" s="37">
        <v>5.8322000000000003</v>
      </c>
    </row>
    <row r="6498" spans="15:19" ht="15" x14ac:dyDescent="0.25">
      <c r="O6498"/>
      <c r="P6498"/>
      <c r="R6498" s="39">
        <v>36171</v>
      </c>
      <c r="S6498" s="37">
        <v>5.9405000000000001</v>
      </c>
    </row>
    <row r="6499" spans="15:19" ht="15" x14ac:dyDescent="0.25">
      <c r="O6499"/>
      <c r="P6499"/>
      <c r="R6499" s="39">
        <v>36168</v>
      </c>
      <c r="S6499" s="37">
        <v>6.0579000000000001</v>
      </c>
    </row>
    <row r="6500" spans="15:19" ht="15" x14ac:dyDescent="0.25">
      <c r="O6500"/>
      <c r="P6500"/>
      <c r="R6500" s="39">
        <v>36167</v>
      </c>
      <c r="S6500" s="37">
        <v>6.1643999999999997</v>
      </c>
    </row>
    <row r="6501" spans="15:19" ht="15" x14ac:dyDescent="0.25">
      <c r="O6501"/>
      <c r="P6501"/>
      <c r="R6501" s="39">
        <v>36166</v>
      </c>
      <c r="S6501" s="37">
        <v>5.9969000000000001</v>
      </c>
    </row>
    <row r="6502" spans="15:19" ht="15" x14ac:dyDescent="0.25">
      <c r="O6502"/>
      <c r="P6502"/>
      <c r="R6502" s="39">
        <v>36165</v>
      </c>
      <c r="S6502" s="37">
        <v>5.7074999999999996</v>
      </c>
    </row>
    <row r="6503" spans="15:19" ht="15" x14ac:dyDescent="0.25">
      <c r="O6503"/>
      <c r="P6503"/>
      <c r="R6503" s="39">
        <v>36164</v>
      </c>
      <c r="S6503" s="37">
        <v>5.87</v>
      </c>
    </row>
    <row r="6504" spans="15:19" ht="15" x14ac:dyDescent="0.25">
      <c r="O6504"/>
      <c r="P6504"/>
      <c r="R6504" s="39">
        <v>36160</v>
      </c>
      <c r="S6504" s="37">
        <v>5.274</v>
      </c>
    </row>
    <row r="6505" spans="15:19" ht="15" x14ac:dyDescent="0.25">
      <c r="O6505"/>
      <c r="P6505"/>
      <c r="R6505" s="39">
        <v>36159</v>
      </c>
      <c r="S6505" s="37">
        <v>5.7609000000000004</v>
      </c>
    </row>
    <row r="6506" spans="15:19" ht="15" x14ac:dyDescent="0.25">
      <c r="O6506"/>
      <c r="P6506"/>
      <c r="R6506" s="39">
        <v>36158</v>
      </c>
      <c r="S6506" s="37">
        <v>5.8998999999999997</v>
      </c>
    </row>
    <row r="6507" spans="15:19" ht="15" x14ac:dyDescent="0.25">
      <c r="O6507"/>
      <c r="P6507"/>
      <c r="R6507" s="39">
        <v>36153</v>
      </c>
      <c r="S6507" s="37">
        <v>4.9611000000000001</v>
      </c>
    </row>
    <row r="6508" spans="15:19" ht="15" x14ac:dyDescent="0.25">
      <c r="O6508"/>
      <c r="P6508"/>
      <c r="R6508" s="39">
        <v>36152</v>
      </c>
      <c r="S6508" s="37">
        <v>7.109</v>
      </c>
    </row>
    <row r="6509" spans="15:19" ht="15" x14ac:dyDescent="0.25">
      <c r="O6509"/>
      <c r="P6509"/>
      <c r="R6509" s="39">
        <v>36151</v>
      </c>
      <c r="S6509" s="37">
        <v>6.2037000000000004</v>
      </c>
    </row>
    <row r="6510" spans="15:19" ht="15" x14ac:dyDescent="0.25">
      <c r="O6510"/>
      <c r="P6510"/>
      <c r="R6510" s="39">
        <v>36150</v>
      </c>
      <c r="S6510" s="37">
        <v>6.0446</v>
      </c>
    </row>
    <row r="6511" spans="15:19" ht="15" x14ac:dyDescent="0.25">
      <c r="O6511"/>
      <c r="P6511"/>
      <c r="R6511" s="39">
        <v>36147</v>
      </c>
      <c r="S6511" s="37">
        <v>5.9917999999999996</v>
      </c>
    </row>
    <row r="6512" spans="15:19" ht="15" x14ac:dyDescent="0.25">
      <c r="O6512"/>
      <c r="P6512"/>
      <c r="R6512" s="39">
        <v>36146</v>
      </c>
      <c r="S6512" s="37">
        <v>6.1018999999999997</v>
      </c>
    </row>
    <row r="6513" spans="15:19" ht="15" x14ac:dyDescent="0.25">
      <c r="O6513"/>
      <c r="P6513"/>
      <c r="R6513" s="39">
        <v>36145</v>
      </c>
      <c r="S6513" s="37">
        <v>6.3025000000000002</v>
      </c>
    </row>
    <row r="6514" spans="15:19" ht="15" x14ac:dyDescent="0.25">
      <c r="O6514"/>
      <c r="P6514"/>
      <c r="R6514" s="39">
        <v>36144</v>
      </c>
      <c r="S6514" s="37">
        <v>6.0914999999999999</v>
      </c>
    </row>
    <row r="6515" spans="15:19" ht="15" x14ac:dyDescent="0.25">
      <c r="O6515"/>
      <c r="P6515"/>
      <c r="R6515" s="39">
        <v>36143</v>
      </c>
      <c r="S6515" s="37">
        <v>6.0532000000000004</v>
      </c>
    </row>
    <row r="6516" spans="15:19" ht="15" x14ac:dyDescent="0.25">
      <c r="O6516"/>
      <c r="P6516"/>
      <c r="R6516" s="39">
        <v>36140</v>
      </c>
      <c r="S6516" s="37">
        <v>6.2816999999999998</v>
      </c>
    </row>
    <row r="6517" spans="15:19" ht="15" x14ac:dyDescent="0.25">
      <c r="O6517"/>
      <c r="P6517"/>
      <c r="R6517" s="39">
        <v>36139</v>
      </c>
      <c r="S6517" s="37">
        <v>6.2282000000000002</v>
      </c>
    </row>
    <row r="6518" spans="15:19" ht="15" x14ac:dyDescent="0.25">
      <c r="O6518"/>
      <c r="P6518"/>
      <c r="R6518" s="39">
        <v>36138</v>
      </c>
      <c r="S6518" s="37">
        <v>7.4596</v>
      </c>
    </row>
    <row r="6519" spans="15:19" ht="15" x14ac:dyDescent="0.25">
      <c r="O6519"/>
      <c r="P6519"/>
      <c r="R6519" s="39">
        <v>36137</v>
      </c>
      <c r="S6519" s="37">
        <v>7.0285000000000002</v>
      </c>
    </row>
    <row r="6520" spans="15:19" ht="15" x14ac:dyDescent="0.25">
      <c r="O6520"/>
      <c r="P6520"/>
      <c r="R6520" s="39">
        <v>36136</v>
      </c>
      <c r="S6520" s="37">
        <v>7.3692000000000002</v>
      </c>
    </row>
    <row r="6521" spans="15:19" ht="15" x14ac:dyDescent="0.25">
      <c r="O6521"/>
      <c r="P6521"/>
      <c r="R6521" s="39">
        <v>36133</v>
      </c>
      <c r="S6521" s="37">
        <v>6.8091999999999997</v>
      </c>
    </row>
    <row r="6522" spans="15:19" ht="15" x14ac:dyDescent="0.25">
      <c r="O6522"/>
      <c r="P6522"/>
      <c r="R6522" s="39">
        <v>36132</v>
      </c>
      <c r="S6522" s="37">
        <v>7.0415000000000001</v>
      </c>
    </row>
    <row r="6523" spans="15:19" ht="15" x14ac:dyDescent="0.25">
      <c r="O6523"/>
      <c r="P6523"/>
      <c r="R6523" s="39">
        <v>36131</v>
      </c>
      <c r="S6523" s="37">
        <v>6.9085999999999999</v>
      </c>
    </row>
    <row r="6524" spans="15:19" ht="15" x14ac:dyDescent="0.25">
      <c r="O6524"/>
      <c r="P6524"/>
      <c r="R6524" s="39">
        <v>36130</v>
      </c>
      <c r="S6524" s="37">
        <v>6.9535999999999998</v>
      </c>
    </row>
    <row r="6525" spans="15:19" ht="15" x14ac:dyDescent="0.25">
      <c r="O6525"/>
      <c r="P6525"/>
      <c r="R6525" s="39">
        <v>36129</v>
      </c>
      <c r="S6525" s="37">
        <v>6.9997999999999996</v>
      </c>
    </row>
    <row r="6526" spans="15:19" ht="15" x14ac:dyDescent="0.25">
      <c r="O6526"/>
      <c r="P6526"/>
      <c r="R6526" s="39">
        <v>36126</v>
      </c>
      <c r="S6526" s="37">
        <v>6.4154999999999998</v>
      </c>
    </row>
    <row r="6527" spans="15:19" ht="15" x14ac:dyDescent="0.25">
      <c r="O6527"/>
      <c r="P6527"/>
      <c r="R6527" s="39">
        <v>36125</v>
      </c>
      <c r="S6527" s="37">
        <v>6.8148</v>
      </c>
    </row>
    <row r="6528" spans="15:19" ht="15" x14ac:dyDescent="0.25">
      <c r="O6528"/>
      <c r="P6528"/>
      <c r="R6528" s="39">
        <v>36124</v>
      </c>
      <c r="S6528" s="37">
        <v>6.4565000000000001</v>
      </c>
    </row>
    <row r="6529" spans="15:19" ht="15" x14ac:dyDescent="0.25">
      <c r="O6529"/>
      <c r="P6529"/>
      <c r="R6529" s="39">
        <v>36123</v>
      </c>
      <c r="S6529" s="37">
        <v>6.4112</v>
      </c>
    </row>
    <row r="6530" spans="15:19" ht="15" x14ac:dyDescent="0.25">
      <c r="O6530"/>
      <c r="P6530"/>
      <c r="R6530" s="39">
        <v>36122</v>
      </c>
      <c r="S6530" s="37">
        <v>6.4572000000000003</v>
      </c>
    </row>
    <row r="6531" spans="15:19" ht="15" x14ac:dyDescent="0.25">
      <c r="O6531"/>
      <c r="P6531"/>
      <c r="R6531" s="39">
        <v>36119</v>
      </c>
      <c r="S6531" s="37">
        <v>6.4974999999999996</v>
      </c>
    </row>
    <row r="6532" spans="15:19" ht="15" x14ac:dyDescent="0.25">
      <c r="O6532"/>
      <c r="P6532"/>
      <c r="R6532" s="39">
        <v>36118</v>
      </c>
      <c r="S6532" s="37">
        <v>6.7239000000000004</v>
      </c>
    </row>
    <row r="6533" spans="15:19" ht="15" x14ac:dyDescent="0.25">
      <c r="O6533"/>
      <c r="P6533"/>
      <c r="R6533" s="39">
        <v>36117</v>
      </c>
      <c r="S6533" s="37">
        <v>7.1784999999999997</v>
      </c>
    </row>
    <row r="6534" spans="15:19" ht="15" x14ac:dyDescent="0.25">
      <c r="O6534"/>
      <c r="P6534"/>
      <c r="R6534" s="39">
        <v>36116</v>
      </c>
      <c r="S6534" s="37">
        <v>6.5101000000000004</v>
      </c>
    </row>
    <row r="6535" spans="15:19" ht="15" x14ac:dyDescent="0.25">
      <c r="O6535"/>
      <c r="P6535"/>
      <c r="R6535" s="39">
        <v>36115</v>
      </c>
      <c r="S6535" s="37">
        <v>6.6531000000000002</v>
      </c>
    </row>
    <row r="6536" spans="15:19" ht="15" x14ac:dyDescent="0.25">
      <c r="O6536"/>
      <c r="P6536"/>
      <c r="R6536" s="39">
        <v>36112</v>
      </c>
      <c r="S6536" s="37">
        <v>6.6547000000000001</v>
      </c>
    </row>
    <row r="6537" spans="15:19" ht="15" x14ac:dyDescent="0.25">
      <c r="O6537"/>
      <c r="P6537"/>
      <c r="R6537" s="39">
        <v>36111</v>
      </c>
      <c r="S6537" s="37">
        <v>7.2763</v>
      </c>
    </row>
    <row r="6538" spans="15:19" ht="15" x14ac:dyDescent="0.25">
      <c r="O6538"/>
      <c r="P6538"/>
      <c r="R6538" s="39">
        <v>36110</v>
      </c>
      <c r="S6538" s="37">
        <v>6.9537000000000004</v>
      </c>
    </row>
    <row r="6539" spans="15:19" ht="15" x14ac:dyDescent="0.25">
      <c r="O6539"/>
      <c r="P6539"/>
      <c r="R6539" s="39">
        <v>36109</v>
      </c>
      <c r="S6539" s="37">
        <v>6.5396000000000001</v>
      </c>
    </row>
    <row r="6540" spans="15:19" ht="15" x14ac:dyDescent="0.25">
      <c r="O6540"/>
      <c r="P6540"/>
      <c r="R6540" s="39">
        <v>36108</v>
      </c>
      <c r="S6540" s="37">
        <v>6.5496999999999996</v>
      </c>
    </row>
    <row r="6541" spans="15:19" ht="15" x14ac:dyDescent="0.25">
      <c r="O6541"/>
      <c r="P6541"/>
      <c r="R6541" s="39">
        <v>36105</v>
      </c>
      <c r="S6541" s="37">
        <v>6.5517000000000003</v>
      </c>
    </row>
    <row r="6542" spans="15:19" ht="15" x14ac:dyDescent="0.25">
      <c r="O6542"/>
      <c r="P6542"/>
      <c r="R6542" s="39">
        <v>36104</v>
      </c>
      <c r="S6542" s="37">
        <v>6.9001000000000001</v>
      </c>
    </row>
    <row r="6543" spans="15:19" ht="15" x14ac:dyDescent="0.25">
      <c r="O6543"/>
      <c r="P6543"/>
      <c r="R6543" s="39">
        <v>36103</v>
      </c>
      <c r="S6543" s="37">
        <v>8.2339000000000002</v>
      </c>
    </row>
    <row r="6544" spans="15:19" ht="15" x14ac:dyDescent="0.25">
      <c r="O6544"/>
      <c r="P6544"/>
      <c r="R6544" s="39">
        <v>36102</v>
      </c>
      <c r="S6544" s="37">
        <v>7.9968000000000004</v>
      </c>
    </row>
    <row r="6545" spans="15:19" ht="15" x14ac:dyDescent="0.25">
      <c r="O6545"/>
      <c r="P6545"/>
      <c r="R6545" s="39">
        <v>36101</v>
      </c>
      <c r="S6545" s="37">
        <v>7.2381000000000002</v>
      </c>
    </row>
    <row r="6546" spans="15:19" ht="15" x14ac:dyDescent="0.25">
      <c r="O6546"/>
      <c r="P6546"/>
      <c r="R6546" s="39">
        <v>36098</v>
      </c>
      <c r="S6546" s="37">
        <v>6.8800999999999997</v>
      </c>
    </row>
    <row r="6547" spans="15:19" ht="15" x14ac:dyDescent="0.25">
      <c r="O6547"/>
      <c r="P6547"/>
      <c r="R6547" s="39">
        <v>36097</v>
      </c>
      <c r="S6547" s="37">
        <v>7.6818999999999997</v>
      </c>
    </row>
    <row r="6548" spans="15:19" ht="15" x14ac:dyDescent="0.25">
      <c r="O6548"/>
      <c r="P6548"/>
      <c r="R6548" s="39">
        <v>36096</v>
      </c>
      <c r="S6548" s="37">
        <v>7.5163000000000002</v>
      </c>
    </row>
    <row r="6549" spans="15:19" ht="15" x14ac:dyDescent="0.25">
      <c r="O6549"/>
      <c r="P6549"/>
      <c r="R6549" s="39">
        <v>36095</v>
      </c>
      <c r="S6549" s="37">
        <v>7.3146000000000004</v>
      </c>
    </row>
    <row r="6550" spans="15:19" ht="15" x14ac:dyDescent="0.25">
      <c r="O6550"/>
      <c r="P6550"/>
      <c r="R6550" s="39">
        <v>36094</v>
      </c>
      <c r="S6550" s="37">
        <v>7.3446999999999996</v>
      </c>
    </row>
    <row r="6551" spans="15:19" ht="15" x14ac:dyDescent="0.25">
      <c r="O6551"/>
      <c r="P6551"/>
      <c r="R6551" s="39">
        <v>36091</v>
      </c>
      <c r="S6551" s="37">
        <v>7.2133000000000003</v>
      </c>
    </row>
    <row r="6552" spans="15:19" ht="15" x14ac:dyDescent="0.25">
      <c r="O6552"/>
      <c r="P6552"/>
      <c r="R6552" s="39">
        <v>36090</v>
      </c>
      <c r="S6552" s="37">
        <v>7.2724000000000002</v>
      </c>
    </row>
    <row r="6553" spans="15:19" ht="15" x14ac:dyDescent="0.25">
      <c r="O6553"/>
      <c r="P6553"/>
      <c r="R6553" s="39">
        <v>36089</v>
      </c>
      <c r="S6553" s="37">
        <v>7.4073000000000002</v>
      </c>
    </row>
    <row r="6554" spans="15:19" ht="15" x14ac:dyDescent="0.25">
      <c r="O6554"/>
      <c r="P6554"/>
      <c r="R6554" s="39">
        <v>36088</v>
      </c>
      <c r="S6554" s="37">
        <v>7.9134000000000002</v>
      </c>
    </row>
    <row r="6555" spans="15:19" ht="15" x14ac:dyDescent="0.25">
      <c r="O6555"/>
      <c r="P6555"/>
      <c r="R6555" s="39">
        <v>36087</v>
      </c>
      <c r="S6555" s="37">
        <v>7.2328000000000001</v>
      </c>
    </row>
    <row r="6556" spans="15:19" ht="15" x14ac:dyDescent="0.25">
      <c r="O6556"/>
      <c r="P6556"/>
      <c r="R6556" s="39">
        <v>36084</v>
      </c>
      <c r="S6556" s="37">
        <v>6.8734999999999999</v>
      </c>
    </row>
    <row r="6557" spans="15:19" ht="15" x14ac:dyDescent="0.25">
      <c r="O6557"/>
      <c r="P6557"/>
      <c r="R6557" s="39">
        <v>36083</v>
      </c>
      <c r="S6557" s="37">
        <v>7.9153000000000002</v>
      </c>
    </row>
    <row r="6558" spans="15:19" ht="15" x14ac:dyDescent="0.25">
      <c r="O6558"/>
      <c r="P6558"/>
      <c r="R6558" s="39">
        <v>36082</v>
      </c>
      <c r="S6558" s="37">
        <v>7.6268000000000002</v>
      </c>
    </row>
    <row r="6559" spans="15:19" ht="15" x14ac:dyDescent="0.25">
      <c r="O6559"/>
      <c r="P6559"/>
      <c r="R6559" s="39">
        <v>36081</v>
      </c>
      <c r="S6559" s="37">
        <v>7.2953000000000001</v>
      </c>
    </row>
    <row r="6560" spans="15:19" ht="15" x14ac:dyDescent="0.25">
      <c r="O6560"/>
      <c r="P6560"/>
      <c r="R6560" s="39">
        <v>36080</v>
      </c>
      <c r="S6560" s="37">
        <v>7.125</v>
      </c>
    </row>
    <row r="6561" spans="15:19" ht="15" x14ac:dyDescent="0.25">
      <c r="O6561"/>
      <c r="P6561"/>
      <c r="R6561" s="39">
        <v>36077</v>
      </c>
      <c r="S6561" s="37">
        <v>6.9448999999999996</v>
      </c>
    </row>
    <row r="6562" spans="15:19" ht="15" x14ac:dyDescent="0.25">
      <c r="O6562"/>
      <c r="P6562"/>
      <c r="R6562" s="39">
        <v>36076</v>
      </c>
      <c r="S6562" s="37">
        <v>7.2892000000000001</v>
      </c>
    </row>
    <row r="6563" spans="15:19" ht="15" x14ac:dyDescent="0.25">
      <c r="O6563"/>
      <c r="P6563"/>
      <c r="R6563" s="39">
        <v>36075</v>
      </c>
      <c r="S6563" s="37">
        <v>8.4964999999999993</v>
      </c>
    </row>
    <row r="6564" spans="15:19" ht="15" x14ac:dyDescent="0.25">
      <c r="O6564"/>
      <c r="P6564"/>
      <c r="R6564" s="39">
        <v>36074</v>
      </c>
      <c r="S6564" s="37">
        <v>8.5607000000000006</v>
      </c>
    </row>
    <row r="6565" spans="15:19" ht="15" x14ac:dyDescent="0.25">
      <c r="O6565"/>
      <c r="P6565"/>
      <c r="R6565" s="39">
        <v>36073</v>
      </c>
      <c r="S6565" s="37">
        <v>8.3035999999999994</v>
      </c>
    </row>
    <row r="6566" spans="15:19" ht="15" x14ac:dyDescent="0.25">
      <c r="O6566"/>
      <c r="P6566"/>
      <c r="R6566" s="39">
        <v>36070</v>
      </c>
      <c r="S6566" s="37">
        <v>7.8399000000000001</v>
      </c>
    </row>
    <row r="6567" spans="15:19" ht="15" x14ac:dyDescent="0.25">
      <c r="O6567"/>
      <c r="P6567"/>
      <c r="R6567" s="39">
        <v>36069</v>
      </c>
      <c r="S6567" s="37">
        <v>8.1280999999999999</v>
      </c>
    </row>
    <row r="6568" spans="15:19" ht="15" x14ac:dyDescent="0.25">
      <c r="O6568"/>
      <c r="P6568"/>
      <c r="R6568" s="39">
        <v>36068</v>
      </c>
      <c r="S6568" s="37">
        <v>7.4695</v>
      </c>
    </row>
    <row r="6569" spans="15:19" ht="15" x14ac:dyDescent="0.25">
      <c r="O6569"/>
      <c r="P6569"/>
      <c r="R6569" s="39">
        <v>36067</v>
      </c>
      <c r="S6569" s="37">
        <v>7.3696000000000002</v>
      </c>
    </row>
    <row r="6570" spans="15:19" ht="15" x14ac:dyDescent="0.25">
      <c r="O6570"/>
      <c r="P6570"/>
      <c r="R6570" s="39">
        <v>36066</v>
      </c>
      <c r="S6570" s="37">
        <v>7.1253000000000002</v>
      </c>
    </row>
    <row r="6571" spans="15:19" ht="15" x14ac:dyDescent="0.25">
      <c r="O6571"/>
      <c r="P6571"/>
      <c r="R6571" s="39">
        <v>36063</v>
      </c>
      <c r="S6571" s="37">
        <v>7.0053999999999998</v>
      </c>
    </row>
    <row r="6572" spans="15:19" ht="15" x14ac:dyDescent="0.25">
      <c r="O6572"/>
      <c r="P6572"/>
      <c r="R6572" s="39">
        <v>36062</v>
      </c>
      <c r="S6572" s="37">
        <v>7.7625999999999999</v>
      </c>
    </row>
    <row r="6573" spans="15:19" ht="15" x14ac:dyDescent="0.25">
      <c r="O6573"/>
      <c r="P6573"/>
      <c r="R6573" s="39">
        <v>36061</v>
      </c>
      <c r="S6573" s="37">
        <v>7.6247999999999996</v>
      </c>
    </row>
    <row r="6574" spans="15:19" ht="15" x14ac:dyDescent="0.25">
      <c r="O6574"/>
      <c r="P6574"/>
      <c r="R6574" s="39">
        <v>36060</v>
      </c>
      <c r="S6574" s="37">
        <v>7.5397999999999996</v>
      </c>
    </row>
    <row r="6575" spans="15:19" ht="15" x14ac:dyDescent="0.25">
      <c r="O6575"/>
      <c r="P6575"/>
      <c r="R6575" s="39">
        <v>36059</v>
      </c>
      <c r="S6575" s="37">
        <v>6.9950999999999999</v>
      </c>
    </row>
    <row r="6576" spans="15:19" ht="15" x14ac:dyDescent="0.25">
      <c r="O6576"/>
      <c r="P6576"/>
      <c r="R6576" s="39">
        <v>36056</v>
      </c>
      <c r="S6576" s="37">
        <v>7.4324000000000003</v>
      </c>
    </row>
    <row r="6577" spans="15:19" ht="15" x14ac:dyDescent="0.25">
      <c r="O6577"/>
      <c r="P6577"/>
      <c r="R6577" s="39">
        <v>36055</v>
      </c>
      <c r="S6577" s="37">
        <v>7.0072999999999999</v>
      </c>
    </row>
    <row r="6578" spans="15:19" ht="15" x14ac:dyDescent="0.25">
      <c r="O6578"/>
      <c r="P6578"/>
      <c r="R6578" s="39">
        <v>36054</v>
      </c>
      <c r="S6578" s="37">
        <v>7.4706000000000001</v>
      </c>
    </row>
    <row r="6579" spans="15:19" ht="15" x14ac:dyDescent="0.25">
      <c r="O6579"/>
      <c r="P6579"/>
      <c r="R6579" s="39">
        <v>36053</v>
      </c>
      <c r="S6579" s="37">
        <v>7.6132</v>
      </c>
    </row>
    <row r="6580" spans="15:19" ht="15" x14ac:dyDescent="0.25">
      <c r="O6580"/>
      <c r="P6580"/>
      <c r="R6580" s="39">
        <v>36052</v>
      </c>
      <c r="S6580" s="37">
        <v>6.8643000000000001</v>
      </c>
    </row>
    <row r="6581" spans="15:19" ht="15" x14ac:dyDescent="0.25">
      <c r="O6581"/>
      <c r="P6581"/>
      <c r="R6581" s="39">
        <v>36049</v>
      </c>
      <c r="S6581" s="37">
        <v>6.4877000000000002</v>
      </c>
    </row>
    <row r="6582" spans="15:19" ht="15" x14ac:dyDescent="0.25">
      <c r="O6582"/>
      <c r="P6582"/>
      <c r="R6582" s="39">
        <v>36048</v>
      </c>
      <c r="S6582" s="37">
        <v>6.9897</v>
      </c>
    </row>
    <row r="6583" spans="15:19" ht="15" x14ac:dyDescent="0.25">
      <c r="O6583"/>
      <c r="P6583"/>
      <c r="R6583" s="39">
        <v>36047</v>
      </c>
      <c r="S6583" s="37">
        <v>7.5865999999999998</v>
      </c>
    </row>
    <row r="6584" spans="15:19" ht="15" x14ac:dyDescent="0.25">
      <c r="O6584"/>
      <c r="P6584"/>
      <c r="R6584" s="39">
        <v>36046</v>
      </c>
      <c r="S6584" s="37">
        <v>7.0843999999999996</v>
      </c>
    </row>
    <row r="6585" spans="15:19" ht="15" x14ac:dyDescent="0.25">
      <c r="O6585"/>
      <c r="P6585"/>
      <c r="R6585" s="39">
        <v>36045</v>
      </c>
      <c r="S6585" s="37">
        <v>7.3555000000000001</v>
      </c>
    </row>
    <row r="6586" spans="15:19" ht="15" x14ac:dyDescent="0.25">
      <c r="O6586"/>
      <c r="P6586"/>
      <c r="R6586" s="39">
        <v>36042</v>
      </c>
      <c r="S6586" s="37">
        <v>6.7339000000000002</v>
      </c>
    </row>
    <row r="6587" spans="15:19" ht="15" x14ac:dyDescent="0.25">
      <c r="O6587"/>
      <c r="P6587"/>
      <c r="R6587" s="39">
        <v>36041</v>
      </c>
      <c r="S6587" s="37">
        <v>7.7526000000000002</v>
      </c>
    </row>
    <row r="6588" spans="15:19" ht="15" x14ac:dyDescent="0.25">
      <c r="O6588"/>
      <c r="P6588"/>
      <c r="R6588" s="39">
        <v>36040</v>
      </c>
      <c r="S6588" s="37">
        <v>7.2594000000000003</v>
      </c>
    </row>
    <row r="6589" spans="15:19" ht="15" x14ac:dyDescent="0.25">
      <c r="O6589"/>
      <c r="P6589"/>
      <c r="R6589" s="39">
        <v>36039</v>
      </c>
      <c r="S6589" s="37">
        <v>7.6086</v>
      </c>
    </row>
    <row r="6590" spans="15:19" ht="15" x14ac:dyDescent="0.25">
      <c r="O6590"/>
      <c r="P6590"/>
      <c r="R6590" s="39">
        <v>36035</v>
      </c>
      <c r="S6590" s="37">
        <v>6.7640000000000002</v>
      </c>
    </row>
    <row r="6591" spans="15:19" ht="15" x14ac:dyDescent="0.25">
      <c r="O6591"/>
      <c r="P6591"/>
      <c r="R6591" s="39">
        <v>36034</v>
      </c>
      <c r="S6591" s="37">
        <v>7.1668000000000003</v>
      </c>
    </row>
    <row r="6592" spans="15:19" ht="15" x14ac:dyDescent="0.25">
      <c r="O6592"/>
      <c r="P6592"/>
      <c r="R6592" s="39">
        <v>36033</v>
      </c>
      <c r="S6592" s="37">
        <v>7.7576999999999998</v>
      </c>
    </row>
    <row r="6593" spans="15:19" ht="15" x14ac:dyDescent="0.25">
      <c r="O6593"/>
      <c r="P6593"/>
      <c r="R6593" s="39">
        <v>36032</v>
      </c>
      <c r="S6593" s="37">
        <v>7.9192</v>
      </c>
    </row>
    <row r="6594" spans="15:19" ht="15" x14ac:dyDescent="0.25">
      <c r="O6594"/>
      <c r="P6594"/>
      <c r="R6594" s="39">
        <v>36031</v>
      </c>
      <c r="S6594" s="37">
        <v>7.6771000000000003</v>
      </c>
    </row>
    <row r="6595" spans="15:19" ht="15" x14ac:dyDescent="0.25">
      <c r="O6595"/>
      <c r="P6595"/>
      <c r="R6595" s="39">
        <v>36028</v>
      </c>
      <c r="S6595" s="37">
        <v>7.7544000000000004</v>
      </c>
    </row>
    <row r="6596" spans="15:19" ht="15" x14ac:dyDescent="0.25">
      <c r="O6596"/>
      <c r="P6596"/>
      <c r="R6596" s="39">
        <v>36027</v>
      </c>
      <c r="S6596" s="37">
        <v>7.7370000000000001</v>
      </c>
    </row>
    <row r="6597" spans="15:19" ht="15" x14ac:dyDescent="0.25">
      <c r="O6597"/>
      <c r="P6597"/>
      <c r="R6597" s="39">
        <v>36026</v>
      </c>
      <c r="S6597" s="37">
        <v>7.5667999999999997</v>
      </c>
    </row>
    <row r="6598" spans="15:19" ht="15" x14ac:dyDescent="0.25">
      <c r="O6598"/>
      <c r="P6598"/>
      <c r="R6598" s="39">
        <v>36025</v>
      </c>
      <c r="S6598" s="37">
        <v>7.1910999999999996</v>
      </c>
    </row>
    <row r="6599" spans="15:19" ht="15" x14ac:dyDescent="0.25">
      <c r="O6599"/>
      <c r="P6599"/>
      <c r="R6599" s="39">
        <v>36024</v>
      </c>
      <c r="S6599" s="37">
        <v>7.7984999999999998</v>
      </c>
    </row>
    <row r="6600" spans="15:19" ht="15" x14ac:dyDescent="0.25">
      <c r="O6600"/>
      <c r="P6600"/>
      <c r="R6600" s="39">
        <v>36021</v>
      </c>
      <c r="S6600" s="37">
        <v>7.4859</v>
      </c>
    </row>
    <row r="6601" spans="15:19" ht="15" x14ac:dyDescent="0.25">
      <c r="O6601"/>
      <c r="P6601"/>
      <c r="R6601" s="39">
        <v>36020</v>
      </c>
      <c r="S6601" s="37">
        <v>7.1813000000000002</v>
      </c>
    </row>
    <row r="6602" spans="15:19" ht="15" x14ac:dyDescent="0.25">
      <c r="O6602"/>
      <c r="P6602"/>
      <c r="R6602" s="39">
        <v>36019</v>
      </c>
      <c r="S6602" s="37">
        <v>7.5712000000000002</v>
      </c>
    </row>
    <row r="6603" spans="15:19" ht="15" x14ac:dyDescent="0.25">
      <c r="O6603"/>
      <c r="P6603"/>
      <c r="R6603" s="39">
        <v>36018</v>
      </c>
      <c r="S6603" s="37">
        <v>7.8691000000000004</v>
      </c>
    </row>
    <row r="6604" spans="15:19" ht="15" x14ac:dyDescent="0.25">
      <c r="O6604"/>
      <c r="P6604"/>
      <c r="R6604" s="39">
        <v>36017</v>
      </c>
      <c r="S6604" s="37">
        <v>7.8518999999999997</v>
      </c>
    </row>
    <row r="6605" spans="15:19" ht="15" x14ac:dyDescent="0.25">
      <c r="O6605"/>
      <c r="P6605"/>
      <c r="R6605" s="39">
        <v>36014</v>
      </c>
      <c r="S6605" s="37">
        <v>7.1741000000000001</v>
      </c>
    </row>
    <row r="6606" spans="15:19" ht="15" x14ac:dyDescent="0.25">
      <c r="O6606"/>
      <c r="P6606"/>
      <c r="R6606" s="39">
        <v>36013</v>
      </c>
      <c r="S6606" s="37">
        <v>7.7100999999999997</v>
      </c>
    </row>
    <row r="6607" spans="15:19" ht="15" x14ac:dyDescent="0.25">
      <c r="O6607"/>
      <c r="P6607"/>
      <c r="R6607" s="39">
        <v>36012</v>
      </c>
      <c r="S6607" s="37">
        <v>7.5586000000000002</v>
      </c>
    </row>
    <row r="6608" spans="15:19" ht="15" x14ac:dyDescent="0.25">
      <c r="O6608"/>
      <c r="P6608"/>
      <c r="R6608" s="39">
        <v>36011</v>
      </c>
      <c r="S6608" s="37">
        <v>7.4766000000000004</v>
      </c>
    </row>
    <row r="6609" spans="15:19" ht="15" x14ac:dyDescent="0.25">
      <c r="O6609"/>
      <c r="P6609"/>
      <c r="R6609" s="39">
        <v>36010</v>
      </c>
      <c r="S6609" s="37">
        <v>7.4066000000000001</v>
      </c>
    </row>
    <row r="6610" spans="15:19" ht="15" x14ac:dyDescent="0.25">
      <c r="O6610"/>
      <c r="P6610"/>
      <c r="R6610" s="39">
        <v>36007</v>
      </c>
      <c r="S6610" s="37">
        <v>7.6445999999999996</v>
      </c>
    </row>
    <row r="6611" spans="15:19" ht="15" x14ac:dyDescent="0.25">
      <c r="O6611"/>
      <c r="P6611"/>
      <c r="R6611" s="39">
        <v>36006</v>
      </c>
      <c r="S6611" s="37">
        <v>7.7092999999999998</v>
      </c>
    </row>
    <row r="6612" spans="15:19" ht="15" x14ac:dyDescent="0.25">
      <c r="O6612"/>
      <c r="P6612"/>
      <c r="R6612" s="39">
        <v>36005</v>
      </c>
      <c r="S6612" s="37">
        <v>7.4473000000000003</v>
      </c>
    </row>
    <row r="6613" spans="15:19" ht="15" x14ac:dyDescent="0.25">
      <c r="O6613"/>
      <c r="P6613"/>
      <c r="R6613" s="39">
        <v>36004</v>
      </c>
      <c r="S6613" s="37">
        <v>7.508</v>
      </c>
    </row>
    <row r="6614" spans="15:19" ht="15" x14ac:dyDescent="0.25">
      <c r="O6614"/>
      <c r="P6614"/>
      <c r="R6614" s="39">
        <v>36003</v>
      </c>
      <c r="S6614" s="37">
        <v>7.5385999999999997</v>
      </c>
    </row>
    <row r="6615" spans="15:19" ht="15" x14ac:dyDescent="0.25">
      <c r="O6615"/>
      <c r="P6615"/>
      <c r="R6615" s="39">
        <v>36000</v>
      </c>
      <c r="S6615" s="37">
        <v>7.3436000000000003</v>
      </c>
    </row>
    <row r="6616" spans="15:19" ht="15" x14ac:dyDescent="0.25">
      <c r="O6616"/>
      <c r="P6616"/>
      <c r="R6616" s="39">
        <v>35999</v>
      </c>
      <c r="S6616" s="37">
        <v>7.3517000000000001</v>
      </c>
    </row>
    <row r="6617" spans="15:19" ht="15" x14ac:dyDescent="0.25">
      <c r="O6617"/>
      <c r="P6617"/>
      <c r="R6617" s="39">
        <v>35998</v>
      </c>
      <c r="S6617" s="37">
        <v>7.2420999999999998</v>
      </c>
    </row>
    <row r="6618" spans="15:19" ht="15" x14ac:dyDescent="0.25">
      <c r="O6618"/>
      <c r="P6618"/>
      <c r="R6618" s="39">
        <v>35997</v>
      </c>
      <c r="S6618" s="37">
        <v>7.6184000000000003</v>
      </c>
    </row>
    <row r="6619" spans="15:19" ht="15" x14ac:dyDescent="0.25">
      <c r="O6619"/>
      <c r="P6619"/>
      <c r="R6619" s="39">
        <v>35996</v>
      </c>
      <c r="S6619" s="37">
        <v>7.1776</v>
      </c>
    </row>
    <row r="6620" spans="15:19" ht="15" x14ac:dyDescent="0.25">
      <c r="O6620"/>
      <c r="P6620"/>
      <c r="R6620" s="39">
        <v>35993</v>
      </c>
      <c r="S6620" s="37">
        <v>7.4554</v>
      </c>
    </row>
    <row r="6621" spans="15:19" ht="15" x14ac:dyDescent="0.25">
      <c r="O6621"/>
      <c r="P6621"/>
      <c r="R6621" s="39">
        <v>35992</v>
      </c>
      <c r="S6621" s="37">
        <v>7.3353999999999999</v>
      </c>
    </row>
    <row r="6622" spans="15:19" ht="15" x14ac:dyDescent="0.25">
      <c r="O6622"/>
      <c r="P6622"/>
      <c r="R6622" s="39">
        <v>35991</v>
      </c>
      <c r="S6622" s="37">
        <v>7.2294</v>
      </c>
    </row>
    <row r="6623" spans="15:19" ht="15" x14ac:dyDescent="0.25">
      <c r="O6623"/>
      <c r="P6623"/>
      <c r="R6623" s="39">
        <v>35990</v>
      </c>
      <c r="S6623" s="37">
        <v>7.1672000000000002</v>
      </c>
    </row>
    <row r="6624" spans="15:19" ht="15" x14ac:dyDescent="0.25">
      <c r="O6624"/>
      <c r="P6624"/>
      <c r="R6624" s="39">
        <v>35989</v>
      </c>
      <c r="S6624" s="37">
        <v>7.0998999999999999</v>
      </c>
    </row>
    <row r="6625" spans="15:19" ht="15" x14ac:dyDescent="0.25">
      <c r="O6625"/>
      <c r="P6625"/>
      <c r="R6625" s="39">
        <v>35986</v>
      </c>
      <c r="S6625" s="37">
        <v>7.0415999999999999</v>
      </c>
    </row>
    <row r="6626" spans="15:19" ht="15" x14ac:dyDescent="0.25">
      <c r="O6626"/>
      <c r="P6626"/>
      <c r="R6626" s="39">
        <v>35985</v>
      </c>
      <c r="S6626" s="37">
        <v>7.3860999999999999</v>
      </c>
    </row>
    <row r="6627" spans="15:19" ht="15" x14ac:dyDescent="0.25">
      <c r="O6627"/>
      <c r="P6627"/>
      <c r="R6627" s="39">
        <v>35984</v>
      </c>
      <c r="S6627" s="37">
        <v>6.9443000000000001</v>
      </c>
    </row>
    <row r="6628" spans="15:19" ht="15" x14ac:dyDescent="0.25">
      <c r="O6628"/>
      <c r="P6628"/>
      <c r="R6628" s="39">
        <v>35983</v>
      </c>
      <c r="S6628" s="37">
        <v>7.0058999999999996</v>
      </c>
    </row>
    <row r="6629" spans="15:19" ht="15" x14ac:dyDescent="0.25">
      <c r="O6629"/>
      <c r="P6629"/>
      <c r="R6629" s="39">
        <v>35982</v>
      </c>
      <c r="S6629" s="37">
        <v>7.0492999999999997</v>
      </c>
    </row>
    <row r="6630" spans="15:19" ht="15" x14ac:dyDescent="0.25">
      <c r="O6630"/>
      <c r="P6630"/>
      <c r="R6630" s="39">
        <v>35979</v>
      </c>
      <c r="S6630" s="37">
        <v>7.0911</v>
      </c>
    </row>
    <row r="6631" spans="15:19" ht="15" x14ac:dyDescent="0.25">
      <c r="O6631"/>
      <c r="P6631"/>
      <c r="R6631" s="39">
        <v>35978</v>
      </c>
      <c r="S6631" s="37">
        <v>7.6932</v>
      </c>
    </row>
    <row r="6632" spans="15:19" ht="15" x14ac:dyDescent="0.25">
      <c r="O6632"/>
      <c r="P6632"/>
      <c r="R6632" s="39">
        <v>35977</v>
      </c>
      <c r="S6632" s="37">
        <v>7.4702000000000002</v>
      </c>
    </row>
    <row r="6633" spans="15:19" ht="15" x14ac:dyDescent="0.25">
      <c r="O6633"/>
      <c r="P6633"/>
      <c r="R6633" s="39">
        <v>35976</v>
      </c>
      <c r="S6633" s="37">
        <v>7.4210000000000003</v>
      </c>
    </row>
    <row r="6634" spans="15:19" ht="15" x14ac:dyDescent="0.25">
      <c r="O6634"/>
      <c r="P6634"/>
      <c r="R6634" s="39">
        <v>35975</v>
      </c>
      <c r="S6634" s="37">
        <v>7.1021999999999998</v>
      </c>
    </row>
    <row r="6635" spans="15:19" ht="15" x14ac:dyDescent="0.25">
      <c r="O6635"/>
      <c r="P6635"/>
      <c r="R6635" s="39">
        <v>35972</v>
      </c>
      <c r="S6635" s="37">
        <v>6.9661999999999997</v>
      </c>
    </row>
    <row r="6636" spans="15:19" ht="15" x14ac:dyDescent="0.25">
      <c r="O6636"/>
      <c r="P6636"/>
      <c r="R6636" s="39">
        <v>35971</v>
      </c>
      <c r="S6636" s="37">
        <v>7.2605000000000004</v>
      </c>
    </row>
    <row r="6637" spans="15:19" ht="15" x14ac:dyDescent="0.25">
      <c r="O6637"/>
      <c r="P6637"/>
      <c r="R6637" s="39">
        <v>35970</v>
      </c>
      <c r="S6637" s="37">
        <v>7.2929000000000004</v>
      </c>
    </row>
    <row r="6638" spans="15:19" ht="15" x14ac:dyDescent="0.25">
      <c r="O6638"/>
      <c r="P6638"/>
      <c r="R6638" s="39">
        <v>35969</v>
      </c>
      <c r="S6638" s="37">
        <v>7.1711999999999998</v>
      </c>
    </row>
    <row r="6639" spans="15:19" ht="15" x14ac:dyDescent="0.25">
      <c r="O6639"/>
      <c r="P6639"/>
      <c r="R6639" s="39">
        <v>35968</v>
      </c>
      <c r="S6639" s="37">
        <v>7.3094999999999999</v>
      </c>
    </row>
    <row r="6640" spans="15:19" ht="15" x14ac:dyDescent="0.25">
      <c r="O6640"/>
      <c r="P6640"/>
      <c r="R6640" s="39">
        <v>35965</v>
      </c>
      <c r="S6640" s="37">
        <v>7.1050000000000004</v>
      </c>
    </row>
    <row r="6641" spans="15:19" ht="15" x14ac:dyDescent="0.25">
      <c r="O6641"/>
      <c r="P6641"/>
      <c r="R6641" s="39">
        <v>35964</v>
      </c>
      <c r="S6641" s="37">
        <v>7.2359999999999998</v>
      </c>
    </row>
    <row r="6642" spans="15:19" ht="15" x14ac:dyDescent="0.25">
      <c r="O6642"/>
      <c r="P6642"/>
      <c r="R6642" s="39">
        <v>35963</v>
      </c>
      <c r="S6642" s="37">
        <v>6.8867000000000003</v>
      </c>
    </row>
    <row r="6643" spans="15:19" ht="15" x14ac:dyDescent="0.25">
      <c r="O6643"/>
      <c r="P6643"/>
      <c r="R6643" s="39">
        <v>35962</v>
      </c>
      <c r="S6643" s="37">
        <v>6.8811</v>
      </c>
    </row>
    <row r="6644" spans="15:19" ht="15" x14ac:dyDescent="0.25">
      <c r="O6644"/>
      <c r="P6644"/>
      <c r="R6644" s="39">
        <v>35961</v>
      </c>
      <c r="S6644" s="37">
        <v>7.0720999999999998</v>
      </c>
    </row>
    <row r="6645" spans="15:19" ht="15" x14ac:dyDescent="0.25">
      <c r="O6645"/>
      <c r="P6645"/>
      <c r="R6645" s="39">
        <v>35958</v>
      </c>
      <c r="S6645" s="37">
        <v>6.9234999999999998</v>
      </c>
    </row>
    <row r="6646" spans="15:19" ht="15" x14ac:dyDescent="0.25">
      <c r="O6646"/>
      <c r="P6646"/>
      <c r="R6646" s="39">
        <v>35957</v>
      </c>
      <c r="S6646" s="37">
        <v>7.3147000000000002</v>
      </c>
    </row>
    <row r="6647" spans="15:19" ht="15" x14ac:dyDescent="0.25">
      <c r="O6647"/>
      <c r="P6647"/>
      <c r="R6647" s="39">
        <v>35956</v>
      </c>
      <c r="S6647" s="37">
        <v>7.1853999999999996</v>
      </c>
    </row>
    <row r="6648" spans="15:19" ht="15" x14ac:dyDescent="0.25">
      <c r="O6648"/>
      <c r="P6648"/>
      <c r="R6648" s="39">
        <v>35955</v>
      </c>
      <c r="S6648" s="37">
        <v>7.1833</v>
      </c>
    </row>
    <row r="6649" spans="15:19" ht="15" x14ac:dyDescent="0.25">
      <c r="O6649"/>
      <c r="P6649"/>
      <c r="R6649" s="39">
        <v>35954</v>
      </c>
      <c r="S6649" s="37">
        <v>7.2069999999999999</v>
      </c>
    </row>
    <row r="6650" spans="15:19" ht="15" x14ac:dyDescent="0.25">
      <c r="O6650"/>
      <c r="P6650"/>
      <c r="R6650" s="39">
        <v>35951</v>
      </c>
      <c r="S6650" s="37">
        <v>7.1951000000000001</v>
      </c>
    </row>
    <row r="6651" spans="15:19" ht="15" x14ac:dyDescent="0.25">
      <c r="O6651"/>
      <c r="P6651"/>
      <c r="R6651" s="39">
        <v>35950</v>
      </c>
      <c r="S6651" s="37">
        <v>6.7896999999999998</v>
      </c>
    </row>
    <row r="6652" spans="15:19" ht="15" x14ac:dyDescent="0.25">
      <c r="O6652"/>
      <c r="P6652"/>
      <c r="R6652" s="39">
        <v>35949</v>
      </c>
      <c r="S6652" s="37">
        <v>7.3212000000000002</v>
      </c>
    </row>
    <row r="6653" spans="15:19" ht="15" x14ac:dyDescent="0.25">
      <c r="O6653"/>
      <c r="P6653"/>
      <c r="R6653" s="39">
        <v>35948</v>
      </c>
      <c r="S6653" s="37">
        <v>7.0228999999999999</v>
      </c>
    </row>
    <row r="6654" spans="15:19" ht="15" x14ac:dyDescent="0.25">
      <c r="O6654"/>
      <c r="P6654"/>
      <c r="R6654" s="39">
        <v>35947</v>
      </c>
      <c r="S6654" s="37">
        <v>7.2534000000000001</v>
      </c>
    </row>
    <row r="6655" spans="15:19" ht="15" x14ac:dyDescent="0.25">
      <c r="O6655"/>
      <c r="P6655"/>
      <c r="R6655" s="39">
        <v>35944</v>
      </c>
      <c r="S6655" s="37">
        <v>7.6161000000000003</v>
      </c>
    </row>
    <row r="6656" spans="15:19" ht="15" x14ac:dyDescent="0.25">
      <c r="O6656"/>
      <c r="P6656"/>
      <c r="R6656" s="39">
        <v>35943</v>
      </c>
      <c r="S6656" s="37">
        <v>6.9225000000000003</v>
      </c>
    </row>
    <row r="6657" spans="15:19" ht="15" x14ac:dyDescent="0.25">
      <c r="O6657"/>
      <c r="P6657"/>
      <c r="R6657" s="39">
        <v>35942</v>
      </c>
      <c r="S6657" s="37">
        <v>7.4824999999999999</v>
      </c>
    </row>
    <row r="6658" spans="15:19" ht="15" x14ac:dyDescent="0.25">
      <c r="O6658"/>
      <c r="P6658"/>
      <c r="R6658" s="39">
        <v>35941</v>
      </c>
      <c r="S6658" s="37">
        <v>6.9119000000000002</v>
      </c>
    </row>
    <row r="6659" spans="15:19" ht="15" x14ac:dyDescent="0.25">
      <c r="O6659"/>
      <c r="P6659"/>
      <c r="R6659" s="39">
        <v>35937</v>
      </c>
      <c r="S6659" s="37">
        <v>6.7023999999999999</v>
      </c>
    </row>
    <row r="6660" spans="15:19" ht="15" x14ac:dyDescent="0.25">
      <c r="O6660"/>
      <c r="P6660"/>
      <c r="R6660" s="39">
        <v>35936</v>
      </c>
      <c r="S6660" s="37">
        <v>7.8338999999999999</v>
      </c>
    </row>
    <row r="6661" spans="15:19" ht="15" x14ac:dyDescent="0.25">
      <c r="O6661"/>
      <c r="P6661"/>
      <c r="R6661" s="39">
        <v>35935</v>
      </c>
      <c r="S6661" s="37">
        <v>7.7214999999999998</v>
      </c>
    </row>
    <row r="6662" spans="15:19" ht="15" x14ac:dyDescent="0.25">
      <c r="O6662"/>
      <c r="P6662"/>
      <c r="R6662" s="39">
        <v>35934</v>
      </c>
      <c r="S6662" s="37">
        <v>7.1828000000000003</v>
      </c>
    </row>
    <row r="6663" spans="15:19" ht="15" x14ac:dyDescent="0.25">
      <c r="O6663"/>
      <c r="P6663"/>
      <c r="R6663" s="39">
        <v>35933</v>
      </c>
      <c r="S6663" s="37">
        <v>7.5307000000000004</v>
      </c>
    </row>
    <row r="6664" spans="15:19" ht="15" x14ac:dyDescent="0.25">
      <c r="O6664"/>
      <c r="P6664"/>
      <c r="R6664" s="39">
        <v>35930</v>
      </c>
      <c r="S6664" s="37">
        <v>7.5049000000000001</v>
      </c>
    </row>
    <row r="6665" spans="15:19" ht="15" x14ac:dyDescent="0.25">
      <c r="O6665"/>
      <c r="P6665"/>
      <c r="R6665" s="39">
        <v>35929</v>
      </c>
      <c r="S6665" s="37">
        <v>7.3167</v>
      </c>
    </row>
    <row r="6666" spans="15:19" ht="15" x14ac:dyDescent="0.25">
      <c r="O6666"/>
      <c r="P6666"/>
      <c r="R6666" s="39">
        <v>35928</v>
      </c>
      <c r="S6666" s="37">
        <v>7.226</v>
      </c>
    </row>
    <row r="6667" spans="15:19" ht="15" x14ac:dyDescent="0.25">
      <c r="O6667"/>
      <c r="P6667"/>
      <c r="R6667" s="39">
        <v>35927</v>
      </c>
      <c r="S6667" s="37">
        <v>6.9523000000000001</v>
      </c>
    </row>
    <row r="6668" spans="15:19" ht="15" x14ac:dyDescent="0.25">
      <c r="O6668"/>
      <c r="P6668"/>
      <c r="R6668" s="39">
        <v>35926</v>
      </c>
      <c r="S6668" s="37">
        <v>7.2339000000000002</v>
      </c>
    </row>
    <row r="6669" spans="15:19" ht="15" x14ac:dyDescent="0.25">
      <c r="O6669"/>
      <c r="P6669"/>
      <c r="R6669" s="39">
        <v>35923</v>
      </c>
      <c r="S6669" s="37">
        <v>7.3056999999999999</v>
      </c>
    </row>
    <row r="6670" spans="15:19" ht="15" x14ac:dyDescent="0.25">
      <c r="O6670"/>
      <c r="P6670"/>
      <c r="R6670" s="39">
        <v>35922</v>
      </c>
      <c r="S6670" s="37">
        <v>7.1276000000000002</v>
      </c>
    </row>
    <row r="6671" spans="15:19" ht="15" x14ac:dyDescent="0.25">
      <c r="O6671"/>
      <c r="P6671"/>
      <c r="R6671" s="39">
        <v>35921</v>
      </c>
      <c r="S6671" s="37">
        <v>7.4946999999999999</v>
      </c>
    </row>
    <row r="6672" spans="15:19" ht="15" x14ac:dyDescent="0.25">
      <c r="O6672"/>
      <c r="P6672"/>
      <c r="R6672" s="39">
        <v>35920</v>
      </c>
      <c r="S6672" s="37">
        <v>7.0288000000000004</v>
      </c>
    </row>
    <row r="6673" spans="15:19" ht="15" x14ac:dyDescent="0.25">
      <c r="O6673"/>
      <c r="P6673"/>
      <c r="R6673" s="39">
        <v>35916</v>
      </c>
      <c r="S6673" s="37">
        <v>6.8368000000000002</v>
      </c>
    </row>
    <row r="6674" spans="15:19" ht="15" x14ac:dyDescent="0.25">
      <c r="O6674"/>
      <c r="P6674"/>
      <c r="R6674" s="39">
        <v>35915</v>
      </c>
      <c r="S6674" s="37">
        <v>8.6067999999999998</v>
      </c>
    </row>
    <row r="6675" spans="15:19" ht="15" x14ac:dyDescent="0.25">
      <c r="O6675"/>
      <c r="P6675"/>
      <c r="R6675" s="39">
        <v>35914</v>
      </c>
      <c r="S6675" s="37">
        <v>7.5221999999999998</v>
      </c>
    </row>
    <row r="6676" spans="15:19" ht="15" x14ac:dyDescent="0.25">
      <c r="O6676"/>
      <c r="P6676"/>
      <c r="R6676" s="39">
        <v>35913</v>
      </c>
      <c r="S6676" s="37">
        <v>7.1426999999999996</v>
      </c>
    </row>
    <row r="6677" spans="15:19" ht="15" x14ac:dyDescent="0.25">
      <c r="O6677"/>
      <c r="P6677"/>
      <c r="R6677" s="39">
        <v>35912</v>
      </c>
      <c r="S6677" s="37">
        <v>7.4325000000000001</v>
      </c>
    </row>
    <row r="6678" spans="15:19" ht="15" x14ac:dyDescent="0.25">
      <c r="O6678"/>
      <c r="P6678"/>
      <c r="R6678" s="39">
        <v>35909</v>
      </c>
      <c r="S6678" s="37">
        <v>7.1997</v>
      </c>
    </row>
    <row r="6679" spans="15:19" ht="15" x14ac:dyDescent="0.25">
      <c r="O6679"/>
      <c r="P6679"/>
      <c r="R6679" s="39">
        <v>35908</v>
      </c>
      <c r="S6679" s="37">
        <v>7.2568999999999999</v>
      </c>
    </row>
    <row r="6680" spans="15:19" ht="15" x14ac:dyDescent="0.25">
      <c r="O6680"/>
      <c r="P6680"/>
      <c r="R6680" s="39">
        <v>35907</v>
      </c>
      <c r="S6680" s="37">
        <v>7.4691000000000001</v>
      </c>
    </row>
    <row r="6681" spans="15:19" ht="15" x14ac:dyDescent="0.25">
      <c r="O6681"/>
      <c r="P6681"/>
      <c r="R6681" s="39">
        <v>35906</v>
      </c>
      <c r="S6681" s="37">
        <v>7.2060000000000004</v>
      </c>
    </row>
    <row r="6682" spans="15:19" ht="15" x14ac:dyDescent="0.25">
      <c r="O6682"/>
      <c r="P6682"/>
      <c r="R6682" s="39">
        <v>35905</v>
      </c>
      <c r="S6682" s="37">
        <v>7.1576000000000004</v>
      </c>
    </row>
    <row r="6683" spans="15:19" ht="15" x14ac:dyDescent="0.25">
      <c r="O6683"/>
      <c r="P6683"/>
      <c r="R6683" s="39">
        <v>35902</v>
      </c>
      <c r="S6683" s="37">
        <v>6.843</v>
      </c>
    </row>
    <row r="6684" spans="15:19" ht="15" x14ac:dyDescent="0.25">
      <c r="O6684"/>
      <c r="P6684"/>
      <c r="R6684" s="39">
        <v>35901</v>
      </c>
      <c r="S6684" s="37">
        <v>7.3556999999999997</v>
      </c>
    </row>
    <row r="6685" spans="15:19" ht="15" x14ac:dyDescent="0.25">
      <c r="O6685"/>
      <c r="P6685"/>
      <c r="R6685" s="39">
        <v>35900</v>
      </c>
      <c r="S6685" s="37">
        <v>7.0335000000000001</v>
      </c>
    </row>
    <row r="6686" spans="15:19" ht="15" x14ac:dyDescent="0.25">
      <c r="O6686"/>
      <c r="P6686"/>
      <c r="R6686" s="39">
        <v>35899</v>
      </c>
      <c r="S6686" s="37">
        <v>7.0224000000000002</v>
      </c>
    </row>
    <row r="6687" spans="15:19" ht="15" x14ac:dyDescent="0.25">
      <c r="O6687"/>
      <c r="P6687"/>
      <c r="R6687" s="39">
        <v>35894</v>
      </c>
      <c r="S6687" s="37">
        <v>6.7866</v>
      </c>
    </row>
    <row r="6688" spans="15:19" ht="15" x14ac:dyDescent="0.25">
      <c r="O6688"/>
      <c r="P6688"/>
      <c r="R6688" s="39">
        <v>35893</v>
      </c>
      <c r="S6688" s="37">
        <v>6.9508999999999999</v>
      </c>
    </row>
    <row r="6689" spans="15:19" ht="15" x14ac:dyDescent="0.25">
      <c r="O6689"/>
      <c r="P6689"/>
      <c r="R6689" s="39">
        <v>35892</v>
      </c>
      <c r="S6689" s="37">
        <v>7.2614999999999998</v>
      </c>
    </row>
    <row r="6690" spans="15:19" ht="15" x14ac:dyDescent="0.25">
      <c r="O6690"/>
      <c r="P6690"/>
      <c r="R6690" s="39">
        <v>35891</v>
      </c>
      <c r="S6690" s="37">
        <v>7.0944000000000003</v>
      </c>
    </row>
    <row r="6691" spans="15:19" ht="15" x14ac:dyDescent="0.25">
      <c r="O6691"/>
      <c r="P6691"/>
      <c r="R6691" s="39">
        <v>35888</v>
      </c>
      <c r="S6691" s="37">
        <v>7.1311999999999998</v>
      </c>
    </row>
    <row r="6692" spans="15:19" ht="15" x14ac:dyDescent="0.25">
      <c r="O6692"/>
      <c r="P6692"/>
      <c r="R6692" s="39">
        <v>35887</v>
      </c>
      <c r="S6692" s="37">
        <v>7.3198999999999996</v>
      </c>
    </row>
    <row r="6693" spans="15:19" ht="15" x14ac:dyDescent="0.25">
      <c r="O6693"/>
      <c r="P6693"/>
      <c r="R6693" s="39">
        <v>35886</v>
      </c>
      <c r="S6693" s="37">
        <v>7.2443999999999997</v>
      </c>
    </row>
    <row r="6694" spans="15:19" ht="15" x14ac:dyDescent="0.25">
      <c r="O6694"/>
      <c r="P6694"/>
      <c r="R6694" s="39">
        <v>35885</v>
      </c>
      <c r="S6694" s="37">
        <v>7.4276999999999997</v>
      </c>
    </row>
    <row r="6695" spans="15:19" ht="15" x14ac:dyDescent="0.25">
      <c r="O6695"/>
      <c r="P6695"/>
      <c r="R6695" s="39">
        <v>35884</v>
      </c>
      <c r="S6695" s="37">
        <v>7.2549000000000001</v>
      </c>
    </row>
    <row r="6696" spans="15:19" ht="15" x14ac:dyDescent="0.25">
      <c r="O6696"/>
      <c r="P6696"/>
      <c r="R6696" s="39">
        <v>35881</v>
      </c>
      <c r="S6696" s="37">
        <v>7.4546000000000001</v>
      </c>
    </row>
    <row r="6697" spans="15:19" ht="15" x14ac:dyDescent="0.25">
      <c r="O6697"/>
      <c r="P6697"/>
      <c r="R6697" s="39">
        <v>35880</v>
      </c>
      <c r="S6697" s="37">
        <v>7.6576000000000004</v>
      </c>
    </row>
    <row r="6698" spans="15:19" ht="15" x14ac:dyDescent="0.25">
      <c r="O6698"/>
      <c r="P6698"/>
      <c r="R6698" s="39">
        <v>35879</v>
      </c>
      <c r="S6698" s="37">
        <v>7.8752000000000004</v>
      </c>
    </row>
    <row r="6699" spans="15:19" ht="15" x14ac:dyDescent="0.25">
      <c r="O6699"/>
      <c r="P6699"/>
      <c r="R6699" s="39">
        <v>35878</v>
      </c>
      <c r="S6699" s="37">
        <v>7.2354000000000003</v>
      </c>
    </row>
    <row r="6700" spans="15:19" ht="15" x14ac:dyDescent="0.25">
      <c r="O6700"/>
      <c r="P6700"/>
      <c r="R6700" s="39">
        <v>35877</v>
      </c>
      <c r="S6700" s="37">
        <v>8.0638000000000005</v>
      </c>
    </row>
    <row r="6701" spans="15:19" ht="15" x14ac:dyDescent="0.25">
      <c r="O6701"/>
      <c r="P6701"/>
      <c r="R6701" s="39">
        <v>35874</v>
      </c>
      <c r="S6701" s="37">
        <v>7.2554999999999996</v>
      </c>
    </row>
    <row r="6702" spans="15:19" ht="15" x14ac:dyDescent="0.25">
      <c r="O6702"/>
      <c r="P6702"/>
      <c r="R6702" s="39">
        <v>35873</v>
      </c>
      <c r="S6702" s="37">
        <v>7.3197999999999999</v>
      </c>
    </row>
    <row r="6703" spans="15:19" ht="15" x14ac:dyDescent="0.25">
      <c r="O6703"/>
      <c r="P6703"/>
      <c r="R6703" s="39">
        <v>35872</v>
      </c>
      <c r="S6703" s="37">
        <v>7.1154000000000002</v>
      </c>
    </row>
    <row r="6704" spans="15:19" ht="15" x14ac:dyDescent="0.25">
      <c r="O6704"/>
      <c r="P6704"/>
      <c r="R6704" s="39">
        <v>35871</v>
      </c>
      <c r="S6704" s="37">
        <v>7.2967000000000004</v>
      </c>
    </row>
    <row r="6705" spans="15:19" ht="15" x14ac:dyDescent="0.25">
      <c r="O6705"/>
      <c r="P6705"/>
      <c r="R6705" s="39">
        <v>35870</v>
      </c>
      <c r="S6705" s="37">
        <v>7.3891999999999998</v>
      </c>
    </row>
    <row r="6706" spans="15:19" ht="15" x14ac:dyDescent="0.25">
      <c r="O6706"/>
      <c r="P6706"/>
      <c r="R6706" s="39">
        <v>35867</v>
      </c>
      <c r="S6706" s="37">
        <v>7.3345000000000002</v>
      </c>
    </row>
    <row r="6707" spans="15:19" ht="15" x14ac:dyDescent="0.25">
      <c r="O6707"/>
      <c r="P6707"/>
      <c r="R6707" s="39">
        <v>35866</v>
      </c>
      <c r="S6707" s="37">
        <v>7.2777000000000003</v>
      </c>
    </row>
    <row r="6708" spans="15:19" ht="15" x14ac:dyDescent="0.25">
      <c r="O6708"/>
      <c r="P6708"/>
      <c r="R6708" s="39">
        <v>35865</v>
      </c>
      <c r="S6708" s="37">
        <v>7.3635999999999999</v>
      </c>
    </row>
    <row r="6709" spans="15:19" ht="15" x14ac:dyDescent="0.25">
      <c r="O6709"/>
      <c r="P6709"/>
      <c r="R6709" s="39">
        <v>35864</v>
      </c>
      <c r="S6709" s="37">
        <v>7.2252000000000001</v>
      </c>
    </row>
    <row r="6710" spans="15:19" ht="15" x14ac:dyDescent="0.25">
      <c r="O6710"/>
      <c r="P6710"/>
      <c r="R6710" s="39">
        <v>35863</v>
      </c>
      <c r="S6710" s="37">
        <v>7.5369999999999999</v>
      </c>
    </row>
    <row r="6711" spans="15:19" ht="15" x14ac:dyDescent="0.25">
      <c r="O6711"/>
      <c r="P6711"/>
      <c r="R6711" s="39">
        <v>35860</v>
      </c>
      <c r="S6711" s="37">
        <v>7.6866000000000003</v>
      </c>
    </row>
    <row r="6712" spans="15:19" ht="15" x14ac:dyDescent="0.25">
      <c r="O6712"/>
      <c r="P6712"/>
      <c r="R6712" s="39">
        <v>35859</v>
      </c>
      <c r="S6712" s="37">
        <v>7.7675000000000001</v>
      </c>
    </row>
    <row r="6713" spans="15:19" ht="15" x14ac:dyDescent="0.25">
      <c r="O6713"/>
      <c r="P6713"/>
      <c r="R6713" s="39">
        <v>35858</v>
      </c>
      <c r="S6713" s="37">
        <v>6.9492000000000003</v>
      </c>
    </row>
    <row r="6714" spans="15:19" ht="15" x14ac:dyDescent="0.25">
      <c r="O6714"/>
      <c r="P6714"/>
      <c r="R6714" s="39">
        <v>35857</v>
      </c>
      <c r="S6714" s="37">
        <v>7.1356000000000002</v>
      </c>
    </row>
    <row r="6715" spans="15:19" ht="15" x14ac:dyDescent="0.25">
      <c r="O6715"/>
      <c r="P6715"/>
      <c r="R6715" s="39">
        <v>35856</v>
      </c>
      <c r="S6715" s="37">
        <v>7.2502000000000004</v>
      </c>
    </row>
    <row r="6716" spans="15:19" ht="15" x14ac:dyDescent="0.25">
      <c r="O6716"/>
      <c r="P6716"/>
      <c r="R6716" s="39">
        <v>35853</v>
      </c>
      <c r="S6716" s="37">
        <v>7.3308</v>
      </c>
    </row>
    <row r="6717" spans="15:19" ht="15" x14ac:dyDescent="0.25">
      <c r="O6717"/>
      <c r="P6717"/>
      <c r="R6717" s="39">
        <v>35852</v>
      </c>
      <c r="S6717" s="37">
        <v>7.3315999999999999</v>
      </c>
    </row>
    <row r="6718" spans="15:19" ht="15" x14ac:dyDescent="0.25">
      <c r="O6718"/>
      <c r="P6718"/>
      <c r="R6718" s="39">
        <v>35851</v>
      </c>
      <c r="S6718" s="37">
        <v>7.1398999999999999</v>
      </c>
    </row>
    <row r="6719" spans="15:19" ht="15" x14ac:dyDescent="0.25">
      <c r="O6719"/>
      <c r="P6719"/>
      <c r="R6719" s="39">
        <v>35850</v>
      </c>
      <c r="S6719" s="37">
        <v>7.3552999999999997</v>
      </c>
    </row>
    <row r="6720" spans="15:19" ht="15" x14ac:dyDescent="0.25">
      <c r="O6720"/>
      <c r="P6720"/>
      <c r="R6720" s="39">
        <v>35849</v>
      </c>
      <c r="S6720" s="37">
        <v>7.1337000000000002</v>
      </c>
    </row>
    <row r="6721" spans="15:19" ht="15" x14ac:dyDescent="0.25">
      <c r="O6721"/>
      <c r="P6721"/>
      <c r="R6721" s="39">
        <v>35846</v>
      </c>
      <c r="S6721" s="37">
        <v>7.3994999999999997</v>
      </c>
    </row>
    <row r="6722" spans="15:19" ht="15" x14ac:dyDescent="0.25">
      <c r="O6722"/>
      <c r="P6722"/>
      <c r="R6722" s="39">
        <v>35845</v>
      </c>
      <c r="S6722" s="37">
        <v>7.0628000000000002</v>
      </c>
    </row>
    <row r="6723" spans="15:19" ht="15" x14ac:dyDescent="0.25">
      <c r="O6723"/>
      <c r="P6723"/>
      <c r="R6723" s="39">
        <v>35844</v>
      </c>
      <c r="S6723" s="37">
        <v>7.4227999999999996</v>
      </c>
    </row>
    <row r="6724" spans="15:19" ht="15" x14ac:dyDescent="0.25">
      <c r="O6724"/>
      <c r="P6724"/>
      <c r="R6724" s="39">
        <v>35843</v>
      </c>
      <c r="S6724" s="37">
        <v>7.4451999999999998</v>
      </c>
    </row>
    <row r="6725" spans="15:19" ht="15" x14ac:dyDescent="0.25">
      <c r="O6725"/>
      <c r="P6725"/>
      <c r="R6725" s="39">
        <v>35842</v>
      </c>
      <c r="S6725" s="37">
        <v>7.2998000000000003</v>
      </c>
    </row>
    <row r="6726" spans="15:19" ht="15" x14ac:dyDescent="0.25">
      <c r="O6726"/>
      <c r="P6726"/>
      <c r="R6726" s="39">
        <v>35839</v>
      </c>
      <c r="S6726" s="37">
        <v>7.4272999999999998</v>
      </c>
    </row>
    <row r="6727" spans="15:19" ht="15" x14ac:dyDescent="0.25">
      <c r="O6727"/>
      <c r="P6727"/>
      <c r="R6727" s="39">
        <v>35838</v>
      </c>
      <c r="S6727" s="37">
        <v>7.4409999999999998</v>
      </c>
    </row>
    <row r="6728" spans="15:19" ht="15" x14ac:dyDescent="0.25">
      <c r="O6728"/>
      <c r="P6728"/>
      <c r="R6728" s="39">
        <v>35837</v>
      </c>
      <c r="S6728" s="37">
        <v>7.4753999999999996</v>
      </c>
    </row>
    <row r="6729" spans="15:19" ht="15" x14ac:dyDescent="0.25">
      <c r="O6729"/>
      <c r="P6729"/>
      <c r="R6729" s="39">
        <v>35836</v>
      </c>
      <c r="S6729" s="37">
        <v>7.5545999999999998</v>
      </c>
    </row>
    <row r="6730" spans="15:19" ht="15" x14ac:dyDescent="0.25">
      <c r="O6730"/>
      <c r="P6730"/>
      <c r="R6730" s="39">
        <v>35835</v>
      </c>
      <c r="S6730" s="37">
        <v>7.5286999999999997</v>
      </c>
    </row>
    <row r="6731" spans="15:19" ht="15" x14ac:dyDescent="0.25">
      <c r="O6731"/>
      <c r="P6731"/>
      <c r="R6731" s="39">
        <v>35832</v>
      </c>
      <c r="S6731" s="37">
        <v>7.5117000000000003</v>
      </c>
    </row>
    <row r="6732" spans="15:19" ht="15" x14ac:dyDescent="0.25">
      <c r="O6732"/>
      <c r="P6732"/>
      <c r="R6732" s="39">
        <v>35831</v>
      </c>
      <c r="S6732" s="37">
        <v>7.5427</v>
      </c>
    </row>
    <row r="6733" spans="15:19" ht="15" x14ac:dyDescent="0.25">
      <c r="O6733"/>
      <c r="P6733"/>
      <c r="R6733" s="39">
        <v>35830</v>
      </c>
      <c r="S6733" s="37">
        <v>7.1696</v>
      </c>
    </row>
    <row r="6734" spans="15:19" ht="15" x14ac:dyDescent="0.25">
      <c r="O6734"/>
      <c r="P6734"/>
      <c r="R6734" s="39">
        <v>35829</v>
      </c>
      <c r="S6734" s="37">
        <v>7.0308000000000002</v>
      </c>
    </row>
    <row r="6735" spans="15:19" ht="15" x14ac:dyDescent="0.25">
      <c r="O6735"/>
      <c r="P6735"/>
      <c r="R6735" s="39">
        <v>35828</v>
      </c>
      <c r="S6735" s="37">
        <v>7.2093999999999996</v>
      </c>
    </row>
    <row r="6736" spans="15:19" ht="15" x14ac:dyDescent="0.25">
      <c r="O6736"/>
      <c r="P6736"/>
      <c r="R6736" s="39">
        <v>35825</v>
      </c>
      <c r="S6736" s="37">
        <v>7.2385000000000002</v>
      </c>
    </row>
    <row r="6737" spans="15:19" ht="15" x14ac:dyDescent="0.25">
      <c r="O6737"/>
      <c r="P6737"/>
      <c r="R6737" s="39">
        <v>35824</v>
      </c>
      <c r="S6737" s="37">
        <v>7.5685000000000002</v>
      </c>
    </row>
    <row r="6738" spans="15:19" ht="15" x14ac:dyDescent="0.25">
      <c r="O6738"/>
      <c r="P6738"/>
      <c r="R6738" s="39">
        <v>35823</v>
      </c>
      <c r="S6738" s="37">
        <v>7.2041000000000004</v>
      </c>
    </row>
    <row r="6739" spans="15:19" ht="15" x14ac:dyDescent="0.25">
      <c r="O6739"/>
      <c r="P6739"/>
      <c r="R6739" s="39">
        <v>35822</v>
      </c>
      <c r="S6739" s="37">
        <v>7.4650999999999996</v>
      </c>
    </row>
    <row r="6740" spans="15:19" ht="15" x14ac:dyDescent="0.25">
      <c r="O6740"/>
      <c r="P6740"/>
      <c r="R6740" s="39">
        <v>35821</v>
      </c>
      <c r="S6740" s="37">
        <v>7.4987000000000004</v>
      </c>
    </row>
    <row r="6741" spans="15:19" ht="15" x14ac:dyDescent="0.25">
      <c r="O6741"/>
      <c r="P6741"/>
      <c r="R6741" s="39">
        <v>35818</v>
      </c>
      <c r="S6741" s="37">
        <v>7.4335000000000004</v>
      </c>
    </row>
    <row r="6742" spans="15:19" ht="15" x14ac:dyDescent="0.25">
      <c r="O6742"/>
      <c r="P6742"/>
      <c r="R6742" s="39">
        <v>35817</v>
      </c>
      <c r="S6742" s="37">
        <v>7.3970000000000002</v>
      </c>
    </row>
    <row r="6743" spans="15:19" ht="15" x14ac:dyDescent="0.25">
      <c r="O6743"/>
      <c r="P6743"/>
      <c r="R6743" s="39">
        <v>35816</v>
      </c>
      <c r="S6743" s="37">
        <v>7.2119999999999997</v>
      </c>
    </row>
    <row r="6744" spans="15:19" ht="15" x14ac:dyDescent="0.25">
      <c r="O6744"/>
      <c r="P6744"/>
      <c r="R6744" s="39">
        <v>35815</v>
      </c>
      <c r="S6744" s="37">
        <v>7.4180999999999999</v>
      </c>
    </row>
    <row r="6745" spans="15:19" ht="15" x14ac:dyDescent="0.25">
      <c r="O6745"/>
      <c r="P6745"/>
      <c r="R6745" s="39">
        <v>35814</v>
      </c>
      <c r="S6745" s="37">
        <v>7.0949999999999998</v>
      </c>
    </row>
    <row r="6746" spans="15:19" ht="15" x14ac:dyDescent="0.25">
      <c r="O6746"/>
      <c r="P6746"/>
      <c r="R6746" s="39">
        <v>35811</v>
      </c>
      <c r="S6746" s="37">
        <v>7.0926</v>
      </c>
    </row>
    <row r="6747" spans="15:19" ht="15" x14ac:dyDescent="0.25">
      <c r="O6747"/>
      <c r="P6747"/>
      <c r="R6747" s="39">
        <v>35810</v>
      </c>
      <c r="S6747" s="37">
        <v>7.3215000000000003</v>
      </c>
    </row>
    <row r="6748" spans="15:19" ht="15" x14ac:dyDescent="0.25">
      <c r="O6748"/>
      <c r="P6748"/>
      <c r="R6748" s="39">
        <v>35809</v>
      </c>
      <c r="S6748" s="37">
        <v>7.1881000000000004</v>
      </c>
    </row>
    <row r="6749" spans="15:19" ht="15" x14ac:dyDescent="0.25">
      <c r="O6749"/>
      <c r="P6749"/>
      <c r="R6749" s="39">
        <v>35808</v>
      </c>
      <c r="S6749" s="37">
        <v>7.1020000000000003</v>
      </c>
    </row>
    <row r="6750" spans="15:19" ht="15" x14ac:dyDescent="0.25">
      <c r="O6750"/>
      <c r="P6750"/>
      <c r="R6750" s="39">
        <v>35807</v>
      </c>
      <c r="S6750" s="37">
        <v>7.0567000000000002</v>
      </c>
    </row>
    <row r="6751" spans="15:19" ht="15" x14ac:dyDescent="0.25">
      <c r="O6751"/>
      <c r="P6751"/>
      <c r="R6751" s="39">
        <v>35804</v>
      </c>
      <c r="S6751" s="37">
        <v>7.2907000000000002</v>
      </c>
    </row>
    <row r="6752" spans="15:19" ht="15" x14ac:dyDescent="0.25">
      <c r="O6752"/>
      <c r="P6752"/>
      <c r="R6752" s="39">
        <v>35803</v>
      </c>
      <c r="S6752" s="37">
        <v>7.1047000000000002</v>
      </c>
    </row>
    <row r="6753" spans="15:19" ht="15" x14ac:dyDescent="0.25">
      <c r="O6753"/>
      <c r="P6753"/>
      <c r="R6753" s="39">
        <v>35802</v>
      </c>
      <c r="S6753" s="37">
        <v>7.2191000000000001</v>
      </c>
    </row>
    <row r="6754" spans="15:19" ht="15" x14ac:dyDescent="0.25">
      <c r="O6754"/>
      <c r="P6754"/>
      <c r="R6754" s="39">
        <v>35801</v>
      </c>
      <c r="S6754" s="37">
        <v>7.1974</v>
      </c>
    </row>
    <row r="6755" spans="15:19" ht="15" x14ac:dyDescent="0.25">
      <c r="O6755"/>
      <c r="P6755"/>
      <c r="R6755" s="39">
        <v>35800</v>
      </c>
      <c r="S6755" s="37">
        <v>7.1970999999999998</v>
      </c>
    </row>
    <row r="6756" spans="15:19" ht="15" x14ac:dyDescent="0.25">
      <c r="O6756"/>
      <c r="P6756"/>
      <c r="R6756" s="39">
        <v>35797</v>
      </c>
      <c r="S6756" s="37">
        <v>7.3253000000000004</v>
      </c>
    </row>
    <row r="6757" spans="15:19" ht="15" x14ac:dyDescent="0.25">
      <c r="O6757"/>
      <c r="P6757"/>
      <c r="R6757" s="39">
        <v>35795</v>
      </c>
      <c r="S6757" s="37">
        <v>7.2275</v>
      </c>
    </row>
    <row r="6758" spans="15:19" ht="15" x14ac:dyDescent="0.25">
      <c r="O6758"/>
      <c r="P6758"/>
      <c r="R6758" s="39">
        <v>35794</v>
      </c>
      <c r="S6758" s="37">
        <v>7.1322999999999999</v>
      </c>
    </row>
    <row r="6759" spans="15:19" ht="15" x14ac:dyDescent="0.25">
      <c r="O6759"/>
      <c r="P6759"/>
      <c r="R6759" s="39">
        <v>35793</v>
      </c>
      <c r="S6759" s="37">
        <v>7.1123000000000003</v>
      </c>
    </row>
    <row r="6760" spans="15:19" ht="15" x14ac:dyDescent="0.25">
      <c r="O6760"/>
      <c r="P6760"/>
      <c r="R6760" s="39">
        <v>35788</v>
      </c>
      <c r="S6760" s="37">
        <v>7.2171000000000003</v>
      </c>
    </row>
    <row r="6761" spans="15:19" ht="15" x14ac:dyDescent="0.25">
      <c r="O6761"/>
      <c r="P6761"/>
      <c r="R6761" s="39">
        <v>35787</v>
      </c>
      <c r="S6761" s="37">
        <v>7.3646000000000003</v>
      </c>
    </row>
    <row r="6762" spans="15:19" ht="15" x14ac:dyDescent="0.25">
      <c r="O6762"/>
      <c r="P6762"/>
      <c r="R6762" s="39">
        <v>35786</v>
      </c>
      <c r="S6762" s="37">
        <v>7.0885999999999996</v>
      </c>
    </row>
    <row r="6763" spans="15:19" ht="15" x14ac:dyDescent="0.25">
      <c r="O6763"/>
      <c r="P6763"/>
      <c r="R6763" s="39">
        <v>35783</v>
      </c>
      <c r="S6763" s="37">
        <v>7.1216999999999997</v>
      </c>
    </row>
    <row r="6764" spans="15:19" ht="15" x14ac:dyDescent="0.25">
      <c r="O6764"/>
      <c r="P6764"/>
      <c r="R6764" s="39">
        <v>35782</v>
      </c>
      <c r="S6764" s="37">
        <v>7.0998999999999999</v>
      </c>
    </row>
    <row r="6765" spans="15:19" ht="15" x14ac:dyDescent="0.25">
      <c r="O6765"/>
      <c r="P6765"/>
      <c r="R6765" s="39">
        <v>35781</v>
      </c>
      <c r="S6765" s="37">
        <v>7.1894</v>
      </c>
    </row>
    <row r="6766" spans="15:19" ht="15" x14ac:dyDescent="0.25">
      <c r="O6766"/>
      <c r="P6766"/>
      <c r="R6766" s="39">
        <v>35780</v>
      </c>
      <c r="S6766" s="37">
        <v>7.0926999999999998</v>
      </c>
    </row>
    <row r="6767" spans="15:19" ht="15" x14ac:dyDescent="0.25">
      <c r="O6767"/>
      <c r="P6767"/>
      <c r="R6767" s="39">
        <v>35779</v>
      </c>
      <c r="S6767" s="37">
        <v>7.2089999999999996</v>
      </c>
    </row>
    <row r="6768" spans="15:19" ht="15" x14ac:dyDescent="0.25">
      <c r="O6768"/>
      <c r="P6768"/>
      <c r="R6768" s="39">
        <v>35776</v>
      </c>
      <c r="S6768" s="37">
        <v>7.109</v>
      </c>
    </row>
    <row r="6769" spans="15:19" ht="15" x14ac:dyDescent="0.25">
      <c r="O6769"/>
      <c r="P6769"/>
      <c r="R6769" s="39">
        <v>35775</v>
      </c>
      <c r="S6769" s="37">
        <v>7.1672000000000002</v>
      </c>
    </row>
    <row r="6770" spans="15:19" ht="15" x14ac:dyDescent="0.25">
      <c r="O6770"/>
      <c r="P6770"/>
      <c r="R6770" s="39">
        <v>35774</v>
      </c>
      <c r="S6770" s="37">
        <v>7.0606999999999998</v>
      </c>
    </row>
    <row r="6771" spans="15:19" ht="15" x14ac:dyDescent="0.25">
      <c r="O6771"/>
      <c r="P6771"/>
      <c r="R6771" s="39">
        <v>35773</v>
      </c>
      <c r="S6771" s="37">
        <v>7.0035999999999996</v>
      </c>
    </row>
    <row r="6772" spans="15:19" ht="15" x14ac:dyDescent="0.25">
      <c r="O6772"/>
      <c r="P6772"/>
      <c r="R6772" s="39">
        <v>35772</v>
      </c>
      <c r="S6772" s="37">
        <v>7.0072999999999999</v>
      </c>
    </row>
    <row r="6773" spans="15:19" ht="15" x14ac:dyDescent="0.25">
      <c r="O6773"/>
      <c r="P6773"/>
      <c r="R6773" s="39">
        <v>35769</v>
      </c>
      <c r="S6773" s="37">
        <v>7.1186999999999996</v>
      </c>
    </row>
    <row r="6774" spans="15:19" ht="15" x14ac:dyDescent="0.25">
      <c r="O6774"/>
      <c r="P6774"/>
      <c r="R6774" s="39">
        <v>35768</v>
      </c>
      <c r="S6774" s="37">
        <v>7.3985000000000003</v>
      </c>
    </row>
    <row r="6775" spans="15:19" ht="15" x14ac:dyDescent="0.25">
      <c r="O6775"/>
      <c r="P6775"/>
      <c r="R6775" s="39">
        <v>35767</v>
      </c>
      <c r="S6775" s="37">
        <v>7.0022000000000002</v>
      </c>
    </row>
    <row r="6776" spans="15:19" ht="15" x14ac:dyDescent="0.25">
      <c r="O6776"/>
      <c r="P6776"/>
      <c r="R6776" s="39">
        <v>35766</v>
      </c>
      <c r="S6776" s="37">
        <v>7.0675999999999997</v>
      </c>
    </row>
    <row r="6777" spans="15:19" ht="15" x14ac:dyDescent="0.25">
      <c r="O6777"/>
      <c r="P6777"/>
      <c r="R6777" s="39">
        <v>35765</v>
      </c>
      <c r="S6777" s="37">
        <v>7.1052</v>
      </c>
    </row>
    <row r="6778" spans="15:19" ht="15" x14ac:dyDescent="0.25">
      <c r="O6778"/>
      <c r="P6778"/>
      <c r="R6778" s="39">
        <v>35762</v>
      </c>
      <c r="S6778" s="37">
        <v>7.4412000000000003</v>
      </c>
    </row>
    <row r="6779" spans="15:19" ht="15" x14ac:dyDescent="0.25">
      <c r="O6779"/>
      <c r="P6779"/>
      <c r="R6779" s="39">
        <v>35761</v>
      </c>
      <c r="S6779" s="37">
        <v>7.1298000000000004</v>
      </c>
    </row>
    <row r="6780" spans="15:19" ht="15" x14ac:dyDescent="0.25">
      <c r="O6780"/>
      <c r="P6780"/>
      <c r="R6780" s="39">
        <v>35760</v>
      </c>
      <c r="S6780" s="37">
        <v>7.1322999999999999</v>
      </c>
    </row>
    <row r="6781" spans="15:19" ht="15" x14ac:dyDescent="0.25">
      <c r="O6781"/>
      <c r="P6781"/>
      <c r="R6781" s="39">
        <v>35759</v>
      </c>
      <c r="S6781" s="37">
        <v>7.1040000000000001</v>
      </c>
    </row>
    <row r="6782" spans="15:19" ht="15" x14ac:dyDescent="0.25">
      <c r="O6782"/>
      <c r="P6782"/>
      <c r="R6782" s="39">
        <v>35758</v>
      </c>
      <c r="S6782" s="37">
        <v>7.0759999999999996</v>
      </c>
    </row>
    <row r="6783" spans="15:19" ht="15" x14ac:dyDescent="0.25">
      <c r="O6783"/>
      <c r="P6783"/>
      <c r="R6783" s="39">
        <v>35755</v>
      </c>
      <c r="S6783" s="37">
        <v>7.3278999999999996</v>
      </c>
    </row>
    <row r="6784" spans="15:19" ht="15" x14ac:dyDescent="0.25">
      <c r="O6784"/>
      <c r="P6784"/>
      <c r="R6784" s="39">
        <v>35754</v>
      </c>
      <c r="S6784" s="37">
        <v>7.3299000000000003</v>
      </c>
    </row>
    <row r="6785" spans="15:19" ht="15" x14ac:dyDescent="0.25">
      <c r="O6785"/>
      <c r="P6785"/>
      <c r="R6785" s="39">
        <v>35753</v>
      </c>
      <c r="S6785" s="37">
        <v>6.9139999999999997</v>
      </c>
    </row>
    <row r="6786" spans="15:19" ht="15" x14ac:dyDescent="0.25">
      <c r="O6786"/>
      <c r="P6786"/>
      <c r="R6786" s="39">
        <v>35752</v>
      </c>
      <c r="S6786" s="37">
        <v>7.0926999999999998</v>
      </c>
    </row>
    <row r="6787" spans="15:19" ht="15" x14ac:dyDescent="0.25">
      <c r="O6787"/>
      <c r="P6787"/>
      <c r="R6787" s="39">
        <v>35751</v>
      </c>
      <c r="S6787" s="37">
        <v>7.2218</v>
      </c>
    </row>
    <row r="6788" spans="15:19" ht="15" x14ac:dyDescent="0.25">
      <c r="O6788"/>
      <c r="P6788"/>
      <c r="R6788" s="39">
        <v>35748</v>
      </c>
      <c r="S6788" s="37">
        <v>7.2064000000000004</v>
      </c>
    </row>
    <row r="6789" spans="15:19" ht="15" x14ac:dyDescent="0.25">
      <c r="O6789"/>
      <c r="P6789"/>
      <c r="R6789" s="39">
        <v>35747</v>
      </c>
      <c r="S6789" s="37">
        <v>7.2427999999999999</v>
      </c>
    </row>
    <row r="6790" spans="15:19" ht="15" x14ac:dyDescent="0.25">
      <c r="O6790"/>
      <c r="P6790"/>
      <c r="R6790" s="39">
        <v>35746</v>
      </c>
      <c r="S6790" s="37">
        <v>7.1951000000000001</v>
      </c>
    </row>
    <row r="6791" spans="15:19" ht="15" x14ac:dyDescent="0.25">
      <c r="O6791"/>
      <c r="P6791"/>
      <c r="R6791" s="39">
        <v>35745</v>
      </c>
      <c r="S6791" s="37">
        <v>7.2655000000000003</v>
      </c>
    </row>
    <row r="6792" spans="15:19" ht="15" x14ac:dyDescent="0.25">
      <c r="O6792"/>
      <c r="P6792"/>
      <c r="R6792" s="39">
        <v>35744</v>
      </c>
      <c r="S6792" s="37">
        <v>7.2952000000000004</v>
      </c>
    </row>
    <row r="6793" spans="15:19" ht="15" x14ac:dyDescent="0.25">
      <c r="O6793"/>
      <c r="P6793"/>
      <c r="R6793" s="39">
        <v>35741</v>
      </c>
      <c r="S6793" s="37">
        <v>7.3253000000000004</v>
      </c>
    </row>
    <row r="6794" spans="15:19" ht="15" x14ac:dyDescent="0.25">
      <c r="O6794"/>
      <c r="P6794"/>
      <c r="R6794" s="39">
        <v>35740</v>
      </c>
      <c r="S6794" s="37">
        <v>7.5267999999999997</v>
      </c>
    </row>
    <row r="6795" spans="15:19" ht="15" x14ac:dyDescent="0.25">
      <c r="O6795"/>
      <c r="P6795"/>
      <c r="R6795" s="39">
        <v>35739</v>
      </c>
      <c r="S6795" s="37">
        <v>7.2027999999999999</v>
      </c>
    </row>
    <row r="6796" spans="15:19" ht="15" x14ac:dyDescent="0.25">
      <c r="O6796"/>
      <c r="P6796"/>
      <c r="R6796" s="39">
        <v>35738</v>
      </c>
      <c r="S6796" s="37">
        <v>7.3513000000000002</v>
      </c>
    </row>
    <row r="6797" spans="15:19" ht="15" x14ac:dyDescent="0.25">
      <c r="O6797"/>
      <c r="P6797"/>
      <c r="R6797" s="39">
        <v>35737</v>
      </c>
      <c r="S6797" s="37">
        <v>7.1574</v>
      </c>
    </row>
    <row r="6798" spans="15:19" ht="15" x14ac:dyDescent="0.25">
      <c r="O6798"/>
      <c r="P6798"/>
      <c r="R6798" s="39">
        <v>35734</v>
      </c>
      <c r="S6798" s="37">
        <v>7.4305000000000003</v>
      </c>
    </row>
    <row r="6799" spans="15:19" ht="15" x14ac:dyDescent="0.25">
      <c r="O6799"/>
      <c r="P6799"/>
      <c r="R6799" s="39">
        <v>35733</v>
      </c>
      <c r="S6799" s="37">
        <v>7.2979000000000003</v>
      </c>
    </row>
    <row r="6800" spans="15:19" ht="15" x14ac:dyDescent="0.25">
      <c r="O6800"/>
      <c r="P6800"/>
      <c r="R6800" s="39">
        <v>35732</v>
      </c>
      <c r="S6800" s="37">
        <v>7.0838999999999999</v>
      </c>
    </row>
    <row r="6801" spans="15:19" ht="15" x14ac:dyDescent="0.25">
      <c r="O6801"/>
      <c r="P6801"/>
      <c r="R6801" s="39">
        <v>35731</v>
      </c>
      <c r="S6801" s="37">
        <v>7.1123000000000003</v>
      </c>
    </row>
    <row r="6802" spans="15:19" ht="15" x14ac:dyDescent="0.25">
      <c r="O6802"/>
      <c r="P6802"/>
      <c r="R6802" s="39">
        <v>35730</v>
      </c>
      <c r="S6802" s="37">
        <v>7.1498999999999997</v>
      </c>
    </row>
    <row r="6803" spans="15:19" ht="15" x14ac:dyDescent="0.25">
      <c r="O6803"/>
      <c r="P6803"/>
      <c r="R6803" s="39">
        <v>35727</v>
      </c>
      <c r="S6803" s="37">
        <v>7.3692000000000002</v>
      </c>
    </row>
    <row r="6804" spans="15:19" ht="15" x14ac:dyDescent="0.25">
      <c r="O6804"/>
      <c r="P6804"/>
      <c r="R6804" s="39">
        <v>35726</v>
      </c>
      <c r="S6804" s="37">
        <v>7.1798000000000002</v>
      </c>
    </row>
    <row r="6805" spans="15:19" ht="15" x14ac:dyDescent="0.25">
      <c r="O6805"/>
      <c r="P6805"/>
      <c r="R6805" s="39">
        <v>35725</v>
      </c>
      <c r="S6805" s="37">
        <v>7.1253000000000002</v>
      </c>
    </row>
    <row r="6806" spans="15:19" ht="15" x14ac:dyDescent="0.25">
      <c r="O6806"/>
      <c r="P6806"/>
      <c r="R6806" s="39">
        <v>35724</v>
      </c>
      <c r="S6806" s="37">
        <v>7.1665999999999999</v>
      </c>
    </row>
    <row r="6807" spans="15:19" ht="15" x14ac:dyDescent="0.25">
      <c r="O6807"/>
      <c r="P6807"/>
      <c r="R6807" s="39">
        <v>35723</v>
      </c>
      <c r="S6807" s="37">
        <v>7.0888999999999998</v>
      </c>
    </row>
    <row r="6808" spans="15:19" ht="15" x14ac:dyDescent="0.25">
      <c r="O6808"/>
      <c r="P6808"/>
      <c r="R6808" s="39">
        <v>35720</v>
      </c>
      <c r="S6808" s="37">
        <v>7.1702000000000004</v>
      </c>
    </row>
    <row r="6809" spans="15:19" ht="15" x14ac:dyDescent="0.25">
      <c r="O6809"/>
      <c r="P6809"/>
      <c r="R6809" s="39">
        <v>35719</v>
      </c>
      <c r="S6809" s="37">
        <v>7.3715999999999999</v>
      </c>
    </row>
    <row r="6810" spans="15:19" ht="15" x14ac:dyDescent="0.25">
      <c r="O6810"/>
      <c r="P6810"/>
      <c r="R6810" s="39">
        <v>35718</v>
      </c>
      <c r="S6810" s="37">
        <v>7.0209999999999999</v>
      </c>
    </row>
    <row r="6811" spans="15:19" ht="15" x14ac:dyDescent="0.25">
      <c r="O6811"/>
      <c r="P6811"/>
      <c r="R6811" s="39">
        <v>35717</v>
      </c>
      <c r="S6811" s="37">
        <v>7.0972</v>
      </c>
    </row>
    <row r="6812" spans="15:19" ht="15" x14ac:dyDescent="0.25">
      <c r="O6812"/>
      <c r="P6812"/>
      <c r="R6812" s="39">
        <v>35716</v>
      </c>
      <c r="S6812" s="37">
        <v>6.9623999999999997</v>
      </c>
    </row>
    <row r="6813" spans="15:19" ht="15" x14ac:dyDescent="0.25">
      <c r="O6813"/>
      <c r="P6813"/>
      <c r="R6813" s="39">
        <v>35713</v>
      </c>
      <c r="S6813" s="37">
        <v>6.9968000000000004</v>
      </c>
    </row>
    <row r="6814" spans="15:19" ht="15" x14ac:dyDescent="0.25">
      <c r="O6814"/>
      <c r="P6814"/>
      <c r="R6814" s="39">
        <v>35712</v>
      </c>
      <c r="S6814" s="37">
        <v>6.9847000000000001</v>
      </c>
    </row>
    <row r="6815" spans="15:19" ht="15" x14ac:dyDescent="0.25">
      <c r="O6815"/>
      <c r="P6815"/>
      <c r="R6815" s="39">
        <v>35711</v>
      </c>
      <c r="S6815" s="37">
        <v>6.9640000000000004</v>
      </c>
    </row>
    <row r="6816" spans="15:19" ht="15" x14ac:dyDescent="0.25">
      <c r="O6816"/>
      <c r="P6816"/>
      <c r="R6816" s="39">
        <v>35710</v>
      </c>
      <c r="S6816" s="37">
        <v>7.0445000000000002</v>
      </c>
    </row>
    <row r="6817" spans="15:19" ht="15" x14ac:dyDescent="0.25">
      <c r="O6817"/>
      <c r="P6817"/>
      <c r="R6817" s="39">
        <v>35709</v>
      </c>
      <c r="S6817" s="37">
        <v>7.1132999999999997</v>
      </c>
    </row>
    <row r="6818" spans="15:19" ht="15" x14ac:dyDescent="0.25">
      <c r="O6818"/>
      <c r="P6818"/>
      <c r="R6818" s="39">
        <v>35706</v>
      </c>
      <c r="S6818" s="37">
        <v>7.2599</v>
      </c>
    </row>
    <row r="6819" spans="15:19" ht="15" x14ac:dyDescent="0.25">
      <c r="O6819"/>
      <c r="P6819"/>
      <c r="R6819" s="39">
        <v>35705</v>
      </c>
      <c r="S6819" s="37">
        <v>7.2098000000000004</v>
      </c>
    </row>
    <row r="6820" spans="15:19" ht="15" x14ac:dyDescent="0.25">
      <c r="O6820"/>
      <c r="P6820"/>
      <c r="R6820" s="39">
        <v>35704</v>
      </c>
      <c r="S6820" s="37">
        <v>7.1635</v>
      </c>
    </row>
    <row r="6821" spans="15:19" ht="15" x14ac:dyDescent="0.25">
      <c r="O6821"/>
      <c r="P6821"/>
      <c r="R6821" s="39">
        <v>35703</v>
      </c>
      <c r="S6821" s="37">
        <v>7.1887999999999996</v>
      </c>
    </row>
    <row r="6822" spans="15:19" ht="15" x14ac:dyDescent="0.25">
      <c r="O6822"/>
      <c r="P6822"/>
      <c r="R6822" s="39">
        <v>35702</v>
      </c>
      <c r="S6822" s="37">
        <v>7.0345000000000004</v>
      </c>
    </row>
    <row r="6823" spans="15:19" ht="15" x14ac:dyDescent="0.25">
      <c r="O6823"/>
      <c r="P6823"/>
      <c r="R6823" s="39">
        <v>35699</v>
      </c>
      <c r="S6823" s="37">
        <v>7.0382999999999996</v>
      </c>
    </row>
    <row r="6824" spans="15:19" ht="15" x14ac:dyDescent="0.25">
      <c r="O6824"/>
      <c r="P6824"/>
      <c r="R6824" s="39">
        <v>35698</v>
      </c>
      <c r="S6824" s="37">
        <v>6.9718999999999998</v>
      </c>
    </row>
    <row r="6825" spans="15:19" ht="15" x14ac:dyDescent="0.25">
      <c r="O6825"/>
      <c r="P6825"/>
      <c r="R6825" s="39">
        <v>35697</v>
      </c>
      <c r="S6825" s="37">
        <v>6.9992000000000001</v>
      </c>
    </row>
    <row r="6826" spans="15:19" ht="15" x14ac:dyDescent="0.25">
      <c r="O6826"/>
      <c r="P6826"/>
      <c r="R6826" s="39">
        <v>35696</v>
      </c>
      <c r="S6826" s="37">
        <v>6.9743000000000004</v>
      </c>
    </row>
    <row r="6827" spans="15:19" ht="15" x14ac:dyDescent="0.25">
      <c r="O6827"/>
      <c r="P6827"/>
      <c r="R6827" s="39">
        <v>35695</v>
      </c>
      <c r="S6827" s="37">
        <v>6.9649000000000001</v>
      </c>
    </row>
    <row r="6828" spans="15:19" ht="15" x14ac:dyDescent="0.25">
      <c r="O6828"/>
      <c r="P6828"/>
      <c r="R6828" s="39">
        <v>35692</v>
      </c>
      <c r="S6828" s="37">
        <v>6.9781000000000004</v>
      </c>
    </row>
    <row r="6829" spans="15:19" ht="15" x14ac:dyDescent="0.25">
      <c r="O6829"/>
      <c r="P6829"/>
      <c r="R6829" s="39">
        <v>35691</v>
      </c>
      <c r="S6829" s="37">
        <v>6.9090999999999996</v>
      </c>
    </row>
    <row r="6830" spans="15:19" ht="15" x14ac:dyDescent="0.25">
      <c r="O6830"/>
      <c r="P6830"/>
      <c r="R6830" s="39">
        <v>35690</v>
      </c>
      <c r="S6830" s="37">
        <v>6.9283000000000001</v>
      </c>
    </row>
    <row r="6831" spans="15:19" ht="15" x14ac:dyDescent="0.25">
      <c r="O6831"/>
      <c r="P6831"/>
      <c r="R6831" s="39">
        <v>35689</v>
      </c>
      <c r="S6831" s="37">
        <v>6.9138000000000002</v>
      </c>
    </row>
    <row r="6832" spans="15:19" ht="15" x14ac:dyDescent="0.25">
      <c r="O6832"/>
      <c r="P6832"/>
      <c r="R6832" s="39">
        <v>35688</v>
      </c>
      <c r="S6832" s="37">
        <v>6.9349999999999996</v>
      </c>
    </row>
    <row r="6833" spans="15:19" ht="15" x14ac:dyDescent="0.25">
      <c r="O6833"/>
      <c r="P6833"/>
      <c r="R6833" s="39">
        <v>35685</v>
      </c>
      <c r="S6833" s="37">
        <v>6.9505999999999997</v>
      </c>
    </row>
    <row r="6834" spans="15:19" ht="15" x14ac:dyDescent="0.25">
      <c r="O6834"/>
      <c r="P6834"/>
      <c r="R6834" s="39">
        <v>35684</v>
      </c>
      <c r="S6834" s="37">
        <v>6.9532999999999996</v>
      </c>
    </row>
    <row r="6835" spans="15:19" ht="15" x14ac:dyDescent="0.25">
      <c r="O6835"/>
      <c r="P6835"/>
      <c r="R6835" s="39">
        <v>35683</v>
      </c>
      <c r="S6835" s="37">
        <v>6.9489999999999998</v>
      </c>
    </row>
    <row r="6836" spans="15:19" ht="15" x14ac:dyDescent="0.25">
      <c r="O6836"/>
      <c r="P6836"/>
      <c r="R6836" s="39">
        <v>35682</v>
      </c>
      <c r="S6836" s="37">
        <v>6.9695</v>
      </c>
    </row>
    <row r="6837" spans="15:19" ht="15" x14ac:dyDescent="0.25">
      <c r="O6837"/>
      <c r="P6837"/>
      <c r="R6837" s="39">
        <v>35681</v>
      </c>
      <c r="S6837" s="37">
        <v>7.0076000000000001</v>
      </c>
    </row>
    <row r="6838" spans="15:19" ht="15" x14ac:dyDescent="0.25">
      <c r="O6838"/>
      <c r="P6838"/>
      <c r="R6838" s="39">
        <v>35678</v>
      </c>
      <c r="S6838" s="37">
        <v>6.9265999999999996</v>
      </c>
    </row>
    <row r="6839" spans="15:19" ht="15" x14ac:dyDescent="0.25">
      <c r="O6839"/>
      <c r="P6839"/>
      <c r="R6839" s="39">
        <v>35677</v>
      </c>
      <c r="S6839" s="37">
        <v>6.9709000000000003</v>
      </c>
    </row>
    <row r="6840" spans="15:19" ht="15" x14ac:dyDescent="0.25">
      <c r="O6840"/>
      <c r="P6840"/>
      <c r="R6840" s="39">
        <v>35676</v>
      </c>
      <c r="S6840" s="37">
        <v>6.9691999999999998</v>
      </c>
    </row>
    <row r="6841" spans="15:19" ht="15" x14ac:dyDescent="0.25">
      <c r="O6841"/>
      <c r="P6841"/>
      <c r="R6841" s="39">
        <v>35675</v>
      </c>
      <c r="S6841" s="37">
        <v>6.98</v>
      </c>
    </row>
    <row r="6842" spans="15:19" ht="15" x14ac:dyDescent="0.25">
      <c r="O6842"/>
      <c r="P6842"/>
      <c r="R6842" s="39">
        <v>35674</v>
      </c>
      <c r="S6842" s="37">
        <v>6.9851000000000001</v>
      </c>
    </row>
    <row r="6843" spans="15:19" ht="15" x14ac:dyDescent="0.25">
      <c r="O6843"/>
      <c r="P6843"/>
      <c r="R6843" s="39">
        <v>35671</v>
      </c>
      <c r="S6843" s="37">
        <v>7.0956000000000001</v>
      </c>
    </row>
    <row r="6844" spans="15:19" ht="15" x14ac:dyDescent="0.25">
      <c r="O6844"/>
      <c r="P6844"/>
      <c r="R6844" s="39">
        <v>35670</v>
      </c>
      <c r="S6844" s="37">
        <v>6.9907000000000004</v>
      </c>
    </row>
    <row r="6845" spans="15:19" ht="15" x14ac:dyDescent="0.25">
      <c r="O6845"/>
      <c r="P6845"/>
      <c r="R6845" s="39">
        <v>35669</v>
      </c>
      <c r="S6845" s="37">
        <v>7.0247000000000002</v>
      </c>
    </row>
    <row r="6846" spans="15:19" ht="15" x14ac:dyDescent="0.25">
      <c r="O6846"/>
      <c r="P6846"/>
      <c r="R6846" s="39">
        <v>35668</v>
      </c>
      <c r="S6846" s="37">
        <v>7.0814000000000004</v>
      </c>
    </row>
    <row r="6847" spans="15:19" ht="15" x14ac:dyDescent="0.25">
      <c r="O6847"/>
      <c r="P6847"/>
      <c r="R6847" s="39">
        <v>35664</v>
      </c>
      <c r="S6847" s="37">
        <v>7.0716999999999999</v>
      </c>
    </row>
    <row r="6848" spans="15:19" ht="15" x14ac:dyDescent="0.25">
      <c r="O6848"/>
      <c r="P6848"/>
      <c r="R6848" s="39">
        <v>35663</v>
      </c>
      <c r="S6848" s="37">
        <v>7.2430000000000003</v>
      </c>
    </row>
    <row r="6849" spans="15:19" ht="15" x14ac:dyDescent="0.25">
      <c r="O6849"/>
      <c r="P6849"/>
      <c r="R6849" s="39">
        <v>35662</v>
      </c>
      <c r="S6849" s="37">
        <v>7.1478000000000002</v>
      </c>
    </row>
    <row r="6850" spans="15:19" ht="15" x14ac:dyDescent="0.25">
      <c r="O6850"/>
      <c r="P6850"/>
      <c r="R6850" s="39">
        <v>35661</v>
      </c>
      <c r="S6850" s="37">
        <v>7.157</v>
      </c>
    </row>
    <row r="6851" spans="15:19" ht="15" x14ac:dyDescent="0.25">
      <c r="O6851"/>
      <c r="P6851"/>
      <c r="R6851" s="39">
        <v>35660</v>
      </c>
      <c r="S6851" s="37">
        <v>7.1185</v>
      </c>
    </row>
    <row r="6852" spans="15:19" ht="15" x14ac:dyDescent="0.25">
      <c r="O6852"/>
      <c r="P6852"/>
      <c r="R6852" s="39">
        <v>35657</v>
      </c>
      <c r="S6852" s="37">
        <v>7.1481000000000003</v>
      </c>
    </row>
    <row r="6853" spans="15:19" ht="15" x14ac:dyDescent="0.25">
      <c r="O6853"/>
      <c r="P6853"/>
      <c r="R6853" s="39">
        <v>35656</v>
      </c>
      <c r="S6853" s="37">
        <v>7.0907999999999998</v>
      </c>
    </row>
    <row r="6854" spans="15:19" ht="15" x14ac:dyDescent="0.25">
      <c r="O6854"/>
      <c r="P6854"/>
      <c r="R6854" s="39">
        <v>35655</v>
      </c>
      <c r="S6854" s="37">
        <v>6.9013</v>
      </c>
    </row>
    <row r="6855" spans="15:19" ht="15" x14ac:dyDescent="0.25">
      <c r="O6855"/>
      <c r="P6855"/>
      <c r="R6855" s="39">
        <v>35654</v>
      </c>
      <c r="S6855" s="37">
        <v>7.0651000000000002</v>
      </c>
    </row>
    <row r="6856" spans="15:19" ht="15" x14ac:dyDescent="0.25">
      <c r="O6856"/>
      <c r="P6856"/>
      <c r="R6856" s="39">
        <v>35653</v>
      </c>
      <c r="S6856" s="37">
        <v>7.1182999999999996</v>
      </c>
    </row>
    <row r="6857" spans="15:19" ht="15" x14ac:dyDescent="0.25">
      <c r="O6857"/>
      <c r="P6857"/>
      <c r="R6857" s="39">
        <v>35650</v>
      </c>
      <c r="S6857" s="37">
        <v>6.9577</v>
      </c>
    </row>
    <row r="6858" spans="15:19" ht="15" x14ac:dyDescent="0.25">
      <c r="O6858"/>
      <c r="P6858"/>
      <c r="R6858" s="39">
        <v>35649</v>
      </c>
      <c r="S6858" s="37">
        <v>6.7515999999999998</v>
      </c>
    </row>
    <row r="6859" spans="15:19" ht="15" x14ac:dyDescent="0.25">
      <c r="O6859"/>
      <c r="P6859"/>
      <c r="R6859" s="39">
        <v>35648</v>
      </c>
      <c r="S6859" s="37">
        <v>6.3451000000000004</v>
      </c>
    </row>
    <row r="6860" spans="15:19" ht="15" x14ac:dyDescent="0.25">
      <c r="O6860"/>
      <c r="P6860"/>
      <c r="R6860" s="39">
        <v>35647</v>
      </c>
      <c r="S6860" s="37">
        <v>6.4093</v>
      </c>
    </row>
    <row r="6861" spans="15:19" ht="15" x14ac:dyDescent="0.25">
      <c r="O6861"/>
      <c r="P6861"/>
      <c r="R6861" s="39">
        <v>35646</v>
      </c>
      <c r="S6861" s="37">
        <v>6.5396999999999998</v>
      </c>
    </row>
    <row r="6862" spans="15:19" ht="15" x14ac:dyDescent="0.25">
      <c r="O6862"/>
      <c r="P6862"/>
      <c r="R6862" s="39">
        <v>35643</v>
      </c>
      <c r="S6862" s="37">
        <v>6.7190000000000003</v>
      </c>
    </row>
    <row r="6863" spans="15:19" ht="15" x14ac:dyDescent="0.25">
      <c r="O6863"/>
      <c r="P6863"/>
      <c r="R6863" s="39">
        <v>35642</v>
      </c>
      <c r="S6863" s="37">
        <v>6.2704000000000004</v>
      </c>
    </row>
    <row r="6864" spans="15:19" ht="15" x14ac:dyDescent="0.25">
      <c r="O6864"/>
      <c r="P6864"/>
      <c r="R6864" s="39">
        <v>35641</v>
      </c>
      <c r="S6864" s="37">
        <v>6.9145000000000003</v>
      </c>
    </row>
    <row r="6865" spans="15:19" ht="15" x14ac:dyDescent="0.25">
      <c r="O6865"/>
      <c r="P6865"/>
      <c r="R6865" s="39">
        <v>35640</v>
      </c>
      <c r="S6865" s="37">
        <v>6.7320000000000002</v>
      </c>
    </row>
    <row r="6866" spans="15:19" ht="15" x14ac:dyDescent="0.25">
      <c r="O6866"/>
      <c r="P6866"/>
      <c r="R6866" s="39">
        <v>35639</v>
      </c>
      <c r="S6866" s="37">
        <v>6.9890999999999996</v>
      </c>
    </row>
    <row r="6867" spans="15:19" ht="15" x14ac:dyDescent="0.25">
      <c r="O6867"/>
      <c r="P6867"/>
      <c r="R6867" s="39">
        <v>35636</v>
      </c>
      <c r="S6867" s="37">
        <v>6.6684000000000001</v>
      </c>
    </row>
    <row r="6868" spans="15:19" ht="15" x14ac:dyDescent="0.25">
      <c r="O6868"/>
      <c r="P6868"/>
      <c r="R6868" s="39">
        <v>35635</v>
      </c>
      <c r="S6868" s="37">
        <v>7.0488999999999997</v>
      </c>
    </row>
    <row r="6869" spans="15:19" ht="15" x14ac:dyDescent="0.25">
      <c r="O6869"/>
      <c r="P6869"/>
      <c r="R6869" s="39">
        <v>35634</v>
      </c>
      <c r="S6869" s="37">
        <v>6.7530999999999999</v>
      </c>
    </row>
    <row r="6870" spans="15:19" ht="15" x14ac:dyDescent="0.25">
      <c r="O6870"/>
      <c r="P6870"/>
      <c r="R6870" s="39">
        <v>35633</v>
      </c>
      <c r="S6870" s="37">
        <v>6.851</v>
      </c>
    </row>
    <row r="6871" spans="15:19" ht="15" x14ac:dyDescent="0.25">
      <c r="O6871"/>
      <c r="P6871"/>
      <c r="R6871" s="39">
        <v>35632</v>
      </c>
      <c r="S6871" s="37">
        <v>6.5965999999999996</v>
      </c>
    </row>
    <row r="6872" spans="15:19" ht="15" x14ac:dyDescent="0.25">
      <c r="O6872"/>
      <c r="P6872"/>
      <c r="R6872" s="39">
        <v>35629</v>
      </c>
      <c r="S6872" s="37">
        <v>6.8362999999999996</v>
      </c>
    </row>
    <row r="6873" spans="15:19" ht="15" x14ac:dyDescent="0.25">
      <c r="O6873"/>
      <c r="P6873"/>
      <c r="R6873" s="39">
        <v>35628</v>
      </c>
      <c r="S6873" s="37">
        <v>6.7934999999999999</v>
      </c>
    </row>
    <row r="6874" spans="15:19" ht="15" x14ac:dyDescent="0.25">
      <c r="O6874"/>
      <c r="P6874"/>
      <c r="R6874" s="39">
        <v>35627</v>
      </c>
      <c r="S6874" s="37">
        <v>6.8464</v>
      </c>
    </row>
    <row r="6875" spans="15:19" ht="15" x14ac:dyDescent="0.25">
      <c r="O6875"/>
      <c r="P6875"/>
      <c r="R6875" s="39">
        <v>35626</v>
      </c>
      <c r="S6875" s="37">
        <v>6.8657000000000004</v>
      </c>
    </row>
    <row r="6876" spans="15:19" ht="15" x14ac:dyDescent="0.25">
      <c r="O6876"/>
      <c r="P6876"/>
      <c r="R6876" s="39">
        <v>35625</v>
      </c>
      <c r="S6876" s="37">
        <v>6.6176000000000004</v>
      </c>
    </row>
    <row r="6877" spans="15:19" ht="15" x14ac:dyDescent="0.25">
      <c r="O6877"/>
      <c r="P6877"/>
      <c r="R6877" s="39">
        <v>35622</v>
      </c>
      <c r="S6877" s="37">
        <v>6.3955000000000002</v>
      </c>
    </row>
    <row r="6878" spans="15:19" ht="15" x14ac:dyDescent="0.25">
      <c r="O6878"/>
      <c r="P6878"/>
      <c r="R6878" s="39">
        <v>35621</v>
      </c>
      <c r="S6878" s="37">
        <v>6.2214999999999998</v>
      </c>
    </row>
    <row r="6879" spans="15:19" ht="15" x14ac:dyDescent="0.25">
      <c r="O6879"/>
      <c r="P6879"/>
      <c r="R6879" s="39">
        <v>35620</v>
      </c>
      <c r="S6879" s="37">
        <v>5.6608000000000001</v>
      </c>
    </row>
    <row r="6880" spans="15:19" ht="15" x14ac:dyDescent="0.25">
      <c r="O6880"/>
      <c r="P6880"/>
      <c r="R6880" s="39">
        <v>35619</v>
      </c>
      <c r="S6880" s="37">
        <v>5.7439</v>
      </c>
    </row>
    <row r="6881" spans="15:19" ht="15" x14ac:dyDescent="0.25">
      <c r="O6881"/>
      <c r="P6881"/>
      <c r="R6881" s="39">
        <v>35618</v>
      </c>
      <c r="S6881" s="37">
        <v>5.9363000000000001</v>
      </c>
    </row>
    <row r="6882" spans="15:19" ht="15" x14ac:dyDescent="0.25">
      <c r="O6882"/>
      <c r="P6882"/>
      <c r="R6882" s="39">
        <v>35615</v>
      </c>
      <c r="S6882" s="37">
        <v>6.1456</v>
      </c>
    </row>
    <row r="6883" spans="15:19" ht="15" x14ac:dyDescent="0.25">
      <c r="O6883"/>
      <c r="P6883"/>
      <c r="R6883" s="39">
        <v>35614</v>
      </c>
      <c r="S6883" s="37">
        <v>6.2535999999999996</v>
      </c>
    </row>
    <row r="6884" spans="15:19" ht="15" x14ac:dyDescent="0.25">
      <c r="O6884"/>
      <c r="P6884"/>
      <c r="R6884" s="39">
        <v>35613</v>
      </c>
      <c r="S6884" s="37">
        <v>6.5338000000000003</v>
      </c>
    </row>
    <row r="6885" spans="15:19" ht="15" x14ac:dyDescent="0.25">
      <c r="O6885"/>
      <c r="P6885"/>
      <c r="R6885" s="39">
        <v>35612</v>
      </c>
      <c r="S6885" s="37">
        <v>6.2664999999999997</v>
      </c>
    </row>
    <row r="6886" spans="15:19" ht="15" x14ac:dyDescent="0.25">
      <c r="O6886"/>
      <c r="P6886"/>
      <c r="R6886" s="39">
        <v>35611</v>
      </c>
      <c r="S6886" s="37">
        <v>6.9709000000000003</v>
      </c>
    </row>
    <row r="6887" spans="15:19" ht="15" x14ac:dyDescent="0.25">
      <c r="O6887"/>
      <c r="P6887"/>
      <c r="R6887" s="39">
        <v>35608</v>
      </c>
      <c r="S6887" s="37">
        <v>6.2733999999999996</v>
      </c>
    </row>
    <row r="6888" spans="15:19" ht="15" x14ac:dyDescent="0.25">
      <c r="O6888"/>
      <c r="P6888"/>
      <c r="R6888" s="39">
        <v>35607</v>
      </c>
      <c r="S6888" s="37">
        <v>6.5721999999999996</v>
      </c>
    </row>
    <row r="6889" spans="15:19" ht="15" x14ac:dyDescent="0.25">
      <c r="O6889"/>
      <c r="P6889"/>
      <c r="R6889" s="39">
        <v>35606</v>
      </c>
      <c r="S6889" s="37">
        <v>6.1684000000000001</v>
      </c>
    </row>
    <row r="6890" spans="15:19" ht="15" x14ac:dyDescent="0.25">
      <c r="O6890"/>
      <c r="P6890"/>
      <c r="R6890" s="39">
        <v>35605</v>
      </c>
      <c r="S6890" s="37">
        <v>6.2232000000000003</v>
      </c>
    </row>
    <row r="6891" spans="15:19" ht="15" x14ac:dyDescent="0.25">
      <c r="O6891"/>
      <c r="P6891"/>
      <c r="R6891" s="39">
        <v>35604</v>
      </c>
      <c r="S6891" s="37">
        <v>6.1840000000000002</v>
      </c>
    </row>
    <row r="6892" spans="15:19" ht="15" x14ac:dyDescent="0.25">
      <c r="O6892"/>
      <c r="P6892"/>
      <c r="R6892" s="39">
        <v>35601</v>
      </c>
      <c r="S6892" s="37">
        <v>6.2633000000000001</v>
      </c>
    </row>
    <row r="6893" spans="15:19" ht="15" x14ac:dyDescent="0.25">
      <c r="O6893"/>
      <c r="P6893"/>
      <c r="R6893" s="39">
        <v>35600</v>
      </c>
      <c r="S6893" s="37">
        <v>6.274</v>
      </c>
    </row>
    <row r="6894" spans="15:19" ht="15" x14ac:dyDescent="0.25">
      <c r="O6894"/>
      <c r="P6894"/>
      <c r="R6894" s="39">
        <v>35599</v>
      </c>
      <c r="S6894" s="37">
        <v>6.3884999999999996</v>
      </c>
    </row>
    <row r="6895" spans="15:19" ht="15" x14ac:dyDescent="0.25">
      <c r="O6895"/>
      <c r="P6895"/>
      <c r="R6895" s="39">
        <v>35598</v>
      </c>
      <c r="S6895" s="37">
        <v>6.1908000000000003</v>
      </c>
    </row>
    <row r="6896" spans="15:19" ht="15" x14ac:dyDescent="0.25">
      <c r="O6896"/>
      <c r="P6896"/>
      <c r="R6896" s="39">
        <v>35597</v>
      </c>
      <c r="S6896" s="37">
        <v>6.4154</v>
      </c>
    </row>
    <row r="6897" spans="15:19" ht="15" x14ac:dyDescent="0.25">
      <c r="O6897"/>
      <c r="P6897"/>
      <c r="R6897" s="39">
        <v>35594</v>
      </c>
      <c r="S6897" s="37">
        <v>6.1791</v>
      </c>
    </row>
    <row r="6898" spans="15:19" ht="15" x14ac:dyDescent="0.25">
      <c r="O6898"/>
      <c r="P6898"/>
      <c r="R6898" s="39">
        <v>35593</v>
      </c>
      <c r="S6898" s="37">
        <v>6.0873999999999997</v>
      </c>
    </row>
    <row r="6899" spans="15:19" ht="15" x14ac:dyDescent="0.25">
      <c r="O6899"/>
      <c r="P6899"/>
      <c r="R6899" s="39">
        <v>35592</v>
      </c>
      <c r="S6899" s="37">
        <v>6.0526</v>
      </c>
    </row>
    <row r="6900" spans="15:19" ht="15" x14ac:dyDescent="0.25">
      <c r="O6900"/>
      <c r="P6900"/>
      <c r="R6900" s="39">
        <v>35591</v>
      </c>
      <c r="S6900" s="37">
        <v>6.1580000000000004</v>
      </c>
    </row>
    <row r="6901" spans="15:19" ht="15" x14ac:dyDescent="0.25">
      <c r="O6901"/>
      <c r="P6901"/>
      <c r="R6901" s="39">
        <v>35590</v>
      </c>
      <c r="S6901" s="37">
        <v>6.2545999999999999</v>
      </c>
    </row>
    <row r="6902" spans="15:19" ht="15" x14ac:dyDescent="0.25">
      <c r="O6902"/>
      <c r="P6902"/>
      <c r="R6902" s="39">
        <v>35587</v>
      </c>
      <c r="S6902" s="37">
        <v>6.0647000000000002</v>
      </c>
    </row>
    <row r="6903" spans="15:19" ht="15" x14ac:dyDescent="0.25">
      <c r="O6903"/>
      <c r="P6903"/>
      <c r="R6903" s="39">
        <v>35586</v>
      </c>
      <c r="S6903" s="37">
        <v>5.6797000000000004</v>
      </c>
    </row>
    <row r="6904" spans="15:19" ht="15" x14ac:dyDescent="0.25">
      <c r="O6904"/>
      <c r="P6904"/>
      <c r="R6904" s="39">
        <v>35585</v>
      </c>
      <c r="S6904" s="37">
        <v>5.899</v>
      </c>
    </row>
    <row r="6905" spans="15:19" ht="15" x14ac:dyDescent="0.25">
      <c r="O6905"/>
      <c r="P6905"/>
      <c r="R6905" s="39">
        <v>35584</v>
      </c>
      <c r="S6905" s="37">
        <v>6.0949</v>
      </c>
    </row>
    <row r="6906" spans="15:19" ht="15" x14ac:dyDescent="0.25">
      <c r="O6906"/>
      <c r="P6906"/>
      <c r="R6906" s="39">
        <v>35583</v>
      </c>
      <c r="S6906" s="37">
        <v>6.2817999999999996</v>
      </c>
    </row>
    <row r="6907" spans="15:19" ht="15" x14ac:dyDescent="0.25">
      <c r="O6907"/>
      <c r="P6907"/>
      <c r="R6907" s="39">
        <v>35580</v>
      </c>
      <c r="S6907" s="37">
        <v>6.3053999999999997</v>
      </c>
    </row>
    <row r="6908" spans="15:19" ht="15" x14ac:dyDescent="0.25">
      <c r="O6908"/>
      <c r="P6908"/>
      <c r="R6908" s="39">
        <v>35579</v>
      </c>
      <c r="S6908" s="37">
        <v>6.1181000000000001</v>
      </c>
    </row>
    <row r="6909" spans="15:19" ht="15" x14ac:dyDescent="0.25">
      <c r="O6909"/>
      <c r="P6909"/>
      <c r="R6909" s="39">
        <v>35578</v>
      </c>
      <c r="S6909" s="37">
        <v>6.3723000000000001</v>
      </c>
    </row>
    <row r="6910" spans="15:19" ht="15" x14ac:dyDescent="0.25">
      <c r="O6910"/>
      <c r="P6910"/>
      <c r="R6910" s="39">
        <v>35577</v>
      </c>
      <c r="S6910" s="37">
        <v>6.1196000000000002</v>
      </c>
    </row>
    <row r="6911" spans="15:19" ht="15" x14ac:dyDescent="0.25">
      <c r="O6911"/>
      <c r="P6911"/>
      <c r="R6911" s="39">
        <v>35573</v>
      </c>
      <c r="S6911" s="37">
        <v>6.1627000000000001</v>
      </c>
    </row>
    <row r="6912" spans="15:19" ht="15" x14ac:dyDescent="0.25">
      <c r="O6912"/>
      <c r="P6912"/>
      <c r="R6912" s="39">
        <v>35572</v>
      </c>
      <c r="S6912" s="37">
        <v>6.5740999999999996</v>
      </c>
    </row>
    <row r="6913" spans="15:19" ht="15" x14ac:dyDescent="0.25">
      <c r="O6913"/>
      <c r="P6913"/>
      <c r="R6913" s="39">
        <v>35571</v>
      </c>
      <c r="S6913" s="37">
        <v>6.4526000000000003</v>
      </c>
    </row>
    <row r="6914" spans="15:19" ht="15" x14ac:dyDescent="0.25">
      <c r="O6914"/>
      <c r="P6914"/>
      <c r="R6914" s="39">
        <v>35570</v>
      </c>
      <c r="S6914" s="37">
        <v>6.5170000000000003</v>
      </c>
    </row>
    <row r="6915" spans="15:19" ht="15" x14ac:dyDescent="0.25">
      <c r="O6915"/>
      <c r="P6915"/>
      <c r="R6915" s="39">
        <v>35569</v>
      </c>
      <c r="S6915" s="37">
        <v>6.1820000000000004</v>
      </c>
    </row>
    <row r="6916" spans="15:19" ht="15" x14ac:dyDescent="0.25">
      <c r="O6916"/>
      <c r="P6916"/>
      <c r="R6916" s="39">
        <v>35566</v>
      </c>
      <c r="S6916" s="37">
        <v>5.9928999999999997</v>
      </c>
    </row>
    <row r="6917" spans="15:19" ht="15" x14ac:dyDescent="0.25">
      <c r="O6917"/>
      <c r="P6917"/>
      <c r="R6917" s="39">
        <v>35565</v>
      </c>
      <c r="S6917" s="37">
        <v>6.27</v>
      </c>
    </row>
    <row r="6918" spans="15:19" ht="15" x14ac:dyDescent="0.25">
      <c r="O6918"/>
      <c r="P6918"/>
      <c r="R6918" s="39">
        <v>35564</v>
      </c>
      <c r="S6918" s="37">
        <v>6.3554000000000004</v>
      </c>
    </row>
    <row r="6919" spans="15:19" ht="15" x14ac:dyDescent="0.25">
      <c r="O6919"/>
      <c r="P6919"/>
      <c r="R6919" s="39">
        <v>35563</v>
      </c>
      <c r="S6919" s="37">
        <v>6.2229999999999999</v>
      </c>
    </row>
    <row r="6920" spans="15:19" ht="15" x14ac:dyDescent="0.25">
      <c r="O6920"/>
      <c r="P6920"/>
      <c r="R6920" s="39">
        <v>35562</v>
      </c>
      <c r="S6920" s="37">
        <v>6.1702000000000004</v>
      </c>
    </row>
    <row r="6921" spans="15:19" ht="15" x14ac:dyDescent="0.25">
      <c r="O6921"/>
      <c r="P6921"/>
      <c r="R6921" s="39">
        <v>35559</v>
      </c>
      <c r="S6921" s="37">
        <v>6.0274999999999999</v>
      </c>
    </row>
    <row r="6922" spans="15:19" ht="15" x14ac:dyDescent="0.25">
      <c r="O6922"/>
      <c r="P6922"/>
      <c r="R6922" s="39">
        <v>35558</v>
      </c>
      <c r="S6922" s="37">
        <v>6.3680000000000003</v>
      </c>
    </row>
    <row r="6923" spans="15:19" ht="15" x14ac:dyDescent="0.25">
      <c r="O6923"/>
      <c r="P6923"/>
      <c r="R6923" s="39">
        <v>35557</v>
      </c>
      <c r="S6923" s="37">
        <v>6.0564999999999998</v>
      </c>
    </row>
    <row r="6924" spans="15:19" ht="15" x14ac:dyDescent="0.25">
      <c r="O6924"/>
      <c r="P6924"/>
      <c r="R6924" s="39">
        <v>35556</v>
      </c>
      <c r="S6924" s="37">
        <v>6.0773000000000001</v>
      </c>
    </row>
    <row r="6925" spans="15:19" ht="15" x14ac:dyDescent="0.25">
      <c r="O6925"/>
      <c r="P6925"/>
      <c r="R6925" s="39">
        <v>35552</v>
      </c>
      <c r="S6925" s="37">
        <v>5.7080000000000002</v>
      </c>
    </row>
    <row r="6926" spans="15:19" ht="15" x14ac:dyDescent="0.25">
      <c r="O6926"/>
      <c r="P6926"/>
      <c r="R6926" s="39">
        <v>35551</v>
      </c>
      <c r="S6926" s="37">
        <v>6.2549999999999999</v>
      </c>
    </row>
    <row r="6927" spans="15:19" ht="15" x14ac:dyDescent="0.25">
      <c r="O6927"/>
      <c r="P6927"/>
      <c r="R6927" s="39">
        <v>35550</v>
      </c>
      <c r="S6927" s="37">
        <v>6.2641</v>
      </c>
    </row>
    <row r="6928" spans="15:19" ht="15" x14ac:dyDescent="0.25">
      <c r="O6928"/>
      <c r="P6928"/>
      <c r="R6928" s="39">
        <v>35549</v>
      </c>
      <c r="S6928" s="37">
        <v>6.0351999999999997</v>
      </c>
    </row>
    <row r="6929" spans="15:19" ht="15" x14ac:dyDescent="0.25">
      <c r="O6929"/>
      <c r="P6929"/>
      <c r="R6929" s="39">
        <v>35548</v>
      </c>
      <c r="S6929" s="37">
        <v>5.8342999999999998</v>
      </c>
    </row>
    <row r="6930" spans="15:19" ht="15" x14ac:dyDescent="0.25">
      <c r="O6930"/>
      <c r="P6930"/>
      <c r="R6930" s="39">
        <v>35545</v>
      </c>
      <c r="S6930" s="37">
        <v>6.0061</v>
      </c>
    </row>
    <row r="6931" spans="15:19" ht="15" x14ac:dyDescent="0.25">
      <c r="O6931"/>
      <c r="P6931"/>
      <c r="R6931" s="39">
        <v>35544</v>
      </c>
      <c r="S6931" s="37">
        <v>6.0286999999999997</v>
      </c>
    </row>
    <row r="6932" spans="15:19" ht="15" x14ac:dyDescent="0.25">
      <c r="O6932"/>
      <c r="P6932"/>
      <c r="R6932" s="39">
        <v>35543</v>
      </c>
      <c r="S6932" s="37">
        <v>6.0719000000000003</v>
      </c>
    </row>
    <row r="6933" spans="15:19" ht="15" x14ac:dyDescent="0.25">
      <c r="O6933"/>
      <c r="P6933"/>
      <c r="R6933" s="39">
        <v>35542</v>
      </c>
      <c r="S6933" s="37">
        <v>6.0128000000000004</v>
      </c>
    </row>
    <row r="6934" spans="15:19" ht="15" x14ac:dyDescent="0.25">
      <c r="O6934"/>
      <c r="P6934"/>
      <c r="R6934" s="39">
        <v>35541</v>
      </c>
      <c r="S6934" s="37">
        <v>5.9728000000000003</v>
      </c>
    </row>
    <row r="6935" spans="15:19" ht="15" x14ac:dyDescent="0.25">
      <c r="O6935"/>
      <c r="P6935"/>
      <c r="R6935" s="39">
        <v>35538</v>
      </c>
      <c r="S6935" s="37">
        <v>5.8418999999999999</v>
      </c>
    </row>
    <row r="6936" spans="15:19" ht="15" x14ac:dyDescent="0.25">
      <c r="O6936"/>
      <c r="P6936"/>
      <c r="R6936" s="39">
        <v>35537</v>
      </c>
      <c r="S6936" s="37">
        <v>5.7946</v>
      </c>
    </row>
    <row r="6937" spans="15:19" ht="15" x14ac:dyDescent="0.25">
      <c r="O6937"/>
      <c r="P6937"/>
      <c r="R6937" s="39">
        <v>35536</v>
      </c>
      <c r="S6937" s="37">
        <v>5.9321999999999999</v>
      </c>
    </row>
    <row r="6938" spans="15:19" ht="15" x14ac:dyDescent="0.25">
      <c r="O6938"/>
      <c r="P6938"/>
      <c r="R6938" s="39">
        <v>35535</v>
      </c>
      <c r="S6938" s="37">
        <v>5.7927</v>
      </c>
    </row>
    <row r="6939" spans="15:19" ht="15" x14ac:dyDescent="0.25">
      <c r="O6939"/>
      <c r="P6939"/>
      <c r="R6939" s="39">
        <v>35534</v>
      </c>
      <c r="S6939" s="37">
        <v>5.8152999999999997</v>
      </c>
    </row>
    <row r="6940" spans="15:19" ht="15" x14ac:dyDescent="0.25">
      <c r="O6940"/>
      <c r="P6940"/>
      <c r="R6940" s="39">
        <v>35531</v>
      </c>
      <c r="S6940" s="37">
        <v>5.8369999999999997</v>
      </c>
    </row>
    <row r="6941" spans="15:19" ht="15" x14ac:dyDescent="0.25">
      <c r="O6941"/>
      <c r="P6941"/>
      <c r="R6941" s="39">
        <v>35530</v>
      </c>
      <c r="S6941" s="37">
        <v>5.8761999999999999</v>
      </c>
    </row>
    <row r="6942" spans="15:19" ht="15" x14ac:dyDescent="0.25">
      <c r="O6942"/>
      <c r="P6942"/>
      <c r="R6942" s="39">
        <v>35529</v>
      </c>
      <c r="S6942" s="37">
        <v>5.9092000000000002</v>
      </c>
    </row>
    <row r="6943" spans="15:19" ht="15" x14ac:dyDescent="0.25">
      <c r="O6943"/>
      <c r="P6943"/>
      <c r="R6943" s="39">
        <v>35528</v>
      </c>
      <c r="S6943" s="37">
        <v>5.9531000000000001</v>
      </c>
    </row>
    <row r="6944" spans="15:19" ht="15" x14ac:dyDescent="0.25">
      <c r="O6944"/>
      <c r="P6944"/>
      <c r="R6944" s="39">
        <v>35527</v>
      </c>
      <c r="S6944" s="37">
        <v>5.9913999999999996</v>
      </c>
    </row>
    <row r="6945" spans="15:19" ht="15" x14ac:dyDescent="0.25">
      <c r="O6945"/>
      <c r="P6945"/>
      <c r="R6945" s="39">
        <v>35524</v>
      </c>
      <c r="S6945" s="37">
        <v>5.9805000000000001</v>
      </c>
    </row>
    <row r="6946" spans="15:19" ht="15" x14ac:dyDescent="0.25">
      <c r="O6946"/>
      <c r="P6946"/>
      <c r="R6946" s="39">
        <v>35523</v>
      </c>
      <c r="S6946" s="37">
        <v>6.0965999999999996</v>
      </c>
    </row>
    <row r="6947" spans="15:19" ht="15" x14ac:dyDescent="0.25">
      <c r="O6947"/>
      <c r="P6947"/>
      <c r="R6947" s="39">
        <v>35522</v>
      </c>
      <c r="S6947" s="37">
        <v>6.0667</v>
      </c>
    </row>
    <row r="6948" spans="15:19" ht="15" x14ac:dyDescent="0.25">
      <c r="O6948"/>
      <c r="P6948"/>
      <c r="R6948" s="39">
        <v>35521</v>
      </c>
      <c r="S6948" s="37">
        <v>6.0469999999999997</v>
      </c>
    </row>
    <row r="6949" spans="15:19" ht="15" x14ac:dyDescent="0.25">
      <c r="O6949"/>
      <c r="P6949"/>
      <c r="R6949" s="39">
        <v>35516</v>
      </c>
      <c r="S6949" s="37">
        <v>6.0282</v>
      </c>
    </row>
    <row r="6950" spans="15:19" ht="15" x14ac:dyDescent="0.25">
      <c r="O6950"/>
      <c r="P6950"/>
      <c r="R6950" s="39">
        <v>35515</v>
      </c>
      <c r="S6950" s="37">
        <v>6.0541</v>
      </c>
    </row>
    <row r="6951" spans="15:19" ht="15" x14ac:dyDescent="0.25">
      <c r="O6951"/>
      <c r="P6951"/>
      <c r="R6951" s="39">
        <v>35514</v>
      </c>
      <c r="S6951" s="37">
        <v>5.9703999999999997</v>
      </c>
    </row>
    <row r="6952" spans="15:19" ht="15" x14ac:dyDescent="0.25">
      <c r="O6952"/>
      <c r="P6952"/>
      <c r="R6952" s="39">
        <v>35513</v>
      </c>
      <c r="S6952" s="37">
        <v>5.9935999999999998</v>
      </c>
    </row>
    <row r="6953" spans="15:19" ht="15" x14ac:dyDescent="0.25">
      <c r="O6953"/>
      <c r="P6953"/>
      <c r="R6953" s="39">
        <v>35510</v>
      </c>
      <c r="S6953" s="37">
        <v>5.94</v>
      </c>
    </row>
    <row r="6954" spans="15:19" ht="15" x14ac:dyDescent="0.25">
      <c r="O6954"/>
      <c r="P6954"/>
      <c r="R6954" s="39">
        <v>35509</v>
      </c>
      <c r="S6954" s="37">
        <v>6.09</v>
      </c>
    </row>
    <row r="6955" spans="15:19" ht="15" x14ac:dyDescent="0.25">
      <c r="O6955"/>
      <c r="P6955"/>
      <c r="R6955" s="39">
        <v>35508</v>
      </c>
      <c r="S6955" s="37">
        <v>6.09</v>
      </c>
    </row>
    <row r="6956" spans="15:19" ht="15" x14ac:dyDescent="0.25">
      <c r="O6956"/>
      <c r="P6956"/>
      <c r="R6956" s="39">
        <v>35507</v>
      </c>
      <c r="S6956" s="37">
        <v>5.99</v>
      </c>
    </row>
    <row r="6957" spans="15:19" ht="15" x14ac:dyDescent="0.25">
      <c r="O6957"/>
      <c r="P6957"/>
      <c r="R6957" s="39">
        <v>35506</v>
      </c>
      <c r="S6957" s="37">
        <v>5.89</v>
      </c>
    </row>
    <row r="6958" spans="15:19" ht="15" x14ac:dyDescent="0.25">
      <c r="O6958"/>
      <c r="P6958"/>
      <c r="R6958" s="39">
        <v>35503</v>
      </c>
      <c r="S6958" s="37">
        <v>5.88</v>
      </c>
    </row>
    <row r="6959" spans="15:19" ht="15" x14ac:dyDescent="0.25">
      <c r="O6959"/>
      <c r="P6959"/>
      <c r="R6959" s="39">
        <v>35502</v>
      </c>
      <c r="S6959" s="37">
        <v>6.03</v>
      </c>
    </row>
    <row r="6960" spans="15:19" ht="15" x14ac:dyDescent="0.25">
      <c r="O6960"/>
      <c r="P6960"/>
      <c r="R6960" s="39">
        <v>35501</v>
      </c>
      <c r="S6960" s="37">
        <v>5.93</v>
      </c>
    </row>
    <row r="6961" spans="15:19" ht="15" x14ac:dyDescent="0.25">
      <c r="O6961"/>
      <c r="P6961"/>
      <c r="R6961" s="39">
        <v>35500</v>
      </c>
      <c r="S6961" s="37">
        <v>6.01</v>
      </c>
    </row>
    <row r="6962" spans="15:19" ht="15" x14ac:dyDescent="0.25">
      <c r="O6962"/>
      <c r="P6962"/>
      <c r="R6962" s="39">
        <v>35499</v>
      </c>
      <c r="S6962" s="37">
        <v>5.95</v>
      </c>
    </row>
    <row r="6963" spans="15:19" ht="15" x14ac:dyDescent="0.25">
      <c r="O6963"/>
      <c r="P6963"/>
      <c r="R6963" s="39">
        <v>35496</v>
      </c>
      <c r="S6963" s="37">
        <v>5.98</v>
      </c>
    </row>
    <row r="6964" spans="15:19" ht="15" x14ac:dyDescent="0.25">
      <c r="O6964"/>
      <c r="P6964"/>
      <c r="R6964" s="39">
        <v>35495</v>
      </c>
      <c r="S6964" s="37">
        <v>5.94</v>
      </c>
    </row>
    <row r="6965" spans="15:19" ht="15" x14ac:dyDescent="0.25">
      <c r="O6965"/>
      <c r="P6965"/>
      <c r="R6965" s="39">
        <v>35494</v>
      </c>
      <c r="S6965" s="37">
        <v>5.89</v>
      </c>
    </row>
    <row r="6966" spans="15:19" ht="15" x14ac:dyDescent="0.25">
      <c r="O6966"/>
      <c r="P6966"/>
      <c r="R6966" s="39">
        <v>35493</v>
      </c>
      <c r="S6966" s="37">
        <v>5.82</v>
      </c>
    </row>
    <row r="6967" spans="15:19" ht="15" x14ac:dyDescent="0.25">
      <c r="O6967"/>
      <c r="P6967"/>
      <c r="R6967" s="39">
        <v>35492</v>
      </c>
      <c r="S6967" s="37">
        <v>5.86</v>
      </c>
    </row>
    <row r="6968" spans="15:19" ht="15" x14ac:dyDescent="0.25">
      <c r="O6968"/>
      <c r="P6968"/>
      <c r="R6968" s="39">
        <v>35489</v>
      </c>
      <c r="S6968" s="37">
        <v>5.79</v>
      </c>
    </row>
    <row r="6969" spans="15:19" ht="15" x14ac:dyDescent="0.25">
      <c r="O6969"/>
      <c r="P6969"/>
      <c r="R6969" s="39">
        <v>35488</v>
      </c>
      <c r="S6969" s="37">
        <v>5.92</v>
      </c>
    </row>
    <row r="6970" spans="15:19" ht="15" x14ac:dyDescent="0.25">
      <c r="O6970"/>
      <c r="P6970"/>
      <c r="R6970" s="39">
        <v>35487</v>
      </c>
      <c r="S6970" s="37">
        <v>5.75</v>
      </c>
    </row>
    <row r="6971" spans="15:19" ht="15" x14ac:dyDescent="0.25">
      <c r="O6971"/>
      <c r="P6971"/>
      <c r="R6971" s="39">
        <v>35486</v>
      </c>
      <c r="S6971" s="37">
        <v>5.78</v>
      </c>
    </row>
    <row r="6972" spans="15:19" ht="15" x14ac:dyDescent="0.25">
      <c r="O6972"/>
      <c r="P6972"/>
      <c r="R6972" s="39">
        <v>35485</v>
      </c>
      <c r="S6972" s="37">
        <v>5.76</v>
      </c>
    </row>
    <row r="6973" spans="15:19" ht="15" x14ac:dyDescent="0.25">
      <c r="O6973"/>
      <c r="P6973"/>
      <c r="R6973" s="39">
        <v>35482</v>
      </c>
      <c r="S6973" s="37">
        <v>5.96</v>
      </c>
    </row>
    <row r="6974" spans="15:19" ht="15" x14ac:dyDescent="0.25">
      <c r="O6974"/>
      <c r="P6974"/>
      <c r="R6974" s="39">
        <v>35481</v>
      </c>
      <c r="S6974" s="37">
        <v>6.11</v>
      </c>
    </row>
    <row r="6975" spans="15:19" ht="15" x14ac:dyDescent="0.25">
      <c r="O6975"/>
      <c r="P6975"/>
      <c r="R6975" s="39">
        <v>35480</v>
      </c>
      <c r="S6975" s="37">
        <v>6.08</v>
      </c>
    </row>
    <row r="6976" spans="15:19" ht="15" x14ac:dyDescent="0.25">
      <c r="O6976"/>
      <c r="P6976"/>
      <c r="R6976" s="39">
        <v>35479</v>
      </c>
      <c r="S6976" s="37">
        <v>5.97</v>
      </c>
    </row>
    <row r="6977" spans="15:19" ht="15" x14ac:dyDescent="0.25">
      <c r="O6977"/>
      <c r="P6977"/>
      <c r="R6977" s="39">
        <v>35478</v>
      </c>
      <c r="S6977" s="37">
        <v>5.8</v>
      </c>
    </row>
    <row r="6978" spans="15:19" ht="15" x14ac:dyDescent="0.25">
      <c r="O6978"/>
      <c r="P6978"/>
      <c r="R6978" s="39">
        <v>35475</v>
      </c>
      <c r="S6978" s="37">
        <v>5.62</v>
      </c>
    </row>
    <row r="6979" spans="15:19" ht="15" x14ac:dyDescent="0.25">
      <c r="O6979"/>
      <c r="P6979"/>
      <c r="R6979" s="39">
        <v>35474</v>
      </c>
      <c r="S6979" s="37">
        <v>6.07</v>
      </c>
    </row>
    <row r="6980" spans="15:19" ht="15" x14ac:dyDescent="0.25">
      <c r="O6980"/>
      <c r="P6980"/>
      <c r="R6980" s="39">
        <v>35473</v>
      </c>
      <c r="S6980" s="37">
        <v>6.22</v>
      </c>
    </row>
    <row r="6981" spans="15:19" ht="15" x14ac:dyDescent="0.25">
      <c r="O6981"/>
      <c r="P6981"/>
      <c r="R6981" s="39">
        <v>35472</v>
      </c>
      <c r="S6981" s="37">
        <v>5.98</v>
      </c>
    </row>
    <row r="6982" spans="15:19" ht="15" x14ac:dyDescent="0.25">
      <c r="O6982"/>
      <c r="P6982"/>
      <c r="R6982" s="39">
        <v>35471</v>
      </c>
      <c r="S6982" s="37">
        <v>5.81</v>
      </c>
    </row>
    <row r="6983" spans="15:19" ht="15" x14ac:dyDescent="0.25">
      <c r="O6983"/>
      <c r="P6983"/>
      <c r="R6983" s="39">
        <v>35468</v>
      </c>
      <c r="S6983" s="37">
        <v>5.87</v>
      </c>
    </row>
    <row r="6984" spans="15:19" ht="15" x14ac:dyDescent="0.25">
      <c r="O6984"/>
      <c r="P6984"/>
      <c r="R6984" s="39">
        <v>35467</v>
      </c>
      <c r="S6984" s="37">
        <v>6.39</v>
      </c>
    </row>
    <row r="6985" spans="15:19" ht="15" x14ac:dyDescent="0.25">
      <c r="O6985"/>
      <c r="P6985"/>
      <c r="R6985" s="39">
        <v>35466</v>
      </c>
      <c r="S6985" s="37">
        <v>6.33</v>
      </c>
    </row>
    <row r="6986" spans="15:19" ht="15" x14ac:dyDescent="0.25">
      <c r="O6986"/>
      <c r="P6986"/>
      <c r="R6986" s="39">
        <v>35465</v>
      </c>
      <c r="S6986" s="37">
        <v>6.12</v>
      </c>
    </row>
    <row r="6987" spans="15:19" ht="15" x14ac:dyDescent="0.25">
      <c r="O6987"/>
      <c r="P6987"/>
      <c r="R6987" s="39">
        <v>35464</v>
      </c>
      <c r="S6987" s="37">
        <v>6.37</v>
      </c>
    </row>
    <row r="6988" spans="15:19" ht="15" x14ac:dyDescent="0.25">
      <c r="O6988"/>
      <c r="P6988"/>
      <c r="R6988" s="39">
        <v>35461</v>
      </c>
      <c r="S6988" s="37">
        <v>6.19</v>
      </c>
    </row>
    <row r="6989" spans="15:19" ht="15" x14ac:dyDescent="0.25">
      <c r="O6989"/>
      <c r="P6989"/>
      <c r="R6989" s="39">
        <v>35460</v>
      </c>
      <c r="S6989" s="37">
        <v>6.33</v>
      </c>
    </row>
    <row r="6990" spans="15:19" ht="15" x14ac:dyDescent="0.25">
      <c r="O6990"/>
      <c r="P6990"/>
      <c r="R6990" s="39">
        <v>35459</v>
      </c>
      <c r="S6990" s="37">
        <v>5.97</v>
      </c>
    </row>
    <row r="6991" spans="15:19" ht="15" x14ac:dyDescent="0.25">
      <c r="O6991"/>
      <c r="P6991"/>
      <c r="R6991" s="39">
        <v>35458</v>
      </c>
      <c r="S6991" s="37">
        <v>5.71</v>
      </c>
    </row>
    <row r="6992" spans="15:19" ht="15" x14ac:dyDescent="0.25">
      <c r="O6992"/>
      <c r="P6992"/>
      <c r="R6992" s="39">
        <v>35457</v>
      </c>
      <c r="S6992" s="37">
        <v>5.95</v>
      </c>
    </row>
    <row r="6993" spans="15:19" ht="15" x14ac:dyDescent="0.25">
      <c r="O6993"/>
      <c r="P6993"/>
      <c r="R6993" s="39">
        <v>35454</v>
      </c>
      <c r="S6993" s="37">
        <v>6.11</v>
      </c>
    </row>
    <row r="6994" spans="15:19" ht="15" x14ac:dyDescent="0.25">
      <c r="O6994"/>
      <c r="P6994"/>
      <c r="R6994" s="39">
        <v>35453</v>
      </c>
      <c r="S6994" s="37">
        <v>6.16</v>
      </c>
    </row>
    <row r="6995" spans="15:19" ht="15" x14ac:dyDescent="0.25">
      <c r="O6995"/>
      <c r="P6995"/>
      <c r="R6995" s="39">
        <v>35452</v>
      </c>
      <c r="S6995" s="37">
        <v>6.07</v>
      </c>
    </row>
    <row r="6996" spans="15:19" ht="15" x14ac:dyDescent="0.25">
      <c r="O6996"/>
      <c r="P6996"/>
      <c r="R6996" s="39">
        <v>35451</v>
      </c>
      <c r="S6996" s="37">
        <v>6.23</v>
      </c>
    </row>
    <row r="6997" spans="15:19" ht="15" x14ac:dyDescent="0.25">
      <c r="O6997"/>
      <c r="P6997"/>
      <c r="R6997" s="39">
        <v>35450</v>
      </c>
      <c r="S6997" s="37">
        <v>6.05</v>
      </c>
    </row>
    <row r="6998" spans="15:19" ht="15" x14ac:dyDescent="0.25">
      <c r="O6998"/>
      <c r="P6998"/>
      <c r="R6998" s="39">
        <v>35447</v>
      </c>
      <c r="S6998" s="37">
        <v>5.7</v>
      </c>
    </row>
    <row r="6999" spans="15:19" ht="15" x14ac:dyDescent="0.25">
      <c r="O6999"/>
      <c r="P6999"/>
      <c r="R6999" s="39">
        <v>35446</v>
      </c>
      <c r="S6999" s="37">
        <v>6.09</v>
      </c>
    </row>
    <row r="7000" spans="15:19" ht="15" x14ac:dyDescent="0.25">
      <c r="O7000"/>
      <c r="P7000"/>
      <c r="R7000" s="39">
        <v>35445</v>
      </c>
      <c r="S7000" s="37">
        <v>5.44</v>
      </c>
    </row>
    <row r="7001" spans="15:19" ht="15" x14ac:dyDescent="0.25">
      <c r="O7001"/>
      <c r="P7001"/>
      <c r="R7001" s="39">
        <v>35444</v>
      </c>
      <c r="S7001" s="37">
        <v>5.49</v>
      </c>
    </row>
    <row r="7002" spans="15:19" ht="15" x14ac:dyDescent="0.25">
      <c r="O7002"/>
      <c r="P7002"/>
      <c r="R7002" s="39">
        <v>35443</v>
      </c>
      <c r="S7002" s="37">
        <v>5.49</v>
      </c>
    </row>
    <row r="7003" spans="15:19" ht="15" x14ac:dyDescent="0.25">
      <c r="O7003"/>
      <c r="P7003"/>
      <c r="R7003" s="39">
        <v>35440</v>
      </c>
      <c r="S7003" s="37">
        <v>5.43</v>
      </c>
    </row>
    <row r="7004" spans="15:19" ht="15" x14ac:dyDescent="0.25">
      <c r="O7004"/>
      <c r="P7004"/>
      <c r="R7004" s="39">
        <v>35439</v>
      </c>
      <c r="S7004" s="37">
        <v>5.63</v>
      </c>
    </row>
    <row r="7005" spans="15:19" ht="15" x14ac:dyDescent="0.25">
      <c r="O7005"/>
      <c r="P7005"/>
      <c r="R7005" s="39">
        <v>35438</v>
      </c>
      <c r="S7005" s="37">
        <v>5.96</v>
      </c>
    </row>
    <row r="7006" spans="15:19" ht="15" x14ac:dyDescent="0.25">
      <c r="O7006"/>
      <c r="P7006"/>
      <c r="R7006" s="39">
        <v>35437</v>
      </c>
      <c r="S7006" s="37">
        <v>5.94</v>
      </c>
    </row>
    <row r="7007" spans="15:19" ht="15" x14ac:dyDescent="0.25">
      <c r="O7007"/>
      <c r="P7007"/>
      <c r="R7007" s="39">
        <v>35436</v>
      </c>
      <c r="S7007" s="37">
        <v>5.9</v>
      </c>
    </row>
    <row r="7008" spans="15:19" ht="15" x14ac:dyDescent="0.25">
      <c r="O7008"/>
      <c r="P7008"/>
      <c r="R7008" s="39">
        <v>35433</v>
      </c>
      <c r="S7008" s="37">
        <v>6.03</v>
      </c>
    </row>
    <row r="7009" spans="15:19" ht="15" x14ac:dyDescent="0.25">
      <c r="O7009"/>
      <c r="P7009"/>
      <c r="R7009" s="39">
        <v>35432</v>
      </c>
      <c r="S7009" s="37">
        <v>5.94</v>
      </c>
    </row>
  </sheetData>
  <hyperlinks>
    <hyperlink ref="D7" r:id="rId1" xr:uid="{F704D94F-2C46-4854-A9D3-C14761E69F83}"/>
    <hyperlink ref="D8" r:id="rId2" xr:uid="{18A7C8B5-F952-408A-92AD-78BB8CCBE939}"/>
    <hyperlink ref="D3" r:id="rId3" xr:uid="{D8446099-F23C-46FD-86F0-EFDF5D91656B}"/>
    <hyperlink ref="D9" r:id="rId4" xr:uid="{8174A3FA-4407-46E7-B1A5-EE7647154445}"/>
    <hyperlink ref="D10" r:id="rId5" xr:uid="{03764D69-EFD2-4890-94CA-E5580AF3FC85}"/>
    <hyperlink ref="D5" r:id="rId6" xr:uid="{6E5DB9A8-9E58-4C95-87C9-C1A367D9AC0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References</vt:lpstr>
      <vt:lpstr>OIS Fixing Sources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2024-09-28T12:12:19Z</dcterms:modified>
</cp:coreProperties>
</file>