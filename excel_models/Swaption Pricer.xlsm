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rivate\excel_models_private\Complete\"/>
    </mc:Choice>
  </mc:AlternateContent>
  <xr:revisionPtr revIDLastSave="0" documentId="13_ncr:1_{F4DDEAE9-9807-4885-94DF-C179801FFC91}" xr6:coauthVersionLast="47" xr6:coauthVersionMax="47" xr10:uidLastSave="{00000000-0000-0000-0000-000000000000}"/>
  <bookViews>
    <workbookView xWindow="-120" yWindow="-120" windowWidth="29040" windowHeight="15720" activeTab="2" xr2:uid="{DB48FFF4-A1F2-4D46-8CFA-4CDDB0992E60}"/>
  </bookViews>
  <sheets>
    <sheet name="Global Inputs" sheetId="16" r:id="rId1"/>
    <sheet name="Swaption Pricer" sheetId="32" r:id="rId2"/>
    <sheet name="Methodology" sheetId="39" r:id="rId3"/>
    <sheet name="Data Validation" sheetId="5" state="hidden" r:id="rId4"/>
    <sheet name="Holidays" sheetId="33" state="hidden" r:id="rId5"/>
  </sheets>
  <functionGroups builtInGroupCount="19"/>
  <definedNames>
    <definedName name="_xlpm.InstrinsicValue" hidden="1" xlm="1">#NAME?</definedName>
    <definedName name="_xlpm.RolledEndDate" hidden="1" xlm="1">#NAME?</definedName>
    <definedName name="BuySell" localSheetId="1">'Swaption Pricer'!$C$38</definedName>
    <definedName name="cp" localSheetId="1">'Swaption Pricer'!$C$41</definedName>
    <definedName name="CurveDate">'Global Inputs'!$D$3</definedName>
    <definedName name="d_" localSheetId="1">'Swaption Pricer'!$G$25</definedName>
    <definedName name="d1_" localSheetId="1">'Swaption Pricer'!$G$12</definedName>
    <definedName name="d2_" localSheetId="1">'Swaption Pricer'!$G$13</definedName>
    <definedName name="DCBFixed" localSheetId="1">'Swaption Pricer'!$C$15</definedName>
    <definedName name="DCBFloat" localSheetId="1">'Swaption Pricer'!$C$16</definedName>
    <definedName name="ExpirationDate" localSheetId="1">'Swaption Pricer'!$C$11</definedName>
    <definedName name="F" localSheetId="1">'Swaption Pricer'!$C$35</definedName>
    <definedName name="F_sln" localSheetId="1">'Swaption Pricer'!$G$9</definedName>
    <definedName name="FirstCouponEndDate" localSheetId="1">'Swaption Pricer'!$C$22</definedName>
    <definedName name="FixedLegAnnuityPx" localSheetId="1">'Swaption Pricer'!$C$36</definedName>
    <definedName name="FixedLegFrequency" localSheetId="1">'Swaption Pricer'!$C$13</definedName>
    <definedName name="FloatingLegFrequency" localSheetId="1">'Swaption Pricer'!$C$14</definedName>
    <definedName name="FloatingSpread" localSheetId="1">'Swaption Pricer'!$C$9</definedName>
    <definedName name="FloatLegAnnuityPx" localSheetId="1">'Swaption Pricer'!$C$37</definedName>
    <definedName name="Holidays_NSW">Holidays!$C$2:$C$1062</definedName>
    <definedName name="Holidays_NYC">Holidays!$D$2:$D$1434</definedName>
    <definedName name="HolidaysApplied">_xlfn.ANCHORARRAY(Holidays!$A$2)</definedName>
    <definedName name="K" localSheetId="1">'Swaption Pricer'!$C$33</definedName>
    <definedName name="K_adj" localSheetId="1">'Swaption Pricer'!$C$34</definedName>
    <definedName name="K_sln" localSheetId="1">'Swaption Pricer'!$G$10</definedName>
    <definedName name="LastCouponStartDate" localSheetId="1">'Swaption Pricer'!$C$23</definedName>
    <definedName name="LogNormalShift" localSheetId="1">'Swaption Pricer'!$G$8</definedName>
    <definedName name="Notional" localSheetId="1">'Swaption Pricer'!$C$10</definedName>
    <definedName name="PaymentOffset">'Global Inputs'!$D$8</definedName>
    <definedName name="RollConvention">'Global Inputs'!$D$7</definedName>
    <definedName name="RollUserSpecifiedDates">'Global Inputs'!$D$6</definedName>
    <definedName name="RollUserSpecifiedDatesSwaption" localSheetId="1">'Swaption Pricer'!$C$24</definedName>
    <definedName name="SettlementDate">'Global Inputs'!$D$5</definedName>
    <definedName name="SettlementDelay">'Global Inputs'!$D$4</definedName>
    <definedName name="StubType" localSheetId="1">'Swaption Pricer'!$C$21</definedName>
    <definedName name="SwapMaturityDate" localSheetId="1">'Swaption Pricer'!$C$12</definedName>
    <definedName name="SwapStartDate" localSheetId="1">'Swaption Pricer'!$C$39</definedName>
    <definedName name="tau" localSheetId="1">'Swaption Pricer'!$C$40</definedName>
    <definedName name="σN" localSheetId="1">'Swaption Pricer'!$G$24</definedName>
    <definedName name="σSLN" localSheetId="1">'Swaption Pricer'!$G$11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6" l="1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A2" i="33" a="1"/>
  <c r="A2" i="33" s="1"/>
  <c r="C41" i="32" l="1" a="1"/>
  <c r="C41" i="32" s="1"/>
  <c r="C42" i="32" a="1"/>
  <c r="C42" i="32" l="1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24" i="32" l="1"/>
  <c r="C35" i="32"/>
  <c r="C33" i="32"/>
  <c r="G8" i="32"/>
  <c r="G11" i="32"/>
  <c r="G9" i="32" l="1"/>
  <c r="C40" i="32" l="1"/>
  <c r="D5" i="16"/>
  <c r="C39" i="32"/>
  <c r="C45" i="32" a="1"/>
  <c r="C45" i="32" l="1"/>
  <c r="C38" i="32" a="1"/>
  <c r="C38" i="32" s="1"/>
  <c r="J7" i="32" a="1"/>
  <c r="S7" i="32" a="1"/>
  <c r="S7" i="32" l="1"/>
  <c r="J7" i="32"/>
  <c r="X7" i="32" a="1"/>
  <c r="X7" i="32" l="1"/>
  <c r="K7" i="32" a="1"/>
  <c r="K7" i="32" s="1"/>
  <c r="T7" i="32" a="1"/>
  <c r="T7" i="32" s="1"/>
  <c r="L7" i="32" a="1"/>
  <c r="U7" i="32" a="1"/>
  <c r="Y7" i="32" a="1"/>
  <c r="L7" i="32" l="1"/>
  <c r="U7" i="32"/>
  <c r="Y7" i="32"/>
  <c r="V7" i="32" a="1"/>
  <c r="V7" i="32" s="1"/>
  <c r="Z7" i="32" s="1" a="1"/>
  <c r="Z7" i="32" s="1"/>
  <c r="M7" i="32" a="1"/>
  <c r="M7" i="32" s="1"/>
  <c r="N7" i="32" a="1"/>
  <c r="W7" i="32" a="1"/>
  <c r="W7" i="32" l="1"/>
  <c r="C37" i="32" s="1"/>
  <c r="N7" i="32"/>
  <c r="AA7" i="32" a="1"/>
  <c r="AA7" i="32" s="1"/>
  <c r="AB7" i="32" s="1" a="1"/>
  <c r="AB7" i="32" s="1"/>
  <c r="AC7" i="32" s="1" a="1"/>
  <c r="AC7" i="32" s="1"/>
  <c r="AD7" i="32" s="1" a="1"/>
  <c r="AD7" i="32" s="1"/>
  <c r="AD2" i="32" l="1" a="1"/>
  <c r="AD2" i="32" s="1"/>
  <c r="AD3" i="32"/>
  <c r="C36" i="32"/>
  <c r="C34" i="32" s="1"/>
  <c r="O7" i="32" a="1"/>
  <c r="O7" i="32" s="1"/>
  <c r="P7" i="32" s="1" a="1"/>
  <c r="P7" i="32" s="1"/>
  <c r="Q7" i="32" s="1" a="1"/>
  <c r="Q7" i="32" s="1"/>
  <c r="G25" i="32" l="1"/>
  <c r="G10" i="32"/>
  <c r="Q3" i="32"/>
  <c r="C44" i="32" s="1"/>
  <c r="Q2" i="32" a="1"/>
  <c r="Q2" i="32" s="1"/>
  <c r="C43" i="32" s="1"/>
  <c r="G12" i="32"/>
  <c r="G26" i="32" l="1"/>
  <c r="G27" i="32" s="1"/>
  <c r="G28" i="32" s="1"/>
  <c r="G29" i="32"/>
  <c r="G30" i="32" s="1"/>
  <c r="G17" i="32" a="1"/>
  <c r="G17" i="32" s="1"/>
  <c r="G18" i="32" s="1"/>
  <c r="G19" i="32"/>
  <c r="G20" i="32" s="1"/>
  <c r="G13" i="32"/>
  <c r="G14" i="32" s="1"/>
  <c r="G15" i="32" s="1"/>
  <c r="G16" i="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Shasa Foster</author>
  </authors>
  <commentList>
    <comment ref="B18" authorId="0" shapeId="0" xr:uid="{6DC35EF6-DCEE-404E-9988-C4D2829B49FD}">
      <text>
        <r>
          <rPr>
            <sz val="9"/>
            <color indexed="81"/>
            <rFont val="Tahoma"/>
            <family val="2"/>
          </rPr>
          <t xml:space="preserve">Payer swaption = Option to enter "Pay Fixed, Receive Float" swap.
Receiver swaption = Option to enter "Receive Fixed, Pay Float" swap.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<sst xmlns="http://schemas.openxmlformats.org/spreadsheetml/2006/main" count="177" uniqueCount="120">
  <si>
    <t>Discount Factor</t>
  </si>
  <si>
    <t>Days</t>
  </si>
  <si>
    <t>Date</t>
  </si>
  <si>
    <t>Curve Date / Valuation Date</t>
  </si>
  <si>
    <t>Legend</t>
  </si>
  <si>
    <t>User input</t>
  </si>
  <si>
    <t>Everything else, edit at own risk.</t>
  </si>
  <si>
    <t>[Date]</t>
  </si>
  <si>
    <t>Value</t>
  </si>
  <si>
    <t>Units</t>
  </si>
  <si>
    <t>Strike, K</t>
  </si>
  <si>
    <t>[%]</t>
  </si>
  <si>
    <t>Floating spread (bps)</t>
  </si>
  <si>
    <t>[bps]</t>
  </si>
  <si>
    <t>Q</t>
  </si>
  <si>
    <t>Buy/Sell perspective</t>
  </si>
  <si>
    <t>Buy</t>
  </si>
  <si>
    <t>Sell</t>
  </si>
  <si>
    <t>M</t>
  </si>
  <si>
    <t>Modified Following</t>
  </si>
  <si>
    <t>None</t>
  </si>
  <si>
    <t>Following</t>
  </si>
  <si>
    <t>First Short</t>
  </si>
  <si>
    <t>S</t>
  </si>
  <si>
    <t>Modified Preceding</t>
  </si>
  <si>
    <t>Last Short</t>
  </si>
  <si>
    <t>A</t>
  </si>
  <si>
    <t>Preceding</t>
  </si>
  <si>
    <t>Notional Amount</t>
  </si>
  <si>
    <t>[$]</t>
  </si>
  <si>
    <t>Buy/Sell flag</t>
  </si>
  <si>
    <t>Market Data</t>
  </si>
  <si>
    <t>Call/put flag</t>
  </si>
  <si>
    <t>Normal volatility</t>
  </si>
  <si>
    <t>σN</t>
  </si>
  <si>
    <t>K</t>
  </si>
  <si>
    <t>Per 'Market Data'</t>
  </si>
  <si>
    <t>Manual Input</t>
  </si>
  <si>
    <t>Field</t>
  </si>
  <si>
    <t>Contractual Definitions</t>
  </si>
  <si>
    <t>Forward Curve</t>
  </si>
  <si>
    <t>Discount Curve</t>
  </si>
  <si>
    <t>Pricing helper fields</t>
  </si>
  <si>
    <t>Roll user specified dates</t>
  </si>
  <si>
    <t>NSW Public &amp; Bank Holidays</t>
  </si>
  <si>
    <t>Payment Offset</t>
  </si>
  <si>
    <t>#</t>
  </si>
  <si>
    <t>d1</t>
  </si>
  <si>
    <t>d2</t>
  </si>
  <si>
    <t>Valuation Normal Vega normalised to 1 bp</t>
  </si>
  <si>
    <t>Analytical (forward) Vega</t>
  </si>
  <si>
    <t>Delta</t>
  </si>
  <si>
    <t>d_Bachelier</t>
  </si>
  <si>
    <t>Bachelier Pricing (Normal Volatility)</t>
  </si>
  <si>
    <t xml:space="preserve">Valuation Vega normalised to 1% </t>
  </si>
  <si>
    <t>Black76 Pricing (Log-Normal Volatility)</t>
  </si>
  <si>
    <t>[years]</t>
  </si>
  <si>
    <t>F</t>
  </si>
  <si>
    <t>tau</t>
  </si>
  <si>
    <t>Black76 Volatility (per the log-normal shift)</t>
  </si>
  <si>
    <t>Expiry Date</t>
  </si>
  <si>
    <t>Flat</t>
  </si>
  <si>
    <t>Term Structure</t>
  </si>
  <si>
    <t>Lognormal shift</t>
  </si>
  <si>
    <t>Business Day Roll convention</t>
  </si>
  <si>
    <t>Swaption Value</t>
  </si>
  <si>
    <t>Swap Start Date</t>
  </si>
  <si>
    <r>
      <t>A</t>
    </r>
    <r>
      <rPr>
        <vertAlign val="subscript"/>
        <sz val="9"/>
        <color theme="1"/>
        <rFont val="Arial"/>
        <family val="2"/>
      </rPr>
      <t>N</t>
    </r>
    <r>
      <rPr>
        <vertAlign val="superscript"/>
        <sz val="9"/>
        <color theme="1"/>
        <rFont val="Arial"/>
        <family val="2"/>
      </rPr>
      <t>Float</t>
    </r>
  </si>
  <si>
    <r>
      <t>A</t>
    </r>
    <r>
      <rPr>
        <vertAlign val="subscript"/>
        <sz val="9"/>
        <color theme="1"/>
        <rFont val="Arial"/>
        <family val="2"/>
      </rPr>
      <t>N</t>
    </r>
    <r>
      <rPr>
        <vertAlign val="superscript"/>
        <sz val="9"/>
        <color theme="1"/>
        <rFont val="Arial"/>
        <family val="2"/>
      </rPr>
      <t>Fixed</t>
    </r>
  </si>
  <si>
    <t>Par Forward Rate, F</t>
  </si>
  <si>
    <t>Last Coupon Start Date (optional)</t>
  </si>
  <si>
    <t>1st Coupon End Date (optional)</t>
  </si>
  <si>
    <t>Non Mandatory Contractual Inputs</t>
  </si>
  <si>
    <t>Payer/Receiver perspective</t>
  </si>
  <si>
    <t>Floating Leg Frequency</t>
  </si>
  <si>
    <t>Fixed Leg Frequency</t>
  </si>
  <si>
    <t>Swap Maturity Date</t>
  </si>
  <si>
    <t>Mandatory Contractual Inputs</t>
  </si>
  <si>
    <t>Holidays Applied</t>
  </si>
  <si>
    <t>Stub Type (optional)</t>
  </si>
  <si>
    <t>{1,-1}</t>
  </si>
  <si>
    <t>Day Count Basis Index Fixed</t>
  </si>
  <si>
    <t>Day Count Basis Index Float</t>
  </si>
  <si>
    <t>{0,1,2,3}</t>
  </si>
  <si>
    <t>Global Input</t>
  </si>
  <si>
    <t>Payer</t>
  </si>
  <si>
    <t>Receiver</t>
  </si>
  <si>
    <t>Black76 Forward Price</t>
  </si>
  <si>
    <t>Bachelier Forward Price</t>
  </si>
  <si>
    <t>Settlement Date</t>
  </si>
  <si>
    <t>Settlement Delay</t>
  </si>
  <si>
    <t>Lognormal Shift</t>
  </si>
  <si>
    <t>F (adj for lognormal shift)</t>
  </si>
  <si>
    <t>K' (adj for lognormal shift and spread)</t>
  </si>
  <si>
    <t>σSLN</t>
  </si>
  <si>
    <t>Swaption Unit Price</t>
  </si>
  <si>
    <t>Normal vol. implied by Lognormal vol.</t>
  </si>
  <si>
    <t>Years</t>
  </si>
  <si>
    <t>DF(T1)</t>
  </si>
  <si>
    <t>DF(T2)</t>
  </si>
  <si>
    <t>Forward Rate</t>
  </si>
  <si>
    <t>Spread</t>
  </si>
  <si>
    <t>Cpn</t>
  </si>
  <si>
    <t>Pay Date</t>
  </si>
  <si>
    <t>Fixed Leg Payoff</t>
  </si>
  <si>
    <t>Fixed Rate</t>
  </si>
  <si>
    <t>CF</t>
  </si>
  <si>
    <t>PV</t>
  </si>
  <si>
    <t>Period Start</t>
  </si>
  <si>
    <t>Period End</t>
  </si>
  <si>
    <t>Period Years</t>
  </si>
  <si>
    <t>DF</t>
  </si>
  <si>
    <t>Float Leg Payoff</t>
  </si>
  <si>
    <t>Vanilla Swap NPV (at curve date)</t>
  </si>
  <si>
    <t>Discount factor at expiry date</t>
  </si>
  <si>
    <t>Fixed Leg PV @ Expiry</t>
  </si>
  <si>
    <t>Fixed Leg PV &amp; Curve Date</t>
  </si>
  <si>
    <t>Vanilla Swap NPV (at expiry)</t>
  </si>
  <si>
    <t>NYC Public &amp; Bank Holidays</t>
  </si>
  <si>
    <t>K, adjusted for floating spread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</si>
</sst>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#,##0_-;\(#,##0\)_-;\-_-"/>
    <numFmt numFmtId="165" formatCode="d\-mmm\-yy_-;;"/>
    <numFmt numFmtId="166" formatCode="d\-mmm\-yyyy;;"/>
    <numFmt numFmtId="167" formatCode="0.000%"/>
    <numFmt numFmtId="168" formatCode="d\-mmm\-yy_-;;\-\ "/>
    <numFmt numFmtId="169" formatCode="_-* #,##0.0000_-;\-* #,##0.0000_-;_-* &quot;-&quot;??_-;_-@_-"/>
    <numFmt numFmtId="170" formatCode="_-* #,##0.00000_-;\-* #,##0.00000_-;_-* &quot;-&quot;??_-;_-@_-"/>
    <numFmt numFmtId="171" formatCode="0.0000%"/>
    <numFmt numFmtId="172" formatCode="ddd\ d\-mmm\-yy_-;;"/>
    <numFmt numFmtId="173" formatCode="_(* #,##0.00_);_(* \(#,##0.00\);_(* &quot;-&quot;??_);_(@_)"/>
    <numFmt numFmtId="174" formatCode="_(* #,##0.0000_);_(* \(#,##0.0000\);_(* &quot;-&quot;??_);_(@_)"/>
    <numFmt numFmtId="175" formatCode="_(&quot;$&quot;* #,##0.00_);_(&quot;$&quot;* \(#,##0.00\);_(&quot;$&quot;* &quot;-&quot;??_);_(@_)"/>
    <numFmt numFmtId="176" formatCode="_(&quot;$&quot;* #,##0_);_(&quot;$&quot;* \(#,##0\);_(&quot;$&quot;* &quot;-&quot;??_);_(@_)"/>
    <numFmt numFmtId="177" formatCode="_(* #,##0.00000_);_(* \(#,##0.00000\);_(* &quot;-&quot;??_);_(@_)"/>
    <numFmt numFmtId="178" formatCode="_(* #,##0.0_);_(* \(#,##0.0\);_(* &quot;-&quot;??_);_(@_)"/>
    <numFmt numFmtId="179" formatCode="_-* #,##0.000000000_-;\-* #,##0.000000000_-;_-* &quot;-&quot;??_-;_-@_-"/>
    <numFmt numFmtId="180" formatCode="_-* #,##0.000_-;\-* #,##0.000_-;_-* &quot;-&quot;??_-;_-@_-"/>
    <numFmt numFmtId="181" formatCode="0.0000"/>
  </numFmts>
  <fonts count="13">
    <font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1"/>
      <color theme="1"/>
      <name val="Aptos Narrow"/>
      <family val="2"/>
      <scheme val="minor"/>
    </font>
    <font>
      <sz val="9"/>
      <name val="Arial"/>
      <family val="2"/>
    </font>
    <font>
      <sz val="9"/>
      <color rgb="FF0070C0"/>
      <name val="Arial"/>
      <family val="2"/>
    </font>
    <font>
      <u/>
      <sz val="9"/>
      <color theme="1"/>
      <name val="Arial"/>
      <family val="2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9"/>
      <color theme="0"/>
      <name val="Arial"/>
      <family val="2"/>
    </font>
    <font>
      <vertAlign val="subscript"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sz val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9" fontId="8" fillId="0" borderId="0" applyFont="0" applyFill="0" applyBorder="0" applyAlignment="0" applyProtection="0"/>
    <xf numFmtId="173" fontId="8" fillId="0" borderId="0" applyFont="0" applyFill="0" applyBorder="0" applyAlignment="0" applyProtection="0"/>
    <xf numFmtId="175" fontId="8" fillId="0" borderId="0" applyFont="0" applyFill="0" applyBorder="0" applyAlignment="0" applyProtection="0"/>
  </cellStyleXfs>
  <cellXfs count="98">
    <xf numFmtId="0" fontId="0" fillId="0" borderId="0" xfId="0"/>
    <xf numFmtId="0" fontId="2" fillId="0" borderId="0" xfId="0" applyFont="1"/>
    <xf numFmtId="166" fontId="0" fillId="0" borderId="0" xfId="0" applyNumberFormat="1"/>
    <xf numFmtId="0" fontId="0" fillId="0" borderId="4" xfId="0" applyBorder="1"/>
    <xf numFmtId="168" fontId="5" fillId="2" borderId="0" xfId="0" applyNumberFormat="1" applyFont="1" applyFill="1"/>
    <xf numFmtId="0" fontId="4" fillId="0" borderId="2" xfId="3" applyFont="1" applyBorder="1"/>
    <xf numFmtId="169" fontId="1" fillId="0" borderId="0" xfId="1" applyNumberFormat="1" applyFont="1"/>
    <xf numFmtId="165" fontId="5" fillId="2" borderId="0" xfId="0" applyNumberFormat="1" applyFont="1" applyFill="1"/>
    <xf numFmtId="0" fontId="0" fillId="0" borderId="5" xfId="0" applyBorder="1"/>
    <xf numFmtId="0" fontId="0" fillId="0" borderId="7" xfId="0" applyBorder="1"/>
    <xf numFmtId="43" fontId="5" fillId="2" borderId="0" xfId="1" applyFont="1" applyFill="1" applyBorder="1"/>
    <xf numFmtId="0" fontId="0" fillId="0" borderId="11" xfId="0" applyBorder="1"/>
    <xf numFmtId="0" fontId="0" fillId="0" borderId="12" xfId="0" applyBorder="1"/>
    <xf numFmtId="10" fontId="0" fillId="0" borderId="6" xfId="0" applyNumberFormat="1" applyBorder="1"/>
    <xf numFmtId="164" fontId="0" fillId="0" borderId="0" xfId="0" applyNumberFormat="1"/>
    <xf numFmtId="165" fontId="0" fillId="0" borderId="0" xfId="0" applyNumberFormat="1"/>
    <xf numFmtId="170" fontId="5" fillId="2" borderId="0" xfId="1" applyNumberFormat="1" applyFont="1" applyFill="1"/>
    <xf numFmtId="0" fontId="6" fillId="0" borderId="0" xfId="0" applyFont="1"/>
    <xf numFmtId="172" fontId="0" fillId="0" borderId="0" xfId="0" applyNumberFormat="1"/>
    <xf numFmtId="165" fontId="9" fillId="3" borderId="0" xfId="4" applyNumberFormat="1" applyFont="1" applyFill="1"/>
    <xf numFmtId="0" fontId="5" fillId="2" borderId="1" xfId="0" applyFont="1" applyFill="1" applyBorder="1"/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0" fontId="5" fillId="2" borderId="9" xfId="1" applyNumberFormat="1" applyFont="1" applyFill="1" applyBorder="1"/>
    <xf numFmtId="0" fontId="1" fillId="0" borderId="0" xfId="4" applyFont="1"/>
    <xf numFmtId="174" fontId="1" fillId="0" borderId="0" xfId="6" applyNumberFormat="1" applyFont="1"/>
    <xf numFmtId="168" fontId="1" fillId="0" borderId="0" xfId="4" applyNumberFormat="1" applyFont="1"/>
    <xf numFmtId="0" fontId="1" fillId="0" borderId="11" xfId="4" applyFont="1" applyBorder="1"/>
    <xf numFmtId="0" fontId="1" fillId="0" borderId="8" xfId="4" applyFont="1" applyBorder="1"/>
    <xf numFmtId="0" fontId="1" fillId="0" borderId="12" xfId="4" applyFont="1" applyBorder="1"/>
    <xf numFmtId="0" fontId="1" fillId="0" borderId="4" xfId="4" applyFont="1" applyBorder="1"/>
    <xf numFmtId="0" fontId="1" fillId="0" borderId="3" xfId="4" applyFont="1" applyBorder="1"/>
    <xf numFmtId="0" fontId="1" fillId="0" borderId="10" xfId="4" applyFont="1" applyBorder="1"/>
    <xf numFmtId="0" fontId="1" fillId="0" borderId="7" xfId="4" applyFont="1" applyBorder="1"/>
    <xf numFmtId="0" fontId="1" fillId="0" borderId="5" xfId="4" applyFont="1" applyBorder="1"/>
    <xf numFmtId="10" fontId="1" fillId="0" borderId="6" xfId="4" applyNumberFormat="1" applyFont="1" applyBorder="1"/>
    <xf numFmtId="168" fontId="5" fillId="2" borderId="0" xfId="6" applyNumberFormat="1" applyFont="1" applyFill="1" applyBorder="1"/>
    <xf numFmtId="174" fontId="5" fillId="2" borderId="9" xfId="6" applyNumberFormat="1" applyFont="1" applyFill="1" applyBorder="1"/>
    <xf numFmtId="0" fontId="5" fillId="2" borderId="1" xfId="4" applyFont="1" applyFill="1" applyBorder="1"/>
    <xf numFmtId="176" fontId="5" fillId="2" borderId="0" xfId="7" applyNumberFormat="1" applyFont="1" applyFill="1" applyBorder="1"/>
    <xf numFmtId="178" fontId="5" fillId="2" borderId="0" xfId="6" applyNumberFormat="1" applyFont="1" applyFill="1" applyBorder="1"/>
    <xf numFmtId="0" fontId="5" fillId="2" borderId="2" xfId="4" applyFont="1" applyFill="1" applyBorder="1"/>
    <xf numFmtId="0" fontId="6" fillId="0" borderId="0" xfId="4" applyFont="1"/>
    <xf numFmtId="168" fontId="5" fillId="2" borderId="1" xfId="6" applyNumberFormat="1" applyFont="1" applyFill="1" applyBorder="1"/>
    <xf numFmtId="174" fontId="1" fillId="0" borderId="0" xfId="6" applyNumberFormat="1" applyFont="1" applyFill="1" applyBorder="1"/>
    <xf numFmtId="171" fontId="1" fillId="0" borderId="0" xfId="5" applyNumberFormat="1" applyFont="1" applyFill="1" applyBorder="1"/>
    <xf numFmtId="177" fontId="1" fillId="0" borderId="0" xfId="6" applyNumberFormat="1" applyFont="1" applyFill="1" applyBorder="1"/>
    <xf numFmtId="164" fontId="1" fillId="0" borderId="0" xfId="6" applyNumberFormat="1" applyFont="1" applyFill="1" applyBorder="1"/>
    <xf numFmtId="167" fontId="1" fillId="0" borderId="0" xfId="5" applyNumberFormat="1" applyFont="1" applyFill="1" applyBorder="1"/>
    <xf numFmtId="171" fontId="1" fillId="0" borderId="9" xfId="5" applyNumberFormat="1" applyFont="1" applyFill="1" applyBorder="1"/>
    <xf numFmtId="164" fontId="1" fillId="0" borderId="1" xfId="4" applyNumberFormat="1" applyFont="1" applyBorder="1"/>
    <xf numFmtId="171" fontId="1" fillId="0" borderId="0" xfId="5" applyNumberFormat="1" applyFont="1" applyFill="1"/>
    <xf numFmtId="164" fontId="5" fillId="2" borderId="0" xfId="6" applyNumberFormat="1" applyFont="1" applyFill="1" applyBorder="1"/>
    <xf numFmtId="168" fontId="5" fillId="2" borderId="0" xfId="4" applyNumberFormat="1" applyFont="1" applyFill="1"/>
    <xf numFmtId="0" fontId="5" fillId="2" borderId="0" xfId="0" applyFont="1" applyFill="1"/>
    <xf numFmtId="0" fontId="0" fillId="0" borderId="0" xfId="0" applyAlignment="1">
      <alignment horizontal="right" indent="2"/>
    </xf>
    <xf numFmtId="43" fontId="5" fillId="2" borderId="1" xfId="1" applyFont="1" applyFill="1" applyBorder="1"/>
    <xf numFmtId="10" fontId="1" fillId="0" borderId="9" xfId="4" applyNumberFormat="1" applyFont="1" applyBorder="1"/>
    <xf numFmtId="10" fontId="1" fillId="0" borderId="0" xfId="2" applyNumberFormat="1" applyFont="1" applyBorder="1"/>
    <xf numFmtId="171" fontId="1" fillId="0" borderId="0" xfId="2" applyNumberFormat="1" applyFont="1" applyBorder="1"/>
    <xf numFmtId="164" fontId="1" fillId="0" borderId="0" xfId="4" applyNumberFormat="1" applyFont="1"/>
    <xf numFmtId="0" fontId="0" fillId="0" borderId="5" xfId="4" applyFont="1" applyBorder="1"/>
    <xf numFmtId="0" fontId="2" fillId="0" borderId="0" xfId="4" applyFont="1"/>
    <xf numFmtId="171" fontId="1" fillId="0" borderId="9" xfId="2" applyNumberFormat="1" applyFont="1" applyBorder="1"/>
    <xf numFmtId="0" fontId="0" fillId="0" borderId="8" xfId="4" applyFont="1" applyBorder="1"/>
    <xf numFmtId="0" fontId="0" fillId="0" borderId="3" xfId="4" applyFont="1" applyBorder="1"/>
    <xf numFmtId="179" fontId="0" fillId="0" borderId="1" xfId="1" quotePrefix="1" applyNumberFormat="1" applyFont="1" applyBorder="1"/>
    <xf numFmtId="167" fontId="1" fillId="0" borderId="9" xfId="2" applyNumberFormat="1" applyFont="1" applyBorder="1"/>
    <xf numFmtId="10" fontId="1" fillId="0" borderId="9" xfId="2" applyNumberFormat="1" applyFont="1" applyBorder="1"/>
    <xf numFmtId="173" fontId="1" fillId="0" borderId="1" xfId="6" applyFont="1" applyFill="1" applyBorder="1"/>
    <xf numFmtId="180" fontId="4" fillId="0" borderId="0" xfId="1" applyNumberFormat="1" applyFont="1" applyFill="1"/>
    <xf numFmtId="176" fontId="2" fillId="0" borderId="1" xfId="7" applyNumberFormat="1" applyFont="1" applyFill="1" applyBorder="1"/>
    <xf numFmtId="164" fontId="2" fillId="0" borderId="1" xfId="4" applyNumberFormat="1" applyFont="1" applyBorder="1"/>
    <xf numFmtId="10" fontId="1" fillId="0" borderId="0" xfId="2" applyNumberFormat="1" applyFont="1"/>
    <xf numFmtId="171" fontId="1" fillId="0" borderId="0" xfId="2" applyNumberFormat="1" applyFont="1"/>
    <xf numFmtId="169" fontId="9" fillId="3" borderId="0" xfId="1" applyNumberFormat="1" applyFont="1" applyFill="1"/>
    <xf numFmtId="181" fontId="1" fillId="0" borderId="0" xfId="4" applyNumberFormat="1" applyFont="1"/>
    <xf numFmtId="164" fontId="1" fillId="0" borderId="0" xfId="6" applyNumberFormat="1" applyFont="1"/>
    <xf numFmtId="164" fontId="9" fillId="3" borderId="0" xfId="4" applyNumberFormat="1" applyFont="1" applyFill="1"/>
    <xf numFmtId="164" fontId="1" fillId="0" borderId="2" xfId="4" applyNumberFormat="1" applyFont="1" applyBorder="1"/>
    <xf numFmtId="164" fontId="1" fillId="0" borderId="2" xfId="6" applyNumberFormat="1" applyFont="1" applyBorder="1"/>
    <xf numFmtId="165" fontId="1" fillId="0" borderId="0" xfId="4" applyNumberFormat="1" applyFont="1"/>
    <xf numFmtId="172" fontId="1" fillId="0" borderId="0" xfId="4" applyNumberFormat="1" applyFont="1"/>
    <xf numFmtId="172" fontId="1" fillId="0" borderId="0" xfId="1" applyNumberFormat="1" applyFont="1"/>
    <xf numFmtId="169" fontId="1" fillId="0" borderId="0" xfId="1" applyNumberFormat="1" applyFont="1" applyBorder="1"/>
    <xf numFmtId="164" fontId="1" fillId="0" borderId="0" xfId="1" applyNumberFormat="1" applyFont="1" applyBorder="1"/>
    <xf numFmtId="0" fontId="0" fillId="0" borderId="11" xfId="0" applyBorder="1" applyAlignment="1">
      <alignment horizontal="right" indent="2"/>
    </xf>
    <xf numFmtId="0" fontId="0" fillId="0" borderId="1" xfId="0" applyBorder="1" applyAlignment="1">
      <alignment horizontal="right" indent="2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" xfId="0" applyBorder="1" applyAlignment="1">
      <alignment horizontal="right" indent="2"/>
    </xf>
    <xf numFmtId="0" fontId="0" fillId="0" borderId="0" xfId="0" applyAlignment="1">
      <alignment horizontal="right" indent="2"/>
    </xf>
    <xf numFmtId="0" fontId="1" fillId="0" borderId="2" xfId="4" applyFont="1" applyBorder="1" applyAlignment="1">
      <alignment horizontal="center"/>
    </xf>
    <xf numFmtId="168" fontId="1" fillId="0" borderId="5" xfId="4" applyNumberFormat="1" applyFont="1" applyBorder="1" applyAlignment="1">
      <alignment horizontal="center"/>
    </xf>
    <xf numFmtId="168" fontId="1" fillId="0" borderId="6" xfId="4" applyNumberFormat="1" applyFont="1" applyBorder="1" applyAlignment="1">
      <alignment horizontal="center"/>
    </xf>
    <xf numFmtId="168" fontId="1" fillId="0" borderId="7" xfId="4" applyNumberFormat="1" applyFont="1" applyBorder="1" applyAlignment="1">
      <alignment horizontal="center"/>
    </xf>
    <xf numFmtId="0" fontId="1" fillId="0" borderId="8" xfId="4" applyFont="1" applyBorder="1" applyAlignment="1">
      <alignment horizontal="left" vertical="center"/>
    </xf>
    <xf numFmtId="0" fontId="1" fillId="0" borderId="3" xfId="4" applyFont="1" applyBorder="1" applyAlignment="1">
      <alignment horizontal="left" vertical="center"/>
    </xf>
  </cellXfs>
  <cellStyles count="8">
    <cellStyle name="Comma" xfId="1" builtinId="3"/>
    <cellStyle name="Comma 3" xfId="6" xr:uid="{7E09BF1C-2123-4C03-BB99-5B82BCB58F65}"/>
    <cellStyle name="Currency 2" xfId="7" xr:uid="{436AA71E-FC87-4CFD-B298-49F6F8E18A57}"/>
    <cellStyle name="Normal" xfId="0" builtinId="0"/>
    <cellStyle name="Normal 2" xfId="3" xr:uid="{0D23E0CD-E486-4B07-AF82-C2DC3FA32D21}"/>
    <cellStyle name="Normal 3" xfId="4" xr:uid="{CFEA68E7-40E6-437A-B9FD-FA182B70F4D0}"/>
    <cellStyle name="Percent" xfId="2" builtinId="5"/>
    <cellStyle name="Percent 3" xfId="5" xr:uid="{95ACC6A9-7A12-47F2-BACD-A860415DFB42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70" formatCode="_-* #,##0.00000_-;\-* #,##0.00000_-;_-* &quot;-&quot;??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70" formatCode="_-* #,##0.00000_-;\-* #,##0.00000_-;_-* &quot;-&quot;??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5" formatCode="d\-mmm\-yy_-;;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80" formatCode="_-* #,##0.000_-;\-* #,##0.000_-;_-* &quot;-&quot;??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5" formatCode="d\-mmm\-yy_-;;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numFmt numFmtId="180" formatCode="_-* #,##0.000_-;\-* #,##0.000_-;_-* &quot;-&quot;??_-;_-@_-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361950</xdr:colOff>
      <xdr:row>9</xdr:row>
      <xdr:rowOff>57150</xdr:rowOff>
    </xdr:from>
    <xdr:to>
      <xdr:col>41</xdr:col>
      <xdr:colOff>11875</xdr:colOff>
      <xdr:row>24</xdr:row>
      <xdr:rowOff>133555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1514475"/>
          <a:ext cx="5136325" cy="2362405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26</xdr:row>
      <xdr:rowOff>19049</xdr:rowOff>
    </xdr:from>
    <xdr:to>
      <xdr:col>39</xdr:col>
      <xdr:colOff>447675</xdr:colOff>
      <xdr:row>44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9421475" y="4067174"/>
          <a:ext cx="4676775" cy="2771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100"/>
            <a:t>K-K'</a:t>
          </a:r>
          <a:r>
            <a:rPr lang="en-NZ" sz="1100" baseline="0"/>
            <a:t> = Spread(A_Float / A_Fixed)</a:t>
          </a:r>
        </a:p>
        <a:p>
          <a:endParaRPr lang="en-NZ" sz="1100" baseline="0"/>
        </a:p>
        <a:p>
          <a:r>
            <a:rPr lang="en-NZ" sz="1100" baseline="0"/>
            <a:t>K(1-adj) x A_Fixed = A_Float * Spread</a:t>
          </a:r>
        </a:p>
        <a:p>
          <a:endParaRPr lang="en-NZ" sz="1100"/>
        </a:p>
        <a:p>
          <a:r>
            <a:rPr lang="en-NZ" sz="1100"/>
            <a:t>For par swap:</a:t>
          </a:r>
        </a:p>
        <a:p>
          <a:r>
            <a:rPr lang="en-NZ" sz="1100"/>
            <a:t>K * A_Fixed</a:t>
          </a:r>
          <a:r>
            <a:rPr lang="en-NZ" sz="1100" baseline="0"/>
            <a:t> = F * A_Float</a:t>
          </a:r>
        </a:p>
        <a:p>
          <a:r>
            <a:rPr lang="en-NZ" sz="1100" baseline="0"/>
            <a:t>where K is the par/atmf fixed rate and F is the forward rate term structure </a:t>
          </a:r>
        </a:p>
        <a:p>
          <a:endParaRPr lang="en-NZ" sz="1100" baseline="0"/>
        </a:p>
        <a:p>
          <a:r>
            <a:rPr lang="en-NZ" sz="1100" baseline="0"/>
            <a:t>Hence if spread is on the float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(K+Adj) * A_Fixed</a:t>
          </a:r>
          <a:r>
            <a:rPr lang="en-NZ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= (F+S) * A_Float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NZ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K+Adj = (F+S) * A_Float / A_Fixed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NZ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NZ">
            <a:effectLst/>
          </a:endParaRPr>
        </a:p>
        <a:p>
          <a:endParaRPr lang="en-NZ" sz="1100" baseline="0"/>
        </a:p>
        <a:p>
          <a:endParaRPr lang="en-NZ" sz="1100" baseline="0"/>
        </a:p>
        <a:p>
          <a:endParaRPr lang="en-NZ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11</xdr:row>
      <xdr:rowOff>142875</xdr:rowOff>
    </xdr:from>
    <xdr:to>
      <xdr:col>14</xdr:col>
      <xdr:colOff>352425</xdr:colOff>
      <xdr:row>72</xdr:row>
      <xdr:rowOff>126178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674928-E54D-4BA6-AC70-C804B22E2863}"/>
            </a:ext>
          </a:extLst>
        </xdr:cNvPr>
        <xdr:cNvGrpSpPr/>
      </xdr:nvGrpSpPr>
      <xdr:grpSpPr>
        <a:xfrm>
          <a:off x="657225" y="1819275"/>
          <a:ext cx="8229600" cy="9279703"/>
          <a:chOff x="15611475" y="581025"/>
          <a:chExt cx="8229600" cy="9222553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9B0DB1C1-C811-1DD8-A96D-693FA3010303}"/>
              </a:ext>
            </a:extLst>
          </xdr:cNvPr>
          <xdr:cNvGrpSpPr/>
        </xdr:nvGrpSpPr>
        <xdr:grpSpPr>
          <a:xfrm>
            <a:off x="15611475" y="1295400"/>
            <a:ext cx="5250635" cy="8508178"/>
            <a:chOff x="15792450" y="152400"/>
            <a:chExt cx="5250635" cy="8508178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9CCC557E-00C3-BC46-77B8-C80C159B11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5811500" y="152400"/>
              <a:ext cx="4793395" cy="3314987"/>
            </a:xfrm>
            <a:prstGeom prst="rect">
              <a:avLst/>
            </a:prstGeom>
          </xdr:spPr>
        </xdr:pic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F5565A8F-0336-3014-9717-C773B7CFD4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792450" y="3486150"/>
              <a:ext cx="5250635" cy="5174428"/>
            </a:xfrm>
            <a:prstGeom prst="rect">
              <a:avLst/>
            </a:prstGeom>
          </xdr:spPr>
        </xdr:pic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64BFCF15-2683-C9B6-C3A3-ADF13B449084}"/>
              </a:ext>
            </a:extLst>
          </xdr:cNvPr>
          <xdr:cNvSpPr txBox="1"/>
        </xdr:nvSpPr>
        <xdr:spPr>
          <a:xfrm>
            <a:off x="15706725" y="581025"/>
            <a:ext cx="8134350" cy="771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Burgess, Nicholas, Interest Rate Swaptions - A Review &amp; Derivation of Swaption Pricing Formulae (February 4, 2018). </a:t>
            </a:r>
          </a:p>
          <a:p>
            <a:pPr algn="l"/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Journal of Economics and Financial Analysis, Vol:2, No:2 (2018) 87-103</a:t>
            </a:r>
          </a:p>
          <a:p>
            <a:pPr algn="l"/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Available at SSRN: </a:t>
            </a:r>
            <a:r>
              <a:rPr lang="en-AU" sz="900" b="0" i="0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  <a:hlinkClick xmlns:r="http://schemas.openxmlformats.org/officeDocument/2006/relationships" r:id=""/>
              </a:rPr>
              <a:t>https://ssrn.com/abstract=3095336</a:t>
            </a:r>
            <a:r>
              <a:rPr lang="en-AU" sz="900" b="0" i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 or </a:t>
            </a:r>
            <a:r>
              <a:rPr lang="en-AU" sz="900" b="0" i="0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  <a:hlinkClick xmlns:r="http://schemas.openxmlformats.org/officeDocument/2006/relationships" r:id=""/>
              </a:rPr>
              <a:t>http://dx.doi.org/10.2139/ssrn.3095336</a:t>
            </a:r>
            <a:endParaRPr lang="en-AU" sz="900" b="0" i="0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algn="l"/>
            <a:r>
              <a:rPr lang="en-AU" sz="900">
                <a:latin typeface="Arial" panose="020B0604020202020204" pitchFamily="34" charset="0"/>
                <a:cs typeface="Arial" panose="020B0604020202020204" pitchFamily="34" charset="0"/>
              </a:rPr>
              <a:t>https://quant.stackexchange.com/questions/58564/normal-vs-log-normal-implied-volatility</a:t>
            </a:r>
          </a:p>
        </xdr:txBody>
      </xdr:sp>
    </xdr:grpSp>
    <xdr:clientData/>
  </xdr:twoCellAnchor>
  <xdr:twoCellAnchor>
    <xdr:from>
      <xdr:col>9</xdr:col>
      <xdr:colOff>600075</xdr:colOff>
      <xdr:row>18</xdr:row>
      <xdr:rowOff>123825</xdr:rowOff>
    </xdr:from>
    <xdr:to>
      <xdr:col>18</xdr:col>
      <xdr:colOff>229314</xdr:colOff>
      <xdr:row>38</xdr:row>
      <xdr:rowOff>57566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555F76-B4F2-582D-47A8-7AFF1412A3A0}"/>
            </a:ext>
          </a:extLst>
        </xdr:cNvPr>
        <xdr:cNvGrpSpPr/>
      </xdr:nvGrpSpPr>
      <xdr:grpSpPr>
        <a:xfrm>
          <a:off x="6086475" y="2867025"/>
          <a:ext cx="5115639" cy="2981741"/>
          <a:chOff x="6438900" y="1552575"/>
          <a:chExt cx="5115639" cy="2981741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17BDC02-551F-C3A1-8D7A-7CC811D114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438900" y="1552575"/>
            <a:ext cx="5115639" cy="298174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Object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200-000001D00000}"/>
                  </a:ext>
                </a:extLst>
              </xdr:cNvPr>
              <xdr:cNvSpPr/>
            </xdr:nvSpPr>
            <xdr:spPr bwMode="auto">
              <a:xfrm>
                <a:off x="6591300" y="3448050"/>
                <a:ext cx="914400" cy="771525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2</xdr:col>
      <xdr:colOff>0</xdr:colOff>
      <xdr:row>2</xdr:row>
      <xdr:rowOff>0</xdr:rowOff>
    </xdr:from>
    <xdr:to>
      <xdr:col>11</xdr:col>
      <xdr:colOff>190500</xdr:colOff>
      <xdr:row>8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95D9E9F9-95A3-4ADD-9E22-2E6043E6EDD6}"/>
            </a:ext>
          </a:extLst>
        </xdr:cNvPr>
        <xdr:cNvSpPr txBox="1"/>
      </xdr:nvSpPr>
      <xdr:spPr>
        <a:xfrm>
          <a:off x="1219200" y="304800"/>
          <a:ext cx="567690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900" u="sng">
              <a:latin typeface="Arial" panose="020B0604020202020204" pitchFamily="34" charset="0"/>
              <a:cs typeface="Arial" panose="020B0604020202020204" pitchFamily="34" charset="0"/>
            </a:rPr>
            <a:t>General</a:t>
          </a:r>
          <a:r>
            <a:rPr lang="en-NZ" sz="900" u="sng" baseline="0">
              <a:latin typeface="Arial" panose="020B0604020202020204" pitchFamily="34" charset="0"/>
              <a:cs typeface="Arial" panose="020B0604020202020204" pitchFamily="34" charset="0"/>
            </a:rPr>
            <a:t> valuation assumptions (made for simplicity)</a:t>
          </a:r>
        </a:p>
        <a:p>
          <a:r>
            <a:rPr lang="en-NZ" sz="900" u="none" baseline="0">
              <a:latin typeface="Arial" panose="020B0604020202020204" pitchFamily="34" charset="0"/>
              <a:cs typeface="Arial" panose="020B0604020202020204" pitchFamily="34" charset="0"/>
            </a:rPr>
            <a:t>- The swaptions are priced with the Black76 / Bacheliers formulae. </a:t>
          </a:r>
          <a:endParaRPr lang="en-NZ" sz="900" u="none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NZ" sz="900" u="none">
              <a:latin typeface="Arial" panose="020B0604020202020204" pitchFamily="34" charset="0"/>
              <a:cs typeface="Arial" panose="020B0604020202020204" pitchFamily="34" charset="0"/>
            </a:rPr>
            <a:t>- Inadvance fixing with a nil (0) fixing offset</a:t>
          </a:r>
        </a:p>
        <a:p>
          <a:r>
            <a:rPr lang="en-NZ" sz="900" u="none">
              <a:latin typeface="Arial" panose="020B0604020202020204" pitchFamily="34" charset="0"/>
              <a:cs typeface="Arial" panose="020B0604020202020204" pitchFamily="34" charset="0"/>
            </a:rPr>
            <a:t>- In arrears payments </a:t>
          </a:r>
        </a:p>
        <a:p>
          <a:r>
            <a:rPr lang="en-NZ" sz="900" u="none">
              <a:latin typeface="Arial" panose="020B0604020202020204" pitchFamily="34" charset="0"/>
              <a:cs typeface="Arial" panose="020B0604020202020204" pitchFamily="34" charset="0"/>
            </a:rPr>
            <a:t>- Forward rates calculated</a:t>
          </a:r>
          <a:r>
            <a:rPr lang="en-NZ" sz="900" u="none" baseline="0">
              <a:latin typeface="Arial" panose="020B0604020202020204" pitchFamily="34" charset="0"/>
              <a:cs typeface="Arial" panose="020B0604020202020204" pitchFamily="34" charset="0"/>
            </a:rPr>
            <a:t> per a simple interest rate methodology.</a:t>
          </a:r>
        </a:p>
        <a:p>
          <a:r>
            <a:rPr lang="en-NZ" sz="900" u="none" baseline="0">
              <a:latin typeface="Arial" panose="020B0604020202020204" pitchFamily="34" charset="0"/>
              <a:cs typeface="Arial" panose="020B0604020202020204" pitchFamily="34" charset="0"/>
            </a:rPr>
            <a:t>  Note, for simple interest forward rates are equivalent to daily compounded rates (applicable for RFRs)</a:t>
          </a:r>
        </a:p>
        <a:p>
          <a:endParaRPr lang="en-NZ" sz="900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600075</xdr:colOff>
      <xdr:row>4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6E95A3-EDB7-405D-8D43-5D623E50F111}"/>
            </a:ext>
          </a:extLst>
        </xdr:cNvPr>
        <xdr:cNvSpPr txBox="1"/>
      </xdr:nvSpPr>
      <xdr:spPr>
        <a:xfrm>
          <a:off x="5257800" y="152400"/>
          <a:ext cx="4867275" cy="514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Z" sz="1000">
              <a:latin typeface="Arial" panose="020B0604020202020204" pitchFamily="34" charset="0"/>
              <a:cs typeface="Arial" panose="020B0604020202020204" pitchFamily="34" charset="0"/>
            </a:rPr>
            <a:t>Sourced from:</a:t>
          </a:r>
        </a:p>
        <a:p>
          <a:r>
            <a:rPr lang="en-NZ" sz="1000">
              <a:latin typeface="Arial" panose="020B0604020202020204" pitchFamily="34" charset="0"/>
              <a:cs typeface="Arial" panose="020B0604020202020204" pitchFamily="34" charset="0"/>
            </a:rPr>
            <a:t>https://github.com/shasafoster/frm</a:t>
          </a:r>
        </a:p>
        <a:p>
          <a:endParaRPr lang="en-NZ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D2C0F6-F734-4D24-8B9D-41D2DED17BC1}" name="ForwardCurve" displayName="ForwardCurve" ref="G3:I39" totalsRowShown="0" headerRowDxfId="9" dataDxfId="8">
  <autoFilter ref="G3:I39" xr:uid="{57D2C0F6-F734-4D24-8B9D-41D2DED17BC1}"/>
  <tableColumns count="3">
    <tableColumn id="3" xr3:uid="{B520FA0A-4051-4A80-B0C1-32E8F910E326}" name="Years" dataDxfId="7" dataCellStyle="Comma">
      <calculatedColumnFormula>YEARFRAC(CurveDate,ForwardCurve[[#This Row],[Date]],1)</calculatedColumnFormula>
    </tableColumn>
    <tableColumn id="1" xr3:uid="{6AAB3171-DF90-4589-A05D-2B09593419F2}" name="Date" dataDxfId="6"/>
    <tableColumn id="2" xr3:uid="{F78F22F5-5FA0-41CD-BBEF-5BEBBA2DA84E}" name="Discount Factor" dataDxfId="1" dataCellStyle="Comma">
      <calculatedColumnFormula>EXP(-4%*ForwardCurve[[#This Row],[Years]])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9EEA49-512D-4212-9CC3-E1703B8D3DFB}" name="DiscountCurve" displayName="DiscountCurve" ref="K3:M39" totalsRowShown="0" headerRowDxfId="5" dataDxfId="4">
  <autoFilter ref="K3:M39" xr:uid="{6F9EEA49-512D-4212-9CC3-E1703B8D3DFB}"/>
  <tableColumns count="3">
    <tableColumn id="3" xr3:uid="{4027A578-42F7-4A35-9414-20EC411FA420}" name="Years" dataDxfId="3" dataCellStyle="Comma">
      <calculatedColumnFormula>YEARFRAC(CurveDate,DiscountCurve[[#This Row],[Date]],1)</calculatedColumnFormula>
    </tableColumn>
    <tableColumn id="1" xr3:uid="{760E4E6D-A978-448B-8B26-79EF25953356}" name="Date" dataDxfId="2"/>
    <tableColumn id="2" xr3:uid="{80B19E30-71C9-4EA3-8644-0BE6C3550C99}" name="Discount Factor" dataDxfId="0" dataCellStyle="Comma">
      <calculatedColumnFormula>EXP(-4%*DiscountCurve[[#This Row],[Years]])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F6548-F253-48BE-A324-E0E97B67F1FE}">
  <sheetPr codeName="Sheet6"/>
  <dimension ref="B2:Z40"/>
  <sheetViews>
    <sheetView workbookViewId="0">
      <selection activeCell="O14" sqref="O14"/>
    </sheetView>
  </sheetViews>
  <sheetFormatPr defaultRowHeight="12"/>
  <cols>
    <col min="2" max="2" width="12.85546875" bestFit="1" customWidth="1"/>
    <col min="3" max="3" width="16" bestFit="1" customWidth="1"/>
    <col min="4" max="4" width="15.7109375" bestFit="1" customWidth="1"/>
    <col min="5" max="5" width="5.5703125" bestFit="1" customWidth="1"/>
    <col min="6" max="6" width="7.7109375" customWidth="1"/>
    <col min="7" max="7" width="12.85546875" bestFit="1" customWidth="1"/>
    <col min="8" max="8" width="9.5703125" bestFit="1" customWidth="1"/>
    <col min="9" max="9" width="16" bestFit="1" customWidth="1"/>
    <col min="10" max="10" width="8" bestFit="1" customWidth="1"/>
    <col min="11" max="11" width="13.42578125" bestFit="1" customWidth="1"/>
    <col min="12" max="12" width="9.5703125" bestFit="1" customWidth="1"/>
    <col min="13" max="13" width="16" bestFit="1" customWidth="1"/>
    <col min="14" max="14" width="7.7109375" customWidth="1"/>
    <col min="15" max="15" width="8" bestFit="1" customWidth="1"/>
    <col min="16" max="16" width="7.5703125" bestFit="1" customWidth="1"/>
    <col min="17" max="18" width="16.85546875" bestFit="1" customWidth="1"/>
    <col min="19" max="19" width="16.140625" bestFit="1" customWidth="1"/>
    <col min="20" max="20" width="16.85546875" bestFit="1" customWidth="1"/>
    <col min="21" max="21" width="8" bestFit="1" customWidth="1"/>
    <col min="22" max="22" width="7.5703125" bestFit="1" customWidth="1"/>
    <col min="23" max="23" width="10.42578125" bestFit="1" customWidth="1"/>
    <col min="24" max="24" width="16.85546875" bestFit="1" customWidth="1"/>
    <col min="25" max="25" width="16.140625" bestFit="1" customWidth="1"/>
    <col min="26" max="27" width="14" bestFit="1" customWidth="1"/>
  </cols>
  <sheetData>
    <row r="2" spans="2:26">
      <c r="B2" s="88" t="s">
        <v>84</v>
      </c>
      <c r="C2" s="89"/>
      <c r="D2" s="35" t="s">
        <v>8</v>
      </c>
      <c r="E2" s="33" t="s">
        <v>9</v>
      </c>
      <c r="G2" s="1" t="s">
        <v>40</v>
      </c>
      <c r="K2" s="1" t="s">
        <v>41</v>
      </c>
    </row>
    <row r="3" spans="2:26">
      <c r="B3" s="90" t="s">
        <v>3</v>
      </c>
      <c r="C3" s="91"/>
      <c r="D3" s="4">
        <v>45471</v>
      </c>
      <c r="E3" s="3" t="s">
        <v>7</v>
      </c>
      <c r="G3" t="s">
        <v>97</v>
      </c>
      <c r="H3" t="s">
        <v>2</v>
      </c>
      <c r="I3" t="s">
        <v>0</v>
      </c>
      <c r="K3" t="s">
        <v>97</v>
      </c>
      <c r="L3" t="s">
        <v>2</v>
      </c>
      <c r="M3" t="s">
        <v>0</v>
      </c>
    </row>
    <row r="4" spans="2:26">
      <c r="B4" s="90" t="s">
        <v>90</v>
      </c>
      <c r="C4" s="91"/>
      <c r="D4" s="54">
        <v>2</v>
      </c>
      <c r="E4" s="3" t="s">
        <v>1</v>
      </c>
      <c r="G4" s="70">
        <f>YEARFRAC(CurveDate,ForwardCurve[[#This Row],[Date]],1)</f>
        <v>0</v>
      </c>
      <c r="H4" s="7">
        <v>45471</v>
      </c>
      <c r="I4" s="16">
        <f>EXP(-4%*ForwardCurve[[#This Row],[Years]])</f>
        <v>1</v>
      </c>
      <c r="K4" s="70">
        <f>YEARFRAC(CurveDate,DiscountCurve[[#This Row],[Date]],1)</f>
        <v>0</v>
      </c>
      <c r="L4" s="7">
        <v>45471</v>
      </c>
      <c r="M4" s="16">
        <f>EXP(-4%*DiscountCurve[[#This Row],[Years]])</f>
        <v>1</v>
      </c>
    </row>
    <row r="5" spans="2:26">
      <c r="B5" s="90" t="s">
        <v>89</v>
      </c>
      <c r="C5" s="91"/>
      <c r="D5" s="15">
        <f>WORKDAY(CurveDate,SettlementDelay,Holidays_NSW)</f>
        <v>45475</v>
      </c>
      <c r="E5" s="3"/>
      <c r="G5" s="70">
        <f>YEARFRAC(CurveDate,ForwardCurve[[#This Row],[Date]],1)</f>
        <v>3.0054644808743168E-2</v>
      </c>
      <c r="H5" s="7">
        <v>45482</v>
      </c>
      <c r="I5" s="16">
        <f>EXP(-4%*ForwardCurve[[#This Row],[Years]])</f>
        <v>0.99879853654350026</v>
      </c>
      <c r="K5" s="70">
        <f>YEARFRAC(CurveDate,DiscountCurve[[#This Row],[Date]],1)</f>
        <v>3.0054644808743168E-2</v>
      </c>
      <c r="L5" s="7">
        <v>45482</v>
      </c>
      <c r="M5" s="16">
        <f>EXP(-4%*DiscountCurve[[#This Row],[Years]])</f>
        <v>0.99879853654350026</v>
      </c>
    </row>
    <row r="6" spans="2:26">
      <c r="B6" s="90" t="s">
        <v>43</v>
      </c>
      <c r="C6" s="91"/>
      <c r="D6" s="54" t="b">
        <v>0</v>
      </c>
      <c r="E6" s="3"/>
      <c r="G6" s="70">
        <f>YEARFRAC(CurveDate,ForwardCurve[[#This Row],[Date]],1)</f>
        <v>4.9180327868852458E-2</v>
      </c>
      <c r="H6" s="7">
        <v>45489</v>
      </c>
      <c r="I6" s="16">
        <f>EXP(-4%*ForwardCurve[[#This Row],[Years]])</f>
        <v>0.99803472058076048</v>
      </c>
      <c r="K6" s="70">
        <f>YEARFRAC(CurveDate,DiscountCurve[[#This Row],[Date]],1)</f>
        <v>4.9180327868852458E-2</v>
      </c>
      <c r="L6" s="7">
        <v>45489</v>
      </c>
      <c r="M6" s="16">
        <f>EXP(-4%*DiscountCurve[[#This Row],[Years]])</f>
        <v>0.99803472058076048</v>
      </c>
      <c r="T6" s="17"/>
      <c r="Z6" s="2"/>
    </row>
    <row r="7" spans="2:26">
      <c r="B7" s="90" t="s">
        <v>64</v>
      </c>
      <c r="C7" s="91"/>
      <c r="D7" s="54" t="s">
        <v>19</v>
      </c>
      <c r="E7" s="3"/>
      <c r="G7" s="70">
        <f>YEARFRAC(CurveDate,ForwardCurve[[#This Row],[Date]],1)</f>
        <v>6.8306010928961755E-2</v>
      </c>
      <c r="H7" s="7">
        <v>45496</v>
      </c>
      <c r="I7" s="16">
        <f>EXP(-4%*ForwardCurve[[#This Row],[Years]])</f>
        <v>0.99727148873464022</v>
      </c>
      <c r="K7" s="70">
        <f>YEARFRAC(CurveDate,DiscountCurve[[#This Row],[Date]],1)</f>
        <v>6.8306010928961755E-2</v>
      </c>
      <c r="L7" s="7">
        <v>45496</v>
      </c>
      <c r="M7" s="16">
        <f>EXP(-4%*DiscountCurve[[#This Row],[Years]])</f>
        <v>0.99727148873464022</v>
      </c>
      <c r="T7" s="14"/>
      <c r="Z7" s="2"/>
    </row>
    <row r="8" spans="2:26">
      <c r="B8" s="86" t="s">
        <v>45</v>
      </c>
      <c r="C8" s="87"/>
      <c r="D8" s="20">
        <v>2</v>
      </c>
      <c r="E8" s="12" t="s">
        <v>46</v>
      </c>
      <c r="G8" s="70">
        <f>YEARFRAC(CurveDate,ForwardCurve[[#This Row],[Date]],1)</f>
        <v>9.5628415300546443E-2</v>
      </c>
      <c r="H8" s="7">
        <v>45506</v>
      </c>
      <c r="I8" s="16">
        <f>EXP(-4%*ForwardCurve[[#This Row],[Years]])</f>
        <v>0.99618216990391906</v>
      </c>
      <c r="K8" s="70">
        <f>YEARFRAC(CurveDate,DiscountCurve[[#This Row],[Date]],1)</f>
        <v>9.5628415300546443E-2</v>
      </c>
      <c r="L8" s="7">
        <v>45506</v>
      </c>
      <c r="M8" s="16">
        <f>EXP(-4%*DiscountCurve[[#This Row],[Years]])</f>
        <v>0.99618216990391906</v>
      </c>
      <c r="T8" s="14"/>
      <c r="Z8" s="2"/>
    </row>
    <row r="9" spans="2:26">
      <c r="B9" s="55"/>
      <c r="C9" s="55"/>
      <c r="G9" s="70">
        <f>YEARFRAC(CurveDate,ForwardCurve[[#This Row],[Date]],1)</f>
        <v>0.1830601092896175</v>
      </c>
      <c r="H9" s="7">
        <v>45538</v>
      </c>
      <c r="I9" s="16">
        <f>EXP(-4%*ForwardCurve[[#This Row],[Years]])</f>
        <v>0.9927043391159508</v>
      </c>
      <c r="K9" s="70">
        <f>YEARFRAC(CurveDate,DiscountCurve[[#This Row],[Date]],1)</f>
        <v>0.1830601092896175</v>
      </c>
      <c r="L9" s="7">
        <v>45538</v>
      </c>
      <c r="M9" s="16">
        <f>EXP(-4%*DiscountCurve[[#This Row],[Years]])</f>
        <v>0.9927043391159508</v>
      </c>
      <c r="T9" s="14"/>
      <c r="Z9" s="2"/>
    </row>
    <row r="10" spans="2:26">
      <c r="G10" s="70">
        <f>YEARFRAC(CurveDate,ForwardCurve[[#This Row],[Date]],1)</f>
        <v>0.26229508196721313</v>
      </c>
      <c r="H10" s="7">
        <v>45567</v>
      </c>
      <c r="I10" s="16">
        <f>EXP(-4%*ForwardCurve[[#This Row],[Years]])</f>
        <v>0.98956304370714621</v>
      </c>
      <c r="K10" s="70">
        <f>YEARFRAC(CurveDate,DiscountCurve[[#This Row],[Date]],1)</f>
        <v>0.26229508196721313</v>
      </c>
      <c r="L10" s="7">
        <v>45567</v>
      </c>
      <c r="M10" s="16">
        <f>EXP(-4%*DiscountCurve[[#This Row],[Years]])</f>
        <v>0.98956304370714621</v>
      </c>
      <c r="Z10" s="2"/>
    </row>
    <row r="11" spans="2:26">
      <c r="G11" s="70">
        <f>YEARFRAC(CurveDate,ForwardCurve[[#This Row],[Date]],1)</f>
        <v>0.35245901639344263</v>
      </c>
      <c r="H11" s="7">
        <v>45600</v>
      </c>
      <c r="I11" s="16">
        <f>EXP(-4%*ForwardCurve[[#This Row],[Years]])</f>
        <v>0.98600055583178792</v>
      </c>
      <c r="K11" s="70">
        <f>YEARFRAC(CurveDate,DiscountCurve[[#This Row],[Date]],1)</f>
        <v>0.35245901639344263</v>
      </c>
      <c r="L11" s="7">
        <v>45600</v>
      </c>
      <c r="M11" s="16">
        <f>EXP(-4%*DiscountCurve[[#This Row],[Years]])</f>
        <v>0.98600055583178792</v>
      </c>
      <c r="Z11" s="2"/>
    </row>
    <row r="12" spans="2:26">
      <c r="G12" s="70">
        <f>YEARFRAC(CurveDate,ForwardCurve[[#This Row],[Date]],1)</f>
        <v>0.42896174863387976</v>
      </c>
      <c r="H12" s="7">
        <v>45628</v>
      </c>
      <c r="I12" s="16">
        <f>EXP(-4%*ForwardCurve[[#This Row],[Years]])</f>
        <v>0.98298789825298494</v>
      </c>
      <c r="K12" s="70">
        <f>YEARFRAC(CurveDate,DiscountCurve[[#This Row],[Date]],1)</f>
        <v>0.42896174863387976</v>
      </c>
      <c r="L12" s="7">
        <v>45628</v>
      </c>
      <c r="M12" s="16">
        <f>EXP(-4%*DiscountCurve[[#This Row],[Years]])</f>
        <v>0.98298789825298494</v>
      </c>
      <c r="Z12" s="2"/>
    </row>
    <row r="13" spans="2:26">
      <c r="G13" s="70">
        <f>YEARFRAC(CurveDate,ForwardCurve[[#This Row],[Date]],1)</f>
        <v>0.51506849315068493</v>
      </c>
      <c r="H13" s="7">
        <v>45659</v>
      </c>
      <c r="I13" s="16">
        <f>EXP(-4%*ForwardCurve[[#This Row],[Years]])</f>
        <v>0.97960804664191203</v>
      </c>
      <c r="K13" s="70">
        <f>YEARFRAC(CurveDate,DiscountCurve[[#This Row],[Date]],1)</f>
        <v>0.51506849315068493</v>
      </c>
      <c r="L13" s="7">
        <v>45659</v>
      </c>
      <c r="M13" s="16">
        <f>EXP(-4%*DiscountCurve[[#This Row],[Years]])</f>
        <v>0.97960804664191203</v>
      </c>
      <c r="Z13" s="2"/>
    </row>
    <row r="14" spans="2:26">
      <c r="G14" s="70">
        <f>YEARFRAC(CurveDate,ForwardCurve[[#This Row],[Date]],1)</f>
        <v>0.60273972602739723</v>
      </c>
      <c r="H14" s="7">
        <v>45691</v>
      </c>
      <c r="I14" s="16">
        <f>EXP(-4%*ForwardCurve[[#This Row],[Years]])</f>
        <v>0.97617872540540473</v>
      </c>
      <c r="K14" s="70">
        <f>YEARFRAC(CurveDate,DiscountCurve[[#This Row],[Date]],1)</f>
        <v>0.60273972602739723</v>
      </c>
      <c r="L14" s="7">
        <v>45691</v>
      </c>
      <c r="M14" s="16">
        <f>EXP(-4%*DiscountCurve[[#This Row],[Years]])</f>
        <v>0.97617872540540473</v>
      </c>
      <c r="Z14" s="2"/>
    </row>
    <row r="15" spans="2:26">
      <c r="G15" s="70">
        <f>YEARFRAC(CurveDate,ForwardCurve[[#This Row],[Date]],1)</f>
        <v>0.67945205479452053</v>
      </c>
      <c r="H15" s="7">
        <v>45719</v>
      </c>
      <c r="I15" s="16">
        <f>EXP(-4%*ForwardCurve[[#This Row],[Years]])</f>
        <v>0.97318791865436793</v>
      </c>
      <c r="K15" s="70">
        <f>YEARFRAC(CurveDate,DiscountCurve[[#This Row],[Date]],1)</f>
        <v>0.67945205479452053</v>
      </c>
      <c r="L15" s="7">
        <v>45719</v>
      </c>
      <c r="M15" s="16">
        <f>EXP(-4%*DiscountCurve[[#This Row],[Years]])</f>
        <v>0.97318791865436793</v>
      </c>
      <c r="Z15" s="2"/>
    </row>
    <row r="16" spans="2:26">
      <c r="G16" s="70">
        <f>YEARFRAC(CurveDate,ForwardCurve[[#This Row],[Date]],1)</f>
        <v>0.76164383561643834</v>
      </c>
      <c r="H16" s="7">
        <v>45749</v>
      </c>
      <c r="I16" s="16">
        <f>EXP(-4%*ForwardCurve[[#This Row],[Years]])</f>
        <v>0.96999365045903141</v>
      </c>
      <c r="K16" s="70">
        <f>YEARFRAC(CurveDate,DiscountCurve[[#This Row],[Date]],1)</f>
        <v>0.76164383561643834</v>
      </c>
      <c r="L16" s="7">
        <v>45749</v>
      </c>
      <c r="M16" s="16">
        <f>EXP(-4%*DiscountCurve[[#This Row],[Years]])</f>
        <v>0.96999365045903141</v>
      </c>
      <c r="Z16" s="2"/>
    </row>
    <row r="17" spans="7:26">
      <c r="G17" s="70">
        <f>YEARFRAC(CurveDate,ForwardCurve[[#This Row],[Date]],1)</f>
        <v>0.84383561643835614</v>
      </c>
      <c r="H17" s="7">
        <v>45779</v>
      </c>
      <c r="I17" s="16">
        <f>EXP(-4%*ForwardCurve[[#This Row],[Years]])</f>
        <v>0.96680986672317903</v>
      </c>
      <c r="K17" s="70">
        <f>YEARFRAC(CurveDate,DiscountCurve[[#This Row],[Date]],1)</f>
        <v>0.84383561643835614</v>
      </c>
      <c r="L17" s="7">
        <v>45779</v>
      </c>
      <c r="M17" s="16">
        <f>EXP(-4%*DiscountCurve[[#This Row],[Years]])</f>
        <v>0.96680986672317903</v>
      </c>
      <c r="Z17" s="2"/>
    </row>
    <row r="18" spans="7:26">
      <c r="G18" s="70">
        <f>YEARFRAC(CurveDate,ForwardCurve[[#This Row],[Date]],1)</f>
        <v>0.92876712328767119</v>
      </c>
      <c r="H18" s="7">
        <v>45810</v>
      </c>
      <c r="I18" s="16">
        <f>EXP(-4%*ForwardCurve[[#This Row],[Years]])</f>
        <v>0.96353093481664442</v>
      </c>
      <c r="K18" s="70">
        <f>YEARFRAC(CurveDate,DiscountCurve[[#This Row],[Date]],1)</f>
        <v>0.92876712328767119</v>
      </c>
      <c r="L18" s="7">
        <v>45810</v>
      </c>
      <c r="M18" s="16">
        <f>EXP(-4%*DiscountCurve[[#This Row],[Years]])</f>
        <v>0.96353093481664442</v>
      </c>
      <c r="Z18" s="2"/>
    </row>
    <row r="19" spans="7:26">
      <c r="G19" s="70">
        <f>YEARFRAC(CurveDate,ForwardCurve[[#This Row],[Date]],1)</f>
        <v>1.0095759233926129</v>
      </c>
      <c r="H19" s="7">
        <v>45840</v>
      </c>
      <c r="I19" s="16">
        <f>EXP(-4%*ForwardCurve[[#This Row],[Years]])</f>
        <v>0.96042149178290814</v>
      </c>
      <c r="K19" s="70">
        <f>YEARFRAC(CurveDate,DiscountCurve[[#This Row],[Date]],1)</f>
        <v>1.0095759233926129</v>
      </c>
      <c r="L19" s="7">
        <v>45840</v>
      </c>
      <c r="M19" s="16">
        <f>EXP(-4%*DiscountCurve[[#This Row],[Years]])</f>
        <v>0.96042149178290814</v>
      </c>
      <c r="Z19" s="2"/>
    </row>
    <row r="20" spans="7:26">
      <c r="G20" s="70">
        <f>YEARFRAC(CurveDate,ForwardCurve[[#This Row],[Date]],1)</f>
        <v>1.2612859097127223</v>
      </c>
      <c r="H20" s="7">
        <v>45932</v>
      </c>
      <c r="I20" s="16">
        <f>EXP(-4%*ForwardCurve[[#This Row],[Years]])</f>
        <v>0.95080010183790131</v>
      </c>
      <c r="K20" s="70">
        <f>YEARFRAC(CurveDate,DiscountCurve[[#This Row],[Date]],1)</f>
        <v>1.2612859097127223</v>
      </c>
      <c r="L20" s="7">
        <v>45932</v>
      </c>
      <c r="M20" s="16">
        <f>EXP(-4%*DiscountCurve[[#This Row],[Years]])</f>
        <v>0.95080010183790131</v>
      </c>
      <c r="Z20" s="2"/>
    </row>
    <row r="21" spans="7:26">
      <c r="G21" s="70">
        <f>YEARFRAC(CurveDate,ForwardCurve[[#This Row],[Date]],1)</f>
        <v>1.5136861313868615</v>
      </c>
      <c r="H21" s="7">
        <v>46024</v>
      </c>
      <c r="I21" s="16">
        <f>EXP(-4%*ForwardCurve[[#This Row],[Years]])</f>
        <v>0.94124911015449197</v>
      </c>
      <c r="K21" s="70">
        <f>YEARFRAC(CurveDate,DiscountCurve[[#This Row],[Date]],1)</f>
        <v>1.5136861313868615</v>
      </c>
      <c r="L21" s="7">
        <v>46024</v>
      </c>
      <c r="M21" s="16">
        <f>EXP(-4%*DiscountCurve[[#This Row],[Years]])</f>
        <v>0.94124911015449197</v>
      </c>
      <c r="Z21" s="2"/>
    </row>
    <row r="22" spans="7:26">
      <c r="G22" s="70">
        <f>YEARFRAC(CurveDate,ForwardCurve[[#This Row],[Date]],1)</f>
        <v>1.760036496350365</v>
      </c>
      <c r="H22" s="7">
        <v>46114</v>
      </c>
      <c r="I22" s="16">
        <f>EXP(-4%*ForwardCurve[[#This Row],[Years]])</f>
        <v>0.9320195763460335</v>
      </c>
      <c r="K22" s="70">
        <f>YEARFRAC(CurveDate,DiscountCurve[[#This Row],[Date]],1)</f>
        <v>1.760036496350365</v>
      </c>
      <c r="L22" s="7">
        <v>46114</v>
      </c>
      <c r="M22" s="16">
        <f>EXP(-4%*DiscountCurve[[#This Row],[Years]])</f>
        <v>0.9320195763460335</v>
      </c>
      <c r="Z22" s="2"/>
    </row>
    <row r="23" spans="7:26">
      <c r="G23" s="70">
        <f>YEARFRAC(CurveDate,ForwardCurve[[#This Row],[Date]],1)</f>
        <v>2.0091240875912408</v>
      </c>
      <c r="H23" s="7">
        <v>46205</v>
      </c>
      <c r="I23" s="16">
        <f>EXP(-4%*ForwardCurve[[#This Row],[Years]])</f>
        <v>0.92277950408189502</v>
      </c>
      <c r="K23" s="70">
        <f>YEARFRAC(CurveDate,DiscountCurve[[#This Row],[Date]],1)</f>
        <v>2.0091240875912408</v>
      </c>
      <c r="L23" s="7">
        <v>46205</v>
      </c>
      <c r="M23" s="16">
        <f>EXP(-4%*DiscountCurve[[#This Row],[Years]])</f>
        <v>0.92277950408189502</v>
      </c>
      <c r="Z23" s="2"/>
    </row>
    <row r="24" spans="7:26">
      <c r="G24" s="70">
        <f>YEARFRAC(CurveDate,ForwardCurve[[#This Row],[Date]],1)</f>
        <v>3.0088980150581794</v>
      </c>
      <c r="H24" s="7">
        <v>46570</v>
      </c>
      <c r="I24" s="16">
        <f>EXP(-4%*ForwardCurve[[#This Row],[Years]])</f>
        <v>0.88660481963174831</v>
      </c>
      <c r="K24" s="70">
        <f>YEARFRAC(CurveDate,DiscountCurve[[#This Row],[Date]],1)</f>
        <v>3.0088980150581794</v>
      </c>
      <c r="L24" s="7">
        <v>46570</v>
      </c>
      <c r="M24" s="16">
        <f>EXP(-4%*DiscountCurve[[#This Row],[Years]])</f>
        <v>0.88660481963174831</v>
      </c>
      <c r="Z24" s="2"/>
    </row>
    <row r="25" spans="7:26">
      <c r="G25" s="70">
        <f>YEARFRAC(CurveDate,ForwardCurve[[#This Row],[Date]],1)</f>
        <v>4.0120415982484952</v>
      </c>
      <c r="H25" s="7">
        <v>46937</v>
      </c>
      <c r="I25" s="16">
        <f>EXP(-4%*ForwardCurve[[#This Row],[Years]])</f>
        <v>0.85173344087281511</v>
      </c>
      <c r="K25" s="70">
        <f>YEARFRAC(CurveDate,DiscountCurve[[#This Row],[Date]],1)</f>
        <v>4.0120415982484952</v>
      </c>
      <c r="L25" s="7">
        <v>46937</v>
      </c>
      <c r="M25" s="16">
        <f>EXP(-4%*DiscountCurve[[#This Row],[Years]])</f>
        <v>0.85173344087281511</v>
      </c>
      <c r="Z25" s="2"/>
    </row>
    <row r="26" spans="7:26">
      <c r="G26" s="70">
        <f>YEARFRAC(CurveDate,ForwardCurve[[#This Row],[Date]],1)</f>
        <v>5.0091240875912408</v>
      </c>
      <c r="H26" s="7">
        <v>47301</v>
      </c>
      <c r="I26" s="16">
        <f>EXP(-4%*ForwardCurve[[#This Row],[Years]])</f>
        <v>0.81843200075395639</v>
      </c>
      <c r="K26" s="70">
        <f>YEARFRAC(CurveDate,DiscountCurve[[#This Row],[Date]],1)</f>
        <v>5.0091240875912408</v>
      </c>
      <c r="L26" s="7">
        <v>47301</v>
      </c>
      <c r="M26" s="16">
        <f>EXP(-4%*DiscountCurve[[#This Row],[Years]])</f>
        <v>0.81843200075395639</v>
      </c>
      <c r="Z26" s="2"/>
    </row>
    <row r="27" spans="7:26">
      <c r="G27" s="70">
        <f>YEARFRAC(CurveDate,ForwardCurve[[#This Row],[Date]],1)</f>
        <v>6.0089949159170901</v>
      </c>
      <c r="H27" s="7">
        <v>47666</v>
      </c>
      <c r="I27" s="16">
        <f>EXP(-4%*ForwardCurve[[#This Row],[Years]])</f>
        <v>0.78634488591762619</v>
      </c>
      <c r="K27" s="70">
        <f>YEARFRAC(CurveDate,DiscountCurve[[#This Row],[Date]],1)</f>
        <v>6.0089949159170901</v>
      </c>
      <c r="L27" s="7">
        <v>47666</v>
      </c>
      <c r="M27" s="16">
        <f>EXP(-4%*DiscountCurve[[#This Row],[Years]])</f>
        <v>0.78634488591762619</v>
      </c>
      <c r="Z27" s="2"/>
    </row>
    <row r="28" spans="7:26">
      <c r="G28" s="70">
        <f>YEARFRAC(CurveDate,ForwardCurve[[#This Row],[Date]],1)</f>
        <v>7.008898015058179</v>
      </c>
      <c r="H28" s="7">
        <v>48031</v>
      </c>
      <c r="I28" s="16">
        <f>EXP(-4%*ForwardCurve[[#This Row],[Years]])</f>
        <v>0.75551479031670243</v>
      </c>
      <c r="K28" s="70">
        <f>YEARFRAC(CurveDate,DiscountCurve[[#This Row],[Date]],1)</f>
        <v>7.008898015058179</v>
      </c>
      <c r="L28" s="7">
        <v>48031</v>
      </c>
      <c r="M28" s="16">
        <f>EXP(-4%*DiscountCurve[[#This Row],[Years]])</f>
        <v>0.75551479031670243</v>
      </c>
      <c r="Z28" s="2"/>
    </row>
    <row r="29" spans="7:26">
      <c r="G29" s="70">
        <f>YEARFRAC(CurveDate,ForwardCurve[[#This Row],[Date]],1)</f>
        <v>8.0091240875912408</v>
      </c>
      <c r="H29" s="7">
        <v>48397</v>
      </c>
      <c r="I29" s="16">
        <f>EXP(-4%*ForwardCurve[[#This Row],[Years]])</f>
        <v>0.72588406753199597</v>
      </c>
      <c r="K29" s="70">
        <f>YEARFRAC(CurveDate,DiscountCurve[[#This Row],[Date]],1)</f>
        <v>8.0091240875912408</v>
      </c>
      <c r="L29" s="7">
        <v>48397</v>
      </c>
      <c r="M29" s="16">
        <f>EXP(-4%*DiscountCurve[[#This Row],[Years]])</f>
        <v>0.72588406753199597</v>
      </c>
      <c r="Z29" s="2"/>
    </row>
    <row r="30" spans="7:26">
      <c r="G30" s="70">
        <f>YEARFRAC(CurveDate,ForwardCurve[[#This Row],[Date]],1)</f>
        <v>9.0172460990966332</v>
      </c>
      <c r="H30" s="7">
        <v>48765</v>
      </c>
      <c r="I30" s="16">
        <f>EXP(-4%*ForwardCurve[[#This Row],[Years]])</f>
        <v>0.6971952042373355</v>
      </c>
      <c r="K30" s="70">
        <f>YEARFRAC(CurveDate,DiscountCurve[[#This Row],[Date]],1)</f>
        <v>9.0172460990966332</v>
      </c>
      <c r="L30" s="7">
        <v>48765</v>
      </c>
      <c r="M30" s="16">
        <f>EXP(-4%*DiscountCurve[[#This Row],[Years]])</f>
        <v>0.6971952042373355</v>
      </c>
      <c r="Z30" s="2"/>
    </row>
    <row r="31" spans="7:26">
      <c r="G31" s="70">
        <f>YEARFRAC(CurveDate,ForwardCurve[[#This Row],[Date]],1)</f>
        <v>10.011697361871578</v>
      </c>
      <c r="H31" s="7">
        <v>49128</v>
      </c>
      <c r="I31" s="16">
        <f>EXP(-4%*ForwardCurve[[#This Row],[Years]])</f>
        <v>0.67000648035325494</v>
      </c>
      <c r="K31" s="70">
        <f>YEARFRAC(CurveDate,DiscountCurve[[#This Row],[Date]],1)</f>
        <v>10.011697361871578</v>
      </c>
      <c r="L31" s="7">
        <v>49128</v>
      </c>
      <c r="M31" s="16">
        <f>EXP(-4%*DiscountCurve[[#This Row],[Years]])</f>
        <v>0.67000648035325494</v>
      </c>
      <c r="Z31" s="2"/>
    </row>
    <row r="32" spans="7:26">
      <c r="G32" s="70">
        <f>YEARFRAC(CurveDate,ForwardCurve[[#This Row],[Date]],1)</f>
        <v>11.008898015058179</v>
      </c>
      <c r="H32" s="7">
        <v>49492</v>
      </c>
      <c r="I32" s="16">
        <f>EXP(-4%*ForwardCurve[[#This Row],[Years]])</f>
        <v>0.64380723604048751</v>
      </c>
      <c r="K32" s="70">
        <f>YEARFRAC(CurveDate,DiscountCurve[[#This Row],[Date]],1)</f>
        <v>11.008898015058179</v>
      </c>
      <c r="L32" s="7">
        <v>49492</v>
      </c>
      <c r="M32" s="16">
        <f>EXP(-4%*DiscountCurve[[#This Row],[Years]])</f>
        <v>0.64380723604048751</v>
      </c>
      <c r="Z32" s="2"/>
    </row>
    <row r="33" spans="7:26">
      <c r="G33" s="70">
        <f>YEARFRAC(CurveDate,ForwardCurve[[#This Row],[Date]],1)</f>
        <v>12.00905453779743</v>
      </c>
      <c r="H33" s="7">
        <v>49858</v>
      </c>
      <c r="I33" s="16">
        <f>EXP(-4%*ForwardCurve[[#This Row],[Years]])</f>
        <v>0.61855932048145457</v>
      </c>
      <c r="K33" s="70">
        <f>YEARFRAC(CurveDate,DiscountCurve[[#This Row],[Date]],1)</f>
        <v>12.00905453779743</v>
      </c>
      <c r="L33" s="7">
        <v>49858</v>
      </c>
      <c r="M33" s="16">
        <f>EXP(-4%*DiscountCurve[[#This Row],[Years]])</f>
        <v>0.61855932048145457</v>
      </c>
      <c r="Z33" s="2"/>
    </row>
    <row r="34" spans="7:26">
      <c r="G34" s="70">
        <f>YEARFRAC(CurveDate,ForwardCurve[[#This Row],[Date]],1)</f>
        <v>15.017111567419576</v>
      </c>
      <c r="H34" s="7">
        <v>50956</v>
      </c>
      <c r="I34" s="16">
        <f>EXP(-4%*ForwardCurve[[#This Row],[Years]])</f>
        <v>0.54843612352839155</v>
      </c>
      <c r="K34" s="70">
        <f>YEARFRAC(CurveDate,DiscountCurve[[#This Row],[Date]],1)</f>
        <v>15.017111567419576</v>
      </c>
      <c r="L34" s="7">
        <v>50956</v>
      </c>
      <c r="M34" s="16">
        <f>EXP(-4%*DiscountCurve[[#This Row],[Years]])</f>
        <v>0.54843612352839155</v>
      </c>
      <c r="Z34" s="2"/>
    </row>
    <row r="35" spans="7:26">
      <c r="G35" s="70">
        <f>YEARFRAC(CurveDate,ForwardCurve[[#This Row],[Date]],1)</f>
        <v>20.017207665232696</v>
      </c>
      <c r="H35" s="7">
        <v>52783</v>
      </c>
      <c r="I35" s="16">
        <f>EXP(-4%*ForwardCurve[[#This Row],[Years]])</f>
        <v>0.4490197944354401</v>
      </c>
      <c r="K35" s="70">
        <f>YEARFRAC(CurveDate,DiscountCurve[[#This Row],[Date]],1)</f>
        <v>20.017207665232696</v>
      </c>
      <c r="L35" s="7">
        <v>52783</v>
      </c>
      <c r="M35" s="16">
        <f>EXP(-4%*DiscountCurve[[#This Row],[Years]])</f>
        <v>0.4490197944354401</v>
      </c>
      <c r="Z35" s="2"/>
    </row>
    <row r="36" spans="7:26">
      <c r="G36" s="70">
        <f>YEARFRAC(CurveDate,ForwardCurve[[#This Row],[Date]],1)</f>
        <v>25.008950194798356</v>
      </c>
      <c r="H36" s="7">
        <v>54606</v>
      </c>
      <c r="I36" s="16">
        <f>EXP(-4%*ForwardCurve[[#This Row],[Years]])</f>
        <v>0.36774776103767393</v>
      </c>
      <c r="K36" s="70">
        <f>YEARFRAC(CurveDate,DiscountCurve[[#This Row],[Date]],1)</f>
        <v>25.008950194798356</v>
      </c>
      <c r="L36" s="7">
        <v>54606</v>
      </c>
      <c r="M36" s="16">
        <f>EXP(-4%*DiscountCurve[[#This Row],[Years]])</f>
        <v>0.36774776103767393</v>
      </c>
      <c r="Z36" s="2"/>
    </row>
    <row r="37" spans="7:26">
      <c r="G37" s="70">
        <f>YEARFRAC(CurveDate,ForwardCurve[[#This Row],[Date]],1)</f>
        <v>30.008919897553653</v>
      </c>
      <c r="H37" s="7">
        <v>56432</v>
      </c>
      <c r="I37" s="16">
        <f>EXP(-4%*ForwardCurve[[#This Row],[Years]])</f>
        <v>0.30108676622087271</v>
      </c>
      <c r="K37" s="70">
        <f>YEARFRAC(CurveDate,DiscountCurve[[#This Row],[Date]],1)</f>
        <v>30.008919897553653</v>
      </c>
      <c r="L37" s="7">
        <v>56432</v>
      </c>
      <c r="M37" s="16">
        <f>EXP(-4%*DiscountCurve[[#This Row],[Years]])</f>
        <v>0.30108676622087271</v>
      </c>
      <c r="Z37" s="2"/>
    </row>
    <row r="38" spans="7:26">
      <c r="G38" s="70">
        <f>YEARFRAC(CurveDate,ForwardCurve[[#This Row],[Date]],1)</f>
        <v>40.008947649572654</v>
      </c>
      <c r="H38" s="7">
        <v>60085</v>
      </c>
      <c r="I38" s="16">
        <f>EXP(-4%*ForwardCurve[[#This Row],[Years]])</f>
        <v>0.20182427095253269</v>
      </c>
      <c r="K38" s="70">
        <f>YEARFRAC(CurveDate,DiscountCurve[[#This Row],[Date]],1)</f>
        <v>40.008947649572654</v>
      </c>
      <c r="L38" s="7">
        <v>60085</v>
      </c>
      <c r="M38" s="16">
        <f>EXP(-4%*DiscountCurve[[#This Row],[Years]])</f>
        <v>0.20182427095253269</v>
      </c>
      <c r="Z38" s="2"/>
    </row>
    <row r="39" spans="7:26">
      <c r="G39" s="70">
        <f>YEARFRAC(CurveDate,ForwardCurve[[#This Row],[Date]],1)</f>
        <v>50.008911316298047</v>
      </c>
      <c r="H39" s="7">
        <v>63737</v>
      </c>
      <c r="I39" s="16">
        <f>EXP(-4%*ForwardCurve[[#This Row],[Years]])</f>
        <v>0.13528705121273152</v>
      </c>
      <c r="K39" s="70">
        <f>YEARFRAC(CurveDate,DiscountCurve[[#This Row],[Date]],1)</f>
        <v>50.008911316298047</v>
      </c>
      <c r="L39" s="7">
        <v>63737</v>
      </c>
      <c r="M39" s="16">
        <f>EXP(-4%*DiscountCurve[[#This Row],[Years]])</f>
        <v>0.13528705121273152</v>
      </c>
      <c r="Z39" s="2"/>
    </row>
    <row r="40" spans="7:26">
      <c r="W40" s="2"/>
    </row>
  </sheetData>
  <mergeCells count="7">
    <mergeCell ref="B8:C8"/>
    <mergeCell ref="B2:C2"/>
    <mergeCell ref="B3:C3"/>
    <mergeCell ref="B4:C4"/>
    <mergeCell ref="B5:C5"/>
    <mergeCell ref="B6:C6"/>
    <mergeCell ref="B7:C7"/>
  </mergeCells>
  <phoneticPr fontId="12" type="noConversion"/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822CA50-AEB5-4381-98C9-11DB81E705CE}">
          <x14:formula1>
            <xm:f>'Data Validation'!$C$1:$C$4</xm:f>
          </x14:formula1>
          <xm:sqref>D7</xm:sqref>
        </x14:dataValidation>
        <x14:dataValidation type="list" allowBlank="1" showInputMessage="1" showErrorMessage="1" xr:uid="{51FA7049-4549-4D76-8542-2F53BEF546F0}">
          <x14:formula1>
            <xm:f>'Data Validation'!$E$1:$E$2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5B79-6F64-434F-8C7A-72967E46D4CE}">
  <sheetPr codeName="Sheet9">
    <pageSetUpPr autoPageBreaks="0"/>
  </sheetPr>
  <dimension ref="B1:AD47"/>
  <sheetViews>
    <sheetView workbookViewId="0">
      <selection activeCell="C9" sqref="C9"/>
    </sheetView>
  </sheetViews>
  <sheetFormatPr defaultRowHeight="12"/>
  <cols>
    <col min="1" max="1" width="9.140625" style="24"/>
    <col min="2" max="2" width="34.5703125" style="24" bestFit="1" customWidth="1"/>
    <col min="3" max="3" width="13.140625" style="24" bestFit="1" customWidth="1"/>
    <col min="4" max="4" width="7.42578125" style="24" bestFit="1" customWidth="1"/>
    <col min="5" max="5" width="4.42578125" style="24" customWidth="1"/>
    <col min="6" max="6" width="35" style="24" bestFit="1" customWidth="1"/>
    <col min="7" max="7" width="12.5703125" style="24" bestFit="1" customWidth="1"/>
    <col min="8" max="8" width="5.140625" style="24" bestFit="1" customWidth="1"/>
    <col min="9" max="9" width="4.42578125" style="24" customWidth="1"/>
    <col min="10" max="10" width="12" style="82" bestFit="1" customWidth="1"/>
    <col min="11" max="11" width="11.42578125" style="82" bestFit="1" customWidth="1"/>
    <col min="12" max="12" width="12" style="82" bestFit="1" customWidth="1"/>
    <col min="13" max="13" width="11.140625" style="25" bestFit="1" customWidth="1"/>
    <col min="14" max="14" width="7.5703125" style="25" bestFit="1" customWidth="1"/>
    <col min="15" max="15" width="10.42578125" style="24" bestFit="1" customWidth="1"/>
    <col min="16" max="16" width="9.42578125" style="77" bestFit="1" customWidth="1"/>
    <col min="17" max="17" width="10.5703125" style="77" bestFit="1" customWidth="1"/>
    <col min="18" max="18" width="4.42578125" style="24" customWidth="1"/>
    <col min="19" max="19" width="12" style="82" bestFit="1" customWidth="1"/>
    <col min="20" max="20" width="11.42578125" style="82" bestFit="1" customWidth="1"/>
    <col min="21" max="21" width="12" style="82" bestFit="1" customWidth="1"/>
    <col min="22" max="22" width="11.140625" style="25" bestFit="1" customWidth="1"/>
    <col min="23" max="23" width="7.5703125" style="25" bestFit="1" customWidth="1"/>
    <col min="24" max="24" width="7.5703125" style="6" bestFit="1" customWidth="1"/>
    <col min="25" max="25" width="6.42578125" style="24" bestFit="1" customWidth="1"/>
    <col min="26" max="26" width="12.7109375" style="24" bestFit="1" customWidth="1"/>
    <col min="27" max="28" width="8" style="24" bestFit="1" customWidth="1"/>
    <col min="29" max="30" width="9.42578125" style="60" bestFit="1" customWidth="1"/>
    <col min="31" max="16384" width="9.140625" style="24"/>
  </cols>
  <sheetData>
    <row r="1" spans="2:30">
      <c r="J1" s="26"/>
      <c r="K1" s="26"/>
      <c r="L1" s="26"/>
      <c r="S1" s="81"/>
      <c r="T1" s="81"/>
      <c r="U1" s="81"/>
    </row>
    <row r="2" spans="2:30">
      <c r="B2" s="42" t="s">
        <v>4</v>
      </c>
      <c r="J2" s="26"/>
      <c r="K2" s="26"/>
      <c r="L2" s="26"/>
      <c r="N2" s="92" t="s">
        <v>115</v>
      </c>
      <c r="O2" s="92"/>
      <c r="P2" s="92"/>
      <c r="Q2" s="80" cm="1">
        <f t="array" ref="Q2">-1*cp*SUM(_xlfn.ANCHORARRAY(Q7)/$C$42)</f>
        <v>-7634630.9931376018</v>
      </c>
      <c r="S2" s="81"/>
      <c r="T2" s="81"/>
      <c r="U2" s="81"/>
      <c r="AA2" s="92" t="s">
        <v>115</v>
      </c>
      <c r="AB2" s="92"/>
      <c r="AC2" s="92"/>
      <c r="AD2" s="79" cm="1">
        <f t="array" ref="AD2">cp*SUM(_xlfn.ANCHORARRAY(AD7)/$C$42)</f>
        <v>9588659.7791593745</v>
      </c>
    </row>
    <row r="3" spans="2:30">
      <c r="B3" s="41" t="s">
        <v>5</v>
      </c>
      <c r="G3" s="73"/>
      <c r="J3" s="26"/>
      <c r="K3" s="26"/>
      <c r="L3" s="26"/>
      <c r="N3" s="92" t="s">
        <v>116</v>
      </c>
      <c r="O3" s="92"/>
      <c r="P3" s="92"/>
      <c r="Q3" s="80">
        <f>-1*cp*SUM(_xlfn.ANCHORARRAY(Q7))</f>
        <v>-7334043.9314783672</v>
      </c>
      <c r="S3" s="81"/>
      <c r="T3" s="81"/>
      <c r="U3" s="81"/>
      <c r="AA3" s="92" t="s">
        <v>116</v>
      </c>
      <c r="AB3" s="92"/>
      <c r="AC3" s="92"/>
      <c r="AD3" s="79">
        <f>cp*SUM(_xlfn.ANCHORARRAY(AD7))</f>
        <v>9211139.625158703</v>
      </c>
    </row>
    <row r="4" spans="2:30">
      <c r="B4" s="5" t="s">
        <v>6</v>
      </c>
      <c r="J4" s="26"/>
      <c r="K4" s="26"/>
      <c r="L4" s="26"/>
      <c r="S4" s="81"/>
      <c r="T4" s="81"/>
      <c r="U4" s="81"/>
    </row>
    <row r="5" spans="2:30" ht="14.25">
      <c r="J5" s="93" t="s">
        <v>68</v>
      </c>
      <c r="K5" s="94"/>
      <c r="L5" s="94"/>
      <c r="M5" s="94"/>
      <c r="N5" s="95"/>
      <c r="O5" s="93" t="s">
        <v>104</v>
      </c>
      <c r="P5" s="94"/>
      <c r="Q5" s="94"/>
      <c r="S5" s="93" t="s">
        <v>67</v>
      </c>
      <c r="T5" s="94"/>
      <c r="U5" s="94"/>
      <c r="V5" s="94"/>
      <c r="W5" s="95"/>
      <c r="X5" s="93" t="s">
        <v>112</v>
      </c>
      <c r="Y5" s="94"/>
      <c r="Z5" s="94"/>
      <c r="AA5" s="94"/>
      <c r="AB5" s="94"/>
      <c r="AC5" s="94"/>
      <c r="AD5" s="95"/>
    </row>
    <row r="6" spans="2:30">
      <c r="B6" s="1" t="s">
        <v>39</v>
      </c>
      <c r="F6" s="21" t="s">
        <v>55</v>
      </c>
      <c r="G6" s="22"/>
      <c r="H6" s="22"/>
      <c r="J6" s="19" t="s">
        <v>108</v>
      </c>
      <c r="K6" s="19" t="s">
        <v>109</v>
      </c>
      <c r="L6" s="19" t="s">
        <v>103</v>
      </c>
      <c r="M6" s="19" t="s">
        <v>110</v>
      </c>
      <c r="N6" s="19" t="s">
        <v>111</v>
      </c>
      <c r="O6" s="75" t="s">
        <v>105</v>
      </c>
      <c r="P6" s="78" t="s">
        <v>106</v>
      </c>
      <c r="Q6" s="78" t="s">
        <v>107</v>
      </c>
      <c r="S6" s="19" t="s">
        <v>108</v>
      </c>
      <c r="T6" s="19" t="s">
        <v>109</v>
      </c>
      <c r="U6" s="19" t="s">
        <v>103</v>
      </c>
      <c r="V6" s="19" t="s">
        <v>110</v>
      </c>
      <c r="W6" s="19" t="s">
        <v>111</v>
      </c>
      <c r="X6" s="75" t="s">
        <v>98</v>
      </c>
      <c r="Y6" s="19" t="s">
        <v>99</v>
      </c>
      <c r="Z6" s="75" t="s">
        <v>100</v>
      </c>
      <c r="AA6" s="75" t="s">
        <v>101</v>
      </c>
      <c r="AB6" s="75" t="s">
        <v>102</v>
      </c>
      <c r="AC6" s="75" t="s">
        <v>106</v>
      </c>
      <c r="AD6" s="75" t="s">
        <v>107</v>
      </c>
    </row>
    <row r="7" spans="2:30">
      <c r="B7" s="34" t="s">
        <v>77</v>
      </c>
      <c r="C7" s="35" t="s">
        <v>8</v>
      </c>
      <c r="D7" s="33" t="s">
        <v>9</v>
      </c>
      <c r="F7" s="8" t="s">
        <v>38</v>
      </c>
      <c r="G7" s="13" t="s">
        <v>8</v>
      </c>
      <c r="H7" s="9" t="s">
        <v>9</v>
      </c>
      <c r="J7" s="82" cm="1">
        <f t="array" ref="J7:J8">_xlfn._xlws.SORT(_xlfn.UNIQUE(StartDateSchedule(SwapStartDate,SwapMaturityDate,FixedLegFrequency,HolidaysApplied,RollConvention,RollUserSpecifiedDates,FirstCouponEndDate,LastCouponStartDate,StubType)))</f>
        <v>45840</v>
      </c>
      <c r="K7" s="82" cm="1">
        <f t="array" ref="K7:K8">_xlfn.LET(
    _xlpm.RolledEndDate, IF(RollUserSpecifiedDates, RollDate(SwapMaturityDate, HolidaysApplied, RollConvention), SwapMaturityDate),
    IF(COUNT(_xlfn.ANCHORARRAY(J7))=1, _xlpm.RolledEndDate, _xlfn.VSTACK(_xlfn.DROP(_xlfn.ANCHORARRAY(J7),1), _xlpm.RolledEndDate))
)</f>
        <v>46205</v>
      </c>
      <c r="L7" s="82" cm="1">
        <f t="array" ref="L7:L8">OffsetDateRangeByBusinessDays(_xlfn.ANCHORARRAY(K7),PaymentOffset,HolidaysApplied)</f>
        <v>46210</v>
      </c>
      <c r="M7" s="25" cm="1">
        <f t="array" ref="M7:M8">YEARFRAC(_xlfn.CHOOSECOLS(_xlfn.ANCHORARRAY(J7),1),_xlfn.CHOOSECOLS(_xlfn.ANCHORARRAY(K7),1),DCBFixed)</f>
        <v>1.0138888888888888</v>
      </c>
      <c r="N7" s="25" cm="1">
        <f t="array" ref="N7:N8">Linterp(DiscountCurve[Date],DiscountCurve[Discount Factor],_xlfn.ANCHORARRAY(L7),-1,TRUE)</f>
        <v>0.92227412422813337</v>
      </c>
      <c r="O7" s="74" cm="1">
        <f t="array" ref="O7:O8">_xlfn.ANCHORARRAY(N7)*0+K</f>
        <v>0.04</v>
      </c>
      <c r="P7" s="77" cm="1">
        <f t="array" ref="P7:P8">_xlfn.ANCHORARRAY(M7)*_xlfn.ANCHORARRAY(O7)*Notional</f>
        <v>4055555.5555555555</v>
      </c>
      <c r="Q7" s="77" cm="1">
        <f t="array" ref="Q7:Q8">_xlfn.ANCHORARRAY(P7)*_xlfn.ANCHORARRAY(N7)</f>
        <v>3740333.9482585411</v>
      </c>
      <c r="S7" s="82" cm="1">
        <f t="array" ref="S7:S8">_xlfn._xlws.SORT(_xlfn.UNIQUE(StartDateSchedule(SwapStartDate,SwapMaturityDate,FloatingLegFrequency,HolidaysApplied,RollConvention,RollUserSpecifiedDates,FirstCouponEndDate,LastCouponStartDate,StubType)))</f>
        <v>45840</v>
      </c>
      <c r="T7" s="82" cm="1">
        <f t="array" ref="T7:T8">_xlfn.LET(
    _xlpm.RolledEndDate, IF(RollUserSpecifiedDates, RollDate(SwapMaturityDate, HolidaysApplied, RollConvention), SwapMaturityDate),
    IF(COUNT(_xlfn.ANCHORARRAY(S7))=1, _xlpm.RolledEndDate, _xlfn.VSTACK(_xlfn.DROP(_xlfn.ANCHORARRAY(S7),1), _xlpm.RolledEndDate))
)</f>
        <v>46205</v>
      </c>
      <c r="U7" s="82" cm="1">
        <f t="array" ref="U7:U8">OffsetDateRangeByBusinessDays(_xlfn.ANCHORARRAY(T7),PaymentOffset,HolidaysApplied)</f>
        <v>46210</v>
      </c>
      <c r="V7" s="25" cm="1">
        <f t="array" ref="V7:V8">YEARFRAC(_xlfn.CHOOSECOLS(_xlfn.ANCHORARRAY(S7),1),_xlfn.CHOOSECOLS(_xlfn.ANCHORARRAY(T7),1),DCBFloat)</f>
        <v>1.0138888888888888</v>
      </c>
      <c r="W7" s="25" cm="1">
        <f t="array" ref="W7:W8">Linterp(DiscountCurve[Date],DiscountCurve[Discount Factor],_xlfn.ANCHORARRAY(U7),-1,TRUE)</f>
        <v>0.92227412422813337</v>
      </c>
      <c r="X7" s="6" cm="1">
        <f t="array" ref="X7:X8">Linterp(ForwardCurve[Date],ForwardCurve[Discount Factor],_xlfn.ANCHORARRAY('Swaption Pricer'!S7),-1,TRUE)</f>
        <v>0.96042149178290814</v>
      </c>
      <c r="Y7" s="76" cm="1">
        <f t="array" ref="Y7:Y8">Linterp(ForwardCurve[Date],ForwardCurve[Discount Factor],_xlfn.ANCHORARRAY('Swaption Pricer'!T7),-1,TRUE)</f>
        <v>0.92277950408189502</v>
      </c>
      <c r="Z7" s="74" cm="1">
        <f t="array" ref="Z7:Z8">(_xlfn.ANCHORARRAY(X7)/_xlfn.ANCHORARRAY(Y7)-1)/_xlfn.ANCHORARRAY(V7)</f>
        <v>4.0233169321217455E-2</v>
      </c>
      <c r="AA7" s="74" cm="1">
        <f t="array" ref="AA7:AA8">_xlfn.ANCHORARRAY(Z7)*0+FloatingSpread%%</f>
        <v>0.01</v>
      </c>
      <c r="AB7" s="74" cm="1">
        <f t="array" ref="AB7:AB8">_xlfn.ANCHORARRAY(Z7)+_xlfn.ANCHORARRAY(AA7)</f>
        <v>5.0233169321217457E-2</v>
      </c>
      <c r="AC7" s="60" cm="1">
        <f t="array" ref="AC7:AC8">_xlfn.ANCHORARRAY(AB7)*_xlfn.ANCHORARRAY(V7)*Notional</f>
        <v>5093085.2228456587</v>
      </c>
      <c r="AD7" s="60" cm="1">
        <f t="array" ref="AD7:AD8">_xlfn.ANCHORARRAY(AC7)*_xlfn.ANCHORARRAY(W7)</f>
        <v>4697220.7135192277</v>
      </c>
    </row>
    <row r="8" spans="2:30">
      <c r="B8" s="28" t="s">
        <v>10</v>
      </c>
      <c r="C8" s="23">
        <v>4</v>
      </c>
      <c r="D8" s="32" t="s">
        <v>11</v>
      </c>
      <c r="F8" s="31" t="s">
        <v>63</v>
      </c>
      <c r="G8" s="58">
        <f>C28%</f>
        <v>0.02</v>
      </c>
      <c r="H8" s="30"/>
      <c r="J8" s="82">
        <v>46205</v>
      </c>
      <c r="K8" s="82">
        <v>46570</v>
      </c>
      <c r="L8" s="82">
        <v>46575</v>
      </c>
      <c r="M8" s="25">
        <v>1.0138888888888888</v>
      </c>
      <c r="N8" s="25">
        <v>0.88612026983502568</v>
      </c>
      <c r="O8" s="74">
        <v>0.04</v>
      </c>
      <c r="P8" s="77">
        <v>4055555.5555555555</v>
      </c>
      <c r="Q8" s="77">
        <v>3593709.9832198261</v>
      </c>
      <c r="S8" s="82">
        <v>46205</v>
      </c>
      <c r="T8" s="82">
        <v>46570</v>
      </c>
      <c r="U8" s="82">
        <v>46575</v>
      </c>
      <c r="V8" s="25">
        <v>1.0138888888888888</v>
      </c>
      <c r="W8" s="25">
        <v>0.88612026983502568</v>
      </c>
      <c r="X8" s="6">
        <v>0.92277950408189502</v>
      </c>
      <c r="Y8" s="76">
        <v>0.88660481963174831</v>
      </c>
      <c r="Z8" s="74">
        <v>4.0242439514778842E-2</v>
      </c>
      <c r="AA8" s="74">
        <v>0.01</v>
      </c>
      <c r="AB8" s="74">
        <v>5.0242439514778844E-2</v>
      </c>
      <c r="AC8" s="60">
        <v>5094025.1174706323</v>
      </c>
      <c r="AD8" s="60">
        <v>4513918.9116394753</v>
      </c>
    </row>
    <row r="9" spans="2:30">
      <c r="B9" s="31" t="s">
        <v>12</v>
      </c>
      <c r="C9" s="40">
        <v>100</v>
      </c>
      <c r="D9" s="30" t="s">
        <v>13</v>
      </c>
      <c r="F9" s="31" t="s">
        <v>92</v>
      </c>
      <c r="G9" s="59">
        <f>F+LogNormalShift</f>
        <v>0.06</v>
      </c>
      <c r="H9" s="30"/>
    </row>
    <row r="10" spans="2:30">
      <c r="B10" s="31" t="s">
        <v>28</v>
      </c>
      <c r="C10" s="39">
        <v>100000000</v>
      </c>
      <c r="D10" s="30" t="s">
        <v>29</v>
      </c>
      <c r="F10" s="31" t="s">
        <v>93</v>
      </c>
      <c r="G10" s="45">
        <f>K_adj+LogNormalShift</f>
        <v>0.05</v>
      </c>
      <c r="H10" s="30"/>
    </row>
    <row r="11" spans="2:30">
      <c r="B11" s="31" t="s">
        <v>60</v>
      </c>
      <c r="C11" s="53">
        <v>45838</v>
      </c>
      <c r="D11" s="30" t="s">
        <v>7</v>
      </c>
      <c r="F11" s="31" t="s">
        <v>94</v>
      </c>
      <c r="G11" s="58">
        <f>C27%</f>
        <v>0.25</v>
      </c>
      <c r="H11" s="30"/>
    </row>
    <row r="12" spans="2:30">
      <c r="B12" s="31" t="s">
        <v>76</v>
      </c>
      <c r="C12" s="53">
        <v>46570</v>
      </c>
      <c r="D12" s="30" t="s">
        <v>7</v>
      </c>
      <c r="F12" s="31" t="s">
        <v>47</v>
      </c>
      <c r="G12" s="46">
        <f>(LN(F_sln/K_sln)+0.5*σSLN*σSLN*tau)/(σSLN*SQRT(tau))</f>
        <v>0.84850712384616822</v>
      </c>
      <c r="H12" s="30"/>
    </row>
    <row r="13" spans="2:30">
      <c r="B13" s="31" t="s">
        <v>75</v>
      </c>
      <c r="C13" s="53" t="s">
        <v>26</v>
      </c>
      <c r="D13" s="30"/>
      <c r="F13" s="31" t="s">
        <v>48</v>
      </c>
      <c r="G13" s="46">
        <f>G12-σSLN*SQRT(tau)</f>
        <v>0.59608826999848552</v>
      </c>
      <c r="H13" s="30"/>
    </row>
    <row r="14" spans="2:30">
      <c r="B14" s="31" t="s">
        <v>74</v>
      </c>
      <c r="C14" s="53" t="s">
        <v>26</v>
      </c>
      <c r="D14" s="30"/>
      <c r="F14" s="64" t="s">
        <v>87</v>
      </c>
      <c r="G14" s="49">
        <f>cp*(F_sln*_xlfn.NORM.S.DIST(cp*d1_,TRUE)-K_sln*_xlfn.NORM.S.DIST(cp*d2_,TRUE))</f>
        <v>1.1893238294397E-2</v>
      </c>
      <c r="H14" s="32"/>
    </row>
    <row r="15" spans="2:30">
      <c r="B15" s="31" t="s">
        <v>81</v>
      </c>
      <c r="C15" s="52">
        <v>2</v>
      </c>
      <c r="D15" s="30" t="s">
        <v>83</v>
      </c>
      <c r="F15" s="65" t="s">
        <v>95</v>
      </c>
      <c r="G15" s="59">
        <f>BuySell*FixedLegAnnuityPx*G14</f>
        <v>2.1806383034662109E-2</v>
      </c>
      <c r="H15" s="30"/>
    </row>
    <row r="16" spans="2:30">
      <c r="B16" s="31" t="s">
        <v>82</v>
      </c>
      <c r="C16" s="52">
        <v>2</v>
      </c>
      <c r="D16" s="30" t="s">
        <v>83</v>
      </c>
      <c r="F16" s="27" t="s">
        <v>65</v>
      </c>
      <c r="G16" s="71">
        <f>G15*Notional</f>
        <v>2180638.3034662111</v>
      </c>
      <c r="H16" s="29" t="s">
        <v>29</v>
      </c>
    </row>
    <row r="17" spans="2:10">
      <c r="B17" s="31" t="s">
        <v>15</v>
      </c>
      <c r="C17" s="53" t="s">
        <v>16</v>
      </c>
      <c r="D17" s="30"/>
      <c r="F17" s="96" t="s">
        <v>51</v>
      </c>
      <c r="G17" s="68" cm="1">
        <f t="array" ref="G17">_xlfn.NORM.S.DIST(d1_,TRUE)+_xlfn.IFS(cp=1,-1,cp=-1,0)</f>
        <v>-0.19807780339156822</v>
      </c>
      <c r="H17" s="32"/>
    </row>
    <row r="18" spans="2:10">
      <c r="B18" s="27" t="s">
        <v>73</v>
      </c>
      <c r="C18" s="38" t="s">
        <v>85</v>
      </c>
      <c r="D18" s="29"/>
      <c r="F18" s="97"/>
      <c r="G18" s="60">
        <f>G17*Notional</f>
        <v>-19807780.339156821</v>
      </c>
      <c r="H18" s="30" t="s">
        <v>29</v>
      </c>
    </row>
    <row r="19" spans="2:10">
      <c r="F19" s="31" t="s">
        <v>50</v>
      </c>
      <c r="G19" s="48">
        <f>F_sln*SQRT(tau)*_xlfn.NORM.S.DIST(d1_,FALSE)*FixedLegAnnuityPx</f>
        <v>3.0916359156011264E-2</v>
      </c>
      <c r="H19" s="30"/>
    </row>
    <row r="20" spans="2:10">
      <c r="B20" s="34" t="s">
        <v>72</v>
      </c>
      <c r="C20" s="35" t="s">
        <v>8</v>
      </c>
      <c r="D20" s="33" t="s">
        <v>9</v>
      </c>
      <c r="F20" s="27" t="s">
        <v>54</v>
      </c>
      <c r="G20" s="50">
        <f>G19*Notional*1%</f>
        <v>30916.359156011265</v>
      </c>
      <c r="H20" s="29" t="s">
        <v>29</v>
      </c>
    </row>
    <row r="21" spans="2:10">
      <c r="B21" s="28" t="s">
        <v>79</v>
      </c>
      <c r="C21" s="37"/>
      <c r="D21" s="32"/>
    </row>
    <row r="22" spans="2:10">
      <c r="B22" s="31" t="s">
        <v>71</v>
      </c>
      <c r="C22" s="36"/>
      <c r="D22" s="30" t="s">
        <v>7</v>
      </c>
      <c r="F22" s="21" t="s">
        <v>53</v>
      </c>
      <c r="G22" s="22"/>
      <c r="H22" s="22"/>
    </row>
    <row r="23" spans="2:10">
      <c r="B23" s="27" t="s">
        <v>70</v>
      </c>
      <c r="C23" s="43"/>
      <c r="D23" s="29" t="s">
        <v>7</v>
      </c>
      <c r="F23" s="8" t="s">
        <v>38</v>
      </c>
      <c r="G23" s="13" t="s">
        <v>8</v>
      </c>
      <c r="H23" s="9" t="s">
        <v>9</v>
      </c>
    </row>
    <row r="24" spans="2:10">
      <c r="F24" s="28" t="s">
        <v>34</v>
      </c>
      <c r="G24" s="63">
        <f>C29%%</f>
        <v>1.3000000000000001E-2</v>
      </c>
      <c r="H24" s="32"/>
    </row>
    <row r="25" spans="2:10">
      <c r="B25" s="28" t="s">
        <v>31</v>
      </c>
      <c r="C25" s="57" t="s">
        <v>8</v>
      </c>
      <c r="D25" s="32" t="s">
        <v>9</v>
      </c>
      <c r="F25" s="27" t="s">
        <v>52</v>
      </c>
      <c r="G25" s="66">
        <f>(F-K_adj)/(σN*SQRT(tau))</f>
        <v>0.76185946246208991</v>
      </c>
      <c r="H25" s="29"/>
      <c r="J25" s="83"/>
    </row>
    <row r="26" spans="2:10">
      <c r="B26" s="28" t="s">
        <v>69</v>
      </c>
      <c r="C26" s="23">
        <v>4</v>
      </c>
      <c r="D26" s="32" t="s">
        <v>11</v>
      </c>
      <c r="F26" s="28" t="s">
        <v>88</v>
      </c>
      <c r="G26" s="63">
        <f>cp*(F-K_adj)*_xlfn.NORM.S.DIST(cp*d_,TRUE)+σN*SQRT(tau)*_xlfn.NORM.S.DIST(d_,FALSE)</f>
        <v>1.168666742025587E-2</v>
      </c>
      <c r="H26" s="32"/>
    </row>
    <row r="27" spans="2:10">
      <c r="B27" s="31" t="s">
        <v>59</v>
      </c>
      <c r="C27" s="10">
        <v>25</v>
      </c>
      <c r="D27" s="30" t="s">
        <v>11</v>
      </c>
      <c r="F27" s="31" t="s">
        <v>95</v>
      </c>
      <c r="G27" s="59">
        <f>BuySell*FixedLegAnnuityPx*G26</f>
        <v>2.1427633068183374E-2</v>
      </c>
      <c r="H27" s="30"/>
    </row>
    <row r="28" spans="2:10">
      <c r="B28" s="31" t="s">
        <v>91</v>
      </c>
      <c r="C28" s="10">
        <v>2</v>
      </c>
      <c r="D28" s="30" t="s">
        <v>11</v>
      </c>
      <c r="F28" s="27" t="s">
        <v>65</v>
      </c>
      <c r="G28" s="72">
        <f>G27*Notional</f>
        <v>2142763.3068183372</v>
      </c>
      <c r="H28" s="29" t="s">
        <v>29</v>
      </c>
    </row>
    <row r="29" spans="2:10">
      <c r="B29" s="11" t="s">
        <v>33</v>
      </c>
      <c r="C29" s="56">
        <v>130</v>
      </c>
      <c r="D29" s="12" t="s">
        <v>13</v>
      </c>
      <c r="F29" s="28" t="s">
        <v>50</v>
      </c>
      <c r="G29" s="67">
        <f>SQRT(tau)*_xlfn.NORM.S.DIST(d_,FALSE)</f>
        <v>0.30133745020279568</v>
      </c>
      <c r="H29" s="32"/>
    </row>
    <row r="30" spans="2:10">
      <c r="F30" s="27" t="s">
        <v>49</v>
      </c>
      <c r="G30" s="50">
        <f>G29*1%*1%*Notional*FixedLegAnnuityPx</f>
        <v>5525.0552449674451</v>
      </c>
      <c r="H30" s="29" t="s">
        <v>29</v>
      </c>
    </row>
    <row r="31" spans="2:10">
      <c r="B31" s="62" t="s">
        <v>42</v>
      </c>
    </row>
    <row r="32" spans="2:10">
      <c r="B32" s="61" t="s">
        <v>38</v>
      </c>
      <c r="C32" s="35" t="s">
        <v>8</v>
      </c>
      <c r="D32" s="33" t="s">
        <v>9</v>
      </c>
    </row>
    <row r="33" spans="2:7">
      <c r="B33" s="64" t="s">
        <v>35</v>
      </c>
      <c r="C33" s="63">
        <f>C8%</f>
        <v>0.04</v>
      </c>
      <c r="D33" s="32"/>
    </row>
    <row r="34" spans="2:7">
      <c r="B34" s="31" t="s">
        <v>119</v>
      </c>
      <c r="C34" s="59">
        <f>K-FloatingSpread%%*(FloatLegAnnuityPx/FixedLegAnnuityPx)</f>
        <v>0.03</v>
      </c>
      <c r="D34" s="30"/>
    </row>
    <row r="35" spans="2:7">
      <c r="B35" s="65" t="s">
        <v>57</v>
      </c>
      <c r="C35" s="59">
        <f>C26%</f>
        <v>0.04</v>
      </c>
      <c r="D35" s="30"/>
    </row>
    <row r="36" spans="2:7" ht="14.25">
      <c r="B36" s="31" t="s">
        <v>68</v>
      </c>
      <c r="C36" s="44">
        <f>SUMPRODUCT(_xlfn.ANCHORARRAY(M7),_xlfn.ANCHORARRAY(N7))</f>
        <v>1.8335109828695917</v>
      </c>
      <c r="D36" s="30"/>
      <c r="G36" s="51"/>
    </row>
    <row r="37" spans="2:7" ht="14.25">
      <c r="B37" s="31" t="s">
        <v>67</v>
      </c>
      <c r="C37" s="44">
        <f>SUMPRODUCT(_xlfn.ANCHORARRAY(V7),_xlfn.ANCHORARRAY(W7))</f>
        <v>1.8335109828695917</v>
      </c>
      <c r="D37" s="30"/>
    </row>
    <row r="38" spans="2:7">
      <c r="B38" s="31" t="s">
        <v>30</v>
      </c>
      <c r="C38" s="24" cm="1">
        <f t="array" ref="C38">_xlfn.IFS(C17="Buy",1,C17="Sell",-1)</f>
        <v>1</v>
      </c>
      <c r="D38" s="30" t="s">
        <v>80</v>
      </c>
    </row>
    <row r="39" spans="2:7">
      <c r="B39" s="31" t="s">
        <v>66</v>
      </c>
      <c r="C39" s="26">
        <f>WORKDAY(ExpirationDate,SettlementDelay)</f>
        <v>45840</v>
      </c>
      <c r="D39" s="30"/>
    </row>
    <row r="40" spans="2:7">
      <c r="B40" s="31" t="s">
        <v>58</v>
      </c>
      <c r="C40" s="46">
        <f>YEARFRAC(CurveDate,ExpirationDate,DCBFloat)</f>
        <v>1.0194444444444444</v>
      </c>
      <c r="D40" s="30" t="s">
        <v>56</v>
      </c>
    </row>
    <row r="41" spans="2:7">
      <c r="B41" s="31" t="s">
        <v>32</v>
      </c>
      <c r="C41" s="47" cm="1">
        <f t="array" ref="C41">_xlfn.IFS(C18="Payer",1,C18="Receiver",-1)</f>
        <v>1</v>
      </c>
      <c r="D41" s="30" t="s">
        <v>80</v>
      </c>
    </row>
    <row r="42" spans="2:7">
      <c r="B42" s="31" t="s">
        <v>114</v>
      </c>
      <c r="C42" s="84" cm="1">
        <f t="array" ref="C42">Linterp(DiscountCurve[Date],DiscountCurve[Discount Factor],ExpirationDate,-1,TRUE)</f>
        <v>0.9606284754391643</v>
      </c>
      <c r="D42" s="30"/>
    </row>
    <row r="43" spans="2:7">
      <c r="B43" s="31" t="s">
        <v>117</v>
      </c>
      <c r="C43" s="85">
        <f>Q2+AD2</f>
        <v>1954028.7860217728</v>
      </c>
      <c r="D43" s="30" t="s">
        <v>29</v>
      </c>
    </row>
    <row r="44" spans="2:7">
      <c r="B44" s="31" t="s">
        <v>113</v>
      </c>
      <c r="C44" s="85">
        <f>Q3+AD3</f>
        <v>1877095.6936803358</v>
      </c>
      <c r="D44" s="30" t="s">
        <v>29</v>
      </c>
    </row>
    <row r="45" spans="2:7">
      <c r="B45" s="27" t="s">
        <v>96</v>
      </c>
      <c r="C45" s="69" cm="1">
        <f t="array" ref="C45">100*100*Black76LnToNormalVolAnalytical(F,tau,K,σSLN,LogNormalShift)</f>
        <v>149.60272918973772</v>
      </c>
      <c r="D45" s="29" t="s">
        <v>13</v>
      </c>
    </row>
    <row r="46" spans="2:7">
      <c r="C46" s="6"/>
    </row>
    <row r="47" spans="2:7">
      <c r="C47" s="60"/>
    </row>
  </sheetData>
  <mergeCells count="9">
    <mergeCell ref="F17:F18"/>
    <mergeCell ref="O5:Q5"/>
    <mergeCell ref="X5:AD5"/>
    <mergeCell ref="N2:P2"/>
    <mergeCell ref="N3:P3"/>
    <mergeCell ref="AA2:AC2"/>
    <mergeCell ref="AA3:AC3"/>
    <mergeCell ref="J5:N5"/>
    <mergeCell ref="S5:W5"/>
  </mergeCells>
  <pageMargins left="0.7" right="0.7" top="0.75" bottom="0.75" header="0.3" footer="0.3"/>
  <pageSetup paperSize="9" orientation="portrait" r:id="rId1"/>
  <ignoredErrors>
    <ignoredError sqref="G17" 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29B7795F-A0B0-4807-9450-61EF9C621A26}">
          <x14:formula1>
            <xm:f>'Data Validation'!$H$1:$H$2</xm:f>
          </x14:formula1>
          <xm:sqref>C18</xm:sqref>
        </x14:dataValidation>
        <x14:dataValidation type="list" allowBlank="1" showInputMessage="1" showErrorMessage="1" xr:uid="{6D131D6B-8DFC-40B9-8A7E-0628E434A7D7}">
          <x14:formula1>
            <xm:f>'Data Validation'!$I$1:$I$3</xm:f>
          </x14:formula1>
          <xm:sqref>C21</xm:sqref>
        </x14:dataValidation>
        <x14:dataValidation type="list" allowBlank="1" showInputMessage="1" showErrorMessage="1" xr:uid="{88B077B2-DCD7-449A-9CA3-300D6735AA31}">
          <x14:formula1>
            <xm:f>'Data Validation'!$A$1:$A$2</xm:f>
          </x14:formula1>
          <xm:sqref>C17</xm:sqref>
        </x14:dataValidation>
        <x14:dataValidation type="list" allowBlank="1" showInputMessage="1" showErrorMessage="1" xr:uid="{249D1E42-ABF4-4E9F-A89A-0F80FAAA9CD6}">
          <x14:formula1>
            <xm:f>'Data Validation'!$B$1:$B$4</xm:f>
          </x14:formula1>
          <xm:sqref>C13:C14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64CD4-41B1-4336-B013-513E2F51FBB4}">
  <sheetPr codeName="Sheet5"/>
  <dimension ref="A1"/>
  <sheetViews>
    <sheetView tabSelected="1" workbookViewId="0"/>
  </sheetViews>
  <sheetFormatPr defaultRowHeight="12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53249" r:id="rId4">
          <objectPr defaultSize="0" r:id="rId5">
            <anchor moveWithCells="1">
              <from>
                <xdr:col>10</xdr:col>
                <xdr:colOff>142875</xdr:colOff>
                <xdr:row>31</xdr:row>
                <xdr:rowOff>38100</xdr:rowOff>
              </from>
              <to>
                <xdr:col>11</xdr:col>
                <xdr:colOff>447675</xdr:colOff>
                <xdr:row>36</xdr:row>
                <xdr:rowOff>47625</xdr:rowOff>
              </to>
            </anchor>
          </objectPr>
        </oleObject>
      </mc:Choice>
      <mc:Fallback>
        <oleObject progId="Document" dvAspect="DVASPECT_ICON" shapeId="532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1B58-3E32-4189-8BFB-9F0CF192976F}">
  <sheetPr codeName="Sheet3"/>
  <dimension ref="A1:I4"/>
  <sheetViews>
    <sheetView workbookViewId="0"/>
  </sheetViews>
  <sheetFormatPr defaultRowHeight="12"/>
  <cols>
    <col min="1" max="1" width="4" bestFit="1" customWidth="1"/>
    <col min="2" max="2" width="2.28515625" bestFit="1" customWidth="1"/>
    <col min="3" max="3" width="16.140625" bestFit="1" customWidth="1"/>
    <col min="4" max="4" width="9" bestFit="1" customWidth="1"/>
    <col min="5" max="5" width="6.28515625" bestFit="1" customWidth="1"/>
    <col min="6" max="6" width="14.140625" bestFit="1" customWidth="1"/>
    <col min="7" max="7" width="12.5703125" bestFit="1" customWidth="1"/>
    <col min="8" max="8" width="7.85546875" bestFit="1" customWidth="1"/>
    <col min="9" max="9" width="9" bestFit="1" customWidth="1"/>
    <col min="11" max="11" width="24" bestFit="1" customWidth="1"/>
  </cols>
  <sheetData>
    <row r="1" spans="1:9">
      <c r="A1" t="s">
        <v>16</v>
      </c>
      <c r="B1" t="s">
        <v>18</v>
      </c>
      <c r="C1" t="s">
        <v>19</v>
      </c>
      <c r="D1" t="s">
        <v>20</v>
      </c>
      <c r="E1" t="b">
        <v>1</v>
      </c>
      <c r="F1" t="s">
        <v>37</v>
      </c>
      <c r="G1" t="s">
        <v>61</v>
      </c>
      <c r="H1" t="s">
        <v>85</v>
      </c>
      <c r="I1" t="s">
        <v>20</v>
      </c>
    </row>
    <row r="2" spans="1:9">
      <c r="A2" t="s">
        <v>17</v>
      </c>
      <c r="B2" t="s">
        <v>14</v>
      </c>
      <c r="C2" t="s">
        <v>21</v>
      </c>
      <c r="D2" t="s">
        <v>22</v>
      </c>
      <c r="E2" t="b">
        <v>0</v>
      </c>
      <c r="F2" t="s">
        <v>36</v>
      </c>
      <c r="G2" t="s">
        <v>62</v>
      </c>
      <c r="H2" t="s">
        <v>86</v>
      </c>
      <c r="I2" t="s">
        <v>22</v>
      </c>
    </row>
    <row r="3" spans="1:9">
      <c r="B3" t="s">
        <v>23</v>
      </c>
      <c r="C3" t="s">
        <v>24</v>
      </c>
      <c r="D3" t="s">
        <v>25</v>
      </c>
      <c r="I3" t="s">
        <v>25</v>
      </c>
    </row>
    <row r="4" spans="1:9">
      <c r="B4" t="s">
        <v>26</v>
      </c>
      <c r="C4" t="s">
        <v>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155F-A1A9-4264-83B4-A2DB315CCA7A}">
  <sheetPr codeName="Sheet1"/>
  <dimension ref="A1:D1434"/>
  <sheetViews>
    <sheetView workbookViewId="0">
      <selection activeCell="A2" sqref="A2"/>
    </sheetView>
  </sheetViews>
  <sheetFormatPr defaultRowHeight="12"/>
  <cols>
    <col min="1" max="1" width="14.28515625" style="15" bestFit="1" customWidth="1"/>
    <col min="3" max="3" width="24" bestFit="1" customWidth="1"/>
    <col min="4" max="4" width="23.5703125" bestFit="1" customWidth="1"/>
  </cols>
  <sheetData>
    <row r="1" spans="1:4">
      <c r="A1" s="15" t="s">
        <v>78</v>
      </c>
      <c r="C1" t="s">
        <v>44</v>
      </c>
      <c r="D1" t="s">
        <v>118</v>
      </c>
    </row>
    <row r="2" spans="1:4">
      <c r="A2" s="15" cm="1">
        <f t="array" ref="A2:A1434">Holidays_NYC</f>
        <v>32874</v>
      </c>
      <c r="C2" s="18">
        <v>32874</v>
      </c>
      <c r="D2" s="15">
        <v>32874</v>
      </c>
    </row>
    <row r="3" spans="1:4">
      <c r="A3" s="15">
        <v>32888</v>
      </c>
      <c r="C3" s="18">
        <v>32899</v>
      </c>
      <c r="D3" s="15">
        <v>32888</v>
      </c>
    </row>
    <row r="4" spans="1:4">
      <c r="A4" s="15">
        <v>32916</v>
      </c>
      <c r="C4" s="18">
        <v>32976</v>
      </c>
      <c r="D4" s="15">
        <v>32916</v>
      </c>
    </row>
    <row r="5" spans="1:4">
      <c r="A5" s="15">
        <v>32923</v>
      </c>
      <c r="C5" s="18">
        <v>32979</v>
      </c>
      <c r="D5" s="15">
        <v>32923</v>
      </c>
    </row>
    <row r="6" spans="1:4">
      <c r="A6" s="15">
        <v>33021</v>
      </c>
      <c r="C6" s="18">
        <v>32988</v>
      </c>
      <c r="D6" s="15">
        <v>33021</v>
      </c>
    </row>
    <row r="7" spans="1:4">
      <c r="A7" s="15">
        <v>33058</v>
      </c>
      <c r="C7" s="18">
        <v>33035</v>
      </c>
      <c r="D7" s="15">
        <v>33058</v>
      </c>
    </row>
    <row r="8" spans="1:4">
      <c r="A8" s="15">
        <v>33119</v>
      </c>
      <c r="C8" s="18">
        <v>33091</v>
      </c>
      <c r="D8" s="15">
        <v>33119</v>
      </c>
    </row>
    <row r="9" spans="1:4">
      <c r="A9" s="15">
        <v>33154</v>
      </c>
      <c r="C9" s="18">
        <v>33147</v>
      </c>
      <c r="D9" s="15">
        <v>33154</v>
      </c>
    </row>
    <row r="10" spans="1:4">
      <c r="A10" s="15">
        <v>33189</v>
      </c>
      <c r="C10" s="18">
        <v>33232</v>
      </c>
      <c r="D10" s="15">
        <v>33189</v>
      </c>
    </row>
    <row r="11" spans="1:4">
      <c r="A11" s="15">
        <v>33199</v>
      </c>
      <c r="C11" s="18">
        <v>33233</v>
      </c>
      <c r="D11" s="15">
        <v>33199</v>
      </c>
    </row>
    <row r="12" spans="1:4">
      <c r="A12" s="15">
        <v>33232</v>
      </c>
      <c r="C12" s="18">
        <v>33239</v>
      </c>
      <c r="D12" s="15">
        <v>33232</v>
      </c>
    </row>
    <row r="13" spans="1:4">
      <c r="A13" s="15">
        <v>33239</v>
      </c>
      <c r="C13" s="18">
        <v>33326</v>
      </c>
      <c r="D13" s="15">
        <v>33239</v>
      </c>
    </row>
    <row r="14" spans="1:4">
      <c r="A14" s="15">
        <v>33259</v>
      </c>
      <c r="C14" s="18">
        <v>33329</v>
      </c>
      <c r="D14" s="15">
        <v>33259</v>
      </c>
    </row>
    <row r="15" spans="1:4">
      <c r="A15" s="15">
        <v>33281</v>
      </c>
      <c r="C15" s="18">
        <v>33353</v>
      </c>
      <c r="D15" s="15">
        <v>33281</v>
      </c>
    </row>
    <row r="16" spans="1:4">
      <c r="A16" s="15">
        <v>33287</v>
      </c>
      <c r="C16" s="18">
        <v>33399</v>
      </c>
      <c r="D16" s="15">
        <v>33287</v>
      </c>
    </row>
    <row r="17" spans="1:4">
      <c r="A17" s="15">
        <v>33385</v>
      </c>
      <c r="C17" s="18">
        <v>33455</v>
      </c>
      <c r="D17" s="15">
        <v>33385</v>
      </c>
    </row>
    <row r="18" spans="1:4">
      <c r="A18" s="15">
        <v>33423</v>
      </c>
      <c r="C18" s="18">
        <v>33518</v>
      </c>
      <c r="D18" s="15">
        <v>33423</v>
      </c>
    </row>
    <row r="19" spans="1:4">
      <c r="A19" s="15">
        <v>33483</v>
      </c>
      <c r="C19" s="18">
        <v>33597</v>
      </c>
      <c r="D19" s="15">
        <v>33483</v>
      </c>
    </row>
    <row r="20" spans="1:4">
      <c r="A20" s="15">
        <v>33525</v>
      </c>
      <c r="C20" s="18">
        <v>33598</v>
      </c>
      <c r="D20" s="15">
        <v>33525</v>
      </c>
    </row>
    <row r="21" spans="1:4">
      <c r="A21" s="15">
        <v>33553</v>
      </c>
      <c r="C21" s="18">
        <v>33604</v>
      </c>
      <c r="D21" s="15">
        <v>33553</v>
      </c>
    </row>
    <row r="22" spans="1:4">
      <c r="A22" s="15">
        <v>33570</v>
      </c>
      <c r="C22" s="18">
        <v>33630</v>
      </c>
      <c r="D22" s="15">
        <v>33570</v>
      </c>
    </row>
    <row r="23" spans="1:4">
      <c r="A23" s="15">
        <v>33597</v>
      </c>
      <c r="C23" s="18">
        <v>33711</v>
      </c>
      <c r="D23" s="15">
        <v>33597</v>
      </c>
    </row>
    <row r="24" spans="1:4">
      <c r="A24" s="15">
        <v>33604</v>
      </c>
      <c r="C24" s="18">
        <v>33714</v>
      </c>
      <c r="D24" s="15">
        <v>33604</v>
      </c>
    </row>
    <row r="25" spans="1:4">
      <c r="A25" s="15">
        <v>33623</v>
      </c>
      <c r="C25" s="18">
        <v>33721</v>
      </c>
      <c r="D25" s="15">
        <v>33623</v>
      </c>
    </row>
    <row r="26" spans="1:4">
      <c r="A26" s="15">
        <v>33646</v>
      </c>
      <c r="C26" s="18">
        <v>33763</v>
      </c>
      <c r="D26" s="15">
        <v>33646</v>
      </c>
    </row>
    <row r="27" spans="1:4">
      <c r="A27" s="15">
        <v>33651</v>
      </c>
      <c r="C27" s="18">
        <v>33819</v>
      </c>
      <c r="D27" s="15">
        <v>33651</v>
      </c>
    </row>
    <row r="28" spans="1:4">
      <c r="A28" s="15">
        <v>33749</v>
      </c>
      <c r="C28" s="18">
        <v>33882</v>
      </c>
      <c r="D28" s="15">
        <v>33749</v>
      </c>
    </row>
    <row r="29" spans="1:4">
      <c r="A29" s="15">
        <v>33788</v>
      </c>
      <c r="C29" s="18">
        <v>33963</v>
      </c>
      <c r="D29" s="15">
        <v>33788</v>
      </c>
    </row>
    <row r="30" spans="1:4">
      <c r="A30" s="15">
        <v>33854</v>
      </c>
      <c r="C30" s="18">
        <v>33970</v>
      </c>
      <c r="D30" s="15">
        <v>33854</v>
      </c>
    </row>
    <row r="31" spans="1:4">
      <c r="A31" s="15">
        <v>33889</v>
      </c>
      <c r="C31" s="18">
        <v>33995</v>
      </c>
      <c r="D31" s="15">
        <v>33889</v>
      </c>
    </row>
    <row r="32" spans="1:4">
      <c r="A32" s="15">
        <v>33919</v>
      </c>
      <c r="C32" s="18">
        <v>34068</v>
      </c>
      <c r="D32" s="15">
        <v>33919</v>
      </c>
    </row>
    <row r="33" spans="1:4">
      <c r="A33" s="15">
        <v>33934</v>
      </c>
      <c r="C33" s="18">
        <v>34071</v>
      </c>
      <c r="D33" s="15">
        <v>33934</v>
      </c>
    </row>
    <row r="34" spans="1:4">
      <c r="A34" s="15">
        <v>33963</v>
      </c>
      <c r="C34" s="18">
        <v>34085</v>
      </c>
      <c r="D34" s="15">
        <v>33963</v>
      </c>
    </row>
    <row r="35" spans="1:4">
      <c r="A35" s="15">
        <v>33970</v>
      </c>
      <c r="C35" s="18">
        <v>34134</v>
      </c>
      <c r="D35" s="15">
        <v>33970</v>
      </c>
    </row>
    <row r="36" spans="1:4">
      <c r="A36" s="15">
        <v>33987</v>
      </c>
      <c r="C36" s="18">
        <v>34183</v>
      </c>
      <c r="D36" s="15">
        <v>33987</v>
      </c>
    </row>
    <row r="37" spans="1:4">
      <c r="A37" s="15">
        <v>34012</v>
      </c>
      <c r="C37" s="18">
        <v>34246</v>
      </c>
      <c r="D37" s="15">
        <v>34012</v>
      </c>
    </row>
    <row r="38" spans="1:4">
      <c r="A38" s="15">
        <v>34015</v>
      </c>
      <c r="C38" s="18">
        <v>34330</v>
      </c>
      <c r="D38" s="15">
        <v>34015</v>
      </c>
    </row>
    <row r="39" spans="1:4">
      <c r="A39" s="15">
        <v>34120</v>
      </c>
      <c r="C39" s="18">
        <v>34360</v>
      </c>
      <c r="D39" s="15">
        <v>34120</v>
      </c>
    </row>
    <row r="40" spans="1:4">
      <c r="A40" s="15">
        <v>34155</v>
      </c>
      <c r="C40" s="18">
        <v>34425</v>
      </c>
      <c r="D40" s="15">
        <v>34155</v>
      </c>
    </row>
    <row r="41" spans="1:4">
      <c r="A41" s="15">
        <v>34218</v>
      </c>
      <c r="C41" s="18">
        <v>34428</v>
      </c>
      <c r="D41" s="15">
        <v>34218</v>
      </c>
    </row>
    <row r="42" spans="1:4">
      <c r="A42" s="15">
        <v>34253</v>
      </c>
      <c r="C42" s="18">
        <v>34449</v>
      </c>
      <c r="D42" s="15">
        <v>34253</v>
      </c>
    </row>
    <row r="43" spans="1:4">
      <c r="A43" s="15">
        <v>34284</v>
      </c>
      <c r="C43" s="18">
        <v>34498</v>
      </c>
      <c r="D43" s="15">
        <v>34284</v>
      </c>
    </row>
    <row r="44" spans="1:4">
      <c r="A44" s="15">
        <v>34298</v>
      </c>
      <c r="C44" s="18">
        <v>34547</v>
      </c>
      <c r="D44" s="15">
        <v>34298</v>
      </c>
    </row>
    <row r="45" spans="1:4">
      <c r="A45" s="15">
        <v>34327</v>
      </c>
      <c r="C45" s="18">
        <v>34610</v>
      </c>
      <c r="D45" s="15">
        <v>34327</v>
      </c>
    </row>
    <row r="46" spans="1:4">
      <c r="A46" s="15">
        <v>34334</v>
      </c>
      <c r="C46" s="18">
        <v>34694</v>
      </c>
      <c r="D46" s="15">
        <v>34334</v>
      </c>
    </row>
    <row r="47" spans="1:4">
      <c r="A47" s="15">
        <v>34351</v>
      </c>
      <c r="C47" s="18">
        <v>34695</v>
      </c>
      <c r="D47" s="15">
        <v>34351</v>
      </c>
    </row>
    <row r="48" spans="1:4">
      <c r="A48" s="15">
        <v>34376</v>
      </c>
      <c r="C48" s="18">
        <v>34701</v>
      </c>
      <c r="D48" s="15">
        <v>34376</v>
      </c>
    </row>
    <row r="49" spans="1:4">
      <c r="A49" s="15">
        <v>34386</v>
      </c>
      <c r="C49" s="18">
        <v>34725</v>
      </c>
      <c r="D49" s="15">
        <v>34386</v>
      </c>
    </row>
    <row r="50" spans="1:4">
      <c r="A50" s="15">
        <v>34484</v>
      </c>
      <c r="C50" s="18">
        <v>34803</v>
      </c>
      <c r="D50" s="15">
        <v>34484</v>
      </c>
    </row>
    <row r="51" spans="1:4">
      <c r="A51" s="15">
        <v>34519</v>
      </c>
      <c r="C51" s="18">
        <v>34806</v>
      </c>
      <c r="D51" s="15">
        <v>34519</v>
      </c>
    </row>
    <row r="52" spans="1:4">
      <c r="A52" s="15">
        <v>34582</v>
      </c>
      <c r="C52" s="18">
        <v>34814</v>
      </c>
      <c r="D52" s="15">
        <v>34582</v>
      </c>
    </row>
    <row r="53" spans="1:4">
      <c r="A53" s="15">
        <v>34617</v>
      </c>
      <c r="C53" s="18">
        <v>34862</v>
      </c>
      <c r="D53" s="15">
        <v>34617</v>
      </c>
    </row>
    <row r="54" spans="1:4">
      <c r="A54" s="15">
        <v>34649</v>
      </c>
      <c r="C54" s="18">
        <v>34918</v>
      </c>
      <c r="D54" s="15">
        <v>34649</v>
      </c>
    </row>
    <row r="55" spans="1:4">
      <c r="A55" s="15">
        <v>34662</v>
      </c>
      <c r="C55" s="18">
        <v>34974</v>
      </c>
      <c r="D55" s="15">
        <v>34662</v>
      </c>
    </row>
    <row r="56" spans="1:4">
      <c r="A56" s="15">
        <v>34694</v>
      </c>
      <c r="C56" s="18">
        <v>35058</v>
      </c>
      <c r="D56" s="15">
        <v>34694</v>
      </c>
    </row>
    <row r="57" spans="1:4">
      <c r="A57" s="15">
        <v>34701</v>
      </c>
      <c r="C57" s="18">
        <v>35059</v>
      </c>
      <c r="D57" s="15">
        <v>34701</v>
      </c>
    </row>
    <row r="58" spans="1:4">
      <c r="A58" s="15">
        <v>34715</v>
      </c>
      <c r="C58" s="18">
        <v>35065</v>
      </c>
      <c r="D58" s="15">
        <v>34715</v>
      </c>
    </row>
    <row r="59" spans="1:4">
      <c r="A59" s="15">
        <v>34743</v>
      </c>
      <c r="C59" s="18">
        <v>35090</v>
      </c>
      <c r="D59" s="15">
        <v>34743</v>
      </c>
    </row>
    <row r="60" spans="1:4">
      <c r="A60" s="15">
        <v>34750</v>
      </c>
      <c r="C60" s="18">
        <v>35160</v>
      </c>
      <c r="D60" s="15">
        <v>34750</v>
      </c>
    </row>
    <row r="61" spans="1:4">
      <c r="A61" s="15">
        <v>34848</v>
      </c>
      <c r="C61" s="18">
        <v>35163</v>
      </c>
      <c r="D61" s="15">
        <v>34848</v>
      </c>
    </row>
    <row r="62" spans="1:4">
      <c r="A62" s="15">
        <v>34884</v>
      </c>
      <c r="C62" s="18">
        <v>35180</v>
      </c>
      <c r="D62" s="15">
        <v>34884</v>
      </c>
    </row>
    <row r="63" spans="1:4">
      <c r="A63" s="15">
        <v>34946</v>
      </c>
      <c r="C63" s="18">
        <v>35226</v>
      </c>
      <c r="D63" s="15">
        <v>34946</v>
      </c>
    </row>
    <row r="64" spans="1:4">
      <c r="A64" s="15">
        <v>34981</v>
      </c>
      <c r="C64" s="18">
        <v>35282</v>
      </c>
      <c r="D64" s="15">
        <v>34981</v>
      </c>
    </row>
    <row r="65" spans="1:4">
      <c r="A65" s="15">
        <v>35013</v>
      </c>
      <c r="C65" s="18">
        <v>35345</v>
      </c>
      <c r="D65" s="15">
        <v>35013</v>
      </c>
    </row>
    <row r="66" spans="1:4">
      <c r="A66" s="15">
        <v>35026</v>
      </c>
      <c r="C66" s="18">
        <v>35424</v>
      </c>
      <c r="D66" s="15">
        <v>35026</v>
      </c>
    </row>
    <row r="67" spans="1:4">
      <c r="A67" s="15">
        <v>35058</v>
      </c>
      <c r="C67" s="18">
        <v>35425</v>
      </c>
      <c r="D67" s="15">
        <v>35058</v>
      </c>
    </row>
    <row r="68" spans="1:4">
      <c r="A68" s="15">
        <v>35065</v>
      </c>
      <c r="C68" s="18">
        <v>35431</v>
      </c>
      <c r="D68" s="15">
        <v>35065</v>
      </c>
    </row>
    <row r="69" spans="1:4">
      <c r="A69" s="15">
        <v>35079</v>
      </c>
      <c r="C69" s="18">
        <v>35457</v>
      </c>
      <c r="D69" s="15">
        <v>35079</v>
      </c>
    </row>
    <row r="70" spans="1:4">
      <c r="A70" s="15">
        <v>35107</v>
      </c>
      <c r="C70" s="18">
        <v>35517</v>
      </c>
      <c r="D70" s="15">
        <v>35107</v>
      </c>
    </row>
    <row r="71" spans="1:4">
      <c r="A71" s="15">
        <v>35114</v>
      </c>
      <c r="C71" s="18">
        <v>35520</v>
      </c>
      <c r="D71" s="15">
        <v>35114</v>
      </c>
    </row>
    <row r="72" spans="1:4">
      <c r="A72" s="15">
        <v>35212</v>
      </c>
      <c r="C72" s="18">
        <v>35545</v>
      </c>
      <c r="D72" s="15">
        <v>35212</v>
      </c>
    </row>
    <row r="73" spans="1:4">
      <c r="A73" s="15">
        <v>35250</v>
      </c>
      <c r="C73" s="18">
        <v>35590</v>
      </c>
      <c r="D73" s="15">
        <v>35250</v>
      </c>
    </row>
    <row r="74" spans="1:4">
      <c r="A74" s="15">
        <v>35310</v>
      </c>
      <c r="C74" s="18">
        <v>35646</v>
      </c>
      <c r="D74" s="15">
        <v>35310</v>
      </c>
    </row>
    <row r="75" spans="1:4">
      <c r="A75" s="15">
        <v>35352</v>
      </c>
      <c r="C75" s="18">
        <v>35709</v>
      </c>
      <c r="D75" s="15">
        <v>35352</v>
      </c>
    </row>
    <row r="76" spans="1:4">
      <c r="A76" s="15">
        <v>35380</v>
      </c>
      <c r="C76" s="18">
        <v>35789</v>
      </c>
      <c r="D76" s="15">
        <v>35380</v>
      </c>
    </row>
    <row r="77" spans="1:4">
      <c r="A77" s="15">
        <v>35397</v>
      </c>
      <c r="C77" s="18">
        <v>35790</v>
      </c>
      <c r="D77" s="15">
        <v>35397</v>
      </c>
    </row>
    <row r="78" spans="1:4">
      <c r="A78" s="15">
        <v>35424</v>
      </c>
      <c r="C78" s="18">
        <v>35796</v>
      </c>
      <c r="D78" s="15">
        <v>35424</v>
      </c>
    </row>
    <row r="79" spans="1:4">
      <c r="A79" s="15">
        <v>35431</v>
      </c>
      <c r="C79" s="18">
        <v>35821</v>
      </c>
      <c r="D79" s="15">
        <v>35431</v>
      </c>
    </row>
    <row r="80" spans="1:4">
      <c r="A80" s="15">
        <v>35450</v>
      </c>
      <c r="C80" s="18">
        <v>35895</v>
      </c>
      <c r="D80" s="15">
        <v>35450</v>
      </c>
    </row>
    <row r="81" spans="1:4">
      <c r="A81" s="15">
        <v>35473</v>
      </c>
      <c r="C81" s="18">
        <v>35898</v>
      </c>
      <c r="D81" s="15">
        <v>35473</v>
      </c>
    </row>
    <row r="82" spans="1:4">
      <c r="A82" s="15">
        <v>35478</v>
      </c>
      <c r="C82" s="18">
        <v>35912</v>
      </c>
      <c r="D82" s="15">
        <v>35478</v>
      </c>
    </row>
    <row r="83" spans="1:4">
      <c r="A83" s="15">
        <v>35576</v>
      </c>
      <c r="C83" s="18">
        <v>35954</v>
      </c>
      <c r="D83" s="15">
        <v>35576</v>
      </c>
    </row>
    <row r="84" spans="1:4">
      <c r="A84" s="15">
        <v>35615</v>
      </c>
      <c r="C84" s="18">
        <v>36010</v>
      </c>
      <c r="D84" s="15">
        <v>35615</v>
      </c>
    </row>
    <row r="85" spans="1:4">
      <c r="A85" s="15">
        <v>35674</v>
      </c>
      <c r="C85" s="18">
        <v>36073</v>
      </c>
      <c r="D85" s="15">
        <v>35674</v>
      </c>
    </row>
    <row r="86" spans="1:4">
      <c r="A86" s="15">
        <v>35716</v>
      </c>
      <c r="C86" s="18">
        <v>36154</v>
      </c>
      <c r="D86" s="15">
        <v>35716</v>
      </c>
    </row>
    <row r="87" spans="1:4">
      <c r="A87" s="15">
        <v>35745</v>
      </c>
      <c r="C87" s="18">
        <v>36161</v>
      </c>
      <c r="D87" s="15">
        <v>35745</v>
      </c>
    </row>
    <row r="88" spans="1:4">
      <c r="A88" s="15">
        <v>35761</v>
      </c>
      <c r="C88" s="18">
        <v>36186</v>
      </c>
      <c r="D88" s="15">
        <v>35761</v>
      </c>
    </row>
    <row r="89" spans="1:4">
      <c r="A89" s="15">
        <v>35789</v>
      </c>
      <c r="C89" s="18">
        <v>36252</v>
      </c>
      <c r="D89" s="15">
        <v>35789</v>
      </c>
    </row>
    <row r="90" spans="1:4">
      <c r="A90" s="15">
        <v>35796</v>
      </c>
      <c r="C90" s="18">
        <v>36255</v>
      </c>
      <c r="D90" s="15">
        <v>35796</v>
      </c>
    </row>
    <row r="91" spans="1:4">
      <c r="A91" s="15">
        <v>35814</v>
      </c>
      <c r="C91" s="18">
        <v>36276</v>
      </c>
      <c r="D91" s="15">
        <v>35814</v>
      </c>
    </row>
    <row r="92" spans="1:4">
      <c r="A92" s="15">
        <v>35838</v>
      </c>
      <c r="C92" s="18">
        <v>36325</v>
      </c>
      <c r="D92" s="15">
        <v>35838</v>
      </c>
    </row>
    <row r="93" spans="1:4">
      <c r="A93" s="15">
        <v>35842</v>
      </c>
      <c r="C93" s="18">
        <v>36374</v>
      </c>
      <c r="D93" s="15">
        <v>35842</v>
      </c>
    </row>
    <row r="94" spans="1:4">
      <c r="A94" s="15">
        <v>35940</v>
      </c>
      <c r="C94" s="18">
        <v>36437</v>
      </c>
      <c r="D94" s="15">
        <v>35940</v>
      </c>
    </row>
    <row r="95" spans="1:4">
      <c r="A95" s="15">
        <v>35979</v>
      </c>
      <c r="C95" s="18">
        <v>36521</v>
      </c>
      <c r="D95" s="15">
        <v>35979</v>
      </c>
    </row>
    <row r="96" spans="1:4">
      <c r="A96" s="15">
        <v>36045</v>
      </c>
      <c r="C96" s="18">
        <v>36551</v>
      </c>
      <c r="D96" s="15">
        <v>36045</v>
      </c>
    </row>
    <row r="97" spans="1:4">
      <c r="A97" s="15">
        <v>36080</v>
      </c>
      <c r="C97" s="18">
        <v>36637</v>
      </c>
      <c r="D97" s="15">
        <v>36080</v>
      </c>
    </row>
    <row r="98" spans="1:4">
      <c r="A98" s="15">
        <v>36110</v>
      </c>
      <c r="C98" s="18">
        <v>36640</v>
      </c>
      <c r="D98" s="15">
        <v>36110</v>
      </c>
    </row>
    <row r="99" spans="1:4">
      <c r="A99" s="15">
        <v>36125</v>
      </c>
      <c r="C99" s="18">
        <v>36641</v>
      </c>
      <c r="D99" s="15">
        <v>36125</v>
      </c>
    </row>
    <row r="100" spans="1:4">
      <c r="A100" s="15">
        <v>36154</v>
      </c>
      <c r="C100" s="18">
        <v>36689</v>
      </c>
      <c r="D100" s="15">
        <v>36154</v>
      </c>
    </row>
    <row r="101" spans="1:4">
      <c r="A101" s="15">
        <v>36161</v>
      </c>
      <c r="C101" s="18">
        <v>36745</v>
      </c>
      <c r="D101" s="15">
        <v>36161</v>
      </c>
    </row>
    <row r="102" spans="1:4">
      <c r="A102" s="15">
        <v>36178</v>
      </c>
      <c r="C102" s="18">
        <v>36801</v>
      </c>
      <c r="D102" s="15">
        <v>36178</v>
      </c>
    </row>
    <row r="103" spans="1:4">
      <c r="A103" s="15">
        <v>36203</v>
      </c>
      <c r="C103" s="18">
        <v>36885</v>
      </c>
      <c r="D103" s="15">
        <v>36203</v>
      </c>
    </row>
    <row r="104" spans="1:4">
      <c r="A104" s="15">
        <v>36206</v>
      </c>
      <c r="C104" s="18">
        <v>36886</v>
      </c>
      <c r="D104" s="15">
        <v>36206</v>
      </c>
    </row>
    <row r="105" spans="1:4">
      <c r="A105" s="15">
        <v>36311</v>
      </c>
      <c r="C105" s="18">
        <v>36892</v>
      </c>
      <c r="D105" s="15">
        <v>36311</v>
      </c>
    </row>
    <row r="106" spans="1:4">
      <c r="A106" s="15">
        <v>36346</v>
      </c>
      <c r="C106" s="18">
        <v>36917</v>
      </c>
      <c r="D106" s="15">
        <v>36346</v>
      </c>
    </row>
    <row r="107" spans="1:4">
      <c r="A107" s="15">
        <v>36409</v>
      </c>
      <c r="C107" s="18">
        <v>36994</v>
      </c>
      <c r="D107" s="15">
        <v>36409</v>
      </c>
    </row>
    <row r="108" spans="1:4">
      <c r="A108" s="15">
        <v>36444</v>
      </c>
      <c r="C108" s="18">
        <v>36997</v>
      </c>
      <c r="D108" s="15">
        <v>36444</v>
      </c>
    </row>
    <row r="109" spans="1:4">
      <c r="A109" s="15">
        <v>36475</v>
      </c>
      <c r="C109" s="18">
        <v>37006</v>
      </c>
      <c r="D109" s="15">
        <v>36475</v>
      </c>
    </row>
    <row r="110" spans="1:4">
      <c r="A110" s="15">
        <v>36489</v>
      </c>
      <c r="C110" s="18">
        <v>37053</v>
      </c>
      <c r="D110" s="15">
        <v>36489</v>
      </c>
    </row>
    <row r="111" spans="1:4">
      <c r="A111" s="15">
        <v>36518</v>
      </c>
      <c r="C111" s="18">
        <v>37109</v>
      </c>
      <c r="D111" s="15">
        <v>36518</v>
      </c>
    </row>
    <row r="112" spans="1:4">
      <c r="A112" s="15">
        <v>36525</v>
      </c>
      <c r="C112" s="18">
        <v>37165</v>
      </c>
      <c r="D112" s="15">
        <v>36525</v>
      </c>
    </row>
    <row r="113" spans="1:4">
      <c r="A113" s="15">
        <v>36542</v>
      </c>
      <c r="C113" s="18">
        <v>37250</v>
      </c>
      <c r="D113" s="15">
        <v>36542</v>
      </c>
    </row>
    <row r="114" spans="1:4">
      <c r="A114" s="15">
        <v>36567</v>
      </c>
      <c r="C114" s="18">
        <v>37251</v>
      </c>
      <c r="D114" s="15">
        <v>36567</v>
      </c>
    </row>
    <row r="115" spans="1:4">
      <c r="A115" s="15">
        <v>36577</v>
      </c>
      <c r="C115" s="18">
        <v>37257</v>
      </c>
      <c r="D115" s="15">
        <v>36577</v>
      </c>
    </row>
    <row r="116" spans="1:4">
      <c r="A116" s="15">
        <v>36675</v>
      </c>
      <c r="C116" s="18">
        <v>37344</v>
      </c>
      <c r="D116" s="15">
        <v>36675</v>
      </c>
    </row>
    <row r="117" spans="1:4">
      <c r="A117" s="15">
        <v>36711</v>
      </c>
      <c r="C117" s="18">
        <v>37347</v>
      </c>
      <c r="D117" s="15">
        <v>36711</v>
      </c>
    </row>
    <row r="118" spans="1:4">
      <c r="A118" s="15">
        <v>36773</v>
      </c>
      <c r="C118" s="18">
        <v>37371</v>
      </c>
      <c r="D118" s="15">
        <v>36773</v>
      </c>
    </row>
    <row r="119" spans="1:4">
      <c r="A119" s="15">
        <v>36808</v>
      </c>
      <c r="C119" s="18">
        <v>37417</v>
      </c>
      <c r="D119" s="15">
        <v>36808</v>
      </c>
    </row>
    <row r="120" spans="1:4">
      <c r="A120" s="15">
        <v>36840</v>
      </c>
      <c r="C120" s="18">
        <v>37473</v>
      </c>
      <c r="D120" s="15">
        <v>36840</v>
      </c>
    </row>
    <row r="121" spans="1:4">
      <c r="A121" s="15">
        <v>36853</v>
      </c>
      <c r="C121" s="18">
        <v>37536</v>
      </c>
      <c r="D121" s="15">
        <v>36853</v>
      </c>
    </row>
    <row r="122" spans="1:4">
      <c r="A122" s="15">
        <v>36885</v>
      </c>
      <c r="C122" s="18">
        <v>37615</v>
      </c>
      <c r="D122" s="15">
        <v>36885</v>
      </c>
    </row>
    <row r="123" spans="1:4">
      <c r="A123" s="15">
        <v>36892</v>
      </c>
      <c r="C123" s="18">
        <v>37616</v>
      </c>
      <c r="D123" s="15">
        <v>36892</v>
      </c>
    </row>
    <row r="124" spans="1:4">
      <c r="A124" s="15">
        <v>36906</v>
      </c>
      <c r="C124" s="18">
        <v>37622</v>
      </c>
      <c r="D124" s="15">
        <v>36906</v>
      </c>
    </row>
    <row r="125" spans="1:4">
      <c r="A125" s="15">
        <v>36934</v>
      </c>
      <c r="C125" s="18">
        <v>37648</v>
      </c>
      <c r="D125" s="15">
        <v>36934</v>
      </c>
    </row>
    <row r="126" spans="1:4">
      <c r="A126" s="15">
        <v>36941</v>
      </c>
      <c r="C126" s="18">
        <v>37729</v>
      </c>
      <c r="D126" s="15">
        <v>36941</v>
      </c>
    </row>
    <row r="127" spans="1:4">
      <c r="A127" s="15">
        <v>37039</v>
      </c>
      <c r="C127" s="18">
        <v>37732</v>
      </c>
      <c r="D127" s="15">
        <v>37039</v>
      </c>
    </row>
    <row r="128" spans="1:4">
      <c r="A128" s="15">
        <v>37076</v>
      </c>
      <c r="C128" s="18">
        <v>37736</v>
      </c>
      <c r="D128" s="15">
        <v>37076</v>
      </c>
    </row>
    <row r="129" spans="1:4">
      <c r="A129" s="15">
        <v>37137</v>
      </c>
      <c r="C129" s="18">
        <v>37781</v>
      </c>
      <c r="D129" s="15">
        <v>37137</v>
      </c>
    </row>
    <row r="130" spans="1:4">
      <c r="A130" s="15">
        <v>37172</v>
      </c>
      <c r="C130" s="18">
        <v>37837</v>
      </c>
      <c r="D130" s="15">
        <v>37172</v>
      </c>
    </row>
    <row r="131" spans="1:4">
      <c r="A131" s="15">
        <v>37207</v>
      </c>
      <c r="C131" s="18">
        <v>37900</v>
      </c>
      <c r="D131" s="15">
        <v>37207</v>
      </c>
    </row>
    <row r="132" spans="1:4">
      <c r="A132" s="15">
        <v>37217</v>
      </c>
      <c r="C132" s="18">
        <v>37980</v>
      </c>
      <c r="D132" s="15">
        <v>37217</v>
      </c>
    </row>
    <row r="133" spans="1:4">
      <c r="A133" s="15">
        <v>37250</v>
      </c>
      <c r="C133" s="18">
        <v>37981</v>
      </c>
      <c r="D133" s="15">
        <v>37250</v>
      </c>
    </row>
    <row r="134" spans="1:4">
      <c r="A134" s="15">
        <v>37257</v>
      </c>
      <c r="C134" s="18">
        <v>37987</v>
      </c>
      <c r="D134" s="15">
        <v>37257</v>
      </c>
    </row>
    <row r="135" spans="1:4">
      <c r="A135" s="15">
        <v>37277</v>
      </c>
      <c r="C135" s="18">
        <v>38012</v>
      </c>
      <c r="D135" s="15">
        <v>37277</v>
      </c>
    </row>
    <row r="136" spans="1:4">
      <c r="A136" s="15">
        <v>37299</v>
      </c>
      <c r="C136" s="18">
        <v>38086</v>
      </c>
      <c r="D136" s="15">
        <v>37299</v>
      </c>
    </row>
    <row r="137" spans="1:4">
      <c r="A137" s="15">
        <v>37305</v>
      </c>
      <c r="C137" s="18">
        <v>38089</v>
      </c>
      <c r="D137" s="15">
        <v>37305</v>
      </c>
    </row>
    <row r="138" spans="1:4">
      <c r="A138" s="15">
        <v>37403</v>
      </c>
      <c r="C138" s="18">
        <v>38103</v>
      </c>
      <c r="D138" s="15">
        <v>37403</v>
      </c>
    </row>
    <row r="139" spans="1:4">
      <c r="A139" s="15">
        <v>37441</v>
      </c>
      <c r="C139" s="18">
        <v>38152</v>
      </c>
      <c r="D139" s="15">
        <v>37441</v>
      </c>
    </row>
    <row r="140" spans="1:4">
      <c r="A140" s="15">
        <v>37501</v>
      </c>
      <c r="C140" s="18">
        <v>38201</v>
      </c>
      <c r="D140" s="15">
        <v>37501</v>
      </c>
    </row>
    <row r="141" spans="1:4">
      <c r="A141" s="15">
        <v>37543</v>
      </c>
      <c r="C141" s="18">
        <v>38264</v>
      </c>
      <c r="D141" s="15">
        <v>37543</v>
      </c>
    </row>
    <row r="142" spans="1:4">
      <c r="A142" s="15">
        <v>37571</v>
      </c>
      <c r="C142" s="18">
        <v>38348</v>
      </c>
      <c r="D142" s="15">
        <v>37571</v>
      </c>
    </row>
    <row r="143" spans="1:4">
      <c r="A143" s="15">
        <v>37588</v>
      </c>
      <c r="C143" s="18">
        <v>38378</v>
      </c>
      <c r="D143" s="15">
        <v>37588</v>
      </c>
    </row>
    <row r="144" spans="1:4">
      <c r="A144" s="15">
        <v>37615</v>
      </c>
      <c r="C144" s="18">
        <v>38436</v>
      </c>
      <c r="D144" s="15">
        <v>37615</v>
      </c>
    </row>
    <row r="145" spans="1:4">
      <c r="A145" s="15">
        <v>37622</v>
      </c>
      <c r="C145" s="18">
        <v>38439</v>
      </c>
      <c r="D145" s="15">
        <v>37622</v>
      </c>
    </row>
    <row r="146" spans="1:4">
      <c r="A146" s="15">
        <v>37641</v>
      </c>
      <c r="C146" s="18">
        <v>38467</v>
      </c>
      <c r="D146" s="15">
        <v>37641</v>
      </c>
    </row>
    <row r="147" spans="1:4">
      <c r="A147" s="15">
        <v>37664</v>
      </c>
      <c r="C147" s="18">
        <v>38516</v>
      </c>
      <c r="D147" s="15">
        <v>37664</v>
      </c>
    </row>
    <row r="148" spans="1:4">
      <c r="A148" s="15">
        <v>37669</v>
      </c>
      <c r="C148" s="18">
        <v>38565</v>
      </c>
      <c r="D148" s="15">
        <v>37669</v>
      </c>
    </row>
    <row r="149" spans="1:4">
      <c r="A149" s="15">
        <v>37767</v>
      </c>
      <c r="C149" s="18">
        <v>38628</v>
      </c>
      <c r="D149" s="15">
        <v>37767</v>
      </c>
    </row>
    <row r="150" spans="1:4">
      <c r="A150" s="15">
        <v>37806</v>
      </c>
      <c r="C150" s="18">
        <v>38712</v>
      </c>
      <c r="D150" s="15">
        <v>37806</v>
      </c>
    </row>
    <row r="151" spans="1:4">
      <c r="A151" s="15">
        <v>37865</v>
      </c>
      <c r="C151" s="18">
        <v>38713</v>
      </c>
      <c r="D151" s="15">
        <v>37865</v>
      </c>
    </row>
    <row r="152" spans="1:4">
      <c r="A152" s="15">
        <v>37907</v>
      </c>
      <c r="C152" s="18">
        <v>38719</v>
      </c>
      <c r="D152" s="15">
        <v>37907</v>
      </c>
    </row>
    <row r="153" spans="1:4">
      <c r="A153" s="15">
        <v>37936</v>
      </c>
      <c r="C153" s="18">
        <v>38743</v>
      </c>
      <c r="D153" s="15">
        <v>37936</v>
      </c>
    </row>
    <row r="154" spans="1:4">
      <c r="A154" s="15">
        <v>37952</v>
      </c>
      <c r="C154" s="18">
        <v>38821</v>
      </c>
      <c r="D154" s="15">
        <v>37952</v>
      </c>
    </row>
    <row r="155" spans="1:4">
      <c r="A155" s="15">
        <v>37980</v>
      </c>
      <c r="C155" s="18">
        <v>38824</v>
      </c>
      <c r="D155" s="15">
        <v>37980</v>
      </c>
    </row>
    <row r="156" spans="1:4">
      <c r="A156" s="15">
        <v>37987</v>
      </c>
      <c r="C156" s="18">
        <v>38832</v>
      </c>
      <c r="D156" s="15">
        <v>37987</v>
      </c>
    </row>
    <row r="157" spans="1:4">
      <c r="A157" s="15">
        <v>38005</v>
      </c>
      <c r="C157" s="18">
        <v>38880</v>
      </c>
      <c r="D157" s="15">
        <v>38005</v>
      </c>
    </row>
    <row r="158" spans="1:4">
      <c r="A158" s="15">
        <v>38029</v>
      </c>
      <c r="C158" s="18">
        <v>38936</v>
      </c>
      <c r="D158" s="15">
        <v>38029</v>
      </c>
    </row>
    <row r="159" spans="1:4">
      <c r="A159" s="15">
        <v>38033</v>
      </c>
      <c r="C159" s="18">
        <v>38992</v>
      </c>
      <c r="D159" s="15">
        <v>38033</v>
      </c>
    </row>
    <row r="160" spans="1:4">
      <c r="A160" s="15">
        <v>38138</v>
      </c>
      <c r="C160" s="18">
        <v>39076</v>
      </c>
      <c r="D160" s="15">
        <v>38138</v>
      </c>
    </row>
    <row r="161" spans="1:4">
      <c r="A161" s="15">
        <v>38173</v>
      </c>
      <c r="C161" s="18">
        <v>39077</v>
      </c>
      <c r="D161" s="15">
        <v>38173</v>
      </c>
    </row>
    <row r="162" spans="1:4">
      <c r="A162" s="15">
        <v>38236</v>
      </c>
      <c r="C162" s="18">
        <v>39083</v>
      </c>
      <c r="D162" s="15">
        <v>38236</v>
      </c>
    </row>
    <row r="163" spans="1:4">
      <c r="A163" s="15">
        <v>38271</v>
      </c>
      <c r="C163" s="18">
        <v>39108</v>
      </c>
      <c r="D163" s="15">
        <v>38271</v>
      </c>
    </row>
    <row r="164" spans="1:4">
      <c r="A164" s="15">
        <v>38302</v>
      </c>
      <c r="C164" s="18">
        <v>39178</v>
      </c>
      <c r="D164" s="15">
        <v>38302</v>
      </c>
    </row>
    <row r="165" spans="1:4">
      <c r="A165" s="15">
        <v>38316</v>
      </c>
      <c r="C165" s="18">
        <v>39181</v>
      </c>
      <c r="D165" s="15">
        <v>38316</v>
      </c>
    </row>
    <row r="166" spans="1:4">
      <c r="A166" s="15">
        <v>38345</v>
      </c>
      <c r="C166" s="18">
        <v>39197</v>
      </c>
      <c r="D166" s="15">
        <v>38345</v>
      </c>
    </row>
    <row r="167" spans="1:4">
      <c r="A167" s="15">
        <v>38352</v>
      </c>
      <c r="C167" s="18">
        <v>39244</v>
      </c>
      <c r="D167" s="15">
        <v>38352</v>
      </c>
    </row>
    <row r="168" spans="1:4">
      <c r="A168" s="15">
        <v>38369</v>
      </c>
      <c r="C168" s="18">
        <v>39300</v>
      </c>
      <c r="D168" s="15">
        <v>38369</v>
      </c>
    </row>
    <row r="169" spans="1:4">
      <c r="A169" s="15">
        <v>38394</v>
      </c>
      <c r="C169" s="18">
        <v>39356</v>
      </c>
      <c r="D169" s="15">
        <v>38394</v>
      </c>
    </row>
    <row r="170" spans="1:4">
      <c r="A170" s="15">
        <v>38398</v>
      </c>
      <c r="C170" s="18">
        <v>39441</v>
      </c>
      <c r="D170" s="15">
        <v>38398</v>
      </c>
    </row>
    <row r="171" spans="1:4">
      <c r="A171" s="15">
        <v>38404</v>
      </c>
      <c r="C171" s="18">
        <v>39442</v>
      </c>
      <c r="D171" s="15">
        <v>38404</v>
      </c>
    </row>
    <row r="172" spans="1:4">
      <c r="A172" s="15">
        <v>38502</v>
      </c>
      <c r="C172" s="18">
        <v>39448</v>
      </c>
      <c r="D172" s="15">
        <v>38502</v>
      </c>
    </row>
    <row r="173" spans="1:4">
      <c r="A173" s="15">
        <v>38537</v>
      </c>
      <c r="C173" s="18">
        <v>39528</v>
      </c>
      <c r="D173" s="15">
        <v>38537</v>
      </c>
    </row>
    <row r="174" spans="1:4">
      <c r="A174" s="15">
        <v>38600</v>
      </c>
      <c r="C174" s="18">
        <v>39531</v>
      </c>
      <c r="D174" s="15">
        <v>38600</v>
      </c>
    </row>
    <row r="175" spans="1:4">
      <c r="A175" s="15">
        <v>38635</v>
      </c>
      <c r="C175" s="18">
        <v>39563</v>
      </c>
      <c r="D175" s="15">
        <v>38635</v>
      </c>
    </row>
    <row r="176" spans="1:4">
      <c r="A176" s="15">
        <v>38667</v>
      </c>
      <c r="C176" s="18">
        <v>39608</v>
      </c>
      <c r="D176" s="15">
        <v>38667</v>
      </c>
    </row>
    <row r="177" spans="1:4">
      <c r="A177" s="15">
        <v>38680</v>
      </c>
      <c r="C177" s="18">
        <v>39664</v>
      </c>
      <c r="D177" s="15">
        <v>38680</v>
      </c>
    </row>
    <row r="178" spans="1:4">
      <c r="A178" s="15">
        <v>38712</v>
      </c>
      <c r="C178" s="18">
        <v>39727</v>
      </c>
      <c r="D178" s="15">
        <v>38712</v>
      </c>
    </row>
    <row r="179" spans="1:4">
      <c r="A179" s="15">
        <v>38719</v>
      </c>
      <c r="C179" s="18">
        <v>39807</v>
      </c>
      <c r="D179" s="15">
        <v>38719</v>
      </c>
    </row>
    <row r="180" spans="1:4">
      <c r="A180" s="15">
        <v>38733</v>
      </c>
      <c r="C180" s="18">
        <v>39808</v>
      </c>
      <c r="D180" s="15">
        <v>38733</v>
      </c>
    </row>
    <row r="181" spans="1:4">
      <c r="A181" s="15">
        <v>38761</v>
      </c>
      <c r="C181" s="18">
        <v>39814</v>
      </c>
      <c r="D181" s="15">
        <v>38761</v>
      </c>
    </row>
    <row r="182" spans="1:4">
      <c r="A182" s="15">
        <v>38763</v>
      </c>
      <c r="C182" s="18">
        <v>39839</v>
      </c>
      <c r="D182" s="15">
        <v>38763</v>
      </c>
    </row>
    <row r="183" spans="1:4">
      <c r="A183" s="15">
        <v>38768</v>
      </c>
      <c r="C183" s="18">
        <v>39913</v>
      </c>
      <c r="D183" s="15">
        <v>38768</v>
      </c>
    </row>
    <row r="184" spans="1:4">
      <c r="A184" s="15">
        <v>38866</v>
      </c>
      <c r="C184" s="18">
        <v>39916</v>
      </c>
      <c r="D184" s="15">
        <v>38866</v>
      </c>
    </row>
    <row r="185" spans="1:4">
      <c r="A185" s="15">
        <v>38902</v>
      </c>
      <c r="C185" s="18">
        <v>39930</v>
      </c>
      <c r="D185" s="15">
        <v>38902</v>
      </c>
    </row>
    <row r="186" spans="1:4">
      <c r="A186" s="15">
        <v>38964</v>
      </c>
      <c r="C186" s="18">
        <v>39972</v>
      </c>
      <c r="D186" s="15">
        <v>38964</v>
      </c>
    </row>
    <row r="187" spans="1:4">
      <c r="A187" s="15">
        <v>38999</v>
      </c>
      <c r="C187" s="18">
        <v>40028</v>
      </c>
      <c r="D187" s="15">
        <v>38999</v>
      </c>
    </row>
    <row r="188" spans="1:4">
      <c r="A188" s="15">
        <v>39031</v>
      </c>
      <c r="C188" s="18">
        <v>40091</v>
      </c>
      <c r="D188" s="15">
        <v>39031</v>
      </c>
    </row>
    <row r="189" spans="1:4">
      <c r="A189" s="15">
        <v>39044</v>
      </c>
      <c r="C189" s="18">
        <v>40172</v>
      </c>
      <c r="D189" s="15">
        <v>39044</v>
      </c>
    </row>
    <row r="190" spans="1:4">
      <c r="A190" s="15">
        <v>39076</v>
      </c>
      <c r="C190" s="18">
        <v>40179</v>
      </c>
      <c r="D190" s="15">
        <v>39076</v>
      </c>
    </row>
    <row r="191" spans="1:4">
      <c r="A191" s="15">
        <v>39083</v>
      </c>
      <c r="C191" s="18">
        <v>40204</v>
      </c>
      <c r="D191" s="15">
        <v>39083</v>
      </c>
    </row>
    <row r="192" spans="1:4">
      <c r="A192" s="15">
        <v>39097</v>
      </c>
      <c r="C192" s="18">
        <v>40270</v>
      </c>
      <c r="D192" s="15">
        <v>39097</v>
      </c>
    </row>
    <row r="193" spans="1:4">
      <c r="A193" s="15">
        <v>39125</v>
      </c>
      <c r="C193" s="18">
        <v>40273</v>
      </c>
      <c r="D193" s="15">
        <v>39125</v>
      </c>
    </row>
    <row r="194" spans="1:4">
      <c r="A194" s="15">
        <v>39128</v>
      </c>
      <c r="C194" s="18">
        <v>40294</v>
      </c>
      <c r="D194" s="15">
        <v>39128</v>
      </c>
    </row>
    <row r="195" spans="1:4">
      <c r="A195" s="15">
        <v>39132</v>
      </c>
      <c r="C195" s="18">
        <v>40343</v>
      </c>
      <c r="D195" s="15">
        <v>39132</v>
      </c>
    </row>
    <row r="196" spans="1:4">
      <c r="A196" s="15">
        <v>39230</v>
      </c>
      <c r="C196" s="18">
        <v>40392</v>
      </c>
      <c r="D196" s="15">
        <v>39230</v>
      </c>
    </row>
    <row r="197" spans="1:4">
      <c r="A197" s="15">
        <v>39267</v>
      </c>
      <c r="C197" s="18">
        <v>40455</v>
      </c>
      <c r="D197" s="15">
        <v>39267</v>
      </c>
    </row>
    <row r="198" spans="1:4">
      <c r="A198" s="15">
        <v>39328</v>
      </c>
      <c r="C198" s="18">
        <v>40539</v>
      </c>
      <c r="D198" s="15">
        <v>39328</v>
      </c>
    </row>
    <row r="199" spans="1:4">
      <c r="A199" s="15">
        <v>39363</v>
      </c>
      <c r="C199" s="18">
        <v>40546</v>
      </c>
      <c r="D199" s="15">
        <v>39363</v>
      </c>
    </row>
    <row r="200" spans="1:4">
      <c r="A200" s="15">
        <v>39398</v>
      </c>
      <c r="C200" s="18">
        <v>40569</v>
      </c>
      <c r="D200" s="15">
        <v>39398</v>
      </c>
    </row>
    <row r="201" spans="1:4">
      <c r="A201" s="15">
        <v>39408</v>
      </c>
      <c r="C201" s="18">
        <v>40655</v>
      </c>
      <c r="D201" s="15">
        <v>39408</v>
      </c>
    </row>
    <row r="202" spans="1:4">
      <c r="A202" s="15">
        <v>39441</v>
      </c>
      <c r="C202" s="18">
        <v>40658</v>
      </c>
      <c r="D202" s="15">
        <v>39441</v>
      </c>
    </row>
    <row r="203" spans="1:4">
      <c r="A203" s="15">
        <v>39448</v>
      </c>
      <c r="C203" s="18">
        <v>40707</v>
      </c>
      <c r="D203" s="15">
        <v>39448</v>
      </c>
    </row>
    <row r="204" spans="1:4">
      <c r="A204" s="15">
        <v>39468</v>
      </c>
      <c r="C204" s="18">
        <v>40756</v>
      </c>
      <c r="D204" s="15">
        <v>39468</v>
      </c>
    </row>
    <row r="205" spans="1:4">
      <c r="A205" s="15">
        <v>39490</v>
      </c>
      <c r="C205" s="18">
        <v>40819</v>
      </c>
      <c r="D205" s="15">
        <v>39490</v>
      </c>
    </row>
    <row r="206" spans="1:4">
      <c r="A206" s="15">
        <v>39493</v>
      </c>
      <c r="C206" s="18">
        <v>40903</v>
      </c>
      <c r="D206" s="15">
        <v>39493</v>
      </c>
    </row>
    <row r="207" spans="1:4">
      <c r="A207" s="15">
        <v>39496</v>
      </c>
      <c r="C207" s="18">
        <v>40904</v>
      </c>
      <c r="D207" s="15">
        <v>39496</v>
      </c>
    </row>
    <row r="208" spans="1:4">
      <c r="A208" s="15">
        <v>39594</v>
      </c>
      <c r="C208" s="18">
        <v>40910</v>
      </c>
      <c r="D208" s="15">
        <v>39594</v>
      </c>
    </row>
    <row r="209" spans="1:4">
      <c r="A209" s="15">
        <v>39633</v>
      </c>
      <c r="C209" s="18">
        <v>40934</v>
      </c>
      <c r="D209" s="15">
        <v>39633</v>
      </c>
    </row>
    <row r="210" spans="1:4">
      <c r="A210" s="15">
        <v>39692</v>
      </c>
      <c r="C210" s="18">
        <v>41005</v>
      </c>
      <c r="D210" s="15">
        <v>39692</v>
      </c>
    </row>
    <row r="211" spans="1:4">
      <c r="A211" s="15">
        <v>39734</v>
      </c>
      <c r="C211" s="18">
        <v>41008</v>
      </c>
      <c r="D211" s="15">
        <v>39734</v>
      </c>
    </row>
    <row r="212" spans="1:4">
      <c r="A212" s="15">
        <v>39756</v>
      </c>
      <c r="C212" s="18">
        <v>41024</v>
      </c>
      <c r="D212" s="15">
        <v>39756</v>
      </c>
    </row>
    <row r="213" spans="1:4">
      <c r="A213" s="15">
        <v>39763</v>
      </c>
      <c r="C213" s="18">
        <v>41071</v>
      </c>
      <c r="D213" s="15">
        <v>39763</v>
      </c>
    </row>
    <row r="214" spans="1:4">
      <c r="A214" s="15">
        <v>39779</v>
      </c>
      <c r="C214" s="18">
        <v>41127</v>
      </c>
      <c r="D214" s="15">
        <v>39779</v>
      </c>
    </row>
    <row r="215" spans="1:4">
      <c r="A215" s="15">
        <v>39807</v>
      </c>
      <c r="C215" s="18">
        <v>41183</v>
      </c>
      <c r="D215" s="15">
        <v>39807</v>
      </c>
    </row>
    <row r="216" spans="1:4">
      <c r="A216" s="15">
        <v>39814</v>
      </c>
      <c r="C216" s="18">
        <v>41268</v>
      </c>
      <c r="D216" s="15">
        <v>39814</v>
      </c>
    </row>
    <row r="217" spans="1:4">
      <c r="A217" s="15">
        <v>39832</v>
      </c>
      <c r="C217" s="18">
        <v>41269</v>
      </c>
      <c r="D217" s="15">
        <v>39832</v>
      </c>
    </row>
    <row r="218" spans="1:4">
      <c r="A218" s="15">
        <v>39856</v>
      </c>
      <c r="C218" s="18">
        <v>41275</v>
      </c>
      <c r="D218" s="15">
        <v>39856</v>
      </c>
    </row>
    <row r="219" spans="1:4">
      <c r="A219" s="15">
        <v>39860</v>
      </c>
      <c r="C219" s="18">
        <v>41302</v>
      </c>
      <c r="D219" s="15">
        <v>39860</v>
      </c>
    </row>
    <row r="220" spans="1:4">
      <c r="A220" s="15">
        <v>39958</v>
      </c>
      <c r="C220" s="18">
        <v>41362</v>
      </c>
      <c r="D220" s="15">
        <v>39958</v>
      </c>
    </row>
    <row r="221" spans="1:4">
      <c r="A221" s="15">
        <v>39997</v>
      </c>
      <c r="C221" s="18">
        <v>41365</v>
      </c>
      <c r="D221" s="15">
        <v>39997</v>
      </c>
    </row>
    <row r="222" spans="1:4">
      <c r="A222" s="15">
        <v>40063</v>
      </c>
      <c r="C222" s="18">
        <v>41389</v>
      </c>
      <c r="D222" s="15">
        <v>40063</v>
      </c>
    </row>
    <row r="223" spans="1:4">
      <c r="A223" s="15">
        <v>40098</v>
      </c>
      <c r="C223" s="18">
        <v>41435</v>
      </c>
      <c r="D223" s="15">
        <v>40098</v>
      </c>
    </row>
    <row r="224" spans="1:4">
      <c r="A224" s="15">
        <v>40128</v>
      </c>
      <c r="C224" s="18">
        <v>41491</v>
      </c>
      <c r="D224" s="15">
        <v>40128</v>
      </c>
    </row>
    <row r="225" spans="1:4">
      <c r="A225" s="15">
        <v>40143</v>
      </c>
      <c r="C225" s="18">
        <v>41554</v>
      </c>
      <c r="D225" s="15">
        <v>40143</v>
      </c>
    </row>
    <row r="226" spans="1:4">
      <c r="A226" s="15">
        <v>40172</v>
      </c>
      <c r="C226" s="18">
        <v>41633</v>
      </c>
      <c r="D226" s="15">
        <v>40172</v>
      </c>
    </row>
    <row r="227" spans="1:4">
      <c r="A227" s="15">
        <v>40179</v>
      </c>
      <c r="C227" s="18">
        <v>41634</v>
      </c>
      <c r="D227" s="15">
        <v>40179</v>
      </c>
    </row>
    <row r="228" spans="1:4">
      <c r="A228" s="15">
        <v>40196</v>
      </c>
      <c r="C228" s="18">
        <v>41640</v>
      </c>
      <c r="D228" s="15">
        <v>40196</v>
      </c>
    </row>
    <row r="229" spans="1:4">
      <c r="A229" s="15">
        <v>40221</v>
      </c>
      <c r="C229" s="18">
        <v>41666</v>
      </c>
      <c r="D229" s="15">
        <v>40221</v>
      </c>
    </row>
    <row r="230" spans="1:4">
      <c r="A230" s="15">
        <v>40224</v>
      </c>
      <c r="C230" s="18">
        <v>41747</v>
      </c>
      <c r="D230" s="15">
        <v>40224</v>
      </c>
    </row>
    <row r="231" spans="1:4">
      <c r="A231" s="15">
        <v>40329</v>
      </c>
      <c r="C231" s="18">
        <v>41750</v>
      </c>
      <c r="D231" s="15">
        <v>40329</v>
      </c>
    </row>
    <row r="232" spans="1:4">
      <c r="A232" s="15">
        <v>40364</v>
      </c>
      <c r="C232" s="18">
        <v>41754</v>
      </c>
      <c r="D232" s="15">
        <v>40364</v>
      </c>
    </row>
    <row r="233" spans="1:4">
      <c r="A233" s="15">
        <v>40427</v>
      </c>
      <c r="C233" s="18">
        <v>41799</v>
      </c>
      <c r="D233" s="15">
        <v>40427</v>
      </c>
    </row>
    <row r="234" spans="1:4">
      <c r="A234" s="15">
        <v>40462</v>
      </c>
      <c r="C234" s="18">
        <v>41855</v>
      </c>
      <c r="D234" s="15">
        <v>40462</v>
      </c>
    </row>
    <row r="235" spans="1:4">
      <c r="A235" s="15">
        <v>40484</v>
      </c>
      <c r="C235" s="18">
        <v>41918</v>
      </c>
      <c r="D235" s="15">
        <v>40484</v>
      </c>
    </row>
    <row r="236" spans="1:4">
      <c r="A236" s="15">
        <v>40493</v>
      </c>
      <c r="C236" s="18">
        <v>41998</v>
      </c>
      <c r="D236" s="15">
        <v>40493</v>
      </c>
    </row>
    <row r="237" spans="1:4">
      <c r="A237" s="15">
        <v>40507</v>
      </c>
      <c r="C237" s="18">
        <v>41999</v>
      </c>
      <c r="D237" s="15">
        <v>40507</v>
      </c>
    </row>
    <row r="238" spans="1:4">
      <c r="A238" s="15">
        <v>40536</v>
      </c>
      <c r="C238" s="18">
        <v>42005</v>
      </c>
      <c r="D238" s="15">
        <v>40536</v>
      </c>
    </row>
    <row r="239" spans="1:4">
      <c r="A239" s="15">
        <v>40543</v>
      </c>
      <c r="C239" s="18">
        <v>42030</v>
      </c>
      <c r="D239" s="15">
        <v>40543</v>
      </c>
    </row>
    <row r="240" spans="1:4">
      <c r="A240" s="15">
        <v>40560</v>
      </c>
      <c r="C240" s="18">
        <v>42097</v>
      </c>
      <c r="D240" s="15">
        <v>40560</v>
      </c>
    </row>
    <row r="241" spans="1:4">
      <c r="A241" s="15">
        <v>40585</v>
      </c>
      <c r="C241" s="18">
        <v>42100</v>
      </c>
      <c r="D241" s="15">
        <v>40585</v>
      </c>
    </row>
    <row r="242" spans="1:4">
      <c r="A242" s="15">
        <v>40589</v>
      </c>
      <c r="C242" s="18">
        <v>42163</v>
      </c>
      <c r="D242" s="15">
        <v>40589</v>
      </c>
    </row>
    <row r="243" spans="1:4">
      <c r="A243" s="15">
        <v>40595</v>
      </c>
      <c r="C243" s="18">
        <v>42219</v>
      </c>
      <c r="D243" s="15">
        <v>40595</v>
      </c>
    </row>
    <row r="244" spans="1:4">
      <c r="A244" s="15">
        <v>40693</v>
      </c>
      <c r="C244" s="18">
        <v>42282</v>
      </c>
      <c r="D244" s="15">
        <v>40693</v>
      </c>
    </row>
    <row r="245" spans="1:4">
      <c r="A245" s="15">
        <v>40728</v>
      </c>
      <c r="C245" s="18">
        <v>42363</v>
      </c>
      <c r="D245" s="15">
        <v>40728</v>
      </c>
    </row>
    <row r="246" spans="1:4">
      <c r="A246" s="15">
        <v>40791</v>
      </c>
      <c r="C246" s="18">
        <v>42366</v>
      </c>
      <c r="D246" s="15">
        <v>40791</v>
      </c>
    </row>
    <row r="247" spans="1:4">
      <c r="A247" s="15">
        <v>40826</v>
      </c>
      <c r="C247" s="18">
        <v>42370</v>
      </c>
      <c r="D247" s="15">
        <v>40826</v>
      </c>
    </row>
    <row r="248" spans="1:4">
      <c r="A248" s="15">
        <v>40858</v>
      </c>
      <c r="C248" s="18">
        <v>42395</v>
      </c>
      <c r="D248" s="15">
        <v>40858</v>
      </c>
    </row>
    <row r="249" spans="1:4">
      <c r="A249" s="15">
        <v>40871</v>
      </c>
      <c r="C249" s="18">
        <v>42454</v>
      </c>
      <c r="D249" s="15">
        <v>40871</v>
      </c>
    </row>
    <row r="250" spans="1:4">
      <c r="A250" s="15">
        <v>40903</v>
      </c>
      <c r="C250" s="18">
        <v>42457</v>
      </c>
      <c r="D250" s="15">
        <v>40903</v>
      </c>
    </row>
    <row r="251" spans="1:4">
      <c r="A251" s="15">
        <v>40910</v>
      </c>
      <c r="C251" s="18">
        <v>42485</v>
      </c>
      <c r="D251" s="15">
        <v>40910</v>
      </c>
    </row>
    <row r="252" spans="1:4">
      <c r="A252" s="15">
        <v>40924</v>
      </c>
      <c r="C252" s="18">
        <v>42534</v>
      </c>
      <c r="D252" s="15">
        <v>40924</v>
      </c>
    </row>
    <row r="253" spans="1:4">
      <c r="A253" s="15">
        <v>40952</v>
      </c>
      <c r="C253" s="18">
        <v>42583</v>
      </c>
      <c r="D253" s="15">
        <v>40952</v>
      </c>
    </row>
    <row r="254" spans="1:4">
      <c r="A254" s="15">
        <v>40954</v>
      </c>
      <c r="C254" s="18">
        <v>42646</v>
      </c>
      <c r="D254" s="15">
        <v>40954</v>
      </c>
    </row>
    <row r="255" spans="1:4">
      <c r="A255" s="15">
        <v>40959</v>
      </c>
      <c r="C255" s="18">
        <v>42730</v>
      </c>
      <c r="D255" s="15">
        <v>40959</v>
      </c>
    </row>
    <row r="256" spans="1:4">
      <c r="A256" s="15">
        <v>41057</v>
      </c>
      <c r="C256" s="18">
        <v>42731</v>
      </c>
      <c r="D256" s="15">
        <v>41057</v>
      </c>
    </row>
    <row r="257" spans="1:4">
      <c r="A257" s="15">
        <v>41094</v>
      </c>
      <c r="C257" s="18">
        <v>42737</v>
      </c>
      <c r="D257" s="15">
        <v>41094</v>
      </c>
    </row>
    <row r="258" spans="1:4">
      <c r="A258" s="15">
        <v>41155</v>
      </c>
      <c r="C258" s="18">
        <v>42761</v>
      </c>
      <c r="D258" s="15">
        <v>41155</v>
      </c>
    </row>
    <row r="259" spans="1:4">
      <c r="A259" s="15">
        <v>41190</v>
      </c>
      <c r="C259" s="18">
        <v>42839</v>
      </c>
      <c r="D259" s="15">
        <v>41190</v>
      </c>
    </row>
    <row r="260" spans="1:4">
      <c r="A260" s="15">
        <v>41219</v>
      </c>
      <c r="C260" s="18">
        <v>42842</v>
      </c>
      <c r="D260" s="15">
        <v>41219</v>
      </c>
    </row>
    <row r="261" spans="1:4">
      <c r="A261" s="15">
        <v>41225</v>
      </c>
      <c r="C261" s="18">
        <v>42850</v>
      </c>
      <c r="D261" s="15">
        <v>41225</v>
      </c>
    </row>
    <row r="262" spans="1:4">
      <c r="A262" s="15">
        <v>41235</v>
      </c>
      <c r="C262" s="18">
        <v>42898</v>
      </c>
      <c r="D262" s="15">
        <v>41235</v>
      </c>
    </row>
    <row r="263" spans="1:4">
      <c r="A263" s="15">
        <v>41268</v>
      </c>
      <c r="C263" s="18">
        <v>42954</v>
      </c>
      <c r="D263" s="15">
        <v>41268</v>
      </c>
    </row>
    <row r="264" spans="1:4">
      <c r="A264" s="15">
        <v>41275</v>
      </c>
      <c r="C264" s="18">
        <v>43010</v>
      </c>
      <c r="D264" s="15">
        <v>41275</v>
      </c>
    </row>
    <row r="265" spans="1:4">
      <c r="A265" s="15">
        <v>41295</v>
      </c>
      <c r="C265" s="18">
        <v>43094</v>
      </c>
      <c r="D265" s="15">
        <v>41295</v>
      </c>
    </row>
    <row r="266" spans="1:4">
      <c r="A266" s="15">
        <v>41317</v>
      </c>
      <c r="C266" s="18">
        <v>43095</v>
      </c>
      <c r="D266" s="15">
        <v>41317</v>
      </c>
    </row>
    <row r="267" spans="1:4">
      <c r="A267" s="15">
        <v>41320</v>
      </c>
      <c r="C267" s="18">
        <v>43101</v>
      </c>
      <c r="D267" s="15">
        <v>41320</v>
      </c>
    </row>
    <row r="268" spans="1:4">
      <c r="A268" s="15">
        <v>41323</v>
      </c>
      <c r="C268" s="18">
        <v>43126</v>
      </c>
      <c r="D268" s="15">
        <v>41323</v>
      </c>
    </row>
    <row r="269" spans="1:4">
      <c r="A269" s="15">
        <v>41421</v>
      </c>
      <c r="C269" s="18">
        <v>43189</v>
      </c>
      <c r="D269" s="15">
        <v>41421</v>
      </c>
    </row>
    <row r="270" spans="1:4">
      <c r="A270" s="15">
        <v>41459</v>
      </c>
      <c r="C270" s="18">
        <v>43192</v>
      </c>
      <c r="D270" s="15">
        <v>41459</v>
      </c>
    </row>
    <row r="271" spans="1:4">
      <c r="A271" s="15">
        <v>41519</v>
      </c>
      <c r="C271" s="18">
        <v>43215</v>
      </c>
      <c r="D271" s="15">
        <v>41519</v>
      </c>
    </row>
    <row r="272" spans="1:4">
      <c r="A272" s="15">
        <v>41561</v>
      </c>
      <c r="C272" s="18">
        <v>43262</v>
      </c>
      <c r="D272" s="15">
        <v>41561</v>
      </c>
    </row>
    <row r="273" spans="1:4">
      <c r="A273" s="15">
        <v>41589</v>
      </c>
      <c r="C273" s="18">
        <v>43318</v>
      </c>
      <c r="D273" s="15">
        <v>41589</v>
      </c>
    </row>
    <row r="274" spans="1:4">
      <c r="A274" s="15">
        <v>41606</v>
      </c>
      <c r="C274" s="18">
        <v>43374</v>
      </c>
      <c r="D274" s="15">
        <v>41606</v>
      </c>
    </row>
    <row r="275" spans="1:4">
      <c r="A275" s="15">
        <v>41633</v>
      </c>
      <c r="C275" s="18">
        <v>43459</v>
      </c>
      <c r="D275" s="15">
        <v>41633</v>
      </c>
    </row>
    <row r="276" spans="1:4">
      <c r="A276" s="15">
        <v>41640</v>
      </c>
      <c r="C276" s="18">
        <v>43460</v>
      </c>
      <c r="D276" s="15">
        <v>41640</v>
      </c>
    </row>
    <row r="277" spans="1:4">
      <c r="A277" s="15">
        <v>41659</v>
      </c>
      <c r="C277" s="18">
        <v>43466</v>
      </c>
      <c r="D277" s="15">
        <v>41659</v>
      </c>
    </row>
    <row r="278" spans="1:4">
      <c r="A278" s="15">
        <v>41682</v>
      </c>
      <c r="C278" s="18">
        <v>43493</v>
      </c>
      <c r="D278" s="15">
        <v>41682</v>
      </c>
    </row>
    <row r="279" spans="1:4">
      <c r="A279" s="15">
        <v>41687</v>
      </c>
      <c r="C279" s="18">
        <v>43574</v>
      </c>
      <c r="D279" s="15">
        <v>41687</v>
      </c>
    </row>
    <row r="280" spans="1:4">
      <c r="A280" s="15">
        <v>41785</v>
      </c>
      <c r="C280" s="18">
        <v>43577</v>
      </c>
      <c r="D280" s="15">
        <v>41785</v>
      </c>
    </row>
    <row r="281" spans="1:4">
      <c r="A281" s="15">
        <v>41824</v>
      </c>
      <c r="C281" s="18">
        <v>43580</v>
      </c>
      <c r="D281" s="15">
        <v>41824</v>
      </c>
    </row>
    <row r="282" spans="1:4">
      <c r="A282" s="15">
        <v>41883</v>
      </c>
      <c r="C282" s="18">
        <v>43626</v>
      </c>
      <c r="D282" s="15">
        <v>41883</v>
      </c>
    </row>
    <row r="283" spans="1:4">
      <c r="A283" s="15">
        <v>41925</v>
      </c>
      <c r="C283" s="18">
        <v>43682</v>
      </c>
      <c r="D283" s="15">
        <v>41925</v>
      </c>
    </row>
    <row r="284" spans="1:4">
      <c r="A284" s="15">
        <v>41947</v>
      </c>
      <c r="C284" s="18">
        <v>43745</v>
      </c>
      <c r="D284" s="15">
        <v>41947</v>
      </c>
    </row>
    <row r="285" spans="1:4">
      <c r="A285" s="15">
        <v>41954</v>
      </c>
      <c r="C285" s="18">
        <v>43824</v>
      </c>
      <c r="D285" s="15">
        <v>41954</v>
      </c>
    </row>
    <row r="286" spans="1:4">
      <c r="A286" s="15">
        <v>41970</v>
      </c>
      <c r="C286" s="18">
        <v>43825</v>
      </c>
      <c r="D286" s="15">
        <v>41970</v>
      </c>
    </row>
    <row r="287" spans="1:4">
      <c r="A287" s="15">
        <v>41998</v>
      </c>
      <c r="C287" s="18">
        <v>43831</v>
      </c>
      <c r="D287" s="15">
        <v>41998</v>
      </c>
    </row>
    <row r="288" spans="1:4">
      <c r="A288" s="15">
        <v>42005</v>
      </c>
      <c r="C288" s="18">
        <v>43857</v>
      </c>
      <c r="D288" s="15">
        <v>42005</v>
      </c>
    </row>
    <row r="289" spans="1:4">
      <c r="A289" s="15">
        <v>42023</v>
      </c>
      <c r="C289" s="18">
        <v>43931</v>
      </c>
      <c r="D289" s="15">
        <v>42023</v>
      </c>
    </row>
    <row r="290" spans="1:4">
      <c r="A290" s="15">
        <v>42047</v>
      </c>
      <c r="C290" s="18">
        <v>43934</v>
      </c>
      <c r="D290" s="15">
        <v>42047</v>
      </c>
    </row>
    <row r="291" spans="1:4">
      <c r="A291" s="15">
        <v>42051</v>
      </c>
      <c r="C291" s="18">
        <v>43990</v>
      </c>
      <c r="D291" s="15">
        <v>42051</v>
      </c>
    </row>
    <row r="292" spans="1:4">
      <c r="A292" s="15">
        <v>42149</v>
      </c>
      <c r="C292" s="18">
        <v>44046</v>
      </c>
      <c r="D292" s="15">
        <v>42149</v>
      </c>
    </row>
    <row r="293" spans="1:4">
      <c r="A293" s="15">
        <v>42188</v>
      </c>
      <c r="C293" s="18">
        <v>44109</v>
      </c>
      <c r="D293" s="15">
        <v>42188</v>
      </c>
    </row>
    <row r="294" spans="1:4">
      <c r="A294" s="15">
        <v>42254</v>
      </c>
      <c r="C294" s="18">
        <v>44190</v>
      </c>
      <c r="D294" s="15">
        <v>42254</v>
      </c>
    </row>
    <row r="295" spans="1:4">
      <c r="A295" s="15">
        <v>42289</v>
      </c>
      <c r="C295" s="18">
        <v>44193</v>
      </c>
      <c r="D295" s="15">
        <v>42289</v>
      </c>
    </row>
    <row r="296" spans="1:4">
      <c r="A296" s="15">
        <v>42311</v>
      </c>
      <c r="C296" s="18">
        <v>44197</v>
      </c>
      <c r="D296" s="15">
        <v>42311</v>
      </c>
    </row>
    <row r="297" spans="1:4">
      <c r="A297" s="15">
        <v>42319</v>
      </c>
      <c r="C297" s="18">
        <v>44222</v>
      </c>
      <c r="D297" s="15">
        <v>42319</v>
      </c>
    </row>
    <row r="298" spans="1:4">
      <c r="A298" s="15">
        <v>42334</v>
      </c>
      <c r="C298" s="18">
        <v>44288</v>
      </c>
      <c r="D298" s="15">
        <v>42334</v>
      </c>
    </row>
    <row r="299" spans="1:4">
      <c r="A299" s="15">
        <v>42363</v>
      </c>
      <c r="C299" s="18">
        <v>44291</v>
      </c>
      <c r="D299" s="15">
        <v>42363</v>
      </c>
    </row>
    <row r="300" spans="1:4">
      <c r="A300" s="15">
        <v>42370</v>
      </c>
      <c r="C300" s="18">
        <v>44361</v>
      </c>
      <c r="D300" s="15">
        <v>42370</v>
      </c>
    </row>
    <row r="301" spans="1:4">
      <c r="A301" s="15">
        <v>42387</v>
      </c>
      <c r="C301" s="18">
        <v>44410</v>
      </c>
      <c r="D301" s="15">
        <v>42387</v>
      </c>
    </row>
    <row r="302" spans="1:4">
      <c r="A302" s="15">
        <v>42412</v>
      </c>
      <c r="C302" s="18">
        <v>44473</v>
      </c>
      <c r="D302" s="15">
        <v>42412</v>
      </c>
    </row>
    <row r="303" spans="1:4">
      <c r="A303" s="15">
        <v>42415</v>
      </c>
      <c r="C303" s="18">
        <v>44557</v>
      </c>
      <c r="D303" s="15">
        <v>42415</v>
      </c>
    </row>
    <row r="304" spans="1:4">
      <c r="A304" s="15">
        <v>42520</v>
      </c>
      <c r="C304" s="18">
        <v>44558</v>
      </c>
      <c r="D304" s="15">
        <v>42520</v>
      </c>
    </row>
    <row r="305" spans="1:4">
      <c r="A305" s="15">
        <v>42555</v>
      </c>
      <c r="C305" s="18">
        <v>44564</v>
      </c>
      <c r="D305" s="15">
        <v>42555</v>
      </c>
    </row>
    <row r="306" spans="1:4">
      <c r="A306" s="15">
        <v>42618</v>
      </c>
      <c r="C306" s="18">
        <v>44587</v>
      </c>
      <c r="D306" s="15">
        <v>42618</v>
      </c>
    </row>
    <row r="307" spans="1:4">
      <c r="A307" s="15">
        <v>42653</v>
      </c>
      <c r="C307" s="18">
        <v>44666</v>
      </c>
      <c r="D307" s="15">
        <v>42653</v>
      </c>
    </row>
    <row r="308" spans="1:4">
      <c r="A308" s="15">
        <v>42682</v>
      </c>
      <c r="C308" s="18">
        <v>44669</v>
      </c>
      <c r="D308" s="15">
        <v>42682</v>
      </c>
    </row>
    <row r="309" spans="1:4">
      <c r="A309" s="15">
        <v>42685</v>
      </c>
      <c r="C309" s="18">
        <v>44676</v>
      </c>
      <c r="D309" s="15">
        <v>42685</v>
      </c>
    </row>
    <row r="310" spans="1:4">
      <c r="A310" s="15">
        <v>42698</v>
      </c>
      <c r="C310" s="18">
        <v>44725</v>
      </c>
      <c r="D310" s="15">
        <v>42698</v>
      </c>
    </row>
    <row r="311" spans="1:4">
      <c r="A311" s="15">
        <v>42730</v>
      </c>
      <c r="C311" s="18">
        <v>44774</v>
      </c>
      <c r="D311" s="15">
        <v>42730</v>
      </c>
    </row>
    <row r="312" spans="1:4">
      <c r="A312" s="15">
        <v>42737</v>
      </c>
      <c r="C312" s="18">
        <v>44826</v>
      </c>
      <c r="D312" s="15">
        <v>42737</v>
      </c>
    </row>
    <row r="313" spans="1:4">
      <c r="A313" s="15">
        <v>42751</v>
      </c>
      <c r="C313" s="18">
        <v>44837</v>
      </c>
      <c r="D313" s="15">
        <v>42751</v>
      </c>
    </row>
    <row r="314" spans="1:4">
      <c r="A314" s="15">
        <v>42779</v>
      </c>
      <c r="C314" s="18">
        <v>44921</v>
      </c>
      <c r="D314" s="15">
        <v>42779</v>
      </c>
    </row>
    <row r="315" spans="1:4">
      <c r="A315" s="15">
        <v>42781</v>
      </c>
      <c r="C315" s="18">
        <v>44922</v>
      </c>
      <c r="D315" s="15">
        <v>42781</v>
      </c>
    </row>
    <row r="316" spans="1:4">
      <c r="A316" s="15">
        <v>42786</v>
      </c>
      <c r="C316" s="18">
        <v>44928</v>
      </c>
      <c r="D316" s="15">
        <v>42786</v>
      </c>
    </row>
    <row r="317" spans="1:4">
      <c r="A317" s="15">
        <v>42884</v>
      </c>
      <c r="C317" s="18">
        <v>44952</v>
      </c>
      <c r="D317" s="15">
        <v>42884</v>
      </c>
    </row>
    <row r="318" spans="1:4">
      <c r="A318" s="15">
        <v>42920</v>
      </c>
      <c r="C318" s="18">
        <v>45023</v>
      </c>
      <c r="D318" s="15">
        <v>42920</v>
      </c>
    </row>
    <row r="319" spans="1:4">
      <c r="A319" s="15">
        <v>42982</v>
      </c>
      <c r="C319" s="18">
        <v>45026</v>
      </c>
      <c r="D319" s="15">
        <v>42982</v>
      </c>
    </row>
    <row r="320" spans="1:4">
      <c r="A320" s="15">
        <v>43017</v>
      </c>
      <c r="C320" s="18">
        <v>45041</v>
      </c>
      <c r="D320" s="15">
        <v>43017</v>
      </c>
    </row>
    <row r="321" spans="1:4">
      <c r="A321" s="15">
        <v>43046</v>
      </c>
      <c r="C321" s="18">
        <v>45089</v>
      </c>
      <c r="D321" s="15">
        <v>43046</v>
      </c>
    </row>
    <row r="322" spans="1:4">
      <c r="A322" s="15">
        <v>43049</v>
      </c>
      <c r="C322" s="18">
        <v>45145</v>
      </c>
      <c r="D322" s="15">
        <v>43049</v>
      </c>
    </row>
    <row r="323" spans="1:4">
      <c r="A323" s="15">
        <v>43062</v>
      </c>
      <c r="C323" s="18">
        <v>45201</v>
      </c>
      <c r="D323" s="15">
        <v>43062</v>
      </c>
    </row>
    <row r="324" spans="1:4">
      <c r="A324" s="15">
        <v>43094</v>
      </c>
      <c r="C324" s="18">
        <v>45285</v>
      </c>
      <c r="D324" s="15">
        <v>43094</v>
      </c>
    </row>
    <row r="325" spans="1:4">
      <c r="A325" s="15">
        <v>43101</v>
      </c>
      <c r="C325" s="18">
        <v>45286</v>
      </c>
      <c r="D325" s="15">
        <v>43101</v>
      </c>
    </row>
    <row r="326" spans="1:4">
      <c r="A326" s="15">
        <v>43115</v>
      </c>
      <c r="C326" s="18">
        <v>45292</v>
      </c>
      <c r="D326" s="15">
        <v>43115</v>
      </c>
    </row>
    <row r="327" spans="1:4">
      <c r="A327" s="15">
        <v>43143</v>
      </c>
      <c r="C327" s="18">
        <v>45317</v>
      </c>
      <c r="D327" s="15">
        <v>43143</v>
      </c>
    </row>
    <row r="328" spans="1:4">
      <c r="A328" s="15">
        <v>43146</v>
      </c>
      <c r="C328" s="18">
        <v>45380</v>
      </c>
      <c r="D328" s="15">
        <v>43146</v>
      </c>
    </row>
    <row r="329" spans="1:4">
      <c r="A329" s="15">
        <v>43150</v>
      </c>
      <c r="C329" s="18">
        <v>45383</v>
      </c>
      <c r="D329" s="15">
        <v>43150</v>
      </c>
    </row>
    <row r="330" spans="1:4">
      <c r="A330" s="15">
        <v>43248</v>
      </c>
      <c r="C330" s="18">
        <v>45407</v>
      </c>
      <c r="D330" s="15">
        <v>43248</v>
      </c>
    </row>
    <row r="331" spans="1:4">
      <c r="A331" s="15">
        <v>43285</v>
      </c>
      <c r="C331" s="18">
        <v>45453</v>
      </c>
      <c r="D331" s="15">
        <v>43285</v>
      </c>
    </row>
    <row r="332" spans="1:4">
      <c r="A332" s="15">
        <v>43346</v>
      </c>
      <c r="C332" s="18">
        <v>45509</v>
      </c>
      <c r="D332" s="15">
        <v>43346</v>
      </c>
    </row>
    <row r="333" spans="1:4">
      <c r="A333" s="15">
        <v>43381</v>
      </c>
      <c r="C333" s="18">
        <v>45572</v>
      </c>
      <c r="D333" s="15">
        <v>43381</v>
      </c>
    </row>
    <row r="334" spans="1:4">
      <c r="A334" s="15">
        <v>43410</v>
      </c>
      <c r="C334" s="18">
        <v>45651</v>
      </c>
      <c r="D334" s="15">
        <v>43410</v>
      </c>
    </row>
    <row r="335" spans="1:4">
      <c r="A335" s="15">
        <v>43416</v>
      </c>
      <c r="C335" s="18">
        <v>45652</v>
      </c>
      <c r="D335" s="15">
        <v>43416</v>
      </c>
    </row>
    <row r="336" spans="1:4">
      <c r="A336" s="15">
        <v>43426</v>
      </c>
      <c r="C336" s="18">
        <v>45658</v>
      </c>
      <c r="D336" s="15">
        <v>43426</v>
      </c>
    </row>
    <row r="337" spans="1:4">
      <c r="A337" s="15">
        <v>43459</v>
      </c>
      <c r="C337" s="18">
        <v>45684</v>
      </c>
      <c r="D337" s="15">
        <v>43459</v>
      </c>
    </row>
    <row r="338" spans="1:4">
      <c r="A338" s="15">
        <v>43466</v>
      </c>
      <c r="C338" s="18">
        <v>45765</v>
      </c>
      <c r="D338" s="15">
        <v>43466</v>
      </c>
    </row>
    <row r="339" spans="1:4">
      <c r="A339" s="15">
        <v>43486</v>
      </c>
      <c r="C339" s="18">
        <v>45768</v>
      </c>
      <c r="D339" s="15">
        <v>43486</v>
      </c>
    </row>
    <row r="340" spans="1:4">
      <c r="A340" s="15">
        <v>43508</v>
      </c>
      <c r="C340" s="18">
        <v>45772</v>
      </c>
      <c r="D340" s="15">
        <v>43508</v>
      </c>
    </row>
    <row r="341" spans="1:4">
      <c r="A341" s="15">
        <v>43511</v>
      </c>
      <c r="C341" s="18">
        <v>45817</v>
      </c>
      <c r="D341" s="15">
        <v>43511</v>
      </c>
    </row>
    <row r="342" spans="1:4">
      <c r="A342" s="15">
        <v>43514</v>
      </c>
      <c r="C342" s="18">
        <v>45873</v>
      </c>
      <c r="D342" s="15">
        <v>43514</v>
      </c>
    </row>
    <row r="343" spans="1:4">
      <c r="A343" s="15">
        <v>43612</v>
      </c>
      <c r="C343" s="18">
        <v>45936</v>
      </c>
      <c r="D343" s="15">
        <v>43612</v>
      </c>
    </row>
    <row r="344" spans="1:4">
      <c r="A344" s="15">
        <v>43650</v>
      </c>
      <c r="C344" s="18">
        <v>46016</v>
      </c>
      <c r="D344" s="15">
        <v>43650</v>
      </c>
    </row>
    <row r="345" spans="1:4">
      <c r="A345" s="15">
        <v>43710</v>
      </c>
      <c r="C345" s="18">
        <v>46017</v>
      </c>
      <c r="D345" s="15">
        <v>43710</v>
      </c>
    </row>
    <row r="346" spans="1:4">
      <c r="A346" s="15">
        <v>43752</v>
      </c>
      <c r="C346" s="18">
        <v>46023</v>
      </c>
      <c r="D346" s="15">
        <v>43752</v>
      </c>
    </row>
    <row r="347" spans="1:4">
      <c r="A347" s="15">
        <v>43774</v>
      </c>
      <c r="C347" s="18">
        <v>46048</v>
      </c>
      <c r="D347" s="15">
        <v>43774</v>
      </c>
    </row>
    <row r="348" spans="1:4">
      <c r="A348" s="15">
        <v>43780</v>
      </c>
      <c r="C348" s="18">
        <v>46115</v>
      </c>
      <c r="D348" s="15">
        <v>43780</v>
      </c>
    </row>
    <row r="349" spans="1:4">
      <c r="A349" s="15">
        <v>43797</v>
      </c>
      <c r="C349" s="18">
        <v>46118</v>
      </c>
      <c r="D349" s="15">
        <v>43797</v>
      </c>
    </row>
    <row r="350" spans="1:4">
      <c r="A350" s="15">
        <v>43824</v>
      </c>
      <c r="C350" s="18">
        <v>46181</v>
      </c>
      <c r="D350" s="15">
        <v>43824</v>
      </c>
    </row>
    <row r="351" spans="1:4">
      <c r="A351" s="15">
        <v>43831</v>
      </c>
      <c r="C351" s="18">
        <v>46237</v>
      </c>
      <c r="D351" s="15">
        <v>43831</v>
      </c>
    </row>
    <row r="352" spans="1:4">
      <c r="A352" s="15">
        <v>43850</v>
      </c>
      <c r="C352" s="18">
        <v>46300</v>
      </c>
      <c r="D352" s="15">
        <v>43850</v>
      </c>
    </row>
    <row r="353" spans="1:4">
      <c r="A353" s="15">
        <v>43873</v>
      </c>
      <c r="C353" s="18">
        <v>46381</v>
      </c>
      <c r="D353" s="15">
        <v>43873</v>
      </c>
    </row>
    <row r="354" spans="1:4">
      <c r="A354" s="15">
        <v>43878</v>
      </c>
      <c r="C354" s="18">
        <v>46384</v>
      </c>
      <c r="D354" s="15">
        <v>43878</v>
      </c>
    </row>
    <row r="355" spans="1:4">
      <c r="A355" s="15">
        <v>43976</v>
      </c>
      <c r="C355" s="18">
        <v>46388</v>
      </c>
      <c r="D355" s="15">
        <v>43976</v>
      </c>
    </row>
    <row r="356" spans="1:4">
      <c r="A356" s="15">
        <v>44015</v>
      </c>
      <c r="C356" s="18">
        <v>46413</v>
      </c>
      <c r="D356" s="15">
        <v>44015</v>
      </c>
    </row>
    <row r="357" spans="1:4">
      <c r="A357" s="15">
        <v>44081</v>
      </c>
      <c r="C357" s="18">
        <v>46472</v>
      </c>
      <c r="D357" s="15">
        <v>44081</v>
      </c>
    </row>
    <row r="358" spans="1:4">
      <c r="A358" s="15">
        <v>44116</v>
      </c>
      <c r="C358" s="18">
        <v>46475</v>
      </c>
      <c r="D358" s="15">
        <v>44116</v>
      </c>
    </row>
    <row r="359" spans="1:4">
      <c r="A359" s="15">
        <v>44138</v>
      </c>
      <c r="C359" s="18">
        <v>46552</v>
      </c>
      <c r="D359" s="15">
        <v>44138</v>
      </c>
    </row>
    <row r="360" spans="1:4">
      <c r="A360" s="15">
        <v>44146</v>
      </c>
      <c r="C360" s="18">
        <v>46601</v>
      </c>
      <c r="D360" s="15">
        <v>44146</v>
      </c>
    </row>
    <row r="361" spans="1:4">
      <c r="A361" s="15">
        <v>44161</v>
      </c>
      <c r="C361" s="18">
        <v>46664</v>
      </c>
      <c r="D361" s="15">
        <v>44161</v>
      </c>
    </row>
    <row r="362" spans="1:4">
      <c r="A362" s="15">
        <v>44190</v>
      </c>
      <c r="C362" s="18">
        <v>46748</v>
      </c>
      <c r="D362" s="15">
        <v>44190</v>
      </c>
    </row>
    <row r="363" spans="1:4">
      <c r="A363" s="15">
        <v>44197</v>
      </c>
      <c r="C363" s="18">
        <v>46749</v>
      </c>
      <c r="D363" s="15">
        <v>44197</v>
      </c>
    </row>
    <row r="364" spans="1:4">
      <c r="A364" s="15">
        <v>44214</v>
      </c>
      <c r="C364" s="18">
        <v>46755</v>
      </c>
      <c r="D364" s="15">
        <v>44214</v>
      </c>
    </row>
    <row r="365" spans="1:4">
      <c r="A365" s="15">
        <v>44239</v>
      </c>
      <c r="C365" s="18">
        <v>46778</v>
      </c>
      <c r="D365" s="15">
        <v>44239</v>
      </c>
    </row>
    <row r="366" spans="1:4">
      <c r="A366" s="15">
        <v>44242</v>
      </c>
      <c r="C366" s="18">
        <v>46857</v>
      </c>
      <c r="D366" s="15">
        <v>44242</v>
      </c>
    </row>
    <row r="367" spans="1:4">
      <c r="A367" s="15">
        <v>44347</v>
      </c>
      <c r="C367" s="18">
        <v>46860</v>
      </c>
      <c r="D367" s="15">
        <v>44347</v>
      </c>
    </row>
    <row r="368" spans="1:4">
      <c r="A368" s="15">
        <v>44365</v>
      </c>
      <c r="C368" s="18">
        <v>46868</v>
      </c>
      <c r="D368" s="15">
        <v>44365</v>
      </c>
    </row>
    <row r="369" spans="1:4">
      <c r="A369" s="15">
        <v>44382</v>
      </c>
      <c r="C369" s="18">
        <v>46916</v>
      </c>
      <c r="D369" s="15">
        <v>44382</v>
      </c>
    </row>
    <row r="370" spans="1:4">
      <c r="A370" s="15">
        <v>44445</v>
      </c>
      <c r="C370" s="18">
        <v>46972</v>
      </c>
      <c r="D370" s="15">
        <v>44445</v>
      </c>
    </row>
    <row r="371" spans="1:4">
      <c r="A371" s="15">
        <v>44480</v>
      </c>
      <c r="C371" s="18">
        <v>47028</v>
      </c>
      <c r="D371" s="15">
        <v>44480</v>
      </c>
    </row>
    <row r="372" spans="1:4">
      <c r="A372" s="15">
        <v>44502</v>
      </c>
      <c r="C372" s="18">
        <v>47112</v>
      </c>
      <c r="D372" s="15">
        <v>44502</v>
      </c>
    </row>
    <row r="373" spans="1:4">
      <c r="A373" s="15">
        <v>44511</v>
      </c>
      <c r="C373" s="18">
        <v>47113</v>
      </c>
      <c r="D373" s="15">
        <v>44511</v>
      </c>
    </row>
    <row r="374" spans="1:4">
      <c r="A374" s="15">
        <v>44525</v>
      </c>
      <c r="C374" s="18">
        <v>47119</v>
      </c>
      <c r="D374" s="15">
        <v>44525</v>
      </c>
    </row>
    <row r="375" spans="1:4">
      <c r="A375" s="15">
        <v>44554</v>
      </c>
      <c r="C375" s="18">
        <v>47144</v>
      </c>
      <c r="D375" s="15">
        <v>44554</v>
      </c>
    </row>
    <row r="376" spans="1:4">
      <c r="A376" s="15">
        <v>44561</v>
      </c>
      <c r="C376" s="18">
        <v>47207</v>
      </c>
      <c r="D376" s="15">
        <v>44561</v>
      </c>
    </row>
    <row r="377" spans="1:4">
      <c r="A377" s="15">
        <v>44578</v>
      </c>
      <c r="C377" s="18">
        <v>47210</v>
      </c>
      <c r="D377" s="15">
        <v>44578</v>
      </c>
    </row>
    <row r="378" spans="1:4">
      <c r="A378" s="15">
        <v>44603</v>
      </c>
      <c r="C378" s="18">
        <v>47233</v>
      </c>
      <c r="D378" s="15">
        <v>44603</v>
      </c>
    </row>
    <row r="379" spans="1:4">
      <c r="A379" s="15">
        <v>44607</v>
      </c>
      <c r="C379" s="18">
        <v>47280</v>
      </c>
      <c r="D379" s="15">
        <v>44607</v>
      </c>
    </row>
    <row r="380" spans="1:4">
      <c r="A380" s="15">
        <v>44613</v>
      </c>
      <c r="C380" s="18">
        <v>47336</v>
      </c>
      <c r="D380" s="15">
        <v>44613</v>
      </c>
    </row>
    <row r="381" spans="1:4">
      <c r="A381" s="15">
        <v>44711</v>
      </c>
      <c r="C381" s="18">
        <v>47392</v>
      </c>
      <c r="D381" s="15">
        <v>44711</v>
      </c>
    </row>
    <row r="382" spans="1:4">
      <c r="A382" s="15">
        <v>44732</v>
      </c>
      <c r="C382" s="18">
        <v>47477</v>
      </c>
      <c r="D382" s="15">
        <v>44732</v>
      </c>
    </row>
    <row r="383" spans="1:4">
      <c r="A383" s="15">
        <v>44746</v>
      </c>
      <c r="C383" s="18">
        <v>47478</v>
      </c>
      <c r="D383" s="15">
        <v>44746</v>
      </c>
    </row>
    <row r="384" spans="1:4">
      <c r="A384" s="15">
        <v>44809</v>
      </c>
      <c r="C384" s="18">
        <v>47484</v>
      </c>
      <c r="D384" s="15">
        <v>44809</v>
      </c>
    </row>
    <row r="385" spans="1:4">
      <c r="A385" s="15">
        <v>44844</v>
      </c>
      <c r="C385" s="18">
        <v>47511</v>
      </c>
      <c r="D385" s="15">
        <v>44844</v>
      </c>
    </row>
    <row r="386" spans="1:4">
      <c r="A386" s="15">
        <v>44873</v>
      </c>
      <c r="C386" s="18">
        <v>47592</v>
      </c>
      <c r="D386" s="15">
        <v>44873</v>
      </c>
    </row>
    <row r="387" spans="1:4">
      <c r="A387" s="15">
        <v>44876</v>
      </c>
      <c r="C387" s="18">
        <v>47595</v>
      </c>
      <c r="D387" s="15">
        <v>44876</v>
      </c>
    </row>
    <row r="388" spans="1:4">
      <c r="A388" s="15">
        <v>44889</v>
      </c>
      <c r="C388" s="18">
        <v>47598</v>
      </c>
      <c r="D388" s="15">
        <v>44889</v>
      </c>
    </row>
    <row r="389" spans="1:4">
      <c r="A389" s="15">
        <v>44921</v>
      </c>
      <c r="C389" s="18">
        <v>47644</v>
      </c>
      <c r="D389" s="15">
        <v>44921</v>
      </c>
    </row>
    <row r="390" spans="1:4">
      <c r="A390" s="15">
        <v>44928</v>
      </c>
      <c r="C390" s="18">
        <v>47700</v>
      </c>
      <c r="D390" s="15">
        <v>44928</v>
      </c>
    </row>
    <row r="391" spans="1:4">
      <c r="A391" s="15">
        <v>44942</v>
      </c>
      <c r="C391" s="18">
        <v>47763</v>
      </c>
      <c r="D391" s="15">
        <v>44942</v>
      </c>
    </row>
    <row r="392" spans="1:4">
      <c r="A392" s="15">
        <v>44970</v>
      </c>
      <c r="C392" s="18">
        <v>47842</v>
      </c>
      <c r="D392" s="15">
        <v>44970</v>
      </c>
    </row>
    <row r="393" spans="1:4">
      <c r="A393" s="15">
        <v>44972</v>
      </c>
      <c r="C393" s="18">
        <v>47843</v>
      </c>
      <c r="D393" s="15">
        <v>44972</v>
      </c>
    </row>
    <row r="394" spans="1:4">
      <c r="A394" s="15">
        <v>44977</v>
      </c>
      <c r="C394" s="18">
        <v>47849</v>
      </c>
      <c r="D394" s="15">
        <v>44977</v>
      </c>
    </row>
    <row r="395" spans="1:4">
      <c r="A395" s="15">
        <v>45075</v>
      </c>
      <c r="C395" s="18">
        <v>47875</v>
      </c>
      <c r="D395" s="15">
        <v>45075</v>
      </c>
    </row>
    <row r="396" spans="1:4">
      <c r="A396" s="15">
        <v>45096</v>
      </c>
      <c r="C396" s="18">
        <v>47949</v>
      </c>
      <c r="D396" s="15">
        <v>45096</v>
      </c>
    </row>
    <row r="397" spans="1:4">
      <c r="A397" s="15">
        <v>45111</v>
      </c>
      <c r="C397" s="18">
        <v>47952</v>
      </c>
      <c r="D397" s="15">
        <v>45111</v>
      </c>
    </row>
    <row r="398" spans="1:4">
      <c r="A398" s="15">
        <v>45173</v>
      </c>
      <c r="C398" s="18">
        <v>47963</v>
      </c>
      <c r="D398" s="15">
        <v>45173</v>
      </c>
    </row>
    <row r="399" spans="1:4">
      <c r="A399" s="15">
        <v>45208</v>
      </c>
      <c r="C399" s="18">
        <v>48008</v>
      </c>
      <c r="D399" s="15">
        <v>45208</v>
      </c>
    </row>
    <row r="400" spans="1:4">
      <c r="A400" s="15">
        <v>45237</v>
      </c>
      <c r="C400" s="18">
        <v>48064</v>
      </c>
      <c r="D400" s="15">
        <v>45237</v>
      </c>
    </row>
    <row r="401" spans="1:4">
      <c r="A401" s="15">
        <v>45240</v>
      </c>
      <c r="C401" s="18">
        <v>48127</v>
      </c>
      <c r="D401" s="15">
        <v>45240</v>
      </c>
    </row>
    <row r="402" spans="1:4">
      <c r="A402" s="15">
        <v>45253</v>
      </c>
      <c r="C402" s="18">
        <v>48207</v>
      </c>
      <c r="D402" s="15">
        <v>45253</v>
      </c>
    </row>
    <row r="403" spans="1:4">
      <c r="A403" s="15">
        <v>45285</v>
      </c>
      <c r="C403" s="18">
        <v>48208</v>
      </c>
      <c r="D403" s="15">
        <v>45285</v>
      </c>
    </row>
    <row r="404" spans="1:4">
      <c r="A404" s="15">
        <v>45292</v>
      </c>
      <c r="C404" s="18">
        <v>48214</v>
      </c>
      <c r="D404" s="15">
        <v>45292</v>
      </c>
    </row>
    <row r="405" spans="1:4">
      <c r="A405" s="15">
        <v>45306</v>
      </c>
      <c r="C405" s="18">
        <v>48239</v>
      </c>
      <c r="D405" s="15">
        <v>45306</v>
      </c>
    </row>
    <row r="406" spans="1:4">
      <c r="A406" s="15">
        <v>45334</v>
      </c>
      <c r="C406" s="18">
        <v>48299</v>
      </c>
      <c r="D406" s="15">
        <v>45334</v>
      </c>
    </row>
    <row r="407" spans="1:4">
      <c r="A407" s="15">
        <v>45337</v>
      </c>
      <c r="C407" s="18">
        <v>48302</v>
      </c>
      <c r="D407" s="15">
        <v>45337</v>
      </c>
    </row>
    <row r="408" spans="1:4">
      <c r="A408" s="15">
        <v>45341</v>
      </c>
      <c r="C408" s="18">
        <v>48379</v>
      </c>
      <c r="D408" s="15">
        <v>45341</v>
      </c>
    </row>
    <row r="409" spans="1:4">
      <c r="A409" s="15">
        <v>45439</v>
      </c>
      <c r="C409" s="18">
        <v>48428</v>
      </c>
      <c r="D409" s="15">
        <v>45439</v>
      </c>
    </row>
    <row r="410" spans="1:4">
      <c r="A410" s="15">
        <v>45462</v>
      </c>
      <c r="C410" s="18">
        <v>48491</v>
      </c>
      <c r="D410" s="15">
        <v>45462</v>
      </c>
    </row>
    <row r="411" spans="1:4">
      <c r="A411" s="15">
        <v>45477</v>
      </c>
      <c r="C411" s="18">
        <v>48575</v>
      </c>
      <c r="D411" s="15">
        <v>45477</v>
      </c>
    </row>
    <row r="412" spans="1:4">
      <c r="A412" s="15">
        <v>45537</v>
      </c>
      <c r="C412" s="18">
        <v>48576</v>
      </c>
      <c r="D412" s="15">
        <v>45537</v>
      </c>
    </row>
    <row r="413" spans="1:4">
      <c r="A413" s="15">
        <v>45579</v>
      </c>
      <c r="C413" s="18">
        <v>48582</v>
      </c>
      <c r="D413" s="15">
        <v>45579</v>
      </c>
    </row>
    <row r="414" spans="1:4">
      <c r="A414" s="15">
        <v>45601</v>
      </c>
      <c r="C414" s="18">
        <v>48605</v>
      </c>
      <c r="D414" s="15">
        <v>45601</v>
      </c>
    </row>
    <row r="415" spans="1:4">
      <c r="A415" s="15">
        <v>45607</v>
      </c>
      <c r="C415" s="18">
        <v>48684</v>
      </c>
      <c r="D415" s="15">
        <v>45607</v>
      </c>
    </row>
    <row r="416" spans="1:4">
      <c r="A416" s="15">
        <v>45624</v>
      </c>
      <c r="C416" s="18">
        <v>48687</v>
      </c>
      <c r="D416" s="15">
        <v>45624</v>
      </c>
    </row>
    <row r="417" spans="1:4">
      <c r="A417" s="15">
        <v>45651</v>
      </c>
      <c r="C417" s="18">
        <v>48694</v>
      </c>
      <c r="D417" s="15">
        <v>45651</v>
      </c>
    </row>
    <row r="418" spans="1:4">
      <c r="A418" s="15">
        <v>45658</v>
      </c>
      <c r="C418" s="18">
        <v>48743</v>
      </c>
      <c r="D418" s="15">
        <v>45658</v>
      </c>
    </row>
    <row r="419" spans="1:4">
      <c r="A419" s="15">
        <v>45677</v>
      </c>
      <c r="C419" s="18">
        <v>48792</v>
      </c>
      <c r="D419" s="15">
        <v>45677</v>
      </c>
    </row>
    <row r="420" spans="1:4">
      <c r="A420" s="15">
        <v>45700</v>
      </c>
      <c r="C420" s="18">
        <v>48855</v>
      </c>
      <c r="D420" s="15">
        <v>45700</v>
      </c>
    </row>
    <row r="421" spans="1:4">
      <c r="A421" s="15">
        <v>45705</v>
      </c>
      <c r="C421" s="18">
        <v>48939</v>
      </c>
      <c r="D421" s="15">
        <v>45705</v>
      </c>
    </row>
    <row r="422" spans="1:4">
      <c r="A422" s="15">
        <v>45803</v>
      </c>
      <c r="C422" s="18">
        <v>48940</v>
      </c>
      <c r="D422" s="15">
        <v>45803</v>
      </c>
    </row>
    <row r="423" spans="1:4">
      <c r="A423" s="15">
        <v>45827</v>
      </c>
      <c r="C423" s="18">
        <v>48946</v>
      </c>
      <c r="D423" s="15">
        <v>45827</v>
      </c>
    </row>
    <row r="424" spans="1:4">
      <c r="A424" s="15">
        <v>45842</v>
      </c>
      <c r="C424" s="18">
        <v>48970</v>
      </c>
      <c r="D424" s="15">
        <v>45842</v>
      </c>
    </row>
    <row r="425" spans="1:4">
      <c r="A425" s="15">
        <v>45901</v>
      </c>
      <c r="C425" s="18">
        <v>49041</v>
      </c>
      <c r="D425" s="15">
        <v>45901</v>
      </c>
    </row>
    <row r="426" spans="1:4">
      <c r="A426" s="15">
        <v>45943</v>
      </c>
      <c r="C426" s="18">
        <v>49044</v>
      </c>
      <c r="D426" s="15">
        <v>45943</v>
      </c>
    </row>
    <row r="427" spans="1:4">
      <c r="A427" s="15">
        <v>45965</v>
      </c>
      <c r="C427" s="18">
        <v>49059</v>
      </c>
      <c r="D427" s="15">
        <v>45965</v>
      </c>
    </row>
    <row r="428" spans="1:4">
      <c r="A428" s="15">
        <v>45972</v>
      </c>
      <c r="C428" s="18">
        <v>49107</v>
      </c>
      <c r="D428" s="15">
        <v>45972</v>
      </c>
    </row>
    <row r="429" spans="1:4">
      <c r="A429" s="15">
        <v>45988</v>
      </c>
      <c r="C429" s="18">
        <v>49163</v>
      </c>
      <c r="D429" s="15">
        <v>45988</v>
      </c>
    </row>
    <row r="430" spans="1:4">
      <c r="A430" s="15">
        <v>46016</v>
      </c>
      <c r="C430" s="18">
        <v>49219</v>
      </c>
      <c r="D430" s="15">
        <v>46016</v>
      </c>
    </row>
    <row r="431" spans="1:4">
      <c r="A431" s="15">
        <v>46023</v>
      </c>
      <c r="C431" s="18">
        <v>49303</v>
      </c>
      <c r="D431" s="15">
        <v>46023</v>
      </c>
    </row>
    <row r="432" spans="1:4">
      <c r="A432" s="15">
        <v>46041</v>
      </c>
      <c r="C432" s="18">
        <v>49304</v>
      </c>
      <c r="D432" s="15">
        <v>46041</v>
      </c>
    </row>
    <row r="433" spans="1:4">
      <c r="A433" s="15">
        <v>46065</v>
      </c>
      <c r="C433" s="18">
        <v>49310</v>
      </c>
      <c r="D433" s="15">
        <v>46065</v>
      </c>
    </row>
    <row r="434" spans="1:4">
      <c r="A434" s="15">
        <v>46069</v>
      </c>
      <c r="C434" s="18">
        <v>49335</v>
      </c>
      <c r="D434" s="15">
        <v>46069</v>
      </c>
    </row>
    <row r="435" spans="1:4">
      <c r="A435" s="15">
        <v>46167</v>
      </c>
      <c r="C435" s="18">
        <v>49391</v>
      </c>
      <c r="D435" s="15">
        <v>46167</v>
      </c>
    </row>
    <row r="436" spans="1:4">
      <c r="A436" s="15">
        <v>46192</v>
      </c>
      <c r="C436" s="18">
        <v>49394</v>
      </c>
      <c r="D436" s="15">
        <v>46192</v>
      </c>
    </row>
    <row r="437" spans="1:4">
      <c r="A437" s="15">
        <v>46206</v>
      </c>
      <c r="C437" s="18">
        <v>49424</v>
      </c>
      <c r="D437" s="15">
        <v>46206</v>
      </c>
    </row>
    <row r="438" spans="1:4">
      <c r="A438" s="15">
        <v>46272</v>
      </c>
      <c r="C438" s="18">
        <v>49471</v>
      </c>
      <c r="D438" s="15">
        <v>46272</v>
      </c>
    </row>
    <row r="439" spans="1:4">
      <c r="A439" s="15">
        <v>46307</v>
      </c>
      <c r="C439" s="18">
        <v>49527</v>
      </c>
      <c r="D439" s="15">
        <v>46307</v>
      </c>
    </row>
    <row r="440" spans="1:4">
      <c r="A440" s="15">
        <v>46329</v>
      </c>
      <c r="C440" s="18">
        <v>49583</v>
      </c>
      <c r="D440" s="15">
        <v>46329</v>
      </c>
    </row>
    <row r="441" spans="1:4">
      <c r="A441" s="15">
        <v>46337</v>
      </c>
      <c r="C441" s="18">
        <v>49668</v>
      </c>
      <c r="D441" s="15">
        <v>46337</v>
      </c>
    </row>
    <row r="442" spans="1:4">
      <c r="A442" s="15">
        <v>46352</v>
      </c>
      <c r="C442" s="18">
        <v>49669</v>
      </c>
      <c r="D442" s="15">
        <v>46352</v>
      </c>
    </row>
    <row r="443" spans="1:4">
      <c r="A443" s="15">
        <v>46381</v>
      </c>
      <c r="C443" s="18">
        <v>49675</v>
      </c>
      <c r="D443" s="15">
        <v>46381</v>
      </c>
    </row>
    <row r="444" spans="1:4">
      <c r="A444" s="15">
        <v>46388</v>
      </c>
      <c r="C444" s="18">
        <v>49702</v>
      </c>
      <c r="D444" s="15">
        <v>46388</v>
      </c>
    </row>
    <row r="445" spans="1:4">
      <c r="A445" s="15">
        <v>46405</v>
      </c>
      <c r="C445" s="18">
        <v>49776</v>
      </c>
      <c r="D445" s="15">
        <v>46405</v>
      </c>
    </row>
    <row r="446" spans="1:4">
      <c r="A446" s="15">
        <v>46430</v>
      </c>
      <c r="C446" s="18">
        <v>49779</v>
      </c>
      <c r="D446" s="15">
        <v>46430</v>
      </c>
    </row>
    <row r="447" spans="1:4">
      <c r="A447" s="15">
        <v>46433</v>
      </c>
      <c r="C447" s="18">
        <v>49790</v>
      </c>
      <c r="D447" s="15">
        <v>46433</v>
      </c>
    </row>
    <row r="448" spans="1:4">
      <c r="A448" s="15">
        <v>46538</v>
      </c>
      <c r="C448" s="18">
        <v>49835</v>
      </c>
      <c r="D448" s="15">
        <v>46538</v>
      </c>
    </row>
    <row r="449" spans="1:4">
      <c r="A449" s="15">
        <v>46556</v>
      </c>
      <c r="C449" s="18">
        <v>49891</v>
      </c>
      <c r="D449" s="15">
        <v>46556</v>
      </c>
    </row>
    <row r="450" spans="1:4">
      <c r="A450" s="15">
        <v>46573</v>
      </c>
      <c r="C450" s="18">
        <v>49954</v>
      </c>
      <c r="D450" s="15">
        <v>46573</v>
      </c>
    </row>
    <row r="451" spans="1:4">
      <c r="A451" s="15">
        <v>46636</v>
      </c>
      <c r="C451" s="18">
        <v>50034</v>
      </c>
      <c r="D451" s="15">
        <v>46636</v>
      </c>
    </row>
    <row r="452" spans="1:4">
      <c r="A452" s="15">
        <v>46671</v>
      </c>
      <c r="C452" s="18">
        <v>50035</v>
      </c>
      <c r="D452" s="15">
        <v>46671</v>
      </c>
    </row>
    <row r="453" spans="1:4">
      <c r="A453" s="15">
        <v>46693</v>
      </c>
      <c r="C453" s="18">
        <v>50041</v>
      </c>
      <c r="D453" s="15">
        <v>46693</v>
      </c>
    </row>
    <row r="454" spans="1:4">
      <c r="A454" s="15">
        <v>46702</v>
      </c>
      <c r="C454" s="18">
        <v>50066</v>
      </c>
      <c r="D454" s="15">
        <v>46702</v>
      </c>
    </row>
    <row r="455" spans="1:4">
      <c r="A455" s="15">
        <v>46716</v>
      </c>
      <c r="C455" s="18">
        <v>50133</v>
      </c>
      <c r="D455" s="15">
        <v>46716</v>
      </c>
    </row>
    <row r="456" spans="1:4">
      <c r="A456" s="15">
        <v>46745</v>
      </c>
      <c r="C456" s="18">
        <v>50136</v>
      </c>
      <c r="D456" s="15">
        <v>46745</v>
      </c>
    </row>
    <row r="457" spans="1:4">
      <c r="A457" s="15">
        <v>46752</v>
      </c>
      <c r="C457" s="18">
        <v>50199</v>
      </c>
      <c r="D457" s="15">
        <v>46752</v>
      </c>
    </row>
    <row r="458" spans="1:4">
      <c r="A458" s="15">
        <v>46769</v>
      </c>
      <c r="C458" s="18">
        <v>50255</v>
      </c>
      <c r="D458" s="15">
        <v>46769</v>
      </c>
    </row>
    <row r="459" spans="1:4">
      <c r="A459" s="15">
        <v>46794</v>
      </c>
      <c r="C459" s="18">
        <v>50318</v>
      </c>
      <c r="D459" s="15">
        <v>46794</v>
      </c>
    </row>
    <row r="460" spans="1:4">
      <c r="A460" s="15">
        <v>46798</v>
      </c>
      <c r="C460" s="18">
        <v>50399</v>
      </c>
      <c r="D460" s="15">
        <v>46798</v>
      </c>
    </row>
    <row r="461" spans="1:4">
      <c r="A461" s="15">
        <v>46804</v>
      </c>
      <c r="C461" s="18">
        <v>50402</v>
      </c>
      <c r="D461" s="15">
        <v>46804</v>
      </c>
    </row>
    <row r="462" spans="1:4">
      <c r="A462" s="15">
        <v>46902</v>
      </c>
      <c r="C462" s="18">
        <v>50406</v>
      </c>
      <c r="D462" s="15">
        <v>46902</v>
      </c>
    </row>
    <row r="463" spans="1:4">
      <c r="A463" s="15">
        <v>46923</v>
      </c>
      <c r="C463" s="18">
        <v>50431</v>
      </c>
      <c r="D463" s="15">
        <v>46923</v>
      </c>
    </row>
    <row r="464" spans="1:4">
      <c r="A464" s="15">
        <v>46938</v>
      </c>
      <c r="C464" s="18">
        <v>50518</v>
      </c>
      <c r="D464" s="15">
        <v>46938</v>
      </c>
    </row>
    <row r="465" spans="1:4">
      <c r="A465" s="15">
        <v>47000</v>
      </c>
      <c r="C465" s="18">
        <v>50521</v>
      </c>
      <c r="D465" s="15">
        <v>47000</v>
      </c>
    </row>
    <row r="466" spans="1:4">
      <c r="A466" s="15">
        <v>47035</v>
      </c>
      <c r="C466" s="18">
        <v>50570</v>
      </c>
      <c r="D466" s="15">
        <v>47035</v>
      </c>
    </row>
    <row r="467" spans="1:4">
      <c r="A467" s="15">
        <v>47064</v>
      </c>
      <c r="C467" s="18">
        <v>50619</v>
      </c>
      <c r="D467" s="15">
        <v>47064</v>
      </c>
    </row>
    <row r="468" spans="1:4">
      <c r="A468" s="15">
        <v>47067</v>
      </c>
      <c r="C468" s="18">
        <v>50682</v>
      </c>
      <c r="D468" s="15">
        <v>47067</v>
      </c>
    </row>
    <row r="469" spans="1:4">
      <c r="A469" s="15">
        <v>47080</v>
      </c>
      <c r="C469" s="18">
        <v>50766</v>
      </c>
      <c r="D469" s="15">
        <v>47080</v>
      </c>
    </row>
    <row r="470" spans="1:4">
      <c r="A470" s="15">
        <v>47112</v>
      </c>
      <c r="C470" s="18">
        <v>50767</v>
      </c>
      <c r="D470" s="15">
        <v>47112</v>
      </c>
    </row>
    <row r="471" spans="1:4">
      <c r="A471" s="15">
        <v>47119</v>
      </c>
      <c r="C471" s="18">
        <v>50773</v>
      </c>
      <c r="D471" s="15">
        <v>47119</v>
      </c>
    </row>
    <row r="472" spans="1:4">
      <c r="A472" s="15">
        <v>47133</v>
      </c>
      <c r="C472" s="18">
        <v>50796</v>
      </c>
      <c r="D472" s="15">
        <v>47133</v>
      </c>
    </row>
    <row r="473" spans="1:4">
      <c r="A473" s="15">
        <v>47161</v>
      </c>
      <c r="C473" s="18">
        <v>50868</v>
      </c>
      <c r="D473" s="15">
        <v>47161</v>
      </c>
    </row>
    <row r="474" spans="1:4">
      <c r="A474" s="15">
        <v>47164</v>
      </c>
      <c r="C474" s="18">
        <v>50871</v>
      </c>
      <c r="D474" s="15">
        <v>47164</v>
      </c>
    </row>
    <row r="475" spans="1:4">
      <c r="A475" s="15">
        <v>47168</v>
      </c>
      <c r="C475" s="18">
        <v>50885</v>
      </c>
      <c r="D475" s="15">
        <v>47168</v>
      </c>
    </row>
    <row r="476" spans="1:4">
      <c r="A476" s="15">
        <v>47266</v>
      </c>
      <c r="C476" s="18">
        <v>50934</v>
      </c>
      <c r="D476" s="15">
        <v>47266</v>
      </c>
    </row>
    <row r="477" spans="1:4">
      <c r="A477" s="15">
        <v>47288</v>
      </c>
      <c r="C477" s="18">
        <v>50983</v>
      </c>
      <c r="D477" s="15">
        <v>47288</v>
      </c>
    </row>
    <row r="478" spans="1:4">
      <c r="A478" s="15">
        <v>47303</v>
      </c>
      <c r="C478" s="18">
        <v>51046</v>
      </c>
      <c r="D478" s="15">
        <v>47303</v>
      </c>
    </row>
    <row r="479" spans="1:4">
      <c r="A479" s="15">
        <v>47364</v>
      </c>
      <c r="C479" s="18">
        <v>51130</v>
      </c>
      <c r="D479" s="15">
        <v>47364</v>
      </c>
    </row>
    <row r="480" spans="1:4">
      <c r="A480" s="15">
        <v>47399</v>
      </c>
      <c r="C480" s="18">
        <v>51131</v>
      </c>
      <c r="D480" s="15">
        <v>47399</v>
      </c>
    </row>
    <row r="481" spans="1:4">
      <c r="A481" s="15">
        <v>47428</v>
      </c>
      <c r="C481" s="18">
        <v>51137</v>
      </c>
      <c r="D481" s="15">
        <v>47428</v>
      </c>
    </row>
    <row r="482" spans="1:4">
      <c r="A482" s="15">
        <v>47434</v>
      </c>
      <c r="C482" s="18">
        <v>51161</v>
      </c>
      <c r="D482" s="15">
        <v>47434</v>
      </c>
    </row>
    <row r="483" spans="1:4">
      <c r="A483" s="15">
        <v>47444</v>
      </c>
      <c r="C483" s="18">
        <v>51225</v>
      </c>
      <c r="D483" s="15">
        <v>47444</v>
      </c>
    </row>
    <row r="484" spans="1:4">
      <c r="A484" s="15">
        <v>47477</v>
      </c>
      <c r="C484" s="18">
        <v>51228</v>
      </c>
      <c r="D484" s="15">
        <v>47477</v>
      </c>
    </row>
    <row r="485" spans="1:4">
      <c r="A485" s="15">
        <v>47484</v>
      </c>
      <c r="C485" s="18">
        <v>51251</v>
      </c>
      <c r="D485" s="15">
        <v>47484</v>
      </c>
    </row>
    <row r="486" spans="1:4">
      <c r="A486" s="15">
        <v>47504</v>
      </c>
      <c r="C486" s="18">
        <v>51298</v>
      </c>
      <c r="D486" s="15">
        <v>47504</v>
      </c>
    </row>
    <row r="487" spans="1:4">
      <c r="A487" s="15">
        <v>47526</v>
      </c>
      <c r="C487" s="18">
        <v>51354</v>
      </c>
      <c r="D487" s="15">
        <v>47526</v>
      </c>
    </row>
    <row r="488" spans="1:4">
      <c r="A488" s="15">
        <v>47529</v>
      </c>
      <c r="C488" s="18">
        <v>51410</v>
      </c>
      <c r="D488" s="15">
        <v>47529</v>
      </c>
    </row>
    <row r="489" spans="1:4">
      <c r="A489" s="15">
        <v>47532</v>
      </c>
      <c r="C489" s="18">
        <v>51495</v>
      </c>
      <c r="D489" s="15">
        <v>47532</v>
      </c>
    </row>
    <row r="490" spans="1:4">
      <c r="A490" s="15">
        <v>47630</v>
      </c>
      <c r="C490" s="18">
        <v>51496</v>
      </c>
      <c r="D490" s="15">
        <v>47630</v>
      </c>
    </row>
    <row r="491" spans="1:4">
      <c r="A491" s="15">
        <v>47653</v>
      </c>
      <c r="C491" s="18">
        <v>51502</v>
      </c>
      <c r="D491" s="15">
        <v>47653</v>
      </c>
    </row>
    <row r="492" spans="1:4">
      <c r="A492" s="15">
        <v>47668</v>
      </c>
      <c r="C492" s="18">
        <v>51529</v>
      </c>
      <c r="D492" s="15">
        <v>47668</v>
      </c>
    </row>
    <row r="493" spans="1:4">
      <c r="A493" s="15">
        <v>47728</v>
      </c>
      <c r="C493" s="18">
        <v>51610</v>
      </c>
      <c r="D493" s="15">
        <v>47728</v>
      </c>
    </row>
    <row r="494" spans="1:4">
      <c r="A494" s="15">
        <v>47770</v>
      </c>
      <c r="C494" s="18">
        <v>51613</v>
      </c>
      <c r="D494" s="15">
        <v>47770</v>
      </c>
    </row>
    <row r="495" spans="1:4">
      <c r="A495" s="15">
        <v>47792</v>
      </c>
      <c r="C495" s="18">
        <v>51616</v>
      </c>
      <c r="D495" s="15">
        <v>47792</v>
      </c>
    </row>
    <row r="496" spans="1:4">
      <c r="A496" s="15">
        <v>47798</v>
      </c>
      <c r="C496" s="18">
        <v>51662</v>
      </c>
      <c r="D496" s="15">
        <v>47798</v>
      </c>
    </row>
    <row r="497" spans="1:4">
      <c r="A497" s="15">
        <v>47815</v>
      </c>
      <c r="C497" s="18">
        <v>51718</v>
      </c>
      <c r="D497" s="15">
        <v>47815</v>
      </c>
    </row>
    <row r="498" spans="1:4">
      <c r="A498" s="15">
        <v>47842</v>
      </c>
      <c r="C498" s="18">
        <v>51781</v>
      </c>
      <c r="D498" s="15">
        <v>47842</v>
      </c>
    </row>
    <row r="499" spans="1:4">
      <c r="A499" s="15">
        <v>47849</v>
      </c>
      <c r="C499" s="18">
        <v>51860</v>
      </c>
      <c r="D499" s="15">
        <v>47849</v>
      </c>
    </row>
    <row r="500" spans="1:4">
      <c r="A500" s="15">
        <v>47868</v>
      </c>
      <c r="C500" s="18">
        <v>51861</v>
      </c>
      <c r="D500" s="15">
        <v>47868</v>
      </c>
    </row>
    <row r="501" spans="1:4">
      <c r="A501" s="15">
        <v>47891</v>
      </c>
      <c r="C501" s="18">
        <v>51867</v>
      </c>
      <c r="D501" s="15">
        <v>47891</v>
      </c>
    </row>
    <row r="502" spans="1:4">
      <c r="A502" s="15">
        <v>47896</v>
      </c>
      <c r="C502" s="18">
        <v>51893</v>
      </c>
      <c r="D502" s="15">
        <v>47896</v>
      </c>
    </row>
    <row r="503" spans="1:4">
      <c r="A503" s="15">
        <v>47994</v>
      </c>
      <c r="C503" s="18">
        <v>51960</v>
      </c>
      <c r="D503" s="15">
        <v>47994</v>
      </c>
    </row>
    <row r="504" spans="1:4">
      <c r="A504" s="15">
        <v>48018</v>
      </c>
      <c r="C504" s="18">
        <v>51963</v>
      </c>
      <c r="D504" s="15">
        <v>48018</v>
      </c>
    </row>
    <row r="505" spans="1:4">
      <c r="A505" s="15">
        <v>48033</v>
      </c>
      <c r="C505" s="18">
        <v>51981</v>
      </c>
      <c r="D505" s="15">
        <v>48033</v>
      </c>
    </row>
    <row r="506" spans="1:4">
      <c r="A506" s="15">
        <v>48092</v>
      </c>
      <c r="C506" s="18">
        <v>52026</v>
      </c>
      <c r="D506" s="15">
        <v>48092</v>
      </c>
    </row>
    <row r="507" spans="1:4">
      <c r="A507" s="15">
        <v>48134</v>
      </c>
      <c r="C507" s="18">
        <v>52082</v>
      </c>
      <c r="D507" s="15">
        <v>48134</v>
      </c>
    </row>
    <row r="508" spans="1:4">
      <c r="A508" s="15">
        <v>48156</v>
      </c>
      <c r="C508" s="18">
        <v>52145</v>
      </c>
      <c r="D508" s="15">
        <v>48156</v>
      </c>
    </row>
    <row r="509" spans="1:4">
      <c r="A509" s="15">
        <v>48163</v>
      </c>
      <c r="C509" s="18">
        <v>52225</v>
      </c>
      <c r="D509" s="15">
        <v>48163</v>
      </c>
    </row>
    <row r="510" spans="1:4">
      <c r="A510" s="15">
        <v>48179</v>
      </c>
      <c r="C510" s="18">
        <v>52226</v>
      </c>
      <c r="D510" s="15">
        <v>48179</v>
      </c>
    </row>
    <row r="511" spans="1:4">
      <c r="A511" s="15">
        <v>48207</v>
      </c>
      <c r="C511" s="18">
        <v>52232</v>
      </c>
      <c r="D511" s="15">
        <v>48207</v>
      </c>
    </row>
    <row r="512" spans="1:4">
      <c r="A512" s="15">
        <v>48214</v>
      </c>
      <c r="C512" s="18">
        <v>52257</v>
      </c>
      <c r="D512" s="15">
        <v>48214</v>
      </c>
    </row>
    <row r="513" spans="1:4">
      <c r="A513" s="15">
        <v>48232</v>
      </c>
      <c r="C513" s="18">
        <v>52317</v>
      </c>
      <c r="D513" s="15">
        <v>48232</v>
      </c>
    </row>
    <row r="514" spans="1:4">
      <c r="A514" s="15">
        <v>48256</v>
      </c>
      <c r="C514" s="18">
        <v>52320</v>
      </c>
      <c r="D514" s="15">
        <v>48256</v>
      </c>
    </row>
    <row r="515" spans="1:4">
      <c r="A515" s="15">
        <v>48260</v>
      </c>
      <c r="C515" s="18">
        <v>52390</v>
      </c>
      <c r="D515" s="15">
        <v>48260</v>
      </c>
    </row>
    <row r="516" spans="1:4">
      <c r="A516" s="15">
        <v>48365</v>
      </c>
      <c r="C516" s="18">
        <v>52446</v>
      </c>
      <c r="D516" s="15">
        <v>48365</v>
      </c>
    </row>
    <row r="517" spans="1:4">
      <c r="A517" s="15">
        <v>48383</v>
      </c>
      <c r="C517" s="18">
        <v>52509</v>
      </c>
      <c r="D517" s="15">
        <v>48383</v>
      </c>
    </row>
    <row r="518" spans="1:4">
      <c r="A518" s="15">
        <v>48400</v>
      </c>
      <c r="C518" s="18">
        <v>52590</v>
      </c>
      <c r="D518" s="15">
        <v>48400</v>
      </c>
    </row>
    <row r="519" spans="1:4">
      <c r="A519" s="15">
        <v>48463</v>
      </c>
      <c r="C519" s="18">
        <v>52593</v>
      </c>
      <c r="D519" s="15">
        <v>48463</v>
      </c>
    </row>
    <row r="520" spans="1:4">
      <c r="A520" s="15">
        <v>48498</v>
      </c>
      <c r="C520" s="18">
        <v>52597</v>
      </c>
      <c r="D520" s="15">
        <v>48498</v>
      </c>
    </row>
    <row r="521" spans="1:4">
      <c r="A521" s="15">
        <v>48520</v>
      </c>
      <c r="C521" s="18">
        <v>52622</v>
      </c>
      <c r="D521" s="15">
        <v>48520</v>
      </c>
    </row>
    <row r="522" spans="1:4">
      <c r="A522" s="15">
        <v>48529</v>
      </c>
      <c r="C522" s="18">
        <v>52702</v>
      </c>
      <c r="D522" s="15">
        <v>48529</v>
      </c>
    </row>
    <row r="523" spans="1:4">
      <c r="A523" s="15">
        <v>48543</v>
      </c>
      <c r="C523" s="18">
        <v>52705</v>
      </c>
      <c r="D523" s="15">
        <v>48543</v>
      </c>
    </row>
    <row r="524" spans="1:4">
      <c r="A524" s="15">
        <v>48572</v>
      </c>
      <c r="C524" s="18">
        <v>52712</v>
      </c>
      <c r="D524" s="15">
        <v>48572</v>
      </c>
    </row>
    <row r="525" spans="1:4">
      <c r="A525" s="15">
        <v>48579</v>
      </c>
      <c r="C525" s="18">
        <v>52761</v>
      </c>
      <c r="D525" s="15">
        <v>48579</v>
      </c>
    </row>
    <row r="526" spans="1:4">
      <c r="A526" s="15">
        <v>48596</v>
      </c>
      <c r="C526" s="18">
        <v>52810</v>
      </c>
      <c r="D526" s="15">
        <v>48596</v>
      </c>
    </row>
    <row r="527" spans="1:4">
      <c r="A527" s="15">
        <v>48621</v>
      </c>
      <c r="C527" s="18">
        <v>52873</v>
      </c>
      <c r="D527" s="15">
        <v>48621</v>
      </c>
    </row>
    <row r="528" spans="1:4">
      <c r="A528" s="15">
        <v>48625</v>
      </c>
      <c r="C528" s="18">
        <v>52957</v>
      </c>
      <c r="D528" s="15">
        <v>48625</v>
      </c>
    </row>
    <row r="529" spans="1:4">
      <c r="A529" s="15">
        <v>48631</v>
      </c>
      <c r="C529" s="18">
        <v>52958</v>
      </c>
      <c r="D529" s="15">
        <v>48631</v>
      </c>
    </row>
    <row r="530" spans="1:4">
      <c r="A530" s="15">
        <v>48729</v>
      </c>
      <c r="C530" s="18">
        <v>52964</v>
      </c>
      <c r="D530" s="15">
        <v>48729</v>
      </c>
    </row>
    <row r="531" spans="1:4">
      <c r="A531" s="15">
        <v>48750</v>
      </c>
      <c r="C531" s="18">
        <v>52988</v>
      </c>
      <c r="D531" s="15">
        <v>48750</v>
      </c>
    </row>
    <row r="532" spans="1:4">
      <c r="A532" s="15">
        <v>48764</v>
      </c>
      <c r="C532" s="18">
        <v>53059</v>
      </c>
      <c r="D532" s="15">
        <v>48764</v>
      </c>
    </row>
    <row r="533" spans="1:4">
      <c r="A533" s="15">
        <v>48827</v>
      </c>
      <c r="C533" s="18">
        <v>53062</v>
      </c>
      <c r="D533" s="15">
        <v>48827</v>
      </c>
    </row>
    <row r="534" spans="1:4">
      <c r="A534" s="15">
        <v>48862</v>
      </c>
      <c r="C534" s="18">
        <v>53077</v>
      </c>
      <c r="D534" s="15">
        <v>48862</v>
      </c>
    </row>
    <row r="535" spans="1:4">
      <c r="A535" s="15">
        <v>48891</v>
      </c>
      <c r="C535" s="18">
        <v>53125</v>
      </c>
      <c r="D535" s="15">
        <v>48891</v>
      </c>
    </row>
    <row r="536" spans="1:4">
      <c r="A536" s="15">
        <v>48894</v>
      </c>
      <c r="C536" s="18">
        <v>53181</v>
      </c>
      <c r="D536" s="15">
        <v>48894</v>
      </c>
    </row>
    <row r="537" spans="1:4">
      <c r="A537" s="15">
        <v>48907</v>
      </c>
      <c r="C537" s="18">
        <v>53237</v>
      </c>
      <c r="D537" s="15">
        <v>48907</v>
      </c>
    </row>
    <row r="538" spans="1:4">
      <c r="A538" s="15">
        <v>48939</v>
      </c>
      <c r="C538" s="18">
        <v>53321</v>
      </c>
      <c r="D538" s="15">
        <v>48939</v>
      </c>
    </row>
    <row r="539" spans="1:4">
      <c r="A539" s="15">
        <v>48946</v>
      </c>
      <c r="C539" s="18">
        <v>53322</v>
      </c>
      <c r="D539" s="15">
        <v>48946</v>
      </c>
    </row>
    <row r="540" spans="1:4">
      <c r="A540" s="15">
        <v>48960</v>
      </c>
      <c r="C540" s="18">
        <v>53328</v>
      </c>
      <c r="D540" s="15">
        <v>48960</v>
      </c>
    </row>
    <row r="541" spans="1:4">
      <c r="A541" s="15">
        <v>48988</v>
      </c>
      <c r="C541" s="18">
        <v>53353</v>
      </c>
      <c r="D541" s="15">
        <v>48988</v>
      </c>
    </row>
    <row r="542" spans="1:4">
      <c r="A542" s="15">
        <v>48990</v>
      </c>
      <c r="C542" s="18">
        <v>53409</v>
      </c>
      <c r="D542" s="15">
        <v>48990</v>
      </c>
    </row>
    <row r="543" spans="1:4">
      <c r="A543" s="15">
        <v>48995</v>
      </c>
      <c r="C543" s="18">
        <v>53412</v>
      </c>
      <c r="D543" s="15">
        <v>48995</v>
      </c>
    </row>
    <row r="544" spans="1:4">
      <c r="A544" s="15">
        <v>49093</v>
      </c>
      <c r="C544" s="18">
        <v>53442</v>
      </c>
      <c r="D544" s="15">
        <v>49093</v>
      </c>
    </row>
    <row r="545" spans="1:4">
      <c r="A545" s="15">
        <v>49114</v>
      </c>
      <c r="C545" s="18">
        <v>53489</v>
      </c>
      <c r="D545" s="15">
        <v>49114</v>
      </c>
    </row>
    <row r="546" spans="1:4">
      <c r="A546" s="15">
        <v>49129</v>
      </c>
      <c r="C546" s="18">
        <v>53545</v>
      </c>
      <c r="D546" s="15">
        <v>49129</v>
      </c>
    </row>
    <row r="547" spans="1:4">
      <c r="A547" s="15">
        <v>49191</v>
      </c>
      <c r="C547" s="18">
        <v>53601</v>
      </c>
      <c r="D547" s="15">
        <v>49191</v>
      </c>
    </row>
    <row r="548" spans="1:4">
      <c r="A548" s="15">
        <v>49226</v>
      </c>
      <c r="C548" s="18">
        <v>53686</v>
      </c>
      <c r="D548" s="15">
        <v>49226</v>
      </c>
    </row>
    <row r="549" spans="1:4">
      <c r="A549" s="15">
        <v>49255</v>
      </c>
      <c r="C549" s="18">
        <v>53687</v>
      </c>
      <c r="D549" s="15">
        <v>49255</v>
      </c>
    </row>
    <row r="550" spans="1:4">
      <c r="A550" s="15">
        <v>49258</v>
      </c>
      <c r="C550" s="18">
        <v>53693</v>
      </c>
      <c r="D550" s="15">
        <v>49258</v>
      </c>
    </row>
    <row r="551" spans="1:4">
      <c r="A551" s="15">
        <v>49271</v>
      </c>
      <c r="C551" s="18">
        <v>53720</v>
      </c>
      <c r="D551" s="15">
        <v>49271</v>
      </c>
    </row>
    <row r="552" spans="1:4">
      <c r="A552" s="15">
        <v>49303</v>
      </c>
      <c r="C552" s="18">
        <v>53794</v>
      </c>
      <c r="D552" s="15">
        <v>49303</v>
      </c>
    </row>
    <row r="553" spans="1:4">
      <c r="A553" s="15">
        <v>49310</v>
      </c>
      <c r="C553" s="18">
        <v>53797</v>
      </c>
      <c r="D553" s="15">
        <v>49310</v>
      </c>
    </row>
    <row r="554" spans="1:4">
      <c r="A554" s="15">
        <v>49324</v>
      </c>
      <c r="C554" s="18">
        <v>53807</v>
      </c>
      <c r="D554" s="15">
        <v>49324</v>
      </c>
    </row>
    <row r="555" spans="1:4">
      <c r="A555" s="15">
        <v>49352</v>
      </c>
      <c r="C555" s="18">
        <v>53853</v>
      </c>
      <c r="D555" s="15">
        <v>49352</v>
      </c>
    </row>
    <row r="556" spans="1:4">
      <c r="A556" s="15">
        <v>49355</v>
      </c>
      <c r="C556" s="18">
        <v>53909</v>
      </c>
      <c r="D556" s="15">
        <v>49355</v>
      </c>
    </row>
    <row r="557" spans="1:4">
      <c r="A557" s="15">
        <v>49359</v>
      </c>
      <c r="C557" s="18">
        <v>53972</v>
      </c>
      <c r="D557" s="15">
        <v>49359</v>
      </c>
    </row>
    <row r="558" spans="1:4">
      <c r="A558" s="15">
        <v>49457</v>
      </c>
      <c r="C558" s="18">
        <v>54051</v>
      </c>
      <c r="D558" s="15">
        <v>49457</v>
      </c>
    </row>
    <row r="559" spans="1:4">
      <c r="A559" s="15">
        <v>49479</v>
      </c>
      <c r="C559" s="18">
        <v>54052</v>
      </c>
      <c r="D559" s="15">
        <v>49479</v>
      </c>
    </row>
    <row r="560" spans="1:4">
      <c r="A560" s="15">
        <v>49494</v>
      </c>
      <c r="C560" s="18">
        <v>54058</v>
      </c>
      <c r="D560" s="15">
        <v>49494</v>
      </c>
    </row>
    <row r="561" spans="1:4">
      <c r="A561" s="15">
        <v>49555</v>
      </c>
      <c r="C561" s="18">
        <v>54084</v>
      </c>
      <c r="D561" s="15">
        <v>49555</v>
      </c>
    </row>
    <row r="562" spans="1:4">
      <c r="A562" s="15">
        <v>49590</v>
      </c>
      <c r="C562" s="18">
        <v>54151</v>
      </c>
      <c r="D562" s="15">
        <v>49590</v>
      </c>
    </row>
    <row r="563" spans="1:4">
      <c r="A563" s="15">
        <v>49619</v>
      </c>
      <c r="C563" s="18">
        <v>54154</v>
      </c>
      <c r="D563" s="15">
        <v>49619</v>
      </c>
    </row>
    <row r="564" spans="1:4">
      <c r="A564" s="15">
        <v>49625</v>
      </c>
      <c r="C564" s="18">
        <v>54217</v>
      </c>
      <c r="D564" s="15">
        <v>49625</v>
      </c>
    </row>
    <row r="565" spans="1:4">
      <c r="A565" s="15">
        <v>49635</v>
      </c>
      <c r="C565" s="18">
        <v>54273</v>
      </c>
      <c r="D565" s="15">
        <v>49635</v>
      </c>
    </row>
    <row r="566" spans="1:4">
      <c r="A566" s="15">
        <v>49668</v>
      </c>
      <c r="C566" s="18">
        <v>54336</v>
      </c>
      <c r="D566" s="15">
        <v>49668</v>
      </c>
    </row>
    <row r="567" spans="1:4">
      <c r="A567" s="15">
        <v>49675</v>
      </c>
      <c r="C567" s="18">
        <v>54417</v>
      </c>
      <c r="D567" s="15">
        <v>49675</v>
      </c>
    </row>
    <row r="568" spans="1:4">
      <c r="A568" s="15">
        <v>49695</v>
      </c>
      <c r="C568" s="18">
        <v>54420</v>
      </c>
      <c r="D568" s="15">
        <v>49695</v>
      </c>
    </row>
    <row r="569" spans="1:4">
      <c r="A569" s="15">
        <v>49717</v>
      </c>
      <c r="C569" s="18">
        <v>54424</v>
      </c>
      <c r="D569" s="15">
        <v>49717</v>
      </c>
    </row>
    <row r="570" spans="1:4">
      <c r="A570" s="15">
        <v>49720</v>
      </c>
      <c r="C570" s="18">
        <v>54449</v>
      </c>
      <c r="D570" s="15">
        <v>49720</v>
      </c>
    </row>
    <row r="571" spans="1:4">
      <c r="A571" s="15">
        <v>49723</v>
      </c>
      <c r="C571" s="18">
        <v>54529</v>
      </c>
      <c r="D571" s="15">
        <v>49723</v>
      </c>
    </row>
    <row r="572" spans="1:4">
      <c r="A572" s="15">
        <v>49821</v>
      </c>
      <c r="C572" s="18">
        <v>54532</v>
      </c>
      <c r="D572" s="15">
        <v>49821</v>
      </c>
    </row>
    <row r="573" spans="1:4">
      <c r="A573" s="15">
        <v>49845</v>
      </c>
      <c r="C573" s="18">
        <v>54588</v>
      </c>
      <c r="D573" s="15">
        <v>49845</v>
      </c>
    </row>
    <row r="574" spans="1:4">
      <c r="A574" s="15">
        <v>49860</v>
      </c>
      <c r="C574" s="18">
        <v>54637</v>
      </c>
      <c r="D574" s="15">
        <v>49860</v>
      </c>
    </row>
    <row r="575" spans="1:4">
      <c r="A575" s="15">
        <v>49919</v>
      </c>
      <c r="C575" s="18">
        <v>54700</v>
      </c>
      <c r="D575" s="15">
        <v>49919</v>
      </c>
    </row>
    <row r="576" spans="1:4">
      <c r="A576" s="15">
        <v>49961</v>
      </c>
      <c r="C576" s="18">
        <v>54784</v>
      </c>
      <c r="D576" s="15">
        <v>49961</v>
      </c>
    </row>
    <row r="577" spans="1:4">
      <c r="A577" s="15">
        <v>49983</v>
      </c>
      <c r="C577" s="18">
        <v>54785</v>
      </c>
      <c r="D577" s="15">
        <v>49983</v>
      </c>
    </row>
    <row r="578" spans="1:4">
      <c r="A578" s="15">
        <v>49990</v>
      </c>
      <c r="C578" s="18">
        <v>54791</v>
      </c>
      <c r="D578" s="15">
        <v>49990</v>
      </c>
    </row>
    <row r="579" spans="1:4">
      <c r="A579" s="15">
        <v>50006</v>
      </c>
      <c r="C579" s="18">
        <v>54814</v>
      </c>
      <c r="D579" s="15">
        <v>50006</v>
      </c>
    </row>
    <row r="580" spans="1:4">
      <c r="A580" s="15">
        <v>50034</v>
      </c>
      <c r="C580" s="18">
        <v>54886</v>
      </c>
      <c r="D580" s="15">
        <v>50034</v>
      </c>
    </row>
    <row r="581" spans="1:4">
      <c r="A581" s="15">
        <v>50041</v>
      </c>
      <c r="C581" s="18">
        <v>54889</v>
      </c>
      <c r="D581" s="15">
        <v>50041</v>
      </c>
    </row>
    <row r="582" spans="1:4">
      <c r="A582" s="15">
        <v>50059</v>
      </c>
      <c r="C582" s="18">
        <v>54903</v>
      </c>
      <c r="D582" s="15">
        <v>50059</v>
      </c>
    </row>
    <row r="583" spans="1:4">
      <c r="A583" s="15">
        <v>50083</v>
      </c>
      <c r="C583" s="18">
        <v>54952</v>
      </c>
      <c r="D583" s="15">
        <v>50083</v>
      </c>
    </row>
    <row r="584" spans="1:4">
      <c r="A584" s="15">
        <v>50087</v>
      </c>
      <c r="C584" s="18">
        <v>55001</v>
      </c>
      <c r="D584" s="15">
        <v>50087</v>
      </c>
    </row>
    <row r="585" spans="1:4">
      <c r="A585" s="15">
        <v>50185</v>
      </c>
      <c r="C585" s="18">
        <v>55064</v>
      </c>
      <c r="D585" s="15">
        <v>50185</v>
      </c>
    </row>
    <row r="586" spans="1:4">
      <c r="A586" s="15">
        <v>50210</v>
      </c>
      <c r="C586" s="18">
        <v>55148</v>
      </c>
      <c r="D586" s="15">
        <v>50210</v>
      </c>
    </row>
    <row r="587" spans="1:4">
      <c r="A587" s="15">
        <v>50224</v>
      </c>
      <c r="C587" s="18">
        <v>55149</v>
      </c>
      <c r="D587" s="15">
        <v>50224</v>
      </c>
    </row>
    <row r="588" spans="1:4">
      <c r="A588" s="15">
        <v>50290</v>
      </c>
      <c r="C588" s="18">
        <v>55155</v>
      </c>
      <c r="D588" s="15">
        <v>50290</v>
      </c>
    </row>
    <row r="589" spans="1:4">
      <c r="A589" s="15">
        <v>50325</v>
      </c>
      <c r="C589" s="18">
        <v>55179</v>
      </c>
      <c r="D589" s="15">
        <v>50325</v>
      </c>
    </row>
    <row r="590" spans="1:4">
      <c r="A590" s="15">
        <v>50347</v>
      </c>
      <c r="C590" s="18">
        <v>55243</v>
      </c>
      <c r="D590" s="15">
        <v>50347</v>
      </c>
    </row>
    <row r="591" spans="1:4">
      <c r="A591" s="15">
        <v>50355</v>
      </c>
      <c r="C591" s="18">
        <v>55246</v>
      </c>
      <c r="D591" s="15">
        <v>50355</v>
      </c>
    </row>
    <row r="592" spans="1:4">
      <c r="A592" s="15">
        <v>50370</v>
      </c>
      <c r="C592" s="18">
        <v>55268</v>
      </c>
      <c r="D592" s="15">
        <v>50370</v>
      </c>
    </row>
    <row r="593" spans="1:4">
      <c r="A593" s="15">
        <v>50399</v>
      </c>
      <c r="C593" s="18">
        <v>55316</v>
      </c>
      <c r="D593" s="15">
        <v>50399</v>
      </c>
    </row>
    <row r="594" spans="1:4">
      <c r="A594" s="15">
        <v>50406</v>
      </c>
      <c r="C594" s="18">
        <v>55372</v>
      </c>
      <c r="D594" s="15">
        <v>50406</v>
      </c>
    </row>
    <row r="595" spans="1:4">
      <c r="A595" s="15">
        <v>50423</v>
      </c>
      <c r="C595" s="18">
        <v>55428</v>
      </c>
      <c r="D595" s="15">
        <v>50423</v>
      </c>
    </row>
    <row r="596" spans="1:4">
      <c r="A596" s="15">
        <v>50448</v>
      </c>
      <c r="C596" s="18">
        <v>55512</v>
      </c>
      <c r="D596" s="15">
        <v>50448</v>
      </c>
    </row>
    <row r="597" spans="1:4">
      <c r="A597" s="15">
        <v>50451</v>
      </c>
      <c r="C597" s="18">
        <v>55513</v>
      </c>
      <c r="D597" s="15">
        <v>50451</v>
      </c>
    </row>
    <row r="598" spans="1:4">
      <c r="A598" s="15">
        <v>50556</v>
      </c>
      <c r="C598" s="18">
        <v>55519</v>
      </c>
      <c r="D598" s="15">
        <v>50556</v>
      </c>
    </row>
    <row r="599" spans="1:4">
      <c r="A599" s="15">
        <v>50574</v>
      </c>
      <c r="C599" s="18">
        <v>55544</v>
      </c>
      <c r="D599" s="15">
        <v>50574</v>
      </c>
    </row>
    <row r="600" spans="1:4">
      <c r="A600" s="15">
        <v>50591</v>
      </c>
      <c r="C600" s="18">
        <v>55628</v>
      </c>
      <c r="D600" s="15">
        <v>50591</v>
      </c>
    </row>
    <row r="601" spans="1:4">
      <c r="A601" s="15">
        <v>50654</v>
      </c>
      <c r="C601" s="18">
        <v>55631</v>
      </c>
      <c r="D601" s="15">
        <v>50654</v>
      </c>
    </row>
    <row r="602" spans="1:4">
      <c r="A602" s="15">
        <v>50689</v>
      </c>
      <c r="C602" s="18">
        <v>55634</v>
      </c>
      <c r="D602" s="15">
        <v>50689</v>
      </c>
    </row>
    <row r="603" spans="1:4">
      <c r="A603" s="15">
        <v>50711</v>
      </c>
      <c r="C603" s="18">
        <v>55680</v>
      </c>
      <c r="D603" s="15">
        <v>50711</v>
      </c>
    </row>
    <row r="604" spans="1:4">
      <c r="A604" s="15">
        <v>50720</v>
      </c>
      <c r="C604" s="18">
        <v>55736</v>
      </c>
      <c r="D604" s="15">
        <v>50720</v>
      </c>
    </row>
    <row r="605" spans="1:4">
      <c r="A605" s="15">
        <v>50734</v>
      </c>
      <c r="C605" s="18">
        <v>55799</v>
      </c>
      <c r="D605" s="15">
        <v>50734</v>
      </c>
    </row>
    <row r="606" spans="1:4">
      <c r="A606" s="15">
        <v>50763</v>
      </c>
      <c r="C606" s="18">
        <v>55878</v>
      </c>
      <c r="D606" s="15">
        <v>50763</v>
      </c>
    </row>
    <row r="607" spans="1:4">
      <c r="A607" s="15">
        <v>50770</v>
      </c>
      <c r="C607" s="18">
        <v>55879</v>
      </c>
      <c r="D607" s="15">
        <v>50770</v>
      </c>
    </row>
    <row r="608" spans="1:4">
      <c r="A608" s="15">
        <v>50787</v>
      </c>
      <c r="C608" s="18">
        <v>55885</v>
      </c>
      <c r="D608" s="15">
        <v>50787</v>
      </c>
    </row>
    <row r="609" spans="1:4">
      <c r="A609" s="15">
        <v>50812</v>
      </c>
      <c r="C609" s="18">
        <v>55911</v>
      </c>
      <c r="D609" s="15">
        <v>50812</v>
      </c>
    </row>
    <row r="610" spans="1:4">
      <c r="A610" s="15">
        <v>50816</v>
      </c>
      <c r="C610" s="18">
        <v>55978</v>
      </c>
      <c r="D610" s="15">
        <v>50816</v>
      </c>
    </row>
    <row r="611" spans="1:4">
      <c r="A611" s="15">
        <v>50822</v>
      </c>
      <c r="C611" s="18">
        <v>55981</v>
      </c>
      <c r="D611" s="15">
        <v>50822</v>
      </c>
    </row>
    <row r="612" spans="1:4">
      <c r="A612" s="15">
        <v>50920</v>
      </c>
      <c r="C612" s="18">
        <v>55999</v>
      </c>
      <c r="D612" s="15">
        <v>50920</v>
      </c>
    </row>
    <row r="613" spans="1:4">
      <c r="A613" s="15">
        <v>50941</v>
      </c>
      <c r="C613" s="18">
        <v>56044</v>
      </c>
      <c r="D613" s="15">
        <v>50941</v>
      </c>
    </row>
    <row r="614" spans="1:4">
      <c r="A614" s="15">
        <v>50955</v>
      </c>
      <c r="C614" s="18">
        <v>56100</v>
      </c>
      <c r="D614" s="15">
        <v>50955</v>
      </c>
    </row>
    <row r="615" spans="1:4">
      <c r="A615" s="15">
        <v>51018</v>
      </c>
      <c r="C615" s="18">
        <v>56163</v>
      </c>
      <c r="D615" s="15">
        <v>51018</v>
      </c>
    </row>
    <row r="616" spans="1:4">
      <c r="A616" s="15">
        <v>51053</v>
      </c>
      <c r="C616" s="18">
        <v>56243</v>
      </c>
      <c r="D616" s="15">
        <v>51053</v>
      </c>
    </row>
    <row r="617" spans="1:4">
      <c r="A617" s="15">
        <v>51082</v>
      </c>
      <c r="C617" s="18">
        <v>56244</v>
      </c>
      <c r="D617" s="15">
        <v>51082</v>
      </c>
    </row>
    <row r="618" spans="1:4">
      <c r="A618" s="15">
        <v>51085</v>
      </c>
      <c r="C618" s="18">
        <v>56250</v>
      </c>
      <c r="D618" s="15">
        <v>51085</v>
      </c>
    </row>
    <row r="619" spans="1:4">
      <c r="A619" s="15">
        <v>51098</v>
      </c>
      <c r="C619" s="18">
        <v>56275</v>
      </c>
      <c r="D619" s="15">
        <v>51098</v>
      </c>
    </row>
    <row r="620" spans="1:4">
      <c r="A620" s="15">
        <v>51130</v>
      </c>
      <c r="C620" s="18">
        <v>56335</v>
      </c>
      <c r="D620" s="15">
        <v>51130</v>
      </c>
    </row>
    <row r="621" spans="1:4">
      <c r="A621" s="15">
        <v>51137</v>
      </c>
      <c r="C621" s="18">
        <v>56338</v>
      </c>
      <c r="D621" s="15">
        <v>51137</v>
      </c>
    </row>
    <row r="622" spans="1:4">
      <c r="A622" s="15">
        <v>51151</v>
      </c>
      <c r="C622" s="18">
        <v>56408</v>
      </c>
      <c r="D622" s="15">
        <v>51151</v>
      </c>
    </row>
    <row r="623" spans="1:4">
      <c r="A623" s="15">
        <v>51179</v>
      </c>
      <c r="C623" s="18">
        <v>56464</v>
      </c>
      <c r="D623" s="15">
        <v>51179</v>
      </c>
    </row>
    <row r="624" spans="1:4">
      <c r="A624" s="15">
        <v>51181</v>
      </c>
      <c r="C624" s="18">
        <v>56527</v>
      </c>
      <c r="D624" s="15">
        <v>51181</v>
      </c>
    </row>
    <row r="625" spans="1:4">
      <c r="A625" s="15">
        <v>51186</v>
      </c>
      <c r="C625" s="18">
        <v>56608</v>
      </c>
      <c r="D625" s="15">
        <v>51186</v>
      </c>
    </row>
    <row r="626" spans="1:4">
      <c r="A626" s="15">
        <v>51284</v>
      </c>
      <c r="C626" s="18">
        <v>56611</v>
      </c>
      <c r="D626" s="15">
        <v>51284</v>
      </c>
    </row>
    <row r="627" spans="1:4">
      <c r="A627" s="15">
        <v>51306</v>
      </c>
      <c r="C627" s="18">
        <v>56615</v>
      </c>
      <c r="D627" s="15">
        <v>51306</v>
      </c>
    </row>
    <row r="628" spans="1:4">
      <c r="A628" s="15">
        <v>51321</v>
      </c>
      <c r="C628" s="18">
        <v>56640</v>
      </c>
      <c r="D628" s="15">
        <v>51321</v>
      </c>
    </row>
    <row r="629" spans="1:4">
      <c r="A629" s="15">
        <v>51382</v>
      </c>
      <c r="C629" s="18">
        <v>56720</v>
      </c>
      <c r="D629" s="15">
        <v>51382</v>
      </c>
    </row>
    <row r="630" spans="1:4">
      <c r="A630" s="15">
        <v>51417</v>
      </c>
      <c r="C630" s="18">
        <v>56723</v>
      </c>
      <c r="D630" s="15">
        <v>51417</v>
      </c>
    </row>
    <row r="631" spans="1:4">
      <c r="A631" s="15">
        <v>51446</v>
      </c>
      <c r="C631" s="18">
        <v>56779</v>
      </c>
      <c r="D631" s="15">
        <v>51446</v>
      </c>
    </row>
    <row r="632" spans="1:4">
      <c r="A632" s="15">
        <v>51452</v>
      </c>
      <c r="C632" s="18">
        <v>56828</v>
      </c>
      <c r="D632" s="15">
        <v>51452</v>
      </c>
    </row>
    <row r="633" spans="1:4">
      <c r="A633" s="15">
        <v>51462</v>
      </c>
      <c r="C633" s="18">
        <v>56891</v>
      </c>
      <c r="D633" s="15">
        <v>51462</v>
      </c>
    </row>
    <row r="634" spans="1:4">
      <c r="A634" s="15">
        <v>51495</v>
      </c>
      <c r="C634" s="18">
        <v>56975</v>
      </c>
      <c r="D634" s="15">
        <v>51495</v>
      </c>
    </row>
    <row r="635" spans="1:4">
      <c r="A635" s="15">
        <v>51502</v>
      </c>
      <c r="C635" s="18">
        <v>56976</v>
      </c>
      <c r="D635" s="15">
        <v>51502</v>
      </c>
    </row>
    <row r="636" spans="1:4">
      <c r="A636" s="15">
        <v>51522</v>
      </c>
      <c r="C636" s="18">
        <v>56982</v>
      </c>
      <c r="D636" s="15">
        <v>51522</v>
      </c>
    </row>
    <row r="637" spans="1:4">
      <c r="A637" s="15">
        <v>51544</v>
      </c>
      <c r="C637" s="18">
        <v>57005</v>
      </c>
      <c r="D637" s="15">
        <v>51544</v>
      </c>
    </row>
    <row r="638" spans="1:4">
      <c r="A638" s="15">
        <v>51547</v>
      </c>
      <c r="C638" s="18">
        <v>57070</v>
      </c>
      <c r="D638" s="15">
        <v>51547</v>
      </c>
    </row>
    <row r="639" spans="1:4">
      <c r="A639" s="15">
        <v>51550</v>
      </c>
      <c r="C639" s="18">
        <v>57073</v>
      </c>
      <c r="D639" s="15">
        <v>51550</v>
      </c>
    </row>
    <row r="640" spans="1:4">
      <c r="A640" s="15">
        <v>51648</v>
      </c>
      <c r="C640" s="18">
        <v>57095</v>
      </c>
      <c r="D640" s="15">
        <v>51648</v>
      </c>
    </row>
    <row r="641" spans="1:4">
      <c r="A641" s="15">
        <v>51671</v>
      </c>
      <c r="C641" s="18">
        <v>57143</v>
      </c>
      <c r="D641" s="15">
        <v>51671</v>
      </c>
    </row>
    <row r="642" spans="1:4">
      <c r="A642" s="15">
        <v>51686</v>
      </c>
      <c r="C642" s="18">
        <v>57199</v>
      </c>
      <c r="D642" s="15">
        <v>51686</v>
      </c>
    </row>
    <row r="643" spans="1:4">
      <c r="A643" s="15">
        <v>51746</v>
      </c>
      <c r="C643" s="18">
        <v>57255</v>
      </c>
      <c r="D643" s="15">
        <v>51746</v>
      </c>
    </row>
    <row r="644" spans="1:4">
      <c r="A644" s="15">
        <v>51788</v>
      </c>
      <c r="C644" s="18">
        <v>57339</v>
      </c>
      <c r="D644" s="15">
        <v>51788</v>
      </c>
    </row>
    <row r="645" spans="1:4">
      <c r="A645" s="15">
        <v>51810</v>
      </c>
      <c r="C645" s="18">
        <v>57340</v>
      </c>
      <c r="D645" s="15">
        <v>51810</v>
      </c>
    </row>
    <row r="646" spans="1:4">
      <c r="A646" s="15">
        <v>51816</v>
      </c>
      <c r="C646" s="18">
        <v>57346</v>
      </c>
      <c r="D646" s="15">
        <v>51816</v>
      </c>
    </row>
    <row r="647" spans="1:4">
      <c r="A647" s="15">
        <v>51833</v>
      </c>
      <c r="C647" s="18">
        <v>57371</v>
      </c>
      <c r="D647" s="15">
        <v>51833</v>
      </c>
    </row>
    <row r="648" spans="1:4">
      <c r="A648" s="15">
        <v>51860</v>
      </c>
      <c r="C648" s="18">
        <v>57455</v>
      </c>
      <c r="D648" s="15">
        <v>51860</v>
      </c>
    </row>
    <row r="649" spans="1:4">
      <c r="A649" s="15">
        <v>51867</v>
      </c>
      <c r="C649" s="18">
        <v>57458</v>
      </c>
      <c r="D649" s="15">
        <v>51867</v>
      </c>
    </row>
    <row r="650" spans="1:4">
      <c r="A650" s="15">
        <v>51886</v>
      </c>
      <c r="C650" s="18">
        <v>57460</v>
      </c>
      <c r="D650" s="15">
        <v>51886</v>
      </c>
    </row>
    <row r="651" spans="1:4">
      <c r="A651" s="15">
        <v>51909</v>
      </c>
      <c r="C651" s="18">
        <v>57507</v>
      </c>
      <c r="D651" s="15">
        <v>51909</v>
      </c>
    </row>
    <row r="652" spans="1:4">
      <c r="A652" s="15">
        <v>51914</v>
      </c>
      <c r="C652" s="18">
        <v>57563</v>
      </c>
      <c r="D652" s="15">
        <v>51914</v>
      </c>
    </row>
    <row r="653" spans="1:4">
      <c r="A653" s="15">
        <v>52012</v>
      </c>
      <c r="C653" s="18">
        <v>57619</v>
      </c>
      <c r="D653" s="15">
        <v>52012</v>
      </c>
    </row>
    <row r="654" spans="1:4">
      <c r="A654" s="15">
        <v>52036</v>
      </c>
      <c r="C654" s="18">
        <v>57704</v>
      </c>
      <c r="D654" s="15">
        <v>52036</v>
      </c>
    </row>
    <row r="655" spans="1:4">
      <c r="A655" s="15">
        <v>52051</v>
      </c>
      <c r="C655" s="18">
        <v>57705</v>
      </c>
      <c r="D655" s="15">
        <v>52051</v>
      </c>
    </row>
    <row r="656" spans="1:4">
      <c r="A656" s="15">
        <v>52110</v>
      </c>
      <c r="C656" s="18">
        <v>57711</v>
      </c>
      <c r="D656" s="15">
        <v>52110</v>
      </c>
    </row>
    <row r="657" spans="1:4">
      <c r="A657" s="15">
        <v>52152</v>
      </c>
      <c r="C657" s="18">
        <v>57738</v>
      </c>
      <c r="D657" s="15">
        <v>52152</v>
      </c>
    </row>
    <row r="658" spans="1:4">
      <c r="A658" s="15">
        <v>52174</v>
      </c>
      <c r="C658" s="18">
        <v>57812</v>
      </c>
      <c r="D658" s="15">
        <v>52174</v>
      </c>
    </row>
    <row r="659" spans="1:4">
      <c r="A659" s="15">
        <v>52181</v>
      </c>
      <c r="C659" s="18">
        <v>57815</v>
      </c>
      <c r="D659" s="15">
        <v>52181</v>
      </c>
    </row>
    <row r="660" spans="1:4">
      <c r="A660" s="15">
        <v>52197</v>
      </c>
      <c r="C660" s="18">
        <v>57825</v>
      </c>
      <c r="D660" s="15">
        <v>52197</v>
      </c>
    </row>
    <row r="661" spans="1:4">
      <c r="A661" s="15">
        <v>52225</v>
      </c>
      <c r="C661" s="18">
        <v>57871</v>
      </c>
      <c r="D661" s="15">
        <v>52225</v>
      </c>
    </row>
    <row r="662" spans="1:4">
      <c r="A662" s="15">
        <v>52232</v>
      </c>
      <c r="C662" s="18">
        <v>57927</v>
      </c>
      <c r="D662" s="15">
        <v>52232</v>
      </c>
    </row>
    <row r="663" spans="1:4">
      <c r="A663" s="15">
        <v>52250</v>
      </c>
      <c r="C663" s="18">
        <v>57990</v>
      </c>
      <c r="D663" s="15">
        <v>52250</v>
      </c>
    </row>
    <row r="664" spans="1:4">
      <c r="A664" s="15">
        <v>52274</v>
      </c>
      <c r="C664" s="18">
        <v>58069</v>
      </c>
      <c r="D664" s="15">
        <v>52274</v>
      </c>
    </row>
    <row r="665" spans="1:4">
      <c r="A665" s="15">
        <v>52278</v>
      </c>
      <c r="C665" s="18">
        <v>58070</v>
      </c>
      <c r="D665" s="15">
        <v>52278</v>
      </c>
    </row>
    <row r="666" spans="1:4">
      <c r="A666" s="15">
        <v>52376</v>
      </c>
      <c r="C666" s="18">
        <v>58076</v>
      </c>
      <c r="D666" s="15">
        <v>52376</v>
      </c>
    </row>
    <row r="667" spans="1:4">
      <c r="A667" s="15">
        <v>52401</v>
      </c>
      <c r="C667" s="18">
        <v>58102</v>
      </c>
      <c r="D667" s="15">
        <v>52401</v>
      </c>
    </row>
    <row r="668" spans="1:4">
      <c r="A668" s="15">
        <v>52415</v>
      </c>
      <c r="C668" s="18">
        <v>58162</v>
      </c>
      <c r="D668" s="15">
        <v>52415</v>
      </c>
    </row>
    <row r="669" spans="1:4">
      <c r="A669" s="15">
        <v>52481</v>
      </c>
      <c r="C669" s="18">
        <v>58165</v>
      </c>
      <c r="D669" s="15">
        <v>52481</v>
      </c>
    </row>
    <row r="670" spans="1:4">
      <c r="A670" s="15">
        <v>52516</v>
      </c>
      <c r="C670" s="18">
        <v>58190</v>
      </c>
      <c r="D670" s="15">
        <v>52516</v>
      </c>
    </row>
    <row r="671" spans="1:4">
      <c r="A671" s="15">
        <v>52538</v>
      </c>
      <c r="C671" s="18">
        <v>58235</v>
      </c>
      <c r="D671" s="15">
        <v>52538</v>
      </c>
    </row>
    <row r="672" spans="1:4">
      <c r="A672" s="15">
        <v>52546</v>
      </c>
      <c r="C672" s="18">
        <v>58291</v>
      </c>
      <c r="D672" s="15">
        <v>52546</v>
      </c>
    </row>
    <row r="673" spans="1:4">
      <c r="A673" s="15">
        <v>52561</v>
      </c>
      <c r="C673" s="18">
        <v>58354</v>
      </c>
      <c r="D673" s="15">
        <v>52561</v>
      </c>
    </row>
    <row r="674" spans="1:4">
      <c r="A674" s="15">
        <v>52590</v>
      </c>
      <c r="C674" s="18">
        <v>58434</v>
      </c>
      <c r="D674" s="15">
        <v>52590</v>
      </c>
    </row>
    <row r="675" spans="1:4">
      <c r="A675" s="15">
        <v>52597</v>
      </c>
      <c r="C675" s="18">
        <v>58435</v>
      </c>
      <c r="D675" s="15">
        <v>52597</v>
      </c>
    </row>
    <row r="676" spans="1:4">
      <c r="A676" s="15">
        <v>52614</v>
      </c>
      <c r="C676" s="18">
        <v>58441</v>
      </c>
      <c r="D676" s="15">
        <v>52614</v>
      </c>
    </row>
    <row r="677" spans="1:4">
      <c r="A677" s="15">
        <v>52639</v>
      </c>
      <c r="C677" s="18">
        <v>58466</v>
      </c>
      <c r="D677" s="15">
        <v>52639</v>
      </c>
    </row>
    <row r="678" spans="1:4">
      <c r="A678" s="15">
        <v>52642</v>
      </c>
      <c r="C678" s="18">
        <v>58547</v>
      </c>
      <c r="D678" s="15">
        <v>52642</v>
      </c>
    </row>
    <row r="679" spans="1:4">
      <c r="A679" s="15">
        <v>52747</v>
      </c>
      <c r="C679" s="18">
        <v>58550</v>
      </c>
      <c r="D679" s="15">
        <v>52747</v>
      </c>
    </row>
    <row r="680" spans="1:4">
      <c r="A680" s="15">
        <v>52768</v>
      </c>
      <c r="C680" s="18">
        <v>58606</v>
      </c>
      <c r="D680" s="15">
        <v>52768</v>
      </c>
    </row>
    <row r="681" spans="1:4">
      <c r="A681" s="15">
        <v>52782</v>
      </c>
      <c r="C681" s="18">
        <v>58655</v>
      </c>
      <c r="D681" s="15">
        <v>52782</v>
      </c>
    </row>
    <row r="682" spans="1:4">
      <c r="A682" s="15">
        <v>52845</v>
      </c>
      <c r="C682" s="18">
        <v>58718</v>
      </c>
      <c r="D682" s="15">
        <v>52845</v>
      </c>
    </row>
    <row r="683" spans="1:4">
      <c r="A683" s="15">
        <v>52880</v>
      </c>
      <c r="C683" s="18">
        <v>58802</v>
      </c>
      <c r="D683" s="15">
        <v>52880</v>
      </c>
    </row>
    <row r="684" spans="1:4">
      <c r="A684" s="15">
        <v>52909</v>
      </c>
      <c r="C684" s="18">
        <v>58803</v>
      </c>
      <c r="D684" s="15">
        <v>52909</v>
      </c>
    </row>
    <row r="685" spans="1:4">
      <c r="A685" s="15">
        <v>52912</v>
      </c>
      <c r="C685" s="18">
        <v>58809</v>
      </c>
      <c r="D685" s="15">
        <v>52912</v>
      </c>
    </row>
    <row r="686" spans="1:4">
      <c r="A686" s="15">
        <v>52925</v>
      </c>
      <c r="C686" s="18">
        <v>58832</v>
      </c>
      <c r="D686" s="15">
        <v>52925</v>
      </c>
    </row>
    <row r="687" spans="1:4">
      <c r="A687" s="15">
        <v>52957</v>
      </c>
      <c r="C687" s="18">
        <v>58904</v>
      </c>
      <c r="D687" s="15">
        <v>52957</v>
      </c>
    </row>
    <row r="688" spans="1:4">
      <c r="A688" s="15">
        <v>52964</v>
      </c>
      <c r="C688" s="18">
        <v>58907</v>
      </c>
      <c r="D688" s="15">
        <v>52964</v>
      </c>
    </row>
    <row r="689" spans="1:4">
      <c r="A689" s="15">
        <v>52978</v>
      </c>
      <c r="C689" s="18">
        <v>58921</v>
      </c>
      <c r="D689" s="15">
        <v>52978</v>
      </c>
    </row>
    <row r="690" spans="1:4">
      <c r="A690" s="15">
        <v>53006</v>
      </c>
      <c r="C690" s="18">
        <v>58970</v>
      </c>
      <c r="D690" s="15">
        <v>53006</v>
      </c>
    </row>
    <row r="691" spans="1:4">
      <c r="A691" s="15">
        <v>53008</v>
      </c>
      <c r="C691" s="18">
        <v>59019</v>
      </c>
      <c r="D691" s="15">
        <v>53008</v>
      </c>
    </row>
    <row r="692" spans="1:4">
      <c r="A692" s="15">
        <v>53013</v>
      </c>
      <c r="C692" s="18">
        <v>59082</v>
      </c>
      <c r="D692" s="15">
        <v>53013</v>
      </c>
    </row>
    <row r="693" spans="1:4">
      <c r="A693" s="15">
        <v>53111</v>
      </c>
      <c r="C693" s="18">
        <v>59166</v>
      </c>
      <c r="D693" s="15">
        <v>53111</v>
      </c>
    </row>
    <row r="694" spans="1:4">
      <c r="A694" s="15">
        <v>53132</v>
      </c>
      <c r="C694" s="18">
        <v>59167</v>
      </c>
      <c r="D694" s="15">
        <v>53132</v>
      </c>
    </row>
    <row r="695" spans="1:4">
      <c r="A695" s="15">
        <v>53147</v>
      </c>
      <c r="C695" s="18">
        <v>59173</v>
      </c>
      <c r="D695" s="15">
        <v>53147</v>
      </c>
    </row>
    <row r="696" spans="1:4">
      <c r="A696" s="15">
        <v>53209</v>
      </c>
      <c r="C696" s="18">
        <v>59197</v>
      </c>
      <c r="D696" s="15">
        <v>53209</v>
      </c>
    </row>
    <row r="697" spans="1:4">
      <c r="A697" s="15">
        <v>53244</v>
      </c>
      <c r="C697" s="18">
        <v>59254</v>
      </c>
      <c r="D697" s="15">
        <v>53244</v>
      </c>
    </row>
    <row r="698" spans="1:4">
      <c r="A698" s="15">
        <v>53273</v>
      </c>
      <c r="C698" s="18">
        <v>59257</v>
      </c>
      <c r="D698" s="15">
        <v>53273</v>
      </c>
    </row>
    <row r="699" spans="1:4">
      <c r="A699" s="15">
        <v>53276</v>
      </c>
      <c r="C699" s="18">
        <v>59286</v>
      </c>
      <c r="D699" s="15">
        <v>53276</v>
      </c>
    </row>
    <row r="700" spans="1:4">
      <c r="A700" s="15">
        <v>53289</v>
      </c>
      <c r="C700" s="18">
        <v>59334</v>
      </c>
      <c r="D700" s="15">
        <v>53289</v>
      </c>
    </row>
    <row r="701" spans="1:4">
      <c r="A701" s="15">
        <v>53321</v>
      </c>
      <c r="C701" s="18">
        <v>59390</v>
      </c>
      <c r="D701" s="15">
        <v>53321</v>
      </c>
    </row>
    <row r="702" spans="1:4">
      <c r="A702" s="15">
        <v>53328</v>
      </c>
      <c r="C702" s="18">
        <v>59446</v>
      </c>
      <c r="D702" s="15">
        <v>53328</v>
      </c>
    </row>
    <row r="703" spans="1:4">
      <c r="A703" s="15">
        <v>53342</v>
      </c>
      <c r="C703" s="18">
        <v>59530</v>
      </c>
      <c r="D703" s="15">
        <v>53342</v>
      </c>
    </row>
    <row r="704" spans="1:4">
      <c r="A704" s="15">
        <v>53370</v>
      </c>
      <c r="C704" s="18">
        <v>59531</v>
      </c>
      <c r="D704" s="15">
        <v>53370</v>
      </c>
    </row>
    <row r="705" spans="1:4">
      <c r="A705" s="15">
        <v>53373</v>
      </c>
      <c r="C705" s="18">
        <v>59537</v>
      </c>
      <c r="D705" s="15">
        <v>53373</v>
      </c>
    </row>
    <row r="706" spans="1:4">
      <c r="A706" s="15">
        <v>53377</v>
      </c>
      <c r="C706" s="18">
        <v>59562</v>
      </c>
      <c r="D706" s="15">
        <v>53377</v>
      </c>
    </row>
    <row r="707" spans="1:4">
      <c r="A707" s="15">
        <v>53475</v>
      </c>
      <c r="C707" s="18">
        <v>59639</v>
      </c>
      <c r="D707" s="15">
        <v>53475</v>
      </c>
    </row>
    <row r="708" spans="1:4">
      <c r="A708" s="15">
        <v>53497</v>
      </c>
      <c r="C708" s="18">
        <v>59642</v>
      </c>
      <c r="D708" s="15">
        <v>53497</v>
      </c>
    </row>
    <row r="709" spans="1:4">
      <c r="A709" s="15">
        <v>53512</v>
      </c>
      <c r="C709" s="18">
        <v>59651</v>
      </c>
      <c r="D709" s="15">
        <v>53512</v>
      </c>
    </row>
    <row r="710" spans="1:4">
      <c r="A710" s="15">
        <v>53573</v>
      </c>
      <c r="C710" s="18">
        <v>59698</v>
      </c>
      <c r="D710" s="15">
        <v>53573</v>
      </c>
    </row>
    <row r="711" spans="1:4">
      <c r="A711" s="15">
        <v>53608</v>
      </c>
      <c r="C711" s="18">
        <v>59754</v>
      </c>
      <c r="D711" s="15">
        <v>53608</v>
      </c>
    </row>
    <row r="712" spans="1:4">
      <c r="A712" s="15">
        <v>53637</v>
      </c>
      <c r="C712" s="18">
        <v>59810</v>
      </c>
      <c r="D712" s="15">
        <v>53637</v>
      </c>
    </row>
    <row r="713" spans="1:4">
      <c r="A713" s="15">
        <v>53643</v>
      </c>
      <c r="C713" s="18">
        <v>59895</v>
      </c>
      <c r="D713" s="15">
        <v>53643</v>
      </c>
    </row>
    <row r="714" spans="1:4">
      <c r="A714" s="15">
        <v>53653</v>
      </c>
      <c r="C714" s="18">
        <v>59896</v>
      </c>
      <c r="D714" s="15">
        <v>53653</v>
      </c>
    </row>
    <row r="715" spans="1:4">
      <c r="A715" s="15">
        <v>53686</v>
      </c>
      <c r="C715" s="18">
        <v>59902</v>
      </c>
      <c r="D715" s="15">
        <v>53686</v>
      </c>
    </row>
    <row r="716" spans="1:4">
      <c r="A716" s="15">
        <v>53693</v>
      </c>
      <c r="C716" s="18">
        <v>59929</v>
      </c>
      <c r="D716" s="15">
        <v>53693</v>
      </c>
    </row>
    <row r="717" spans="1:4">
      <c r="A717" s="15">
        <v>53713</v>
      </c>
      <c r="C717" s="18">
        <v>59996</v>
      </c>
      <c r="D717" s="15">
        <v>53713</v>
      </c>
    </row>
    <row r="718" spans="1:4">
      <c r="A718" s="15">
        <v>53735</v>
      </c>
      <c r="C718" s="18">
        <v>59999</v>
      </c>
      <c r="D718" s="15">
        <v>53735</v>
      </c>
    </row>
    <row r="719" spans="1:4">
      <c r="A719" s="15">
        <v>53738</v>
      </c>
      <c r="C719" s="18">
        <v>60017</v>
      </c>
      <c r="D719" s="15">
        <v>53738</v>
      </c>
    </row>
    <row r="720" spans="1:4">
      <c r="A720" s="15">
        <v>53741</v>
      </c>
      <c r="C720" s="18">
        <v>60062</v>
      </c>
      <c r="D720" s="15">
        <v>53741</v>
      </c>
    </row>
    <row r="721" spans="1:4">
      <c r="A721" s="15">
        <v>53839</v>
      </c>
      <c r="C721" s="18">
        <v>60118</v>
      </c>
      <c r="D721" s="15">
        <v>53839</v>
      </c>
    </row>
    <row r="722" spans="1:4">
      <c r="A722" s="15">
        <v>53862</v>
      </c>
      <c r="C722" s="18">
        <v>60181</v>
      </c>
      <c r="D722" s="15">
        <v>53862</v>
      </c>
    </row>
    <row r="723" spans="1:4">
      <c r="A723" s="15">
        <v>53877</v>
      </c>
      <c r="C723" s="18">
        <v>60261</v>
      </c>
      <c r="D723" s="15">
        <v>53877</v>
      </c>
    </row>
    <row r="724" spans="1:4">
      <c r="A724" s="15">
        <v>53937</v>
      </c>
      <c r="C724" s="18">
        <v>60262</v>
      </c>
      <c r="D724" s="15">
        <v>53937</v>
      </c>
    </row>
    <row r="725" spans="1:4">
      <c r="A725" s="15">
        <v>53979</v>
      </c>
      <c r="C725" s="18">
        <v>60268</v>
      </c>
      <c r="D725" s="15">
        <v>53979</v>
      </c>
    </row>
    <row r="726" spans="1:4">
      <c r="A726" s="15">
        <v>54001</v>
      </c>
      <c r="C726" s="18">
        <v>60293</v>
      </c>
      <c r="D726" s="15">
        <v>54001</v>
      </c>
    </row>
    <row r="727" spans="1:4">
      <c r="A727" s="15">
        <v>54007</v>
      </c>
      <c r="C727" s="18">
        <v>60353</v>
      </c>
      <c r="D727" s="15">
        <v>54007</v>
      </c>
    </row>
    <row r="728" spans="1:4">
      <c r="A728" s="15">
        <v>54024</v>
      </c>
      <c r="C728" s="18">
        <v>60356</v>
      </c>
      <c r="D728" s="15">
        <v>54024</v>
      </c>
    </row>
    <row r="729" spans="1:4">
      <c r="A729" s="15">
        <v>54051</v>
      </c>
      <c r="C729" s="18">
        <v>60426</v>
      </c>
      <c r="D729" s="15">
        <v>54051</v>
      </c>
    </row>
    <row r="730" spans="1:4">
      <c r="A730" s="15">
        <v>54058</v>
      </c>
      <c r="C730" s="18">
        <v>60482</v>
      </c>
      <c r="D730" s="15">
        <v>54058</v>
      </c>
    </row>
    <row r="731" spans="1:4">
      <c r="A731" s="15">
        <v>54077</v>
      </c>
      <c r="C731" s="18">
        <v>60545</v>
      </c>
      <c r="D731" s="15">
        <v>54077</v>
      </c>
    </row>
    <row r="732" spans="1:4">
      <c r="A732" s="15">
        <v>54100</v>
      </c>
      <c r="C732" s="18">
        <v>60626</v>
      </c>
      <c r="D732" s="15">
        <v>54100</v>
      </c>
    </row>
    <row r="733" spans="1:4">
      <c r="A733" s="15">
        <v>54105</v>
      </c>
      <c r="C733" s="18">
        <v>60629</v>
      </c>
      <c r="D733" s="15">
        <v>54105</v>
      </c>
    </row>
    <row r="734" spans="1:4">
      <c r="A734" s="15">
        <v>54203</v>
      </c>
      <c r="C734" s="18">
        <v>60633</v>
      </c>
      <c r="D734" s="15">
        <v>54203</v>
      </c>
    </row>
    <row r="735" spans="1:4">
      <c r="A735" s="15">
        <v>54228</v>
      </c>
      <c r="C735" s="18">
        <v>60658</v>
      </c>
      <c r="D735" s="15">
        <v>54228</v>
      </c>
    </row>
    <row r="736" spans="1:4">
      <c r="A736" s="15">
        <v>54242</v>
      </c>
      <c r="C736" s="18">
        <v>60731</v>
      </c>
      <c r="D736" s="15">
        <v>54242</v>
      </c>
    </row>
    <row r="737" spans="1:4">
      <c r="A737" s="15">
        <v>54308</v>
      </c>
      <c r="C737" s="18">
        <v>60734</v>
      </c>
      <c r="D737" s="15">
        <v>54308</v>
      </c>
    </row>
    <row r="738" spans="1:4">
      <c r="A738" s="15">
        <v>54343</v>
      </c>
      <c r="C738" s="18">
        <v>60797</v>
      </c>
      <c r="D738" s="15">
        <v>54343</v>
      </c>
    </row>
    <row r="739" spans="1:4">
      <c r="A739" s="15">
        <v>54365</v>
      </c>
      <c r="C739" s="18">
        <v>60846</v>
      </c>
      <c r="D739" s="15">
        <v>54365</v>
      </c>
    </row>
    <row r="740" spans="1:4">
      <c r="A740" s="15">
        <v>54373</v>
      </c>
      <c r="C740" s="18">
        <v>60909</v>
      </c>
      <c r="D740" s="15">
        <v>54373</v>
      </c>
    </row>
    <row r="741" spans="1:4">
      <c r="A741" s="15">
        <v>54388</v>
      </c>
      <c r="C741" s="18">
        <v>60993</v>
      </c>
      <c r="D741" s="15">
        <v>54388</v>
      </c>
    </row>
    <row r="742" spans="1:4">
      <c r="A742" s="15">
        <v>54417</v>
      </c>
      <c r="C742" s="18">
        <v>60994</v>
      </c>
      <c r="D742" s="15">
        <v>54417</v>
      </c>
    </row>
    <row r="743" spans="1:4">
      <c r="A743" s="15">
        <v>54424</v>
      </c>
      <c r="C743" s="18">
        <v>61000</v>
      </c>
      <c r="D743" s="15">
        <v>54424</v>
      </c>
    </row>
    <row r="744" spans="1:4">
      <c r="A744" s="15">
        <v>54441</v>
      </c>
      <c r="C744" s="18">
        <v>61023</v>
      </c>
      <c r="D744" s="15">
        <v>54441</v>
      </c>
    </row>
    <row r="745" spans="1:4">
      <c r="A745" s="15">
        <v>54466</v>
      </c>
      <c r="C745" s="18">
        <v>61088</v>
      </c>
      <c r="D745" s="15">
        <v>54466</v>
      </c>
    </row>
    <row r="746" spans="1:4">
      <c r="A746" s="15">
        <v>54469</v>
      </c>
      <c r="C746" s="18">
        <v>61091</v>
      </c>
      <c r="D746" s="15">
        <v>54469</v>
      </c>
    </row>
    <row r="747" spans="1:4">
      <c r="A747" s="15">
        <v>54574</v>
      </c>
      <c r="C747" s="18">
        <v>61112</v>
      </c>
      <c r="D747" s="15">
        <v>54574</v>
      </c>
    </row>
    <row r="748" spans="1:4">
      <c r="A748" s="15">
        <v>54592</v>
      </c>
      <c r="C748" s="18">
        <v>61161</v>
      </c>
      <c r="D748" s="15">
        <v>54592</v>
      </c>
    </row>
    <row r="749" spans="1:4">
      <c r="A749" s="15">
        <v>54609</v>
      </c>
      <c r="C749" s="18">
        <v>61210</v>
      </c>
      <c r="D749" s="15">
        <v>54609</v>
      </c>
    </row>
    <row r="750" spans="1:4">
      <c r="A750" s="15">
        <v>54672</v>
      </c>
      <c r="C750" s="18">
        <v>61273</v>
      </c>
      <c r="D750" s="15">
        <v>54672</v>
      </c>
    </row>
    <row r="751" spans="1:4">
      <c r="A751" s="15">
        <v>54707</v>
      </c>
      <c r="C751" s="18">
        <v>61357</v>
      </c>
      <c r="D751" s="15">
        <v>54707</v>
      </c>
    </row>
    <row r="752" spans="1:4">
      <c r="A752" s="15">
        <v>54729</v>
      </c>
      <c r="C752" s="18">
        <v>61358</v>
      </c>
      <c r="D752" s="15">
        <v>54729</v>
      </c>
    </row>
    <row r="753" spans="1:4">
      <c r="A753" s="15">
        <v>54738</v>
      </c>
      <c r="C753" s="18">
        <v>61364</v>
      </c>
      <c r="D753" s="15">
        <v>54738</v>
      </c>
    </row>
    <row r="754" spans="1:4">
      <c r="A754" s="15">
        <v>54752</v>
      </c>
      <c r="C754" s="18">
        <v>61388</v>
      </c>
      <c r="D754" s="15">
        <v>54752</v>
      </c>
    </row>
    <row r="755" spans="1:4">
      <c r="A755" s="15">
        <v>54781</v>
      </c>
      <c r="C755" s="18">
        <v>61473</v>
      </c>
      <c r="D755" s="15">
        <v>54781</v>
      </c>
    </row>
    <row r="756" spans="1:4">
      <c r="A756" s="15">
        <v>54788</v>
      </c>
      <c r="C756" s="18">
        <v>61476</v>
      </c>
      <c r="D756" s="15">
        <v>54788</v>
      </c>
    </row>
    <row r="757" spans="1:4">
      <c r="A757" s="15">
        <v>54805</v>
      </c>
      <c r="C757" s="18">
        <v>61478</v>
      </c>
      <c r="D757" s="15">
        <v>54805</v>
      </c>
    </row>
    <row r="758" spans="1:4">
      <c r="A758" s="15">
        <v>54830</v>
      </c>
      <c r="C758" s="18">
        <v>61525</v>
      </c>
      <c r="D758" s="15">
        <v>54830</v>
      </c>
    </row>
    <row r="759" spans="1:4">
      <c r="A759" s="15">
        <v>54834</v>
      </c>
      <c r="C759" s="18">
        <v>61581</v>
      </c>
      <c r="D759" s="15">
        <v>54834</v>
      </c>
    </row>
    <row r="760" spans="1:4">
      <c r="A760" s="15">
        <v>54840</v>
      </c>
      <c r="C760" s="18">
        <v>61637</v>
      </c>
      <c r="D760" s="15">
        <v>54840</v>
      </c>
    </row>
    <row r="761" spans="1:4">
      <c r="A761" s="15">
        <v>54938</v>
      </c>
      <c r="C761" s="18">
        <v>61722</v>
      </c>
      <c r="D761" s="15">
        <v>54938</v>
      </c>
    </row>
    <row r="762" spans="1:4">
      <c r="A762" s="15">
        <v>54959</v>
      </c>
      <c r="C762" s="18">
        <v>61723</v>
      </c>
      <c r="D762" s="15">
        <v>54959</v>
      </c>
    </row>
    <row r="763" spans="1:4">
      <c r="A763" s="15">
        <v>54973</v>
      </c>
      <c r="C763" s="18">
        <v>61729</v>
      </c>
      <c r="D763" s="15">
        <v>54973</v>
      </c>
    </row>
    <row r="764" spans="1:4">
      <c r="A764" s="15">
        <v>55036</v>
      </c>
      <c r="C764" s="18">
        <v>61756</v>
      </c>
      <c r="D764" s="15">
        <v>55036</v>
      </c>
    </row>
    <row r="765" spans="1:4">
      <c r="A765" s="15">
        <v>55071</v>
      </c>
      <c r="C765" s="18">
        <v>61830</v>
      </c>
      <c r="D765" s="15">
        <v>55071</v>
      </c>
    </row>
    <row r="766" spans="1:4">
      <c r="A766" s="15">
        <v>55100</v>
      </c>
      <c r="C766" s="18">
        <v>61833</v>
      </c>
      <c r="D766" s="15">
        <v>55100</v>
      </c>
    </row>
    <row r="767" spans="1:4">
      <c r="A767" s="15">
        <v>55103</v>
      </c>
      <c r="C767" s="18">
        <v>61843</v>
      </c>
      <c r="D767" s="15">
        <v>55103</v>
      </c>
    </row>
    <row r="768" spans="1:4">
      <c r="A768" s="15">
        <v>55116</v>
      </c>
      <c r="C768" s="18">
        <v>61889</v>
      </c>
      <c r="D768" s="15">
        <v>55116</v>
      </c>
    </row>
    <row r="769" spans="1:4">
      <c r="A769" s="15">
        <v>55148</v>
      </c>
      <c r="C769" s="18">
        <v>61945</v>
      </c>
      <c r="D769" s="15">
        <v>55148</v>
      </c>
    </row>
    <row r="770" spans="1:4">
      <c r="A770" s="15">
        <v>55155</v>
      </c>
      <c r="C770" s="18">
        <v>62008</v>
      </c>
      <c r="D770" s="15">
        <v>55155</v>
      </c>
    </row>
    <row r="771" spans="1:4">
      <c r="A771" s="15">
        <v>55169</v>
      </c>
      <c r="C771" s="18">
        <v>62087</v>
      </c>
      <c r="D771" s="15">
        <v>55169</v>
      </c>
    </row>
    <row r="772" spans="1:4">
      <c r="A772" s="15">
        <v>55197</v>
      </c>
      <c r="C772" s="18">
        <v>62088</v>
      </c>
      <c r="D772" s="15">
        <v>55197</v>
      </c>
    </row>
    <row r="773" spans="1:4">
      <c r="A773" s="15">
        <v>55199</v>
      </c>
      <c r="C773" s="18">
        <v>62094</v>
      </c>
      <c r="D773" s="15">
        <v>55199</v>
      </c>
    </row>
    <row r="774" spans="1:4">
      <c r="A774" s="15">
        <v>55204</v>
      </c>
      <c r="C774" s="18">
        <v>62120</v>
      </c>
      <c r="D774" s="15">
        <v>55204</v>
      </c>
    </row>
    <row r="775" spans="1:4">
      <c r="A775" s="15">
        <v>55302</v>
      </c>
      <c r="C775" s="18">
        <v>62180</v>
      </c>
      <c r="D775" s="15">
        <v>55302</v>
      </c>
    </row>
    <row r="776" spans="1:4">
      <c r="A776" s="15">
        <v>55323</v>
      </c>
      <c r="C776" s="18">
        <v>62183</v>
      </c>
      <c r="D776" s="15">
        <v>55323</v>
      </c>
    </row>
    <row r="777" spans="1:4">
      <c r="A777" s="15">
        <v>55338</v>
      </c>
      <c r="C777" s="18">
        <v>62208</v>
      </c>
      <c r="D777" s="15">
        <v>55338</v>
      </c>
    </row>
    <row r="778" spans="1:4">
      <c r="A778" s="15">
        <v>55400</v>
      </c>
      <c r="C778" s="18">
        <v>62253</v>
      </c>
      <c r="D778" s="15">
        <v>55400</v>
      </c>
    </row>
    <row r="779" spans="1:4">
      <c r="A779" s="15">
        <v>55435</v>
      </c>
      <c r="C779" s="18">
        <v>62309</v>
      </c>
      <c r="D779" s="15">
        <v>55435</v>
      </c>
    </row>
    <row r="780" spans="1:4">
      <c r="A780" s="15">
        <v>55464</v>
      </c>
      <c r="C780" s="18">
        <v>62372</v>
      </c>
      <c r="D780" s="15">
        <v>55464</v>
      </c>
    </row>
    <row r="781" spans="1:4">
      <c r="A781" s="15">
        <v>55467</v>
      </c>
      <c r="C781" s="18">
        <v>62452</v>
      </c>
      <c r="D781" s="15">
        <v>55467</v>
      </c>
    </row>
    <row r="782" spans="1:4">
      <c r="A782" s="15">
        <v>55480</v>
      </c>
      <c r="C782" s="18">
        <v>62453</v>
      </c>
      <c r="D782" s="15">
        <v>55480</v>
      </c>
    </row>
    <row r="783" spans="1:4">
      <c r="A783" s="15">
        <v>55512</v>
      </c>
      <c r="C783" s="18">
        <v>62459</v>
      </c>
      <c r="D783" s="15">
        <v>55512</v>
      </c>
    </row>
    <row r="784" spans="1:4">
      <c r="A784" s="15">
        <v>55519</v>
      </c>
      <c r="C784" s="18">
        <v>62484</v>
      </c>
      <c r="D784" s="15">
        <v>55519</v>
      </c>
    </row>
    <row r="785" spans="1:4">
      <c r="A785" s="15">
        <v>55533</v>
      </c>
      <c r="C785" s="18">
        <v>62565</v>
      </c>
      <c r="D785" s="15">
        <v>55533</v>
      </c>
    </row>
    <row r="786" spans="1:4">
      <c r="A786" s="15">
        <v>55561</v>
      </c>
      <c r="C786" s="18">
        <v>62568</v>
      </c>
      <c r="D786" s="15">
        <v>55561</v>
      </c>
    </row>
    <row r="787" spans="1:4">
      <c r="A787" s="15">
        <v>55564</v>
      </c>
      <c r="C787" s="18">
        <v>62617</v>
      </c>
      <c r="D787" s="15">
        <v>55564</v>
      </c>
    </row>
    <row r="788" spans="1:4">
      <c r="A788" s="15">
        <v>55568</v>
      </c>
      <c r="C788" s="18">
        <v>62673</v>
      </c>
      <c r="D788" s="15">
        <v>55568</v>
      </c>
    </row>
    <row r="789" spans="1:4">
      <c r="A789" s="15">
        <v>55666</v>
      </c>
      <c r="C789" s="18">
        <v>62736</v>
      </c>
      <c r="D789" s="15">
        <v>55666</v>
      </c>
    </row>
    <row r="790" spans="1:4">
      <c r="A790" s="15">
        <v>55689</v>
      </c>
      <c r="C790" s="18">
        <v>62817</v>
      </c>
      <c r="D790" s="15">
        <v>55689</v>
      </c>
    </row>
    <row r="791" spans="1:4">
      <c r="A791" s="15">
        <v>55704</v>
      </c>
      <c r="C791" s="18">
        <v>62820</v>
      </c>
      <c r="D791" s="15">
        <v>55704</v>
      </c>
    </row>
    <row r="792" spans="1:4">
      <c r="A792" s="15">
        <v>55764</v>
      </c>
      <c r="C792" s="18">
        <v>62824</v>
      </c>
      <c r="D792" s="15">
        <v>55764</v>
      </c>
    </row>
    <row r="793" spans="1:4">
      <c r="A793" s="15">
        <v>55806</v>
      </c>
      <c r="C793" s="18">
        <v>62849</v>
      </c>
      <c r="D793" s="15">
        <v>55806</v>
      </c>
    </row>
    <row r="794" spans="1:4">
      <c r="A794" s="15">
        <v>55828</v>
      </c>
      <c r="C794" s="18">
        <v>62922</v>
      </c>
      <c r="D794" s="15">
        <v>55828</v>
      </c>
    </row>
    <row r="795" spans="1:4">
      <c r="A795" s="15">
        <v>55834</v>
      </c>
      <c r="C795" s="18">
        <v>62925</v>
      </c>
      <c r="D795" s="15">
        <v>55834</v>
      </c>
    </row>
    <row r="796" spans="1:4">
      <c r="A796" s="15">
        <v>55851</v>
      </c>
      <c r="C796" s="18">
        <v>62939</v>
      </c>
      <c r="D796" s="15">
        <v>55851</v>
      </c>
    </row>
    <row r="797" spans="1:4">
      <c r="A797" s="15">
        <v>55878</v>
      </c>
      <c r="C797" s="18">
        <v>62988</v>
      </c>
      <c r="D797" s="15">
        <v>55878</v>
      </c>
    </row>
    <row r="798" spans="1:4">
      <c r="A798" s="15">
        <v>55885</v>
      </c>
      <c r="C798" s="18">
        <v>63037</v>
      </c>
      <c r="D798" s="15">
        <v>55885</v>
      </c>
    </row>
    <row r="799" spans="1:4">
      <c r="A799" s="15">
        <v>55904</v>
      </c>
      <c r="C799" s="18">
        <v>63100</v>
      </c>
      <c r="D799" s="15">
        <v>55904</v>
      </c>
    </row>
    <row r="800" spans="1:4">
      <c r="A800" s="15">
        <v>55927</v>
      </c>
      <c r="C800" s="18">
        <v>63184</v>
      </c>
      <c r="D800" s="15">
        <v>55927</v>
      </c>
    </row>
    <row r="801" spans="1:4">
      <c r="A801" s="15">
        <v>55932</v>
      </c>
      <c r="C801" s="18">
        <v>63185</v>
      </c>
      <c r="D801" s="15">
        <v>55932</v>
      </c>
    </row>
    <row r="802" spans="1:4">
      <c r="A802" s="15">
        <v>56030</v>
      </c>
      <c r="C802" s="18">
        <v>63191</v>
      </c>
      <c r="D802" s="15">
        <v>56030</v>
      </c>
    </row>
    <row r="803" spans="1:4">
      <c r="A803" s="15">
        <v>56054</v>
      </c>
      <c r="C803" s="18">
        <v>63215</v>
      </c>
      <c r="D803" s="15">
        <v>56054</v>
      </c>
    </row>
    <row r="804" spans="1:4">
      <c r="A804" s="15">
        <v>56069</v>
      </c>
      <c r="C804" s="18">
        <v>63272</v>
      </c>
      <c r="D804" s="15">
        <v>56069</v>
      </c>
    </row>
    <row r="805" spans="1:4">
      <c r="A805" s="15">
        <v>56128</v>
      </c>
      <c r="C805" s="18">
        <v>63275</v>
      </c>
      <c r="D805" s="15">
        <v>56128</v>
      </c>
    </row>
    <row r="806" spans="1:4">
      <c r="A806" s="15">
        <v>56170</v>
      </c>
      <c r="C806" s="18">
        <v>63304</v>
      </c>
      <c r="D806" s="15">
        <v>56170</v>
      </c>
    </row>
    <row r="807" spans="1:4">
      <c r="A807" s="15">
        <v>56192</v>
      </c>
      <c r="C807" s="18">
        <v>63352</v>
      </c>
      <c r="D807" s="15">
        <v>56192</v>
      </c>
    </row>
    <row r="808" spans="1:4">
      <c r="A808" s="15">
        <v>56199</v>
      </c>
      <c r="C808" s="18">
        <v>63408</v>
      </c>
      <c r="D808" s="15">
        <v>56199</v>
      </c>
    </row>
    <row r="809" spans="1:4">
      <c r="A809" s="15">
        <v>56215</v>
      </c>
      <c r="C809" s="18">
        <v>63464</v>
      </c>
      <c r="D809" s="15">
        <v>56215</v>
      </c>
    </row>
    <row r="810" spans="1:4">
      <c r="A810" s="15">
        <v>56243</v>
      </c>
      <c r="C810" s="18">
        <v>63548</v>
      </c>
      <c r="D810" s="15">
        <v>56243</v>
      </c>
    </row>
    <row r="811" spans="1:4">
      <c r="A811" s="15">
        <v>56250</v>
      </c>
      <c r="C811" s="18">
        <v>63549</v>
      </c>
      <c r="D811" s="15">
        <v>56250</v>
      </c>
    </row>
    <row r="812" spans="1:4">
      <c r="A812" s="15">
        <v>56268</v>
      </c>
      <c r="C812" s="18">
        <v>63555</v>
      </c>
      <c r="D812" s="15">
        <v>56268</v>
      </c>
    </row>
    <row r="813" spans="1:4">
      <c r="A813" s="15">
        <v>56292</v>
      </c>
      <c r="C813" s="18">
        <v>63580</v>
      </c>
      <c r="D813" s="15">
        <v>56292</v>
      </c>
    </row>
    <row r="814" spans="1:4">
      <c r="A814" s="15">
        <v>56296</v>
      </c>
      <c r="C814" s="18">
        <v>63657</v>
      </c>
      <c r="D814" s="15">
        <v>56296</v>
      </c>
    </row>
    <row r="815" spans="1:4">
      <c r="A815" s="15">
        <v>56394</v>
      </c>
      <c r="C815" s="18">
        <v>63660</v>
      </c>
      <c r="D815" s="15">
        <v>56394</v>
      </c>
    </row>
    <row r="816" spans="1:4">
      <c r="A816" s="15">
        <v>56419</v>
      </c>
      <c r="C816" s="18">
        <v>63669</v>
      </c>
      <c r="D816" s="15">
        <v>56419</v>
      </c>
    </row>
    <row r="817" spans="1:4">
      <c r="A817" s="15">
        <v>56433</v>
      </c>
      <c r="C817" s="18">
        <v>63716</v>
      </c>
      <c r="D817" s="15">
        <v>56433</v>
      </c>
    </row>
    <row r="818" spans="1:4">
      <c r="A818" s="15">
        <v>56499</v>
      </c>
      <c r="C818" s="18">
        <v>63772</v>
      </c>
      <c r="D818" s="15">
        <v>56499</v>
      </c>
    </row>
    <row r="819" spans="1:4">
      <c r="A819" s="15">
        <v>56534</v>
      </c>
      <c r="C819" s="18">
        <v>63828</v>
      </c>
      <c r="D819" s="15">
        <v>56534</v>
      </c>
    </row>
    <row r="820" spans="1:4">
      <c r="A820" s="15">
        <v>56556</v>
      </c>
      <c r="C820" s="18">
        <v>63913</v>
      </c>
      <c r="D820" s="15">
        <v>56556</v>
      </c>
    </row>
    <row r="821" spans="1:4">
      <c r="A821" s="15">
        <v>56564</v>
      </c>
      <c r="C821" s="18">
        <v>63914</v>
      </c>
      <c r="D821" s="15">
        <v>56564</v>
      </c>
    </row>
    <row r="822" spans="1:4">
      <c r="A822" s="15">
        <v>56579</v>
      </c>
      <c r="C822" s="18">
        <v>63920</v>
      </c>
      <c r="D822" s="15">
        <v>56579</v>
      </c>
    </row>
    <row r="823" spans="1:4">
      <c r="A823" s="15">
        <v>56608</v>
      </c>
      <c r="C823" s="18">
        <v>63947</v>
      </c>
      <c r="D823" s="15">
        <v>56608</v>
      </c>
    </row>
    <row r="824" spans="1:4">
      <c r="A824" s="15">
        <v>56615</v>
      </c>
      <c r="C824" s="18">
        <v>64014</v>
      </c>
      <c r="D824" s="15">
        <v>56615</v>
      </c>
    </row>
    <row r="825" spans="1:4">
      <c r="A825" s="15">
        <v>56632</v>
      </c>
      <c r="C825" s="18">
        <v>64017</v>
      </c>
      <c r="D825" s="15">
        <v>56632</v>
      </c>
    </row>
    <row r="826" spans="1:4">
      <c r="A826" s="15">
        <v>56657</v>
      </c>
      <c r="C826" s="18">
        <v>64034</v>
      </c>
      <c r="D826" s="15">
        <v>56657</v>
      </c>
    </row>
    <row r="827" spans="1:4">
      <c r="A827" s="15">
        <v>56660</v>
      </c>
      <c r="C827" s="18">
        <v>64080</v>
      </c>
      <c r="D827" s="15">
        <v>56660</v>
      </c>
    </row>
    <row r="828" spans="1:4">
      <c r="A828" s="15">
        <v>56765</v>
      </c>
      <c r="C828" s="18">
        <v>64136</v>
      </c>
      <c r="D828" s="15">
        <v>56765</v>
      </c>
    </row>
    <row r="829" spans="1:4">
      <c r="A829" s="15">
        <v>56783</v>
      </c>
      <c r="C829" s="18">
        <v>64199</v>
      </c>
      <c r="D829" s="15">
        <v>56783</v>
      </c>
    </row>
    <row r="830" spans="1:4">
      <c r="A830" s="15">
        <v>56800</v>
      </c>
      <c r="C830" s="18">
        <v>64278</v>
      </c>
      <c r="D830" s="15">
        <v>56800</v>
      </c>
    </row>
    <row r="831" spans="1:4">
      <c r="A831" s="15">
        <v>56863</v>
      </c>
      <c r="C831" s="18">
        <v>64279</v>
      </c>
      <c r="D831" s="15">
        <v>56863</v>
      </c>
    </row>
    <row r="832" spans="1:4">
      <c r="A832" s="15">
        <v>56898</v>
      </c>
      <c r="C832" s="18">
        <v>64285</v>
      </c>
      <c r="D832" s="15">
        <v>56898</v>
      </c>
    </row>
    <row r="833" spans="1:4">
      <c r="A833" s="15">
        <v>56920</v>
      </c>
      <c r="C833" s="18">
        <v>64311</v>
      </c>
      <c r="D833" s="15">
        <v>56920</v>
      </c>
    </row>
    <row r="834" spans="1:4">
      <c r="A834" s="15">
        <v>56929</v>
      </c>
      <c r="C834" s="18">
        <v>64392</v>
      </c>
      <c r="D834" s="15">
        <v>56929</v>
      </c>
    </row>
    <row r="835" spans="1:4">
      <c r="A835" s="15">
        <v>56943</v>
      </c>
      <c r="C835" s="18">
        <v>64395</v>
      </c>
      <c r="D835" s="15">
        <v>56943</v>
      </c>
    </row>
    <row r="836" spans="1:4">
      <c r="A836" s="15">
        <v>56972</v>
      </c>
      <c r="C836" s="18">
        <v>64444</v>
      </c>
      <c r="D836" s="15">
        <v>56972</v>
      </c>
    </row>
    <row r="837" spans="1:4">
      <c r="A837" s="15">
        <v>56979</v>
      </c>
      <c r="C837" s="18">
        <v>64500</v>
      </c>
      <c r="D837" s="15">
        <v>56979</v>
      </c>
    </row>
    <row r="838" spans="1:4">
      <c r="A838" s="15">
        <v>56996</v>
      </c>
      <c r="C838" s="18">
        <v>64563</v>
      </c>
      <c r="D838" s="15">
        <v>56996</v>
      </c>
    </row>
    <row r="839" spans="1:4">
      <c r="A839" s="15">
        <v>57021</v>
      </c>
      <c r="C839" s="18">
        <v>64644</v>
      </c>
      <c r="D839" s="15">
        <v>57021</v>
      </c>
    </row>
    <row r="840" spans="1:4">
      <c r="A840" s="15">
        <v>57025</v>
      </c>
      <c r="C840" s="18">
        <v>64647</v>
      </c>
      <c r="D840" s="15">
        <v>57025</v>
      </c>
    </row>
    <row r="841" spans="1:4">
      <c r="A841" s="15">
        <v>57031</v>
      </c>
      <c r="C841" s="18">
        <v>64651</v>
      </c>
      <c r="D841" s="15">
        <v>57031</v>
      </c>
    </row>
    <row r="842" spans="1:4">
      <c r="A842" s="15">
        <v>57129</v>
      </c>
      <c r="C842" s="18">
        <v>64676</v>
      </c>
      <c r="D842" s="15">
        <v>57129</v>
      </c>
    </row>
    <row r="843" spans="1:4">
      <c r="A843" s="15">
        <v>57150</v>
      </c>
      <c r="C843" s="18">
        <v>64749</v>
      </c>
      <c r="D843" s="15">
        <v>57150</v>
      </c>
    </row>
    <row r="844" spans="1:4">
      <c r="A844" s="15">
        <v>57165</v>
      </c>
      <c r="C844" s="18">
        <v>64752</v>
      </c>
      <c r="D844" s="15">
        <v>57165</v>
      </c>
    </row>
    <row r="845" spans="1:4">
      <c r="A845" s="15">
        <v>57227</v>
      </c>
      <c r="C845" s="18">
        <v>64815</v>
      </c>
      <c r="D845" s="15">
        <v>57227</v>
      </c>
    </row>
    <row r="846" spans="1:4">
      <c r="A846" s="15">
        <v>57262</v>
      </c>
      <c r="C846" s="18">
        <v>64864</v>
      </c>
      <c r="D846" s="15">
        <v>57262</v>
      </c>
    </row>
    <row r="847" spans="1:4">
      <c r="A847" s="15">
        <v>57291</v>
      </c>
      <c r="C847" s="18">
        <v>64927</v>
      </c>
      <c r="D847" s="15">
        <v>57291</v>
      </c>
    </row>
    <row r="848" spans="1:4">
      <c r="A848" s="15">
        <v>57294</v>
      </c>
      <c r="C848" s="18">
        <v>65011</v>
      </c>
      <c r="D848" s="15">
        <v>57294</v>
      </c>
    </row>
    <row r="849" spans="1:4">
      <c r="A849" s="15">
        <v>57307</v>
      </c>
      <c r="C849" s="18">
        <v>65012</v>
      </c>
      <c r="D849" s="15">
        <v>57307</v>
      </c>
    </row>
    <row r="850" spans="1:4">
      <c r="A850" s="15">
        <v>57339</v>
      </c>
      <c r="C850" s="18">
        <v>65018</v>
      </c>
      <c r="D850" s="15">
        <v>57339</v>
      </c>
    </row>
    <row r="851" spans="1:4">
      <c r="A851" s="15">
        <v>57346</v>
      </c>
      <c r="C851" s="18">
        <v>65041</v>
      </c>
      <c r="D851" s="15">
        <v>57346</v>
      </c>
    </row>
    <row r="852" spans="1:4">
      <c r="A852" s="15">
        <v>57360</v>
      </c>
      <c r="C852" s="18">
        <v>65106</v>
      </c>
      <c r="D852" s="15">
        <v>57360</v>
      </c>
    </row>
    <row r="853" spans="1:4">
      <c r="A853" s="15">
        <v>57388</v>
      </c>
      <c r="C853" s="18">
        <v>65109</v>
      </c>
      <c r="D853" s="15">
        <v>57388</v>
      </c>
    </row>
    <row r="854" spans="1:4">
      <c r="A854" s="15">
        <v>57391</v>
      </c>
      <c r="C854" s="18">
        <v>65130</v>
      </c>
      <c r="D854" s="15">
        <v>57391</v>
      </c>
    </row>
    <row r="855" spans="1:4">
      <c r="A855" s="15">
        <v>57395</v>
      </c>
      <c r="C855" s="18">
        <v>65179</v>
      </c>
      <c r="D855" s="15">
        <v>57395</v>
      </c>
    </row>
    <row r="856" spans="1:4">
      <c r="A856" s="15">
        <v>57493</v>
      </c>
      <c r="C856" s="18">
        <v>65228</v>
      </c>
      <c r="D856" s="15">
        <v>57493</v>
      </c>
    </row>
    <row r="857" spans="1:4">
      <c r="A857" s="15">
        <v>57515</v>
      </c>
      <c r="C857" s="18">
        <v>65291</v>
      </c>
      <c r="D857" s="15">
        <v>57515</v>
      </c>
    </row>
    <row r="858" spans="1:4">
      <c r="A858" s="15">
        <v>57530</v>
      </c>
      <c r="C858" s="18">
        <v>65375</v>
      </c>
      <c r="D858" s="15">
        <v>57530</v>
      </c>
    </row>
    <row r="859" spans="1:4">
      <c r="A859" s="15">
        <v>57591</v>
      </c>
      <c r="C859" s="18">
        <v>65376</v>
      </c>
      <c r="D859" s="15">
        <v>57591</v>
      </c>
    </row>
    <row r="860" spans="1:4">
      <c r="A860" s="15">
        <v>57626</v>
      </c>
      <c r="C860" s="18">
        <v>65382</v>
      </c>
      <c r="D860" s="15">
        <v>57626</v>
      </c>
    </row>
    <row r="861" spans="1:4">
      <c r="A861" s="15">
        <v>57655</v>
      </c>
      <c r="C861" s="18">
        <v>65406</v>
      </c>
      <c r="D861" s="15">
        <v>57655</v>
      </c>
    </row>
    <row r="862" spans="1:4">
      <c r="A862" s="15">
        <v>57661</v>
      </c>
      <c r="C862" s="18">
        <v>65491</v>
      </c>
      <c r="D862" s="15">
        <v>57661</v>
      </c>
    </row>
    <row r="863" spans="1:4">
      <c r="A863" s="15">
        <v>57671</v>
      </c>
      <c r="C863" s="18">
        <v>65494</v>
      </c>
      <c r="D863" s="15">
        <v>57671</v>
      </c>
    </row>
    <row r="864" spans="1:4">
      <c r="A864" s="15">
        <v>57704</v>
      </c>
      <c r="C864" s="18">
        <v>65495</v>
      </c>
      <c r="D864" s="15">
        <v>57704</v>
      </c>
    </row>
    <row r="865" spans="1:4">
      <c r="A865" s="15">
        <v>57711</v>
      </c>
      <c r="C865" s="18">
        <v>65543</v>
      </c>
      <c r="D865" s="15">
        <v>57711</v>
      </c>
    </row>
    <row r="866" spans="1:4">
      <c r="A866" s="15">
        <v>57731</v>
      </c>
      <c r="C866" s="18">
        <v>65599</v>
      </c>
      <c r="D866" s="15">
        <v>57731</v>
      </c>
    </row>
    <row r="867" spans="1:4">
      <c r="A867" s="15">
        <v>57753</v>
      </c>
      <c r="C867" s="18">
        <v>65655</v>
      </c>
      <c r="D867" s="15">
        <v>57753</v>
      </c>
    </row>
    <row r="868" spans="1:4">
      <c r="A868" s="15">
        <v>57756</v>
      </c>
      <c r="C868" s="18">
        <v>65739</v>
      </c>
      <c r="D868" s="15">
        <v>57756</v>
      </c>
    </row>
    <row r="869" spans="1:4">
      <c r="A869" s="15">
        <v>57759</v>
      </c>
      <c r="C869" s="18">
        <v>65740</v>
      </c>
      <c r="D869" s="15">
        <v>57759</v>
      </c>
    </row>
    <row r="870" spans="1:4">
      <c r="A870" s="15">
        <v>57857</v>
      </c>
      <c r="C870" s="18">
        <v>65746</v>
      </c>
      <c r="D870" s="15">
        <v>57857</v>
      </c>
    </row>
    <row r="871" spans="1:4">
      <c r="A871" s="15">
        <v>57880</v>
      </c>
      <c r="C871" s="18">
        <v>65771</v>
      </c>
      <c r="D871" s="15">
        <v>57880</v>
      </c>
    </row>
    <row r="872" spans="1:4">
      <c r="A872" s="15">
        <v>57895</v>
      </c>
      <c r="C872" s="18">
        <v>65841</v>
      </c>
      <c r="D872" s="15">
        <v>57895</v>
      </c>
    </row>
    <row r="873" spans="1:4">
      <c r="A873" s="15">
        <v>57955</v>
      </c>
      <c r="C873" s="18">
        <v>65844</v>
      </c>
      <c r="D873" s="15">
        <v>57955</v>
      </c>
    </row>
    <row r="874" spans="1:4">
      <c r="A874" s="15">
        <v>57997</v>
      </c>
      <c r="C874" s="18">
        <v>65861</v>
      </c>
      <c r="D874" s="15">
        <v>57997</v>
      </c>
    </row>
    <row r="875" spans="1:4">
      <c r="A875" s="15">
        <v>58019</v>
      </c>
      <c r="C875" s="18">
        <v>65907</v>
      </c>
      <c r="D875" s="15">
        <v>58019</v>
      </c>
    </row>
    <row r="876" spans="1:4">
      <c r="A876" s="15">
        <v>58025</v>
      </c>
      <c r="C876" s="18">
        <v>65963</v>
      </c>
      <c r="D876" s="15">
        <v>58025</v>
      </c>
    </row>
    <row r="877" spans="1:4">
      <c r="A877" s="15">
        <v>58042</v>
      </c>
      <c r="C877" s="18">
        <v>66026</v>
      </c>
      <c r="D877" s="15">
        <v>58042</v>
      </c>
    </row>
    <row r="878" spans="1:4">
      <c r="A878" s="15">
        <v>58069</v>
      </c>
      <c r="C878" s="18">
        <v>66105</v>
      </c>
      <c r="D878" s="15">
        <v>58069</v>
      </c>
    </row>
    <row r="879" spans="1:4">
      <c r="A879" s="15">
        <v>58076</v>
      </c>
      <c r="C879" s="18">
        <v>66106</v>
      </c>
      <c r="D879" s="15">
        <v>58076</v>
      </c>
    </row>
    <row r="880" spans="1:4">
      <c r="A880" s="15">
        <v>58095</v>
      </c>
      <c r="C880" s="18">
        <v>66112</v>
      </c>
      <c r="D880" s="15">
        <v>58095</v>
      </c>
    </row>
    <row r="881" spans="1:4">
      <c r="A881" s="15">
        <v>58118</v>
      </c>
      <c r="C881" s="18">
        <v>66138</v>
      </c>
      <c r="D881" s="15">
        <v>58118</v>
      </c>
    </row>
    <row r="882" spans="1:4">
      <c r="A882" s="15">
        <v>58123</v>
      </c>
      <c r="C882" s="18">
        <v>66198</v>
      </c>
      <c r="D882" s="15">
        <v>58123</v>
      </c>
    </row>
    <row r="883" spans="1:4">
      <c r="A883" s="15">
        <v>58221</v>
      </c>
      <c r="C883" s="18">
        <v>66201</v>
      </c>
      <c r="D883" s="15">
        <v>58221</v>
      </c>
    </row>
    <row r="884" spans="1:4">
      <c r="A884" s="15">
        <v>58245</v>
      </c>
      <c r="C884" s="18">
        <v>66226</v>
      </c>
      <c r="D884" s="15">
        <v>58245</v>
      </c>
    </row>
    <row r="885" spans="1:4">
      <c r="A885" s="15">
        <v>58260</v>
      </c>
      <c r="C885" s="18">
        <v>66271</v>
      </c>
      <c r="D885" s="15">
        <v>58260</v>
      </c>
    </row>
    <row r="886" spans="1:4">
      <c r="A886" s="15">
        <v>58319</v>
      </c>
      <c r="C886" s="18">
        <v>66327</v>
      </c>
      <c r="D886" s="15">
        <v>58319</v>
      </c>
    </row>
    <row r="887" spans="1:4">
      <c r="A887" s="15">
        <v>58361</v>
      </c>
      <c r="C887" s="18">
        <v>66390</v>
      </c>
      <c r="D887" s="15">
        <v>58361</v>
      </c>
    </row>
    <row r="888" spans="1:4">
      <c r="A888" s="15">
        <v>58383</v>
      </c>
      <c r="C888" s="18">
        <v>66470</v>
      </c>
      <c r="D888" s="15">
        <v>58383</v>
      </c>
    </row>
    <row r="889" spans="1:4">
      <c r="A889" s="15">
        <v>58390</v>
      </c>
      <c r="C889" s="18">
        <v>66471</v>
      </c>
      <c r="D889" s="15">
        <v>58390</v>
      </c>
    </row>
    <row r="890" spans="1:4">
      <c r="A890" s="15">
        <v>58406</v>
      </c>
      <c r="C890" s="18">
        <v>66477</v>
      </c>
      <c r="D890" s="15">
        <v>58406</v>
      </c>
    </row>
    <row r="891" spans="1:4">
      <c r="A891" s="15">
        <v>58434</v>
      </c>
      <c r="C891" s="18">
        <v>66502</v>
      </c>
      <c r="D891" s="15">
        <v>58434</v>
      </c>
    </row>
    <row r="892" spans="1:4">
      <c r="A892" s="15">
        <v>58441</v>
      </c>
      <c r="C892" s="18">
        <v>66583</v>
      </c>
      <c r="D892" s="15">
        <v>58441</v>
      </c>
    </row>
    <row r="893" spans="1:4">
      <c r="A893" s="15">
        <v>58459</v>
      </c>
      <c r="C893" s="18">
        <v>66586</v>
      </c>
      <c r="D893" s="15">
        <v>58459</v>
      </c>
    </row>
    <row r="894" spans="1:4">
      <c r="A894" s="15">
        <v>58483</v>
      </c>
      <c r="C894" s="18">
        <v>66635</v>
      </c>
      <c r="D894" s="15">
        <v>58483</v>
      </c>
    </row>
    <row r="895" spans="1:4">
      <c r="A895" s="15">
        <v>58487</v>
      </c>
      <c r="C895" s="18">
        <v>66691</v>
      </c>
      <c r="D895" s="15">
        <v>58487</v>
      </c>
    </row>
    <row r="896" spans="1:4">
      <c r="A896" s="15">
        <v>58592</v>
      </c>
      <c r="C896" s="18">
        <v>66754</v>
      </c>
      <c r="D896" s="15">
        <v>58592</v>
      </c>
    </row>
    <row r="897" spans="1:4">
      <c r="A897" s="15">
        <v>58610</v>
      </c>
      <c r="C897" s="18">
        <v>66835</v>
      </c>
      <c r="D897" s="15">
        <v>58610</v>
      </c>
    </row>
    <row r="898" spans="1:4">
      <c r="A898" s="15">
        <v>58627</v>
      </c>
      <c r="C898" s="18">
        <v>66838</v>
      </c>
      <c r="D898" s="15">
        <v>58627</v>
      </c>
    </row>
    <row r="899" spans="1:4">
      <c r="A899" s="15">
        <v>58690</v>
      </c>
      <c r="C899" s="18">
        <v>66842</v>
      </c>
      <c r="D899" s="15">
        <v>58690</v>
      </c>
    </row>
    <row r="900" spans="1:4">
      <c r="A900" s="15">
        <v>58725</v>
      </c>
      <c r="C900" s="18">
        <v>66867</v>
      </c>
      <c r="D900" s="15">
        <v>58725</v>
      </c>
    </row>
    <row r="901" spans="1:4">
      <c r="A901" s="15">
        <v>58747</v>
      </c>
      <c r="C901" s="18">
        <v>66933</v>
      </c>
      <c r="D901" s="15">
        <v>58747</v>
      </c>
    </row>
    <row r="902" spans="1:4">
      <c r="A902" s="15">
        <v>58756</v>
      </c>
      <c r="C902" s="18">
        <v>66936</v>
      </c>
      <c r="D902" s="15">
        <v>58756</v>
      </c>
    </row>
    <row r="903" spans="1:4">
      <c r="A903" s="15">
        <v>58770</v>
      </c>
      <c r="C903" s="18">
        <v>67006</v>
      </c>
      <c r="D903" s="15">
        <v>58770</v>
      </c>
    </row>
    <row r="904" spans="1:4">
      <c r="A904" s="15">
        <v>58799</v>
      </c>
      <c r="C904" s="18">
        <v>67055</v>
      </c>
      <c r="D904" s="15">
        <v>58799</v>
      </c>
    </row>
    <row r="905" spans="1:4">
      <c r="A905" s="15">
        <v>58806</v>
      </c>
      <c r="C905" s="18">
        <v>67118</v>
      </c>
      <c r="D905" s="15">
        <v>58806</v>
      </c>
    </row>
    <row r="906" spans="1:4">
      <c r="A906" s="15">
        <v>58823</v>
      </c>
      <c r="C906" s="18">
        <v>67202</v>
      </c>
      <c r="D906" s="15">
        <v>58823</v>
      </c>
    </row>
    <row r="907" spans="1:4">
      <c r="A907" s="15">
        <v>58848</v>
      </c>
      <c r="C907" s="18">
        <v>67203</v>
      </c>
      <c r="D907" s="15">
        <v>58848</v>
      </c>
    </row>
    <row r="908" spans="1:4">
      <c r="A908" s="15">
        <v>58852</v>
      </c>
      <c r="C908" s="18">
        <v>67209</v>
      </c>
      <c r="D908" s="15">
        <v>58852</v>
      </c>
    </row>
    <row r="909" spans="1:4">
      <c r="A909" s="15">
        <v>58858</v>
      </c>
      <c r="C909" s="18">
        <v>67232</v>
      </c>
      <c r="D909" s="15">
        <v>58858</v>
      </c>
    </row>
    <row r="910" spans="1:4">
      <c r="A910" s="15">
        <v>58956</v>
      </c>
      <c r="C910" s="18">
        <v>67290</v>
      </c>
      <c r="D910" s="15">
        <v>58956</v>
      </c>
    </row>
    <row r="911" spans="1:4">
      <c r="A911" s="15">
        <v>58977</v>
      </c>
      <c r="C911" s="18">
        <v>67293</v>
      </c>
      <c r="D911" s="15">
        <v>58977</v>
      </c>
    </row>
    <row r="912" spans="1:4">
      <c r="A912" s="15">
        <v>58991</v>
      </c>
      <c r="C912" s="18">
        <v>67322</v>
      </c>
      <c r="D912" s="15">
        <v>58991</v>
      </c>
    </row>
    <row r="913" spans="1:4">
      <c r="A913" s="15">
        <v>59054</v>
      </c>
      <c r="C913" s="18">
        <v>67370</v>
      </c>
      <c r="D913" s="15">
        <v>59054</v>
      </c>
    </row>
    <row r="914" spans="1:4">
      <c r="A914" s="15">
        <v>59089</v>
      </c>
      <c r="C914" s="18">
        <v>67426</v>
      </c>
      <c r="D914" s="15">
        <v>59089</v>
      </c>
    </row>
    <row r="915" spans="1:4">
      <c r="A915" s="15">
        <v>59118</v>
      </c>
      <c r="C915" s="18">
        <v>67482</v>
      </c>
      <c r="D915" s="15">
        <v>59118</v>
      </c>
    </row>
    <row r="916" spans="1:4">
      <c r="A916" s="15">
        <v>59121</v>
      </c>
      <c r="C916" s="18">
        <v>67566</v>
      </c>
      <c r="D916" s="15">
        <v>59121</v>
      </c>
    </row>
    <row r="917" spans="1:4">
      <c r="A917" s="15">
        <v>59134</v>
      </c>
      <c r="C917" s="18">
        <v>67567</v>
      </c>
      <c r="D917" s="15">
        <v>59134</v>
      </c>
    </row>
    <row r="918" spans="1:4">
      <c r="A918" s="15">
        <v>59166</v>
      </c>
      <c r="C918" s="18">
        <v>67573</v>
      </c>
      <c r="D918" s="15">
        <v>59166</v>
      </c>
    </row>
    <row r="919" spans="1:4">
      <c r="A919" s="15">
        <v>59173</v>
      </c>
      <c r="C919" s="18">
        <v>67598</v>
      </c>
      <c r="D919" s="15">
        <v>59173</v>
      </c>
    </row>
    <row r="920" spans="1:4">
      <c r="A920" s="15">
        <v>59187</v>
      </c>
      <c r="C920" s="18">
        <v>67675</v>
      </c>
      <c r="D920" s="15">
        <v>59187</v>
      </c>
    </row>
    <row r="921" spans="1:4">
      <c r="A921" s="15">
        <v>59215</v>
      </c>
      <c r="C921" s="18">
        <v>67678</v>
      </c>
      <c r="D921" s="15">
        <v>59215</v>
      </c>
    </row>
    <row r="922" spans="1:4">
      <c r="A922" s="15">
        <v>59217</v>
      </c>
      <c r="C922" s="18">
        <v>67687</v>
      </c>
      <c r="D922" s="15">
        <v>59217</v>
      </c>
    </row>
    <row r="923" spans="1:4">
      <c r="A923" s="15">
        <v>59222</v>
      </c>
      <c r="C923" s="18">
        <v>67734</v>
      </c>
      <c r="D923" s="15">
        <v>59222</v>
      </c>
    </row>
    <row r="924" spans="1:4">
      <c r="A924" s="15">
        <v>59320</v>
      </c>
      <c r="C924" s="18">
        <v>67790</v>
      </c>
      <c r="D924" s="15">
        <v>59320</v>
      </c>
    </row>
    <row r="925" spans="1:4">
      <c r="A925" s="15">
        <v>59341</v>
      </c>
      <c r="C925" s="18">
        <v>67846</v>
      </c>
      <c r="D925" s="15">
        <v>59341</v>
      </c>
    </row>
    <row r="926" spans="1:4">
      <c r="A926" s="15">
        <v>59356</v>
      </c>
      <c r="C926" s="18">
        <v>67931</v>
      </c>
      <c r="D926" s="15">
        <v>59356</v>
      </c>
    </row>
    <row r="927" spans="1:4">
      <c r="A927" s="15">
        <v>59418</v>
      </c>
      <c r="C927" s="18">
        <v>67932</v>
      </c>
      <c r="D927" s="15">
        <v>59418</v>
      </c>
    </row>
    <row r="928" spans="1:4">
      <c r="A928" s="15">
        <v>59453</v>
      </c>
      <c r="C928" s="18">
        <v>67938</v>
      </c>
      <c r="D928" s="15">
        <v>59453</v>
      </c>
    </row>
    <row r="929" spans="1:4">
      <c r="A929" s="15">
        <v>59482</v>
      </c>
      <c r="C929" s="18">
        <v>67965</v>
      </c>
      <c r="D929" s="15">
        <v>59482</v>
      </c>
    </row>
    <row r="930" spans="1:4">
      <c r="A930" s="15">
        <v>59485</v>
      </c>
      <c r="C930" s="18">
        <v>68025</v>
      </c>
      <c r="D930" s="15">
        <v>59485</v>
      </c>
    </row>
    <row r="931" spans="1:4">
      <c r="A931" s="15">
        <v>59498</v>
      </c>
      <c r="C931" s="18">
        <v>68028</v>
      </c>
      <c r="D931" s="15">
        <v>59498</v>
      </c>
    </row>
    <row r="932" spans="1:4">
      <c r="A932" s="15">
        <v>59530</v>
      </c>
      <c r="C932" s="18">
        <v>68052</v>
      </c>
      <c r="D932" s="15">
        <v>59530</v>
      </c>
    </row>
    <row r="933" spans="1:4">
      <c r="A933" s="15">
        <v>59537</v>
      </c>
      <c r="C933" s="18">
        <v>68098</v>
      </c>
      <c r="D933" s="15">
        <v>59537</v>
      </c>
    </row>
    <row r="934" spans="1:4">
      <c r="A934" s="15">
        <v>59551</v>
      </c>
      <c r="C934" s="18">
        <v>68154</v>
      </c>
      <c r="D934" s="15">
        <v>59551</v>
      </c>
    </row>
    <row r="935" spans="1:4">
      <c r="A935" s="15">
        <v>59579</v>
      </c>
      <c r="C935" s="18">
        <v>68217</v>
      </c>
      <c r="D935" s="15">
        <v>59579</v>
      </c>
    </row>
    <row r="936" spans="1:4">
      <c r="A936" s="15">
        <v>59582</v>
      </c>
      <c r="C936" s="18">
        <v>68296</v>
      </c>
      <c r="D936" s="15">
        <v>59582</v>
      </c>
    </row>
    <row r="937" spans="1:4">
      <c r="A937" s="15">
        <v>59586</v>
      </c>
      <c r="C937" s="18">
        <v>68297</v>
      </c>
      <c r="D937" s="15">
        <v>59586</v>
      </c>
    </row>
    <row r="938" spans="1:4">
      <c r="A938" s="15">
        <v>59684</v>
      </c>
      <c r="C938" s="18">
        <v>68303</v>
      </c>
      <c r="D938" s="15">
        <v>59684</v>
      </c>
    </row>
    <row r="939" spans="1:4">
      <c r="A939" s="15">
        <v>59706</v>
      </c>
      <c r="C939" s="18">
        <v>68329</v>
      </c>
      <c r="D939" s="15">
        <v>59706</v>
      </c>
    </row>
    <row r="940" spans="1:4">
      <c r="A940" s="15">
        <v>59721</v>
      </c>
      <c r="C940" s="18">
        <v>68410</v>
      </c>
      <c r="D940" s="15">
        <v>59721</v>
      </c>
    </row>
    <row r="941" spans="1:4">
      <c r="A941" s="15">
        <v>59782</v>
      </c>
      <c r="C941" s="18">
        <v>68413</v>
      </c>
      <c r="D941" s="15">
        <v>59782</v>
      </c>
    </row>
    <row r="942" spans="1:4">
      <c r="A942" s="15">
        <v>59817</v>
      </c>
      <c r="C942" s="18">
        <v>68417</v>
      </c>
      <c r="D942" s="15">
        <v>59817</v>
      </c>
    </row>
    <row r="943" spans="1:4">
      <c r="A943" s="15">
        <v>59846</v>
      </c>
      <c r="C943" s="18">
        <v>68462</v>
      </c>
      <c r="D943" s="15">
        <v>59846</v>
      </c>
    </row>
    <row r="944" spans="1:4">
      <c r="A944" s="15">
        <v>59852</v>
      </c>
      <c r="C944" s="18">
        <v>68518</v>
      </c>
      <c r="D944" s="15">
        <v>59852</v>
      </c>
    </row>
    <row r="945" spans="1:4">
      <c r="A945" s="15">
        <v>59862</v>
      </c>
      <c r="C945" s="18">
        <v>68581</v>
      </c>
      <c r="D945" s="15">
        <v>59862</v>
      </c>
    </row>
    <row r="946" spans="1:4">
      <c r="A946" s="15">
        <v>59895</v>
      </c>
      <c r="C946" s="18">
        <v>68661</v>
      </c>
      <c r="D946" s="15">
        <v>59895</v>
      </c>
    </row>
    <row r="947" spans="1:4">
      <c r="A947" s="15">
        <v>59902</v>
      </c>
      <c r="C947" s="18">
        <v>68662</v>
      </c>
      <c r="D947" s="15">
        <v>59902</v>
      </c>
    </row>
    <row r="948" spans="1:4">
      <c r="A948" s="15">
        <v>59922</v>
      </c>
      <c r="C948" s="18">
        <v>68668</v>
      </c>
      <c r="D948" s="15">
        <v>59922</v>
      </c>
    </row>
    <row r="949" spans="1:4">
      <c r="A949" s="15">
        <v>59944</v>
      </c>
      <c r="C949" s="18">
        <v>68693</v>
      </c>
      <c r="D949" s="15">
        <v>59944</v>
      </c>
    </row>
    <row r="950" spans="1:4">
      <c r="A950" s="15">
        <v>59947</v>
      </c>
      <c r="C950" s="18">
        <v>68767</v>
      </c>
      <c r="D950" s="15">
        <v>59947</v>
      </c>
    </row>
    <row r="951" spans="1:4">
      <c r="A951" s="15">
        <v>59950</v>
      </c>
      <c r="C951" s="18">
        <v>68770</v>
      </c>
      <c r="D951" s="15">
        <v>59950</v>
      </c>
    </row>
    <row r="952" spans="1:4">
      <c r="A952" s="15">
        <v>60048</v>
      </c>
      <c r="C952" s="18">
        <v>68833</v>
      </c>
      <c r="D952" s="15">
        <v>60048</v>
      </c>
    </row>
    <row r="953" spans="1:4">
      <c r="A953" s="15">
        <v>60072</v>
      </c>
      <c r="C953" s="18">
        <v>68882</v>
      </c>
      <c r="D953" s="15">
        <v>60072</v>
      </c>
    </row>
    <row r="954" spans="1:4">
      <c r="A954" s="15">
        <v>60087</v>
      </c>
      <c r="C954" s="18">
        <v>68945</v>
      </c>
      <c r="D954" s="15">
        <v>60087</v>
      </c>
    </row>
    <row r="955" spans="1:4">
      <c r="A955" s="15">
        <v>60146</v>
      </c>
      <c r="C955" s="18">
        <v>69029</v>
      </c>
      <c r="D955" s="15">
        <v>60146</v>
      </c>
    </row>
    <row r="956" spans="1:4">
      <c r="A956" s="15">
        <v>60188</v>
      </c>
      <c r="C956" s="18">
        <v>69030</v>
      </c>
      <c r="D956" s="15">
        <v>60188</v>
      </c>
    </row>
    <row r="957" spans="1:4">
      <c r="A957" s="15">
        <v>60210</v>
      </c>
      <c r="C957" s="18">
        <v>69036</v>
      </c>
      <c r="D957" s="15">
        <v>60210</v>
      </c>
    </row>
    <row r="958" spans="1:4">
      <c r="A958" s="15">
        <v>60217</v>
      </c>
      <c r="C958" s="18">
        <v>69059</v>
      </c>
      <c r="D958" s="15">
        <v>60217</v>
      </c>
    </row>
    <row r="959" spans="1:4">
      <c r="A959" s="15">
        <v>60233</v>
      </c>
      <c r="C959" s="18">
        <v>69124</v>
      </c>
      <c r="D959" s="15">
        <v>60233</v>
      </c>
    </row>
    <row r="960" spans="1:4">
      <c r="A960" s="15">
        <v>60261</v>
      </c>
      <c r="C960" s="18">
        <v>69127</v>
      </c>
      <c r="D960" s="15">
        <v>60261</v>
      </c>
    </row>
    <row r="961" spans="1:4">
      <c r="A961" s="15">
        <v>60268</v>
      </c>
      <c r="C961" s="18">
        <v>69148</v>
      </c>
      <c r="D961" s="15">
        <v>60268</v>
      </c>
    </row>
    <row r="962" spans="1:4">
      <c r="A962" s="15">
        <v>60286</v>
      </c>
      <c r="C962" s="18">
        <v>69197</v>
      </c>
      <c r="D962" s="15">
        <v>60286</v>
      </c>
    </row>
    <row r="963" spans="1:4">
      <c r="A963" s="15">
        <v>60310</v>
      </c>
      <c r="C963" s="18">
        <v>69246</v>
      </c>
      <c r="D963" s="15">
        <v>60310</v>
      </c>
    </row>
    <row r="964" spans="1:4">
      <c r="A964" s="15">
        <v>60314</v>
      </c>
      <c r="C964" s="18">
        <v>69309</v>
      </c>
      <c r="D964" s="15">
        <v>60314</v>
      </c>
    </row>
    <row r="965" spans="1:4">
      <c r="A965" s="15">
        <v>60412</v>
      </c>
      <c r="C965" s="18">
        <v>69393</v>
      </c>
      <c r="D965" s="15">
        <v>60412</v>
      </c>
    </row>
    <row r="966" spans="1:4">
      <c r="A966" s="15">
        <v>60437</v>
      </c>
      <c r="C966" s="18">
        <v>69394</v>
      </c>
      <c r="D966" s="15">
        <v>60437</v>
      </c>
    </row>
    <row r="967" spans="1:4">
      <c r="A967" s="15">
        <v>60451</v>
      </c>
      <c r="C967" s="18">
        <v>69400</v>
      </c>
      <c r="D967" s="15">
        <v>60451</v>
      </c>
    </row>
    <row r="968" spans="1:4">
      <c r="A968" s="15">
        <v>60517</v>
      </c>
      <c r="C968" s="18">
        <v>69424</v>
      </c>
      <c r="D968" s="15">
        <v>60517</v>
      </c>
    </row>
    <row r="969" spans="1:4">
      <c r="A969" s="15">
        <v>60552</v>
      </c>
      <c r="C969" s="18">
        <v>69502</v>
      </c>
      <c r="D969" s="15">
        <v>60552</v>
      </c>
    </row>
    <row r="970" spans="1:4">
      <c r="A970" s="15">
        <v>60574</v>
      </c>
      <c r="C970" s="18">
        <v>69505</v>
      </c>
      <c r="D970" s="15">
        <v>60574</v>
      </c>
    </row>
    <row r="971" spans="1:4">
      <c r="A971" s="15">
        <v>60582</v>
      </c>
      <c r="C971" s="18">
        <v>69513</v>
      </c>
      <c r="D971" s="15">
        <v>60582</v>
      </c>
    </row>
    <row r="972" spans="1:4">
      <c r="A972" s="15">
        <v>60597</v>
      </c>
      <c r="C972" s="18">
        <v>69561</v>
      </c>
      <c r="D972" s="15">
        <v>60597</v>
      </c>
    </row>
    <row r="973" spans="1:4">
      <c r="A973" s="15">
        <v>60626</v>
      </c>
      <c r="C973" s="18">
        <v>69617</v>
      </c>
      <c r="D973" s="15">
        <v>60626</v>
      </c>
    </row>
    <row r="974" spans="1:4">
      <c r="A974" s="15">
        <v>60633</v>
      </c>
      <c r="C974" s="18">
        <v>69673</v>
      </c>
      <c r="D974" s="15">
        <v>60633</v>
      </c>
    </row>
    <row r="975" spans="1:4">
      <c r="A975" s="15">
        <v>60650</v>
      </c>
      <c r="C975" s="18">
        <v>69757</v>
      </c>
      <c r="D975" s="15">
        <v>60650</v>
      </c>
    </row>
    <row r="976" spans="1:4">
      <c r="A976" s="15">
        <v>60675</v>
      </c>
      <c r="C976" s="18">
        <v>69758</v>
      </c>
      <c r="D976" s="15">
        <v>60675</v>
      </c>
    </row>
    <row r="977" spans="1:4">
      <c r="A977" s="15">
        <v>60678</v>
      </c>
      <c r="C977" s="18">
        <v>69764</v>
      </c>
      <c r="D977" s="15">
        <v>60678</v>
      </c>
    </row>
    <row r="978" spans="1:4">
      <c r="A978" s="15">
        <v>60783</v>
      </c>
      <c r="C978" s="18">
        <v>69789</v>
      </c>
      <c r="D978" s="15">
        <v>60783</v>
      </c>
    </row>
    <row r="979" spans="1:4">
      <c r="A979" s="15">
        <v>60801</v>
      </c>
      <c r="C979" s="18">
        <v>69859</v>
      </c>
      <c r="D979" s="15">
        <v>60801</v>
      </c>
    </row>
    <row r="980" spans="1:4">
      <c r="A980" s="15">
        <v>60818</v>
      </c>
      <c r="C980" s="18">
        <v>69862</v>
      </c>
      <c r="D980" s="15">
        <v>60818</v>
      </c>
    </row>
    <row r="981" spans="1:4">
      <c r="A981" s="15">
        <v>60881</v>
      </c>
      <c r="C981" s="18">
        <v>69878</v>
      </c>
      <c r="D981" s="15">
        <v>60881</v>
      </c>
    </row>
    <row r="982" spans="1:4">
      <c r="A982" s="15">
        <v>60916</v>
      </c>
      <c r="C982" s="18">
        <v>69925</v>
      </c>
      <c r="D982" s="15">
        <v>60916</v>
      </c>
    </row>
    <row r="983" spans="1:4">
      <c r="A983" s="15">
        <v>60938</v>
      </c>
      <c r="C983" s="18">
        <v>69981</v>
      </c>
      <c r="D983" s="15">
        <v>60938</v>
      </c>
    </row>
    <row r="984" spans="1:4">
      <c r="A984" s="15">
        <v>60947</v>
      </c>
      <c r="C984" s="18">
        <v>70037</v>
      </c>
      <c r="D984" s="15">
        <v>60947</v>
      </c>
    </row>
    <row r="985" spans="1:4">
      <c r="A985" s="15">
        <v>60961</v>
      </c>
      <c r="C985" s="18">
        <v>70122</v>
      </c>
      <c r="D985" s="15">
        <v>60961</v>
      </c>
    </row>
    <row r="986" spans="1:4">
      <c r="A986" s="15">
        <v>60990</v>
      </c>
      <c r="C986" s="18">
        <v>70123</v>
      </c>
      <c r="D986" s="15">
        <v>60990</v>
      </c>
    </row>
    <row r="987" spans="1:4">
      <c r="A987" s="15">
        <v>60997</v>
      </c>
      <c r="C987" s="18">
        <v>70129</v>
      </c>
      <c r="D987" s="15">
        <v>60997</v>
      </c>
    </row>
    <row r="988" spans="1:4">
      <c r="A988" s="15">
        <v>61014</v>
      </c>
      <c r="C988" s="18">
        <v>70156</v>
      </c>
      <c r="D988" s="15">
        <v>61014</v>
      </c>
    </row>
    <row r="989" spans="1:4">
      <c r="A989" s="15">
        <v>61039</v>
      </c>
      <c r="C989" s="18">
        <v>70216</v>
      </c>
      <c r="D989" s="15">
        <v>61039</v>
      </c>
    </row>
    <row r="990" spans="1:4">
      <c r="A990" s="15">
        <v>61043</v>
      </c>
      <c r="C990" s="18">
        <v>70219</v>
      </c>
      <c r="D990" s="15">
        <v>61043</v>
      </c>
    </row>
    <row r="991" spans="1:4">
      <c r="A991" s="15">
        <v>61049</v>
      </c>
      <c r="C991" s="18">
        <v>70244</v>
      </c>
      <c r="D991" s="15">
        <v>61049</v>
      </c>
    </row>
    <row r="992" spans="1:4">
      <c r="A992" s="15">
        <v>61147</v>
      </c>
      <c r="C992" s="18">
        <v>70289</v>
      </c>
      <c r="D992" s="15">
        <v>61147</v>
      </c>
    </row>
    <row r="993" spans="1:4">
      <c r="A993" s="15">
        <v>61168</v>
      </c>
      <c r="C993" s="18">
        <v>70345</v>
      </c>
      <c r="D993" s="15">
        <v>61168</v>
      </c>
    </row>
    <row r="994" spans="1:4">
      <c r="A994" s="15">
        <v>61182</v>
      </c>
      <c r="C994" s="18">
        <v>70408</v>
      </c>
      <c r="D994" s="15">
        <v>61182</v>
      </c>
    </row>
    <row r="995" spans="1:4">
      <c r="A995" s="15">
        <v>61245</v>
      </c>
      <c r="C995" s="18">
        <v>70488</v>
      </c>
      <c r="D995" s="15">
        <v>61245</v>
      </c>
    </row>
    <row r="996" spans="1:4">
      <c r="A996" s="15">
        <v>61280</v>
      </c>
      <c r="C996" s="18">
        <v>70489</v>
      </c>
      <c r="D996" s="15">
        <v>61280</v>
      </c>
    </row>
    <row r="997" spans="1:4">
      <c r="A997" s="15">
        <v>61309</v>
      </c>
      <c r="C997" s="18">
        <v>70495</v>
      </c>
      <c r="D997" s="15">
        <v>61309</v>
      </c>
    </row>
    <row r="998" spans="1:4">
      <c r="A998" s="15">
        <v>61312</v>
      </c>
      <c r="C998" s="18">
        <v>70520</v>
      </c>
      <c r="D998" s="15">
        <v>61312</v>
      </c>
    </row>
    <row r="999" spans="1:4">
      <c r="A999" s="15">
        <v>61325</v>
      </c>
      <c r="C999" s="18">
        <v>70594</v>
      </c>
      <c r="D999" s="15">
        <v>61325</v>
      </c>
    </row>
    <row r="1000" spans="1:4">
      <c r="A1000" s="15">
        <v>61357</v>
      </c>
      <c r="C1000" s="18">
        <v>70597</v>
      </c>
      <c r="D1000" s="15">
        <v>61357</v>
      </c>
    </row>
    <row r="1001" spans="1:4">
      <c r="A1001" s="15">
        <v>61364</v>
      </c>
      <c r="C1001" s="18">
        <v>70653</v>
      </c>
      <c r="D1001" s="15">
        <v>61364</v>
      </c>
    </row>
    <row r="1002" spans="1:4">
      <c r="A1002" s="15">
        <v>61378</v>
      </c>
      <c r="C1002" s="18">
        <v>70709</v>
      </c>
      <c r="D1002" s="15">
        <v>61378</v>
      </c>
    </row>
    <row r="1003" spans="1:4">
      <c r="A1003" s="15">
        <v>61406</v>
      </c>
      <c r="C1003" s="18">
        <v>70772</v>
      </c>
      <c r="D1003" s="15">
        <v>61406</v>
      </c>
    </row>
    <row r="1004" spans="1:4">
      <c r="A1004" s="15">
        <v>61408</v>
      </c>
      <c r="C1004" s="18">
        <v>70853</v>
      </c>
      <c r="D1004" s="15">
        <v>61408</v>
      </c>
    </row>
    <row r="1005" spans="1:4">
      <c r="A1005" s="15">
        <v>61413</v>
      </c>
      <c r="C1005" s="18">
        <v>70856</v>
      </c>
      <c r="D1005" s="15">
        <v>61413</v>
      </c>
    </row>
    <row r="1006" spans="1:4">
      <c r="A1006" s="15">
        <v>61511</v>
      </c>
      <c r="C1006" s="18">
        <v>70860</v>
      </c>
      <c r="D1006" s="15">
        <v>61511</v>
      </c>
    </row>
    <row r="1007" spans="1:4">
      <c r="A1007" s="15">
        <v>61533</v>
      </c>
      <c r="C1007" s="18">
        <v>70885</v>
      </c>
      <c r="D1007" s="15">
        <v>61533</v>
      </c>
    </row>
    <row r="1008" spans="1:4">
      <c r="A1008" s="15">
        <v>61548</v>
      </c>
      <c r="C1008" s="18">
        <v>70951</v>
      </c>
      <c r="D1008" s="15">
        <v>61548</v>
      </c>
    </row>
    <row r="1009" spans="1:4">
      <c r="A1009" s="15">
        <v>61609</v>
      </c>
      <c r="C1009" s="18">
        <v>70954</v>
      </c>
      <c r="D1009" s="15">
        <v>61609</v>
      </c>
    </row>
    <row r="1010" spans="1:4">
      <c r="A1010" s="15">
        <v>61644</v>
      </c>
      <c r="C1010" s="18">
        <v>71024</v>
      </c>
      <c r="D1010" s="15">
        <v>61644</v>
      </c>
    </row>
    <row r="1011" spans="1:4">
      <c r="A1011" s="15">
        <v>61673</v>
      </c>
      <c r="C1011" s="18">
        <v>71073</v>
      </c>
      <c r="D1011" s="15">
        <v>61673</v>
      </c>
    </row>
    <row r="1012" spans="1:4">
      <c r="A1012" s="15">
        <v>61679</v>
      </c>
      <c r="C1012" s="18">
        <v>71136</v>
      </c>
      <c r="D1012" s="15">
        <v>61679</v>
      </c>
    </row>
    <row r="1013" spans="1:4">
      <c r="A1013" s="15">
        <v>61689</v>
      </c>
      <c r="C1013" s="18">
        <v>71220</v>
      </c>
      <c r="D1013" s="15">
        <v>61689</v>
      </c>
    </row>
    <row r="1014" spans="1:4">
      <c r="A1014" s="15">
        <v>61722</v>
      </c>
      <c r="C1014" s="18">
        <v>71221</v>
      </c>
      <c r="D1014" s="15">
        <v>61722</v>
      </c>
    </row>
    <row r="1015" spans="1:4">
      <c r="A1015" s="15">
        <v>61729</v>
      </c>
      <c r="C1015" s="18">
        <v>71227</v>
      </c>
      <c r="D1015" s="15">
        <v>61729</v>
      </c>
    </row>
    <row r="1016" spans="1:4">
      <c r="A1016" s="15">
        <v>61749</v>
      </c>
      <c r="C1016" s="18">
        <v>71250</v>
      </c>
      <c r="D1016" s="15">
        <v>61749</v>
      </c>
    </row>
    <row r="1017" spans="1:4">
      <c r="A1017" s="15">
        <v>61771</v>
      </c>
      <c r="C1017" s="18">
        <v>71336</v>
      </c>
      <c r="D1017" s="15">
        <v>61771</v>
      </c>
    </row>
    <row r="1018" spans="1:4">
      <c r="A1018" s="15">
        <v>61774</v>
      </c>
      <c r="C1018" s="18">
        <v>71339</v>
      </c>
      <c r="D1018" s="15">
        <v>61774</v>
      </c>
    </row>
    <row r="1019" spans="1:4">
      <c r="A1019" s="15">
        <v>61777</v>
      </c>
      <c r="C1019" s="18">
        <v>71388</v>
      </c>
      <c r="D1019" s="15">
        <v>61777</v>
      </c>
    </row>
    <row r="1020" spans="1:4">
      <c r="A1020" s="15">
        <v>61875</v>
      </c>
      <c r="C1020" s="18">
        <v>71437</v>
      </c>
      <c r="D1020" s="15">
        <v>61875</v>
      </c>
    </row>
    <row r="1021" spans="1:4">
      <c r="A1021" s="15">
        <v>61898</v>
      </c>
      <c r="C1021" s="18">
        <v>71500</v>
      </c>
      <c r="D1021" s="15">
        <v>61898</v>
      </c>
    </row>
    <row r="1022" spans="1:4">
      <c r="A1022" s="15">
        <v>61913</v>
      </c>
      <c r="C1022" s="18">
        <v>71584</v>
      </c>
      <c r="D1022" s="15">
        <v>61913</v>
      </c>
    </row>
    <row r="1023" spans="1:4">
      <c r="A1023" s="15">
        <v>61973</v>
      </c>
      <c r="C1023" s="18">
        <v>71585</v>
      </c>
      <c r="D1023" s="15">
        <v>61973</v>
      </c>
    </row>
    <row r="1024" spans="1:4">
      <c r="A1024" s="15">
        <v>62015</v>
      </c>
      <c r="C1024" s="18">
        <v>71591</v>
      </c>
      <c r="D1024" s="15">
        <v>62015</v>
      </c>
    </row>
    <row r="1025" spans="1:4">
      <c r="A1025" s="15">
        <v>62037</v>
      </c>
      <c r="C1025" s="18">
        <v>71615</v>
      </c>
      <c r="D1025" s="15">
        <v>62037</v>
      </c>
    </row>
    <row r="1026" spans="1:4">
      <c r="A1026" s="15">
        <v>62043</v>
      </c>
      <c r="C1026" s="18">
        <v>71693</v>
      </c>
      <c r="D1026" s="15">
        <v>62043</v>
      </c>
    </row>
    <row r="1027" spans="1:4">
      <c r="A1027" s="15">
        <v>62060</v>
      </c>
      <c r="C1027" s="18">
        <v>71696</v>
      </c>
      <c r="D1027" s="15">
        <v>62060</v>
      </c>
    </row>
    <row r="1028" spans="1:4">
      <c r="A1028" s="15">
        <v>62087</v>
      </c>
      <c r="C1028" s="18">
        <v>71705</v>
      </c>
      <c r="D1028" s="15">
        <v>62087</v>
      </c>
    </row>
    <row r="1029" spans="1:4">
      <c r="A1029" s="15">
        <v>62094</v>
      </c>
      <c r="C1029" s="18">
        <v>71752</v>
      </c>
      <c r="D1029" s="15">
        <v>62094</v>
      </c>
    </row>
    <row r="1030" spans="1:4">
      <c r="A1030" s="15">
        <v>62113</v>
      </c>
      <c r="C1030" s="18">
        <v>71808</v>
      </c>
      <c r="D1030" s="15">
        <v>62113</v>
      </c>
    </row>
    <row r="1031" spans="1:4">
      <c r="A1031" s="15">
        <v>62136</v>
      </c>
      <c r="C1031" s="18">
        <v>71864</v>
      </c>
      <c r="D1031" s="15">
        <v>62136</v>
      </c>
    </row>
    <row r="1032" spans="1:4">
      <c r="A1032" s="15">
        <v>62141</v>
      </c>
      <c r="C1032" s="18">
        <v>71949</v>
      </c>
      <c r="D1032" s="15">
        <v>62141</v>
      </c>
    </row>
    <row r="1033" spans="1:4">
      <c r="A1033" s="15">
        <v>62239</v>
      </c>
      <c r="C1033" s="18">
        <v>71950</v>
      </c>
      <c r="D1033" s="15">
        <v>62239</v>
      </c>
    </row>
    <row r="1034" spans="1:4">
      <c r="A1034" s="15">
        <v>62263</v>
      </c>
      <c r="C1034" s="18">
        <v>71956</v>
      </c>
      <c r="D1034" s="15">
        <v>62263</v>
      </c>
    </row>
    <row r="1035" spans="1:4">
      <c r="A1035" s="15">
        <v>62278</v>
      </c>
      <c r="C1035" s="18">
        <v>71983</v>
      </c>
      <c r="D1035" s="15">
        <v>62278</v>
      </c>
    </row>
    <row r="1036" spans="1:4">
      <c r="A1036" s="15">
        <v>62337</v>
      </c>
      <c r="C1036" s="18">
        <v>72043</v>
      </c>
      <c r="D1036" s="15">
        <v>62337</v>
      </c>
    </row>
    <row r="1037" spans="1:4">
      <c r="A1037" s="15">
        <v>62379</v>
      </c>
      <c r="C1037" s="18">
        <v>72046</v>
      </c>
      <c r="D1037" s="15">
        <v>62379</v>
      </c>
    </row>
    <row r="1038" spans="1:4">
      <c r="A1038" s="15">
        <v>62401</v>
      </c>
      <c r="C1038" s="18">
        <v>72070</v>
      </c>
      <c r="D1038" s="15">
        <v>62401</v>
      </c>
    </row>
    <row r="1039" spans="1:4">
      <c r="A1039" s="15">
        <v>62408</v>
      </c>
      <c r="C1039" s="18">
        <v>72116</v>
      </c>
      <c r="D1039" s="15">
        <v>62408</v>
      </c>
    </row>
    <row r="1040" spans="1:4">
      <c r="A1040" s="15">
        <v>62424</v>
      </c>
      <c r="C1040" s="18">
        <v>72172</v>
      </c>
      <c r="D1040" s="15">
        <v>62424</v>
      </c>
    </row>
    <row r="1041" spans="1:4">
      <c r="A1041" s="15">
        <v>62452</v>
      </c>
      <c r="C1041" s="18">
        <v>72235</v>
      </c>
      <c r="D1041" s="15">
        <v>62452</v>
      </c>
    </row>
    <row r="1042" spans="1:4">
      <c r="A1042" s="15">
        <v>62459</v>
      </c>
      <c r="C1042" s="18">
        <v>72314</v>
      </c>
      <c r="D1042" s="15">
        <v>62459</v>
      </c>
    </row>
    <row r="1043" spans="1:4">
      <c r="A1043" s="15">
        <v>62477</v>
      </c>
      <c r="C1043" s="18">
        <v>72315</v>
      </c>
      <c r="D1043" s="15">
        <v>62477</v>
      </c>
    </row>
    <row r="1044" spans="1:4">
      <c r="A1044" s="15">
        <v>62501</v>
      </c>
      <c r="C1044" s="18">
        <v>72321</v>
      </c>
      <c r="D1044" s="15">
        <v>62501</v>
      </c>
    </row>
    <row r="1045" spans="1:4">
      <c r="A1045" s="15">
        <v>62505</v>
      </c>
      <c r="C1045" s="18">
        <v>72347</v>
      </c>
      <c r="D1045" s="15">
        <v>62505</v>
      </c>
    </row>
    <row r="1046" spans="1:4">
      <c r="A1046" s="15">
        <v>62603</v>
      </c>
      <c r="C1046" s="18">
        <v>72428</v>
      </c>
      <c r="D1046" s="15">
        <v>62603</v>
      </c>
    </row>
    <row r="1047" spans="1:4">
      <c r="A1047" s="15">
        <v>62628</v>
      </c>
      <c r="C1047" s="18">
        <v>72431</v>
      </c>
      <c r="D1047" s="15">
        <v>62628</v>
      </c>
    </row>
    <row r="1048" spans="1:4">
      <c r="A1048" s="15">
        <v>62642</v>
      </c>
      <c r="C1048" s="18">
        <v>72435</v>
      </c>
      <c r="D1048" s="15">
        <v>62642</v>
      </c>
    </row>
    <row r="1049" spans="1:4">
      <c r="A1049" s="15">
        <v>62708</v>
      </c>
      <c r="C1049" s="18">
        <v>72480</v>
      </c>
      <c r="D1049" s="15">
        <v>62708</v>
      </c>
    </row>
    <row r="1050" spans="1:4">
      <c r="A1050" s="15">
        <v>62743</v>
      </c>
      <c r="C1050" s="18">
        <v>72536</v>
      </c>
      <c r="D1050" s="15">
        <v>62743</v>
      </c>
    </row>
    <row r="1051" spans="1:4">
      <c r="A1051" s="15">
        <v>62765</v>
      </c>
      <c r="C1051" s="18">
        <v>72599</v>
      </c>
      <c r="D1051" s="15">
        <v>62765</v>
      </c>
    </row>
    <row r="1052" spans="1:4">
      <c r="A1052" s="15">
        <v>62773</v>
      </c>
      <c r="C1052" s="18">
        <v>72679</v>
      </c>
      <c r="D1052" s="15">
        <v>62773</v>
      </c>
    </row>
    <row r="1053" spans="1:4">
      <c r="A1053" s="15">
        <v>62788</v>
      </c>
      <c r="C1053" s="18">
        <v>72680</v>
      </c>
      <c r="D1053" s="15">
        <v>62788</v>
      </c>
    </row>
    <row r="1054" spans="1:4">
      <c r="A1054" s="15">
        <v>62817</v>
      </c>
      <c r="C1054" s="18">
        <v>72686</v>
      </c>
      <c r="D1054" s="15">
        <v>62817</v>
      </c>
    </row>
    <row r="1055" spans="1:4">
      <c r="A1055" s="15">
        <v>62824</v>
      </c>
      <c r="C1055" s="18">
        <v>72711</v>
      </c>
      <c r="D1055" s="15">
        <v>62824</v>
      </c>
    </row>
    <row r="1056" spans="1:4">
      <c r="A1056" s="15">
        <v>62841</v>
      </c>
      <c r="C1056" s="18">
        <v>72785</v>
      </c>
      <c r="D1056" s="15">
        <v>62841</v>
      </c>
    </row>
    <row r="1057" spans="1:4">
      <c r="A1057" s="15">
        <v>62866</v>
      </c>
      <c r="C1057" s="18">
        <v>72788</v>
      </c>
      <c r="D1057" s="15">
        <v>62866</v>
      </c>
    </row>
    <row r="1058" spans="1:4">
      <c r="A1058" s="15">
        <v>62869</v>
      </c>
      <c r="C1058" s="18">
        <v>72844</v>
      </c>
      <c r="D1058" s="15">
        <v>62869</v>
      </c>
    </row>
    <row r="1059" spans="1:4">
      <c r="A1059" s="15">
        <v>62974</v>
      </c>
      <c r="C1059" s="18">
        <v>72900</v>
      </c>
      <c r="D1059" s="15">
        <v>62974</v>
      </c>
    </row>
    <row r="1060" spans="1:4">
      <c r="A1060" s="15">
        <v>62995</v>
      </c>
      <c r="C1060" s="18">
        <v>72963</v>
      </c>
      <c r="D1060" s="15">
        <v>62995</v>
      </c>
    </row>
    <row r="1061" spans="1:4">
      <c r="A1061" s="15">
        <v>63009</v>
      </c>
      <c r="C1061" s="18">
        <v>73044</v>
      </c>
      <c r="D1061" s="15">
        <v>63009</v>
      </c>
    </row>
    <row r="1062" spans="1:4">
      <c r="A1062" s="15">
        <v>63072</v>
      </c>
      <c r="C1062" s="18">
        <v>73047</v>
      </c>
      <c r="D1062" s="15">
        <v>63072</v>
      </c>
    </row>
    <row r="1063" spans="1:4">
      <c r="A1063" s="15">
        <v>63107</v>
      </c>
      <c r="D1063" s="15">
        <v>63107</v>
      </c>
    </row>
    <row r="1064" spans="1:4">
      <c r="A1064" s="15">
        <v>63136</v>
      </c>
      <c r="D1064" s="15">
        <v>63136</v>
      </c>
    </row>
    <row r="1065" spans="1:4">
      <c r="A1065" s="15">
        <v>63139</v>
      </c>
      <c r="D1065" s="15">
        <v>63139</v>
      </c>
    </row>
    <row r="1066" spans="1:4">
      <c r="A1066" s="15">
        <v>63152</v>
      </c>
      <c r="D1066" s="15">
        <v>63152</v>
      </c>
    </row>
    <row r="1067" spans="1:4">
      <c r="A1067" s="15">
        <v>63184</v>
      </c>
      <c r="D1067" s="15">
        <v>63184</v>
      </c>
    </row>
    <row r="1068" spans="1:4">
      <c r="A1068" s="15">
        <v>63191</v>
      </c>
      <c r="D1068" s="15">
        <v>63191</v>
      </c>
    </row>
    <row r="1069" spans="1:4">
      <c r="A1069" s="15">
        <v>63205</v>
      </c>
      <c r="D1069" s="15">
        <v>63205</v>
      </c>
    </row>
    <row r="1070" spans="1:4">
      <c r="A1070" s="15">
        <v>63233</v>
      </c>
      <c r="D1070" s="15">
        <v>63233</v>
      </c>
    </row>
    <row r="1071" spans="1:4">
      <c r="A1071" s="15">
        <v>63235</v>
      </c>
      <c r="D1071" s="15">
        <v>63235</v>
      </c>
    </row>
    <row r="1072" spans="1:4">
      <c r="A1072" s="15">
        <v>63240</v>
      </c>
      <c r="D1072" s="15">
        <v>63240</v>
      </c>
    </row>
    <row r="1073" spans="1:4">
      <c r="A1073" s="15">
        <v>63338</v>
      </c>
      <c r="D1073" s="15">
        <v>63338</v>
      </c>
    </row>
    <row r="1074" spans="1:4">
      <c r="A1074" s="15">
        <v>63359</v>
      </c>
      <c r="D1074" s="15">
        <v>63359</v>
      </c>
    </row>
    <row r="1075" spans="1:4">
      <c r="A1075" s="15">
        <v>63374</v>
      </c>
      <c r="D1075" s="15">
        <v>63374</v>
      </c>
    </row>
    <row r="1076" spans="1:4">
      <c r="A1076" s="15">
        <v>63436</v>
      </c>
      <c r="D1076" s="15">
        <v>63436</v>
      </c>
    </row>
    <row r="1077" spans="1:4">
      <c r="A1077" s="15">
        <v>63471</v>
      </c>
      <c r="D1077" s="15">
        <v>63471</v>
      </c>
    </row>
    <row r="1078" spans="1:4">
      <c r="A1078" s="15">
        <v>63500</v>
      </c>
      <c r="D1078" s="15">
        <v>63500</v>
      </c>
    </row>
    <row r="1079" spans="1:4">
      <c r="A1079" s="15">
        <v>63503</v>
      </c>
      <c r="D1079" s="15">
        <v>63503</v>
      </c>
    </row>
    <row r="1080" spans="1:4">
      <c r="A1080" s="15">
        <v>63516</v>
      </c>
      <c r="D1080" s="15">
        <v>63516</v>
      </c>
    </row>
    <row r="1081" spans="1:4">
      <c r="A1081" s="15">
        <v>63548</v>
      </c>
      <c r="D1081" s="15">
        <v>63548</v>
      </c>
    </row>
    <row r="1082" spans="1:4">
      <c r="A1082" s="15">
        <v>63555</v>
      </c>
      <c r="D1082" s="15">
        <v>63555</v>
      </c>
    </row>
    <row r="1083" spans="1:4">
      <c r="A1083" s="15">
        <v>63569</v>
      </c>
      <c r="D1083" s="15">
        <v>63569</v>
      </c>
    </row>
    <row r="1084" spans="1:4">
      <c r="A1084" s="15">
        <v>63597</v>
      </c>
      <c r="D1084" s="15">
        <v>63597</v>
      </c>
    </row>
    <row r="1085" spans="1:4">
      <c r="A1085" s="15">
        <v>63600</v>
      </c>
      <c r="D1085" s="15">
        <v>63600</v>
      </c>
    </row>
    <row r="1086" spans="1:4">
      <c r="A1086" s="15">
        <v>63604</v>
      </c>
      <c r="D1086" s="15">
        <v>63604</v>
      </c>
    </row>
    <row r="1087" spans="1:4">
      <c r="A1087" s="15">
        <v>63702</v>
      </c>
      <c r="D1087" s="15">
        <v>63702</v>
      </c>
    </row>
    <row r="1088" spans="1:4">
      <c r="A1088" s="15">
        <v>63724</v>
      </c>
      <c r="D1088" s="15">
        <v>63724</v>
      </c>
    </row>
    <row r="1089" spans="1:4">
      <c r="A1089" s="15">
        <v>63739</v>
      </c>
      <c r="D1089" s="15">
        <v>63739</v>
      </c>
    </row>
    <row r="1090" spans="1:4">
      <c r="A1090" s="15">
        <v>63800</v>
      </c>
      <c r="D1090" s="15">
        <v>63800</v>
      </c>
    </row>
    <row r="1091" spans="1:4">
      <c r="A1091" s="15">
        <v>63835</v>
      </c>
      <c r="D1091" s="15">
        <v>63835</v>
      </c>
    </row>
    <row r="1092" spans="1:4">
      <c r="A1092" s="15">
        <v>63864</v>
      </c>
      <c r="D1092" s="15">
        <v>63864</v>
      </c>
    </row>
    <row r="1093" spans="1:4">
      <c r="A1093" s="15">
        <v>63870</v>
      </c>
      <c r="D1093" s="15">
        <v>63870</v>
      </c>
    </row>
    <row r="1094" spans="1:4">
      <c r="A1094" s="15">
        <v>63880</v>
      </c>
      <c r="D1094" s="15">
        <v>63880</v>
      </c>
    </row>
    <row r="1095" spans="1:4">
      <c r="A1095" s="15">
        <v>63913</v>
      </c>
      <c r="D1095" s="15">
        <v>63913</v>
      </c>
    </row>
    <row r="1096" spans="1:4">
      <c r="A1096" s="15">
        <v>63920</v>
      </c>
      <c r="D1096" s="15">
        <v>63920</v>
      </c>
    </row>
    <row r="1097" spans="1:4">
      <c r="A1097" s="15">
        <v>63940</v>
      </c>
      <c r="D1097" s="15">
        <v>63940</v>
      </c>
    </row>
    <row r="1098" spans="1:4">
      <c r="A1098" s="15">
        <v>63962</v>
      </c>
      <c r="D1098" s="15">
        <v>63962</v>
      </c>
    </row>
    <row r="1099" spans="1:4">
      <c r="A1099" s="15">
        <v>63965</v>
      </c>
      <c r="D1099" s="15">
        <v>63965</v>
      </c>
    </row>
    <row r="1100" spans="1:4">
      <c r="A1100" s="15">
        <v>63968</v>
      </c>
      <c r="D1100" s="15">
        <v>63968</v>
      </c>
    </row>
    <row r="1101" spans="1:4">
      <c r="A1101" s="15">
        <v>64066</v>
      </c>
      <c r="D1101" s="15">
        <v>64066</v>
      </c>
    </row>
    <row r="1102" spans="1:4">
      <c r="A1102" s="15">
        <v>64089</v>
      </c>
      <c r="D1102" s="15">
        <v>64089</v>
      </c>
    </row>
    <row r="1103" spans="1:4">
      <c r="A1103" s="15">
        <v>64104</v>
      </c>
      <c r="D1103" s="15">
        <v>64104</v>
      </c>
    </row>
    <row r="1104" spans="1:4">
      <c r="A1104" s="15">
        <v>64164</v>
      </c>
      <c r="D1104" s="15">
        <v>64164</v>
      </c>
    </row>
    <row r="1105" spans="1:4">
      <c r="A1105" s="15">
        <v>64206</v>
      </c>
      <c r="D1105" s="15">
        <v>64206</v>
      </c>
    </row>
    <row r="1106" spans="1:4">
      <c r="A1106" s="15">
        <v>64228</v>
      </c>
      <c r="D1106" s="15">
        <v>64228</v>
      </c>
    </row>
    <row r="1107" spans="1:4">
      <c r="A1107" s="15">
        <v>64234</v>
      </c>
      <c r="D1107" s="15">
        <v>64234</v>
      </c>
    </row>
    <row r="1108" spans="1:4">
      <c r="A1108" s="15">
        <v>64251</v>
      </c>
      <c r="D1108" s="15">
        <v>64251</v>
      </c>
    </row>
    <row r="1109" spans="1:4">
      <c r="A1109" s="15">
        <v>64278</v>
      </c>
      <c r="D1109" s="15">
        <v>64278</v>
      </c>
    </row>
    <row r="1110" spans="1:4">
      <c r="A1110" s="15">
        <v>64285</v>
      </c>
      <c r="D1110" s="15">
        <v>64285</v>
      </c>
    </row>
    <row r="1111" spans="1:4">
      <c r="A1111" s="15">
        <v>64304</v>
      </c>
      <c r="D1111" s="15">
        <v>64304</v>
      </c>
    </row>
    <row r="1112" spans="1:4">
      <c r="A1112" s="15">
        <v>64327</v>
      </c>
      <c r="D1112" s="15">
        <v>64327</v>
      </c>
    </row>
    <row r="1113" spans="1:4">
      <c r="A1113" s="15">
        <v>64332</v>
      </c>
      <c r="D1113" s="15">
        <v>64332</v>
      </c>
    </row>
    <row r="1114" spans="1:4">
      <c r="A1114" s="15">
        <v>64430</v>
      </c>
      <c r="D1114" s="15">
        <v>64430</v>
      </c>
    </row>
    <row r="1115" spans="1:4">
      <c r="A1115" s="15">
        <v>64455</v>
      </c>
      <c r="D1115" s="15">
        <v>64455</v>
      </c>
    </row>
    <row r="1116" spans="1:4">
      <c r="A1116" s="15">
        <v>64469</v>
      </c>
      <c r="D1116" s="15">
        <v>64469</v>
      </c>
    </row>
    <row r="1117" spans="1:4">
      <c r="A1117" s="15">
        <v>64535</v>
      </c>
      <c r="D1117" s="15">
        <v>64535</v>
      </c>
    </row>
    <row r="1118" spans="1:4">
      <c r="A1118" s="15">
        <v>64570</v>
      </c>
      <c r="D1118" s="15">
        <v>64570</v>
      </c>
    </row>
    <row r="1119" spans="1:4">
      <c r="A1119" s="15">
        <v>64592</v>
      </c>
      <c r="D1119" s="15">
        <v>64592</v>
      </c>
    </row>
    <row r="1120" spans="1:4">
      <c r="A1120" s="15">
        <v>64600</v>
      </c>
      <c r="D1120" s="15">
        <v>64600</v>
      </c>
    </row>
    <row r="1121" spans="1:4">
      <c r="A1121" s="15">
        <v>64615</v>
      </c>
      <c r="D1121" s="15">
        <v>64615</v>
      </c>
    </row>
    <row r="1122" spans="1:4">
      <c r="A1122" s="15">
        <v>64644</v>
      </c>
      <c r="D1122" s="15">
        <v>64644</v>
      </c>
    </row>
    <row r="1123" spans="1:4">
      <c r="A1123" s="15">
        <v>64651</v>
      </c>
      <c r="D1123" s="15">
        <v>64651</v>
      </c>
    </row>
    <row r="1124" spans="1:4">
      <c r="A1124" s="15">
        <v>64668</v>
      </c>
      <c r="D1124" s="15">
        <v>64668</v>
      </c>
    </row>
    <row r="1125" spans="1:4">
      <c r="A1125" s="15">
        <v>64693</v>
      </c>
      <c r="D1125" s="15">
        <v>64693</v>
      </c>
    </row>
    <row r="1126" spans="1:4">
      <c r="A1126" s="15">
        <v>64696</v>
      </c>
      <c r="D1126" s="15">
        <v>64696</v>
      </c>
    </row>
    <row r="1127" spans="1:4">
      <c r="A1127" s="15">
        <v>64801</v>
      </c>
      <c r="D1127" s="15">
        <v>64801</v>
      </c>
    </row>
    <row r="1128" spans="1:4">
      <c r="A1128" s="15">
        <v>64819</v>
      </c>
      <c r="D1128" s="15">
        <v>64819</v>
      </c>
    </row>
    <row r="1129" spans="1:4">
      <c r="A1129" s="15">
        <v>64836</v>
      </c>
      <c r="D1129" s="15">
        <v>64836</v>
      </c>
    </row>
    <row r="1130" spans="1:4">
      <c r="A1130" s="15">
        <v>64899</v>
      </c>
      <c r="D1130" s="15">
        <v>64899</v>
      </c>
    </row>
    <row r="1131" spans="1:4">
      <c r="A1131" s="15">
        <v>64934</v>
      </c>
      <c r="D1131" s="15">
        <v>64934</v>
      </c>
    </row>
    <row r="1132" spans="1:4">
      <c r="A1132" s="15">
        <v>64956</v>
      </c>
      <c r="D1132" s="15">
        <v>64956</v>
      </c>
    </row>
    <row r="1133" spans="1:4">
      <c r="A1133" s="15">
        <v>64965</v>
      </c>
      <c r="D1133" s="15">
        <v>64965</v>
      </c>
    </row>
    <row r="1134" spans="1:4">
      <c r="A1134" s="15">
        <v>64979</v>
      </c>
      <c r="D1134" s="15">
        <v>64979</v>
      </c>
    </row>
    <row r="1135" spans="1:4">
      <c r="A1135" s="15">
        <v>65008</v>
      </c>
      <c r="D1135" s="15">
        <v>65008</v>
      </c>
    </row>
    <row r="1136" spans="1:4">
      <c r="A1136" s="15">
        <v>65015</v>
      </c>
      <c r="D1136" s="15">
        <v>65015</v>
      </c>
    </row>
    <row r="1137" spans="1:4">
      <c r="A1137" s="15">
        <v>65032</v>
      </c>
      <c r="D1137" s="15">
        <v>65032</v>
      </c>
    </row>
    <row r="1138" spans="1:4">
      <c r="A1138" s="15">
        <v>65057</v>
      </c>
      <c r="D1138" s="15">
        <v>65057</v>
      </c>
    </row>
    <row r="1139" spans="1:4">
      <c r="A1139" s="15">
        <v>65061</v>
      </c>
      <c r="D1139" s="15">
        <v>65061</v>
      </c>
    </row>
    <row r="1140" spans="1:4">
      <c r="A1140" s="15">
        <v>65067</v>
      </c>
      <c r="D1140" s="15">
        <v>65067</v>
      </c>
    </row>
    <row r="1141" spans="1:4">
      <c r="A1141" s="15">
        <v>65165</v>
      </c>
      <c r="D1141" s="15">
        <v>65165</v>
      </c>
    </row>
    <row r="1142" spans="1:4">
      <c r="A1142" s="15">
        <v>65186</v>
      </c>
      <c r="D1142" s="15">
        <v>65186</v>
      </c>
    </row>
    <row r="1143" spans="1:4">
      <c r="A1143" s="15">
        <v>65200</v>
      </c>
      <c r="D1143" s="15">
        <v>65200</v>
      </c>
    </row>
    <row r="1144" spans="1:4">
      <c r="A1144" s="15">
        <v>65263</v>
      </c>
      <c r="D1144" s="15">
        <v>65263</v>
      </c>
    </row>
    <row r="1145" spans="1:4">
      <c r="A1145" s="15">
        <v>65298</v>
      </c>
      <c r="D1145" s="15">
        <v>65298</v>
      </c>
    </row>
    <row r="1146" spans="1:4">
      <c r="A1146" s="15">
        <v>65327</v>
      </c>
      <c r="D1146" s="15">
        <v>65327</v>
      </c>
    </row>
    <row r="1147" spans="1:4">
      <c r="A1147" s="15">
        <v>65330</v>
      </c>
      <c r="D1147" s="15">
        <v>65330</v>
      </c>
    </row>
    <row r="1148" spans="1:4">
      <c r="A1148" s="15">
        <v>65343</v>
      </c>
      <c r="D1148" s="15">
        <v>65343</v>
      </c>
    </row>
    <row r="1149" spans="1:4">
      <c r="A1149" s="15">
        <v>65375</v>
      </c>
      <c r="D1149" s="15">
        <v>65375</v>
      </c>
    </row>
    <row r="1150" spans="1:4">
      <c r="A1150" s="15">
        <v>65382</v>
      </c>
      <c r="D1150" s="15">
        <v>65382</v>
      </c>
    </row>
    <row r="1151" spans="1:4">
      <c r="A1151" s="15">
        <v>65396</v>
      </c>
      <c r="D1151" s="15">
        <v>65396</v>
      </c>
    </row>
    <row r="1152" spans="1:4">
      <c r="A1152" s="15">
        <v>65424</v>
      </c>
      <c r="D1152" s="15">
        <v>65424</v>
      </c>
    </row>
    <row r="1153" spans="1:4">
      <c r="A1153" s="15">
        <v>65426</v>
      </c>
      <c r="D1153" s="15">
        <v>65426</v>
      </c>
    </row>
    <row r="1154" spans="1:4">
      <c r="A1154" s="15">
        <v>65431</v>
      </c>
      <c r="D1154" s="15">
        <v>65431</v>
      </c>
    </row>
    <row r="1155" spans="1:4">
      <c r="A1155" s="15">
        <v>65529</v>
      </c>
      <c r="D1155" s="15">
        <v>65529</v>
      </c>
    </row>
    <row r="1156" spans="1:4">
      <c r="A1156" s="15">
        <v>65550</v>
      </c>
      <c r="D1156" s="15">
        <v>65550</v>
      </c>
    </row>
    <row r="1157" spans="1:4">
      <c r="A1157" s="15">
        <v>65565</v>
      </c>
      <c r="D1157" s="15">
        <v>65565</v>
      </c>
    </row>
    <row r="1158" spans="1:4">
      <c r="A1158" s="15">
        <v>65627</v>
      </c>
      <c r="D1158" s="15">
        <v>65627</v>
      </c>
    </row>
    <row r="1159" spans="1:4">
      <c r="A1159" s="15">
        <v>65662</v>
      </c>
      <c r="D1159" s="15">
        <v>65662</v>
      </c>
    </row>
    <row r="1160" spans="1:4">
      <c r="A1160" s="15">
        <v>65691</v>
      </c>
      <c r="D1160" s="15">
        <v>65691</v>
      </c>
    </row>
    <row r="1161" spans="1:4">
      <c r="A1161" s="15">
        <v>65694</v>
      </c>
      <c r="D1161" s="15">
        <v>65694</v>
      </c>
    </row>
    <row r="1162" spans="1:4">
      <c r="A1162" s="15">
        <v>65707</v>
      </c>
      <c r="D1162" s="15">
        <v>65707</v>
      </c>
    </row>
    <row r="1163" spans="1:4">
      <c r="A1163" s="15">
        <v>65739</v>
      </c>
      <c r="D1163" s="15">
        <v>65739</v>
      </c>
    </row>
    <row r="1164" spans="1:4">
      <c r="A1164" s="15">
        <v>65746</v>
      </c>
      <c r="D1164" s="15">
        <v>65746</v>
      </c>
    </row>
    <row r="1165" spans="1:4">
      <c r="A1165" s="15">
        <v>65760</v>
      </c>
      <c r="D1165" s="15">
        <v>65760</v>
      </c>
    </row>
    <row r="1166" spans="1:4">
      <c r="A1166" s="15">
        <v>65788</v>
      </c>
      <c r="D1166" s="15">
        <v>65788</v>
      </c>
    </row>
    <row r="1167" spans="1:4">
      <c r="A1167" s="15">
        <v>65791</v>
      </c>
      <c r="D1167" s="15">
        <v>65791</v>
      </c>
    </row>
    <row r="1168" spans="1:4">
      <c r="A1168" s="15">
        <v>65795</v>
      </c>
      <c r="D1168" s="15">
        <v>65795</v>
      </c>
    </row>
    <row r="1169" spans="1:4">
      <c r="A1169" s="15">
        <v>65893</v>
      </c>
      <c r="D1169" s="15">
        <v>65893</v>
      </c>
    </row>
    <row r="1170" spans="1:4">
      <c r="A1170" s="15">
        <v>65916</v>
      </c>
      <c r="D1170" s="15">
        <v>65916</v>
      </c>
    </row>
    <row r="1171" spans="1:4">
      <c r="A1171" s="15">
        <v>65931</v>
      </c>
      <c r="D1171" s="15">
        <v>65931</v>
      </c>
    </row>
    <row r="1172" spans="1:4">
      <c r="A1172" s="15">
        <v>65991</v>
      </c>
      <c r="D1172" s="15">
        <v>65991</v>
      </c>
    </row>
    <row r="1173" spans="1:4">
      <c r="A1173" s="15">
        <v>66033</v>
      </c>
      <c r="D1173" s="15">
        <v>66033</v>
      </c>
    </row>
    <row r="1174" spans="1:4">
      <c r="A1174" s="15">
        <v>66055</v>
      </c>
      <c r="D1174" s="15">
        <v>66055</v>
      </c>
    </row>
    <row r="1175" spans="1:4">
      <c r="A1175" s="15">
        <v>66061</v>
      </c>
      <c r="D1175" s="15">
        <v>66061</v>
      </c>
    </row>
    <row r="1176" spans="1:4">
      <c r="A1176" s="15">
        <v>66078</v>
      </c>
      <c r="D1176" s="15">
        <v>66078</v>
      </c>
    </row>
    <row r="1177" spans="1:4">
      <c r="A1177" s="15">
        <v>66105</v>
      </c>
      <c r="D1177" s="15">
        <v>66105</v>
      </c>
    </row>
    <row r="1178" spans="1:4">
      <c r="A1178" s="15">
        <v>66112</v>
      </c>
      <c r="D1178" s="15">
        <v>66112</v>
      </c>
    </row>
    <row r="1179" spans="1:4">
      <c r="A1179" s="15">
        <v>66131</v>
      </c>
      <c r="D1179" s="15">
        <v>66131</v>
      </c>
    </row>
    <row r="1180" spans="1:4">
      <c r="A1180" s="15">
        <v>66154</v>
      </c>
      <c r="D1180" s="15">
        <v>66154</v>
      </c>
    </row>
    <row r="1181" spans="1:4">
      <c r="A1181" s="15">
        <v>66159</v>
      </c>
      <c r="D1181" s="15">
        <v>66159</v>
      </c>
    </row>
    <row r="1182" spans="1:4">
      <c r="A1182" s="15">
        <v>66257</v>
      </c>
      <c r="D1182" s="15">
        <v>66257</v>
      </c>
    </row>
    <row r="1183" spans="1:4">
      <c r="A1183" s="15">
        <v>66281</v>
      </c>
      <c r="D1183" s="15">
        <v>66281</v>
      </c>
    </row>
    <row r="1184" spans="1:4">
      <c r="A1184" s="15">
        <v>66296</v>
      </c>
      <c r="D1184" s="15">
        <v>66296</v>
      </c>
    </row>
    <row r="1185" spans="1:4">
      <c r="A1185" s="15">
        <v>66355</v>
      </c>
      <c r="D1185" s="15">
        <v>66355</v>
      </c>
    </row>
    <row r="1186" spans="1:4">
      <c r="A1186" s="15">
        <v>66397</v>
      </c>
      <c r="D1186" s="15">
        <v>66397</v>
      </c>
    </row>
    <row r="1187" spans="1:4">
      <c r="A1187" s="15">
        <v>66419</v>
      </c>
      <c r="D1187" s="15">
        <v>66419</v>
      </c>
    </row>
    <row r="1188" spans="1:4">
      <c r="A1188" s="15">
        <v>66426</v>
      </c>
      <c r="D1188" s="15">
        <v>66426</v>
      </c>
    </row>
    <row r="1189" spans="1:4">
      <c r="A1189" s="15">
        <v>66442</v>
      </c>
      <c r="D1189" s="15">
        <v>66442</v>
      </c>
    </row>
    <row r="1190" spans="1:4">
      <c r="A1190" s="15">
        <v>66470</v>
      </c>
      <c r="D1190" s="15">
        <v>66470</v>
      </c>
    </row>
    <row r="1191" spans="1:4">
      <c r="A1191" s="15">
        <v>66477</v>
      </c>
      <c r="D1191" s="15">
        <v>66477</v>
      </c>
    </row>
    <row r="1192" spans="1:4">
      <c r="A1192" s="15">
        <v>66495</v>
      </c>
      <c r="D1192" s="15">
        <v>66495</v>
      </c>
    </row>
    <row r="1193" spans="1:4">
      <c r="A1193" s="15">
        <v>66519</v>
      </c>
      <c r="D1193" s="15">
        <v>66519</v>
      </c>
    </row>
    <row r="1194" spans="1:4">
      <c r="A1194" s="15">
        <v>66523</v>
      </c>
      <c r="D1194" s="15">
        <v>66523</v>
      </c>
    </row>
    <row r="1195" spans="1:4">
      <c r="A1195" s="15">
        <v>66621</v>
      </c>
      <c r="D1195" s="15">
        <v>66621</v>
      </c>
    </row>
    <row r="1196" spans="1:4">
      <c r="A1196" s="15">
        <v>66646</v>
      </c>
      <c r="D1196" s="15">
        <v>66646</v>
      </c>
    </row>
    <row r="1197" spans="1:4">
      <c r="A1197" s="15">
        <v>66660</v>
      </c>
      <c r="D1197" s="15">
        <v>66660</v>
      </c>
    </row>
    <row r="1198" spans="1:4">
      <c r="A1198" s="15">
        <v>66726</v>
      </c>
      <c r="D1198" s="15">
        <v>66726</v>
      </c>
    </row>
    <row r="1199" spans="1:4">
      <c r="A1199" s="15">
        <v>66761</v>
      </c>
      <c r="D1199" s="15">
        <v>66761</v>
      </c>
    </row>
    <row r="1200" spans="1:4">
      <c r="A1200" s="15">
        <v>66783</v>
      </c>
      <c r="D1200" s="15">
        <v>66783</v>
      </c>
    </row>
    <row r="1201" spans="1:4">
      <c r="A1201" s="15">
        <v>66791</v>
      </c>
      <c r="D1201" s="15">
        <v>66791</v>
      </c>
    </row>
    <row r="1202" spans="1:4">
      <c r="A1202" s="15">
        <v>66806</v>
      </c>
      <c r="D1202" s="15">
        <v>66806</v>
      </c>
    </row>
    <row r="1203" spans="1:4">
      <c r="A1203" s="15">
        <v>66835</v>
      </c>
      <c r="D1203" s="15">
        <v>66835</v>
      </c>
    </row>
    <row r="1204" spans="1:4">
      <c r="A1204" s="15">
        <v>66842</v>
      </c>
      <c r="D1204" s="15">
        <v>66842</v>
      </c>
    </row>
    <row r="1205" spans="1:4">
      <c r="A1205" s="15">
        <v>66859</v>
      </c>
      <c r="D1205" s="15">
        <v>66859</v>
      </c>
    </row>
    <row r="1206" spans="1:4">
      <c r="A1206" s="15">
        <v>66884</v>
      </c>
      <c r="D1206" s="15">
        <v>66884</v>
      </c>
    </row>
    <row r="1207" spans="1:4">
      <c r="A1207" s="15">
        <v>66887</v>
      </c>
      <c r="D1207" s="15">
        <v>66887</v>
      </c>
    </row>
    <row r="1208" spans="1:4">
      <c r="A1208" s="15">
        <v>66992</v>
      </c>
      <c r="D1208" s="15">
        <v>66992</v>
      </c>
    </row>
    <row r="1209" spans="1:4">
      <c r="A1209" s="15">
        <v>67010</v>
      </c>
      <c r="D1209" s="15">
        <v>67010</v>
      </c>
    </row>
    <row r="1210" spans="1:4">
      <c r="A1210" s="15">
        <v>67027</v>
      </c>
      <c r="D1210" s="15">
        <v>67027</v>
      </c>
    </row>
    <row r="1211" spans="1:4">
      <c r="A1211" s="15">
        <v>67090</v>
      </c>
      <c r="D1211" s="15">
        <v>67090</v>
      </c>
    </row>
    <row r="1212" spans="1:4">
      <c r="A1212" s="15">
        <v>67125</v>
      </c>
      <c r="D1212" s="15">
        <v>67125</v>
      </c>
    </row>
    <row r="1213" spans="1:4">
      <c r="A1213" s="15">
        <v>67147</v>
      </c>
      <c r="D1213" s="15">
        <v>67147</v>
      </c>
    </row>
    <row r="1214" spans="1:4">
      <c r="A1214" s="15">
        <v>67156</v>
      </c>
      <c r="D1214" s="15">
        <v>67156</v>
      </c>
    </row>
    <row r="1215" spans="1:4">
      <c r="A1215" s="15">
        <v>67170</v>
      </c>
      <c r="D1215" s="15">
        <v>67170</v>
      </c>
    </row>
    <row r="1216" spans="1:4">
      <c r="A1216" s="15">
        <v>67199</v>
      </c>
      <c r="D1216" s="15">
        <v>67199</v>
      </c>
    </row>
    <row r="1217" spans="1:4">
      <c r="A1217" s="15">
        <v>67206</v>
      </c>
      <c r="D1217" s="15">
        <v>67206</v>
      </c>
    </row>
    <row r="1218" spans="1:4">
      <c r="A1218" s="15">
        <v>67223</v>
      </c>
      <c r="D1218" s="15">
        <v>67223</v>
      </c>
    </row>
    <row r="1219" spans="1:4">
      <c r="A1219" s="15">
        <v>67248</v>
      </c>
      <c r="D1219" s="15">
        <v>67248</v>
      </c>
    </row>
    <row r="1220" spans="1:4">
      <c r="A1220" s="15">
        <v>67252</v>
      </c>
      <c r="D1220" s="15">
        <v>67252</v>
      </c>
    </row>
    <row r="1221" spans="1:4">
      <c r="A1221" s="15">
        <v>67258</v>
      </c>
      <c r="D1221" s="15">
        <v>67258</v>
      </c>
    </row>
    <row r="1222" spans="1:4">
      <c r="A1222" s="15">
        <v>67356</v>
      </c>
      <c r="D1222" s="15">
        <v>67356</v>
      </c>
    </row>
    <row r="1223" spans="1:4">
      <c r="A1223" s="15">
        <v>67377</v>
      </c>
      <c r="D1223" s="15">
        <v>67377</v>
      </c>
    </row>
    <row r="1224" spans="1:4">
      <c r="A1224" s="15">
        <v>67392</v>
      </c>
      <c r="D1224" s="15">
        <v>67392</v>
      </c>
    </row>
    <row r="1225" spans="1:4">
      <c r="A1225" s="15">
        <v>67454</v>
      </c>
      <c r="D1225" s="15">
        <v>67454</v>
      </c>
    </row>
    <row r="1226" spans="1:4">
      <c r="A1226" s="15">
        <v>67489</v>
      </c>
      <c r="D1226" s="15">
        <v>67489</v>
      </c>
    </row>
    <row r="1227" spans="1:4">
      <c r="A1227" s="15">
        <v>67518</v>
      </c>
      <c r="D1227" s="15">
        <v>67518</v>
      </c>
    </row>
    <row r="1228" spans="1:4">
      <c r="A1228" s="15">
        <v>67521</v>
      </c>
      <c r="D1228" s="15">
        <v>67521</v>
      </c>
    </row>
    <row r="1229" spans="1:4">
      <c r="A1229" s="15">
        <v>67534</v>
      </c>
      <c r="D1229" s="15">
        <v>67534</v>
      </c>
    </row>
    <row r="1230" spans="1:4">
      <c r="A1230" s="15">
        <v>67566</v>
      </c>
      <c r="D1230" s="15">
        <v>67566</v>
      </c>
    </row>
    <row r="1231" spans="1:4">
      <c r="A1231" s="15">
        <v>67573</v>
      </c>
      <c r="D1231" s="15">
        <v>67573</v>
      </c>
    </row>
    <row r="1232" spans="1:4">
      <c r="A1232" s="15">
        <v>67587</v>
      </c>
      <c r="D1232" s="15">
        <v>67587</v>
      </c>
    </row>
    <row r="1233" spans="1:4">
      <c r="A1233" s="15">
        <v>67615</v>
      </c>
      <c r="D1233" s="15">
        <v>67615</v>
      </c>
    </row>
    <row r="1234" spans="1:4">
      <c r="A1234" s="15">
        <v>67618</v>
      </c>
      <c r="D1234" s="15">
        <v>67618</v>
      </c>
    </row>
    <row r="1235" spans="1:4">
      <c r="A1235" s="15">
        <v>67622</v>
      </c>
      <c r="D1235" s="15">
        <v>67622</v>
      </c>
    </row>
    <row r="1236" spans="1:4">
      <c r="A1236" s="15">
        <v>67720</v>
      </c>
      <c r="D1236" s="15">
        <v>67720</v>
      </c>
    </row>
    <row r="1237" spans="1:4">
      <c r="A1237" s="15">
        <v>67742</v>
      </c>
      <c r="D1237" s="15">
        <v>67742</v>
      </c>
    </row>
    <row r="1238" spans="1:4">
      <c r="A1238" s="15">
        <v>67757</v>
      </c>
      <c r="D1238" s="15">
        <v>67757</v>
      </c>
    </row>
    <row r="1239" spans="1:4">
      <c r="A1239" s="15">
        <v>67818</v>
      </c>
      <c r="D1239" s="15">
        <v>67818</v>
      </c>
    </row>
    <row r="1240" spans="1:4">
      <c r="A1240" s="15">
        <v>67853</v>
      </c>
      <c r="D1240" s="15">
        <v>67853</v>
      </c>
    </row>
    <row r="1241" spans="1:4">
      <c r="A1241" s="15">
        <v>67882</v>
      </c>
      <c r="D1241" s="15">
        <v>67882</v>
      </c>
    </row>
    <row r="1242" spans="1:4">
      <c r="A1242" s="15">
        <v>67888</v>
      </c>
      <c r="D1242" s="15">
        <v>67888</v>
      </c>
    </row>
    <row r="1243" spans="1:4">
      <c r="A1243" s="15">
        <v>67898</v>
      </c>
      <c r="D1243" s="15">
        <v>67898</v>
      </c>
    </row>
    <row r="1244" spans="1:4">
      <c r="A1244" s="15">
        <v>67931</v>
      </c>
      <c r="D1244" s="15">
        <v>67931</v>
      </c>
    </row>
    <row r="1245" spans="1:4">
      <c r="A1245" s="15">
        <v>67938</v>
      </c>
      <c r="D1245" s="15">
        <v>67938</v>
      </c>
    </row>
    <row r="1246" spans="1:4">
      <c r="A1246" s="15">
        <v>67958</v>
      </c>
      <c r="D1246" s="15">
        <v>67958</v>
      </c>
    </row>
    <row r="1247" spans="1:4">
      <c r="A1247" s="15">
        <v>67980</v>
      </c>
      <c r="D1247" s="15">
        <v>67980</v>
      </c>
    </row>
    <row r="1248" spans="1:4">
      <c r="A1248" s="15">
        <v>67983</v>
      </c>
      <c r="D1248" s="15">
        <v>67983</v>
      </c>
    </row>
    <row r="1249" spans="1:4">
      <c r="A1249" s="15">
        <v>67986</v>
      </c>
      <c r="D1249" s="15">
        <v>67986</v>
      </c>
    </row>
    <row r="1250" spans="1:4">
      <c r="A1250" s="15">
        <v>68084</v>
      </c>
      <c r="D1250" s="15">
        <v>68084</v>
      </c>
    </row>
    <row r="1251" spans="1:4">
      <c r="A1251" s="15">
        <v>68107</v>
      </c>
      <c r="D1251" s="15">
        <v>68107</v>
      </c>
    </row>
    <row r="1252" spans="1:4">
      <c r="A1252" s="15">
        <v>68122</v>
      </c>
      <c r="D1252" s="15">
        <v>68122</v>
      </c>
    </row>
    <row r="1253" spans="1:4">
      <c r="A1253" s="15">
        <v>68182</v>
      </c>
      <c r="D1253" s="15">
        <v>68182</v>
      </c>
    </row>
    <row r="1254" spans="1:4">
      <c r="A1254" s="15">
        <v>68224</v>
      </c>
      <c r="D1254" s="15">
        <v>68224</v>
      </c>
    </row>
    <row r="1255" spans="1:4">
      <c r="A1255" s="15">
        <v>68246</v>
      </c>
      <c r="D1255" s="15">
        <v>68246</v>
      </c>
    </row>
    <row r="1256" spans="1:4">
      <c r="A1256" s="15">
        <v>68252</v>
      </c>
      <c r="D1256" s="15">
        <v>68252</v>
      </c>
    </row>
    <row r="1257" spans="1:4">
      <c r="A1257" s="15">
        <v>68269</v>
      </c>
      <c r="D1257" s="15">
        <v>68269</v>
      </c>
    </row>
    <row r="1258" spans="1:4">
      <c r="A1258" s="15">
        <v>68296</v>
      </c>
      <c r="D1258" s="15">
        <v>68296</v>
      </c>
    </row>
    <row r="1259" spans="1:4">
      <c r="A1259" s="15">
        <v>68303</v>
      </c>
      <c r="D1259" s="15">
        <v>68303</v>
      </c>
    </row>
    <row r="1260" spans="1:4">
      <c r="A1260" s="15">
        <v>68322</v>
      </c>
      <c r="D1260" s="15">
        <v>68322</v>
      </c>
    </row>
    <row r="1261" spans="1:4">
      <c r="A1261" s="15">
        <v>68345</v>
      </c>
      <c r="D1261" s="15">
        <v>68345</v>
      </c>
    </row>
    <row r="1262" spans="1:4">
      <c r="A1262" s="15">
        <v>68350</v>
      </c>
      <c r="D1262" s="15">
        <v>68350</v>
      </c>
    </row>
    <row r="1263" spans="1:4">
      <c r="A1263" s="15">
        <v>68448</v>
      </c>
      <c r="D1263" s="15">
        <v>68448</v>
      </c>
    </row>
    <row r="1264" spans="1:4">
      <c r="A1264" s="15">
        <v>68472</v>
      </c>
      <c r="D1264" s="15">
        <v>68472</v>
      </c>
    </row>
    <row r="1265" spans="1:4">
      <c r="A1265" s="15">
        <v>68487</v>
      </c>
      <c r="D1265" s="15">
        <v>68487</v>
      </c>
    </row>
    <row r="1266" spans="1:4">
      <c r="A1266" s="15">
        <v>68546</v>
      </c>
      <c r="D1266" s="15">
        <v>68546</v>
      </c>
    </row>
    <row r="1267" spans="1:4">
      <c r="A1267" s="15">
        <v>68588</v>
      </c>
      <c r="D1267" s="15">
        <v>68588</v>
      </c>
    </row>
    <row r="1268" spans="1:4">
      <c r="A1268" s="15">
        <v>68610</v>
      </c>
      <c r="D1268" s="15">
        <v>68610</v>
      </c>
    </row>
    <row r="1269" spans="1:4">
      <c r="A1269" s="15">
        <v>68617</v>
      </c>
      <c r="D1269" s="15">
        <v>68617</v>
      </c>
    </row>
    <row r="1270" spans="1:4">
      <c r="A1270" s="15">
        <v>68633</v>
      </c>
      <c r="D1270" s="15">
        <v>68633</v>
      </c>
    </row>
    <row r="1271" spans="1:4">
      <c r="A1271" s="15">
        <v>68661</v>
      </c>
      <c r="D1271" s="15">
        <v>68661</v>
      </c>
    </row>
    <row r="1272" spans="1:4">
      <c r="A1272" s="15">
        <v>68668</v>
      </c>
      <c r="D1272" s="15">
        <v>68668</v>
      </c>
    </row>
    <row r="1273" spans="1:4">
      <c r="A1273" s="15">
        <v>68686</v>
      </c>
      <c r="D1273" s="15">
        <v>68686</v>
      </c>
    </row>
    <row r="1274" spans="1:4">
      <c r="A1274" s="15">
        <v>68710</v>
      </c>
      <c r="D1274" s="15">
        <v>68710</v>
      </c>
    </row>
    <row r="1275" spans="1:4">
      <c r="A1275" s="15">
        <v>68714</v>
      </c>
      <c r="D1275" s="15">
        <v>68714</v>
      </c>
    </row>
    <row r="1276" spans="1:4">
      <c r="A1276" s="15">
        <v>68819</v>
      </c>
      <c r="D1276" s="15">
        <v>68819</v>
      </c>
    </row>
    <row r="1277" spans="1:4">
      <c r="A1277" s="15">
        <v>68837</v>
      </c>
      <c r="D1277" s="15">
        <v>68837</v>
      </c>
    </row>
    <row r="1278" spans="1:4">
      <c r="A1278" s="15">
        <v>68854</v>
      </c>
      <c r="D1278" s="15">
        <v>68854</v>
      </c>
    </row>
    <row r="1279" spans="1:4">
      <c r="A1279" s="15">
        <v>68917</v>
      </c>
      <c r="D1279" s="15">
        <v>68917</v>
      </c>
    </row>
    <row r="1280" spans="1:4">
      <c r="A1280" s="15">
        <v>68952</v>
      </c>
      <c r="D1280" s="15">
        <v>68952</v>
      </c>
    </row>
    <row r="1281" spans="1:4">
      <c r="A1281" s="15">
        <v>68974</v>
      </c>
      <c r="D1281" s="15">
        <v>68974</v>
      </c>
    </row>
    <row r="1282" spans="1:4">
      <c r="A1282" s="15">
        <v>68983</v>
      </c>
      <c r="D1282" s="15">
        <v>68983</v>
      </c>
    </row>
    <row r="1283" spans="1:4">
      <c r="A1283" s="15">
        <v>68997</v>
      </c>
      <c r="D1283" s="15">
        <v>68997</v>
      </c>
    </row>
    <row r="1284" spans="1:4">
      <c r="A1284" s="15">
        <v>69026</v>
      </c>
      <c r="D1284" s="15">
        <v>69026</v>
      </c>
    </row>
    <row r="1285" spans="1:4">
      <c r="A1285" s="15">
        <v>69033</v>
      </c>
      <c r="D1285" s="15">
        <v>69033</v>
      </c>
    </row>
    <row r="1286" spans="1:4">
      <c r="A1286" s="15">
        <v>69050</v>
      </c>
      <c r="D1286" s="15">
        <v>69050</v>
      </c>
    </row>
    <row r="1287" spans="1:4">
      <c r="A1287" s="15">
        <v>69075</v>
      </c>
      <c r="D1287" s="15">
        <v>69075</v>
      </c>
    </row>
    <row r="1288" spans="1:4">
      <c r="A1288" s="15">
        <v>69079</v>
      </c>
      <c r="D1288" s="15">
        <v>69079</v>
      </c>
    </row>
    <row r="1289" spans="1:4">
      <c r="A1289" s="15">
        <v>69085</v>
      </c>
      <c r="D1289" s="15">
        <v>69085</v>
      </c>
    </row>
    <row r="1290" spans="1:4">
      <c r="A1290" s="15">
        <v>69183</v>
      </c>
      <c r="D1290" s="15">
        <v>69183</v>
      </c>
    </row>
    <row r="1291" spans="1:4">
      <c r="A1291" s="15">
        <v>69204</v>
      </c>
      <c r="D1291" s="15">
        <v>69204</v>
      </c>
    </row>
    <row r="1292" spans="1:4">
      <c r="A1292" s="15">
        <v>69218</v>
      </c>
      <c r="D1292" s="15">
        <v>69218</v>
      </c>
    </row>
    <row r="1293" spans="1:4">
      <c r="A1293" s="15">
        <v>69281</v>
      </c>
      <c r="D1293" s="15">
        <v>69281</v>
      </c>
    </row>
    <row r="1294" spans="1:4">
      <c r="A1294" s="15">
        <v>69316</v>
      </c>
      <c r="D1294" s="15">
        <v>69316</v>
      </c>
    </row>
    <row r="1295" spans="1:4">
      <c r="A1295" s="15">
        <v>69345</v>
      </c>
      <c r="D1295" s="15">
        <v>69345</v>
      </c>
    </row>
    <row r="1296" spans="1:4">
      <c r="A1296" s="15">
        <v>69348</v>
      </c>
      <c r="D1296" s="15">
        <v>69348</v>
      </c>
    </row>
    <row r="1297" spans="1:4">
      <c r="A1297" s="15">
        <v>69361</v>
      </c>
      <c r="D1297" s="15">
        <v>69361</v>
      </c>
    </row>
    <row r="1298" spans="1:4">
      <c r="A1298" s="15">
        <v>69393</v>
      </c>
      <c r="D1298" s="15">
        <v>69393</v>
      </c>
    </row>
    <row r="1299" spans="1:4">
      <c r="A1299" s="15">
        <v>69400</v>
      </c>
      <c r="D1299" s="15">
        <v>69400</v>
      </c>
    </row>
    <row r="1300" spans="1:4">
      <c r="A1300" s="15">
        <v>69414</v>
      </c>
      <c r="D1300" s="15">
        <v>69414</v>
      </c>
    </row>
    <row r="1301" spans="1:4">
      <c r="A1301" s="15">
        <v>69442</v>
      </c>
      <c r="D1301" s="15">
        <v>69442</v>
      </c>
    </row>
    <row r="1302" spans="1:4">
      <c r="A1302" s="15">
        <v>69444</v>
      </c>
      <c r="D1302" s="15">
        <v>69444</v>
      </c>
    </row>
    <row r="1303" spans="1:4">
      <c r="A1303" s="15">
        <v>69449</v>
      </c>
      <c r="D1303" s="15">
        <v>69449</v>
      </c>
    </row>
    <row r="1304" spans="1:4">
      <c r="A1304" s="15">
        <v>69547</v>
      </c>
      <c r="D1304" s="15">
        <v>69547</v>
      </c>
    </row>
    <row r="1305" spans="1:4">
      <c r="A1305" s="15">
        <v>69568</v>
      </c>
      <c r="D1305" s="15">
        <v>69568</v>
      </c>
    </row>
    <row r="1306" spans="1:4">
      <c r="A1306" s="15">
        <v>69583</v>
      </c>
      <c r="D1306" s="15">
        <v>69583</v>
      </c>
    </row>
    <row r="1307" spans="1:4">
      <c r="A1307" s="15">
        <v>69645</v>
      </c>
      <c r="D1307" s="15">
        <v>69645</v>
      </c>
    </row>
    <row r="1308" spans="1:4">
      <c r="A1308" s="15">
        <v>69680</v>
      </c>
      <c r="D1308" s="15">
        <v>69680</v>
      </c>
    </row>
    <row r="1309" spans="1:4">
      <c r="A1309" s="15">
        <v>69709</v>
      </c>
      <c r="D1309" s="15">
        <v>69709</v>
      </c>
    </row>
    <row r="1310" spans="1:4">
      <c r="A1310" s="15">
        <v>69712</v>
      </c>
      <c r="D1310" s="15">
        <v>69712</v>
      </c>
    </row>
    <row r="1311" spans="1:4">
      <c r="A1311" s="15">
        <v>69725</v>
      </c>
      <c r="D1311" s="15">
        <v>69725</v>
      </c>
    </row>
    <row r="1312" spans="1:4">
      <c r="A1312" s="15">
        <v>69757</v>
      </c>
      <c r="D1312" s="15">
        <v>69757</v>
      </c>
    </row>
    <row r="1313" spans="1:4">
      <c r="A1313" s="15">
        <v>69764</v>
      </c>
      <c r="D1313" s="15">
        <v>69764</v>
      </c>
    </row>
    <row r="1314" spans="1:4">
      <c r="A1314" s="15">
        <v>69778</v>
      </c>
      <c r="D1314" s="15">
        <v>69778</v>
      </c>
    </row>
    <row r="1315" spans="1:4">
      <c r="A1315" s="15">
        <v>69806</v>
      </c>
      <c r="D1315" s="15">
        <v>69806</v>
      </c>
    </row>
    <row r="1316" spans="1:4">
      <c r="A1316" s="15">
        <v>69809</v>
      </c>
      <c r="D1316" s="15">
        <v>69809</v>
      </c>
    </row>
    <row r="1317" spans="1:4">
      <c r="A1317" s="15">
        <v>69813</v>
      </c>
      <c r="D1317" s="15">
        <v>69813</v>
      </c>
    </row>
    <row r="1318" spans="1:4">
      <c r="A1318" s="15">
        <v>69911</v>
      </c>
      <c r="D1318" s="15">
        <v>69911</v>
      </c>
    </row>
    <row r="1319" spans="1:4">
      <c r="A1319" s="15">
        <v>69933</v>
      </c>
      <c r="D1319" s="15">
        <v>69933</v>
      </c>
    </row>
    <row r="1320" spans="1:4">
      <c r="A1320" s="15">
        <v>69948</v>
      </c>
      <c r="D1320" s="15">
        <v>69948</v>
      </c>
    </row>
    <row r="1321" spans="1:4">
      <c r="A1321" s="15">
        <v>70009</v>
      </c>
      <c r="D1321" s="15">
        <v>70009</v>
      </c>
    </row>
    <row r="1322" spans="1:4">
      <c r="A1322" s="15">
        <v>70044</v>
      </c>
      <c r="D1322" s="15">
        <v>70044</v>
      </c>
    </row>
    <row r="1323" spans="1:4">
      <c r="A1323" s="15">
        <v>70073</v>
      </c>
      <c r="D1323" s="15">
        <v>70073</v>
      </c>
    </row>
    <row r="1324" spans="1:4">
      <c r="A1324" s="15">
        <v>70079</v>
      </c>
      <c r="D1324" s="15">
        <v>70079</v>
      </c>
    </row>
    <row r="1325" spans="1:4">
      <c r="A1325" s="15">
        <v>70089</v>
      </c>
      <c r="D1325" s="15">
        <v>70089</v>
      </c>
    </row>
    <row r="1326" spans="1:4">
      <c r="A1326" s="15">
        <v>70122</v>
      </c>
      <c r="D1326" s="15">
        <v>70122</v>
      </c>
    </row>
    <row r="1327" spans="1:4">
      <c r="A1327" s="15">
        <v>70129</v>
      </c>
      <c r="D1327" s="15">
        <v>70129</v>
      </c>
    </row>
    <row r="1328" spans="1:4">
      <c r="A1328" s="15">
        <v>70149</v>
      </c>
      <c r="D1328" s="15">
        <v>70149</v>
      </c>
    </row>
    <row r="1329" spans="1:4">
      <c r="A1329" s="15">
        <v>70171</v>
      </c>
      <c r="D1329" s="15">
        <v>70171</v>
      </c>
    </row>
    <row r="1330" spans="1:4">
      <c r="A1330" s="15">
        <v>70174</v>
      </c>
      <c r="D1330" s="15">
        <v>70174</v>
      </c>
    </row>
    <row r="1331" spans="1:4">
      <c r="A1331" s="15">
        <v>70177</v>
      </c>
      <c r="D1331" s="15">
        <v>70177</v>
      </c>
    </row>
    <row r="1332" spans="1:4">
      <c r="A1332" s="15">
        <v>70275</v>
      </c>
      <c r="D1332" s="15">
        <v>70275</v>
      </c>
    </row>
    <row r="1333" spans="1:4">
      <c r="A1333" s="15">
        <v>70299</v>
      </c>
      <c r="D1333" s="15">
        <v>70299</v>
      </c>
    </row>
    <row r="1334" spans="1:4">
      <c r="A1334" s="15">
        <v>70314</v>
      </c>
      <c r="D1334" s="15">
        <v>70314</v>
      </c>
    </row>
    <row r="1335" spans="1:4">
      <c r="A1335" s="15">
        <v>70373</v>
      </c>
      <c r="D1335" s="15">
        <v>70373</v>
      </c>
    </row>
    <row r="1336" spans="1:4">
      <c r="A1336" s="15">
        <v>70415</v>
      </c>
      <c r="D1336" s="15">
        <v>70415</v>
      </c>
    </row>
    <row r="1337" spans="1:4">
      <c r="A1337" s="15">
        <v>70437</v>
      </c>
      <c r="D1337" s="15">
        <v>70437</v>
      </c>
    </row>
    <row r="1338" spans="1:4">
      <c r="A1338" s="15">
        <v>70444</v>
      </c>
      <c r="D1338" s="15">
        <v>70444</v>
      </c>
    </row>
    <row r="1339" spans="1:4">
      <c r="A1339" s="15">
        <v>70460</v>
      </c>
      <c r="D1339" s="15">
        <v>70460</v>
      </c>
    </row>
    <row r="1340" spans="1:4">
      <c r="A1340" s="15">
        <v>70488</v>
      </c>
      <c r="D1340" s="15">
        <v>70488</v>
      </c>
    </row>
    <row r="1341" spans="1:4">
      <c r="A1341" s="15">
        <v>70495</v>
      </c>
      <c r="D1341" s="15">
        <v>70495</v>
      </c>
    </row>
    <row r="1342" spans="1:4">
      <c r="A1342" s="15">
        <v>70513</v>
      </c>
      <c r="D1342" s="15">
        <v>70513</v>
      </c>
    </row>
    <row r="1343" spans="1:4">
      <c r="A1343" s="15">
        <v>70537</v>
      </c>
      <c r="D1343" s="15">
        <v>70537</v>
      </c>
    </row>
    <row r="1344" spans="1:4">
      <c r="A1344" s="15">
        <v>70541</v>
      </c>
      <c r="D1344" s="15">
        <v>70541</v>
      </c>
    </row>
    <row r="1345" spans="1:4">
      <c r="A1345" s="15">
        <v>70639</v>
      </c>
      <c r="D1345" s="15">
        <v>70639</v>
      </c>
    </row>
    <row r="1346" spans="1:4">
      <c r="A1346" s="15">
        <v>70664</v>
      </c>
      <c r="D1346" s="15">
        <v>70664</v>
      </c>
    </row>
    <row r="1347" spans="1:4">
      <c r="A1347" s="15">
        <v>70678</v>
      </c>
      <c r="D1347" s="15">
        <v>70678</v>
      </c>
    </row>
    <row r="1348" spans="1:4">
      <c r="A1348" s="15">
        <v>70744</v>
      </c>
      <c r="D1348" s="15">
        <v>70744</v>
      </c>
    </row>
    <row r="1349" spans="1:4">
      <c r="A1349" s="15">
        <v>70779</v>
      </c>
      <c r="D1349" s="15">
        <v>70779</v>
      </c>
    </row>
    <row r="1350" spans="1:4">
      <c r="A1350" s="15">
        <v>70801</v>
      </c>
      <c r="D1350" s="15">
        <v>70801</v>
      </c>
    </row>
    <row r="1351" spans="1:4">
      <c r="A1351" s="15">
        <v>70809</v>
      </c>
      <c r="D1351" s="15">
        <v>70809</v>
      </c>
    </row>
    <row r="1352" spans="1:4">
      <c r="A1352" s="15">
        <v>70824</v>
      </c>
      <c r="D1352" s="15">
        <v>70824</v>
      </c>
    </row>
    <row r="1353" spans="1:4">
      <c r="A1353" s="15">
        <v>70853</v>
      </c>
      <c r="D1353" s="15">
        <v>70853</v>
      </c>
    </row>
    <row r="1354" spans="1:4">
      <c r="A1354" s="15">
        <v>70860</v>
      </c>
      <c r="D1354" s="15">
        <v>70860</v>
      </c>
    </row>
    <row r="1355" spans="1:4">
      <c r="A1355" s="15">
        <v>70877</v>
      </c>
      <c r="D1355" s="15">
        <v>70877</v>
      </c>
    </row>
    <row r="1356" spans="1:4">
      <c r="A1356" s="15">
        <v>70902</v>
      </c>
      <c r="D1356" s="15">
        <v>70902</v>
      </c>
    </row>
    <row r="1357" spans="1:4">
      <c r="A1357" s="15">
        <v>70905</v>
      </c>
      <c r="D1357" s="15">
        <v>70905</v>
      </c>
    </row>
    <row r="1358" spans="1:4">
      <c r="A1358" s="15">
        <v>71010</v>
      </c>
      <c r="D1358" s="15">
        <v>71010</v>
      </c>
    </row>
    <row r="1359" spans="1:4">
      <c r="A1359" s="15">
        <v>71028</v>
      </c>
      <c r="D1359" s="15">
        <v>71028</v>
      </c>
    </row>
    <row r="1360" spans="1:4">
      <c r="A1360" s="15">
        <v>71045</v>
      </c>
      <c r="D1360" s="15">
        <v>71045</v>
      </c>
    </row>
    <row r="1361" spans="1:4">
      <c r="A1361" s="15">
        <v>71108</v>
      </c>
      <c r="D1361" s="15">
        <v>71108</v>
      </c>
    </row>
    <row r="1362" spans="1:4">
      <c r="A1362" s="15">
        <v>71143</v>
      </c>
      <c r="D1362" s="15">
        <v>71143</v>
      </c>
    </row>
    <row r="1363" spans="1:4">
      <c r="A1363" s="15">
        <v>71165</v>
      </c>
      <c r="D1363" s="15">
        <v>71165</v>
      </c>
    </row>
    <row r="1364" spans="1:4">
      <c r="A1364" s="15">
        <v>71174</v>
      </c>
      <c r="D1364" s="15">
        <v>71174</v>
      </c>
    </row>
    <row r="1365" spans="1:4">
      <c r="A1365" s="15">
        <v>71188</v>
      </c>
      <c r="D1365" s="15">
        <v>71188</v>
      </c>
    </row>
    <row r="1366" spans="1:4">
      <c r="A1366" s="15">
        <v>71217</v>
      </c>
      <c r="D1366" s="15">
        <v>71217</v>
      </c>
    </row>
    <row r="1367" spans="1:4">
      <c r="A1367" s="15">
        <v>71224</v>
      </c>
      <c r="D1367" s="15">
        <v>71224</v>
      </c>
    </row>
    <row r="1368" spans="1:4">
      <c r="A1368" s="15">
        <v>71241</v>
      </c>
      <c r="D1368" s="15">
        <v>71241</v>
      </c>
    </row>
    <row r="1369" spans="1:4">
      <c r="A1369" s="15">
        <v>71266</v>
      </c>
      <c r="D1369" s="15">
        <v>71266</v>
      </c>
    </row>
    <row r="1370" spans="1:4">
      <c r="A1370" s="15">
        <v>71270</v>
      </c>
      <c r="D1370" s="15">
        <v>71270</v>
      </c>
    </row>
    <row r="1371" spans="1:4">
      <c r="A1371" s="15">
        <v>71276</v>
      </c>
      <c r="D1371" s="15">
        <v>71276</v>
      </c>
    </row>
    <row r="1372" spans="1:4">
      <c r="A1372" s="15">
        <v>71374</v>
      </c>
      <c r="D1372" s="15">
        <v>71374</v>
      </c>
    </row>
    <row r="1373" spans="1:4">
      <c r="A1373" s="15">
        <v>71395</v>
      </c>
      <c r="D1373" s="15">
        <v>71395</v>
      </c>
    </row>
    <row r="1374" spans="1:4">
      <c r="A1374" s="15">
        <v>71409</v>
      </c>
      <c r="D1374" s="15">
        <v>71409</v>
      </c>
    </row>
    <row r="1375" spans="1:4">
      <c r="A1375" s="15">
        <v>71472</v>
      </c>
      <c r="D1375" s="15">
        <v>71472</v>
      </c>
    </row>
    <row r="1376" spans="1:4">
      <c r="A1376" s="15">
        <v>71507</v>
      </c>
      <c r="D1376" s="15">
        <v>71507</v>
      </c>
    </row>
    <row r="1377" spans="1:4">
      <c r="A1377" s="15">
        <v>71536</v>
      </c>
      <c r="D1377" s="15">
        <v>71536</v>
      </c>
    </row>
    <row r="1378" spans="1:4">
      <c r="A1378" s="15">
        <v>71539</v>
      </c>
      <c r="D1378" s="15">
        <v>71539</v>
      </c>
    </row>
    <row r="1379" spans="1:4">
      <c r="A1379" s="15">
        <v>71552</v>
      </c>
      <c r="D1379" s="15">
        <v>71552</v>
      </c>
    </row>
    <row r="1380" spans="1:4">
      <c r="A1380" s="15">
        <v>71584</v>
      </c>
      <c r="D1380" s="15">
        <v>71584</v>
      </c>
    </row>
    <row r="1381" spans="1:4">
      <c r="A1381" s="15">
        <v>71591</v>
      </c>
      <c r="D1381" s="15">
        <v>71591</v>
      </c>
    </row>
    <row r="1382" spans="1:4">
      <c r="A1382" s="15">
        <v>71605</v>
      </c>
      <c r="D1382" s="15">
        <v>71605</v>
      </c>
    </row>
    <row r="1383" spans="1:4">
      <c r="A1383" s="15">
        <v>71633</v>
      </c>
      <c r="D1383" s="15">
        <v>71633</v>
      </c>
    </row>
    <row r="1384" spans="1:4">
      <c r="A1384" s="15">
        <v>71635</v>
      </c>
      <c r="D1384" s="15">
        <v>71635</v>
      </c>
    </row>
    <row r="1385" spans="1:4">
      <c r="A1385" s="15">
        <v>71640</v>
      </c>
      <c r="D1385" s="15">
        <v>71640</v>
      </c>
    </row>
    <row r="1386" spans="1:4">
      <c r="A1386" s="15">
        <v>71738</v>
      </c>
      <c r="D1386" s="15">
        <v>71738</v>
      </c>
    </row>
    <row r="1387" spans="1:4">
      <c r="A1387" s="15">
        <v>71760</v>
      </c>
      <c r="D1387" s="15">
        <v>71760</v>
      </c>
    </row>
    <row r="1388" spans="1:4">
      <c r="A1388" s="15">
        <v>71775</v>
      </c>
      <c r="D1388" s="15">
        <v>71775</v>
      </c>
    </row>
    <row r="1389" spans="1:4">
      <c r="A1389" s="15">
        <v>71836</v>
      </c>
      <c r="D1389" s="15">
        <v>71836</v>
      </c>
    </row>
    <row r="1390" spans="1:4">
      <c r="A1390" s="15">
        <v>71871</v>
      </c>
      <c r="D1390" s="15">
        <v>71871</v>
      </c>
    </row>
    <row r="1391" spans="1:4">
      <c r="A1391" s="15">
        <v>71900</v>
      </c>
      <c r="D1391" s="15">
        <v>71900</v>
      </c>
    </row>
    <row r="1392" spans="1:4">
      <c r="A1392" s="15">
        <v>71906</v>
      </c>
      <c r="D1392" s="15">
        <v>71906</v>
      </c>
    </row>
    <row r="1393" spans="1:4">
      <c r="A1393" s="15">
        <v>71916</v>
      </c>
      <c r="D1393" s="15">
        <v>71916</v>
      </c>
    </row>
    <row r="1394" spans="1:4">
      <c r="A1394" s="15">
        <v>71949</v>
      </c>
      <c r="D1394" s="15">
        <v>71949</v>
      </c>
    </row>
    <row r="1395" spans="1:4">
      <c r="A1395" s="15">
        <v>71956</v>
      </c>
      <c r="D1395" s="15">
        <v>71956</v>
      </c>
    </row>
    <row r="1396" spans="1:4">
      <c r="A1396" s="15">
        <v>71976</v>
      </c>
      <c r="D1396" s="15">
        <v>71976</v>
      </c>
    </row>
    <row r="1397" spans="1:4">
      <c r="A1397" s="15">
        <v>71998</v>
      </c>
      <c r="D1397" s="15">
        <v>71998</v>
      </c>
    </row>
    <row r="1398" spans="1:4">
      <c r="A1398" s="15">
        <v>72001</v>
      </c>
      <c r="D1398" s="15">
        <v>72001</v>
      </c>
    </row>
    <row r="1399" spans="1:4">
      <c r="A1399" s="15">
        <v>72004</v>
      </c>
      <c r="D1399" s="15">
        <v>72004</v>
      </c>
    </row>
    <row r="1400" spans="1:4">
      <c r="A1400" s="15">
        <v>72102</v>
      </c>
      <c r="D1400" s="15">
        <v>72102</v>
      </c>
    </row>
    <row r="1401" spans="1:4">
      <c r="A1401" s="15">
        <v>72125</v>
      </c>
      <c r="D1401" s="15">
        <v>72125</v>
      </c>
    </row>
    <row r="1402" spans="1:4">
      <c r="A1402" s="15">
        <v>72140</v>
      </c>
      <c r="D1402" s="15">
        <v>72140</v>
      </c>
    </row>
    <row r="1403" spans="1:4">
      <c r="A1403" s="15">
        <v>72200</v>
      </c>
      <c r="D1403" s="15">
        <v>72200</v>
      </c>
    </row>
    <row r="1404" spans="1:4">
      <c r="A1404" s="15">
        <v>72242</v>
      </c>
      <c r="D1404" s="15">
        <v>72242</v>
      </c>
    </row>
    <row r="1405" spans="1:4">
      <c r="A1405" s="15">
        <v>72264</v>
      </c>
      <c r="D1405" s="15">
        <v>72264</v>
      </c>
    </row>
    <row r="1406" spans="1:4">
      <c r="A1406" s="15">
        <v>72270</v>
      </c>
      <c r="D1406" s="15">
        <v>72270</v>
      </c>
    </row>
    <row r="1407" spans="1:4">
      <c r="A1407" s="15">
        <v>72287</v>
      </c>
      <c r="D1407" s="15">
        <v>72287</v>
      </c>
    </row>
    <row r="1408" spans="1:4">
      <c r="A1408" s="15">
        <v>72314</v>
      </c>
      <c r="D1408" s="15">
        <v>72314</v>
      </c>
    </row>
    <row r="1409" spans="1:4">
      <c r="A1409" s="15">
        <v>72321</v>
      </c>
      <c r="D1409" s="15">
        <v>72321</v>
      </c>
    </row>
    <row r="1410" spans="1:4">
      <c r="A1410" s="15">
        <v>72340</v>
      </c>
      <c r="D1410" s="15">
        <v>72340</v>
      </c>
    </row>
    <row r="1411" spans="1:4">
      <c r="A1411" s="15">
        <v>72363</v>
      </c>
      <c r="D1411" s="15">
        <v>72363</v>
      </c>
    </row>
    <row r="1412" spans="1:4">
      <c r="A1412" s="15">
        <v>72368</v>
      </c>
      <c r="D1412" s="15">
        <v>72368</v>
      </c>
    </row>
    <row r="1413" spans="1:4">
      <c r="A1413" s="15">
        <v>72466</v>
      </c>
      <c r="D1413" s="15">
        <v>72466</v>
      </c>
    </row>
    <row r="1414" spans="1:4">
      <c r="A1414" s="15">
        <v>72490</v>
      </c>
      <c r="D1414" s="15">
        <v>72490</v>
      </c>
    </row>
    <row r="1415" spans="1:4">
      <c r="A1415" s="15">
        <v>72505</v>
      </c>
      <c r="D1415" s="15">
        <v>72505</v>
      </c>
    </row>
    <row r="1416" spans="1:4">
      <c r="A1416" s="15">
        <v>72564</v>
      </c>
      <c r="D1416" s="15">
        <v>72564</v>
      </c>
    </row>
    <row r="1417" spans="1:4">
      <c r="A1417" s="15">
        <v>72606</v>
      </c>
      <c r="D1417" s="15">
        <v>72606</v>
      </c>
    </row>
    <row r="1418" spans="1:4">
      <c r="A1418" s="15">
        <v>72628</v>
      </c>
      <c r="D1418" s="15">
        <v>72628</v>
      </c>
    </row>
    <row r="1419" spans="1:4">
      <c r="A1419" s="15">
        <v>72635</v>
      </c>
      <c r="D1419" s="15">
        <v>72635</v>
      </c>
    </row>
    <row r="1420" spans="1:4">
      <c r="A1420" s="15">
        <v>72651</v>
      </c>
      <c r="D1420" s="15">
        <v>72651</v>
      </c>
    </row>
    <row r="1421" spans="1:4">
      <c r="A1421" s="15">
        <v>72679</v>
      </c>
      <c r="D1421" s="15">
        <v>72679</v>
      </c>
    </row>
    <row r="1422" spans="1:4">
      <c r="A1422" s="15">
        <v>72686</v>
      </c>
      <c r="D1422" s="15">
        <v>72686</v>
      </c>
    </row>
    <row r="1423" spans="1:4">
      <c r="A1423" s="15">
        <v>72704</v>
      </c>
      <c r="D1423" s="15">
        <v>72704</v>
      </c>
    </row>
    <row r="1424" spans="1:4">
      <c r="A1424" s="15">
        <v>72728</v>
      </c>
      <c r="D1424" s="15">
        <v>72728</v>
      </c>
    </row>
    <row r="1425" spans="1:4">
      <c r="A1425" s="15">
        <v>72732</v>
      </c>
      <c r="D1425" s="15">
        <v>72732</v>
      </c>
    </row>
    <row r="1426" spans="1:4">
      <c r="A1426" s="15">
        <v>72830</v>
      </c>
      <c r="D1426" s="15">
        <v>72830</v>
      </c>
    </row>
    <row r="1427" spans="1:4">
      <c r="A1427" s="15">
        <v>72855</v>
      </c>
      <c r="D1427" s="15">
        <v>72855</v>
      </c>
    </row>
    <row r="1428" spans="1:4">
      <c r="A1428" s="15">
        <v>72869</v>
      </c>
      <c r="D1428" s="15">
        <v>72869</v>
      </c>
    </row>
    <row r="1429" spans="1:4">
      <c r="A1429" s="15">
        <v>72935</v>
      </c>
      <c r="D1429" s="15">
        <v>72935</v>
      </c>
    </row>
    <row r="1430" spans="1:4">
      <c r="A1430" s="15">
        <v>72970</v>
      </c>
      <c r="D1430" s="15">
        <v>72970</v>
      </c>
    </row>
    <row r="1431" spans="1:4">
      <c r="A1431" s="15">
        <v>72992</v>
      </c>
      <c r="D1431" s="15">
        <v>72992</v>
      </c>
    </row>
    <row r="1432" spans="1:4">
      <c r="A1432" s="15">
        <v>73000</v>
      </c>
      <c r="D1432" s="15">
        <v>73000</v>
      </c>
    </row>
    <row r="1433" spans="1:4">
      <c r="A1433" s="15">
        <v>73015</v>
      </c>
      <c r="D1433" s="15">
        <v>73015</v>
      </c>
    </row>
    <row r="1434" spans="1:4">
      <c r="A1434" s="15">
        <v>73044</v>
      </c>
      <c r="D1434" s="15">
        <v>73044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37</vt:i4>
      </vt:variant>
    </vt:vector>
  </HeadingPairs>
  <TitlesOfParts>
    <vt:vector size="42" baseType="lpstr">
      <vt:lpstr>Global Inputs</vt:lpstr>
      <vt:lpstr>Swaption Pricer</vt:lpstr>
      <vt:lpstr>Methodology</vt:lpstr>
      <vt:lpstr>Data Validation</vt:lpstr>
      <vt:lpstr>Holidays</vt:lpstr>
      <vt:lpstr>'Swaption Pricer'!BuySell</vt:lpstr>
      <vt:lpstr>'Swaption Pricer'!cp</vt:lpstr>
      <vt:lpstr>CurveDate</vt:lpstr>
      <vt:lpstr>'Swaption Pricer'!d_</vt:lpstr>
      <vt:lpstr>'Swaption Pricer'!d1_</vt:lpstr>
      <vt:lpstr>'Swaption Pricer'!d2_</vt:lpstr>
      <vt:lpstr>'Swaption Pricer'!DCBFixed</vt:lpstr>
      <vt:lpstr>'Swaption Pricer'!DCBFloat</vt:lpstr>
      <vt:lpstr>'Swaption Pricer'!ExpirationDate</vt:lpstr>
      <vt:lpstr>'Swaption Pricer'!F</vt:lpstr>
      <vt:lpstr>'Swaption Pricer'!F_sln</vt:lpstr>
      <vt:lpstr>'Swaption Pricer'!FirstCouponEndDate</vt:lpstr>
      <vt:lpstr>'Swaption Pricer'!FixedLegAnnuityPx</vt:lpstr>
      <vt:lpstr>'Swaption Pricer'!FixedLegFrequency</vt:lpstr>
      <vt:lpstr>'Swaption Pricer'!FloatingLegFrequency</vt:lpstr>
      <vt:lpstr>'Swaption Pricer'!FloatingSpread</vt:lpstr>
      <vt:lpstr>'Swaption Pricer'!FloatLegAnnuityPx</vt:lpstr>
      <vt:lpstr>Holidays_NSW</vt:lpstr>
      <vt:lpstr>Holidays_NYC</vt:lpstr>
      <vt:lpstr>'Swaption Pricer'!K</vt:lpstr>
      <vt:lpstr>'Swaption Pricer'!K_adj</vt:lpstr>
      <vt:lpstr>'Swaption Pricer'!K_sln</vt:lpstr>
      <vt:lpstr>'Swaption Pricer'!LastCouponStartDate</vt:lpstr>
      <vt:lpstr>'Swaption Pricer'!LogNormalShift</vt:lpstr>
      <vt:lpstr>'Swaption Pricer'!Notional</vt:lpstr>
      <vt:lpstr>PaymentOffset</vt:lpstr>
      <vt:lpstr>RollConvention</vt:lpstr>
      <vt:lpstr>RollUserSpecifiedDates</vt:lpstr>
      <vt:lpstr>'Swaption Pricer'!RollUserSpecifiedDatesSwaption</vt:lpstr>
      <vt:lpstr>SettlementDate</vt:lpstr>
      <vt:lpstr>SettlementDelay</vt:lpstr>
      <vt:lpstr>'Swaption Pricer'!StubType</vt:lpstr>
      <vt:lpstr>'Swaption Pricer'!SwapMaturityDate</vt:lpstr>
      <vt:lpstr>'Swaption Pricer'!SwapStartDate</vt:lpstr>
      <vt:lpstr>'Swaption Pricer'!tau</vt:lpstr>
      <vt:lpstr>'Swaption Pricer'!σN</vt:lpstr>
      <vt:lpstr>'Swaption Pricer'!σSLN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cp:lastPrinted>2024-10-27T01:21:34Z</cp:lastPrinted>
  <dcterms:created xsi:type="dcterms:W3CDTF">2024-10-10T02:30:02Z</dcterms:created>
  <dcterms:modified xsi:type="dcterms:W3CDTF">2024-10-27T05:45:31Z</dcterms:modified>
</cp:coreProperties>
</file>