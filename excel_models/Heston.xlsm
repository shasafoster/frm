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/>
  <workbookPr/>
  <mc:AlternateContent xmlns:mc="http://schemas.openxmlformats.org/markup-compatibility/2006">
    <mc:Choice Requires="x15">
      <x15ac:absPath xmlns:x15ac="http://schemas.microsoft.com/office/spreadsheetml/2010/11/ac" url="C:\Users\shasa\Documents\finance_calcs\frm\excel_models\"/>
    </mc:Choice>
  </mc:AlternateContent>
  <xr:revisionPtr revIDLastSave="0" documentId="13_ncr:1_{1593E098-F730-4FD2-B969-AB5DD4DEF145}" xr6:coauthVersionLast="47" xr6:coauthVersionMax="47" xr10:uidLastSave="{00000000-0000-0000-0000-000000000000}"/>
  <bookViews>
    <workbookView xWindow="-120" yWindow="-120" windowWidth="29040" windowHeight="15720" xr2:uid="{ACCF6C7A-DFD5-4A1D-A32C-2AF79D4E42D5}"/>
  </bookViews>
  <sheets>
    <sheet name="HestonFit" sheetId="3" r:id="rId1"/>
    <sheet name="DataValidation" sheetId="2" r:id="rId2"/>
  </sheets>
  <definedNames>
    <definedName name="Rho">HestonFit!$G$18</definedName>
    <definedName name="S0">#REF!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HestonFit!#REF!</definedName>
    <definedName name="solver_typ" localSheetId="0" hidden="1">1</definedName>
    <definedName name="solver_val" localSheetId="0" hidden="1">0</definedName>
    <definedName name="solver_ver" localSheetId="0" hidden="1">3</definedName>
    <definedName name="SpotDate">#REF!</definedName>
    <definedName name="Theta">HestonFit!$G$17</definedName>
    <definedName name="ValuationDate">#REF!</definedName>
    <definedName name="Vol_of_Vol">HestonFit!$G$16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7" i="3" l="1" a="1"/>
  <c r="G27" i="3" s="1"/>
  <c r="G25" i="3" a="1"/>
  <c r="G25" i="3" s="1"/>
  <c r="G28" i="3"/>
  <c r="H26" i="3"/>
  <c r="G26" i="3"/>
  <c r="G23" i="3"/>
  <c r="G17" i="3"/>
  <c r="G16" i="3"/>
  <c r="G10" i="3"/>
  <c r="G6" i="3"/>
  <c r="G5" i="3"/>
  <c r="G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Shasa Foster</author>
  </authors>
  <commentList>
    <comment ref="F11" authorId="0" shapeId="0" xr:uid="{74AEDF21-9B49-4D55-841A-0771A597D25D}">
      <text>
        <r>
          <rPr>
            <sz val="10"/>
            <color indexed="81"/>
            <rFont val="Arial"/>
            <family val="2"/>
            <scheme val="major"/>
          </rPr>
          <t>Mean reversion to long run variance. 
As the influence of mean reversion is compensated by a the volatility of variance this parameter is usually preset.</t>
        </r>
      </text>
    </comment>
    <comment ref="F12" authorId="0" shapeId="0" xr:uid="{942B99D7-67C1-4F16-973B-59A5E1279BB6}">
      <text>
        <r>
          <rPr>
            <sz val="9"/>
            <color indexed="81"/>
            <rFont val="Tahoma"/>
            <family val="2"/>
          </rPr>
          <t>Market price of volatility risk. 
Set to zero as we are using option prices.</t>
        </r>
      </text>
    </comment>
    <comment ref="F17" authorId="0" shapeId="0" xr:uid="{14FABE3B-C875-4B03-9CCA-D9230D42CF4F}">
      <text>
        <r>
          <rPr>
            <sz val="10"/>
            <color indexed="81"/>
            <rFont val="Arial"/>
            <family val="2"/>
            <scheme val="major"/>
          </rPr>
          <t>Long run variance</t>
        </r>
      </text>
    </comment>
    <comment ref="F18" authorId="0" shapeId="0" xr:uid="{16794799-5946-4E13-BC4F-22B0EE6AA4DA}">
      <text>
        <r>
          <rPr>
            <sz val="10"/>
            <color indexed="81"/>
            <rFont val="Arial"/>
            <family val="2"/>
            <scheme val="major"/>
          </rPr>
          <t>Correlation between spot price and volatility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<sst xmlns="http://schemas.openxmlformats.org/spreadsheetml/2006/main" count="51" uniqueCount="46">
  <si>
    <t>Legend</t>
  </si>
  <si>
    <t>User input</t>
  </si>
  <si>
    <t>Valuation Date</t>
  </si>
  <si>
    <t>[Date]</t>
  </si>
  <si>
    <t>FOR/DOM</t>
  </si>
  <si>
    <t>Delta Spot Regular</t>
  </si>
  <si>
    <t>Delta Forward Regular</t>
  </si>
  <si>
    <t>Delta</t>
  </si>
  <si>
    <t>r_d</t>
  </si>
  <si>
    <t>r_f</t>
  </si>
  <si>
    <t>10_Δcall</t>
  </si>
  <si>
    <t>25_Δcall</t>
  </si>
  <si>
    <t>50_Δ</t>
  </si>
  <si>
    <t>10_Δput</t>
  </si>
  <si>
    <t>25_Δput</t>
  </si>
  <si>
    <t>tau</t>
  </si>
  <si>
    <t>S0</t>
  </si>
  <si>
    <t>Domestic Interest Rate</t>
  </si>
  <si>
    <t>Foreign Interest Rate</t>
  </si>
  <si>
    <t>[%]</t>
  </si>
  <si>
    <t>Expiry Date</t>
  </si>
  <si>
    <t>Years to expiry</t>
  </si>
  <si>
    <t>Market Volatility</t>
  </si>
  <si>
    <t>mu</t>
  </si>
  <si>
    <t>x</t>
  </si>
  <si>
    <t>Equation (11) from Heston, 1993</t>
  </si>
  <si>
    <t>Kappa</t>
  </si>
  <si>
    <t>Initial Variance</t>
  </si>
  <si>
    <t>Lambda</t>
  </si>
  <si>
    <t>Preset Heston Parameters</t>
  </si>
  <si>
    <t>Solved Heston Parameters</t>
  </si>
  <si>
    <t>[Years]</t>
  </si>
  <si>
    <t>Theta</t>
  </si>
  <si>
    <t>Rho</t>
  </si>
  <si>
    <t>Vol of Vol</t>
  </si>
  <si>
    <t>Initial Guess</t>
  </si>
  <si>
    <t>Solved</t>
  </si>
  <si>
    <t>a</t>
  </si>
  <si>
    <t>u</t>
  </si>
  <si>
    <t>b</t>
  </si>
  <si>
    <t>σ</t>
  </si>
  <si>
    <t>Integral</t>
  </si>
  <si>
    <t>φ</t>
  </si>
  <si>
    <t>d</t>
  </si>
  <si>
    <t>u (array)</t>
  </si>
  <si>
    <t>b (array)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</si>
</sst>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-* #,##0.0000_-;\-* #,##0.0000_-;_-* &quot;-&quot;??_-;_-@_-"/>
    <numFmt numFmtId="166" formatCode="d\-mmm\-yy_-;;"/>
    <numFmt numFmtId="169" formatCode="0.000%"/>
    <numFmt numFmtId="170" formatCode="_-* #,##0.000_-;\-* #,##0.000_-;_-* &quot;-&quot;??_-;_-@_-"/>
  </numFmts>
  <fonts count="8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sz val="10"/>
      <color theme="4"/>
      <name val="Arial"/>
      <family val="2"/>
    </font>
    <font>
      <sz val="9"/>
      <color indexed="81"/>
      <name val="Tahoma"/>
      <family val="2"/>
    </font>
    <font>
      <sz val="10"/>
      <color indexed="81"/>
      <name val="Arial"/>
      <family val="2"/>
      <scheme val="major"/>
    </font>
    <font>
      <u/>
      <sz val="10"/>
      <color theme="1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0">
    <xf numFmtId="0" fontId="0" fillId="0" borderId="0" xfId="0"/>
    <xf numFmtId="0" fontId="2" fillId="2" borderId="0" xfId="0" applyFont="1" applyFill="1"/>
    <xf numFmtId="0" fontId="3" fillId="2" borderId="0" xfId="0" applyFont="1" applyFill="1"/>
    <xf numFmtId="166" fontId="3" fillId="2" borderId="0" xfId="0" applyNumberFormat="1" applyFont="1" applyFill="1"/>
    <xf numFmtId="169" fontId="0" fillId="0" borderId="0" xfId="2" applyNumberFormat="1" applyFont="1"/>
    <xf numFmtId="164" fontId="3" fillId="2" borderId="0" xfId="1" applyNumberFormat="1" applyFont="1" applyFill="1"/>
    <xf numFmtId="169" fontId="3" fillId="2" borderId="0" xfId="2" applyNumberFormat="1" applyFont="1" applyFill="1"/>
    <xf numFmtId="10" fontId="3" fillId="2" borderId="0" xfId="2" applyNumberFormat="1" applyFont="1" applyFill="1"/>
    <xf numFmtId="9" fontId="3" fillId="2" borderId="0" xfId="0" applyNumberFormat="1" applyFont="1" applyFill="1"/>
    <xf numFmtId="0" fontId="0" fillId="0" borderId="0" xfId="0" applyAlignment="1">
      <alignment horizontal="centerContinuous"/>
    </xf>
    <xf numFmtId="0" fontId="6" fillId="0" borderId="0" xfId="0" applyFont="1" applyAlignment="1">
      <alignment horizontal="centerContinuous"/>
    </xf>
    <xf numFmtId="169" fontId="7" fillId="0" borderId="0" xfId="2" applyNumberFormat="1" applyFont="1" applyFill="1"/>
    <xf numFmtId="0" fontId="7" fillId="0" borderId="0" xfId="0" applyFont="1" applyFill="1"/>
    <xf numFmtId="164" fontId="0" fillId="0" borderId="0" xfId="1" applyNumberFormat="1" applyFont="1" applyFill="1"/>
    <xf numFmtId="169" fontId="0" fillId="0" borderId="0" xfId="2" applyNumberFormat="1" applyFont="1" applyFill="1"/>
    <xf numFmtId="170" fontId="0" fillId="0" borderId="0" xfId="1" applyNumberFormat="1" applyFont="1" applyFill="1"/>
    <xf numFmtId="0" fontId="7" fillId="3" borderId="0" xfId="0" applyFont="1" applyFill="1"/>
    <xf numFmtId="0" fontId="0" fillId="0" borderId="0" xfId="0" applyBorder="1"/>
    <xf numFmtId="169" fontId="0" fillId="0" borderId="0" xfId="0" applyNumberFormat="1" applyBorder="1"/>
    <xf numFmtId="0" fontId="0" fillId="0" borderId="0" xfId="0" applyFill="1" applyBorder="1"/>
  </cellXfs>
  <cellStyles count="3">
    <cellStyle name="Comma" xfId="1" builtinId="3"/>
    <cellStyle name="Normal" xfId="0" builtinId="0"/>
    <cellStyle name="Percent" xfId="2" builtinId="5"/>
  </cellStyles>
  <dxfs count="12"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3" formatCode="0%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69" formatCode="0.000%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64" formatCode="_-* #,##0.0000_-;\-* #,##0.0000_-;_-* &quot;-&quot;??_-;_-@_-"/>
      <fill>
        <patternFill patternType="solid">
          <fgColor indexed="64"/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3B3435B-4291-4C51-9CE4-871E846CD03D}" name="Table2" displayName="Table2" ref="R20:Y26" totalsRowShown="0" dataDxfId="3">
  <autoFilter ref="R20:Y26" xr:uid="{33B3435B-4291-4C51-9CE4-871E846CD03D}"/>
  <tableColumns count="8">
    <tableColumn id="1" xr3:uid="{B4E86822-E82A-4150-805E-B358DD4EE9AE}" name="tau" dataDxfId="11" dataCellStyle="Comma"/>
    <tableColumn id="2" xr3:uid="{47844C48-4BDC-4268-AE00-F9970599C563}" name="r_d" dataDxfId="10" dataCellStyle="Percent"/>
    <tableColumn id="3" xr3:uid="{CDD0F094-C542-44C7-9D23-F89E9A2EC1F1}" name="r_f" dataDxfId="9" dataCellStyle="Percent"/>
    <tableColumn id="4" xr3:uid="{3E692CA1-4E4E-4EF7-A8D0-C3A36739DF99}" name="10_Δcall" dataDxfId="8" dataCellStyle="Percent"/>
    <tableColumn id="5" xr3:uid="{3298CAD3-5700-4838-BB7C-8486C88F3F6F}" name="25_Δcall" dataDxfId="7" dataCellStyle="Percent"/>
    <tableColumn id="6" xr3:uid="{E06DC333-45E9-4416-BDEB-EBF708F0A4F1}" name="50_Δ" dataDxfId="6" dataCellStyle="Percent"/>
    <tableColumn id="7" xr3:uid="{E583E9C4-E70F-4934-A354-4D22284426C0}" name="25_Δput" dataDxfId="5" dataCellStyle="Percent"/>
    <tableColumn id="8" xr3:uid="{3F7A9E0D-9FAF-4AA5-B6C2-C0DF05914E8D}" name="10_Δput" dataDxfId="4" dataCellStyle="Percent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2E5321F-5E8D-4EC2-8AF1-043B7DE63C30}" name="DeltaVolatilityTable" displayName="DeltaVolatilityTable" ref="B14:C19" totalsRowShown="0" dataDxfId="0">
  <autoFilter ref="B14:C19" xr:uid="{B2E5321F-5E8D-4EC2-8AF1-043B7DE63C30}"/>
  <tableColumns count="2">
    <tableColumn id="1" xr3:uid="{AA1BD6A1-19F5-4004-ADB0-521127B1D026}" name="Delta" dataDxfId="2"/>
    <tableColumn id="2" xr3:uid="{AD294466-53A3-428B-95B9-BA231E8BEDDD}" name="Market Volatility" dataDxfId="1" dataCellStyle="Percent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432D3-6680-43C6-B562-B2026691DF8B}">
  <dimension ref="B2:Y29"/>
  <sheetViews>
    <sheetView tabSelected="1" topLeftCell="A4" workbookViewId="0">
      <selection activeCell="G29" sqref="G29"/>
    </sheetView>
  </sheetViews>
  <sheetFormatPr defaultRowHeight="12.75" x14ac:dyDescent="0.2"/>
  <cols>
    <col min="2" max="2" width="20.28515625" bestFit="1" customWidth="1"/>
    <col min="3" max="3" width="18.140625" bestFit="1" customWidth="1"/>
    <col min="4" max="4" width="9.7109375" bestFit="1" customWidth="1"/>
    <col min="5" max="5" width="10.85546875" bestFit="1" customWidth="1"/>
    <col min="6" max="6" width="13.7109375" bestFit="1" customWidth="1"/>
    <col min="7" max="7" width="12" bestFit="1" customWidth="1"/>
    <col min="8" max="8" width="9.7109375" bestFit="1" customWidth="1"/>
    <col min="9" max="9" width="28.28515625" bestFit="1" customWidth="1"/>
    <col min="10" max="13" width="7.28515625" bestFit="1" customWidth="1"/>
    <col min="14" max="14" width="6.28515625" bestFit="1" customWidth="1"/>
    <col min="15" max="16" width="10.85546875" bestFit="1" customWidth="1"/>
    <col min="17" max="17" width="7.5703125" bestFit="1" customWidth="1"/>
    <col min="18" max="18" width="7.7109375" bestFit="1" customWidth="1"/>
    <col min="19" max="19" width="7.28515625" bestFit="1" customWidth="1"/>
    <col min="20" max="20" width="6.28515625" bestFit="1" customWidth="1"/>
    <col min="21" max="22" width="10.85546875" bestFit="1" customWidth="1"/>
    <col min="23" max="23" width="7.5703125" bestFit="1" customWidth="1"/>
    <col min="24" max="25" width="10.42578125" bestFit="1" customWidth="1"/>
  </cols>
  <sheetData>
    <row r="2" spans="2:9" x14ac:dyDescent="0.2">
      <c r="B2" t="s">
        <v>0</v>
      </c>
      <c r="C2" s="1" t="s">
        <v>1</v>
      </c>
    </row>
    <row r="4" spans="2:9" x14ac:dyDescent="0.2">
      <c r="B4" t="s">
        <v>2</v>
      </c>
      <c r="C4" s="3">
        <v>45107</v>
      </c>
      <c r="D4" t="s">
        <v>3</v>
      </c>
      <c r="F4" t="s">
        <v>21</v>
      </c>
      <c r="G4" s="13">
        <f>YEARFRAC(C4,C9,1)</f>
        <v>2.0009124087591244</v>
      </c>
      <c r="H4" t="s">
        <v>31</v>
      </c>
    </row>
    <row r="5" spans="2:9" x14ac:dyDescent="0.2">
      <c r="B5" t="s">
        <v>16</v>
      </c>
      <c r="C5" s="2">
        <v>1.2779</v>
      </c>
      <c r="D5" t="s">
        <v>4</v>
      </c>
      <c r="F5" t="s">
        <v>23</v>
      </c>
      <c r="G5" s="14">
        <f>C7-C8</f>
        <v>-3.1900000000000001E-3</v>
      </c>
      <c r="H5" t="s">
        <v>19</v>
      </c>
    </row>
    <row r="6" spans="2:9" x14ac:dyDescent="0.2">
      <c r="F6" t="s">
        <v>24</v>
      </c>
      <c r="G6" s="15">
        <f>LN(C5)</f>
        <v>0.24521810563252058</v>
      </c>
      <c r="H6" t="s">
        <v>4</v>
      </c>
      <c r="I6" t="s">
        <v>25</v>
      </c>
    </row>
    <row r="7" spans="2:9" x14ac:dyDescent="0.2">
      <c r="B7" t="s">
        <v>17</v>
      </c>
      <c r="C7" s="6">
        <v>1.0800000000000001E-2</v>
      </c>
      <c r="D7" t="s">
        <v>19</v>
      </c>
    </row>
    <row r="8" spans="2:9" x14ac:dyDescent="0.2">
      <c r="B8" t="s">
        <v>18</v>
      </c>
      <c r="C8" s="6">
        <v>1.3990000000000001E-2</v>
      </c>
      <c r="D8" t="s">
        <v>19</v>
      </c>
    </row>
    <row r="9" spans="2:9" x14ac:dyDescent="0.2">
      <c r="B9" t="s">
        <v>20</v>
      </c>
      <c r="C9" s="3">
        <v>45838</v>
      </c>
      <c r="D9" t="s">
        <v>3</v>
      </c>
      <c r="F9" s="10" t="s">
        <v>29</v>
      </c>
      <c r="G9" s="9"/>
    </row>
    <row r="10" spans="2:9" x14ac:dyDescent="0.2">
      <c r="F10" t="s">
        <v>27</v>
      </c>
      <c r="G10" s="11">
        <f>_xlfn.XLOOKUP(50%,DeltaVolatilityTable[Delta],DeltaVolatilityTable[Market Volatility])^2</f>
        <v>1.48206276E-2</v>
      </c>
      <c r="H10" t="s">
        <v>19</v>
      </c>
    </row>
    <row r="11" spans="2:9" x14ac:dyDescent="0.2">
      <c r="F11" t="s">
        <v>26</v>
      </c>
      <c r="G11" s="12">
        <v>1.5</v>
      </c>
    </row>
    <row r="12" spans="2:9" x14ac:dyDescent="0.2">
      <c r="F12" t="s">
        <v>28</v>
      </c>
      <c r="G12" s="12">
        <v>0</v>
      </c>
    </row>
    <row r="14" spans="2:9" x14ac:dyDescent="0.2">
      <c r="B14" t="s">
        <v>7</v>
      </c>
      <c r="C14" t="s">
        <v>22</v>
      </c>
      <c r="F14" s="10" t="s">
        <v>30</v>
      </c>
      <c r="G14" s="9"/>
    </row>
    <row r="15" spans="2:9" x14ac:dyDescent="0.2">
      <c r="B15" s="8">
        <v>0.1</v>
      </c>
      <c r="C15" s="7">
        <v>0.12139</v>
      </c>
      <c r="G15" t="s">
        <v>35</v>
      </c>
      <c r="H15" t="s">
        <v>36</v>
      </c>
    </row>
    <row r="16" spans="2:9" x14ac:dyDescent="0.2">
      <c r="B16" s="8">
        <v>0.25</v>
      </c>
      <c r="C16" s="7">
        <v>0.11784</v>
      </c>
      <c r="F16" t="s">
        <v>34</v>
      </c>
      <c r="G16" s="4">
        <f>2*SQRT(G10)</f>
        <v>0.24348</v>
      </c>
    </row>
    <row r="17" spans="2:25" x14ac:dyDescent="0.2">
      <c r="B17" s="8">
        <v>0.5</v>
      </c>
      <c r="C17" s="7">
        <v>0.12174</v>
      </c>
      <c r="F17" t="s">
        <v>32</v>
      </c>
      <c r="G17" s="4">
        <f>2*G10</f>
        <v>2.9641255200000001E-2</v>
      </c>
    </row>
    <row r="18" spans="2:25" x14ac:dyDescent="0.2">
      <c r="B18" s="8">
        <v>-0.25</v>
      </c>
      <c r="C18" s="7">
        <v>0.13284000000000001</v>
      </c>
      <c r="F18" t="s">
        <v>33</v>
      </c>
      <c r="G18">
        <v>0</v>
      </c>
    </row>
    <row r="19" spans="2:25" x14ac:dyDescent="0.2">
      <c r="B19" s="8">
        <v>-0.1</v>
      </c>
      <c r="C19" s="7">
        <v>0.14763999999999999</v>
      </c>
    </row>
    <row r="20" spans="2:25" x14ac:dyDescent="0.2">
      <c r="F20" t="s">
        <v>41</v>
      </c>
      <c r="R20" t="s">
        <v>15</v>
      </c>
      <c r="S20" t="s">
        <v>8</v>
      </c>
      <c r="T20" t="s">
        <v>9</v>
      </c>
      <c r="U20" t="s">
        <v>10</v>
      </c>
      <c r="V20" t="s">
        <v>11</v>
      </c>
      <c r="W20" t="s">
        <v>12</v>
      </c>
      <c r="X20" t="s">
        <v>14</v>
      </c>
      <c r="Y20" t="s">
        <v>13</v>
      </c>
    </row>
    <row r="21" spans="2:25" x14ac:dyDescent="0.2">
      <c r="F21" t="s">
        <v>42</v>
      </c>
      <c r="G21" s="16"/>
      <c r="R21" s="5">
        <v>1.91781E-2</v>
      </c>
      <c r="S21" s="6">
        <v>3.1099999999999999E-3</v>
      </c>
      <c r="T21" s="7">
        <v>5.7999999999999996E-3</v>
      </c>
      <c r="U21" s="7">
        <v>0.13947999999999999</v>
      </c>
      <c r="V21" s="7">
        <v>0.13192000000000001</v>
      </c>
      <c r="W21" s="7">
        <v>0.13350000000000001</v>
      </c>
      <c r="X21" s="7">
        <v>0.14041999999999999</v>
      </c>
      <c r="Y21" s="7">
        <v>0.15435499999999999</v>
      </c>
    </row>
    <row r="22" spans="2:25" x14ac:dyDescent="0.2">
      <c r="R22" s="5">
        <v>8.3333299999999999E-2</v>
      </c>
      <c r="S22" s="6">
        <v>3.2875000000000001E-3</v>
      </c>
      <c r="T22" s="7">
        <v>6.3099999999999996E-3</v>
      </c>
      <c r="U22" s="7">
        <v>0.1245</v>
      </c>
      <c r="V22" s="7">
        <v>0.12249</v>
      </c>
      <c r="W22" s="7">
        <v>0.127</v>
      </c>
      <c r="X22" s="7">
        <v>0.13749</v>
      </c>
      <c r="Y22" s="7">
        <v>0.15225</v>
      </c>
    </row>
    <row r="23" spans="2:25" x14ac:dyDescent="0.2">
      <c r="F23" s="17" t="s">
        <v>37</v>
      </c>
      <c r="G23" s="17">
        <f>G11*G17</f>
        <v>4.4461882800000005E-2</v>
      </c>
      <c r="H23" s="17"/>
      <c r="I23" s="17"/>
      <c r="R23" s="5">
        <v>0.25</v>
      </c>
      <c r="S23" s="6">
        <v>4.9781000000000001E-3</v>
      </c>
      <c r="T23" s="7">
        <v>8.8400000000000006E-3</v>
      </c>
      <c r="U23" s="7">
        <v>0.126885</v>
      </c>
      <c r="V23" s="7">
        <v>0.123945</v>
      </c>
      <c r="W23" s="7">
        <v>0.130495</v>
      </c>
      <c r="X23" s="7">
        <v>0.14544499999999999</v>
      </c>
      <c r="Y23" s="7">
        <v>0.16666</v>
      </c>
    </row>
    <row r="24" spans="2:25" x14ac:dyDescent="0.2">
      <c r="F24" s="17" t="s">
        <v>38</v>
      </c>
      <c r="G24" s="17">
        <v>0.5</v>
      </c>
      <c r="H24" s="17">
        <v>-0.5</v>
      </c>
      <c r="I24" s="17"/>
      <c r="R24" s="5">
        <v>0.5</v>
      </c>
      <c r="S24" s="6">
        <v>7.0074999999999998E-3</v>
      </c>
      <c r="T24" s="7">
        <v>1.1310000000000001E-2</v>
      </c>
      <c r="U24" s="7">
        <v>0.13688</v>
      </c>
      <c r="V24" s="7">
        <v>0.12898999999999999</v>
      </c>
      <c r="W24" s="7">
        <v>0.13550000000000001</v>
      </c>
      <c r="X24" s="7">
        <v>0.15298999999999999</v>
      </c>
      <c r="Y24" s="7">
        <v>0.18127499999999999</v>
      </c>
    </row>
    <row r="25" spans="2:25" x14ac:dyDescent="0.2">
      <c r="F25" s="19" t="s">
        <v>44</v>
      </c>
      <c r="G25" cm="1">
        <f t="array" ref="G25:H25">G24:H24</f>
        <v>0.5</v>
      </c>
      <c r="H25">
        <v>-0.5</v>
      </c>
      <c r="I25" s="17"/>
      <c r="R25" s="5">
        <v>1</v>
      </c>
      <c r="S25" s="6">
        <v>1.0800000000000001E-2</v>
      </c>
      <c r="T25" s="7">
        <v>1.3990000000000001E-2</v>
      </c>
      <c r="U25" s="7">
        <v>0.13670499999999999</v>
      </c>
      <c r="V25" s="7">
        <v>0.12667999999999999</v>
      </c>
      <c r="W25" s="7">
        <v>0.13186999999999999</v>
      </c>
      <c r="X25" s="7">
        <v>0.14718000000000001</v>
      </c>
      <c r="Y25" s="7">
        <v>0.172705</v>
      </c>
    </row>
    <row r="26" spans="2:25" x14ac:dyDescent="0.2">
      <c r="F26" s="17" t="s">
        <v>39</v>
      </c>
      <c r="G26" s="17">
        <f>G11+G12-G18*G16</f>
        <v>1.5</v>
      </c>
      <c r="H26" s="17">
        <f>G11+G12</f>
        <v>1.5</v>
      </c>
      <c r="I26" s="17"/>
      <c r="R26" s="5">
        <v>2</v>
      </c>
      <c r="S26" s="6">
        <v>1.0800000000000001E-2</v>
      </c>
      <c r="T26" s="7">
        <v>1.3990000000000001E-2</v>
      </c>
      <c r="U26" s="7">
        <v>0.12139</v>
      </c>
      <c r="V26" s="7">
        <v>0.11784</v>
      </c>
      <c r="W26" s="7">
        <v>0.12174</v>
      </c>
      <c r="X26" s="7">
        <v>0.13284000000000001</v>
      </c>
      <c r="Y26" s="7">
        <v>0.14763999999999999</v>
      </c>
    </row>
    <row r="27" spans="2:25" x14ac:dyDescent="0.2">
      <c r="F27" s="19" t="s">
        <v>45</v>
      </c>
      <c r="G27" cm="1">
        <f t="array" ref="G27:H27">G26:H26</f>
        <v>1.5</v>
      </c>
      <c r="H27" s="17">
        <v>1.5</v>
      </c>
      <c r="I27" s="17"/>
    </row>
    <row r="28" spans="2:25" x14ac:dyDescent="0.2">
      <c r="F28" s="17" t="s">
        <v>40</v>
      </c>
      <c r="G28" s="18">
        <f>G16</f>
        <v>0.24348</v>
      </c>
    </row>
    <row r="29" spans="2:25" x14ac:dyDescent="0.2">
      <c r="F29" t="s">
        <v>43</v>
      </c>
    </row>
  </sheetData>
  <pageMargins left="0.7" right="0.7" top="0.75" bottom="0.75" header="0.3" footer="0.3"/>
  <legacy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FDB40-BBCC-43DA-BA02-65F609977426}">
  <dimension ref="A1:A2"/>
  <sheetViews>
    <sheetView workbookViewId="0">
      <selection activeCell="A2" sqref="A2"/>
    </sheetView>
  </sheetViews>
  <sheetFormatPr defaultRowHeight="12.75" x14ac:dyDescent="0.2"/>
  <cols>
    <col min="1" max="1" width="19.5703125" bestFit="1" customWidth="1"/>
  </cols>
  <sheetData>
    <row r="1" spans="1:1" x14ac:dyDescent="0.2">
      <c r="A1" t="s">
        <v>5</v>
      </c>
    </row>
    <row r="2" spans="1:1" x14ac:dyDescent="0.2">
      <c r="A2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HestonFit</vt:lpstr>
      <vt:lpstr>DataValidation</vt:lpstr>
      <vt:lpstr>Rho</vt:lpstr>
      <vt:lpstr>Theta</vt:lpstr>
      <vt:lpstr>Vol_of_Vol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Shasa Foster</dc:creator>
  <cp:lastModifiedBy>Shasa Foster</cp:lastModifiedBy>
  <dcterms:created xsi:type="dcterms:W3CDTF">2024-05-11T03:35:05Z</dcterms:created>
  <dcterms:modified xsi:type="dcterms:W3CDTF">2024-05-12T02:03:18Z</dcterms:modified>
</cp:coreProperties>
</file>